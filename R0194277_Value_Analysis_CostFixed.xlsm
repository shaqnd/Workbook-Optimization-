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comments/comment3.xml" ContentType="application/vnd.openxmlformats-officedocument.spreadsheetml.comments+xml"/>
  <Override PartName="/xl/worksheets/sheet8.xml" ContentType="application/vnd.openxmlformats-officedocument.spreadsheetml.worksheet+xml"/>
  <Override PartName="/xl/comments/comment4.xml" ContentType="application/vnd.openxmlformats-officedocument.spreadsheetml.comments+xml"/>
  <Override PartName="/xl/worksheets/sheet9.xml" ContentType="application/vnd.openxmlformats-officedocument.spreadsheetml.worksheet+xml"/>
  <Override PartName="/xl/comments/comment5.xml" ContentType="application/vnd.openxmlformats-officedocument.spreadsheetml.comments+xml"/>
  <Override PartName="/xl/worksheets/sheet10.xml" ContentType="application/vnd.openxmlformats-officedocument.spreadsheetml.worksheet+xml"/>
  <Override PartName="/xl/comments/comment6.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7.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1"/>
  <bookViews>
    <workbookView visibility="visible" minimized="0" showHorizontalScroll="1" showVerticalScroll="1" showSheetTabs="1" xWindow="-105" yWindow="90" windowWidth="19785" windowHeight="20130" tabRatio="500" firstSheet="9" activeTab="12" autoFilterDateGrouping="1"/>
  </bookViews>
  <sheets>
    <sheet name="Property Info" sheetId="1" state="visible" r:id="rId1"/>
    <sheet name="Property Tables" sheetId="2" state="visible" r:id="rId2"/>
    <sheet name="Subject Property" sheetId="3" state="visible" r:id="rId3"/>
    <sheet name="Comp Picker" sheetId="4" state="visible" r:id="rId4"/>
    <sheet name="S" sheetId="5" state="visible" r:id="rId5"/>
    <sheet name="WO" sheetId="6" state="visible" r:id="rId6"/>
    <sheet name="BAA Market" sheetId="7" state="visible" r:id="rId7"/>
    <sheet name="BAA Rent" sheetId="8" state="visible" r:id="rId8"/>
    <sheet name="Appeal" sheetId="9" state="visible" r:id="rId9"/>
    <sheet name="BOCC" sheetId="10" state="visible" r:id="rId10"/>
    <sheet name="M&amp;S Inputs" sheetId="11" state="visible" r:id="rId11"/>
    <sheet name="Land Sales Grid" sheetId="12" state="visible" r:id="rId12"/>
    <sheet name="Cost Approach" sheetId="13" state="visible" r:id="rId13"/>
    <sheet name="Cost Approach MB" sheetId="14" state="visible" r:id="rId14"/>
    <sheet name="Basic Sales Comparison" sheetId="15" state="visible" r:id="rId15"/>
    <sheet name="Detailed Sales Comparison" sheetId="16" state="visible" r:id="rId16"/>
    <sheet name="Leases" sheetId="17" state="visible" r:id="rId17"/>
    <sheet name="Lease Comps" sheetId="18" state="visible" r:id="rId18"/>
    <sheet name="Rent Roll" sheetId="19" state="visible" r:id="rId19"/>
    <sheet name="Income Approach" sheetId="20" state="visible" r:id="rId20"/>
    <sheet name="Reconciliation" sheetId="21" state="visible" r:id="rId21"/>
    <sheet name="calcs" sheetId="22" state="visible" r:id="rId22"/>
    <sheet name="Sales" sheetId="23" state="visible" r:id="rId23"/>
    <sheet name="Income" sheetId="24" state="visible" r:id="rId24"/>
    <sheet name="Codes" sheetId="25" state="visible" r:id="rId25"/>
    <sheet name="Occ Codes" sheetId="26" state="visible" r:id="rId26"/>
    <sheet name="Zoning Codes" sheetId="27" state="visible" r:id="rId27"/>
    <sheet name="Resources" sheetId="28" state="visible" r:id="rId28"/>
    <sheet name="Resource Directory" sheetId="29" state="visible" r:id="rId29"/>
    <sheet name="Property Registry" sheetId="30" state="visible" r:id="rId30"/>
    <sheet name="Expense Database" sheetId="31" state="visible" r:id="rId31"/>
    <sheet name="PSF Summary" sheetId="32" state="visible" r:id="rId32"/>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Comparison'!$C$52</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_xlnm.Print_Area" localSheetId="0">'Property Info'!$A$1:$D$66</definedName>
    <definedName name="_xlnm.Print_Area" localSheetId="1">'Property Tables'!$B$4:$AN$160</definedName>
    <definedName name="_xlnm.Print_Area" localSheetId="4">'S'!$A$1:$H$55</definedName>
    <definedName name="_xlnm.Print_Area" localSheetId="5">'WO'!$A$1:$I$39</definedName>
    <definedName name="_Fill" localSheetId="6" hidden="1">#REF!</definedName>
    <definedName name="_Key1" localSheetId="6" hidden="1">#REF!</definedName>
    <definedName name="_Key2" localSheetId="6" hidden="1">#REF!</definedName>
    <definedName name="_Sort" localSheetId="6" hidden="1">#REF!</definedName>
    <definedName name="AdjRent1" localSheetId="6">'BAA Rent'!$G$23:$G$41</definedName>
    <definedName name="rent1" localSheetId="6">'BAA Rent'!$A$18</definedName>
    <definedName name="rent2" localSheetId="6">'BAA Rent'!$A$22</definedName>
    <definedName name="Subj" localSheetId="6">'BAA Rent'!$A$9</definedName>
    <definedName name="_xlnm.Print_Area" localSheetId="6">'BAA Market'!$A$1:$H$41</definedName>
    <definedName name="_xlnm.Print_Area" localSheetId="7">'BAA Rent'!$A$1:$M$74</definedName>
    <definedName name="_xlnm.Print_Area" localSheetId="8">'Appeal'!$A$1:$K$48</definedName>
    <definedName name="_xlnm.Print_Area" localSheetId="11">'Land Sales Grid'!$A$1:$N$67</definedName>
    <definedName name="_xlnm.Print_Area" localSheetId="12">'Cost Approach'!$A$1:$AC$5</definedName>
    <definedName name="_xlnm.Print_Area" localSheetId="13">'Cost Approach MB'!$A$1:$AK$285</definedName>
    <definedName name="_xlnm.Print_Area" localSheetId="14">'Basic Sales Comparison'!$A$1:$H$53</definedName>
    <definedName name="_xlnm.Print_Area" localSheetId="15">'Detailed Sales Comparison'!$A$1:$P$64</definedName>
    <definedName name="_xlnm.Print_Area" localSheetId="16">'Leases'!$B$2:$Q$52</definedName>
    <definedName name="_xlnm.Print_Area" localSheetId="19">'Income Approach'!$B$2:$F$66</definedName>
    <definedName name="_xlnm.Print_Area" localSheetId="20">'Reconciliation'!$A$1:$G$20</definedName>
    <definedName name="_xlnm._FilterDatabase" localSheetId="22" hidden="1">'Sales'!$A$1:$AH$941</definedName>
    <definedName name="_xlnm._FilterDatabase" localSheetId="23" hidden="1">'Income'!$A$1:$AK$1019</definedName>
    <definedName name="_xlnm._FilterDatabase" localSheetId="28" hidden="1">'Resource Directory'!$B$4:$H$296</definedName>
  </definedNames>
  <calcPr calcId="191029" fullCalcOnLoad="1" iterateDelta="0.0001"/>
</workbook>
</file>

<file path=xl/styles.xml><?xml version="1.0" encoding="utf-8"?>
<styleSheet xmlns="http://schemas.openxmlformats.org/spreadsheetml/2006/main">
  <numFmts count="31">
    <numFmt numFmtId="164" formatCode="mmmm\ d&quot;, &quot;yyyy"/>
    <numFmt numFmtId="165" formatCode="#,##0;\(#,##0\);\-"/>
    <numFmt numFmtId="166" formatCode="#,##0.0000"/>
    <numFmt numFmtId="167" formatCode="\$#,##0;&quot;($&quot;#,##0\);\-"/>
    <numFmt numFmtId="168" formatCode="\$#,##0.00;&quot;($&quot;#,##0.00\);\-"/>
    <numFmt numFmtId="169" formatCode="0.00%;\-0.00%;0.00%"/>
    <numFmt numFmtId="170" formatCode="0.0%;\-0.0%;0.0%"/>
    <numFmt numFmtId="171" formatCode="\$#,##0.00"/>
    <numFmt numFmtId="172" formatCode="\$#,##0"/>
    <numFmt numFmtId="173" formatCode="mm/dd/yyyy"/>
    <numFmt numFmtId="174" formatCode=";;;"/>
    <numFmt numFmtId="175" formatCode="\$#,##0.00_);&quot;($&quot;#,##0.00\)"/>
    <numFmt numFmtId="176" formatCode="\$#,##0_);&quot;($&quot;#,##0\)"/>
    <numFmt numFmtId="177" formatCode="mm/yy"/>
    <numFmt numFmtId="178" formatCode="0.0%"/>
    <numFmt numFmtId="179" formatCode="#,##0.00;\(#,##0.00\);\-"/>
    <numFmt numFmtId="180" formatCode="\$#,##0.00_);[Red]&quot;($&quot;#,##0.00\)"/>
    <numFmt numFmtId="181" formatCode="0.000"/>
    <numFmt numFmtId="182" formatCode="&quot;Page: &quot;0"/>
    <numFmt numFmtId="183" formatCode="yyyy\-mm\-dd\ h:mm:ss"/>
    <numFmt numFmtId="184" formatCode="_(\$* #,##0.00_);_(\$* \(#,##0.00\);_(\$* \-??_);_(@_)"/>
    <numFmt numFmtId="185" formatCode="m/d/yyyy;@"/>
    <numFmt numFmtId="186" formatCode="0.0"/>
    <numFmt numFmtId="187" formatCode="_(* #,##0_);_(* \(#,##0\);_(* \-??_);_(@_)"/>
    <numFmt numFmtId="188" formatCode="0.0_)"/>
    <numFmt numFmtId="189" formatCode="0.00_)"/>
    <numFmt numFmtId="190" formatCode="0.0000"/>
    <numFmt numFmtId="191" formatCode="#,##0.000"/>
    <numFmt numFmtId="192" formatCode="&quot;$&quot;#,##0.00"/>
    <numFmt numFmtId="193" formatCode="&quot;$&quot;#,##0"/>
    <numFmt numFmtId="194" formatCode="_(* #,##0.00_);_(* \(#,##0.00\);_(* \-??_);_(@_)"/>
  </numFmts>
  <fonts count="76">
    <font>
      <name val="Arial"/>
      <charset val="1"/>
      <sz val="9"/>
    </font>
    <font>
      <name val="Century Schoolbook"/>
      <charset val="1"/>
      <family val="1"/>
      <sz val="11"/>
    </font>
    <font>
      <name val="Calibri"/>
      <charset val="1"/>
      <family val="2"/>
      <color theme="1"/>
      <sz val="11"/>
    </font>
    <font>
      <name val="DUTCH"/>
      <charset val="1"/>
      <sz val="12"/>
    </font>
    <font>
      <name val="Times New Roman"/>
      <charset val="1"/>
      <family val="1"/>
      <sz val="13"/>
    </font>
    <font>
      <name val="Arial"/>
      <charset val="1"/>
      <family val="2"/>
      <sz val="10"/>
    </font>
    <font>
      <name val="Arial"/>
      <charset val="1"/>
      <family val="2"/>
      <sz val="9"/>
    </font>
    <font>
      <name val="Calibri"/>
      <charset val="1"/>
      <family val="2"/>
      <b val="1"/>
      <color theme="0"/>
      <sz val="10"/>
    </font>
    <font>
      <name val="Calibri"/>
      <charset val="1"/>
      <family val="2"/>
      <sz val="9"/>
    </font>
    <font>
      <name val="Arial"/>
      <charset val="1"/>
      <family val="2"/>
      <b val="1"/>
      <color rgb="FFFFFFFF"/>
      <sz val="11"/>
    </font>
    <font>
      <name val="Arial"/>
      <charset val="1"/>
      <family val="2"/>
      <i val="1"/>
      <color rgb="FF7F7F7F"/>
      <sz val="8"/>
    </font>
    <font>
      <name val="Arial"/>
      <charset val="1"/>
      <family val="2"/>
      <b val="1"/>
      <color rgb="FF000000"/>
      <sz val="9"/>
    </font>
    <font>
      <name val="Arial"/>
      <charset val="1"/>
      <family val="2"/>
      <color rgb="FF000000"/>
      <sz val="9"/>
    </font>
    <font>
      <name val="Arial"/>
      <charset val="1"/>
      <b val="1"/>
      <color rgb="FFFFFFFF"/>
      <sz val="10"/>
    </font>
    <font>
      <name val="Arial"/>
      <charset val="1"/>
      <b val="1"/>
      <color rgb="FF000000"/>
      <sz val="9"/>
    </font>
    <font>
      <name val="Arial"/>
      <charset val="1"/>
      <color rgb="FF000000"/>
      <sz val="9"/>
    </font>
    <font>
      <name val="Arial"/>
      <charset val="1"/>
      <b val="1"/>
      <color rgb="FFFFFFFF"/>
      <sz val="9"/>
    </font>
    <font>
      <name val="Arial"/>
      <charset val="1"/>
      <family val="2"/>
      <b val="1"/>
      <color rgb="FFFFFFFF"/>
      <sz val="12"/>
    </font>
    <font>
      <name val="Arial"/>
      <charset val="1"/>
      <family val="2"/>
      <i val="1"/>
      <color rgb="FF7F7F7F"/>
      <sz val="9"/>
    </font>
    <font>
      <name val="Arial"/>
      <charset val="1"/>
      <family val="2"/>
      <b val="1"/>
      <sz val="10"/>
    </font>
    <font>
      <name val="Arial"/>
      <charset val="1"/>
      <family val="2"/>
      <i val="1"/>
      <sz val="9"/>
    </font>
    <font>
      <name val="Arial"/>
      <charset val="1"/>
      <family val="2"/>
      <b val="1"/>
      <color rgb="FFFFFFFF"/>
      <sz val="9"/>
    </font>
    <font>
      <name val="Arial"/>
      <charset val="1"/>
      <family val="2"/>
      <b val="1"/>
      <sz val="9"/>
    </font>
    <font>
      <name val="Arial"/>
      <charset val="1"/>
      <family val="2"/>
      <b val="1"/>
      <i val="1"/>
      <sz val="9"/>
    </font>
    <font>
      <name val="Arial"/>
      <charset val="1"/>
      <family val="2"/>
      <sz val="11"/>
    </font>
    <font>
      <name val="Calibri"/>
      <charset val="1"/>
      <family val="2"/>
      <b val="1"/>
      <color rgb="FFFFFFFF"/>
      <sz val="15"/>
    </font>
    <font>
      <name val="Calibri"/>
      <charset val="1"/>
      <family val="2"/>
      <color rgb="FF333F50"/>
      <sz val="11"/>
    </font>
    <font>
      <name val="Calibri"/>
      <charset val="1"/>
      <family val="2"/>
      <b val="1"/>
      <color rgb="FF1F4E78"/>
      <sz val="10"/>
    </font>
    <font>
      <name val="Calibri"/>
      <charset val="1"/>
      <family val="2"/>
      <b val="1"/>
      <sz val="12"/>
    </font>
    <font>
      <name val="Arial"/>
      <charset val="1"/>
      <family val="2"/>
      <sz val="14"/>
    </font>
    <font>
      <name val="Calibri"/>
      <charset val="1"/>
      <family val="2"/>
      <b val="1"/>
      <color rgb="FFFFFFFF"/>
      <sz val="11"/>
    </font>
    <font>
      <name val="Calibri"/>
      <charset val="1"/>
      <family val="2"/>
      <sz val="10"/>
    </font>
    <font>
      <name val="Arial"/>
      <charset val="1"/>
      <family val="2"/>
      <b val="1"/>
      <sz val="14"/>
    </font>
    <font>
      <name val="Calibri"/>
      <charset val="1"/>
      <family val="2"/>
      <b val="1"/>
      <color rgb="FF1F4E78"/>
      <sz val="9"/>
    </font>
    <font>
      <name val="Calibri"/>
      <charset val="1"/>
      <family val="2"/>
      <b val="1"/>
      <color rgb="FF375623"/>
      <sz val="10"/>
    </font>
    <font>
      <name val="Arial"/>
      <charset val="1"/>
      <family val="2"/>
      <color rgb="FF000000"/>
      <sz val="10"/>
    </font>
    <font>
      <name val="Times New Roman"/>
      <charset val="1"/>
      <family val="1"/>
      <color rgb="FF0000FF"/>
      <sz val="13"/>
    </font>
    <font>
      <name val="Times New Roman"/>
      <charset val="1"/>
      <family val="1"/>
      <b val="1"/>
      <sz val="13"/>
    </font>
    <font>
      <name val="Calibri"/>
      <charset val="1"/>
      <family val="2"/>
      <b val="1"/>
      <color rgb="FF833C00"/>
      <sz val="9"/>
    </font>
    <font>
      <name val="Arial"/>
      <charset val="1"/>
      <family val="2"/>
      <b val="1"/>
      <color rgb="FFFFFFFF"/>
      <sz val="10"/>
    </font>
    <font>
      <name val="Arial"/>
      <charset val="1"/>
      <family val="2"/>
      <b val="1"/>
      <color rgb="FFFFFFFF"/>
      <sz val="8"/>
    </font>
    <font>
      <name val="Arial"/>
      <charset val="1"/>
      <family val="2"/>
      <b val="1"/>
      <sz val="13"/>
    </font>
    <font>
      <name val="Arial"/>
      <charset val="1"/>
      <family val="2"/>
      <i val="1"/>
      <color rgb="FF666666"/>
      <sz val="8"/>
    </font>
    <font>
      <name val="Arial"/>
      <charset val="1"/>
      <family val="2"/>
      <b val="1"/>
      <sz val="12"/>
    </font>
    <font>
      <name val="Arial"/>
      <charset val="1"/>
      <family val="2"/>
      <b val="1"/>
      <color rgb="FF203864"/>
      <sz val="14"/>
    </font>
    <font>
      <name val="Arial"/>
      <charset val="1"/>
      <family val="2"/>
      <b val="1"/>
      <i val="1"/>
      <color rgb="FFD97706"/>
      <sz val="9"/>
    </font>
    <font>
      <name val="Calibri"/>
      <charset val="1"/>
      <family val="2"/>
      <color rgb="FF0000FF"/>
      <sz val="9"/>
    </font>
    <font>
      <name val="Calibri"/>
      <charset val="1"/>
      <family val="2"/>
      <sz val="11"/>
    </font>
    <font>
      <name val="Calibri"/>
      <charset val="1"/>
      <family val="2"/>
      <b val="1"/>
      <i val="1"/>
      <sz val="11"/>
    </font>
    <font>
      <name val="Arial"/>
      <charset val="1"/>
      <b val="1"/>
      <color rgb="FFFFFFFF"/>
      <sz val="11"/>
    </font>
    <font>
      <name val="Arial"/>
      <charset val="1"/>
      <i val="1"/>
      <color rgb="FF7F7F7F"/>
      <sz val="8"/>
    </font>
    <font>
      <name val="Arial"/>
      <charset val="1"/>
      <b val="1"/>
      <color rgb="FFFFFFFF"/>
      <sz val="8"/>
    </font>
    <font>
      <name val="Arial"/>
      <charset val="1"/>
      <i val="1"/>
      <color rgb="FF595959"/>
      <sz val="8"/>
    </font>
    <font>
      <name val="Arial"/>
      <charset val="1"/>
      <color rgb="FF000000"/>
      <sz val="8"/>
    </font>
    <font>
      <name val="Arial"/>
      <charset val="1"/>
      <family val="2"/>
      <color theme="1"/>
      <sz val="10"/>
    </font>
    <font>
      <name val="Arial"/>
      <charset val="1"/>
      <family val="2"/>
      <color rgb="FFFF0000"/>
      <sz val="10"/>
    </font>
    <font>
      <name val="Arial"/>
      <charset val="1"/>
      <family val="2"/>
      <color rgb="FF333333"/>
      <sz val="10"/>
    </font>
    <font>
      <name val="Arial"/>
      <charset val="1"/>
      <family val="2"/>
      <sz val="7"/>
    </font>
    <font>
      <name val="SWISS"/>
      <charset val="1"/>
      <sz val="9"/>
    </font>
    <font>
      <name val="Arial"/>
      <charset val="1"/>
      <family val="2"/>
      <sz val="8"/>
    </font>
    <font>
      <name val="Arial"/>
      <charset val="1"/>
      <family val="2"/>
      <color rgb="FFFF0000"/>
      <sz val="9"/>
    </font>
    <font>
      <name val="Arial"/>
      <charset val="1"/>
      <family val="2"/>
      <color rgb="FF0563C1"/>
      <sz val="9"/>
      <u val="single"/>
    </font>
    <font>
      <name val="Arial"/>
      <charset val="1"/>
      <family val="2"/>
      <i val="1"/>
      <sz val="8"/>
    </font>
    <font>
      <name val="Aptos Narrow"/>
      <charset val="1"/>
      <family val="2"/>
      <b val="1"/>
      <color rgb="FFFFFFFF"/>
      <sz val="13"/>
    </font>
    <font>
      <name val="Aptos Narrow"/>
      <charset val="1"/>
      <family val="2"/>
      <i val="1"/>
      <color rgb="FFFFFFFF"/>
      <sz val="10"/>
    </font>
    <font>
      <name val="Aptos Narrow"/>
      <charset val="1"/>
      <family val="2"/>
      <b val="1"/>
      <color rgb="FFFFFFFF"/>
      <sz val="10"/>
    </font>
    <font>
      <name val="Calibri"/>
      <charset val="1"/>
      <family val="2"/>
      <b val="1"/>
      <sz val="10"/>
    </font>
    <font>
      <name val="Aptos Narrow"/>
      <charset val="1"/>
      <family val="2"/>
      <sz val="10"/>
    </font>
    <font>
      <name val="Calibri"/>
      <charset val="1"/>
      <family val="2"/>
      <b val="1"/>
      <color rgb="FFFFFFFF"/>
      <sz val="13"/>
    </font>
    <font>
      <name val="Aptos Narrow"/>
      <charset val="1"/>
      <family val="2"/>
      <b val="1"/>
      <sz val="10"/>
    </font>
    <font>
      <name val="Calibri"/>
      <charset val="1"/>
      <family val="2"/>
      <i val="1"/>
      <sz val="9"/>
    </font>
    <font>
      <name val="Calibri"/>
      <charset val="1"/>
      <family val="2"/>
      <b val="1"/>
      <sz val="9"/>
    </font>
    <font>
      <name val="Calibri"/>
      <b val="1"/>
      <sz val="11"/>
    </font>
    <font>
      <name val="Arial"/>
      <family val="2"/>
      <b val="1"/>
      <sz val="9"/>
    </font>
    <font>
      <name val="Arial"/>
      <family val="2"/>
      <sz val="9"/>
    </font>
    <font>
      <name val="Arial"/>
      <family val="2"/>
      <color rgb="FF000000"/>
      <sz val="9"/>
    </font>
  </fonts>
  <fills count="26">
    <fill>
      <patternFill/>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
      <patternFill patternType="solid">
        <fgColor rgb="FFFFFF00"/>
        <bgColor indexed="64"/>
      </patternFill>
    </fill>
    <fill>
      <patternFill patternType="solid">
        <fgColor theme="6"/>
        <bgColor indexed="64"/>
      </patternFill>
    </fill>
  </fills>
  <borders count="42">
    <border>
      <left/>
      <right/>
      <top/>
      <bottom/>
      <diagonal/>
    </border>
    <border>
      <left/>
      <right/>
      <top/>
      <bottom style="thin">
        <color rgb="FFD0D0D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top/>
      <bottom style="thick">
        <color auto="1"/>
      </bottom>
      <diagonal/>
    </border>
    <border>
      <left/>
      <right/>
      <top/>
      <bottom style="thin">
        <color rgb="FFD9D9D9"/>
      </bottom>
      <diagonal/>
    </border>
    <border>
      <left style="thin">
        <color auto="1"/>
      </left>
      <right style="thin">
        <color auto="1"/>
      </right>
      <top style="thin">
        <color auto="1"/>
      </top>
      <bottom style="thin">
        <color auto="1"/>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style="thin">
        <color auto="1"/>
      </left>
      <right style="thin">
        <color auto="1"/>
      </right>
      <top/>
      <bottom/>
      <diagonal/>
    </border>
    <border>
      <left/>
      <right/>
      <top/>
      <bottom style="medium">
        <color indexed="64"/>
      </bottom>
      <diagonal/>
    </border>
    <border>
      <left style="thin">
        <color rgb="FFB7C9DB"/>
      </left>
      <right/>
      <top/>
      <bottom/>
      <diagonal/>
    </border>
    <border>
      <left/>
      <right/>
      <top style="thin">
        <color rgb="FFB7C9DB"/>
      </top>
      <bottom/>
      <diagonal/>
    </border>
    <border>
      <left/>
      <right style="thin">
        <color rgb="FFB7C9DB"/>
      </right>
      <top style="thin">
        <color rgb="FFB7C9DB"/>
      </top>
      <bottom/>
      <diagonal/>
    </border>
    <border>
      <left/>
      <right/>
      <top style="thin">
        <color rgb="FF595959"/>
      </top>
      <bottom/>
      <diagonal/>
    </border>
  </borders>
  <cellStyleXfs count="6">
    <xf numFmtId="0" fontId="0" fillId="0" borderId="0"/>
    <xf numFmtId="194" fontId="1" fillId="0" borderId="0"/>
    <xf numFmtId="0" fontId="2" fillId="0" borderId="0"/>
    <xf numFmtId="0" fontId="3" fillId="0" borderId="0"/>
    <xf numFmtId="0" fontId="7" fillId="2" borderId="0" applyAlignment="1">
      <alignment horizontal="center" vertical="center"/>
    </xf>
    <xf numFmtId="0" fontId="8" fillId="0" borderId="0" applyAlignment="1">
      <alignment horizontal="left" vertical="top" wrapText="1"/>
    </xf>
  </cellStyleXfs>
  <cellXfs count="667">
    <xf numFmtId="0" fontId="0" fillId="0" borderId="0" pivotButton="0" quotePrefix="0" xfId="0"/>
    <xf numFmtId="0" fontId="9" fillId="3" borderId="0" applyAlignment="1" pivotButton="0" quotePrefix="0" xfId="0">
      <alignment horizontal="left" vertical="center"/>
    </xf>
    <xf numFmtId="0" fontId="11" fillId="4" borderId="1" applyAlignment="1" pivotButton="0" quotePrefix="0" xfId="0">
      <alignment horizontal="left" vertical="center"/>
    </xf>
    <xf numFmtId="0" fontId="11" fillId="0" borderId="1" applyAlignment="1" pivotButton="0" quotePrefix="0" xfId="0">
      <alignment horizontal="left" vertical="center"/>
    </xf>
    <xf numFmtId="1" fontId="12" fillId="5" borderId="1" applyAlignment="1" pivotButton="0" quotePrefix="0" xfId="0">
      <alignment horizontal="left" vertical="center"/>
    </xf>
    <xf numFmtId="0" fontId="10" fillId="0" borderId="1" applyAlignment="1" pivotButton="0" quotePrefix="0" xfId="0">
      <alignment horizontal="left" vertical="center"/>
    </xf>
    <xf numFmtId="0" fontId="12" fillId="6" borderId="1" applyAlignment="1" pivotButton="0" quotePrefix="0" xfId="0">
      <alignment horizontal="left" vertical="center"/>
    </xf>
    <xf numFmtId="49" fontId="12" fillId="6" borderId="1" applyAlignment="1" pivotButton="0" quotePrefix="0" xfId="0">
      <alignment horizontal="left" vertical="center"/>
    </xf>
    <xf numFmtId="1" fontId="12" fillId="6" borderId="1" applyAlignment="1" pivotButton="0" quotePrefix="0" xfId="0">
      <alignment horizontal="left" vertical="center"/>
    </xf>
    <xf numFmtId="164" fontId="12" fillId="6" borderId="1" applyAlignment="1" pivotButton="0" quotePrefix="0" xfId="0">
      <alignment horizontal="left" vertical="center"/>
    </xf>
    <xf numFmtId="0" fontId="12" fillId="5" borderId="1" applyAlignment="1" pivotButton="0" quotePrefix="0" xfId="0">
      <alignment horizontal="left" vertical="center"/>
    </xf>
    <xf numFmtId="165" fontId="12" fillId="5" borderId="1" applyAlignment="1" pivotButton="0" quotePrefix="0" xfId="0">
      <alignment horizontal="left" vertical="center"/>
    </xf>
    <xf numFmtId="166" fontId="12" fillId="5" borderId="1" applyAlignment="1" pivotButton="0" quotePrefix="0" xfId="0">
      <alignment horizontal="left" vertical="center"/>
    </xf>
    <xf numFmtId="2" fontId="12" fillId="5" borderId="1" applyAlignment="1" pivotButton="0" quotePrefix="0" xfId="0">
      <alignment horizontal="left" vertical="center"/>
    </xf>
    <xf numFmtId="167" fontId="12" fillId="6" borderId="1" applyAlignment="1" pivotButton="0" quotePrefix="0" xfId="0">
      <alignment horizontal="left" vertical="center"/>
    </xf>
    <xf numFmtId="167" fontId="12" fillId="5" borderId="1" applyAlignment="1" pivotButton="0" quotePrefix="0" xfId="0">
      <alignment horizontal="left" vertical="center"/>
    </xf>
    <xf numFmtId="168" fontId="12" fillId="5" borderId="1" applyAlignment="1" pivotButton="0" quotePrefix="0" xfId="0">
      <alignment horizontal="left" vertical="center"/>
    </xf>
    <xf numFmtId="169" fontId="12" fillId="5" borderId="1" applyAlignment="1" pivotButton="0" quotePrefix="0" xfId="0">
      <alignment horizontal="left" vertical="center"/>
    </xf>
    <xf numFmtId="0" fontId="14" fillId="0" borderId="1" applyAlignment="1" pivotButton="0" quotePrefix="0" xfId="0">
      <alignment horizontal="left" vertical="center" wrapText="1"/>
    </xf>
    <xf numFmtId="49" fontId="15" fillId="5" borderId="1" applyAlignment="1" pivotButton="0" quotePrefix="0" xfId="0">
      <alignment horizontal="left" vertical="center"/>
    </xf>
    <xf numFmtId="0" fontId="15" fillId="5" borderId="1" applyAlignment="1" pivotButton="0" quotePrefix="0" xfId="0">
      <alignment horizontal="left" vertical="center"/>
    </xf>
    <xf numFmtId="164" fontId="15" fillId="5" borderId="1" applyAlignment="1" pivotButton="0" quotePrefix="0" xfId="0">
      <alignment horizontal="left" vertical="center"/>
    </xf>
    <xf numFmtId="0" fontId="14" fillId="8" borderId="0" applyAlignment="1" pivotButton="0" quotePrefix="0" xfId="0">
      <alignment horizontal="left" vertical="center" wrapText="1"/>
    </xf>
    <xf numFmtId="0" fontId="14" fillId="8" borderId="0" applyAlignment="1" pivotButton="0" quotePrefix="0" xfId="0">
      <alignment horizontal="left" vertical="center"/>
    </xf>
    <xf numFmtId="165" fontId="15" fillId="5" borderId="1" applyAlignment="1" pivotButton="0" quotePrefix="0" xfId="0">
      <alignment horizontal="right" vertical="center"/>
    </xf>
    <xf numFmtId="1" fontId="15" fillId="5" borderId="1" applyAlignment="1" pivotButton="0" quotePrefix="0" xfId="0">
      <alignment horizontal="right" vertical="center"/>
    </xf>
    <xf numFmtId="0" fontId="15" fillId="6" borderId="1" applyAlignment="1" pivotButton="0" quotePrefix="0" xfId="0">
      <alignment horizontal="left" vertical="center"/>
    </xf>
    <xf numFmtId="170" fontId="15" fillId="5" borderId="1" applyAlignment="1" pivotButton="0" quotePrefix="0" xfId="0">
      <alignment horizontal="right" vertical="center"/>
    </xf>
    <xf numFmtId="0" fontId="16" fillId="9" borderId="0" applyAlignment="1" pivotButton="0" quotePrefix="0" xfId="0">
      <alignment horizontal="center" vertical="center"/>
    </xf>
    <xf numFmtId="0" fontId="14" fillId="0" borderId="2" applyAlignment="1" pivotButton="0" quotePrefix="0" xfId="0">
      <alignment horizontal="left" vertical="center"/>
    </xf>
    <xf numFmtId="167" fontId="14" fillId="10" borderId="2" applyAlignment="1" pivotButton="0" quotePrefix="0" xfId="0">
      <alignment horizontal="right" vertical="center"/>
    </xf>
    <xf numFmtId="168" fontId="14" fillId="10" borderId="2" applyAlignment="1" pivotButton="0" quotePrefix="0" xfId="0">
      <alignment horizontal="right" vertical="center"/>
    </xf>
    <xf numFmtId="0" fontId="15" fillId="6" borderId="1" applyAlignment="1" pivotButton="0" quotePrefix="0" xfId="0">
      <alignment horizontal="left" vertical="center" wrapText="1"/>
    </xf>
    <xf numFmtId="165" fontId="15" fillId="5" borderId="1" applyAlignment="1" pivotButton="0" quotePrefix="0" xfId="0">
      <alignment horizontal="left" vertical="center"/>
    </xf>
    <xf numFmtId="166" fontId="15" fillId="5" borderId="1" applyAlignment="1" pivotButton="0" quotePrefix="0" xfId="0">
      <alignment horizontal="right" vertical="center"/>
    </xf>
    <xf numFmtId="165" fontId="15" fillId="6" borderId="1" applyAlignment="1" pivotButton="0" quotePrefix="0" xfId="0">
      <alignment horizontal="left" vertical="center"/>
    </xf>
    <xf numFmtId="165" fontId="14" fillId="10" borderId="2" applyAlignment="1" pivotButton="0" quotePrefix="0" xfId="0">
      <alignment horizontal="right" vertical="center"/>
    </xf>
    <xf numFmtId="166" fontId="14" fillId="10" borderId="2" applyAlignment="1" pivotButton="0" quotePrefix="0" xfId="0">
      <alignment horizontal="right" vertical="center"/>
    </xf>
    <xf numFmtId="167" fontId="15" fillId="5" borderId="1" applyAlignment="1" pivotButton="0" quotePrefix="0" xfId="0">
      <alignment horizontal="right" vertical="center"/>
    </xf>
    <xf numFmtId="167" fontId="15" fillId="6" borderId="1" applyAlignment="1" pivotButton="0" quotePrefix="0" xfId="0">
      <alignment horizontal="right" vertical="center"/>
    </xf>
    <xf numFmtId="168" fontId="15" fillId="5" borderId="1" applyAlignment="1" pivotButton="0" quotePrefix="0" xfId="0">
      <alignment horizontal="right" vertical="center"/>
    </xf>
    <xf numFmtId="0" fontId="17" fillId="3" borderId="0" pivotButton="0" quotePrefix="0" xfId="0"/>
    <xf numFmtId="0" fontId="18" fillId="0" borderId="0" applyAlignment="1" pivotButton="0" quotePrefix="0" xfId="0">
      <alignment vertical="top" wrapText="1"/>
    </xf>
    <xf numFmtId="0" fontId="19" fillId="0" borderId="0" pivotButton="0" quotePrefix="0" xfId="0"/>
    <xf numFmtId="0" fontId="0" fillId="6" borderId="3" applyAlignment="1" pivotButton="0" quotePrefix="0" xfId="0">
      <alignment horizontal="left"/>
    </xf>
    <xf numFmtId="0" fontId="0" fillId="6" borderId="0" applyAlignment="1" pivotButton="0" quotePrefix="0" xfId="0">
      <alignment horizontal="left"/>
    </xf>
    <xf numFmtId="3" fontId="0" fillId="6" borderId="3" applyAlignment="1" pivotButton="0" quotePrefix="0" xfId="0">
      <alignment horizontal="left"/>
    </xf>
    <xf numFmtId="9" fontId="0" fillId="6" borderId="3" applyAlignment="1" pivotButton="0" quotePrefix="0" xfId="0">
      <alignment horizontal="left"/>
    </xf>
    <xf numFmtId="0" fontId="12" fillId="5" borderId="3" applyAlignment="1" pivotButton="0" quotePrefix="0" xfId="0">
      <alignment horizontal="left" vertical="center"/>
    </xf>
    <xf numFmtId="0" fontId="0" fillId="6" borderId="3" pivotButton="0" quotePrefix="0" xfId="0"/>
    <xf numFmtId="1" fontId="12" fillId="5" borderId="3" applyAlignment="1" pivotButton="0" quotePrefix="0" xfId="0">
      <alignment horizontal="left" vertical="center"/>
    </xf>
    <xf numFmtId="1" fontId="20" fillId="5" borderId="3" pivotButton="0" quotePrefix="0" xfId="0"/>
    <xf numFmtId="3" fontId="0" fillId="6" borderId="3" pivotButton="0" quotePrefix="0" xfId="0"/>
    <xf numFmtId="1" fontId="20" fillId="5" borderId="3" applyAlignment="1" pivotButton="0" quotePrefix="0" xfId="0">
      <alignment horizontal="left"/>
    </xf>
    <xf numFmtId="0" fontId="21" fillId="3" borderId="0" pivotButton="0" quotePrefix="0" xfId="0"/>
    <xf numFmtId="0" fontId="0" fillId="3" borderId="0" pivotButton="0" quotePrefix="0" xfId="0"/>
    <xf numFmtId="0" fontId="22" fillId="4" borderId="0" pivotButton="0" quotePrefix="0" xfId="0"/>
    <xf numFmtId="3" fontId="0" fillId="0" borderId="0" pivotButton="0" quotePrefix="0" xfId="0"/>
    <xf numFmtId="1" fontId="0" fillId="0" borderId="0" pivotButton="0" quotePrefix="0" xfId="0"/>
    <xf numFmtId="171" fontId="0" fillId="0" borderId="0" pivotButton="0" quotePrefix="0" xfId="0"/>
    <xf numFmtId="172" fontId="0" fillId="0" borderId="0" pivotButton="0" quotePrefix="0" xfId="0"/>
    <xf numFmtId="173" fontId="0" fillId="0" borderId="0" pivotButton="0" quotePrefix="0" xfId="0"/>
    <xf numFmtId="0" fontId="23" fillId="0" borderId="0" pivotButton="0" quotePrefix="0" xfId="0"/>
    <xf numFmtId="0" fontId="22" fillId="0" borderId="0" pivotButton="0" quotePrefix="0" xfId="0"/>
    <xf numFmtId="172" fontId="0" fillId="11" borderId="0" pivotButton="0" quotePrefix="0" xfId="0"/>
    <xf numFmtId="171" fontId="0" fillId="11" borderId="0" pivotButton="0" quotePrefix="0" xfId="0"/>
    <xf numFmtId="0" fontId="9" fillId="3" borderId="0" pivotButton="0" quotePrefix="0" xfId="0"/>
    <xf numFmtId="0" fontId="24" fillId="0" borderId="0" pivotButton="0" quotePrefix="0" xfId="0"/>
    <xf numFmtId="0" fontId="25" fillId="12" borderId="0" applyAlignment="1" pivotButton="0" quotePrefix="0" xfId="0">
      <alignment horizontal="left" vertical="center"/>
    </xf>
    <xf numFmtId="0" fontId="26" fillId="0" borderId="0" applyAlignment="1" pivotButton="0" quotePrefix="0" xfId="0">
      <alignment horizontal="left" vertical="top" wrapText="1"/>
    </xf>
    <xf numFmtId="0" fontId="26" fillId="0" borderId="0" pivotButton="0" quotePrefix="0" xfId="0"/>
    <xf numFmtId="0" fontId="26" fillId="0" borderId="0" applyAlignment="1" pivotButton="0" quotePrefix="0" xfId="0">
      <alignment horizontal="left"/>
    </xf>
    <xf numFmtId="0" fontId="24" fillId="0" borderId="0" applyAlignment="1" pivotButton="0" quotePrefix="0" xfId="0">
      <alignment horizontal="center" wrapText="1"/>
    </xf>
    <xf numFmtId="0" fontId="26" fillId="0" borderId="0" applyAlignment="1" pivotButton="0" quotePrefix="0" xfId="0">
      <alignment horizontal="left" indent="1"/>
    </xf>
    <xf numFmtId="0" fontId="27" fillId="0" borderId="3" applyAlignment="1" pivotButton="0" quotePrefix="0" xfId="0">
      <alignment vertical="top" wrapText="1"/>
    </xf>
    <xf numFmtId="0" fontId="28" fillId="13" borderId="4" pivotButton="0" quotePrefix="0" xfId="0"/>
    <xf numFmtId="0" fontId="29" fillId="0" borderId="0" pivotButton="0" quotePrefix="0" xfId="0"/>
    <xf numFmtId="174" fontId="0" fillId="0" borderId="0" pivotButton="0" quotePrefix="0" xfId="0"/>
    <xf numFmtId="0" fontId="30" fillId="12" borderId="0" applyAlignment="1" pivotButton="0" quotePrefix="0" xfId="0">
      <alignment horizontal="left" vertical="center"/>
    </xf>
    <xf numFmtId="0" fontId="31" fillId="13" borderId="4" applyAlignment="1" pivotButton="0" quotePrefix="0" xfId="0">
      <alignment horizontal="left" vertical="center"/>
    </xf>
    <xf numFmtId="0" fontId="30" fillId="12" borderId="0" applyAlignment="1" applyProtection="1" pivotButton="0" quotePrefix="0" xfId="0">
      <alignment horizontal="left" vertical="center"/>
      <protection locked="0" hidden="0"/>
    </xf>
    <xf numFmtId="0" fontId="32" fillId="0" borderId="0" pivotButton="0" quotePrefix="0" xfId="0"/>
    <xf numFmtId="0" fontId="32" fillId="0" borderId="0" applyProtection="1" pivotButton="0" quotePrefix="0" xfId="0">
      <protection locked="0" hidden="0"/>
    </xf>
    <xf numFmtId="0" fontId="30" fillId="14" borderId="5" applyAlignment="1" pivotButton="0" quotePrefix="0" xfId="0">
      <alignment horizontal="left" vertical="center"/>
    </xf>
    <xf numFmtId="0" fontId="30" fillId="14" borderId="6" applyAlignment="1" pivotButton="0" quotePrefix="0" xfId="0">
      <alignment horizontal="left" vertical="center"/>
    </xf>
    <xf numFmtId="0" fontId="30" fillId="14" borderId="7" applyAlignment="1" pivotButton="0" quotePrefix="0" xfId="0">
      <alignment horizontal="left" vertical="center"/>
    </xf>
    <xf numFmtId="0" fontId="0" fillId="4" borderId="8" pivotButton="0" quotePrefix="0" xfId="0"/>
    <xf numFmtId="0" fontId="33" fillId="15" borderId="4" applyAlignment="1" pivotButton="0" quotePrefix="0" xfId="0">
      <alignment horizontal="center" vertical="center" wrapText="1"/>
    </xf>
    <xf numFmtId="0" fontId="0" fillId="0" borderId="8" pivotButton="0" quotePrefix="0" xfId="0"/>
    <xf numFmtId="0" fontId="0" fillId="0" borderId="9" pivotButton="0" quotePrefix="0" xfId="0"/>
    <xf numFmtId="49" fontId="31" fillId="13" borderId="4" applyAlignment="1" applyProtection="1" pivotButton="0" quotePrefix="0" xfId="0">
      <alignment horizontal="left" vertical="center"/>
      <protection locked="0" hidden="0"/>
    </xf>
    <xf numFmtId="0" fontId="31" fillId="13" borderId="4" applyAlignment="1" applyProtection="1" pivotButton="0" quotePrefix="0" xfId="0">
      <alignment horizontal="right" vertical="center"/>
      <protection locked="0" hidden="0"/>
    </xf>
    <xf numFmtId="37" fontId="31" fillId="5" borderId="4" applyAlignment="1" applyProtection="1" pivotButton="0" quotePrefix="0" xfId="0">
      <alignment horizontal="right" vertical="center"/>
      <protection locked="0" hidden="0"/>
    </xf>
    <xf numFmtId="0" fontId="31" fillId="5" borderId="4" applyAlignment="1" applyProtection="1" pivotButton="0" quotePrefix="0" xfId="0">
      <alignment horizontal="center" vertical="center"/>
      <protection locked="0" hidden="0"/>
    </xf>
    <xf numFmtId="175" fontId="31" fillId="13" borderId="4" applyAlignment="1" applyProtection="1" pivotButton="0" quotePrefix="0" xfId="0">
      <alignment horizontal="right" vertical="center"/>
      <protection locked="0" hidden="0"/>
    </xf>
    <xf numFmtId="0" fontId="31" fillId="13" borderId="4" applyAlignment="1" pivotButton="0" quotePrefix="0" xfId="0">
      <alignment horizontal="right" vertical="center"/>
    </xf>
    <xf numFmtId="49" fontId="31" fillId="5" borderId="4" applyAlignment="1" applyProtection="1" pivotButton="0" quotePrefix="0" xfId="0">
      <alignment horizontal="left" vertical="center"/>
      <protection locked="0" hidden="0"/>
    </xf>
    <xf numFmtId="0" fontId="31" fillId="5" borderId="4" applyAlignment="1" applyProtection="1" pivotButton="0" quotePrefix="0" xfId="0">
      <alignment horizontal="right" vertical="center"/>
      <protection locked="0" hidden="0"/>
    </xf>
    <xf numFmtId="37" fontId="31" fillId="5" borderId="4" applyAlignment="1" pivotButton="0" quotePrefix="0" xfId="0">
      <alignment horizontal="right" vertical="center"/>
    </xf>
    <xf numFmtId="9" fontId="31" fillId="13" borderId="4" applyAlignment="1" applyProtection="1" pivotButton="0" quotePrefix="0" xfId="0">
      <alignment horizontal="right" vertical="center"/>
      <protection locked="0" hidden="0"/>
    </xf>
    <xf numFmtId="49" fontId="31" fillId="13" borderId="4" applyAlignment="1" applyProtection="1" pivotButton="0" quotePrefix="0" xfId="0">
      <alignment horizontal="right" vertical="center"/>
      <protection locked="0" hidden="0"/>
    </xf>
    <xf numFmtId="175" fontId="31" fillId="0" borderId="4" applyAlignment="1" pivotButton="0" quotePrefix="0" xfId="0">
      <alignment horizontal="right" vertical="center"/>
    </xf>
    <xf numFmtId="0" fontId="0" fillId="0" borderId="10" pivotButton="0" quotePrefix="0" xfId="0"/>
    <xf numFmtId="0" fontId="31" fillId="5" borderId="4" applyAlignment="1" applyProtection="1" pivotButton="0" quotePrefix="0" xfId="0">
      <alignment horizontal="left" vertical="center"/>
      <protection locked="0" hidden="0"/>
    </xf>
    <xf numFmtId="3" fontId="31" fillId="5" borderId="4" applyAlignment="1" applyProtection="1" pivotButton="0" quotePrefix="0" xfId="0">
      <alignment horizontal="right" vertical="center"/>
      <protection locked="0" hidden="0"/>
    </xf>
    <xf numFmtId="0" fontId="31" fillId="13" borderId="4" applyAlignment="1" applyProtection="1" pivotButton="0" quotePrefix="0" xfId="0">
      <alignment horizontal="center" vertical="center"/>
      <protection locked="0" hidden="0"/>
    </xf>
    <xf numFmtId="176" fontId="31" fillId="13" borderId="4" applyAlignment="1" applyProtection="1" pivotButton="0" quotePrefix="0" xfId="0">
      <alignment horizontal="right" vertical="center"/>
      <protection locked="0" hidden="0"/>
    </xf>
    <xf numFmtId="0" fontId="0" fillId="0" borderId="0" applyAlignment="1" pivotButton="0" quotePrefix="0" xfId="0">
      <alignment horizontal="right"/>
    </xf>
    <xf numFmtId="0" fontId="31" fillId="0" borderId="4" applyAlignment="1" pivotButton="0" quotePrefix="0" xfId="0">
      <alignment horizontal="left" vertical="center"/>
    </xf>
    <xf numFmtId="0" fontId="31" fillId="0" borderId="4" applyAlignment="1" pivotButton="0" quotePrefix="0" xfId="0">
      <alignment horizontal="right" vertical="center"/>
    </xf>
    <xf numFmtId="37" fontId="31" fillId="0" borderId="4" applyAlignment="1" pivotButton="0" quotePrefix="0" xfId="0">
      <alignment horizontal="right" vertical="center"/>
    </xf>
    <xf numFmtId="0" fontId="31" fillId="0" borderId="4" applyAlignment="1" pivotButton="0" quotePrefix="0" xfId="0">
      <alignment horizontal="center" vertical="center"/>
    </xf>
    <xf numFmtId="177" fontId="31" fillId="0" borderId="4" applyAlignment="1" pivotButton="0" quotePrefix="0" xfId="0">
      <alignment horizontal="right" vertical="center"/>
    </xf>
    <xf numFmtId="0" fontId="22" fillId="6" borderId="0" applyAlignment="1" pivotButton="0" quotePrefix="0" xfId="0">
      <alignment horizontal="center"/>
    </xf>
    <xf numFmtId="0" fontId="27" fillId="13" borderId="4" applyAlignment="1" pivotButton="0" quotePrefix="0" xfId="0">
      <alignment horizontal="left" vertical="center"/>
    </xf>
    <xf numFmtId="176" fontId="31" fillId="0" borderId="4" applyAlignment="1" pivotButton="0" quotePrefix="0" xfId="0">
      <alignment horizontal="right" vertical="center"/>
    </xf>
    <xf numFmtId="178" fontId="31" fillId="13" borderId="4" applyAlignment="1" applyProtection="1" pivotButton="0" quotePrefix="0" xfId="0">
      <alignment horizontal="right" vertical="center"/>
      <protection locked="0" hidden="0"/>
    </xf>
    <xf numFmtId="175" fontId="34" fillId="16" borderId="4" applyAlignment="1" pivotButton="0" quotePrefix="0" xfId="0">
      <alignment horizontal="right" vertical="center"/>
    </xf>
    <xf numFmtId="176" fontId="34" fillId="16" borderId="4" applyAlignment="1" pivotButton="0" quotePrefix="0" xfId="0">
      <alignment horizontal="right" vertical="center"/>
    </xf>
    <xf numFmtId="0" fontId="31" fillId="17" borderId="4" applyAlignment="1" pivotButton="0" quotePrefix="0" xfId="0">
      <alignment horizontal="left" vertical="center"/>
    </xf>
    <xf numFmtId="0" fontId="31" fillId="17" borderId="4" applyAlignment="1" pivotButton="0" quotePrefix="0" xfId="0">
      <alignment horizontal="right" vertical="center"/>
    </xf>
    <xf numFmtId="37" fontId="31" fillId="17" borderId="4" applyAlignment="1" pivotButton="0" quotePrefix="0" xfId="0">
      <alignment horizontal="right" vertical="center"/>
    </xf>
    <xf numFmtId="0" fontId="31" fillId="17" borderId="4" applyAlignment="1" pivotButton="0" quotePrefix="0" xfId="0">
      <alignment horizontal="center" vertical="center"/>
    </xf>
    <xf numFmtId="177" fontId="31" fillId="17" borderId="4" applyAlignment="1" pivotButton="0" quotePrefix="0" xfId="0">
      <alignment horizontal="right" vertical="center"/>
    </xf>
    <xf numFmtId="175" fontId="31" fillId="17" borderId="4" applyAlignment="1" pivotButton="0" quotePrefix="0" xfId="0">
      <alignment horizontal="right" vertical="center"/>
    </xf>
    <xf numFmtId="176" fontId="31" fillId="17" borderId="4" applyAlignment="1" pivotButton="0" quotePrefix="0" xfId="0">
      <alignment horizontal="right" vertical="center"/>
    </xf>
    <xf numFmtId="0" fontId="30" fillId="14" borderId="11" applyAlignment="1" pivotButton="0" quotePrefix="0" xfId="0">
      <alignment horizontal="left" vertical="center"/>
    </xf>
    <xf numFmtId="0" fontId="30" fillId="14" borderId="12" applyAlignment="1" pivotButton="0" quotePrefix="0" xfId="0">
      <alignment horizontal="left" vertical="center"/>
    </xf>
    <xf numFmtId="0" fontId="30" fillId="14" borderId="13" applyAlignment="1" pivotButton="0" quotePrefix="0" xfId="0">
      <alignment horizontal="left" vertical="center"/>
    </xf>
    <xf numFmtId="0" fontId="30" fillId="14" borderId="0" applyAlignment="1" pivotButton="0" quotePrefix="0" xfId="0">
      <alignment horizontal="left" vertical="center"/>
    </xf>
    <xf numFmtId="39" fontId="31" fillId="0" borderId="4" applyAlignment="1" pivotButton="0" quotePrefix="0" xfId="0">
      <alignment horizontal="right" vertical="center"/>
    </xf>
    <xf numFmtId="0" fontId="31" fillId="13" borderId="4" applyAlignment="1" pivotButton="0" quotePrefix="0" xfId="0">
      <alignment horizontal="center" vertical="center"/>
    </xf>
    <xf numFmtId="9" fontId="31" fillId="0" borderId="4" applyAlignment="1" pivotButton="0" quotePrefix="0" xfId="0">
      <alignment horizontal="right" vertical="center"/>
    </xf>
    <xf numFmtId="39" fontId="31" fillId="17" borderId="4" applyAlignment="1" pivotButton="0" quotePrefix="0" xfId="0">
      <alignment horizontal="right" vertical="center"/>
    </xf>
    <xf numFmtId="9" fontId="31" fillId="17" borderId="4" applyAlignment="1" pivotButton="0" quotePrefix="0" xfId="0">
      <alignment horizontal="right" vertical="center"/>
    </xf>
    <xf numFmtId="0" fontId="5" fillId="0" borderId="0" pivotButton="0" quotePrefix="0" xfId="0"/>
    <xf numFmtId="0" fontId="31" fillId="13" borderId="4" applyAlignment="1" applyProtection="1" pivotButton="0" quotePrefix="0" xfId="0">
      <alignment horizontal="left" vertical="center"/>
      <protection locked="0" hidden="0"/>
    </xf>
    <xf numFmtId="175" fontId="31" fillId="0" borderId="4" applyAlignment="1" applyProtection="1" pivotButton="0" quotePrefix="0" xfId="0">
      <alignment horizontal="right" vertical="center"/>
      <protection locked="0" hidden="0"/>
    </xf>
    <xf numFmtId="37" fontId="31" fillId="13" borderId="4" applyAlignment="1" applyProtection="1" pivotButton="0" quotePrefix="0" xfId="0">
      <alignment horizontal="right" vertical="center"/>
      <protection locked="0" hidden="0"/>
    </xf>
    <xf numFmtId="171" fontId="34" fillId="16" borderId="4" applyAlignment="1" applyProtection="1" pivotButton="0" quotePrefix="0" xfId="0">
      <alignment horizontal="right" vertical="center"/>
      <protection locked="0" hidden="0"/>
    </xf>
    <xf numFmtId="1" fontId="31" fillId="13" borderId="4" applyAlignment="1" applyProtection="1" pivotButton="0" quotePrefix="0" xfId="0">
      <alignment horizontal="left" vertical="center"/>
      <protection locked="0" hidden="0"/>
    </xf>
    <xf numFmtId="2" fontId="31" fillId="13" borderId="4" applyAlignment="1" applyProtection="1" pivotButton="0" quotePrefix="0" xfId="0">
      <alignment horizontal="right" vertical="center"/>
      <protection locked="0" hidden="0"/>
    </xf>
    <xf numFmtId="17" fontId="31" fillId="13" borderId="4" applyAlignment="1" applyProtection="1" pivotButton="0" quotePrefix="0" xfId="0">
      <alignment horizontal="left" vertical="center"/>
      <protection locked="0" hidden="0"/>
    </xf>
    <xf numFmtId="172" fontId="34" fillId="16" borderId="4" applyAlignment="1" applyProtection="1" pivotButton="0" quotePrefix="0" xfId="0">
      <alignment horizontal="right" vertical="center"/>
      <protection locked="0" hidden="0"/>
    </xf>
    <xf numFmtId="171" fontId="31" fillId="13" borderId="4" applyAlignment="1" pivotButton="0" quotePrefix="0" xfId="0">
      <alignment horizontal="left" vertical="center"/>
    </xf>
    <xf numFmtId="171" fontId="5" fillId="0" borderId="0" pivotButton="0" quotePrefix="0" xfId="0"/>
    <xf numFmtId="9" fontId="31" fillId="13" borderId="4" applyAlignment="1" pivotButton="0" quotePrefix="0" xfId="0">
      <alignment horizontal="right" vertical="center"/>
    </xf>
    <xf numFmtId="171" fontId="34" fillId="16" borderId="4" applyAlignment="1" pivotButton="0" quotePrefix="0" xfId="0">
      <alignment horizontal="right" vertical="center"/>
    </xf>
    <xf numFmtId="176" fontId="31" fillId="13" borderId="4" applyAlignment="1" pivotButton="0" quotePrefix="0" xfId="0">
      <alignment horizontal="right" vertical="center"/>
    </xf>
    <xf numFmtId="177" fontId="31" fillId="0" borderId="4" applyAlignment="1" pivotButton="0" quotePrefix="0" xfId="0">
      <alignment horizontal="left" vertical="center"/>
    </xf>
    <xf numFmtId="178" fontId="31" fillId="13" borderId="4" applyAlignment="1" pivotButton="0" quotePrefix="0" xfId="0">
      <alignment horizontal="right" vertical="center"/>
    </xf>
    <xf numFmtId="172" fontId="34" fillId="16" borderId="4" applyAlignment="1" pivotButton="0" quotePrefix="0" xfId="0">
      <alignment horizontal="right" vertical="center"/>
    </xf>
    <xf numFmtId="0" fontId="5" fillId="0" borderId="0" applyAlignment="1" pivotButton="0" quotePrefix="0" xfId="0">
      <alignment vertical="center"/>
    </xf>
    <xf numFmtId="9" fontId="5" fillId="0" borderId="0" pivotButton="0" quotePrefix="0" xfId="0"/>
    <xf numFmtId="175" fontId="5" fillId="0" borderId="0" pivotButton="0" quotePrefix="0" xfId="0"/>
    <xf numFmtId="10" fontId="31" fillId="13" borderId="4" applyAlignment="1" pivotButton="0" quotePrefix="0" xfId="0">
      <alignment horizontal="right" vertical="center"/>
    </xf>
    <xf numFmtId="177" fontId="31" fillId="17" borderId="4" applyAlignment="1" pivotButton="0" quotePrefix="0" xfId="0">
      <alignment horizontal="left" vertical="center"/>
    </xf>
    <xf numFmtId="0" fontId="35" fillId="0" borderId="0" pivotButton="0" quotePrefix="0" xfId="0"/>
    <xf numFmtId="0" fontId="35" fillId="0" borderId="0" applyAlignment="1" pivotButton="0" quotePrefix="0" xfId="0">
      <alignment horizontal="right"/>
    </xf>
    <xf numFmtId="0" fontId="31" fillId="0" borderId="4" applyAlignment="1" applyProtection="1" pivotButton="0" quotePrefix="0" xfId="0">
      <alignment horizontal="left" vertical="center"/>
      <protection locked="0" hidden="0"/>
    </xf>
    <xf numFmtId="171" fontId="31" fillId="13" borderId="4" applyAlignment="1" pivotButton="0" quotePrefix="0" xfId="0">
      <alignment horizontal="right" vertical="center"/>
    </xf>
    <xf numFmtId="0" fontId="31" fillId="0" borderId="4" applyAlignment="1" applyProtection="1" pivotButton="0" quotePrefix="0" xfId="0">
      <alignment horizontal="right" vertical="center"/>
      <protection locked="0" hidden="0"/>
    </xf>
    <xf numFmtId="49" fontId="31" fillId="0" borderId="4" applyAlignment="1" applyProtection="1" pivotButton="0" quotePrefix="0" xfId="0">
      <alignment horizontal="left" vertical="center"/>
      <protection locked="0" hidden="0"/>
    </xf>
    <xf numFmtId="3" fontId="31" fillId="0" borderId="4" applyAlignment="1" applyProtection="1" pivotButton="0" quotePrefix="0" xfId="0">
      <alignment horizontal="right" vertical="center"/>
      <protection locked="0" hidden="0"/>
    </xf>
    <xf numFmtId="171" fontId="31" fillId="0" borderId="4" applyAlignment="1" pivotButton="0" quotePrefix="0" xfId="0">
      <alignment horizontal="right" vertical="center"/>
    </xf>
    <xf numFmtId="171" fontId="34" fillId="16" borderId="4" applyAlignment="1" pivotButton="0" quotePrefix="0" xfId="0">
      <alignment horizontal="left" vertical="center"/>
    </xf>
    <xf numFmtId="178" fontId="35" fillId="0" borderId="0" applyAlignment="1" pivotButton="0" quotePrefix="0" xfId="0">
      <alignment horizontal="right"/>
    </xf>
    <xf numFmtId="171" fontId="31" fillId="17" borderId="4" applyAlignment="1" pivotButton="0" quotePrefix="0" xfId="0">
      <alignment horizontal="right" vertical="center"/>
    </xf>
    <xf numFmtId="0" fontId="4" fillId="0" borderId="0" pivotButton="0" quotePrefix="0" xfId="0"/>
    <xf numFmtId="0" fontId="25" fillId="12" borderId="0" pivotButton="0" quotePrefix="0" xfId="0"/>
    <xf numFmtId="0" fontId="27" fillId="0" borderId="0" pivotButton="0" quotePrefix="0" xfId="0"/>
    <xf numFmtId="0" fontId="31" fillId="13" borderId="4" pivotButton="0" quotePrefix="0" xfId="0"/>
    <xf numFmtId="0" fontId="30" fillId="14" borderId="0" pivotButton="0" quotePrefix="0" xfId="0"/>
    <xf numFmtId="176" fontId="31" fillId="13" borderId="4" applyAlignment="1" pivotButton="0" quotePrefix="0" xfId="0">
      <alignment horizontal="left" vertical="center"/>
    </xf>
    <xf numFmtId="0" fontId="27" fillId="0" borderId="0" applyAlignment="1" pivotButton="0" quotePrefix="0" xfId="0">
      <alignment horizontal="left"/>
    </xf>
    <xf numFmtId="0" fontId="4" fillId="0" borderId="15" pivotButton="0" quotePrefix="0" xfId="0"/>
    <xf numFmtId="0" fontId="36" fillId="0" borderId="15" pivotButton="0" quotePrefix="0" xfId="0"/>
    <xf numFmtId="0" fontId="0" fillId="0" borderId="15" pivotButton="0" quotePrefix="0" xfId="0"/>
    <xf numFmtId="0" fontId="4" fillId="0" borderId="16" pivotButton="0" quotePrefix="0" xfId="0"/>
    <xf numFmtId="0" fontId="27" fillId="0" borderId="17" pivotButton="0" quotePrefix="0" xfId="0"/>
    <xf numFmtId="0" fontId="4" fillId="0" borderId="17" pivotButton="0" quotePrefix="0" xfId="0"/>
    <xf numFmtId="0" fontId="27" fillId="0" borderId="16" pivotButton="0" quotePrefix="0" xfId="0"/>
    <xf numFmtId="0" fontId="30" fillId="14" borderId="18" applyAlignment="1" pivotButton="0" quotePrefix="0" xfId="0">
      <alignment horizontal="left" vertical="center"/>
    </xf>
    <xf numFmtId="0" fontId="30" fillId="14" borderId="19" applyAlignment="1" pivotButton="0" quotePrefix="0" xfId="0">
      <alignment horizontal="left" vertical="center"/>
    </xf>
    <xf numFmtId="0" fontId="30" fillId="14" borderId="20" applyAlignment="1" pivotButton="0" quotePrefix="0" xfId="0">
      <alignment horizontal="left" vertical="center"/>
    </xf>
    <xf numFmtId="0" fontId="4" fillId="18" borderId="21" pivotButton="0" quotePrefix="0" xfId="0"/>
    <xf numFmtId="0" fontId="4" fillId="0" borderId="21" pivotButton="0" quotePrefix="0" xfId="0"/>
    <xf numFmtId="3" fontId="31" fillId="13" borderId="4" applyAlignment="1" applyProtection="1" pivotButton="0" quotePrefix="0" xfId="0">
      <alignment horizontal="center" vertical="center"/>
      <protection locked="0" hidden="0"/>
    </xf>
    <xf numFmtId="3" fontId="31" fillId="13" borderId="4" applyAlignment="1" applyProtection="1" pivotButton="0" quotePrefix="0" xfId="0">
      <alignment horizontal="left" vertical="center"/>
      <protection locked="0" hidden="0"/>
    </xf>
    <xf numFmtId="9" fontId="31" fillId="13" borderId="4" applyAlignment="1" applyProtection="1" pivotButton="0" quotePrefix="0" xfId="0">
      <alignment horizontal="left" vertical="center"/>
      <protection locked="0" hidden="0"/>
    </xf>
    <xf numFmtId="37" fontId="31" fillId="0" borderId="4" applyAlignment="1" pivotButton="0" quotePrefix="0" xfId="0">
      <alignment horizontal="left" vertical="center"/>
    </xf>
    <xf numFmtId="37" fontId="31" fillId="13" borderId="4" applyAlignment="1" pivotButton="0" quotePrefix="0" xfId="0">
      <alignment horizontal="left" vertical="center"/>
    </xf>
    <xf numFmtId="175" fontId="31" fillId="0" borderId="4" applyAlignment="1" pivotButton="0" quotePrefix="0" xfId="0">
      <alignment horizontal="left" vertical="center"/>
    </xf>
    <xf numFmtId="9" fontId="31" fillId="0" borderId="4" applyAlignment="1" pivotButton="0" quotePrefix="0" xfId="0">
      <alignment horizontal="left" vertical="center"/>
    </xf>
    <xf numFmtId="37" fontId="31" fillId="17" borderId="4" applyAlignment="1" pivotButton="0" quotePrefix="0" xfId="0">
      <alignment horizontal="left" vertical="center"/>
    </xf>
    <xf numFmtId="175" fontId="31" fillId="17" borderId="4" applyAlignment="1" pivotButton="0" quotePrefix="0" xfId="0">
      <alignment horizontal="left" vertical="center"/>
    </xf>
    <xf numFmtId="9" fontId="31" fillId="17" borderId="4" applyAlignment="1" pivotButton="0" quotePrefix="0" xfId="0">
      <alignment horizontal="left" vertical="center"/>
    </xf>
    <xf numFmtId="0" fontId="37" fillId="0" borderId="0" pivotButton="0" quotePrefix="0" xfId="0"/>
    <xf numFmtId="3" fontId="31" fillId="0" borderId="4" applyAlignment="1" pivotButton="0" quotePrefix="0" xfId="0">
      <alignment horizontal="center" vertical="center"/>
    </xf>
    <xf numFmtId="175" fontId="31" fillId="13" borderId="4" applyAlignment="1" pivotButton="0" quotePrefix="0" xfId="0">
      <alignment horizontal="left" vertical="center"/>
    </xf>
    <xf numFmtId="171" fontId="31" fillId="0" borderId="4" applyAlignment="1" pivotButton="0" quotePrefix="0" xfId="0">
      <alignment horizontal="left" vertical="center"/>
    </xf>
    <xf numFmtId="176" fontId="31" fillId="0" borderId="4" applyAlignment="1" pivotButton="0" quotePrefix="0" xfId="0">
      <alignment horizontal="left" vertical="center"/>
    </xf>
    <xf numFmtId="176" fontId="31" fillId="17" borderId="4" applyAlignment="1" pivotButton="0" quotePrefix="0" xfId="0">
      <alignment horizontal="left" vertical="center"/>
    </xf>
    <xf numFmtId="0" fontId="31" fillId="13" borderId="4" applyAlignment="1" pivotButton="0" quotePrefix="0" xfId="0">
      <alignment horizontal="left"/>
    </xf>
    <xf numFmtId="0" fontId="5" fillId="0" borderId="16" pivotButton="0" quotePrefix="0" xfId="0"/>
    <xf numFmtId="0" fontId="5" fillId="0" borderId="17" pivotButton="0" quotePrefix="0" xfId="0"/>
    <xf numFmtId="0" fontId="5" fillId="18" borderId="21" pivotButton="0" quotePrefix="0" xfId="0"/>
    <xf numFmtId="0" fontId="5" fillId="0" borderId="21" pivotButton="0" quotePrefix="0" xfId="0"/>
    <xf numFmtId="0" fontId="31" fillId="0" borderId="4" applyAlignment="1" applyProtection="1" pivotButton="0" quotePrefix="0" xfId="0">
      <alignment horizontal="center" vertical="center"/>
      <protection locked="0" hidden="0"/>
    </xf>
    <xf numFmtId="37" fontId="31" fillId="13" borderId="4" applyAlignment="1" applyProtection="1" pivotButton="0" quotePrefix="0" xfId="0">
      <alignment horizontal="left" vertical="center"/>
      <protection locked="0" hidden="0"/>
    </xf>
    <xf numFmtId="0" fontId="38" fillId="0" borderId="0" pivotButton="0" quotePrefix="0" xfId="0"/>
    <xf numFmtId="0" fontId="21" fillId="12" borderId="0" pivotButton="0" quotePrefix="0" xfId="0"/>
    <xf numFmtId="0" fontId="22" fillId="19" borderId="0" pivotButton="0" quotePrefix="0" xfId="0"/>
    <xf numFmtId="0" fontId="12" fillId="9" borderId="0" applyAlignment="1" pivotButton="0" quotePrefix="0" xfId="0">
      <alignment vertical="center"/>
    </xf>
    <xf numFmtId="0" fontId="39" fillId="9" borderId="0" applyAlignment="1" pivotButton="0" quotePrefix="0" xfId="0">
      <alignment horizontal="center" vertical="center"/>
    </xf>
    <xf numFmtId="0" fontId="21" fillId="9" borderId="0" applyAlignment="1" pivotButton="0" quotePrefix="0" xfId="0">
      <alignment horizontal="left" vertical="center"/>
    </xf>
    <xf numFmtId="0" fontId="40" fillId="9" borderId="0" applyAlignment="1" pivotButton="0" quotePrefix="0" xfId="0">
      <alignment horizontal="center" vertical="center"/>
    </xf>
    <xf numFmtId="0" fontId="12" fillId="0" borderId="1" applyAlignment="1" pivotButton="0" quotePrefix="0" xfId="0">
      <alignment horizontal="left" vertical="center" wrapText="1"/>
    </xf>
    <xf numFmtId="0" fontId="12" fillId="6" borderId="1" applyAlignment="1" pivotButton="0" quotePrefix="0" xfId="0">
      <alignment horizontal="center" vertical="center"/>
    </xf>
    <xf numFmtId="17" fontId="12" fillId="6" borderId="1" applyAlignment="1" pivotButton="0" quotePrefix="0" xfId="0">
      <alignment horizontal="left" vertical="center"/>
    </xf>
    <xf numFmtId="167" fontId="12" fillId="6" borderId="1" applyAlignment="1" pivotButton="0" quotePrefix="0" xfId="0">
      <alignment horizontal="right" vertical="center"/>
    </xf>
    <xf numFmtId="165" fontId="12" fillId="6" borderId="1" applyAlignment="1" pivotButton="0" quotePrefix="0" xfId="0">
      <alignment horizontal="left" vertical="center"/>
    </xf>
    <xf numFmtId="165" fontId="12" fillId="6" borderId="1" applyAlignment="1" pivotButton="0" quotePrefix="0" xfId="0">
      <alignment horizontal="right" vertical="center"/>
    </xf>
    <xf numFmtId="0" fontId="12" fillId="5" borderId="1" applyAlignment="1" pivotButton="0" quotePrefix="0" xfId="0">
      <alignment horizontal="left" vertical="center" wrapText="1"/>
    </xf>
    <xf numFmtId="0" fontId="12" fillId="6" borderId="1" applyAlignment="1" pivotButton="0" quotePrefix="0" xfId="0">
      <alignment horizontal="left" vertical="center" wrapText="1"/>
    </xf>
    <xf numFmtId="0" fontId="12" fillId="6" borderId="1" applyAlignment="1" pivotButton="0" quotePrefix="0" xfId="0">
      <alignment horizontal="right" vertical="center"/>
    </xf>
    <xf numFmtId="179" fontId="12" fillId="5" borderId="1" applyAlignment="1" pivotButton="0" quotePrefix="0" xfId="0">
      <alignment horizontal="left" vertical="center"/>
    </xf>
    <xf numFmtId="0" fontId="11" fillId="10" borderId="2" applyAlignment="1" pivotButton="0" quotePrefix="0" xfId="0">
      <alignment horizontal="left" vertical="center"/>
    </xf>
    <xf numFmtId="0" fontId="11" fillId="10" borderId="2" applyAlignment="1" pivotButton="0" quotePrefix="0" xfId="0">
      <alignment horizontal="right" vertical="center"/>
    </xf>
    <xf numFmtId="168" fontId="11" fillId="10" borderId="2" applyAlignment="1" pivotButton="0" quotePrefix="0" xfId="0">
      <alignment horizontal="right" vertical="center"/>
    </xf>
    <xf numFmtId="0" fontId="11" fillId="0" borderId="1" applyAlignment="1" pivotButton="0" quotePrefix="0" xfId="0">
      <alignment horizontal="left" vertical="center" wrapText="1"/>
    </xf>
    <xf numFmtId="169" fontId="12" fillId="6" borderId="1" applyAlignment="1" pivotButton="0" quotePrefix="0" xfId="0">
      <alignment horizontal="center" vertical="center"/>
    </xf>
    <xf numFmtId="21" fontId="12" fillId="6" borderId="1" applyAlignment="1" pivotButton="0" quotePrefix="0" xfId="0">
      <alignment horizontal="right" vertical="center"/>
    </xf>
    <xf numFmtId="169" fontId="11" fillId="10" borderId="2" applyAlignment="1" pivotButton="0" quotePrefix="0" xfId="0">
      <alignment horizontal="right" vertical="center"/>
    </xf>
    <xf numFmtId="165" fontId="12" fillId="5" borderId="1" applyAlignment="1" pivotButton="0" quotePrefix="0" xfId="0">
      <alignment horizontal="right" vertical="center"/>
    </xf>
    <xf numFmtId="0" fontId="12" fillId="5" borderId="1" applyAlignment="1" pivotButton="0" quotePrefix="0" xfId="0">
      <alignment horizontal="right" vertical="center"/>
    </xf>
    <xf numFmtId="0" fontId="12" fillId="0" borderId="1" applyAlignment="1" pivotButton="0" quotePrefix="0" xfId="0">
      <alignment horizontal="left" vertical="center"/>
    </xf>
    <xf numFmtId="168" fontId="12" fillId="6" borderId="1" applyAlignment="1" pivotButton="0" quotePrefix="0" xfId="0">
      <alignment horizontal="right" vertical="center"/>
    </xf>
    <xf numFmtId="167" fontId="12" fillId="5" borderId="1" applyAlignment="1" pivotButton="0" quotePrefix="0" xfId="0">
      <alignment horizontal="right" vertical="center"/>
    </xf>
    <xf numFmtId="0" fontId="11" fillId="0" borderId="2" applyAlignment="1" pivotButton="0" quotePrefix="0" xfId="0">
      <alignment horizontal="left" vertical="center"/>
    </xf>
    <xf numFmtId="167" fontId="11" fillId="10" borderId="2" applyAlignment="1" pivotButton="0" quotePrefix="0" xfId="0">
      <alignment horizontal="right" vertical="center"/>
    </xf>
    <xf numFmtId="0" fontId="0" fillId="0" borderId="0" applyAlignment="1" pivotButton="0" quotePrefix="0" xfId="0">
      <alignment vertical="top"/>
    </xf>
    <xf numFmtId="0" fontId="41" fillId="0" borderId="0" applyAlignment="1" pivotButton="0" quotePrefix="0" xfId="0">
      <alignment vertical="top" wrapText="1"/>
    </xf>
    <xf numFmtId="0" fontId="0" fillId="0" borderId="0" applyAlignment="1" pivotButton="0" quotePrefix="0" xfId="0">
      <alignment horizontal="left" vertical="center"/>
    </xf>
    <xf numFmtId="0" fontId="0" fillId="0" borderId="0" applyAlignment="1" pivotButton="0" quotePrefix="0" xfId="0">
      <alignment vertical="center"/>
    </xf>
    <xf numFmtId="0" fontId="9" fillId="21" borderId="0" applyAlignment="1" pivotButton="0" quotePrefix="0" xfId="0">
      <alignment horizontal="center" vertical="top" wrapText="1"/>
    </xf>
    <xf numFmtId="0" fontId="9" fillId="21" borderId="0" pivotButton="0" quotePrefix="0" xfId="0"/>
    <xf numFmtId="0" fontId="0" fillId="0" borderId="0" applyAlignment="1" pivotButton="0" quotePrefix="0" xfId="0">
      <alignment vertical="top" wrapText="1"/>
    </xf>
    <xf numFmtId="0" fontId="0" fillId="6" borderId="3" applyAlignment="1" pivotButton="0" quotePrefix="0" xfId="0">
      <alignment horizontal="center"/>
    </xf>
    <xf numFmtId="0" fontId="0" fillId="0" borderId="0" applyAlignment="1" pivotButton="0" quotePrefix="0" xfId="0">
      <alignment horizontal="center"/>
    </xf>
    <xf numFmtId="0" fontId="42" fillId="0" borderId="0" applyAlignment="1" pivotButton="0" quotePrefix="0" xfId="0">
      <alignment vertical="top" wrapText="1"/>
    </xf>
    <xf numFmtId="0" fontId="0" fillId="0" borderId="0" applyAlignment="1" pivotButton="0" quotePrefix="0" xfId="0">
      <alignment horizontal="left" vertical="top" wrapText="1" indent="1"/>
    </xf>
    <xf numFmtId="0" fontId="0" fillId="5" borderId="0" applyAlignment="1" pivotButton="0" quotePrefix="0" xfId="0">
      <alignment vertical="center"/>
    </xf>
    <xf numFmtId="0" fontId="0" fillId="0" borderId="0" applyAlignment="1" pivotButton="0" quotePrefix="0" xfId="0">
      <alignment horizontal="left" vertical="top" wrapText="1" indent="2"/>
    </xf>
    <xf numFmtId="0" fontId="0" fillId="6" borderId="3" applyAlignment="1" pivotButton="0" quotePrefix="0" xfId="0">
      <alignment horizontal="right"/>
    </xf>
    <xf numFmtId="0" fontId="20" fillId="0" borderId="0" applyAlignment="1" pivotButton="0" quotePrefix="0" xfId="0">
      <alignment horizontal="left" vertical="center" indent="2"/>
    </xf>
    <xf numFmtId="0" fontId="20" fillId="5" borderId="0" pivotButton="0" quotePrefix="0" xfId="0"/>
    <xf numFmtId="0" fontId="9" fillId="21" borderId="0" applyAlignment="1" pivotButton="0" quotePrefix="0" xfId="0">
      <alignment horizontal="left" vertical="top" wrapText="1" indent="2"/>
    </xf>
    <xf numFmtId="0" fontId="9" fillId="21" borderId="0" applyAlignment="1" pivotButton="0" quotePrefix="0" xfId="0">
      <alignment vertical="center"/>
    </xf>
    <xf numFmtId="2" fontId="0" fillId="6" borderId="3" pivotButton="0" quotePrefix="0" xfId="0"/>
    <xf numFmtId="2" fontId="0" fillId="6" borderId="3" applyAlignment="1" pivotButton="0" quotePrefix="0" xfId="0">
      <alignment horizontal="center" vertical="center"/>
    </xf>
    <xf numFmtId="0" fontId="0" fillId="6" borderId="3" applyAlignment="1" pivotButton="0" quotePrefix="0" xfId="0">
      <alignment vertical="center"/>
    </xf>
    <xf numFmtId="0" fontId="0" fillId="0" borderId="0" applyAlignment="1" pivotButton="0" quotePrefix="0" xfId="0">
      <alignment horizontal="left" vertical="center" indent="2"/>
    </xf>
    <xf numFmtId="173" fontId="0" fillId="6" borderId="3" applyAlignment="1" pivotButton="0" quotePrefix="0" xfId="0">
      <alignment vertical="center"/>
    </xf>
    <xf numFmtId="0" fontId="0" fillId="0" borderId="0" applyAlignment="1" pivotButton="0" quotePrefix="0" xfId="0">
      <alignment horizontal="left" vertical="center" indent="1"/>
    </xf>
    <xf numFmtId="0" fontId="17" fillId="3" borderId="0" applyAlignment="1" pivotButton="0" quotePrefix="0" xfId="0">
      <alignment horizontal="left" vertical="top" wrapText="1" indent="1"/>
    </xf>
    <xf numFmtId="0" fontId="17" fillId="3" borderId="0" applyAlignment="1" pivotButton="0" quotePrefix="0" xfId="0">
      <alignment vertical="center"/>
    </xf>
    <xf numFmtId="0" fontId="22" fillId="4" borderId="0" applyAlignment="1" pivotButton="0" quotePrefix="0" xfId="0">
      <alignment horizontal="left" vertical="top" wrapText="1" indent="2"/>
    </xf>
    <xf numFmtId="0" fontId="22" fillId="4" borderId="0" applyAlignment="1" pivotButton="0" quotePrefix="0" xfId="0">
      <alignment vertical="center"/>
    </xf>
    <xf numFmtId="0" fontId="22" fillId="0" borderId="0" applyAlignment="1" pivotButton="0" quotePrefix="0" xfId="0">
      <alignment horizontal="left" vertical="top" wrapText="1" indent="2"/>
    </xf>
    <xf numFmtId="3" fontId="0" fillId="5" borderId="0" pivotButton="0" quotePrefix="0" xfId="0"/>
    <xf numFmtId="171" fontId="0" fillId="0" borderId="0" applyAlignment="1" pivotButton="0" quotePrefix="0" xfId="0">
      <alignment vertical="center"/>
    </xf>
    <xf numFmtId="172" fontId="0" fillId="0" borderId="0" applyAlignment="1" pivotButton="0" quotePrefix="0" xfId="0">
      <alignment vertical="center"/>
    </xf>
    <xf numFmtId="180" fontId="0" fillId="0" borderId="0" applyAlignment="1" pivotButton="0" quotePrefix="0" xfId="0">
      <alignment vertical="center"/>
    </xf>
    <xf numFmtId="0" fontId="0" fillId="0" borderId="0" applyAlignment="1" pivotButton="0" quotePrefix="0" xfId="0">
      <alignment horizontal="center" vertical="center"/>
    </xf>
    <xf numFmtId="0" fontId="22" fillId="0" borderId="0" applyAlignment="1" pivotButton="0" quotePrefix="0" xfId="0">
      <alignment horizontal="left" vertical="top" wrapText="1" indent="1"/>
    </xf>
    <xf numFmtId="172" fontId="22" fillId="0" borderId="0" applyAlignment="1" pivotButton="0" quotePrefix="0" xfId="0">
      <alignment vertical="center"/>
    </xf>
    <xf numFmtId="0" fontId="17" fillId="21" borderId="0" applyAlignment="1" pivotButton="0" quotePrefix="0" xfId="0">
      <alignment horizontal="left" vertical="top" wrapText="1" indent="2"/>
    </xf>
    <xf numFmtId="0" fontId="17" fillId="21" borderId="0" applyAlignment="1" pivotButton="0" quotePrefix="0" xfId="0">
      <alignment vertical="center"/>
    </xf>
    <xf numFmtId="0" fontId="17" fillId="21" borderId="0" applyAlignment="1" pivotButton="0" quotePrefix="0" xfId="0">
      <alignment horizontal="center" vertical="center"/>
    </xf>
    <xf numFmtId="0" fontId="17" fillId="21" borderId="0" pivotButton="0" quotePrefix="0" xfId="0"/>
    <xf numFmtId="181" fontId="0" fillId="0" borderId="0" applyAlignment="1" pivotButton="0" quotePrefix="0" xfId="0">
      <alignment vertical="center"/>
    </xf>
    <xf numFmtId="181" fontId="22" fillId="0" borderId="0" applyAlignment="1" pivotButton="0" quotePrefix="0" xfId="0">
      <alignment vertical="center"/>
    </xf>
    <xf numFmtId="0" fontId="0" fillId="0" borderId="0" applyAlignment="1" pivotButton="0" quotePrefix="0" xfId="0">
      <alignment horizontal="left" vertical="top" wrapText="1" indent="3"/>
    </xf>
    <xf numFmtId="3" fontId="0" fillId="6" borderId="3" applyAlignment="1" pivotButton="0" quotePrefix="0" xfId="0">
      <alignment vertical="center"/>
    </xf>
    <xf numFmtId="171" fontId="0" fillId="6" borderId="3" applyAlignment="1" pivotButton="0" quotePrefix="0" xfId="0">
      <alignment vertical="center"/>
    </xf>
    <xf numFmtId="0" fontId="22" fillId="0" borderId="0" applyAlignment="1" pivotButton="0" quotePrefix="0" xfId="0">
      <alignment vertical="top" wrapText="1"/>
    </xf>
    <xf numFmtId="0" fontId="43" fillId="0" borderId="0" applyAlignment="1" pivotButton="0" quotePrefix="0" xfId="0">
      <alignment vertical="top" wrapText="1"/>
    </xf>
    <xf numFmtId="172" fontId="43" fillId="0" borderId="0" applyAlignment="1" pivotButton="0" quotePrefix="0" xfId="0">
      <alignment vertical="center"/>
    </xf>
    <xf numFmtId="0" fontId="0" fillId="0" borderId="0" applyAlignment="1" applyProtection="1" pivotButton="0" quotePrefix="0" xfId="0">
      <alignment horizontal="left" vertical="top" wrapText="1"/>
      <protection locked="0" hidden="0"/>
    </xf>
    <xf numFmtId="0" fontId="0" fillId="0" borderId="0" applyAlignment="1" applyProtection="1" pivotButton="0" quotePrefix="0" xfId="0">
      <alignment horizontal="center"/>
      <protection locked="0" hidden="0"/>
    </xf>
    <xf numFmtId="0" fontId="17" fillId="21" borderId="0" applyAlignment="1" pivotButton="0" quotePrefix="0" xfId="0">
      <alignment horizontal="left" vertical="top" wrapText="1" indent="1"/>
    </xf>
    <xf numFmtId="0" fontId="0" fillId="0" borderId="0" applyAlignment="1" pivotButton="0" quotePrefix="0" xfId="0">
      <alignment horizontal="left"/>
    </xf>
    <xf numFmtId="172" fontId="0" fillId="6" borderId="3" applyAlignment="1" pivotButton="0" quotePrefix="0" xfId="0">
      <alignment horizontal="center"/>
    </xf>
    <xf numFmtId="178" fontId="0" fillId="5" borderId="0" applyAlignment="1" pivotButton="0" quotePrefix="0" xfId="0">
      <alignment vertical="center"/>
    </xf>
    <xf numFmtId="178" fontId="0" fillId="6" borderId="3" pivotButton="0" quotePrefix="0" xfId="0"/>
    <xf numFmtId="178" fontId="0" fillId="0" borderId="0" pivotButton="0" quotePrefix="0" xfId="0"/>
    <xf numFmtId="172" fontId="22" fillId="0" borderId="0" pivotButton="0" quotePrefix="0" xfId="0"/>
    <xf numFmtId="0" fontId="44" fillId="0" borderId="0" applyAlignment="1" pivotButton="0" quotePrefix="0" xfId="0">
      <alignment vertical="top" wrapText="1"/>
    </xf>
    <xf numFmtId="172" fontId="44" fillId="0" borderId="0" pivotButton="0" quotePrefix="0" xfId="0"/>
    <xf numFmtId="172" fontId="0" fillId="6" borderId="0" applyAlignment="1" pivotButton="0" quotePrefix="0" xfId="0">
      <alignment horizontal="center"/>
    </xf>
    <xf numFmtId="0" fontId="44" fillId="0" borderId="0" applyAlignment="1" pivotButton="0" quotePrefix="0" xfId="0">
      <alignment horizontal="left" vertical="top" wrapText="1" indent="2"/>
    </xf>
    <xf numFmtId="172" fontId="44" fillId="0" borderId="0" applyAlignment="1" pivotButton="0" quotePrefix="0" xfId="0">
      <alignment vertical="center"/>
    </xf>
    <xf numFmtId="3" fontId="0" fillId="0" borderId="0" applyAlignment="1" pivotButton="0" quotePrefix="0" xfId="0">
      <alignment horizontal="left" vertical="top" wrapText="1" indent="2"/>
    </xf>
    <xf numFmtId="0" fontId="17" fillId="3" borderId="0" applyAlignment="1" pivotButton="0" quotePrefix="0" xfId="0">
      <alignment horizontal="left" vertical="center" indent="2"/>
    </xf>
    <xf numFmtId="0" fontId="0" fillId="3" borderId="0" applyAlignment="1" pivotButton="0" quotePrefix="0" xfId="0">
      <alignment vertical="center"/>
    </xf>
    <xf numFmtId="171" fontId="0" fillId="6" borderId="0" applyAlignment="1" pivotButton="0" quotePrefix="0" xfId="0">
      <alignment vertical="center"/>
    </xf>
    <xf numFmtId="1" fontId="0" fillId="6" borderId="0" applyAlignment="1" pivotButton="0" quotePrefix="0" xfId="0">
      <alignment vertical="center"/>
    </xf>
    <xf numFmtId="0" fontId="0" fillId="6" borderId="0" applyAlignment="1" pivotButton="0" quotePrefix="0" xfId="0">
      <alignment vertical="center"/>
    </xf>
    <xf numFmtId="0" fontId="18" fillId="0" borderId="0" applyAlignment="1" pivotButton="0" quotePrefix="0" xfId="0">
      <alignment vertical="center"/>
    </xf>
    <xf numFmtId="0" fontId="0" fillId="0" borderId="0" applyAlignment="1" pivotButton="0" quotePrefix="0" xfId="0">
      <alignment horizontal="left" vertical="center" indent="3"/>
    </xf>
    <xf numFmtId="0" fontId="0" fillId="0" borderId="0" applyAlignment="1" applyProtection="1" pivotButton="0" quotePrefix="0" xfId="0">
      <alignment horizontal="left"/>
      <protection locked="0" hidden="0"/>
    </xf>
    <xf numFmtId="0" fontId="0" fillId="0" borderId="0" applyAlignment="1" pivotButton="0" quotePrefix="0" xfId="0">
      <alignment horizontal="right" vertical="center"/>
    </xf>
    <xf numFmtId="0" fontId="0" fillId="0" borderId="0" applyAlignment="1" pivotButton="0" quotePrefix="0" xfId="0">
      <alignment horizontal="left" vertical="center" wrapText="1"/>
    </xf>
    <xf numFmtId="0" fontId="46" fillId="18" borderId="16" applyAlignment="1" pivotButton="0" quotePrefix="0" xfId="0">
      <alignment horizontal="left" indent="1"/>
    </xf>
    <xf numFmtId="182" fontId="46" fillId="18" borderId="16" applyAlignment="1" pivotButton="0" quotePrefix="0" xfId="0">
      <alignment horizontal="left"/>
    </xf>
    <xf numFmtId="3" fontId="46" fillId="18" borderId="16" applyAlignment="1" pivotButton="0" quotePrefix="0" xfId="0">
      <alignment horizontal="left" indent="1"/>
    </xf>
    <xf numFmtId="3" fontId="47" fillId="18" borderId="0" pivotButton="0" quotePrefix="0" xfId="0"/>
    <xf numFmtId="176" fontId="47" fillId="18" borderId="0" pivotButton="0" quotePrefix="0" xfId="0"/>
    <xf numFmtId="0" fontId="47" fillId="18" borderId="0" pivotButton="0" quotePrefix="0" xfId="0"/>
    <xf numFmtId="0" fontId="48" fillId="18" borderId="0" pivotButton="0" quotePrefix="0" xfId="0"/>
    <xf numFmtId="0" fontId="31" fillId="0" borderId="0" applyAlignment="1" pivotButton="0" quotePrefix="0" xfId="0">
      <alignment vertical="center"/>
    </xf>
    <xf numFmtId="0" fontId="0" fillId="22" borderId="0" pivotButton="0" quotePrefix="0" xfId="0"/>
    <xf numFmtId="0" fontId="12" fillId="6" borderId="1" applyAlignment="1" pivotButton="0" quotePrefix="0" xfId="0">
      <alignment horizontal="right" vertical="center" wrapText="1"/>
    </xf>
    <xf numFmtId="17" fontId="12" fillId="6" borderId="1" applyAlignment="1" pivotButton="0" quotePrefix="0" xfId="0">
      <alignment horizontal="right" vertical="center"/>
    </xf>
    <xf numFmtId="165" fontId="12" fillId="5" borderId="0" applyAlignment="1" pivotButton="0" quotePrefix="0" xfId="0">
      <alignment horizontal="right" vertical="center"/>
    </xf>
    <xf numFmtId="165" fontId="12" fillId="6" borderId="0" applyAlignment="1" pivotButton="0" quotePrefix="0" xfId="0">
      <alignment horizontal="right" vertical="center"/>
    </xf>
    <xf numFmtId="0" fontId="12" fillId="10" borderId="2" applyAlignment="1" pivotButton="0" quotePrefix="0" xfId="0">
      <alignment vertical="center"/>
    </xf>
    <xf numFmtId="169" fontId="12" fillId="6" borderId="1" applyAlignment="1" pivotButton="0" quotePrefix="0" xfId="0">
      <alignment horizontal="right" vertical="center"/>
    </xf>
    <xf numFmtId="2" fontId="12" fillId="5" borderId="1" applyAlignment="1" pivotButton="0" quotePrefix="0" xfId="0">
      <alignment horizontal="right" vertical="center"/>
    </xf>
    <xf numFmtId="1" fontId="12" fillId="5" borderId="1" applyAlignment="1" pivotButton="0" quotePrefix="0" xfId="0">
      <alignment horizontal="left" vertical="center" wrapText="1"/>
    </xf>
    <xf numFmtId="183" fontId="12" fillId="6" borderId="1" applyAlignment="1" pivotButton="0" quotePrefix="0" xfId="0">
      <alignment horizontal="left" vertical="center"/>
    </xf>
    <xf numFmtId="2" fontId="12" fillId="6" borderId="1" applyAlignment="1" pivotButton="0" quotePrefix="0" xfId="0">
      <alignment horizontal="right" vertical="center"/>
    </xf>
    <xf numFmtId="9" fontId="12" fillId="6" borderId="1" applyAlignment="1" pivotButton="0" quotePrefix="0" xfId="0">
      <alignment horizontal="right" vertical="center"/>
    </xf>
    <xf numFmtId="169" fontId="12" fillId="5" borderId="1" applyAlignment="1" pivotButton="0" quotePrefix="0" xfId="0">
      <alignment horizontal="right" vertical="center"/>
    </xf>
    <xf numFmtId="0" fontId="16" fillId="9" borderId="0" applyAlignment="1" pivotButton="0" quotePrefix="0" xfId="0">
      <alignment horizontal="left" vertical="center" wrapText="1"/>
    </xf>
    <xf numFmtId="0" fontId="16" fillId="9" borderId="0" applyAlignment="1" pivotButton="0" quotePrefix="0" xfId="0">
      <alignment horizontal="center" vertical="center" wrapText="1"/>
    </xf>
    <xf numFmtId="0" fontId="16" fillId="9" borderId="0" applyAlignment="1" pivotButton="0" quotePrefix="0" xfId="0">
      <alignment horizontal="right" vertical="center" wrapText="1"/>
    </xf>
    <xf numFmtId="0" fontId="51" fillId="9" borderId="0" applyAlignment="1" pivotButton="0" quotePrefix="0" xfId="0">
      <alignment horizontal="center" vertical="center"/>
    </xf>
    <xf numFmtId="0" fontId="15" fillId="0" borderId="1" applyAlignment="1" pivotButton="0" quotePrefix="0" xfId="0">
      <alignment horizontal="left" vertical="center" wrapText="1"/>
    </xf>
    <xf numFmtId="0" fontId="15" fillId="0" borderId="1" applyAlignment="1" pivotButton="0" quotePrefix="0" xfId="0">
      <alignment horizontal="left" vertical="center"/>
    </xf>
    <xf numFmtId="0" fontId="14" fillId="6" borderId="1" applyAlignment="1" pivotButton="0" quotePrefix="0" xfId="0">
      <alignment horizontal="center" vertical="center"/>
    </xf>
    <xf numFmtId="165" fontId="15" fillId="0" borderId="1" applyAlignment="1" pivotButton="0" quotePrefix="0" xfId="0">
      <alignment horizontal="right" vertical="center"/>
    </xf>
    <xf numFmtId="168" fontId="15" fillId="0" borderId="1" applyAlignment="1" pivotButton="0" quotePrefix="0" xfId="0">
      <alignment horizontal="right" vertical="center"/>
    </xf>
    <xf numFmtId="167" fontId="15" fillId="0" borderId="1" applyAlignment="1" pivotButton="0" quotePrefix="0" xfId="0">
      <alignment horizontal="right" vertical="center"/>
    </xf>
    <xf numFmtId="168" fontId="14" fillId="5" borderId="1" applyAlignment="1" pivotButton="0" quotePrefix="0" xfId="0">
      <alignment horizontal="right" vertical="center"/>
    </xf>
    <xf numFmtId="17" fontId="15" fillId="0" borderId="1" applyAlignment="1" pivotButton="0" quotePrefix="0" xfId="0">
      <alignment horizontal="center" vertical="center"/>
    </xf>
    <xf numFmtId="0" fontId="52" fillId="0" borderId="1" applyAlignment="1" pivotButton="0" quotePrefix="0" xfId="0">
      <alignment horizontal="left" vertical="center" wrapText="1"/>
    </xf>
    <xf numFmtId="168" fontId="53" fillId="0" borderId="1" applyAlignment="1" pivotButton="0" quotePrefix="0" xfId="0">
      <alignment horizontal="right" vertical="center"/>
    </xf>
    <xf numFmtId="0" fontId="16" fillId="9" borderId="0" applyAlignment="1" pivotButton="0" quotePrefix="0" xfId="0">
      <alignment horizontal="left" vertical="center"/>
    </xf>
    <xf numFmtId="0" fontId="16" fillId="9" borderId="0" applyAlignment="1" pivotButton="0" quotePrefix="0" xfId="0">
      <alignment horizontal="right" vertical="center"/>
    </xf>
    <xf numFmtId="0" fontId="15" fillId="0" borderId="1" applyAlignment="1" pivotButton="0" quotePrefix="0" xfId="0">
      <alignment vertical="center"/>
    </xf>
    <xf numFmtId="0" fontId="14" fillId="10" borderId="2" applyAlignment="1" pivotButton="0" quotePrefix="0" xfId="0">
      <alignment horizontal="left" vertical="center"/>
    </xf>
    <xf numFmtId="0" fontId="15" fillId="10" borderId="2" applyAlignment="1" pivotButton="0" quotePrefix="0" xfId="0">
      <alignment vertical="center"/>
    </xf>
    <xf numFmtId="0" fontId="52" fillId="10" borderId="2" applyAlignment="1" pivotButton="0" quotePrefix="0" xfId="0">
      <alignment horizontal="left" vertical="center" wrapText="1"/>
    </xf>
    <xf numFmtId="0" fontId="14" fillId="0" borderId="1" applyAlignment="1" pivotButton="0" quotePrefix="0" xfId="0">
      <alignment horizontal="left" vertical="center"/>
    </xf>
    <xf numFmtId="165" fontId="11" fillId="5" borderId="2" applyAlignment="1" pivotButton="0" quotePrefix="0" xfId="0">
      <alignment horizontal="right" vertical="center"/>
    </xf>
    <xf numFmtId="0" fontId="12" fillId="0" borderId="2" applyAlignment="1" pivotButton="0" quotePrefix="0" xfId="0">
      <alignment vertical="center"/>
    </xf>
    <xf numFmtId="0" fontId="21" fillId="9" borderId="0" applyAlignment="1" pivotButton="0" quotePrefix="0" xfId="0">
      <alignment horizontal="right" vertical="center"/>
    </xf>
    <xf numFmtId="165" fontId="11" fillId="10" borderId="2" applyAlignment="1" pivotButton="0" quotePrefix="0" xfId="0">
      <alignment horizontal="right" vertical="center"/>
    </xf>
    <xf numFmtId="0" fontId="21" fillId="9" borderId="0" applyAlignment="1" pivotButton="0" quotePrefix="0" xfId="0">
      <alignment horizontal="center" vertical="center"/>
    </xf>
    <xf numFmtId="0" fontId="12" fillId="0" borderId="1" applyAlignment="1" pivotButton="0" quotePrefix="0" xfId="0">
      <alignment vertical="center"/>
    </xf>
    <xf numFmtId="168" fontId="12" fillId="5" borderId="1" applyAlignment="1" pivotButton="0" quotePrefix="0" xfId="0">
      <alignment horizontal="right" vertical="center"/>
    </xf>
    <xf numFmtId="0" fontId="10" fillId="0" borderId="1" applyAlignment="1" pivotButton="0" quotePrefix="0" xfId="0">
      <alignment horizontal="center" vertical="center"/>
    </xf>
    <xf numFmtId="0" fontId="21" fillId="9" borderId="0" applyAlignment="1" pivotButton="0" quotePrefix="0" xfId="0">
      <alignment horizontal="right" vertical="center" wrapText="1"/>
    </xf>
    <xf numFmtId="169" fontId="11" fillId="6" borderId="2" applyAlignment="1" pivotButton="0" quotePrefix="0" xfId="0">
      <alignment horizontal="right" vertical="center"/>
    </xf>
    <xf numFmtId="0" fontId="11" fillId="8" borderId="2" applyAlignment="1" pivotButton="0" quotePrefix="0" xfId="0">
      <alignment horizontal="center" vertical="center"/>
    </xf>
    <xf numFmtId="167" fontId="11" fillId="6" borderId="2" applyAlignment="1" pivotButton="0" quotePrefix="0" xfId="0">
      <alignment horizontal="right" vertical="center"/>
    </xf>
    <xf numFmtId="1" fontId="15" fillId="0" borderId="1" applyAlignment="1" pivotButton="0" quotePrefix="0" xfId="0">
      <alignment horizontal="center" vertical="center"/>
    </xf>
    <xf numFmtId="0" fontId="14" fillId="10" borderId="1" applyAlignment="1" pivotButton="0" quotePrefix="0" xfId="0">
      <alignment horizontal="left" vertical="center"/>
    </xf>
    <xf numFmtId="0" fontId="15" fillId="10" borderId="1" applyAlignment="1" pivotButton="0" quotePrefix="0" xfId="0">
      <alignment vertical="center"/>
    </xf>
    <xf numFmtId="168" fontId="14" fillId="10" borderId="1" applyAlignment="1" pivotButton="0" quotePrefix="0" xfId="0">
      <alignment horizontal="right" vertical="center"/>
    </xf>
    <xf numFmtId="0" fontId="50" fillId="0" borderId="1" applyAlignment="1" pivotButton="0" quotePrefix="0" xfId="0">
      <alignment horizontal="left" vertical="center"/>
    </xf>
    <xf numFmtId="169" fontId="11" fillId="10" borderId="2" applyAlignment="1" pivotButton="0" quotePrefix="0" xfId="0">
      <alignment horizontal="center" vertical="center"/>
    </xf>
    <xf numFmtId="0" fontId="12" fillId="5" borderId="1" applyAlignment="1" pivotButton="0" quotePrefix="0" xfId="0">
      <alignment vertical="center"/>
    </xf>
    <xf numFmtId="0" fontId="12" fillId="6" borderId="1" applyAlignment="1" pivotButton="0" quotePrefix="0" xfId="0">
      <alignment vertical="center"/>
    </xf>
    <xf numFmtId="0" fontId="10" fillId="6" borderId="1" applyAlignment="1" pivotButton="0" quotePrefix="0" xfId="0">
      <alignment horizontal="left" vertical="center"/>
    </xf>
    <xf numFmtId="184" fontId="5" fillId="0" borderId="0" pivotButton="0" quotePrefix="0" xfId="0"/>
    <xf numFmtId="0" fontId="5" fillId="0" borderId="0" applyAlignment="1" pivotButton="0" quotePrefix="0" xfId="0">
      <alignment horizontal="right"/>
    </xf>
    <xf numFmtId="0" fontId="39" fillId="3" borderId="0" applyAlignment="1" pivotButton="0" quotePrefix="0" xfId="0">
      <alignment horizontal="center" vertical="center" wrapText="1"/>
    </xf>
    <xf numFmtId="184" fontId="39" fillId="3" borderId="0" applyAlignment="1" pivotButton="0" quotePrefix="0" xfId="0">
      <alignment horizontal="center" vertical="center" wrapText="1"/>
    </xf>
    <xf numFmtId="0" fontId="39" fillId="3" borderId="0" applyAlignment="1" pivotButton="0" quotePrefix="0" xfId="0">
      <alignment horizontal="center" vertical="top" wrapText="1"/>
    </xf>
    <xf numFmtId="0" fontId="21" fillId="3" borderId="0" applyAlignment="1" pivotButton="0" quotePrefix="0" xfId="0">
      <alignment horizontal="center" wrapText="1"/>
    </xf>
    <xf numFmtId="174" fontId="5" fillId="0" borderId="0" pivotButton="0" quotePrefix="0" xfId="0"/>
    <xf numFmtId="0" fontId="5" fillId="0" borderId="0" applyAlignment="1" pivotButton="0" quotePrefix="0" xfId="0">
      <alignment horizontal="left"/>
    </xf>
    <xf numFmtId="0" fontId="54" fillId="0" borderId="0" applyProtection="1" pivotButton="0" quotePrefix="0" xfId="0">
      <protection locked="0" hidden="0"/>
    </xf>
    <xf numFmtId="185" fontId="0" fillId="0" borderId="0" pivotButton="0" quotePrefix="0" xfId="0"/>
    <xf numFmtId="4" fontId="0" fillId="0" borderId="0" pivotButton="0" quotePrefix="0" xfId="0"/>
    <xf numFmtId="0" fontId="55" fillId="0" borderId="0" applyProtection="1" pivotButton="0" quotePrefix="0" xfId="0">
      <protection locked="0" hidden="0"/>
    </xf>
    <xf numFmtId="14" fontId="0" fillId="0" borderId="0" pivotButton="0" quotePrefix="0" xfId="0"/>
    <xf numFmtId="2" fontId="0" fillId="0" borderId="0" pivotButton="0" quotePrefix="0" xfId="0"/>
    <xf numFmtId="1" fontId="5" fillId="0" borderId="0" pivotButton="0" quotePrefix="0" xfId="0"/>
    <xf numFmtId="186" fontId="5" fillId="0" borderId="0" applyAlignment="1" pivotButton="0" quotePrefix="0" xfId="0">
      <alignment horizontal="right"/>
    </xf>
    <xf numFmtId="3" fontId="5" fillId="0" borderId="0" pivotButton="0" quotePrefix="0" xfId="0"/>
    <xf numFmtId="0" fontId="39" fillId="3" borderId="22" applyAlignment="1" pivotButton="0" quotePrefix="0" xfId="0">
      <alignment horizontal="center" vertical="center" wrapText="1"/>
    </xf>
    <xf numFmtId="1" fontId="39" fillId="3" borderId="22" applyAlignment="1" pivotButton="0" quotePrefix="0" xfId="0">
      <alignment horizontal="center" vertical="center" wrapText="1"/>
    </xf>
    <xf numFmtId="186" fontId="39" fillId="3" borderId="22" applyAlignment="1" pivotButton="0" quotePrefix="0" xfId="0">
      <alignment horizontal="center" vertical="center" wrapText="1"/>
    </xf>
    <xf numFmtId="3" fontId="39" fillId="3" borderId="22" applyAlignment="1" pivotButton="0" quotePrefix="0" xfId="0">
      <alignment horizontal="center" vertical="center" wrapText="1"/>
    </xf>
    <xf numFmtId="0" fontId="39" fillId="3" borderId="22" applyAlignment="1" pivotButton="0" quotePrefix="0" xfId="0">
      <alignment horizontal="center" vertical="top" wrapText="1"/>
    </xf>
    <xf numFmtId="3" fontId="6" fillId="0" borderId="0" applyAlignment="1" pivotButton="0" quotePrefix="0" xfId="0">
      <alignment horizontal="center"/>
    </xf>
    <xf numFmtId="0" fontId="6" fillId="0" borderId="0" applyAlignment="1" pivotButton="0" quotePrefix="0" xfId="0">
      <alignment horizontal="center"/>
    </xf>
    <xf numFmtId="37" fontId="5" fillId="0" borderId="0" pivotButton="0" quotePrefix="0" xfId="0"/>
    <xf numFmtId="0" fontId="55" fillId="0" borderId="0" pivotButton="0" quotePrefix="0" xfId="0"/>
    <xf numFmtId="0" fontId="5" fillId="0" borderId="0" applyAlignment="1" pivotButton="0" quotePrefix="0" xfId="0">
      <alignment horizontal="center"/>
    </xf>
    <xf numFmtId="187" fontId="5" fillId="0" borderId="0" pivotButton="0" quotePrefix="0" xfId="0"/>
    <xf numFmtId="0" fontId="5" fillId="0" borderId="0" applyAlignment="1" pivotButton="0" quotePrefix="0" xfId="0">
      <alignment vertical="top" wrapText="1"/>
    </xf>
    <xf numFmtId="186" fontId="5" fillId="0" borderId="0" pivotButton="0" quotePrefix="0" xfId="0"/>
    <xf numFmtId="49" fontId="5" fillId="0" borderId="0" applyAlignment="1" pivotButton="0" quotePrefix="0" xfId="0">
      <alignment horizontal="center"/>
    </xf>
    <xf numFmtId="171" fontId="5" fillId="0" borderId="0" applyAlignment="1" pivotButton="0" quotePrefix="0" xfId="0">
      <alignment horizontal="right"/>
    </xf>
    <xf numFmtId="9" fontId="5" fillId="0" borderId="0" applyAlignment="1" pivotButton="0" quotePrefix="0" xfId="0">
      <alignment horizontal="right"/>
    </xf>
    <xf numFmtId="0" fontId="56" fillId="0" borderId="0" applyAlignment="1" pivotButton="0" quotePrefix="0" xfId="0">
      <alignment horizontal="right"/>
    </xf>
    <xf numFmtId="171" fontId="5" fillId="0" borderId="0" applyAlignment="1" pivotButton="0" quotePrefix="0" xfId="0">
      <alignment vertical="top" wrapText="1"/>
    </xf>
    <xf numFmtId="49" fontId="5" fillId="0" borderId="0" applyAlignment="1" pivotButton="0" quotePrefix="0" xfId="0">
      <alignment horizontal="right"/>
    </xf>
    <xf numFmtId="184" fontId="5" fillId="0" borderId="0" applyAlignment="1" pivotButton="0" quotePrefix="0" xfId="0">
      <alignment horizontal="center"/>
    </xf>
    <xf numFmtId="180" fontId="5" fillId="0" borderId="0" pivotButton="0" quotePrefix="0" xfId="0"/>
    <xf numFmtId="0" fontId="57" fillId="0" borderId="0" pivotButton="0" quotePrefix="0" xfId="0"/>
    <xf numFmtId="0" fontId="58" fillId="0" borderId="0" applyAlignment="1" pivotButton="0" quotePrefix="0" xfId="0">
      <alignment horizontal="left"/>
    </xf>
    <xf numFmtId="0" fontId="58" fillId="0" borderId="0" applyAlignment="1" pivotButton="0" quotePrefix="0" xfId="0">
      <alignment horizontal="center"/>
    </xf>
    <xf numFmtId="188" fontId="0" fillId="0" borderId="0" pivotButton="0" quotePrefix="0" xfId="0"/>
    <xf numFmtId="0" fontId="6" fillId="0" borderId="0" applyAlignment="1" pivotButton="0" quotePrefix="0" xfId="0">
      <alignment horizontal="left"/>
    </xf>
    <xf numFmtId="0" fontId="6" fillId="0" borderId="0" pivotButton="0" quotePrefix="0" xfId="0"/>
    <xf numFmtId="0" fontId="58" fillId="0" borderId="0" applyAlignment="1" pivotButton="0" quotePrefix="0" xfId="0">
      <alignment horizontal="right"/>
    </xf>
    <xf numFmtId="189" fontId="0" fillId="0" borderId="0" pivotButton="0" quotePrefix="0" xfId="0"/>
    <xf numFmtId="37" fontId="0" fillId="0" borderId="0" pivotButton="0" quotePrefix="0" xfId="0"/>
    <xf numFmtId="0" fontId="59" fillId="0" borderId="0" applyAlignment="1" pivotButton="0" quotePrefix="0" xfId="0">
      <alignment horizontal="right"/>
    </xf>
    <xf numFmtId="0" fontId="59" fillId="0" borderId="0" pivotButton="0" quotePrefix="0" xfId="0"/>
    <xf numFmtId="0" fontId="60" fillId="0" borderId="0" pivotButton="0" quotePrefix="0" xfId="0"/>
    <xf numFmtId="0" fontId="57" fillId="0" borderId="0" applyAlignment="1" pivotButton="0" quotePrefix="0" xfId="0">
      <alignment horizontal="left"/>
    </xf>
    <xf numFmtId="0" fontId="59" fillId="0" borderId="0" applyAlignment="1" pivotButton="0" quotePrefix="0" xfId="0">
      <alignment horizontal="left"/>
    </xf>
    <xf numFmtId="0" fontId="0" fillId="0" borderId="21" applyAlignment="1" pivotButton="0" quotePrefix="0" xfId="0">
      <alignment horizontal="right"/>
    </xf>
    <xf numFmtId="0" fontId="58" fillId="0" borderId="0" pivotButton="0" quotePrefix="0" xfId="0"/>
    <xf numFmtId="189" fontId="24" fillId="0" borderId="0" pivotButton="0" quotePrefix="0" xfId="0"/>
    <xf numFmtId="49" fontId="6" fillId="0" borderId="0" applyAlignment="1" pivotButton="0" quotePrefix="0" xfId="0">
      <alignment horizontal="left"/>
    </xf>
    <xf numFmtId="37" fontId="24" fillId="0" borderId="0" applyAlignment="1" pivotButton="0" quotePrefix="0" xfId="0">
      <alignment horizontal="right"/>
    </xf>
    <xf numFmtId="0" fontId="21" fillId="3" borderId="0" applyAlignment="1" pivotButton="0" quotePrefix="0" xfId="0">
      <alignment horizontal="center" vertical="top" wrapText="1"/>
    </xf>
    <xf numFmtId="0" fontId="21" fillId="3" borderId="0" applyAlignment="1" pivotButton="0" quotePrefix="0" xfId="0">
      <alignment horizontal="center"/>
    </xf>
    <xf numFmtId="0" fontId="41" fillId="0" borderId="0" pivotButton="0" quotePrefix="0" xfId="0"/>
    <xf numFmtId="0" fontId="0" fillId="12" borderId="0" pivotButton="0" quotePrefix="0" xfId="0"/>
    <xf numFmtId="0" fontId="43" fillId="13" borderId="0" pivotButton="0" quotePrefix="0" xfId="0"/>
    <xf numFmtId="0" fontId="22" fillId="0" borderId="23" pivotButton="0" quotePrefix="0" xfId="0"/>
    <xf numFmtId="0" fontId="61" fillId="0" borderId="23" pivotButton="0" quotePrefix="0" xfId="0"/>
    <xf numFmtId="0" fontId="20" fillId="0" borderId="0" pivotButton="0" quotePrefix="0" xfId="0"/>
    <xf numFmtId="0" fontId="62" fillId="0" borderId="0" pivotButton="0" quotePrefix="0" xfId="0"/>
    <xf numFmtId="0" fontId="0" fillId="0" borderId="23" pivotButton="0" quotePrefix="0" xfId="0"/>
    <xf numFmtId="0" fontId="0" fillId="0" borderId="23" applyAlignment="1" pivotButton="0" quotePrefix="0" xfId="0">
      <alignment vertical="top" wrapText="1"/>
    </xf>
    <xf numFmtId="0" fontId="65" fillId="21" borderId="24" applyAlignment="1" pivotButton="0" quotePrefix="0" xfId="0">
      <alignment horizontal="center" vertical="center" wrapText="1"/>
    </xf>
    <xf numFmtId="0" fontId="66" fillId="4" borderId="24" applyAlignment="1" pivotButton="0" quotePrefix="0" xfId="0">
      <alignment horizontal="center" vertical="center"/>
    </xf>
    <xf numFmtId="0" fontId="65" fillId="21" borderId="24" applyAlignment="1" pivotButton="0" quotePrefix="0" xfId="0">
      <alignment horizontal="center" vertical="top" wrapText="1"/>
    </xf>
    <xf numFmtId="0" fontId="67" fillId="0" borderId="24" applyAlignment="1" pivotButton="0" quotePrefix="0" xfId="0">
      <alignment vertical="top" wrapText="1"/>
    </xf>
    <xf numFmtId="0" fontId="31" fillId="0" borderId="24" applyAlignment="1" pivotButton="0" quotePrefix="0" xfId="0">
      <alignment horizontal="center" vertical="center"/>
    </xf>
    <xf numFmtId="0" fontId="31" fillId="0" borderId="24" applyAlignment="1" pivotButton="0" quotePrefix="0" xfId="0">
      <alignment horizontal="left" vertical="center"/>
    </xf>
    <xf numFmtId="3" fontId="67" fillId="0" borderId="24" applyAlignment="1" pivotButton="0" quotePrefix="0" xfId="0">
      <alignment vertical="top" wrapText="1"/>
    </xf>
    <xf numFmtId="0" fontId="31" fillId="11" borderId="24" pivotButton="0" quotePrefix="0" xfId="0"/>
    <xf numFmtId="0" fontId="31" fillId="11" borderId="24" applyAlignment="1" pivotButton="0" quotePrefix="0" xfId="0">
      <alignment vertical="top" wrapText="1"/>
    </xf>
    <xf numFmtId="0" fontId="31" fillId="0" borderId="24" pivotButton="0" quotePrefix="0" xfId="0"/>
    <xf numFmtId="0" fontId="31" fillId="0" borderId="24" applyAlignment="1" pivotButton="0" quotePrefix="0" xfId="0">
      <alignment vertical="top" wrapText="1"/>
    </xf>
    <xf numFmtId="0" fontId="66" fillId="4" borderId="24" applyAlignment="1" pivotButton="0" quotePrefix="0" xfId="0">
      <alignment horizontal="center"/>
    </xf>
    <xf numFmtId="0" fontId="67" fillId="0" borderId="24" applyAlignment="1" pivotButton="0" quotePrefix="0" xfId="0">
      <alignment vertical="center"/>
    </xf>
    <xf numFmtId="0" fontId="31" fillId="0" borderId="24" applyAlignment="1" pivotButton="0" quotePrefix="0" xfId="0">
      <alignment horizontal="left"/>
    </xf>
    <xf numFmtId="3" fontId="67" fillId="0" borderId="24" applyAlignment="1" pivotButton="0" quotePrefix="0" xfId="0">
      <alignment vertical="center"/>
    </xf>
    <xf numFmtId="4" fontId="67" fillId="0" borderId="24" applyAlignment="1" pivotButton="0" quotePrefix="0" xfId="0">
      <alignment vertical="center"/>
    </xf>
    <xf numFmtId="4" fontId="69" fillId="5" borderId="24" applyAlignment="1" pivotButton="0" quotePrefix="0" xfId="0">
      <alignment vertical="center"/>
    </xf>
    <xf numFmtId="4" fontId="69" fillId="6" borderId="24" applyAlignment="1" pivotButton="0" quotePrefix="0" xfId="0">
      <alignment vertical="center"/>
    </xf>
    <xf numFmtId="4" fontId="69" fillId="6" borderId="24" applyAlignment="1" pivotButton="0" quotePrefix="0" xfId="0">
      <alignment vertical="center" wrapText="1"/>
    </xf>
    <xf numFmtId="4" fontId="69" fillId="0" borderId="24" applyAlignment="1" pivotButton="0" quotePrefix="0" xfId="0">
      <alignment vertical="center"/>
    </xf>
    <xf numFmtId="0" fontId="69" fillId="5" borderId="24" applyAlignment="1" pivotButton="0" quotePrefix="0" xfId="0">
      <alignment vertical="center"/>
    </xf>
    <xf numFmtId="0" fontId="69" fillId="6" borderId="24" applyAlignment="1" pivotButton="0" quotePrefix="0" xfId="0">
      <alignment vertical="center"/>
    </xf>
    <xf numFmtId="0" fontId="69" fillId="0" borderId="24" applyAlignment="1" pivotButton="0" quotePrefix="0" xfId="0">
      <alignment vertical="center"/>
    </xf>
    <xf numFmtId="0" fontId="31" fillId="0" borderId="24" applyAlignment="1" pivotButton="0" quotePrefix="0" xfId="0">
      <alignment horizontal="left" vertical="top" wrapText="1"/>
    </xf>
    <xf numFmtId="3" fontId="31" fillId="0" borderId="24" applyAlignment="1" pivotButton="0" quotePrefix="0" xfId="0">
      <alignment horizontal="right"/>
    </xf>
    <xf numFmtId="1" fontId="31" fillId="0" borderId="24" applyAlignment="1" pivotButton="0" quotePrefix="0" xfId="0">
      <alignment horizontal="left"/>
    </xf>
    <xf numFmtId="3" fontId="31" fillId="0" borderId="24" applyAlignment="1" pivotButton="0" quotePrefix="0" xfId="0">
      <alignment horizontal="left"/>
    </xf>
    <xf numFmtId="4" fontId="31" fillId="0" borderId="24" applyAlignment="1" pivotButton="0" quotePrefix="0" xfId="0">
      <alignment horizontal="right"/>
    </xf>
    <xf numFmtId="4" fontId="31" fillId="0" borderId="24" applyAlignment="1" pivotButton="0" quotePrefix="0" xfId="0">
      <alignment horizontal="left"/>
    </xf>
    <xf numFmtId="0" fontId="71" fillId="4" borderId="24" applyAlignment="1" pivotButton="0" quotePrefix="0" xfId="0">
      <alignment horizontal="center" vertical="center" wrapText="1"/>
    </xf>
    <xf numFmtId="0" fontId="71" fillId="4" borderId="24" applyAlignment="1" pivotButton="0" quotePrefix="0" xfId="0">
      <alignment horizontal="center" vertical="top" wrapText="1"/>
    </xf>
    <xf numFmtId="0" fontId="31" fillId="11" borderId="24" applyAlignment="1" pivotButton="0" quotePrefix="0" xfId="0">
      <alignment horizontal="left" vertical="center"/>
    </xf>
    <xf numFmtId="0" fontId="31" fillId="11" borderId="24" applyAlignment="1" pivotButton="0" quotePrefix="0" xfId="0">
      <alignment horizontal="left" vertical="top" wrapText="1"/>
    </xf>
    <xf numFmtId="3" fontId="31" fillId="11" borderId="24" applyAlignment="1" pivotButton="0" quotePrefix="0" xfId="0">
      <alignment horizontal="right" vertical="center"/>
    </xf>
    <xf numFmtId="171" fontId="31" fillId="11" borderId="24" applyAlignment="1" pivotButton="0" quotePrefix="0" xfId="0">
      <alignment horizontal="right" vertical="center"/>
    </xf>
    <xf numFmtId="3" fontId="31" fillId="0" borderId="24" applyAlignment="1" pivotButton="0" quotePrefix="0" xfId="0">
      <alignment horizontal="right" vertical="center"/>
    </xf>
    <xf numFmtId="171" fontId="31" fillId="0" borderId="24" applyAlignment="1" pivotButton="0" quotePrefix="0" xfId="0">
      <alignment horizontal="right" vertical="center"/>
    </xf>
    <xf numFmtId="0" fontId="31" fillId="11" borderId="24" applyAlignment="1" pivotButton="0" quotePrefix="0" xfId="0">
      <alignment horizontal="left" vertical="center" wrapText="1"/>
    </xf>
    <xf numFmtId="0" fontId="31" fillId="0" borderId="24" applyAlignment="1" pivotButton="0" quotePrefix="0" xfId="0">
      <alignment horizontal="left" vertical="center" wrapText="1"/>
    </xf>
    <xf numFmtId="0" fontId="31" fillId="6" borderId="24" applyAlignment="1" pivotButton="0" quotePrefix="0" xfId="0">
      <alignment horizontal="left" vertical="center"/>
    </xf>
    <xf numFmtId="0" fontId="31" fillId="6" borderId="24" applyAlignment="1" pivotButton="0" quotePrefix="0" xfId="0">
      <alignment horizontal="left" vertical="top" wrapText="1"/>
    </xf>
    <xf numFmtId="3" fontId="31" fillId="6" borderId="24" applyAlignment="1" pivotButton="0" quotePrefix="0" xfId="0">
      <alignment horizontal="right" vertical="center"/>
    </xf>
    <xf numFmtId="38" fontId="31" fillId="6" borderId="24" applyAlignment="1" pivotButton="0" quotePrefix="0" xfId="0">
      <alignment horizontal="right" vertical="center"/>
    </xf>
    <xf numFmtId="171" fontId="31" fillId="6" borderId="24" applyAlignment="1" pivotButton="0" quotePrefix="0" xfId="0">
      <alignment horizontal="right" vertical="center"/>
    </xf>
    <xf numFmtId="38" fontId="31" fillId="11" borderId="24" applyAlignment="1" pivotButton="0" quotePrefix="0" xfId="0">
      <alignment horizontal="right" vertical="center"/>
    </xf>
    <xf numFmtId="38" fontId="31" fillId="0" borderId="24" applyAlignment="1" pivotButton="0" quotePrefix="0" xfId="0">
      <alignment horizontal="right" vertical="center"/>
    </xf>
    <xf numFmtId="1" fontId="31" fillId="0" borderId="24" applyAlignment="1" pivotButton="0" quotePrefix="0" xfId="0">
      <alignment horizontal="right" vertical="center"/>
    </xf>
    <xf numFmtId="190" fontId="31" fillId="0" borderId="24" applyAlignment="1" pivotButton="0" quotePrefix="0" xfId="0">
      <alignment horizontal="right" vertical="center"/>
    </xf>
    <xf numFmtId="190" fontId="31" fillId="0" borderId="24" applyAlignment="1" pivotButton="0" quotePrefix="0" xfId="0">
      <alignment horizontal="left" vertical="center"/>
    </xf>
    <xf numFmtId="1" fontId="31" fillId="11" borderId="24" applyAlignment="1" pivotButton="0" quotePrefix="0" xfId="0">
      <alignment horizontal="right" vertical="center"/>
    </xf>
    <xf numFmtId="190" fontId="31" fillId="11" borderId="24" applyAlignment="1" pivotButton="0" quotePrefix="0" xfId="0">
      <alignment horizontal="right" vertical="center"/>
    </xf>
    <xf numFmtId="190" fontId="31" fillId="11" borderId="24" applyAlignment="1" pivotButton="0" quotePrefix="0" xfId="0">
      <alignment horizontal="left" vertical="center"/>
    </xf>
    <xf numFmtId="0" fontId="31" fillId="23" borderId="24" applyAlignment="1" pivotButton="0" quotePrefix="0" xfId="0">
      <alignment horizontal="left" vertical="center"/>
    </xf>
    <xf numFmtId="0" fontId="31" fillId="23" borderId="24" applyAlignment="1" pivotButton="0" quotePrefix="0" xfId="0">
      <alignment horizontal="left" vertical="top" wrapText="1"/>
    </xf>
    <xf numFmtId="3" fontId="31" fillId="23" borderId="24" applyAlignment="1" pivotButton="0" quotePrefix="0" xfId="0">
      <alignment horizontal="right" vertical="center"/>
    </xf>
    <xf numFmtId="38" fontId="31" fillId="23" borderId="24" applyAlignment="1" pivotButton="0" quotePrefix="0" xfId="0">
      <alignment horizontal="right" vertical="center"/>
    </xf>
    <xf numFmtId="171" fontId="31" fillId="23" borderId="24" applyAlignment="1" pivotButton="0" quotePrefix="0" xfId="0">
      <alignment horizontal="right" vertical="center"/>
    </xf>
    <xf numFmtId="190" fontId="0" fillId="0" borderId="0" pivotButton="0" quotePrefix="0" xfId="0"/>
    <xf numFmtId="14" fontId="12" fillId="6" borderId="1" applyAlignment="1" pivotButton="0" quotePrefix="0" xfId="0">
      <alignment horizontal="left" vertical="center"/>
    </xf>
    <xf numFmtId="172" fontId="12" fillId="6" borderId="1" applyAlignment="1" pivotButton="0" quotePrefix="0" xfId="0">
      <alignment horizontal="left" vertical="center"/>
    </xf>
    <xf numFmtId="10" fontId="12" fillId="6" borderId="1" applyAlignment="1" pivotButton="0" quotePrefix="0" xfId="0">
      <alignment horizontal="left" vertical="center"/>
    </xf>
    <xf numFmtId="191" fontId="12" fillId="6" borderId="1" applyAlignment="1" pivotButton="0" quotePrefix="0" xfId="0">
      <alignment horizontal="left" vertical="center"/>
    </xf>
    <xf numFmtId="171" fontId="12" fillId="6" borderId="1" applyAlignment="1" pivotButton="0" quotePrefix="0" xfId="0">
      <alignment horizontal="left" vertical="center"/>
    </xf>
    <xf numFmtId="178" fontId="12" fillId="6" borderId="1" applyAlignment="1" pivotButton="0" quotePrefix="0" xfId="0">
      <alignment horizontal="left" vertical="center"/>
    </xf>
    <xf numFmtId="172" fontId="15" fillId="5" borderId="1" applyAlignment="1" pivotButton="0" quotePrefix="0" xfId="0">
      <alignment horizontal="right" vertical="center"/>
    </xf>
    <xf numFmtId="191" fontId="12" fillId="5" borderId="1" applyAlignment="1" pivotButton="0" quotePrefix="0" xfId="0">
      <alignment horizontal="left" vertical="center"/>
    </xf>
    <xf numFmtId="172" fontId="12" fillId="6" borderId="1" applyAlignment="1" pivotButton="0" quotePrefix="0" xfId="0">
      <alignment horizontal="right" vertical="center"/>
    </xf>
    <xf numFmtId="172" fontId="0" fillId="6" borderId="3" applyAlignment="1" pivotButton="0" quotePrefix="0" xfId="0">
      <alignment vertical="center"/>
    </xf>
    <xf numFmtId="9" fontId="0" fillId="6" borderId="3" applyAlignment="1" pivotButton="0" quotePrefix="0" xfId="0">
      <alignment vertical="center"/>
    </xf>
    <xf numFmtId="9" fontId="0" fillId="6" borderId="3" pivotButton="0" quotePrefix="0" xfId="0"/>
    <xf numFmtId="14" fontId="12" fillId="6" borderId="1" applyAlignment="1" pivotButton="0" quotePrefix="0" xfId="0">
      <alignment horizontal="right" vertical="center"/>
    </xf>
    <xf numFmtId="3" fontId="12" fillId="6" borderId="1" applyAlignment="1" pivotButton="0" quotePrefix="0" xfId="0">
      <alignment horizontal="right" vertical="center"/>
    </xf>
    <xf numFmtId="3" fontId="15" fillId="0" borderId="1" applyAlignment="1" pivotButton="0" quotePrefix="0" xfId="0">
      <alignment horizontal="right" vertical="center"/>
    </xf>
    <xf numFmtId="172" fontId="15" fillId="0" borderId="1" applyAlignment="1" pivotButton="0" quotePrefix="0" xfId="0">
      <alignment horizontal="right" vertical="center"/>
    </xf>
    <xf numFmtId="171" fontId="14" fillId="5" borderId="1" applyAlignment="1" pivotButton="0" quotePrefix="0" xfId="0">
      <alignment horizontal="right" vertical="center"/>
    </xf>
    <xf numFmtId="14" fontId="15" fillId="0" borderId="1" applyAlignment="1" pivotButton="0" quotePrefix="0" xfId="0">
      <alignment horizontal="center" vertical="center"/>
    </xf>
    <xf numFmtId="171" fontId="15" fillId="0" borderId="1" applyAlignment="1" pivotButton="0" quotePrefix="0" xfId="0">
      <alignment horizontal="right" vertical="center"/>
    </xf>
    <xf numFmtId="14" fontId="15" fillId="0" borderId="1" applyAlignment="1" pivotButton="0" quotePrefix="0" xfId="0">
      <alignment horizontal="left" vertical="center"/>
    </xf>
    <xf numFmtId="14" fontId="15" fillId="0" borderId="1" applyAlignment="1" pivotButton="0" quotePrefix="0" xfId="0">
      <alignment vertical="center"/>
    </xf>
    <xf numFmtId="171" fontId="15" fillId="0" borderId="1" applyAlignment="1" pivotButton="0" quotePrefix="0" xfId="0">
      <alignment vertical="center"/>
    </xf>
    <xf numFmtId="14" fontId="15" fillId="10" borderId="2" applyAlignment="1" pivotButton="0" quotePrefix="0" xfId="0">
      <alignment vertical="center"/>
    </xf>
    <xf numFmtId="171" fontId="14" fillId="10" borderId="2" applyAlignment="1" pivotButton="0" quotePrefix="0" xfId="0">
      <alignment horizontal="right" vertical="center"/>
    </xf>
    <xf numFmtId="172" fontId="14" fillId="10" borderId="2" applyAlignment="1" pivotButton="0" quotePrefix="0" xfId="0">
      <alignment horizontal="right" vertical="center"/>
    </xf>
    <xf numFmtId="171" fontId="15" fillId="10" borderId="2" applyAlignment="1" pivotButton="0" quotePrefix="0" xfId="0">
      <alignment vertical="center"/>
    </xf>
    <xf numFmtId="10" fontId="12" fillId="6" borderId="1" applyAlignment="1" pivotButton="0" quotePrefix="0" xfId="0">
      <alignment horizontal="right" vertical="center"/>
    </xf>
    <xf numFmtId="10" fontId="11" fillId="10" borderId="2" applyAlignment="1" pivotButton="0" quotePrefix="0" xfId="0">
      <alignment horizontal="right" vertical="center"/>
    </xf>
    <xf numFmtId="9" fontId="12" fillId="6" borderId="1" applyAlignment="1" pivotButton="0" quotePrefix="0" xfId="0">
      <alignment horizontal="center" vertical="center"/>
    </xf>
    <xf numFmtId="0" fontId="72" fillId="0" borderId="24" applyAlignment="1" pivotButton="0" quotePrefix="0" xfId="0">
      <alignment horizontal="center" vertical="top"/>
    </xf>
    <xf numFmtId="192" fontId="0" fillId="0" borderId="0" pivotButton="0" quotePrefix="0" xfId="0"/>
    <xf numFmtId="193" fontId="0" fillId="0" borderId="0" pivotButton="0" quotePrefix="0" xfId="0"/>
    <xf numFmtId="0" fontId="72" fillId="0" borderId="36" applyAlignment="1" pivotButton="0" quotePrefix="0" xfId="0">
      <alignment horizontal="center" vertical="top"/>
    </xf>
    <xf numFmtId="0" fontId="73" fillId="24" borderId="0" pivotButton="0" quotePrefix="0" xfId="0"/>
    <xf numFmtId="193" fontId="73" fillId="24" borderId="0" pivotButton="0" quotePrefix="0" xfId="0"/>
    <xf numFmtId="192" fontId="73" fillId="24" borderId="0" pivotButton="0" quotePrefix="0" xfId="0"/>
    <xf numFmtId="0" fontId="74" fillId="0" borderId="0" pivotButton="0" quotePrefix="0" xfId="0"/>
    <xf numFmtId="0" fontId="73" fillId="25" borderId="0" applyAlignment="1" pivotButton="0" quotePrefix="0" xfId="0">
      <alignment horizontal="center"/>
    </xf>
    <xf numFmtId="0" fontId="73" fillId="25" borderId="37" pivotButton="0" quotePrefix="0" xfId="0"/>
    <xf numFmtId="0" fontId="73" fillId="25" borderId="37" applyAlignment="1" pivotButton="0" quotePrefix="0" xfId="0">
      <alignment horizontal="center"/>
    </xf>
    <xf numFmtId="183" fontId="0" fillId="0" borderId="0" pivotButton="0" quotePrefix="0" xfId="0"/>
    <xf numFmtId="0" fontId="45" fillId="0" borderId="0" applyAlignment="1" pivotButton="0" quotePrefix="0" xfId="0">
      <alignment horizontal="left" vertical="center" indent="1"/>
    </xf>
    <xf numFmtId="0" fontId="0" fillId="0" borderId="0" pivotButton="0" quotePrefix="0" xfId="0"/>
    <xf numFmtId="0" fontId="9" fillId="20" borderId="0" applyAlignment="1" pivotButton="0" quotePrefix="0" xfId="0">
      <alignment vertical="top" wrapText="1"/>
    </xf>
    <xf numFmtId="0" fontId="18" fillId="0" borderId="0" applyAlignment="1" pivotButton="0" quotePrefix="0" xfId="0">
      <alignment vertical="top" wrapText="1"/>
    </xf>
    <xf numFmtId="0" fontId="10" fillId="0" borderId="0" applyAlignment="1" pivotButton="0" quotePrefix="0" xfId="0">
      <alignment horizontal="left" vertical="top" wrapText="1"/>
    </xf>
    <xf numFmtId="1" fontId="15" fillId="6" borderId="1" applyAlignment="1" pivotButton="0" quotePrefix="0" xfId="0">
      <alignment horizontal="left" vertical="center"/>
    </xf>
    <xf numFmtId="0" fontId="0" fillId="0" borderId="1" pivotButton="0" quotePrefix="0" xfId="0"/>
    <xf numFmtId="0" fontId="15" fillId="6" borderId="1" applyAlignment="1" pivotButton="0" quotePrefix="0" xfId="0">
      <alignment horizontal="left" vertical="center" wrapText="1"/>
    </xf>
    <xf numFmtId="0" fontId="15" fillId="6" borderId="1" applyAlignment="1" pivotButton="0" quotePrefix="0" xfId="0">
      <alignment horizontal="left" vertical="center"/>
    </xf>
    <xf numFmtId="0" fontId="15" fillId="5" borderId="1" applyAlignment="1" pivotButton="0" quotePrefix="0" xfId="0">
      <alignment horizontal="left" vertical="center"/>
    </xf>
    <xf numFmtId="0" fontId="13" fillId="7" borderId="0" applyAlignment="1" pivotButton="0" quotePrefix="0" xfId="0">
      <alignment horizontal="center" vertical="center"/>
    </xf>
    <xf numFmtId="164" fontId="15" fillId="6" borderId="1" applyAlignment="1" pivotButton="0" quotePrefix="0" xfId="0">
      <alignment horizontal="left" vertical="center"/>
    </xf>
    <xf numFmtId="0" fontId="15" fillId="5" borderId="1" applyAlignment="1" pivotButton="0" quotePrefix="0" xfId="0">
      <alignment horizontal="left" vertical="center" wrapText="1"/>
    </xf>
    <xf numFmtId="49" fontId="15" fillId="5" borderId="1" applyAlignment="1" pivotButton="0" quotePrefix="0" xfId="0">
      <alignment horizontal="left" vertical="center"/>
    </xf>
    <xf numFmtId="164" fontId="15" fillId="5" borderId="1" applyAlignment="1" pivotButton="0" quotePrefix="0" xfId="0">
      <alignment horizontal="left" vertical="center"/>
    </xf>
    <xf numFmtId="170" fontId="15" fillId="5" borderId="1" applyAlignment="1" pivotButton="0" quotePrefix="0" xfId="0">
      <alignment horizontal="left" vertical="center"/>
    </xf>
    <xf numFmtId="1" fontId="15" fillId="5" borderId="1" applyAlignment="1" pivotButton="0" quotePrefix="0" xfId="0">
      <alignment horizontal="left" vertical="center"/>
    </xf>
    <xf numFmtId="165" fontId="15" fillId="5" borderId="1" applyAlignment="1" pivotButton="0" quotePrefix="0" xfId="0">
      <alignment horizontal="left" vertical="center"/>
    </xf>
    <xf numFmtId="49" fontId="15" fillId="6" borderId="1" applyAlignment="1" pivotButton="0" quotePrefix="0" xfId="0">
      <alignment horizontal="left" vertical="center"/>
    </xf>
    <xf numFmtId="0" fontId="14" fillId="8" borderId="0" applyAlignment="1" pivotButton="0" quotePrefix="0" xfId="0">
      <alignment horizontal="left" vertical="top" wrapText="1"/>
    </xf>
    <xf numFmtId="0" fontId="14" fillId="8" borderId="0" applyAlignment="1" pivotButton="0" quotePrefix="0" xfId="0">
      <alignment horizontal="left" vertical="center"/>
    </xf>
    <xf numFmtId="0" fontId="17" fillId="3" borderId="0" pivotButton="0" quotePrefix="0" xfId="0"/>
    <xf numFmtId="0" fontId="20" fillId="0" borderId="0" applyAlignment="1" pivotButton="0" quotePrefix="0" xfId="0">
      <alignment wrapText="1"/>
    </xf>
    <xf numFmtId="0" fontId="18" fillId="0" borderId="0" applyAlignment="1" pivotButton="0" quotePrefix="0" xfId="0">
      <alignment wrapText="1"/>
    </xf>
    <xf numFmtId="0" fontId="26" fillId="0" borderId="0" applyAlignment="1" pivotButton="0" quotePrefix="0" xfId="0">
      <alignment horizontal="left" vertical="top" wrapText="1"/>
    </xf>
    <xf numFmtId="0" fontId="24" fillId="0" borderId="0" pivotButton="0" quotePrefix="0" xfId="0"/>
    <xf numFmtId="0" fontId="31" fillId="13" borderId="14" applyAlignment="1" applyProtection="1" pivotButton="0" quotePrefix="0" xfId="0">
      <alignment horizontal="left" vertical="top" wrapText="1"/>
      <protection locked="0" hidden="0"/>
    </xf>
    <xf numFmtId="0" fontId="0" fillId="0" borderId="25" applyProtection="1" pivotButton="0" quotePrefix="0" xfId="0">
      <protection locked="0" hidden="0"/>
    </xf>
    <xf numFmtId="0" fontId="0" fillId="0" borderId="27" applyProtection="1" pivotButton="0" quotePrefix="0" xfId="0">
      <protection locked="0" hidden="0"/>
    </xf>
    <xf numFmtId="0" fontId="0" fillId="0" borderId="26" applyProtection="1" pivotButton="0" quotePrefix="0" xfId="0">
      <protection locked="0" hidden="0"/>
    </xf>
    <xf numFmtId="0" fontId="0" fillId="0" borderId="0"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27" fillId="13" borderId="4" applyAlignment="1" pivotButton="0" quotePrefix="0" xfId="0">
      <alignment horizontal="left" vertical="center"/>
    </xf>
    <xf numFmtId="0" fontId="0" fillId="0" borderId="32" pivotButton="0" quotePrefix="0" xfId="0"/>
    <xf numFmtId="0" fontId="0" fillId="0" borderId="33" pivotButton="0" quotePrefix="0" xfId="0"/>
    <xf numFmtId="172" fontId="31" fillId="13" borderId="4" applyAlignment="1" applyProtection="1" pivotButton="0" quotePrefix="0" xfId="0">
      <alignment horizontal="right" vertical="center"/>
      <protection locked="0" hidden="0"/>
    </xf>
    <xf numFmtId="0" fontId="0" fillId="0" borderId="34" applyProtection="1" pivotButton="0" quotePrefix="0" xfId="0">
      <protection locked="0" hidden="0"/>
    </xf>
    <xf numFmtId="0" fontId="0" fillId="0" borderId="35" applyProtection="1" pivotButton="0" quotePrefix="0" xfId="0">
      <protection locked="0" hidden="0"/>
    </xf>
    <xf numFmtId="0" fontId="31" fillId="13" borderId="4" pivotButton="0" quotePrefix="0" xfId="0"/>
    <xf numFmtId="0" fontId="0" fillId="0" borderId="34" pivotButton="0" quotePrefix="0" xfId="0"/>
    <xf numFmtId="0" fontId="0" fillId="0" borderId="35" pivotButton="0" quotePrefix="0" xfId="0"/>
    <xf numFmtId="0" fontId="31" fillId="13" borderId="4" applyAlignment="1" applyProtection="1" pivotButton="0" quotePrefix="0" xfId="0">
      <alignment horizontal="left" vertical="center"/>
      <protection locked="0" hidden="0"/>
    </xf>
    <xf numFmtId="176" fontId="34" fillId="16" borderId="4" applyAlignment="1" pivotButton="0" quotePrefix="0" xfId="0">
      <alignment horizontal="left" vertical="center"/>
    </xf>
    <xf numFmtId="0" fontId="33" fillId="15" borderId="4" applyAlignment="1" pivotButton="0" quotePrefix="0" xfId="0">
      <alignment horizontal="center" vertical="center" wrapText="1"/>
    </xf>
    <xf numFmtId="0" fontId="31" fillId="13" borderId="14" applyAlignment="1" pivotButton="0" quotePrefix="0" xfId="0">
      <alignment horizontal="left" vertical="top" wrapText="1"/>
    </xf>
    <xf numFmtId="0" fontId="0" fillId="0" borderId="25" pivotButton="0" quotePrefix="0" xfId="0"/>
    <xf numFmtId="0" fontId="0" fillId="0" borderId="27" pivotButton="0" quotePrefix="0" xfId="0"/>
    <xf numFmtId="0" fontId="0" fillId="0" borderId="26" pivotButton="0" quotePrefix="0" xfId="0"/>
    <xf numFmtId="0" fontId="4" fillId="0" borderId="0" pivotButton="0" quotePrefix="0" xfId="0"/>
    <xf numFmtId="0" fontId="0" fillId="0" borderId="28" pivotButton="0" quotePrefix="0" xfId="0"/>
    <xf numFmtId="0" fontId="0" fillId="0" borderId="29" pivotButton="0" quotePrefix="0" xfId="0"/>
    <xf numFmtId="0" fontId="0" fillId="0" borderId="30" pivotButton="0" quotePrefix="0" xfId="0"/>
    <xf numFmtId="0" fontId="0" fillId="0" borderId="31" pivotButton="0" quotePrefix="0" xfId="0"/>
    <xf numFmtId="172" fontId="31" fillId="0" borderId="4" applyAlignment="1" pivotButton="0" quotePrefix="0" xfId="0">
      <alignment horizontal="right" vertical="center"/>
    </xf>
    <xf numFmtId="0" fontId="31" fillId="0" borderId="4" pivotButton="0" quotePrefix="0" xfId="0"/>
    <xf numFmtId="176" fontId="31" fillId="0" borderId="4" applyAlignment="1" pivotButton="0" quotePrefix="0" xfId="0">
      <alignment horizontal="right" vertical="center"/>
    </xf>
    <xf numFmtId="172" fontId="31" fillId="13" borderId="4" applyAlignment="1" pivotButton="0" quotePrefix="0" xfId="0">
      <alignment horizontal="right"/>
    </xf>
    <xf numFmtId="0" fontId="31" fillId="0" borderId="4" applyAlignment="1" pivotButton="0" quotePrefix="0" xfId="0">
      <alignment horizontal="left" vertical="center"/>
    </xf>
    <xf numFmtId="0" fontId="5" fillId="0" borderId="0" pivotButton="0" quotePrefix="0" xfId="0"/>
    <xf numFmtId="0" fontId="31" fillId="0" borderId="4" applyAlignment="1" applyProtection="1" pivotButton="0" quotePrefix="0" xfId="0">
      <alignment horizontal="left" vertical="center"/>
      <protection locked="0" hidden="0"/>
    </xf>
    <xf numFmtId="0" fontId="31" fillId="17" borderId="4" applyAlignment="1" pivotButton="0" quotePrefix="0" xfId="0">
      <alignment horizontal="left" vertical="center"/>
    </xf>
    <xf numFmtId="3" fontId="12" fillId="5" borderId="1" applyAlignment="1" pivotButton="0" quotePrefix="0" xfId="0">
      <alignment horizontal="right" vertical="center"/>
    </xf>
    <xf numFmtId="0" fontId="12" fillId="5" borderId="1" applyAlignment="1" pivotButton="0" quotePrefix="0" xfId="0">
      <alignment horizontal="left" vertical="center" wrapText="1"/>
    </xf>
    <xf numFmtId="168" fontId="11" fillId="10" borderId="2" applyAlignment="1" pivotButton="0" quotePrefix="0" xfId="0">
      <alignment horizontal="right" vertical="center"/>
    </xf>
    <xf numFmtId="0" fontId="0" fillId="0" borderId="2" pivotButton="0" quotePrefix="0" xfId="0"/>
    <xf numFmtId="0" fontId="12" fillId="5" borderId="1" applyAlignment="1" pivotButton="0" quotePrefix="0" xfId="0">
      <alignment horizontal="left" vertical="center"/>
    </xf>
    <xf numFmtId="169" fontId="11" fillId="10" borderId="2" applyAlignment="1" pivotButton="0" quotePrefix="0" xfId="0">
      <alignment horizontal="right" vertical="center"/>
    </xf>
    <xf numFmtId="167" fontId="12" fillId="5" borderId="1" applyAlignment="1" pivotButton="0" quotePrefix="0" xfId="0">
      <alignment horizontal="right" vertical="center"/>
    </xf>
    <xf numFmtId="0" fontId="11" fillId="10" borderId="2" applyAlignment="1" pivotButton="0" quotePrefix="0" xfId="0">
      <alignment horizontal="right" vertical="center"/>
    </xf>
    <xf numFmtId="0" fontId="39" fillId="7" borderId="0" applyAlignment="1" pivotButton="0" quotePrefix="0" xfId="0">
      <alignment horizontal="center" vertical="center"/>
    </xf>
    <xf numFmtId="167" fontId="11" fillId="10" borderId="2" applyAlignment="1" pivotButton="0" quotePrefix="0" xfId="0">
      <alignment horizontal="right" vertical="center"/>
    </xf>
    <xf numFmtId="0" fontId="11" fillId="8" borderId="0" applyAlignment="1" pivotButton="0" quotePrefix="0" xfId="0">
      <alignment vertical="center"/>
    </xf>
    <xf numFmtId="168" fontId="11" fillId="5" borderId="1" applyAlignment="1" pivotButton="0" quotePrefix="0" xfId="0">
      <alignment horizontal="right" vertical="center"/>
    </xf>
    <xf numFmtId="172" fontId="12" fillId="6" borderId="1" applyAlignment="1" pivotButton="0" quotePrefix="0" xfId="0">
      <alignment horizontal="right" vertical="center"/>
    </xf>
    <xf numFmtId="0" fontId="39" fillId="9" borderId="0" applyAlignment="1" pivotButton="0" quotePrefix="0" xfId="0">
      <alignment horizontal="center" vertical="center"/>
    </xf>
    <xf numFmtId="0" fontId="12" fillId="5" borderId="1" applyAlignment="1" pivotButton="0" quotePrefix="0" xfId="0">
      <alignment horizontal="right" vertical="center"/>
    </xf>
    <xf numFmtId="165" fontId="12" fillId="5" borderId="1" applyAlignment="1" pivotButton="0" quotePrefix="0" xfId="0">
      <alignment horizontal="left" vertical="center"/>
    </xf>
    <xf numFmtId="167" fontId="12" fillId="5" borderId="1" applyAlignment="1" pivotButton="0" quotePrefix="0" xfId="0">
      <alignment horizontal="left" vertical="center"/>
    </xf>
    <xf numFmtId="0" fontId="12" fillId="6" borderId="1" applyAlignment="1" pivotButton="0" quotePrefix="0" xfId="0">
      <alignment horizontal="left" vertical="center"/>
    </xf>
    <xf numFmtId="171" fontId="12" fillId="6" borderId="1" applyAlignment="1" pivotButton="0" quotePrefix="0" xfId="0">
      <alignment horizontal="right" vertical="center"/>
    </xf>
    <xf numFmtId="1" fontId="12" fillId="5" borderId="1" applyAlignment="1" pivotButton="0" quotePrefix="0" xfId="0">
      <alignment horizontal="left" vertical="center"/>
    </xf>
    <xf numFmtId="165" fontId="12" fillId="5" borderId="1" applyAlignment="1" pivotButton="0" quotePrefix="0" xfId="0">
      <alignment horizontal="right" vertical="center"/>
    </xf>
    <xf numFmtId="0" fontId="21" fillId="9" borderId="0" applyAlignment="1" pivotButton="0" quotePrefix="0" xfId="0">
      <alignment vertical="center"/>
    </xf>
    <xf numFmtId="167" fontId="12" fillId="6" borderId="1" applyAlignment="1" pivotButton="0" quotePrefix="0" xfId="0">
      <alignment horizontal="right" vertical="center"/>
    </xf>
    <xf numFmtId="2" fontId="12" fillId="5" borderId="1" applyAlignment="1" pivotButton="0" quotePrefix="0" xfId="0">
      <alignment horizontal="right" vertical="center"/>
    </xf>
    <xf numFmtId="9" fontId="12" fillId="5" borderId="1" applyAlignment="1" pivotButton="0" quotePrefix="0" xfId="0">
      <alignment horizontal="right" vertical="center"/>
    </xf>
    <xf numFmtId="169" fontId="12" fillId="5" borderId="1" applyAlignment="1" pivotButton="0" quotePrefix="0" xfId="0">
      <alignment horizontal="right" vertical="center"/>
    </xf>
    <xf numFmtId="17" fontId="12" fillId="5" borderId="1" applyAlignment="1" pivotButton="0" quotePrefix="0" xfId="0">
      <alignment horizontal="right" vertical="center"/>
    </xf>
    <xf numFmtId="167" fontId="14" fillId="10" borderId="2" applyAlignment="1" pivotButton="0" quotePrefix="0" xfId="0">
      <alignment horizontal="right" vertical="center"/>
    </xf>
    <xf numFmtId="168" fontId="14" fillId="5" borderId="1" applyAlignment="1" pivotButton="0" quotePrefix="0" xfId="0">
      <alignment horizontal="right" vertical="center"/>
    </xf>
    <xf numFmtId="171" fontId="14" fillId="6" borderId="1" applyAlignment="1" pivotButton="0" quotePrefix="0" xfId="0">
      <alignment horizontal="right" vertical="center"/>
    </xf>
    <xf numFmtId="0" fontId="50" fillId="0" borderId="0" applyAlignment="1" pivotButton="0" quotePrefix="0" xfId="0">
      <alignment horizontal="left" vertical="top" wrapText="1"/>
    </xf>
    <xf numFmtId="165" fontId="15" fillId="5" borderId="1" applyAlignment="1" pivotButton="0" quotePrefix="0" xfId="0">
      <alignment horizontal="right" vertical="center"/>
    </xf>
    <xf numFmtId="0" fontId="49" fillId="7" borderId="0" applyAlignment="1" pivotButton="0" quotePrefix="0" xfId="0">
      <alignment horizontal="center" vertical="center"/>
    </xf>
    <xf numFmtId="1" fontId="14" fillId="5" borderId="1" applyAlignment="1" pivotButton="0" quotePrefix="0" xfId="0">
      <alignment horizontal="right" vertical="center"/>
    </xf>
    <xf numFmtId="0" fontId="73" fillId="25" borderId="0" applyAlignment="1" pivotButton="0" quotePrefix="0" xfId="0">
      <alignment horizontal="center"/>
    </xf>
    <xf numFmtId="0" fontId="12" fillId="0" borderId="1" applyAlignment="1" pivotButton="0" quotePrefix="0" xfId="0">
      <alignment horizontal="left" vertical="center"/>
    </xf>
    <xf numFmtId="0" fontId="21" fillId="9" borderId="0" applyAlignment="1" pivotButton="0" quotePrefix="0" xfId="0">
      <alignment horizontal="left" vertical="center"/>
    </xf>
    <xf numFmtId="0" fontId="21" fillId="9" borderId="0" applyAlignment="1" pivotButton="0" quotePrefix="0" xfId="0">
      <alignment horizontal="right" vertical="center"/>
    </xf>
    <xf numFmtId="169" fontId="12" fillId="6" borderId="1" applyAlignment="1" pivotButton="0" quotePrefix="0" xfId="0">
      <alignment horizontal="right" vertical="center"/>
    </xf>
    <xf numFmtId="0" fontId="11" fillId="10" borderId="2" applyAlignment="1" pivotButton="0" quotePrefix="0" xfId="0">
      <alignment horizontal="left" vertical="center"/>
    </xf>
    <xf numFmtId="0" fontId="9" fillId="7" borderId="0" applyAlignment="1" pivotButton="0" quotePrefix="0" xfId="0">
      <alignment horizontal="center" vertical="center"/>
    </xf>
    <xf numFmtId="10" fontId="12" fillId="6" borderId="1" applyAlignment="1" pivotButton="0" quotePrefix="0" xfId="0">
      <alignment horizontal="right" vertical="center"/>
    </xf>
    <xf numFmtId="0" fontId="9" fillId="3" borderId="0" applyAlignment="1" pivotButton="0" quotePrefix="0" xfId="0">
      <alignment horizontal="center" vertical="center"/>
    </xf>
    <xf numFmtId="0" fontId="61" fillId="0" borderId="23" pivotButton="0" quotePrefix="0" xfId="0"/>
    <xf numFmtId="0" fontId="0" fillId="0" borderId="23" pivotButton="0" quotePrefix="0" xfId="0"/>
    <xf numFmtId="0" fontId="0" fillId="0" borderId="0" applyAlignment="1" pivotButton="0" quotePrefix="0" xfId="0">
      <alignment vertical="top" wrapText="1"/>
    </xf>
    <xf numFmtId="0" fontId="64" fillId="21" borderId="0" applyAlignment="1" pivotButton="0" quotePrefix="0" xfId="0">
      <alignment horizontal="center" vertical="center"/>
    </xf>
    <xf numFmtId="0" fontId="63" fillId="3" borderId="0" applyAlignment="1" pivotButton="0" quotePrefix="0" xfId="0">
      <alignment horizontal="center" vertical="center"/>
    </xf>
    <xf numFmtId="0" fontId="68" fillId="3" borderId="0" applyAlignment="1" pivotButton="0" quotePrefix="0" xfId="0">
      <alignment horizontal="center" vertical="center"/>
    </xf>
    <xf numFmtId="0" fontId="70" fillId="11" borderId="0" applyAlignment="1" pivotButton="0" quotePrefix="0" xfId="0">
      <alignment horizontal="left" vertical="center"/>
    </xf>
    <xf numFmtId="0" fontId="68" fillId="3" borderId="0" applyAlignment="1" pivotButton="0" quotePrefix="0" xfId="0">
      <alignment horizontal="left" vertical="center"/>
    </xf>
    <xf numFmtId="21" fontId="12" fillId="6" borderId="1" applyAlignment="1" pivotButton="0" quotePrefix="0" xfId="0">
      <alignment horizontal="left" vertical="center"/>
    </xf>
    <xf numFmtId="179" fontId="12" fillId="6" borderId="1" applyAlignment="1" pivotButton="0" quotePrefix="0" xfId="0">
      <alignment horizontal="left" vertical="center"/>
    </xf>
    <xf numFmtId="0" fontId="0" fillId="0" borderId="2" applyAlignment="1" pivotButton="0" quotePrefix="0" xfId="0">
      <alignment horizontal="left"/>
    </xf>
    <xf numFmtId="192" fontId="11" fillId="10" borderId="2" applyAlignment="1" pivotButton="0" quotePrefix="0" xfId="0">
      <alignment horizontal="left" vertical="center"/>
    </xf>
    <xf numFmtId="192" fontId="0" fillId="0" borderId="2" applyAlignment="1" pivotButton="0" quotePrefix="0" xfId="0">
      <alignment horizontal="left"/>
    </xf>
    <xf numFmtId="0" fontId="0" fillId="0" borderId="1" applyAlignment="1" pivotButton="0" quotePrefix="0" xfId="0">
      <alignment horizontal="left"/>
    </xf>
    <xf numFmtId="9" fontId="12" fillId="6" borderId="1" applyAlignment="1" pivotButton="0" quotePrefix="0" xfId="0">
      <alignment horizontal="left" vertical="center"/>
    </xf>
    <xf numFmtId="9" fontId="11" fillId="10" borderId="2" applyAlignment="1" pivotButton="0" quotePrefix="0" xfId="0">
      <alignment horizontal="left" vertical="center"/>
    </xf>
  </cellXfs>
  <cellStyles count="6">
    <cellStyle name="Normal" xfId="0" builtinId="0"/>
    <cellStyle name="Comma 3" xfId="1"/>
    <cellStyle name="Normal 2" xfId="2"/>
    <cellStyle name="Normal 3" xfId="3"/>
    <cellStyle name="tblHeader" xfId="4"/>
    <cellStyle name="tblText" xfId="5"/>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styles" Target="styles.xml" Id="rId33" /><Relationship Type="http://schemas.openxmlformats.org/officeDocument/2006/relationships/theme" Target="theme/theme1.xml" Id="rId34" /><Relationship Type="http://schemas.microsoft.com/office/2006/relationships/vbaProject" Target="vbaProject.bin" Id="rId35" /></Relationships>
</file>

<file path=xl/comments/comment1.xml><?xml version="1.0" encoding="utf-8"?>
<comments xmlns="http://schemas.openxmlformats.org/spreadsheetml/2006/main">
  <authors>
    <author>Unknown Author</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Unknown Author</author>
  </authors>
  <commentList>
    <comment ref="B1" authorId="0" shapeId="0">
      <text>
        <t xml:space="preserve">To Save Grid
1)Click Save button
2)Click File SaveAs
    new filename
   </t>
      </text>
    </comment>
    <comment ref="Y20" authorId="0" shapeId="0">
      <text>
        <t>Which ranked match to show here? 1 = closest match by size, 2 = 2nd closest, etc. Defaults to 1 (top matches in order) -- change it to swap in a different comp. See the Comp Picker tab for the full ranked list before picking.</t>
      </text>
    </comment>
    <comment ref="Y23" authorId="0" shapeId="0">
      <text>
        <t>Which ranked match to show here? 1 = closest match by size, 2 = 2nd closest, etc. Defaults to 2 (top matches in order) -- change it to swap in a different comp. See the Comp Picker tab for the full ranked list before picking.</t>
      </text>
    </comment>
    <comment ref="Y26"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Unknown Author</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0" shapeId="0">
      <text>
        <t xml:space="preserve"> Type adjustment here, use minus sign for deduction
</t>
      </text>
    </comment>
    <comment ref="G24" authorId="0"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0" shapeId="0">
      <text>
        <t xml:space="preserve"> Type adjustment here, use minus sign for deduction
</t>
      </text>
    </comment>
    <comment ref="G29" authorId="0"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0" shapeId="0">
      <text>
        <t xml:space="preserve"> Type adjustment here, use minus sign for deduction
</t>
      </text>
    </comment>
    <comment ref="G34" authorId="0"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4.xml><?xml version="1.0" encoding="utf-8"?>
<comments xmlns="http://schemas.openxmlformats.org/spreadsheetml/2006/main">
  <authors>
    <author>Unknown Author</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Unknown Author</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0" shapeId="0">
      <text>
        <t>Which ranked match to show here? 1 = closest match by size, 2 = 2nd closest, etc. Defaults to 1 (top matches in order) -- change it to swap in a different comp. See the Comp Picker tab for the full ranked list before picking.</t>
      </text>
    </comment>
    <comment ref="Y73" authorId="0" shapeId="0">
      <text>
        <t>Which ranked match to show here? 1 = closest match by size, 2 = 2nd closest, etc. Defaults to 2 (top matches in order) -- change it to swap in a different comp. See the Comp Picker tab for the full ranked list before picking.</t>
      </text>
    </comment>
    <comment ref="Y74"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Unknown Author</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0" shapeId="0">
      <text>
        <t xml:space="preserve"> Check desired box
</t>
      </text>
    </comment>
  </commentList>
</comments>
</file>

<file path=xl/comments/comment7.xml><?xml version="1.0" encoding="utf-8"?>
<comments xmlns="http://schemas.openxmlformats.org/spreadsheetml/2006/main">
  <authors>
    <author>Unknown Author</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5.xml.rels><Relationships xmlns="http://schemas.openxmlformats.org/package/2006/relationships"><Relationship Type="http://schemas.openxmlformats.org/officeDocument/2006/relationships/vmlDrawing" Target="/xl/drawings/vmlDrawing2.vml" Id="anysvml" /></Relationships>
</file>

<file path=xl/worksheets/_rels/sheet6.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8.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9.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13.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8.vml" Id="anysvml" /></Relationships>
</file>

<file path=xl/worksheets/_rels/sheet23.xml.rels><Relationships xmlns="http://schemas.openxmlformats.org/package/2006/relationships"><Relationship Type="http://schemas.openxmlformats.org/officeDocument/2006/relationships/vmlDrawing" Target="/xl/drawings/vmlDrawing9.vml" Id="anysvml" /></Relationships>
</file>

<file path=xl/worksheets/_rels/sheet28.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29.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tabColor rgb="FF17324D"/>
    <outlinePr summaryBelow="1" summaryRight="1"/>
    <pageSetUpPr fitToPage="1"/>
  </sheetPr>
  <dimension ref="B1:D66"/>
  <sheetViews>
    <sheetView showGridLines="0" zoomScale="120" zoomScaleNormal="120" workbookViewId="0">
      <pane xSplit="1" ySplit="4" topLeftCell="B31" activePane="bottomRight" state="frozen"/>
      <selection pane="topRight" activeCell="B1" sqref="B1"/>
      <selection pane="bottomLeft" activeCell="A5" sqref="A5"/>
      <selection pane="bottomRight" activeCell="C31" sqref="C31"/>
    </sheetView>
  </sheetViews>
  <sheetFormatPr baseColWidth="8" defaultColWidth="10.28515625" defaultRowHeight="12"/>
  <cols>
    <col width="2.28515625" customWidth="1" style="545" min="1" max="1"/>
    <col width="45.5703125" customWidth="1" style="545" min="2" max="2"/>
    <col width="38.7109375" customWidth="1" style="545" min="3" max="3"/>
    <col width="59.28515625" customWidth="1" style="545" min="4" max="4"/>
  </cols>
  <sheetData>
    <row r="1" ht="18" customHeight="1" s="545">
      <c r="B1" s="1" t="inlineStr">
        <is>
          <t>PROPERTY INFO — MASTER SOURCE</t>
        </is>
      </c>
      <c r="C1" s="1" t="n"/>
      <c r="D1" s="1" t="n"/>
    </row>
    <row r="2" ht="30" customHeight="1" s="545">
      <c r="B2" s="548" t="inlineStr">
        <is>
          <t>Enter the assignment and appeal facts once here. Physical characteristics stay on the Subject Property tab and are mirrored below in gray. Cream cells are yours to type in; gray cells calculate themselves.</t>
        </is>
      </c>
    </row>
    <row r="4" ht="12" customHeight="1" s="545">
      <c r="B4" s="2" t="inlineStr">
        <is>
          <t>Field</t>
        </is>
      </c>
      <c r="C4" s="2" t="inlineStr">
        <is>
          <t>Value</t>
        </is>
      </c>
      <c r="D4" s="2" t="inlineStr">
        <is>
          <t>Where it is used</t>
        </is>
      </c>
    </row>
    <row r="5" ht="18" customHeight="1" s="545">
      <c r="B5" s="1" t="inlineStr">
        <is>
          <t>1.  APPEAL &amp; ASSIGNMENT IDENTIFICATION</t>
        </is>
      </c>
      <c r="C5" s="1" t="n"/>
      <c r="D5" s="1" t="n"/>
    </row>
    <row r="6" ht="13.5" customHeight="1" s="545">
      <c r="B6" s="3" t="inlineStr">
        <is>
          <t>Appeal Year</t>
        </is>
      </c>
      <c r="C6" s="627">
        <f>Year</f>
        <v/>
      </c>
      <c r="D6" s="5" t="inlineStr">
        <is>
          <t>Set on the S tab, cell B8</t>
        </is>
      </c>
    </row>
    <row r="7" ht="13.5" customHeight="1" s="545">
      <c r="B7" s="3" t="inlineStr">
        <is>
          <t>County</t>
        </is>
      </c>
      <c r="C7" s="625" t="inlineStr">
        <is>
          <t>ADAMS</t>
        </is>
      </c>
      <c r="D7" s="5" t="inlineStr">
        <is>
          <t>BAA / BOCC filings</t>
        </is>
      </c>
    </row>
    <row r="8" ht="13.5" customHeight="1" s="545">
      <c r="B8" s="3" t="inlineStr">
        <is>
          <t>Account / Schedule Number</t>
        </is>
      </c>
      <c r="C8" s="7" t="inlineStr">
        <is>
          <t>R0194277</t>
        </is>
      </c>
      <c r="D8" s="5" t="inlineStr">
        <is>
          <t>Appeal!A2 · BOCC!D2 · WO!B8 · 'BAA Market'!B4</t>
        </is>
      </c>
    </row>
    <row r="9" ht="13.5" customHeight="1" s="545">
      <c r="B9" s="3" t="inlineStr">
        <is>
          <t>Parcel Number</t>
        </is>
      </c>
      <c r="C9" s="8" t="inlineStr">
        <is>
          <t>0172328302002</t>
        </is>
      </c>
      <c r="D9" s="5" t="inlineStr">
        <is>
          <t>'BAA Market'!B6 · WO!H8</t>
        </is>
      </c>
    </row>
    <row r="10" hidden="1" ht="13.5" customHeight="1" s="545">
      <c r="B10" s="3" t="inlineStr">
        <is>
          <t>Protest Number</t>
        </is>
      </c>
      <c r="C10" s="625" t="inlineStr">
        <is>
          <t>156810</t>
        </is>
      </c>
      <c r="D10" s="5" t="inlineStr">
        <is>
          <t>Appeal!A4 · BOCC!D4 · WO!B4</t>
        </is>
      </c>
    </row>
    <row r="11" ht="13.5" customHeight="1" s="545">
      <c r="B11" s="3" t="inlineStr">
        <is>
          <t>Petitioner's Name</t>
        </is>
      </c>
      <c r="C11" s="625" t="inlineStr">
        <is>
          <t>Colorado Brecknell Investors LLC</t>
        </is>
      </c>
      <c r="D11" s="5" t="inlineStr">
        <is>
          <t>Appeal!A5 · BOCC!D5</t>
        </is>
      </c>
    </row>
    <row r="12" ht="13.5" customHeight="1" s="545">
      <c r="B12" s="3" t="inlineStr">
        <is>
          <t>Petitioner's Agent / Representative</t>
        </is>
      </c>
      <c r="C12" s="625" t="inlineStr">
        <is>
          <t>Ryan, LLC - Beth Diehl (Becknell Industrial, agent)</t>
        </is>
      </c>
      <c r="D12" s="5" t="inlineStr">
        <is>
          <t>Appeal form</t>
        </is>
      </c>
    </row>
    <row r="13" ht="13.5" customHeight="1" s="545">
      <c r="B13" s="3" t="inlineStr">
        <is>
          <t>Appeal Level</t>
        </is>
      </c>
      <c r="C13" s="625" t="inlineStr">
        <is>
          <t>Board of Assessment Appeals (BAA)</t>
        </is>
      </c>
      <c r="D13" s="5" t="inlineStr">
        <is>
          <t>Which form you file</t>
        </is>
      </c>
    </row>
    <row r="14" ht="13.5" customHeight="1" s="545">
      <c r="B14" s="3" t="inlineStr">
        <is>
          <t>Hearing Date</t>
        </is>
      </c>
      <c r="C14" s="9" t="n">
        <v>46290</v>
      </c>
      <c r="D14" s="5" t="inlineStr">
        <is>
          <t>Scheduling</t>
        </is>
      </c>
    </row>
    <row r="15" ht="13.5" customHeight="1" s="545">
      <c r="B15" s="3" t="inlineStr">
        <is>
          <t>Statutory Valuation Date</t>
        </is>
      </c>
      <c r="C15" s="503" t="n">
        <v>45473</v>
      </c>
      <c r="D15" s="5" t="inlineStr">
        <is>
          <t>Colorado: June 30 of the year before the reassessment cycle</t>
        </is>
      </c>
    </row>
    <row r="16" ht="13.5" customHeight="1" s="545">
      <c r="B16" s="3" t="inlineStr">
        <is>
          <t>Prepared By</t>
        </is>
      </c>
      <c r="C16" s="625" t="inlineStr">
        <is>
          <t>Shaquille Carter</t>
        </is>
      </c>
      <c r="D16" s="5" t="inlineStr">
        <is>
          <t>Report signature block</t>
        </is>
      </c>
    </row>
    <row r="17" ht="13.5" customHeight="1" s="545">
      <c r="B17" s="3" t="inlineStr">
        <is>
          <t>Date Prepared</t>
        </is>
      </c>
      <c r="C17" s="503" t="n">
        <v>46259</v>
      </c>
      <c r="D17" s="5" t="inlineStr">
        <is>
          <t>Report signature block</t>
        </is>
      </c>
    </row>
    <row r="18" ht="18" customHeight="1" s="545">
      <c r="B18" s="1" t="inlineStr">
        <is>
          <t>2.  PROPERTY IDENTIFICATION</t>
        </is>
      </c>
      <c r="C18" s="1" t="n"/>
      <c r="D18" s="1" t="n"/>
    </row>
    <row r="19" ht="13.5" customHeight="1" s="545">
      <c r="B19" s="3" t="inlineStr">
        <is>
          <t>Property Address</t>
        </is>
      </c>
      <c r="C19" s="612">
        <f>Subj_Address</f>
        <v/>
      </c>
      <c r="D19" s="5" t="inlineStr">
        <is>
          <t>Subject Property!C4</t>
        </is>
      </c>
    </row>
    <row r="20" ht="13.5" customHeight="1" s="545">
      <c r="B20" s="3" t="inlineStr">
        <is>
          <t>City</t>
        </is>
      </c>
      <c r="C20" s="612">
        <f>'Subject Property'!C5</f>
        <v/>
      </c>
      <c r="D20" s="5" t="inlineStr">
        <is>
          <t>Subject Property!C5</t>
        </is>
      </c>
    </row>
    <row r="21" ht="13.5" customHeight="1" s="545">
      <c r="B21" s="3" t="inlineStr">
        <is>
          <t>ZIP Code</t>
        </is>
      </c>
      <c r="C21" s="7" t="inlineStr">
        <is>
          <t>80022</t>
        </is>
      </c>
      <c r="D21" s="5" t="inlineStr">
        <is>
          <t>Reports and filings</t>
        </is>
      </c>
    </row>
    <row r="22" ht="13.5" customHeight="1" s="545">
      <c r="B22" s="3" t="inlineStr">
        <is>
          <t>Neighborhood (Ngbh)</t>
        </is>
      </c>
      <c r="C22" s="625" t="n"/>
      <c r="D22" s="5" t="inlineStr">
        <is>
          <t>WO!C8</t>
        </is>
      </c>
    </row>
    <row r="23" ht="13.5" customHeight="1" s="545">
      <c r="B23" s="3" t="inlineStr">
        <is>
          <t>Property Type / Occupancy (auto from OCC code)</t>
        </is>
      </c>
      <c r="C23" s="612">
        <f>IFERROR(INDEX(OCCMAP_NAME,MATCH(PI_OccCode,OCCMAP_CODE,0)),"No MVS occupancy for OCC "&amp;PI_OccCode)</f>
        <v/>
      </c>
      <c r="D23" s="5" t="inlineStr">
        <is>
          <t>Auto - published to Subject Property, Cost Approach, Property Tables</t>
        </is>
      </c>
    </row>
    <row r="24" ht="13.5" customHeight="1" s="545">
      <c r="B24" s="3" t="inlineStr">
        <is>
          <t>OCC Code  [enter first]</t>
        </is>
      </c>
      <c r="C24" s="8" t="n">
        <v>584</v>
      </c>
      <c r="D24" s="5" t="inlineStr">
        <is>
          <t>Master input - drives Property Type, Cost Approach and the MVS lookups</t>
        </is>
      </c>
    </row>
    <row r="25" ht="13.5" customHeight="1" s="545">
      <c r="B25" s="3" t="inlineStr">
        <is>
          <t>Zoning</t>
        </is>
      </c>
      <c r="C25" s="625" t="inlineStr">
        <is>
          <t>Industrial (Commerce City) - specific zoning district not stated in source records</t>
        </is>
      </c>
      <c r="D25" s="5" t="inlineStr">
        <is>
          <t>Subject Property!C7</t>
        </is>
      </c>
    </row>
    <row r="26" ht="13.5" customHeight="1" s="545">
      <c r="B26" s="3" t="inlineStr">
        <is>
          <t>Site / Land Size (SF)</t>
        </is>
      </c>
      <c r="C26" s="623">
        <f>IFERROR(Subj_SiteSF,"")</f>
        <v/>
      </c>
      <c r="D26" s="5" t="inlineStr">
        <is>
          <t>Subject Property!C6</t>
        </is>
      </c>
    </row>
    <row r="27" ht="13.5" customHeight="1" s="545">
      <c r="B27" s="3" t="inlineStr">
        <is>
          <t>Site / Land Size (Acres)</t>
        </is>
      </c>
      <c r="C27" s="12">
        <f>IFERROR(Subj_SiteSF/43560,"")</f>
        <v/>
      </c>
      <c r="D27" s="5" t="inlineStr">
        <is>
          <t>Subject Property!C6 / 43,560</t>
        </is>
      </c>
    </row>
    <row r="28" ht="13.5" customHeight="1" s="545">
      <c r="B28" s="3" t="inlineStr">
        <is>
          <t>Number of Buildings</t>
        </is>
      </c>
      <c r="C28" s="627">
        <f>Subj_NumBldgs</f>
        <v/>
      </c>
      <c r="D28" s="5" t="inlineStr">
        <is>
          <t>Subject Property!C8</t>
        </is>
      </c>
    </row>
    <row r="29" ht="13.5" customHeight="1" s="545">
      <c r="B29" s="3" t="inlineStr">
        <is>
          <t>Total Building SF</t>
        </is>
      </c>
      <c r="C29" s="623">
        <f>Subj_TotalBldgSF</f>
        <v/>
      </c>
      <c r="D29" s="5" t="inlineStr">
        <is>
          <t>Subject Property!C10 -- drives every $/SF on the report tables</t>
        </is>
      </c>
    </row>
    <row r="30" ht="13.5" customHeight="1" s="545">
      <c r="B30" s="3" t="inlineStr">
        <is>
          <t>Total Units / Keys</t>
        </is>
      </c>
      <c r="C30" s="627" t="n">
        <v>3</v>
      </c>
      <c r="D30" s="5" t="inlineStr">
        <is>
          <t>Subject Property row 20</t>
        </is>
      </c>
    </row>
    <row r="31" ht="13.5" customHeight="1" s="545">
      <c r="B31" s="3" t="inlineStr">
        <is>
          <t>Land : Building Ratio</t>
        </is>
      </c>
      <c r="C31" s="13" t="inlineStr">
        <is>
          <t>3+C31</t>
        </is>
      </c>
      <c r="D31" s="5" t="inlineStr">
        <is>
          <t>WO!D12</t>
        </is>
      </c>
    </row>
    <row r="32" ht="13.5" customHeight="1" s="545">
      <c r="B32" s="3" t="inlineStr">
        <is>
          <t>Year Built (YOC)</t>
        </is>
      </c>
      <c r="C32" s="627">
        <f>Subj_YOC</f>
        <v/>
      </c>
      <c r="D32" s="5" t="inlineStr">
        <is>
          <t>Subject Property!C18</t>
        </is>
      </c>
    </row>
    <row r="33" ht="13.5" customHeight="1" s="545">
      <c r="B33" s="3" t="inlineStr">
        <is>
          <t>Actual Age (years)</t>
        </is>
      </c>
      <c r="C33" s="627">
        <f>Subj_Age</f>
        <v/>
      </c>
      <c r="D33" s="5" t="inlineStr">
        <is>
          <t>Calculated from appeal year</t>
        </is>
      </c>
    </row>
    <row r="34" ht="13.5" customHeight="1" s="545">
      <c r="B34" s="3" t="inlineStr">
        <is>
          <t>Quality</t>
        </is>
      </c>
      <c r="C34" s="612">
        <f>Subj_Quality</f>
        <v/>
      </c>
      <c r="D34" s="5" t="inlineStr">
        <is>
          <t>Subject Property!C17</t>
        </is>
      </c>
    </row>
    <row r="35" ht="13.5" customHeight="1" s="545">
      <c r="B35" s="3" t="inlineStr">
        <is>
          <t>Condition</t>
        </is>
      </c>
      <c r="C35" s="612">
        <f>Subj_Condition</f>
        <v/>
      </c>
      <c r="D35" s="5" t="inlineStr">
        <is>
          <t>Subject Property!C16</t>
        </is>
      </c>
    </row>
    <row r="36" ht="13.5" customHeight="1" s="545">
      <c r="B36" s="3" t="inlineStr">
        <is>
          <t>Functional Utility</t>
        </is>
      </c>
      <c r="C36" s="625" t="inlineStr">
        <is>
          <t>Typical</t>
        </is>
      </c>
      <c r="D36" s="5" t="inlineStr">
        <is>
          <t>WO!E10 · 'BAA Market'!F6</t>
        </is>
      </c>
    </row>
    <row r="37" ht="13.5" customHeight="1" s="545">
      <c r="B37" s="3" t="inlineStr">
        <is>
          <t>Valuation Basis</t>
        </is>
      </c>
      <c r="C37" s="612">
        <f>Subj_Basis</f>
        <v/>
      </c>
      <c r="D37" s="5" t="inlineStr">
        <is>
          <t>Per SF / Per Unit / Per Key</t>
        </is>
      </c>
    </row>
    <row r="38" ht="18" customHeight="1" s="545">
      <c r="B38" s="1" t="inlineStr">
        <is>
          <t>3.  ASSESSOR'S VALUE UNDER APPEAL</t>
        </is>
      </c>
      <c r="C38" s="1" t="n"/>
      <c r="D38" s="1" t="n"/>
    </row>
    <row r="39" ht="13.5" customHeight="1" s="545">
      <c r="B39" s="3" t="inlineStr">
        <is>
          <t>Assessor's Actual Value — Land</t>
        </is>
      </c>
      <c r="C39" s="504" t="n">
        <v>10988663</v>
      </c>
      <c r="D39" s="5" t="inlineStr">
        <is>
          <t>From the NOV</t>
        </is>
      </c>
    </row>
    <row r="40" ht="13.5" customHeight="1" s="545">
      <c r="B40" s="3" t="inlineStr">
        <is>
          <t>Assessor's Actual Value — Improvements</t>
        </is>
      </c>
      <c r="C40" s="504" t="n">
        <v>45953070</v>
      </c>
      <c r="D40" s="5" t="inlineStr">
        <is>
          <t>From the NOV</t>
        </is>
      </c>
    </row>
    <row r="41" ht="13.5" customHeight="1" s="545">
      <c r="B41" s="3" t="inlineStr">
        <is>
          <t>Assessor's Total Actual Value</t>
        </is>
      </c>
      <c r="C41" s="624">
        <f>N(PI_AsrLand)+N(PI_AsrImp)</f>
        <v/>
      </c>
      <c r="D41" s="5" t="inlineStr">
        <is>
          <t>WO!H10 — the value being appealed</t>
        </is>
      </c>
    </row>
    <row r="42" ht="13.5" customHeight="1" s="545">
      <c r="B42" s="3" t="inlineStr">
        <is>
          <t>Assessor's Value per SF</t>
        </is>
      </c>
      <c r="C42" s="16">
        <f>IFERROR(PI_AsrTotal/Subj_TotalBldgSF,"")</f>
        <v/>
      </c>
      <c r="D42" s="5" t="inlineStr">
        <is>
          <t>WO!H9</t>
        </is>
      </c>
    </row>
    <row r="43" ht="13.5" customHeight="1" s="545">
      <c r="B43" s="3" t="inlineStr">
        <is>
          <t>Prior Year Actual Value</t>
        </is>
      </c>
      <c r="C43" s="504" t="n">
        <v>47960100</v>
      </c>
      <c r="D43" s="5" t="inlineStr">
        <is>
          <t>Trend context</t>
        </is>
      </c>
    </row>
    <row r="44" ht="13.5" customHeight="1" s="545">
      <c r="B44" s="3" t="inlineStr">
        <is>
          <t>Change from Prior Year</t>
        </is>
      </c>
      <c r="C44" s="17">
        <f>IFERROR(PI_AsrTotal/PI_PriorValue-1,"")</f>
        <v/>
      </c>
      <c r="D44" s="5" t="inlineStr">
        <is>
          <t>Calculated</t>
        </is>
      </c>
    </row>
    <row r="45" ht="13.5" customHeight="1" s="545">
      <c r="B45" s="3" t="inlineStr">
        <is>
          <t>Assessment Rate</t>
        </is>
      </c>
      <c r="C45" s="505" t="n">
        <v>0.27</v>
      </c>
      <c r="D45" s="5" t="inlineStr">
        <is>
          <t>Colorado commercial rate for the cycle</t>
        </is>
      </c>
    </row>
    <row r="46" ht="13.5" customHeight="1" s="545">
      <c r="B46" s="3" t="inlineStr">
        <is>
          <t>Assessed Value</t>
        </is>
      </c>
      <c r="C46" s="624">
        <f>N(PI_AsrTotal)*N(PI_AssessmentRate)</f>
        <v/>
      </c>
      <c r="D46" s="5" t="inlineStr">
        <is>
          <t>Calculated</t>
        </is>
      </c>
    </row>
    <row r="47" ht="13.5" customHeight="1" s="545">
      <c r="B47" s="3" t="inlineStr">
        <is>
          <t>Mill Levy</t>
        </is>
      </c>
      <c r="C47" s="506" t="n">
        <v>105.574</v>
      </c>
      <c r="D47" s="5" t="inlineStr">
        <is>
          <t>Tax district levy</t>
        </is>
      </c>
    </row>
    <row r="48" ht="13.5" customHeight="1" s="545">
      <c r="B48" s="3" t="inlineStr">
        <is>
          <t>Estimated Annual Taxes</t>
        </is>
      </c>
      <c r="C48" s="624">
        <f>IFERROR(PI_AsrTotal*PI_AssessmentRate*PI_MillLevy/1000,"")</f>
        <v/>
      </c>
      <c r="D48" s="5" t="inlineStr">
        <is>
          <t>Calculated</t>
        </is>
      </c>
    </row>
    <row r="49" ht="18" customHeight="1" s="545">
      <c r="B49" s="1" t="inlineStr">
        <is>
          <t>4.  MARKET INDICATORS</t>
        </is>
      </c>
      <c r="C49" s="1" t="n"/>
      <c r="D49" s="1" t="n"/>
    </row>
    <row r="50" ht="13.5" customHeight="1" s="545">
      <c r="B50" s="3" t="inlineStr">
        <is>
          <t>Market Rent ($/SF/year)</t>
        </is>
      </c>
      <c r="C50" s="507" t="n">
        <v>6.5</v>
      </c>
      <c r="D50" s="5" t="inlineStr">
        <is>
          <t>WO!F8 · BOCC!I21</t>
        </is>
      </c>
    </row>
    <row r="51" ht="13.5" customHeight="1" s="545">
      <c r="B51" s="3" t="inlineStr">
        <is>
          <t>Vacancy Rate</t>
        </is>
      </c>
      <c r="C51" s="508" t="n">
        <v>0.05</v>
      </c>
      <c r="D51" s="5" t="inlineStr">
        <is>
          <t>WO!F9 · BOCC!J21</t>
        </is>
      </c>
    </row>
    <row r="52" ht="13.5" customHeight="1" s="545">
      <c r="B52" s="3" t="inlineStr">
        <is>
          <t>Expense Ratio</t>
        </is>
      </c>
      <c r="C52" s="508" t="n">
        <v>0.08</v>
      </c>
      <c r="D52" s="5" t="inlineStr">
        <is>
          <t>WO!F10 · BOCC!K21</t>
        </is>
      </c>
    </row>
    <row r="53" ht="13.5" customHeight="1" s="545">
      <c r="B53" s="3" t="inlineStr">
        <is>
          <t>Last Sale Date</t>
        </is>
      </c>
      <c r="C53" s="503" t="n">
        <v>43194</v>
      </c>
      <c r="D53" s="5" t="inlineStr">
        <is>
          <t>WO!G9 · 'BAA Market'!C7</t>
        </is>
      </c>
    </row>
    <row r="54" ht="13.5" customHeight="1" s="545">
      <c r="B54" s="3" t="inlineStr">
        <is>
          <t>Last Sale Price</t>
        </is>
      </c>
      <c r="C54" s="504" t="n">
        <v>5821500</v>
      </c>
      <c r="D54" s="5" t="inlineStr">
        <is>
          <t>WO!G10 · 'BAA Market'!D4</t>
        </is>
      </c>
    </row>
    <row r="55" ht="13.5" customHeight="1" s="545">
      <c r="B55" s="3" t="inlineStr">
        <is>
          <t>Last Sale Price per SF</t>
        </is>
      </c>
      <c r="C55" s="16">
        <f>IFERROR(PI_LastSalePrice/Subj_TotalBldgSF,"")</f>
        <v/>
      </c>
      <c r="D55" s="5" t="inlineStr">
        <is>
          <t>'BAA Market'!D5</t>
        </is>
      </c>
    </row>
    <row r="56" ht="13.5" customHeight="1" s="545">
      <c r="B56" s="3" t="inlineStr">
        <is>
          <t>Reception Number</t>
        </is>
      </c>
      <c r="C56" s="7" t="inlineStr">
        <is>
          <t>2018000027715</t>
        </is>
      </c>
      <c r="D56" s="5" t="inlineStr">
        <is>
          <t>'BAA Market'!C6</t>
        </is>
      </c>
    </row>
    <row r="57" ht="13.5" customHeight="1" s="545">
      <c r="B57" s="3" t="inlineStr">
        <is>
          <t>Grantor</t>
        </is>
      </c>
      <c r="C57" s="625" t="inlineStr">
        <is>
          <t>DIA Tech Center LLC</t>
        </is>
      </c>
      <c r="D57" s="5" t="inlineStr">
        <is>
          <t>'BAA Market'!C4</t>
        </is>
      </c>
    </row>
    <row r="58" ht="13.5" customHeight="1" s="545">
      <c r="B58" s="3" t="inlineStr">
        <is>
          <t>Grantee</t>
        </is>
      </c>
      <c r="C58" s="625" t="inlineStr">
        <is>
          <t>Colorado Brecknell Investors LLC</t>
        </is>
      </c>
      <c r="D58" s="5" t="inlineStr">
        <is>
          <t>'BAA Market'!C5</t>
        </is>
      </c>
    </row>
    <row r="59" ht="18" customHeight="1" s="545">
      <c r="B59" s="1" t="inlineStr">
        <is>
          <t>5.  VALUE CONCLUSION</t>
        </is>
      </c>
      <c r="C59" s="1" t="n"/>
      <c r="D59" s="1" t="n"/>
    </row>
    <row r="60" ht="13.5" customHeight="1" s="545">
      <c r="B60" s="3" t="inlineStr">
        <is>
          <t>Concluded Value (rounded)</t>
        </is>
      </c>
      <c r="C60" s="624">
        <f>IFERROR(Reconciliation!$C$17,0)</f>
        <v/>
      </c>
      <c r="D60" s="5" t="inlineStr">
        <is>
          <t>Reconciliation!C17</t>
        </is>
      </c>
    </row>
    <row r="61" ht="13.5" customHeight="1" s="545">
      <c r="B61" s="3" t="inlineStr">
        <is>
          <t>Concluded Value per SF</t>
        </is>
      </c>
      <c r="C61" s="16">
        <f>IFERROR(Reconciliation!$C$18,"")</f>
        <v/>
      </c>
      <c r="D61" s="5" t="inlineStr">
        <is>
          <t>Reconciliation!C18</t>
        </is>
      </c>
    </row>
    <row r="62" ht="13.5" customHeight="1" s="545">
      <c r="B62" s="3" t="inlineStr">
        <is>
          <t>Requested Reduction</t>
        </is>
      </c>
      <c r="C62" s="624">
        <f>IFERROR(PI_AsrTotal-Reconciliation!$C$17,"")</f>
        <v/>
      </c>
      <c r="D62" s="5" t="inlineStr">
        <is>
          <t>Assessor's value less the concluded value</t>
        </is>
      </c>
    </row>
    <row r="63" ht="13.5" customHeight="1" s="545">
      <c r="B63" s="3" t="inlineStr">
        <is>
          <t>Reduction %</t>
        </is>
      </c>
      <c r="C63" s="17">
        <f>IFERROR(1-Reconciliation!$C$17/PI_AsrTotal,"")</f>
        <v/>
      </c>
      <c r="D63" s="5" t="inlineStr">
        <is>
          <t>Calculated</t>
        </is>
      </c>
    </row>
    <row r="64" ht="18" customHeight="1" s="545">
      <c r="B64" s="1" t="inlineStr">
        <is>
          <t>6.  HOW THIS TAB IS USED</t>
        </is>
      </c>
      <c r="C64" s="1" t="n"/>
      <c r="D64" s="1" t="n"/>
    </row>
    <row r="65" ht="42" customHeight="1" s="545">
      <c r="B65" s="548" t="inlineStr">
        <is>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is>
      </c>
    </row>
    <row r="66" ht="42" customHeight="1" s="545">
      <c r="B66" s="548" t="inlineStr">
        <is>
          <t>Physical characteristics - address, size, number of buildings, year built, quality and condition - are still entered on the Subject Property tab and appear above in gray so this page reads as a complete summary. Do not retype them here.</t>
        </is>
      </c>
    </row>
  </sheetData>
  <mergeCells count="3">
    <mergeCell ref="B2:D2"/>
    <mergeCell ref="B66:D66"/>
    <mergeCell ref="B65:D65"/>
  </mergeCells>
  <dataValidations count="4">
    <dataValidation sqref="C7" showDropDown="0" showInputMessage="1" showErrorMessage="1" allowBlank="1" type="list">
      <formula1>"ADAMS,ARAPAHOE,BOULDER,BROOMFIELD,DENVER,DOUGLAS,ELBERT,EL PASO,JEFFERSON,LARIMER,WELD,Other"</formula1>
      <formula2>0</formula2>
    </dataValidation>
    <dataValidation sqref="C13" showDropDown="0" showInputMessage="1" showErrorMessage="1" allowBlank="1" type="list">
      <formula1>"Abatement / Refund Petition,Assessor (NOD),County Board of Equalization (CBOE),Board of Assessment Appeals (BAA),District Court,Arbitration"</formula1>
      <formula2>0</formula2>
    </dataValidation>
    <dataValidation sqref="C36" showDropDown="0" showInputMessage="1" showErrorMessage="1" allowBlank="1" type="list">
      <formula1>"Excellent,Good,Typical,Fair,Poor"</formula1>
      <formula2>0</formula2>
    </dataValidation>
    <dataValidation sqref="C24" showDropDown="0" showInputMessage="0" showErrorMessage="0" allowBlank="1" promptTitle="OCC Code" prompt="Pick the assessor OCC code for the subject." type="list">
      <formula1>OCCMAP_CODE</formula1>
      <formula2>0</formula2>
    </dataValidation>
  </dataValidations>
  <printOptions horizontalCentered="1"/>
  <pageMargins left="0.4" right="0.4" top="0.5" bottom="0.5" header="0.511811023622047" footer="0.511811023622047"/>
  <pageSetup orientation="portrait" fitToHeight="0" horizontalDpi="300" verticalDpi="300"/>
</worksheet>
</file>

<file path=xl/worksheets/sheet2.xml><?xml version="1.0" encoding="utf-8"?>
<worksheet xmlns="http://schemas.openxmlformats.org/spreadsheetml/2006/main">
  <sheetPr>
    <outlinePr summaryBelow="1" summaryRight="1"/>
    <pageSetUpPr fitToPage="1"/>
  </sheetPr>
  <dimension ref="B4:AN160"/>
  <sheetViews>
    <sheetView showGridLines="0" topLeftCell="U110" zoomScaleNormal="100" workbookViewId="0">
      <pane xSplit="1" ySplit="3" topLeftCell="B4" activePane="bottomRight" state="frozen"/>
      <selection activeCell="U110" sqref="U110"/>
      <selection pane="topRight" activeCell="B110" sqref="B110"/>
      <selection pane="bottomLeft" activeCell="U4" sqref="U4"/>
      <selection pane="bottomRight" activeCell="AK155" sqref="AK155:AN155"/>
    </sheetView>
  </sheetViews>
  <sheetFormatPr baseColWidth="8" defaultColWidth="9.85546875" defaultRowHeight="12"/>
  <cols>
    <col width="2" customWidth="1" style="545" min="1" max="1"/>
    <col width="34" customWidth="1" style="545" min="2" max="2"/>
    <col width="42" customWidth="1" style="545" min="3" max="3"/>
    <col width="2.42578125" customWidth="1" style="545" min="4" max="4"/>
    <col width="30" customWidth="1" style="545" min="5" max="5"/>
    <col width="16" customWidth="1" style="545" min="6" max="7"/>
    <col width="2.42578125" customWidth="1" style="545" min="8" max="8"/>
    <col width="28" customWidth="1" style="545" min="9" max="9"/>
    <col width="26" customWidth="1" style="545" min="10" max="10"/>
    <col width="14" customWidth="1" style="545" min="11" max="12"/>
    <col width="12" customWidth="1" style="545" min="13" max="14"/>
    <col width="2.42578125" customWidth="1" style="545" min="15" max="16"/>
    <col width="32" customWidth="1" style="545" min="17" max="17"/>
    <col width="20" customWidth="1" style="545" min="18" max="18"/>
    <col width="16" customWidth="1" style="545" min="19" max="21"/>
    <col width="2.42578125" customWidth="1" style="545" min="22" max="22"/>
    <col width="32" customWidth="1" style="545" min="23" max="23"/>
    <col width="44" customWidth="1" style="545" min="24" max="24"/>
    <col width="2.42578125" customWidth="1" style="545" min="25" max="25"/>
    <col width="28" customWidth="1" style="545" min="26" max="26"/>
    <col width="26" customWidth="1" style="545" min="27" max="27"/>
    <col width="14" customWidth="1" style="545" min="28" max="28"/>
    <col width="12" customWidth="1" style="545" min="29" max="30"/>
    <col width="2.42578125" customWidth="1" style="545" min="31" max="31"/>
    <col width="28" customWidth="1" style="545" min="32" max="32"/>
    <col width="17" customWidth="1" style="545" min="33" max="35"/>
    <col width="2.42578125" customWidth="1" style="545" min="36" max="36"/>
    <col width="28" customWidth="1" style="545" min="37" max="37"/>
    <col width="20" customWidth="1" style="545" min="38" max="38"/>
    <col width="17" customWidth="1" style="545" min="39" max="40"/>
  </cols>
  <sheetData>
    <row r="4" ht="18" customHeight="1" s="545">
      <c r="B4" s="554" t="inlineStr">
        <is>
          <t>EXECUTIVE SUMMARY</t>
        </is>
      </c>
    </row>
    <row r="5" ht="13.5" customHeight="1" s="545">
      <c r="B5" s="18" t="inlineStr">
        <is>
          <t>Account Number</t>
        </is>
      </c>
      <c r="C5" s="557">
        <f>PI_Account</f>
        <v/>
      </c>
    </row>
    <row r="6" ht="13.5" customHeight="1" s="545">
      <c r="B6" s="18" t="inlineStr">
        <is>
          <t>Address</t>
        </is>
      </c>
      <c r="C6" s="553">
        <f>'Property Info'!$C$19</f>
        <v/>
      </c>
    </row>
    <row r="7" ht="13.5" customHeight="1" s="545">
      <c r="B7" s="18" t="inlineStr">
        <is>
          <t>County</t>
        </is>
      </c>
      <c r="C7" s="553">
        <f>PROPER(PI_County)&amp;" County"</f>
        <v/>
      </c>
    </row>
    <row r="8" ht="13.5" customHeight="1" s="545">
      <c r="B8" s="18" t="inlineStr">
        <is>
          <t>City, State</t>
        </is>
      </c>
      <c r="C8" s="553">
        <f>PROPER('Property Info'!$C$20)&amp;", Colorado"</f>
        <v/>
      </c>
    </row>
    <row r="9" ht="13.5" customHeight="1" s="545">
      <c r="B9" s="18" t="inlineStr">
        <is>
          <t>Effective Date</t>
        </is>
      </c>
      <c r="C9" s="558">
        <f>PI_ValuationDate</f>
        <v/>
      </c>
    </row>
    <row r="10" ht="13.5" customHeight="1" s="545">
      <c r="B10" s="18" t="inlineStr">
        <is>
          <t>Report Date</t>
        </is>
      </c>
      <c r="C10" s="558">
        <f>PI_DatePrepared</f>
        <v/>
      </c>
    </row>
    <row r="11" ht="13.5" customHeight="1" s="545">
      <c r="B11" s="18" t="inlineStr">
        <is>
          <t>Hearing Date</t>
        </is>
      </c>
      <c r="C11" s="558">
        <f>PI_HearingDate</f>
        <v/>
      </c>
    </row>
    <row r="13" ht="13.5" customHeight="1" s="545">
      <c r="B13" s="18" t="inlineStr">
        <is>
          <t>Property Type</t>
        </is>
      </c>
      <c r="C13" s="553">
        <f>'Property Info'!$C$23</f>
        <v/>
      </c>
    </row>
    <row r="14" ht="12" customHeight="1" s="545">
      <c r="B14" s="22" t="inlineStr">
        <is>
          <t>Property Size</t>
        </is>
      </c>
      <c r="C14" s="564" t="n"/>
    </row>
    <row r="15" ht="13.5" customHeight="1" s="545">
      <c r="B15" s="18" t="inlineStr">
        <is>
          <t>GBA</t>
        </is>
      </c>
      <c r="C15" s="639">
        <f>'Property Info'!$C$29</f>
        <v/>
      </c>
    </row>
    <row r="16" ht="13.5" customHeight="1" s="545">
      <c r="B16" s="18" t="inlineStr">
        <is>
          <t>Number of Buildings</t>
        </is>
      </c>
      <c r="C16" s="25">
        <f>'Property Info'!$C$28</f>
        <v/>
      </c>
    </row>
    <row r="17" ht="13.5" customHeight="1" s="545">
      <c r="B17" s="18" t="inlineStr">
        <is>
          <t>Year Built/Condition</t>
        </is>
      </c>
      <c r="C17" s="553">
        <f>'Property Info'!$C$32&amp;"/"&amp;'Property Info'!$C$35</f>
        <v/>
      </c>
    </row>
    <row r="18" ht="13.5" customHeight="1" s="545">
      <c r="B18" s="18" t="inlineStr">
        <is>
          <t>Condition</t>
        </is>
      </c>
      <c r="C18" s="553">
        <f>'Property Info'!$C$35</f>
        <v/>
      </c>
    </row>
    <row r="19" ht="13.5" customHeight="1" s="545">
      <c r="B19" s="18" t="inlineStr">
        <is>
          <t>Site Size (SF)</t>
        </is>
      </c>
      <c r="C19" s="639">
        <f>'Property Info'!$C$26</f>
        <v/>
      </c>
    </row>
    <row r="20" ht="13.5" customHeight="1" s="545">
      <c r="B20" s="18" t="inlineStr">
        <is>
          <t>Property Rights Appraised</t>
        </is>
      </c>
      <c r="C20" s="552" t="inlineStr">
        <is>
          <t>Fee Simple</t>
        </is>
      </c>
    </row>
    <row r="21" ht="13.5" customHeight="1" s="545">
      <c r="B21" s="18" t="inlineStr">
        <is>
          <t>Assumed Occupancy</t>
        </is>
      </c>
      <c r="C21" s="27">
        <f>1-PI_Vacancy</f>
        <v/>
      </c>
    </row>
    <row r="24" ht="18" customHeight="1" s="545">
      <c r="E24" s="554" t="inlineStr">
        <is>
          <t>PETITION SCENARIO</t>
        </is>
      </c>
    </row>
    <row r="25" ht="12" customHeight="1" s="545">
      <c r="F25" s="28" t="inlineStr">
        <is>
          <t>$</t>
        </is>
      </c>
      <c r="G25" s="28" t="inlineStr">
        <is>
          <t>$/SF</t>
        </is>
      </c>
    </row>
    <row r="26" ht="13.5" customHeight="1" s="545">
      <c r="E26" s="29" t="inlineStr">
        <is>
          <t>Assessor's Assigned Value</t>
        </is>
      </c>
      <c r="F26" s="635">
        <f>PI_AsrTotal</f>
        <v/>
      </c>
      <c r="G26" s="31">
        <f>IFERROR(F26/'Property Info'!$C$29,"")</f>
        <v/>
      </c>
    </row>
    <row r="27" ht="13.5" customHeight="1" s="545">
      <c r="E27" s="29" t="inlineStr">
        <is>
          <t>Concluded Value (this analysis)</t>
        </is>
      </c>
      <c r="F27" s="635">
        <f>IFERROR(Reconciliation!$C$17,0)</f>
        <v/>
      </c>
      <c r="G27" s="31">
        <f>IFERROR(F27/'Property Info'!$C$29,"")</f>
        <v/>
      </c>
    </row>
    <row r="28">
      <c r="E28" t="inlineStr">
        <is>
          <t>Petitioner's Requested Value (Becknell Industrial / Ryan, LLC)</t>
        </is>
      </c>
      <c r="F28" s="60" t="n">
        <v>39994200</v>
      </c>
      <c r="G28" s="59">
        <f>IFERROR(F28/'Property Info'!$C$29,"")</f>
        <v/>
      </c>
    </row>
    <row r="30" ht="18" customHeight="1" s="545">
      <c r="I30" s="554" t="inlineStr">
        <is>
          <t>APPRAISAL INFORMATION</t>
        </is>
      </c>
    </row>
    <row r="31" ht="30" customHeight="1" s="545">
      <c r="I31" s="18" t="inlineStr">
        <is>
          <t>Intended User</t>
        </is>
      </c>
      <c r="J31" s="551" t="inlineStr">
        <is>
          <t>Adams County Board of Equalization, Adams County Attorney, Colorado Board of Assessment Appeals</t>
        </is>
      </c>
      <c r="K31" s="550" t="n"/>
      <c r="L31" s="550" t="n"/>
      <c r="M31" s="550" t="n"/>
      <c r="N31" s="550" t="n"/>
    </row>
    <row r="32" ht="13.5" customHeight="1" s="545">
      <c r="J32" s="552" t="inlineStr">
        <is>
          <t>4430 South Adams County Parkway, Suite C5000B</t>
        </is>
      </c>
      <c r="K32" s="550" t="n"/>
      <c r="L32" s="550" t="n"/>
      <c r="M32" s="550" t="n"/>
    </row>
    <row r="33" ht="13.5" customHeight="1" s="545">
      <c r="J33" s="552" t="inlineStr">
        <is>
          <t>Brighton, CO  80601</t>
        </is>
      </c>
      <c r="K33" s="550" t="n"/>
      <c r="L33" s="550" t="n"/>
      <c r="M33" s="550" t="n"/>
    </row>
    <row r="34" ht="30" customHeight="1" s="545">
      <c r="I34" s="18" t="inlineStr">
        <is>
          <t>Intended User(s)</t>
        </is>
      </c>
      <c r="J34" s="556">
        <f>J31</f>
        <v/>
      </c>
      <c r="K34" s="550" t="n"/>
      <c r="L34" s="550" t="n"/>
      <c r="M34" s="550" t="n"/>
    </row>
    <row r="35" ht="13.5" customHeight="1" s="545">
      <c r="I35" s="18" t="inlineStr">
        <is>
          <t>Intended Use</t>
        </is>
      </c>
      <c r="J35" s="552" t="inlineStr">
        <is>
          <t>Aid in tax appeal decision</t>
        </is>
      </c>
      <c r="K35" s="550" t="n"/>
      <c r="L35" s="550" t="n"/>
      <c r="M35" s="550" t="n"/>
      <c r="N35" s="550" t="n"/>
    </row>
    <row r="36" ht="13.5" customHeight="1" s="545">
      <c r="I36" s="18" t="inlineStr">
        <is>
          <t>Values Concluded</t>
        </is>
      </c>
      <c r="J36" s="552" t="inlineStr">
        <is>
          <t>Retrospective Market Value</t>
        </is>
      </c>
      <c r="K36" s="550" t="n"/>
      <c r="L36" s="550" t="n"/>
      <c r="M36" s="550" t="n"/>
      <c r="N36" s="550" t="n"/>
    </row>
    <row r="37" ht="30" customHeight="1" s="545">
      <c r="I37" s="18" t="inlineStr">
        <is>
          <t>Property Rights Appraised / Premise</t>
        </is>
      </c>
      <c r="J37" s="556">
        <f>"Retrospective Market Value of the Fee Simple interest in the subject property, As Is as of "&amp;TEXT(PI_ValuationDate,"mmmm d, yyyy")</f>
        <v/>
      </c>
      <c r="K37" s="550" t="n"/>
      <c r="L37" s="550" t="n"/>
      <c r="M37" s="550" t="n"/>
      <c r="N37" s="550" t="n"/>
    </row>
    <row r="38" ht="13.5" customHeight="1" s="545">
      <c r="I38" s="18" t="inlineStr">
        <is>
          <t>Premise Summary</t>
        </is>
      </c>
      <c r="J38" s="556">
        <f>"Retrospective Market Value As Is  - "&amp;TEXT(PI_ValuationDate,"mmmm d, yyyy")</f>
        <v/>
      </c>
      <c r="K38" s="550" t="n"/>
      <c r="L38" s="550" t="n"/>
      <c r="M38" s="550" t="n"/>
      <c r="N38" s="550" t="n"/>
    </row>
    <row r="39" ht="13.5" customHeight="1" s="545">
      <c r="I39" s="18" t="inlineStr">
        <is>
          <t>Exterior inspection</t>
        </is>
      </c>
      <c r="J39" s="555" t="n"/>
      <c r="K39" s="550" t="n"/>
      <c r="L39" s="550" t="n"/>
      <c r="M39" s="550" t="n"/>
      <c r="N39" s="550" t="n"/>
    </row>
    <row r="40" ht="13.5" customHeight="1" s="545">
      <c r="I40" s="18" t="inlineStr">
        <is>
          <t>Report Date</t>
        </is>
      </c>
      <c r="J40" s="558">
        <f>PI_DatePrepared</f>
        <v/>
      </c>
      <c r="K40" s="550" t="n"/>
      <c r="L40" s="550" t="n"/>
      <c r="M40" s="550" t="n"/>
      <c r="N40" s="550" t="n"/>
    </row>
    <row r="41" ht="13.5" customHeight="1" s="545">
      <c r="I41" s="18" t="inlineStr">
        <is>
          <t>Marketing Time</t>
        </is>
      </c>
      <c r="J41" s="552" t="inlineStr">
        <is>
          <t>12 months</t>
        </is>
      </c>
      <c r="K41" s="550" t="n"/>
      <c r="L41" s="550" t="n"/>
      <c r="M41" s="550" t="n"/>
      <c r="N41" s="550" t="n"/>
    </row>
    <row r="42" ht="13.5" customHeight="1" s="545">
      <c r="I42" s="18" t="inlineStr">
        <is>
          <t>Exposure Time</t>
        </is>
      </c>
      <c r="J42" s="552" t="inlineStr">
        <is>
          <t>12 months</t>
        </is>
      </c>
      <c r="K42" s="550" t="n"/>
      <c r="L42" s="550" t="n"/>
      <c r="M42" s="550" t="n"/>
      <c r="N42" s="550" t="n"/>
    </row>
    <row r="43" ht="13.5" customHeight="1" s="545">
      <c r="I43" s="18" t="inlineStr">
        <is>
          <t>Owner of Record</t>
        </is>
      </c>
      <c r="J43" s="553">
        <f>PI_Petitioner</f>
        <v/>
      </c>
      <c r="K43" s="550" t="n"/>
      <c r="L43" s="550" t="n"/>
      <c r="M43" s="550" t="n"/>
      <c r="N43" s="550" t="n"/>
    </row>
    <row r="44" ht="42" customHeight="1" s="545">
      <c r="I44" s="18" t="inlineStr">
        <is>
          <t>Property Contact(s)</t>
        </is>
      </c>
      <c r="J44" s="556">
        <f>PI_Agent</f>
        <v/>
      </c>
      <c r="K44" s="550" t="n"/>
      <c r="L44" s="550" t="n"/>
      <c r="M44" s="550" t="n"/>
      <c r="N44" s="550" t="n"/>
    </row>
    <row r="45" ht="13.5" customHeight="1" s="545">
      <c r="I45" s="18" t="inlineStr">
        <is>
          <t>Most Probable Purchaser</t>
        </is>
      </c>
      <c r="J45" s="552" t="inlineStr">
        <is>
          <t>Investor</t>
        </is>
      </c>
      <c r="K45" s="550" t="n"/>
      <c r="L45" s="550" t="n"/>
      <c r="M45" s="550" t="n"/>
      <c r="N45" s="550" t="n"/>
    </row>
    <row r="46" ht="12" customHeight="1" s="545">
      <c r="I46" s="22" t="inlineStr">
        <is>
          <t>Highest and Best Use</t>
        </is>
      </c>
      <c r="J46" s="564" t="n"/>
      <c r="K46" s="564" t="n"/>
      <c r="L46" s="564" t="n"/>
      <c r="M46" s="564" t="n"/>
      <c r="N46" s="564" t="n"/>
    </row>
    <row r="47" ht="13.5" customHeight="1" s="545">
      <c r="I47" s="18" t="inlineStr">
        <is>
          <t>If Vacant</t>
        </is>
      </c>
      <c r="J47" s="552" t="inlineStr">
        <is>
          <t>Continued industrial/distribution development consistent with the Commerce City / DIA Tech Center corridor</t>
        </is>
      </c>
      <c r="K47" s="550" t="n"/>
      <c r="L47" s="550" t="n"/>
      <c r="M47" s="550" t="n"/>
      <c r="N47" s="550" t="n"/>
    </row>
    <row r="48" ht="13.5" customHeight="1" s="545">
      <c r="I48" s="18" t="inlineStr">
        <is>
          <t>As Improved</t>
        </is>
      </c>
      <c r="J48" s="552" t="inlineStr">
        <is>
          <t>Continued use as a multi-tenant, triple-net-leased big-box industrial distribution facility (current use, 3 tenants, 100% occupied)</t>
        </is>
      </c>
      <c r="K48" s="550" t="n"/>
      <c r="L48" s="550" t="n"/>
      <c r="M48" s="550" t="n"/>
      <c r="N48" s="550" t="n"/>
    </row>
    <row r="51" ht="18" customHeight="1" s="545">
      <c r="Q51" s="554" t="inlineStr">
        <is>
          <t>SCOPE OF THE INVESTIGATION</t>
        </is>
      </c>
    </row>
    <row r="52" ht="13.5" customHeight="1" s="545">
      <c r="Q52" s="563" t="inlineStr">
        <is>
          <t>General and Market Data Analyzed</t>
        </is>
      </c>
      <c r="R52" s="551" t="inlineStr">
        <is>
          <t>§  Regional economic data and trends</t>
        </is>
      </c>
      <c r="S52" s="550" t="n"/>
      <c r="T52" s="550" t="n"/>
      <c r="U52" s="550" t="n"/>
    </row>
    <row r="53" ht="13.5" customHeight="1" s="545">
      <c r="R53" s="551" t="inlineStr">
        <is>
          <t>§  Market analysis data specific to the subject property type</t>
        </is>
      </c>
      <c r="S53" s="550" t="n"/>
      <c r="T53" s="550" t="n"/>
      <c r="U53" s="550" t="n"/>
    </row>
    <row r="54" ht="13.5" customHeight="1" s="545">
      <c r="R54" s="551" t="inlineStr">
        <is>
          <t>§  Published survey data</t>
        </is>
      </c>
      <c r="S54" s="550" t="n"/>
      <c r="T54" s="550" t="n"/>
      <c r="U54" s="550" t="n"/>
    </row>
    <row r="55" ht="13.5" customHeight="1" s="545">
      <c r="R55" s="551" t="inlineStr">
        <is>
          <t>§  Neighborhood demographic data</t>
        </is>
      </c>
      <c r="S55" s="550" t="n"/>
      <c r="T55" s="550" t="n"/>
      <c r="U55" s="550" t="n"/>
    </row>
    <row r="56" ht="13.5" customHeight="1" s="545">
      <c r="R56" s="551" t="inlineStr">
        <is>
          <t>§  Comparable cost, sale, rental, expense, and capitalization rate data</t>
        </is>
      </c>
      <c r="S56" s="550" t="n"/>
      <c r="T56" s="550" t="n"/>
      <c r="U56" s="550" t="n"/>
    </row>
    <row r="57" ht="13.5" customHeight="1" s="545">
      <c r="R57" s="551" t="inlineStr">
        <is>
          <t>§  Floodplain status</t>
        </is>
      </c>
      <c r="S57" s="550" t="n"/>
      <c r="T57" s="550" t="n"/>
      <c r="U57" s="550" t="n"/>
    </row>
    <row r="58" ht="13.5" customHeight="1" s="545">
      <c r="R58" s="551" t="inlineStr">
        <is>
          <t>§  Zoning information</t>
        </is>
      </c>
      <c r="S58" s="550" t="n"/>
      <c r="T58" s="550" t="n"/>
      <c r="U58" s="550" t="n"/>
    </row>
    <row r="59" ht="13.5" customHeight="1" s="545">
      <c r="R59" s="551" t="inlineStr">
        <is>
          <t>§  Assessor's information</t>
        </is>
      </c>
      <c r="S59" s="550" t="n"/>
      <c r="T59" s="550" t="n"/>
      <c r="U59" s="550" t="n"/>
    </row>
    <row r="60" ht="25.5" customHeight="1" s="545">
      <c r="R60" s="551" t="inlineStr">
        <is>
          <t>§  Interviewed professionals knowledgeable about the subject's property type and market</t>
        </is>
      </c>
      <c r="S60" s="550" t="n"/>
      <c r="T60" s="550" t="n"/>
      <c r="U60" s="550" t="n"/>
    </row>
    <row r="61" ht="13.5" customHeight="1" s="545">
      <c r="Q61" s="18" t="inlineStr">
        <is>
          <t>Inspection Details</t>
        </is>
      </c>
      <c r="R61" s="551" t="inlineStr">
        <is>
          <t>Exterior inspection from the public right-of-way; current and historical aerial imagery reviewed. The interior of neither building was inspected.</t>
        </is>
      </c>
      <c r="S61" s="550" t="n"/>
      <c r="T61" s="550" t="n"/>
      <c r="U61" s="550" t="n"/>
    </row>
    <row r="62" ht="12" customHeight="1" s="545">
      <c r="Q62" s="22" t="inlineStr">
        <is>
          <t>Data Sources</t>
        </is>
      </c>
      <c r="R62" s="564" t="n"/>
    </row>
    <row r="63" ht="13.5" customHeight="1" s="545">
      <c r="Q63" s="18" t="inlineStr">
        <is>
          <t>Site Size</t>
        </is>
      </c>
      <c r="R63" s="551" t="inlineStr">
        <is>
          <t>Adams County Assessor Records, Appraiser Measurement</t>
        </is>
      </c>
      <c r="S63" s="550" t="n"/>
      <c r="T63" s="550" t="n"/>
      <c r="U63" s="550" t="n"/>
    </row>
    <row r="64" ht="13.5" customHeight="1" s="545">
      <c r="Q64" s="18" t="inlineStr">
        <is>
          <t>Building Size</t>
        </is>
      </c>
      <c r="R64" s="551" t="inlineStr">
        <is>
          <t>Adams County Assessor Records, Appraiser Measurement</t>
        </is>
      </c>
      <c r="S64" s="550" t="n"/>
      <c r="T64" s="550" t="n"/>
      <c r="U64" s="550" t="n"/>
    </row>
    <row r="65" ht="13.5" customHeight="1" s="545">
      <c r="Q65" s="18" t="inlineStr">
        <is>
          <t>Zoning information</t>
        </is>
      </c>
      <c r="R65" s="551" t="inlineStr">
        <is>
          <t>Adams County Planning Department</t>
        </is>
      </c>
      <c r="S65" s="550" t="n"/>
      <c r="T65" s="550" t="n"/>
      <c r="U65" s="550" t="n"/>
    </row>
    <row r="66" ht="13.5" customHeight="1" s="545">
      <c r="Q66" s="18" t="inlineStr">
        <is>
          <t>Flood Status</t>
        </is>
      </c>
      <c r="R66" s="551" t="inlineStr">
        <is>
          <t>FEMA Flood Map Service Center</t>
        </is>
      </c>
      <c r="S66" s="550" t="n"/>
      <c r="T66" s="550" t="n"/>
      <c r="U66" s="550" t="n"/>
    </row>
    <row r="67" ht="13.5" customHeight="1" s="545">
      <c r="Q67" s="18" t="inlineStr">
        <is>
          <t>Demographics</t>
        </is>
      </c>
      <c r="R67" s="551" t="inlineStr">
        <is>
          <t>CoStar Market Reports</t>
        </is>
      </c>
      <c r="S67" s="550" t="n"/>
      <c r="T67" s="550" t="n"/>
      <c r="U67" s="550" t="n"/>
    </row>
    <row r="68" ht="13.5" customHeight="1" s="545">
      <c r="Q68" s="18" t="inlineStr">
        <is>
          <t>Land Sales</t>
        </is>
      </c>
      <c r="R68" s="551" t="inlineStr">
        <is>
          <t>CoStar, MLS, Adams County Sales Data, Local Brokers</t>
        </is>
      </c>
      <c r="S68" s="550" t="n"/>
      <c r="T68" s="550" t="n"/>
      <c r="U68" s="550" t="n"/>
    </row>
    <row r="69" ht="13.5" customHeight="1" s="545">
      <c r="Q69" s="18" t="inlineStr">
        <is>
          <t>Cost Estimate Data</t>
        </is>
      </c>
      <c r="R69" s="551" t="inlineStr">
        <is>
          <t>Marshall &amp; Swift Cost Estimator</t>
        </is>
      </c>
      <c r="S69" s="550" t="n"/>
      <c r="T69" s="550" t="n"/>
      <c r="U69" s="550" t="n"/>
    </row>
    <row r="70" ht="13.5" customHeight="1" s="545">
      <c r="Q70" s="18" t="inlineStr">
        <is>
          <t>Comparable Improved Sales</t>
        </is>
      </c>
      <c r="R70" s="551" t="inlineStr">
        <is>
          <t>CoStar, MLS, Adams County Sales Data, Local Brokers</t>
        </is>
      </c>
      <c r="S70" s="550" t="n"/>
      <c r="T70" s="550" t="n"/>
      <c r="U70" s="550" t="n"/>
    </row>
    <row r="71" ht="13.5" customHeight="1" s="545">
      <c r="Q71" s="18" t="inlineStr">
        <is>
          <t>Comparable Improved Rents</t>
        </is>
      </c>
      <c r="R71" s="551" t="inlineStr">
        <is>
          <t>CoStar, MLS, Adams County Lease Data, Local Brokers</t>
        </is>
      </c>
      <c r="S71" s="550" t="n"/>
      <c r="T71" s="550" t="n"/>
      <c r="U71" s="550" t="n"/>
    </row>
    <row r="72" ht="12" customHeight="1" s="545">
      <c r="Q72" s="563" t="inlineStr">
        <is>
          <t>Property Specific Data Requested and Received</t>
        </is>
      </c>
    </row>
    <row r="73" ht="13.5" customHeight="1" s="545">
      <c r="R73" s="551" t="inlineStr">
        <is>
          <t>Rent rolls dated 01/01/2024 and 01/01/2025, and 2023-2024 rent-step schedules for all three tenants (Haier US Appliance Solutions, TJX, Highland Cabinetry)</t>
        </is>
      </c>
      <c r="S73" s="550" t="n"/>
      <c r="T73" s="550" t="n"/>
      <c r="U73" s="550" t="n"/>
    </row>
    <row r="74" ht="13.5" customHeight="1" s="545">
      <c r="R74" s="551" t="inlineStr">
        <is>
          <t>Petition/protest record for Real Property Valuation Protest #156810, TY2025, Becknell Industrial by Ryan, LLC (Beth Diehl), denied at the assessor level 6/17/2025</t>
        </is>
      </c>
      <c r="S74" s="550" t="n"/>
      <c r="T74" s="550" t="n"/>
      <c r="U74" s="550" t="n"/>
    </row>
    <row r="75" ht="13.5" customHeight="1" s="545">
      <c r="R75" s="551" t="inlineStr">
        <is>
          <t>Petitioner's summary of salient facts, pro forma income analysis (Becknell Industrial CO PT 2025 8251 Quintero St Analysis, dated 6/4/2025), CoStar lease and sale comparables, and CompStak sale/cap-rate and lease comparable exports</t>
        </is>
      </c>
      <c r="S75" s="550" t="n"/>
      <c r="T75" s="550" t="n"/>
      <c r="U75" s="550" t="n"/>
    </row>
    <row r="76" ht="12" customHeight="1" s="545"/>
    <row r="77" ht="12" customHeight="1" s="545">
      <c r="Q77" s="22" t="inlineStr">
        <is>
          <t>Data Requested, but not Provided</t>
        </is>
      </c>
      <c r="R77" s="564" t="n"/>
    </row>
    <row r="78" ht="13.5" customHeight="1" s="545">
      <c r="R78" s="551" t="inlineStr">
        <is>
          <t>Executed lease agreements / estoppel certificates for all three tenants (only rent-roll summaries and rent-step schedules were provided)</t>
        </is>
      </c>
    </row>
    <row r="79" ht="13.5" customHeight="1" s="545">
      <c r="R79" s="551" t="inlineStr">
        <is>
          <t>Owner-prepared operating expense statements beyond the 2023-2024 accrual-basis income statements provided</t>
        </is>
      </c>
    </row>
    <row r="80" ht="13.5" customHeight="1" s="545">
      <c r="R80" s="551" t="inlineStr">
        <is>
          <t>Building plans / measured drawings (eave height of 36' is assumed from a comparable building, not measured)</t>
        </is>
      </c>
      <c r="S80" s="550" t="n"/>
      <c r="T80" s="550" t="n"/>
      <c r="U80" s="550" t="n"/>
    </row>
    <row r="81" ht="13.5" customHeight="1" s="545">
      <c r="R81" s="551" t="inlineStr">
        <is>
          <t>Environmental survey, ALTA survey, and written zoning confirmation for the Commerce City parcel</t>
        </is>
      </c>
      <c r="S81" s="550" t="n"/>
      <c r="T81" s="550" t="n"/>
      <c r="U81" s="550" t="n"/>
    </row>
    <row r="84" ht="18" customHeight="1" s="545">
      <c r="W84" s="554" t="inlineStr">
        <is>
          <t>EXTRAORDINARY ASSUMPTION(S) AND HYPOTHETICAL CONDITION(S)</t>
        </is>
      </c>
    </row>
    <row r="85" ht="55.5" customHeight="1" s="545">
      <c r="W85" s="556"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c r="X85" s="550" t="n"/>
    </row>
    <row r="86" ht="12" customHeight="1" s="545">
      <c r="W86" s="22" t="inlineStr">
        <is>
          <t>Extraordinary Assumption(s)</t>
        </is>
      </c>
      <c r="X86" s="564" t="n"/>
    </row>
    <row r="87" ht="13.5" customHeight="1" s="545">
      <c r="W87" s="551" t="inlineStr">
        <is>
          <t>Building area of 540,800 SF is taken from the Adams County Assessor property record and has not been independently measured. Eave height of 36' (used in the Cost Approach) is assumed from the directly comparable Highpoint Elevated / Dematic building (541,985 SF, built 2022, documented 36' clear) because the Assessor's own 'Story Ht: 40' CAMA field could not be reconciled to this workbook's MVS story-height table. Site-improvement (paved area) square footages are taken from the Assessor's own R0194277 Cost Details record rather than independently measured. Zoning is described generically as 'Industrial (Commerce City)' because no specific zoning district code was found in the source materials reviewed. If any of these assumptions is found to be false it could alter the appraiser's opinions or conclusions.</t>
        </is>
      </c>
      <c r="X87" s="550" t="n"/>
    </row>
    <row r="88" ht="13.5" customHeight="1" s="545">
      <c r="W88" s="552" t="n"/>
      <c r="X88" s="550" t="n"/>
    </row>
    <row r="89" ht="13.5" customHeight="1" s="545">
      <c r="W89" s="552" t="n"/>
      <c r="X89" s="550" t="n"/>
    </row>
    <row r="90" ht="13.5" customHeight="1" s="545">
      <c r="W90" s="552" t="n"/>
      <c r="X90" s="550" t="n"/>
    </row>
    <row r="92" ht="12" customHeight="1" s="545">
      <c r="W92" s="22" t="inlineStr">
        <is>
          <t>Hypothetical Condition(s)</t>
        </is>
      </c>
      <c r="X92" s="564" t="n"/>
    </row>
    <row r="93" ht="13.5" customHeight="1" s="545">
      <c r="W93" s="551" t="inlineStr">
        <is>
          <t>This appraisal employs no hypothetical conditions.</t>
        </is>
      </c>
      <c r="X93" s="550" t="n"/>
    </row>
    <row r="94" ht="13.5" customHeight="1" s="545">
      <c r="W94" s="552" t="n"/>
      <c r="X94" s="550" t="n"/>
    </row>
    <row r="95" ht="13.5" customHeight="1" s="545">
      <c r="W95" s="552" t="n"/>
      <c r="X95" s="550" t="n"/>
    </row>
    <row r="96" ht="13.5" customHeight="1" s="545">
      <c r="W96" s="552" t="n"/>
      <c r="X96" s="550" t="n"/>
    </row>
    <row r="101" ht="18" customHeight="1" s="545">
      <c r="Z101" s="554" t="inlineStr">
        <is>
          <t>PROPERTY OVERVIEW</t>
        </is>
      </c>
    </row>
    <row r="102" ht="13.5" customHeight="1" s="545">
      <c r="Z102" s="18" t="inlineStr">
        <is>
          <t>Property Name</t>
        </is>
      </c>
      <c r="AA102" s="552" t="inlineStr">
        <is>
          <t>8251 Quintero Street - Becknell Industrial / Colorado Brecknell Investors LLC</t>
        </is>
      </c>
      <c r="AB102" s="550" t="n"/>
      <c r="AC102" s="550" t="n"/>
      <c r="AD102" s="550" t="n"/>
    </row>
    <row r="103" ht="13.5" customHeight="1" s="545">
      <c r="Z103" s="18" t="inlineStr">
        <is>
          <t>Address</t>
        </is>
      </c>
      <c r="AA103" s="553">
        <f>'Property Info'!$C$19</f>
        <v/>
      </c>
      <c r="AB103" s="550" t="n"/>
      <c r="AC103" s="550" t="n"/>
      <c r="AD103" s="550" t="n"/>
    </row>
    <row r="104" ht="13.5" customHeight="1" s="545">
      <c r="AA104" s="553">
        <f>PROPER('Property Info'!$C$20)&amp;", CO  "&amp;PI_Zip</f>
        <v/>
      </c>
      <c r="AB104" s="550" t="n"/>
      <c r="AC104" s="550" t="n"/>
      <c r="AD104" s="550" t="n"/>
    </row>
    <row r="105" ht="30" customHeight="1" s="545">
      <c r="Z105" s="18" t="inlineStr">
        <is>
          <t>Location</t>
        </is>
      </c>
      <c r="AA105" s="551" t="inlineStr">
        <is>
          <t>DIA Tech Center Filing No. 6, Commerce City (Adams County) - big-box industrial/distribution corridor near I-76, E-470 and Denver International Airport</t>
        </is>
      </c>
      <c r="AB105" s="550" t="n"/>
      <c r="AC105" s="550" t="n"/>
      <c r="AD105" s="550" t="n"/>
    </row>
    <row r="106" ht="13.5" customHeight="1" s="545">
      <c r="Z106" s="18" t="inlineStr">
        <is>
          <t>Property Description</t>
        </is>
      </c>
      <c r="AA106" s="553">
        <f>'Property Info'!$C$23</f>
        <v/>
      </c>
      <c r="AB106" s="550" t="n"/>
      <c r="AC106" s="550" t="n"/>
      <c r="AD106" s="550" t="n"/>
    </row>
    <row r="107" ht="13.5" customHeight="1" s="545">
      <c r="Z107" s="18" t="inlineStr">
        <is>
          <t>and</t>
        </is>
      </c>
      <c r="AA107" s="552" t="n"/>
      <c r="AB107" s="550" t="n"/>
      <c r="AC107" s="550" t="n"/>
      <c r="AD107" s="550" t="n"/>
    </row>
    <row r="108" ht="13.5" customHeight="1" s="545">
      <c r="Z108" s="18" t="inlineStr">
        <is>
          <t>County</t>
        </is>
      </c>
      <c r="AA108" s="553">
        <f>PROPER(PI_County)&amp;" County"</f>
        <v/>
      </c>
      <c r="AB108" s="550" t="n"/>
      <c r="AC108" s="550" t="n"/>
      <c r="AD108" s="550" t="n"/>
    </row>
    <row r="109" ht="13.5" customHeight="1" s="545">
      <c r="Z109" s="18" t="inlineStr">
        <is>
          <t>Account Number(s)</t>
        </is>
      </c>
      <c r="AA109" s="557">
        <f>PI_Account</f>
        <v/>
      </c>
      <c r="AB109" s="550" t="n"/>
      <c r="AC109" s="550" t="n"/>
      <c r="AD109" s="550" t="n"/>
    </row>
    <row r="110" ht="30" customHeight="1" s="545">
      <c r="Z110" s="18" t="inlineStr">
        <is>
          <t>Note:</t>
        </is>
      </c>
      <c r="AA110" s="551" t="inlineStr">
        <is>
          <t>A single 540,800 SF Class A big-box industrial/distribution building (2018), 100% leased to three tenants (Haier US Appliance Solutions, The TJX Companies, Highland Cabinetry, Inc.) under triple-net leases, on a 38.81-acre (1,690,564 SF) site.</t>
        </is>
      </c>
      <c r="AB110" s="550" t="n"/>
      <c r="AC110" s="550" t="n"/>
      <c r="AD110" s="550" t="n"/>
    </row>
    <row r="111" ht="13.5" customHeight="1" s="545">
      <c r="Z111" s="18" t="inlineStr">
        <is>
          <t>Census Tract No.</t>
        </is>
      </c>
      <c r="AA111" s="562" t="n"/>
      <c r="AB111" s="550" t="n"/>
      <c r="AC111" s="550" t="n"/>
      <c r="AD111" s="550" t="n"/>
    </row>
    <row r="112" ht="13.5" customHeight="1" s="545">
      <c r="Z112" s="18" t="inlineStr">
        <is>
          <t>Legal Description</t>
        </is>
      </c>
      <c r="AA112" s="551" t="inlineStr">
        <is>
          <t>DIA TECH CENTER FLG NO 6 LOT 1</t>
        </is>
      </c>
      <c r="AB112" s="550" t="n"/>
      <c r="AC112" s="550" t="n"/>
      <c r="AD112" s="550" t="n"/>
    </row>
    <row r="113" ht="12" customHeight="1" s="545">
      <c r="Z113" s="22" t="inlineStr">
        <is>
          <t>Site Area</t>
        </is>
      </c>
      <c r="AA113" s="564" t="n"/>
      <c r="AB113" s="564" t="n"/>
      <c r="AC113" s="564" t="n"/>
      <c r="AD113" s="564" t="n"/>
    </row>
    <row r="114" ht="13.5" customHeight="1" s="545">
      <c r="Z114" s="18" t="inlineStr">
        <is>
          <t>Primary Site</t>
        </is>
      </c>
      <c r="AA114" s="561">
        <f>'Property Info'!$C$26</f>
        <v/>
      </c>
      <c r="AB114" s="34">
        <f>AA114/43560</f>
        <v/>
      </c>
    </row>
    <row r="115" ht="13.5" customHeight="1" s="545">
      <c r="Z115" s="18" t="inlineStr">
        <is>
          <t>Excess Land</t>
        </is>
      </c>
      <c r="AA115" s="35" t="n">
        <v>0</v>
      </c>
      <c r="AB115" s="34">
        <f>AA115/43560</f>
        <v/>
      </c>
    </row>
    <row r="116" ht="13.5" customHeight="1" s="545">
      <c r="Z116" s="18" t="inlineStr">
        <is>
          <t>Surplus Land</t>
        </is>
      </c>
      <c r="AA116" s="35" t="n">
        <v>0</v>
      </c>
      <c r="AB116" s="34">
        <f>AA116/43560</f>
        <v/>
      </c>
    </row>
    <row r="117" ht="13.5" customHeight="1" s="545">
      <c r="Z117" s="29" t="inlineStr">
        <is>
          <t>Total</t>
        </is>
      </c>
      <c r="AA117" s="36">
        <f>SUM(AA114:AA116)</f>
        <v/>
      </c>
      <c r="AB117" s="37">
        <f>AA117/43560</f>
        <v/>
      </c>
    </row>
    <row r="118" ht="13.5" customHeight="1" s="545">
      <c r="Z118" s="18" t="inlineStr">
        <is>
          <t>Zoning</t>
        </is>
      </c>
      <c r="AA118" s="553">
        <f>'Property Info'!$C$25</f>
        <v/>
      </c>
      <c r="AB118" s="550" t="n"/>
      <c r="AC118" s="550" t="n"/>
      <c r="AD118" s="550" t="n"/>
    </row>
    <row r="119" ht="13.5" customHeight="1" s="545">
      <c r="Z119" s="18" t="inlineStr">
        <is>
          <t>Flood Status</t>
        </is>
      </c>
      <c r="AA119" s="552" t="inlineStr">
        <is>
          <t>Not determined - confirm on the FEMA FIRM before the hearing</t>
        </is>
      </c>
      <c r="AB119" s="550" t="n"/>
      <c r="AC119" s="550" t="n"/>
      <c r="AD119" s="550" t="n"/>
    </row>
    <row r="120" ht="13.5" customHeight="1" s="545">
      <c r="Z120" s="18" t="inlineStr">
        <is>
          <t>Year Built</t>
        </is>
      </c>
      <c r="AA120" s="560">
        <f>'Property Info'!$C$32</f>
        <v/>
      </c>
      <c r="AB120" s="550" t="n"/>
      <c r="AC120" s="550" t="n"/>
      <c r="AD120" s="550" t="n"/>
    </row>
    <row r="121" ht="13.5" customHeight="1" s="545">
      <c r="Z121" s="18" t="inlineStr">
        <is>
          <t>and</t>
        </is>
      </c>
      <c r="AA121" s="552" t="n"/>
      <c r="AB121" s="550" t="n"/>
      <c r="AC121" s="550" t="n"/>
      <c r="AD121" s="550" t="n"/>
    </row>
    <row r="122" ht="13.5" customHeight="1" s="545">
      <c r="Z122" s="18" t="inlineStr">
        <is>
          <t>Year Renovated</t>
        </is>
      </c>
      <c r="AA122" s="549" t="n"/>
      <c r="AB122" s="550" t="n"/>
      <c r="AC122" s="550" t="n"/>
      <c r="AD122" s="550" t="n"/>
    </row>
    <row r="123" ht="13.5" customHeight="1" s="545">
      <c r="Z123" s="18" t="inlineStr">
        <is>
          <t>and</t>
        </is>
      </c>
      <c r="AA123" s="552" t="n"/>
      <c r="AB123" s="550" t="n"/>
      <c r="AC123" s="550" t="n"/>
      <c r="AD123" s="550" t="n"/>
    </row>
    <row r="124" ht="13.5" customHeight="1" s="545">
      <c r="Z124" s="18" t="inlineStr">
        <is>
          <t>Type of Construction</t>
        </is>
      </c>
      <c r="AA124" s="552" t="inlineStr">
        <is>
          <t>Masonry / MVS Class C</t>
        </is>
      </c>
      <c r="AB124" s="550" t="n"/>
      <c r="AC124" s="550" t="n"/>
      <c r="AD124" s="550" t="n"/>
    </row>
    <row r="125" ht="13.5" customHeight="1" s="545">
      <c r="Z125" s="18" t="inlineStr">
        <is>
          <t>and</t>
        </is>
      </c>
      <c r="AA125" s="552" t="n"/>
      <c r="AB125" s="550" t="n"/>
      <c r="AC125" s="550" t="n"/>
      <c r="AD125" s="550" t="n"/>
    </row>
    <row r="126" ht="13.5" customHeight="1" s="545">
      <c r="Z126" s="18" t="inlineStr">
        <is>
          <t>Number of Buildings</t>
        </is>
      </c>
      <c r="AA126" s="560">
        <f>'Property Info'!$C$28</f>
        <v/>
      </c>
      <c r="AB126" s="550" t="n"/>
      <c r="AC126" s="550" t="n"/>
      <c r="AD126" s="550" t="n"/>
    </row>
    <row r="127" ht="13.5" customHeight="1" s="545">
      <c r="Z127" s="18" t="inlineStr">
        <is>
          <t>and</t>
        </is>
      </c>
      <c r="AA127" s="552" t="n"/>
      <c r="AB127" s="550" t="n"/>
      <c r="AC127" s="550" t="n"/>
      <c r="AD127" s="550" t="n"/>
    </row>
    <row r="128" ht="13.5" customHeight="1" s="545">
      <c r="Z128" s="18" t="inlineStr">
        <is>
          <t>Gross Leasable Area (SF)</t>
        </is>
      </c>
      <c r="AA128" s="561">
        <f>'Property Info'!$C$29</f>
        <v/>
      </c>
      <c r="AB128" s="550" t="n"/>
      <c r="AC128" s="550" t="n"/>
      <c r="AD128" s="550" t="n"/>
    </row>
    <row r="129" ht="13.5" customHeight="1" s="545">
      <c r="Z129" s="18" t="inlineStr">
        <is>
          <t>and</t>
        </is>
      </c>
      <c r="AA129" s="552" t="n"/>
      <c r="AB129" s="550" t="n"/>
      <c r="AC129" s="550" t="n"/>
      <c r="AD129" s="550" t="n"/>
    </row>
    <row r="130" ht="13.5" customHeight="1" s="545">
      <c r="Z130" s="18" t="inlineStr">
        <is>
          <t>Net Rentable Area (SF)</t>
        </is>
      </c>
      <c r="AA130" s="561">
        <f>'Property Info'!$C$29</f>
        <v/>
      </c>
      <c r="AB130" s="550" t="n"/>
      <c r="AC130" s="550" t="n"/>
      <c r="AD130" s="550" t="n"/>
    </row>
    <row r="131" ht="13.5" customHeight="1" s="545">
      <c r="Z131" s="18" t="inlineStr">
        <is>
          <t>and</t>
        </is>
      </c>
      <c r="AA131" s="552" t="n"/>
      <c r="AB131" s="550" t="n"/>
      <c r="AC131" s="550" t="n"/>
      <c r="AD131" s="550" t="n"/>
    </row>
    <row r="132" ht="13.5" customHeight="1" s="545">
      <c r="Z132" s="18" t="inlineStr">
        <is>
          <t>Total Number of Units</t>
        </is>
      </c>
      <c r="AA132" s="560">
        <f>'Property Info'!$C$30</f>
        <v/>
      </c>
      <c r="AB132" s="550" t="n"/>
      <c r="AC132" s="550" t="n"/>
      <c r="AD132" s="550" t="n"/>
    </row>
    <row r="133" ht="13.5" customHeight="1" s="545">
      <c r="Z133" s="18" t="inlineStr">
        <is>
          <t>Total Number of Tenants</t>
        </is>
      </c>
      <c r="AA133" s="549" t="n">
        <v>3</v>
      </c>
      <c r="AB133" s="550" t="n"/>
      <c r="AC133" s="550" t="n"/>
      <c r="AD133" s="550" t="n"/>
    </row>
    <row r="134" ht="13.5" customHeight="1" s="545">
      <c r="Z134" s="18" t="inlineStr">
        <is>
          <t>Assumed Occupancy</t>
        </is>
      </c>
      <c r="AA134" s="559">
        <f>1-PI_Vacancy</f>
        <v/>
      </c>
      <c r="AB134" s="550" t="n"/>
      <c r="AC134" s="550" t="n"/>
      <c r="AD134" s="550" t="n"/>
    </row>
    <row r="135" ht="13.5" customHeight="1" s="545">
      <c r="Z135" s="18" t="inlineStr">
        <is>
          <t>Overall Condition</t>
        </is>
      </c>
      <c r="AA135" s="553">
        <f>'Property Info'!$C$35</f>
        <v/>
      </c>
      <c r="AB135" s="550" t="n"/>
      <c r="AC135" s="550" t="n"/>
      <c r="AD135" s="550" t="n"/>
    </row>
    <row r="136" ht="13.5" customHeight="1" s="545">
      <c r="Z136" s="18" t="inlineStr">
        <is>
          <t>Overall Quality</t>
        </is>
      </c>
      <c r="AA136" s="553">
        <f>'Property Info'!$C$34</f>
        <v/>
      </c>
      <c r="AB136" s="550" t="n"/>
      <c r="AC136" s="550" t="n"/>
      <c r="AD136" s="550" t="n"/>
    </row>
    <row r="137" ht="13.5" customHeight="1" s="545">
      <c r="Z137" s="18" t="inlineStr">
        <is>
          <t>Overall Design/Functionality</t>
        </is>
      </c>
      <c r="AA137" s="553">
        <f>'Property Info'!$C$36</f>
        <v/>
      </c>
      <c r="AB137" s="550" t="n"/>
      <c r="AC137" s="550" t="n"/>
      <c r="AD137" s="550" t="n"/>
    </row>
    <row r="141" ht="18" customHeight="1" s="545">
      <c r="AF141" s="554" t="inlineStr">
        <is>
          <t>APPEAL HISTORY</t>
        </is>
      </c>
    </row>
    <row r="142" ht="13.5" customHeight="1" s="545">
      <c r="AF142" s="18" t="inlineStr">
        <is>
          <t>Docket #:</t>
        </is>
      </c>
      <c r="AG142" s="552" t="n"/>
      <c r="AH142" s="550" t="n"/>
      <c r="AI142" s="550" t="n"/>
    </row>
    <row r="143" ht="12" customHeight="1" s="545">
      <c r="AG143" s="28" t="inlineStr">
        <is>
          <t>Land</t>
        </is>
      </c>
      <c r="AH143" s="28" t="inlineStr">
        <is>
          <t>Improvements</t>
        </is>
      </c>
      <c r="AI143" s="28" t="inlineStr">
        <is>
          <t>Total</t>
        </is>
      </c>
    </row>
    <row r="144" ht="13.5" customHeight="1" s="545">
      <c r="AF144" s="18" t="inlineStr">
        <is>
          <t>Assessor's Assigned Value</t>
        </is>
      </c>
      <c r="AG144" s="38">
        <f>PI_AsrLand</f>
        <v/>
      </c>
      <c r="AH144" s="38">
        <f>PI_AsrImp</f>
        <v/>
      </c>
      <c r="AI144" s="635">
        <f>SUM(AG144:AH144)</f>
        <v/>
      </c>
    </row>
    <row r="145" ht="13.5" customHeight="1" s="545">
      <c r="AF145" s="18" t="inlineStr">
        <is>
          <t>Petitioners Estimated Value</t>
        </is>
      </c>
      <c r="AG145" s="509" t="n">
        <v>10988663</v>
      </c>
      <c r="AH145" s="509">
        <f>39994200-AG145</f>
        <v/>
      </c>
      <c r="AI145" s="635">
        <f>SUM(AG145:AH145)</f>
        <v/>
      </c>
    </row>
    <row r="146" ht="13.5" customHeight="1" s="545">
      <c r="AF146" s="18" t="inlineStr">
        <is>
          <t>Adjustment by Assessor</t>
        </is>
      </c>
      <c r="AG146" s="39" t="n">
        <v>0</v>
      </c>
      <c r="AH146" s="39" t="n">
        <v>0</v>
      </c>
      <c r="AI146" s="38">
        <f>SUM(AG146:AH146)</f>
        <v/>
      </c>
    </row>
    <row r="148" ht="13.5" customHeight="1" s="545">
      <c r="AF148" s="18" t="inlineStr">
        <is>
          <t>BOE Assigned Value</t>
        </is>
      </c>
      <c r="AG148" s="38">
        <f>AG144</f>
        <v/>
      </c>
      <c r="AH148" s="38">
        <f>AH144</f>
        <v/>
      </c>
      <c r="AI148" s="38">
        <f>SUM(AG148:AH148)</f>
        <v/>
      </c>
    </row>
    <row r="149" ht="13.5" customHeight="1" s="545">
      <c r="AF149" s="18" t="inlineStr">
        <is>
          <t>BOE #</t>
        </is>
      </c>
      <c r="AG149" s="552" t="n"/>
      <c r="AH149" s="550" t="n"/>
    </row>
    <row r="150" ht="13.5" customHeight="1" s="545">
      <c r="AF150" s="18" t="inlineStr">
        <is>
          <t>Adjustment by BOE</t>
        </is>
      </c>
      <c r="AG150" s="39" t="n">
        <v>0</v>
      </c>
      <c r="AH150" s="39" t="n">
        <v>0</v>
      </c>
      <c r="AI150" s="38">
        <f>SUM(AG150:AH150)</f>
        <v/>
      </c>
    </row>
    <row r="151" ht="13.5" customHeight="1" s="545">
      <c r="AF151" s="29" t="inlineStr">
        <is>
          <t>Current Actual Value</t>
        </is>
      </c>
      <c r="AG151" s="38">
        <f>AG144+AG146+AG150</f>
        <v/>
      </c>
      <c r="AH151" s="38">
        <f>AH144+AH146+AH150</f>
        <v/>
      </c>
      <c r="AI151" s="635">
        <f>SUM(AG151:AH151)</f>
        <v/>
      </c>
    </row>
    <row r="153">
      <c r="AF153" t="inlineStr">
        <is>
          <t>The petitioner (Becknell Industrial) did not allocate its $39,994,200 estimate between land and improvements; its analysis is a single income-approach total. Land above is shown at the Assessor's own $10,988,663 allocation (not disputed by the petitioner), so the improvement line is the arithmetic remainder, $29,005,537. The core driver of the gap between the petitioner's value and the Assessor's (and this analysis's) higher figures is the petitioner's $5.50/SF market rent assumption, which sits below both this analysis's 12-comparable CompStak lease-comp average ($6.42/SF) and the subject's own recently re-leased space (TJX at $7.38/SF; Highland Cabinetry stepping toward $6.52/SF by 2033).</t>
        </is>
      </c>
    </row>
    <row r="155" ht="18" customHeight="1" s="545">
      <c r="AK155" s="554" t="inlineStr">
        <is>
          <t>SUBJECT SALE HISTORY</t>
        </is>
      </c>
    </row>
    <row r="156" ht="12" customHeight="1" s="545">
      <c r="AL156" s="28" t="inlineStr">
        <is>
          <t>Status</t>
        </is>
      </c>
      <c r="AM156" s="28" t="inlineStr">
        <is>
          <t>Price</t>
        </is>
      </c>
      <c r="AN156" s="28" t="inlineStr">
        <is>
          <t>Price PSF</t>
        </is>
      </c>
    </row>
    <row r="157" ht="13.5" customHeight="1" s="545">
      <c r="AK157" s="18" t="inlineStr">
        <is>
          <t>Subject Listed for Sale/Price</t>
        </is>
      </c>
      <c r="AL157" s="553">
        <f>IF(N(AM157)=0,"N/A","Currently Listed")</f>
        <v/>
      </c>
      <c r="AM157" s="39" t="n"/>
      <c r="AN157" s="40">
        <f>IF(N(AM157)=0,"",AM157/'Property Info'!$C$29)</f>
        <v/>
      </c>
    </row>
    <row r="158" ht="13.5" customHeight="1" s="545">
      <c r="AK158" s="18" t="inlineStr">
        <is>
          <t>Subject Under Contract/Price</t>
        </is>
      </c>
      <c r="AL158" s="552" t="n"/>
      <c r="AM158" s="39" t="n"/>
      <c r="AN158" s="40">
        <f>IF(N(AM158)=0,"",AM158/'Property Info'!$C$29)</f>
        <v/>
      </c>
    </row>
    <row r="159" ht="13.5" customHeight="1" s="545">
      <c r="AK159" s="18" t="inlineStr">
        <is>
          <t>Recent Sale</t>
        </is>
      </c>
      <c r="AL159" s="553">
        <f>IF(N(PI_LastSaleDate)=0,"N/A",TEXT(PI_LastSaleDate,"mmmm d, yyyy"))</f>
        <v/>
      </c>
      <c r="AM159" s="38">
        <f>PI_LastSalePrice</f>
        <v/>
      </c>
      <c r="AN159" s="40">
        <f>IF(N(AM159)=0,"",AM159/'Property Info'!$C$29)</f>
        <v/>
      </c>
    </row>
    <row r="160" ht="13.5" customHeight="1" s="545">
      <c r="AK160" s="18" t="inlineStr">
        <is>
          <t>Recent Sale</t>
        </is>
      </c>
      <c r="AL160" s="552" t="n"/>
      <c r="AM160" s="39" t="n"/>
      <c r="AN160" s="40">
        <f>IF(N(AM160)=0,"",AM160/'Property Info'!$C$29)</f>
        <v/>
      </c>
    </row>
  </sheetData>
  <mergeCells count="97">
    <mergeCell ref="AA133:AD133"/>
    <mergeCell ref="W87:X87"/>
    <mergeCell ref="AA127:AD127"/>
    <mergeCell ref="W89:X89"/>
    <mergeCell ref="AA104:AD104"/>
    <mergeCell ref="AA122:AD122"/>
    <mergeCell ref="J33:M33"/>
    <mergeCell ref="R52:U52"/>
    <mergeCell ref="AA106:AD106"/>
    <mergeCell ref="R67:U67"/>
    <mergeCell ref="AA105:AD105"/>
    <mergeCell ref="J35:N35"/>
    <mergeCell ref="AF141:AI141"/>
    <mergeCell ref="R69:U69"/>
    <mergeCell ref="W93:X93"/>
    <mergeCell ref="R80:U80"/>
    <mergeCell ref="AA123:AD123"/>
    <mergeCell ref="AA137:AD137"/>
    <mergeCell ref="R55:U55"/>
    <mergeCell ref="R70:U70"/>
    <mergeCell ref="R54:U54"/>
    <mergeCell ref="J39:N39"/>
    <mergeCell ref="AA108:AD108"/>
    <mergeCell ref="J48:N48"/>
    <mergeCell ref="AA118:AD118"/>
    <mergeCell ref="AA110:AD110"/>
    <mergeCell ref="J38:N38"/>
    <mergeCell ref="R56:U56"/>
    <mergeCell ref="AA109:AD109"/>
    <mergeCell ref="R58:U58"/>
    <mergeCell ref="J40:N40"/>
    <mergeCell ref="W95:X95"/>
    <mergeCell ref="AA135:AD135"/>
    <mergeCell ref="R60:U60"/>
    <mergeCell ref="AA125:AD125"/>
    <mergeCell ref="AA134:AD134"/>
    <mergeCell ref="AA121:AD121"/>
    <mergeCell ref="R59:U59"/>
    <mergeCell ref="AG142:AI142"/>
    <mergeCell ref="W96:X96"/>
    <mergeCell ref="AA136:AD136"/>
    <mergeCell ref="W90:X90"/>
    <mergeCell ref="J34:M34"/>
    <mergeCell ref="AA120:AD120"/>
    <mergeCell ref="AA107:AD107"/>
    <mergeCell ref="E24:G24"/>
    <mergeCell ref="J42:N42"/>
    <mergeCell ref="Z101:AD101"/>
    <mergeCell ref="J44:N44"/>
    <mergeCell ref="R72:U72"/>
    <mergeCell ref="R81:U81"/>
    <mergeCell ref="W84:X84"/>
    <mergeCell ref="J37:N37"/>
    <mergeCell ref="AK155:AN155"/>
    <mergeCell ref="R71:U71"/>
    <mergeCell ref="AG149:AH149"/>
    <mergeCell ref="AA126:AD126"/>
    <mergeCell ref="W94:X94"/>
    <mergeCell ref="R64:U64"/>
    <mergeCell ref="R73:U73"/>
    <mergeCell ref="AA130:AD130"/>
    <mergeCell ref="R57:U57"/>
    <mergeCell ref="R63:U63"/>
    <mergeCell ref="AA111:AD111"/>
    <mergeCell ref="J41:N41"/>
    <mergeCell ref="I30:N30"/>
    <mergeCell ref="J47:N47"/>
    <mergeCell ref="R74:U74"/>
    <mergeCell ref="AA103:AD103"/>
    <mergeCell ref="AA112:AD112"/>
    <mergeCell ref="J43:N43"/>
    <mergeCell ref="Q52:Q60"/>
    <mergeCell ref="R76:U76"/>
    <mergeCell ref="W88:X88"/>
    <mergeCell ref="B4:C4"/>
    <mergeCell ref="AA128:AD128"/>
    <mergeCell ref="R66:U66"/>
    <mergeCell ref="R75:U75"/>
    <mergeCell ref="R53:U53"/>
    <mergeCell ref="R62:U62"/>
    <mergeCell ref="R77:U77"/>
    <mergeCell ref="R68:U68"/>
    <mergeCell ref="AA129:AD129"/>
    <mergeCell ref="R61:U61"/>
    <mergeCell ref="Q51:U51"/>
    <mergeCell ref="AA131:AD131"/>
    <mergeCell ref="W85:X85"/>
    <mergeCell ref="J36:N36"/>
    <mergeCell ref="J45:N45"/>
    <mergeCell ref="AA102:AD102"/>
    <mergeCell ref="J31:N31"/>
    <mergeCell ref="AA132:AD132"/>
    <mergeCell ref="Q72:Q76"/>
    <mergeCell ref="R65:U65"/>
    <mergeCell ref="AA119:AD119"/>
    <mergeCell ref="J32:M32"/>
    <mergeCell ref="AA124:AD124"/>
  </mergeCells>
  <printOptions horizontalCentered="1"/>
  <pageMargins left="0.4" right="0.4" top="0.5" bottom="0.5" header="0.511811023622047" footer="0.511811023622047"/>
  <pageSetup orientation="landscape" fitToHeight="0" horizontalDpi="300" verticalDpi="300"/>
</worksheet>
</file>

<file path=xl/worksheets/sheet3.xml><?xml version="1.0" encoding="utf-8"?>
<worksheet xmlns="http://schemas.openxmlformats.org/spreadsheetml/2006/main">
  <sheetPr>
    <tabColor rgb="FF17324D"/>
    <outlinePr summaryBelow="1" summaryRight="1"/>
    <pageSetUpPr/>
  </sheetPr>
  <dimension ref="B1:L39"/>
  <sheetViews>
    <sheetView showGridLines="0" zoomScaleNormal="100" workbookViewId="0">
      <selection activeCell="C7" sqref="C7"/>
    </sheetView>
  </sheetViews>
  <sheetFormatPr baseColWidth="8" defaultColWidth="10.28515625" defaultRowHeight="12"/>
  <cols>
    <col width="2.28515625" customWidth="1" style="545" min="1" max="1"/>
    <col width="38.7109375" customWidth="1" style="545" min="2" max="2"/>
    <col width="22" customWidth="1" style="545" min="3" max="3"/>
    <col width="17.140625" customWidth="1" style="545" min="4" max="12"/>
  </cols>
  <sheetData>
    <row r="1" ht="21.75" customHeight="1" s="545">
      <c r="B1" s="565" t="inlineStr">
        <is>
          <t>SUBJECT PROPERTY — MASTER INPUT</t>
        </is>
      </c>
      <c r="C1" s="565" t="n"/>
      <c r="D1" s="565" t="n"/>
      <c r="E1" s="565" t="n"/>
      <c r="F1" s="565" t="n"/>
      <c r="G1" s="565" t="n"/>
      <c r="H1" s="565" t="n"/>
      <c r="I1" s="565" t="n"/>
      <c r="J1" s="565" t="n"/>
      <c r="K1" s="565" t="n"/>
      <c r="L1" s="565" t="n"/>
    </row>
    <row r="2" ht="42" customHeight="1" s="545">
      <c r="B2" s="547" t="inlineStr">
        <is>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is>
      </c>
    </row>
    <row r="4" ht="12.75" customHeight="1" s="545">
      <c r="B4" s="43" t="inlineStr">
        <is>
          <t>Property Address</t>
        </is>
      </c>
      <c r="C4" s="44" t="inlineStr">
        <is>
          <t>8251 Quintero Street</t>
        </is>
      </c>
      <c r="D4" t="n"/>
    </row>
    <row r="5" ht="12.75" customHeight="1" s="545">
      <c r="B5" s="43" t="inlineStr">
        <is>
          <t>City</t>
        </is>
      </c>
      <c r="C5" s="45" t="inlineStr">
        <is>
          <t>COMMERCE CITY</t>
        </is>
      </c>
    </row>
    <row r="6" ht="12.75" customHeight="1" s="545">
      <c r="B6" s="43" t="inlineStr">
        <is>
          <t>Site / Land Size (SF)</t>
        </is>
      </c>
      <c r="C6" s="46" t="n">
        <v>1690563.6</v>
      </c>
    </row>
    <row r="7" ht="12.75" customHeight="1" s="545">
      <c r="B7" s="43" t="inlineStr">
        <is>
          <t>Zoning</t>
        </is>
      </c>
      <c r="C7" s="44" t="inlineStr">
        <is>
          <t>Industrial (Commerce City)</t>
        </is>
      </c>
    </row>
    <row r="8" ht="12.75" customHeight="1" s="545">
      <c r="B8" s="43" t="inlineStr">
        <is>
          <t>Number of Buildings (1-10)</t>
        </is>
      </c>
      <c r="C8" s="46" t="n">
        <v>1</v>
      </c>
    </row>
    <row r="9" ht="12.75" customHeight="1" s="545">
      <c r="B9" s="43" t="inlineStr">
        <is>
          <t>Size Match Tolerance (+/-)</t>
        </is>
      </c>
      <c r="C9" s="47" t="n">
        <v>0.25</v>
      </c>
    </row>
    <row r="10" ht="12.75" customHeight="1" s="545">
      <c r="B10" s="43" t="inlineStr">
        <is>
          <t>Total Building SF (all buildings)</t>
        </is>
      </c>
      <c r="C10" s="46">
        <f>SUM(C15:L15)</f>
        <v/>
      </c>
    </row>
    <row r="11" ht="19.5" customHeight="1" s="545">
      <c r="B11" s="565" t="inlineStr">
        <is>
          <t>BUILDING CHARACTERISTICS  (one column per building; fill only as many as Number of Buildings)</t>
        </is>
      </c>
    </row>
    <row r="12" ht="15" customHeight="1" s="545">
      <c r="B12" s="43" t="n"/>
      <c r="C12" s="43" t="inlineStr">
        <is>
          <t>Building 1</t>
        </is>
      </c>
      <c r="D12" s="43" t="inlineStr">
        <is>
          <t>Building 2</t>
        </is>
      </c>
      <c r="E12" s="43" t="inlineStr">
        <is>
          <t>Building 3</t>
        </is>
      </c>
      <c r="F12" s="43" t="inlineStr">
        <is>
          <t>Building 4</t>
        </is>
      </c>
      <c r="G12" s="43" t="inlineStr">
        <is>
          <t>Building 5</t>
        </is>
      </c>
      <c r="H12" s="43" t="inlineStr">
        <is>
          <t>Building 6</t>
        </is>
      </c>
      <c r="I12" s="43" t="inlineStr">
        <is>
          <t>Building 7</t>
        </is>
      </c>
      <c r="J12" s="43" t="inlineStr">
        <is>
          <t>Building 8</t>
        </is>
      </c>
      <c r="K12" s="43" t="inlineStr">
        <is>
          <t>Building 9</t>
        </is>
      </c>
      <c r="L12" s="43" t="inlineStr">
        <is>
          <t>Building 10</t>
        </is>
      </c>
    </row>
    <row r="13" ht="12.75" customHeight="1" s="545">
      <c r="B13" s="43" t="inlineStr">
        <is>
          <t>OCC Code (from Property Info)</t>
        </is>
      </c>
      <c r="C13" s="48">
        <f>IF('Property Info'!$C$24="","",'Property Info'!$C$24&amp;" - "&amp;'Property Info'!$C$23)</f>
        <v/>
      </c>
      <c r="D13" s="49" t="n"/>
      <c r="E13" s="49" t="n"/>
      <c r="F13" s="49" t="n"/>
      <c r="G13" s="49" t="n"/>
      <c r="H13" s="49" t="n"/>
      <c r="I13" s="49" t="n"/>
      <c r="J13" s="49" t="n"/>
      <c r="K13" s="49" t="n"/>
      <c r="L13" s="49" t="n"/>
    </row>
    <row r="14" ht="12.75" customHeight="1" s="545">
      <c r="B14" s="43" t="inlineStr">
        <is>
          <t>Code (parsed, auto)</t>
        </is>
      </c>
      <c r="C14" s="50">
        <f>IFERROR(VALUE(LEFT(C13,FIND(" - ",C13)-1)),"")</f>
        <v/>
      </c>
      <c r="D14" s="51">
        <f>IFERROR(VALUE(LEFT(D13,FIND(" - ",D13)-1)),"")</f>
        <v/>
      </c>
      <c r="E14" s="51">
        <f>IFERROR(VALUE(LEFT(E13,FIND(" - ",E13)-1)),"")</f>
        <v/>
      </c>
      <c r="F14" s="51">
        <f>IFERROR(VALUE(LEFT(F13,FIND(" - ",F13)-1)),"")</f>
        <v/>
      </c>
      <c r="G14" s="51">
        <f>IFERROR(VALUE(LEFT(G13,FIND(" - ",G13)-1)),"")</f>
        <v/>
      </c>
      <c r="H14" s="51">
        <f>IFERROR(VALUE(LEFT(H13,FIND(" - ",H13)-1)),"")</f>
        <v/>
      </c>
      <c r="I14" s="51">
        <f>IFERROR(VALUE(LEFT(I13,FIND(" - ",I13)-1)),"")</f>
        <v/>
      </c>
      <c r="J14" s="51">
        <f>IFERROR(VALUE(LEFT(J13,FIND(" - ",J13)-1)),"")</f>
        <v/>
      </c>
      <c r="K14" s="51">
        <f>IFERROR(VALUE(LEFT(K13,FIND(" - ",K13)-1)),"")</f>
        <v/>
      </c>
      <c r="L14" s="51">
        <f>IFERROR(VALUE(LEFT(L13,FIND(" - ",L13)-1)),"")</f>
        <v/>
      </c>
    </row>
    <row r="15" ht="12.75" customHeight="1" s="545">
      <c r="B15" s="43" t="inlineStr">
        <is>
          <t>Building Size (SF)</t>
        </is>
      </c>
      <c r="C15" s="46" t="n">
        <v>540800</v>
      </c>
      <c r="D15" s="52" t="n"/>
      <c r="E15" s="52" t="n"/>
      <c r="F15" s="52" t="n"/>
      <c r="G15" s="52" t="n"/>
      <c r="H15" s="52" t="n"/>
      <c r="I15" s="52" t="n"/>
      <c r="J15" s="52" t="n"/>
      <c r="K15" s="52" t="n"/>
      <c r="L15" s="52" t="n"/>
    </row>
    <row r="16" ht="12.75" customHeight="1" s="545">
      <c r="B16" s="43" t="inlineStr">
        <is>
          <t>Condition</t>
        </is>
      </c>
      <c r="C16" s="44" t="inlineStr">
        <is>
          <t>Average</t>
        </is>
      </c>
      <c r="D16" s="49" t="n"/>
      <c r="E16" s="49" t="n"/>
      <c r="F16" s="49" t="n"/>
      <c r="G16" s="49" t="n"/>
      <c r="H16" s="49" t="n"/>
      <c r="I16" s="49" t="n"/>
      <c r="J16" s="49" t="n"/>
      <c r="K16" s="49" t="n"/>
      <c r="L16" s="49" t="n"/>
    </row>
    <row r="17" ht="12.75" customHeight="1" s="545">
      <c r="B17" s="43" t="inlineStr">
        <is>
          <t>Quality</t>
        </is>
      </c>
      <c r="C17" s="44" t="inlineStr">
        <is>
          <t>Average</t>
        </is>
      </c>
      <c r="D17" s="49" t="n"/>
      <c r="E17" s="49" t="n"/>
      <c r="F17" s="49" t="n"/>
      <c r="G17" s="49" t="n"/>
      <c r="H17" s="49" t="n"/>
      <c r="I17" s="49" t="n"/>
      <c r="J17" s="49" t="n"/>
      <c r="K17" s="49" t="n"/>
      <c r="L17" s="49" t="n"/>
    </row>
    <row r="18" ht="12.75" customHeight="1" s="545">
      <c r="B18" s="43" t="inlineStr">
        <is>
          <t>Year Built (YOC)</t>
        </is>
      </c>
      <c r="C18" s="46" t="n">
        <v>2018</v>
      </c>
      <c r="D18" s="52" t="n"/>
      <c r="E18" s="52" t="n"/>
      <c r="F18" s="52" t="n"/>
      <c r="G18" s="52" t="n"/>
      <c r="H18" s="52" t="n"/>
      <c r="I18" s="52" t="n"/>
      <c r="J18" s="52" t="n"/>
      <c r="K18" s="52" t="n"/>
      <c r="L18" s="52" t="n"/>
    </row>
    <row r="19" ht="12.75" customHeight="1" s="545">
      <c r="B19" s="43" t="inlineStr">
        <is>
          <t>Actual Age (yrs, auto)</t>
        </is>
      </c>
      <c r="C19" s="53">
        <f>IF(C18="","",Year-C18)</f>
        <v/>
      </c>
      <c r="D19" s="51">
        <f>IF(D18="","",Year-D18)</f>
        <v/>
      </c>
      <c r="E19" s="51">
        <f>IF(E18="","",Year-E18)</f>
        <v/>
      </c>
      <c r="F19" s="51">
        <f>IF(F18="","",Year-F18)</f>
        <v/>
      </c>
      <c r="G19" s="51">
        <f>IF(G18="","",Year-G18)</f>
        <v/>
      </c>
      <c r="H19" s="51">
        <f>IF(H18="","",Year-H18)</f>
        <v/>
      </c>
      <c r="I19" s="51">
        <f>IF(I18="","",Year-I18)</f>
        <v/>
      </c>
      <c r="J19" s="51">
        <f>IF(J18="","",Year-J18)</f>
        <v/>
      </c>
      <c r="K19" s="51">
        <f>IF(K18="","",Year-K18)</f>
        <v/>
      </c>
      <c r="L19" s="51">
        <f>IF(L18="","",Year-L18)</f>
        <v/>
      </c>
    </row>
    <row r="20" ht="12.75" customHeight="1" s="545">
      <c r="B20" s="43" t="inlineStr">
        <is>
          <t>Units / Keys (# - for MF / hotel)</t>
        </is>
      </c>
      <c r="C20" s="46" t="n"/>
      <c r="D20" s="52" t="n"/>
      <c r="E20" s="52" t="n"/>
      <c r="F20" s="52" t="n"/>
      <c r="G20" s="52" t="n"/>
      <c r="H20" s="52" t="n"/>
      <c r="I20" s="52" t="n"/>
      <c r="J20" s="52" t="n"/>
      <c r="K20" s="52" t="n"/>
      <c r="L20" s="52" t="n"/>
    </row>
    <row r="21" ht="19.5" customHeight="1" s="545">
      <c r="B21" s="565" t="inlineStr">
        <is>
          <t>AUTOMATED COMP MATCHING</t>
        </is>
      </c>
    </row>
    <row r="22" ht="12.75" customHeight="1" s="545">
      <c r="B22" s="43" t="inlineStr">
        <is>
          <t>Matching Sales Comps found:</t>
        </is>
      </c>
      <c r="C22" s="51">
        <f>COUNT(Sales!AI2:AI941)</f>
        <v/>
      </c>
    </row>
    <row r="23" ht="25.5" customHeight="1" s="545">
      <c r="B23" s="566" t="inlineStr">
        <is>
          <t>-&gt; The closest matches auto-populate WO, BAA Market, BOCC, and Appeal (Best Match #1 = closest by size to Building 1). This count is for reference.</t>
        </is>
      </c>
    </row>
    <row r="25" ht="12.75" customHeight="1" s="545">
      <c r="B25" s="43" t="inlineStr">
        <is>
          <t>Matching Expense Comps found:</t>
        </is>
      </c>
      <c r="C25" s="51">
        <f>COUNT('Expense Database'!AN4:AN197)</f>
        <v/>
      </c>
    </row>
    <row r="26" ht="25.5" customHeight="1" s="545">
      <c r="B26" s="566" t="inlineStr">
        <is>
          <t>-&gt; The 5 closest matches auto-populate the Top Expense Comps table below.</t>
        </is>
      </c>
    </row>
    <row r="28" ht="12.75" customHeight="1" s="545">
      <c r="B28" s="43" t="inlineStr">
        <is>
          <t>Matching Rent Comps (Income tab):</t>
        </is>
      </c>
      <c r="C28" s="49" t="inlineStr">
        <is>
          <t>Not yet automated</t>
        </is>
      </c>
    </row>
    <row r="30" ht="12.75" customHeight="1" s="545">
      <c r="B30" s="43" t="inlineStr">
        <is>
          <t>Land Comps:</t>
        </is>
      </c>
      <c r="C30" s="49" t="inlineStr">
        <is>
          <t>None in the record - see Land Sales Grid</t>
        </is>
      </c>
    </row>
    <row r="33" ht="15" customHeight="1" s="545">
      <c r="B33" s="54" t="inlineStr">
        <is>
          <t>Top Expense Comps (auto, best match first)</t>
        </is>
      </c>
      <c r="C33" s="55" t="n"/>
      <c r="D33" s="55" t="n"/>
      <c r="E33" s="55" t="n"/>
      <c r="F33" s="55" t="n"/>
    </row>
    <row r="34" ht="12.75" customHeight="1" s="545">
      <c r="B34" s="56" t="inlineStr">
        <is>
          <t>Address</t>
        </is>
      </c>
      <c r="C34" s="56" t="inlineStr">
        <is>
          <t>City</t>
        </is>
      </c>
      <c r="D34" s="56" t="inlineStr">
        <is>
          <t>Bldg SF</t>
        </is>
      </c>
      <c r="E34" s="56" t="inlineStr">
        <is>
          <t>Year</t>
        </is>
      </c>
      <c r="F34" s="56" t="inlineStr">
        <is>
          <t>NOI ($/SF)</t>
        </is>
      </c>
    </row>
    <row r="35" ht="12" customHeight="1" s="545">
      <c r="B35">
        <f>IF($H35="","",IFERROR(INDEX('Expense Database'!D:D,$H35),""))</f>
        <v/>
      </c>
      <c r="C35">
        <f>IF($H35="","",IFERROR(INDEX('Expense Database'!E:E,$H35),""))</f>
        <v/>
      </c>
      <c r="D35" s="57">
        <f>IF($H35="","",IFERROR(INDEX('Expense Database'!J:J,$H35),""))</f>
        <v/>
      </c>
      <c r="E35" s="58">
        <f>IF($H35="","",IFERROR(INDEX('Expense Database'!K:K,$H35),""))</f>
        <v/>
      </c>
      <c r="F35" s="59">
        <f>IF($H35="","",IFERROR(INDEX('PSF Summary'!AK:AK,$H35),""))</f>
        <v/>
      </c>
      <c r="H35">
        <f>IFERROR(MATCH(_xlfn.AGGREGATE(15,6,'Expense Database'!$AO$4:$AO$197,1),'Expense Database'!$AO$4:$AO$197,0)+3,"")</f>
        <v/>
      </c>
    </row>
    <row r="36" ht="12" customHeight="1" s="545">
      <c r="B36">
        <f>IF($H36="","",IFERROR(INDEX('Expense Database'!D:D,$H36),""))</f>
        <v/>
      </c>
      <c r="C36">
        <f>IF($H36="","",IFERROR(INDEX('Expense Database'!E:E,$H36),""))</f>
        <v/>
      </c>
      <c r="D36" s="57">
        <f>IF($H36="","",IFERROR(INDEX('Expense Database'!J:J,$H36),""))</f>
        <v/>
      </c>
      <c r="E36" s="58">
        <f>IF($H36="","",IFERROR(INDEX('Expense Database'!K:K,$H36),""))</f>
        <v/>
      </c>
      <c r="F36" s="59">
        <f>IF($H36="","",IFERROR(INDEX('PSF Summary'!AK:AK,$H36),""))</f>
        <v/>
      </c>
      <c r="H36">
        <f>IFERROR(MATCH(_xlfn.AGGREGATE(15,6,'Expense Database'!$AO$4:$AO$197,2),'Expense Database'!$AO$4:$AO$197,0)+3,"")</f>
        <v/>
      </c>
    </row>
    <row r="37" ht="12" customHeight="1" s="545">
      <c r="B37">
        <f>IF($H37="","",IFERROR(INDEX('Expense Database'!D:D,$H37),""))</f>
        <v/>
      </c>
      <c r="C37">
        <f>IF($H37="","",IFERROR(INDEX('Expense Database'!E:E,$H37),""))</f>
        <v/>
      </c>
      <c r="D37">
        <f>IF($H37="","",IFERROR(INDEX('Expense Database'!J:J,$H37),""))</f>
        <v/>
      </c>
      <c r="E37">
        <f>IF($H37="","",IFERROR(INDEX('Expense Database'!K:K,$H37),""))</f>
        <v/>
      </c>
      <c r="F37">
        <f>IF($H37="","",IFERROR(INDEX('PSF Summary'!AK:AK,$H37),""))</f>
        <v/>
      </c>
      <c r="H37">
        <f>IFERROR(MATCH(_xlfn.AGGREGATE(15,6,'Expense Database'!$AO$4:$AO$197,3),'Expense Database'!$AO$4:$AO$197,0)+3,"")</f>
        <v/>
      </c>
    </row>
    <row r="38" ht="12" customHeight="1" s="545">
      <c r="B38">
        <f>IF($H38="","",IFERROR(INDEX('Expense Database'!D:D,$H38),""))</f>
        <v/>
      </c>
      <c r="C38">
        <f>IF($H38="","",IFERROR(INDEX('Expense Database'!E:E,$H38),""))</f>
        <v/>
      </c>
      <c r="D38">
        <f>IF($H38="","",IFERROR(INDEX('Expense Database'!J:J,$H38),""))</f>
        <v/>
      </c>
      <c r="E38">
        <f>IF($H38="","",IFERROR(INDEX('Expense Database'!K:K,$H38),""))</f>
        <v/>
      </c>
      <c r="F38">
        <f>IF($H38="","",IFERROR(INDEX('PSF Summary'!AK:AK,$H38),""))</f>
        <v/>
      </c>
      <c r="H38">
        <f>IFERROR(MATCH(_xlfn.AGGREGATE(15,6,'Expense Database'!$AO$4:$AO$197,4),'Expense Database'!$AO$4:$AO$197,0)+3,"")</f>
        <v/>
      </c>
    </row>
    <row r="39" ht="12" customHeight="1" s="545">
      <c r="B39">
        <f>IF($H39="","",IFERROR(INDEX('Expense Database'!D:D,$H39),""))</f>
        <v/>
      </c>
      <c r="C39">
        <f>IF($H39="","",IFERROR(INDEX('Expense Database'!E:E,$H39),""))</f>
        <v/>
      </c>
      <c r="D39">
        <f>IF($H39="","",IFERROR(INDEX('Expense Database'!J:J,$H39),""))</f>
        <v/>
      </c>
      <c r="E39">
        <f>IF($H39="","",IFERROR(INDEX('Expense Database'!K:K,$H39),""))</f>
        <v/>
      </c>
      <c r="F39">
        <f>IF($H39="","",IFERROR(INDEX('PSF Summary'!AK:AK,$H39),""))</f>
        <v/>
      </c>
      <c r="H39">
        <f>IFERROR(MATCH(_xlfn.AGGREGATE(15,6,'Expense Database'!$AO$4:$AO$197,5),'Expense Database'!$AO$4:$AO$197,0)+3,"")</f>
        <v/>
      </c>
    </row>
  </sheetData>
  <mergeCells count="5">
    <mergeCell ref="B21:F21"/>
    <mergeCell ref="B11:L11"/>
    <mergeCell ref="B2:L2"/>
    <mergeCell ref="B23:F23"/>
    <mergeCell ref="B26:F26"/>
  </mergeCells>
  <dataValidations count="6">
    <dataValidation sqref="C13:L13" showDropDown="0" showInputMessage="0" showErrorMessage="1" allowBlank="1" type="list">
      <formula1>OCC_TABLE_LABEL</formula1>
      <formula2>0</formula2>
    </dataValidation>
    <dataValidation sqref="C16:L16" showDropDown="0" showInputMessage="0" showErrorMessage="1" allowBlank="1" type="list">
      <formula1>"None,Poor,Fair,Typical,Good,Rehabilitated"</formula1>
      <formula2>0</formula2>
    </dataValidation>
    <dataValidation sqref="C17:L17" showDropDown="0" showInputMessage="0" showErrorMessage="1" allowBlank="1" type="list">
      <formula1>"Low Cost,Average,Good,Excellent,Cheap"</formula1>
      <formula2>0</formula2>
    </dataValidation>
    <dataValidation sqref="C8" showDropDown="0" showInputMessage="0" showErrorMessage="1" allowBlank="1" type="list">
      <formula1>"1,2,3,4,5,6,7,8,9,10"</formula1>
      <formula2>0</formula2>
    </dataValidation>
    <dataValidation sqref="C5" showDropDown="0" showInputMessage="0" showErrorMessage="1" allowBlank="1" type="list">
      <formula1>"ARVADA,AURORA,BENNETT,BRIGHTON,COMMERCE CITY,FEDERAL HEIGHTS,NORTHGLENN,STRASBURG,THORNTON,WESTMINSTER,Other / Not Listed"</formula1>
      <formula2>0</formula2>
    </dataValidation>
    <dataValidation sqref="C7" showDropDown="0" showInputMessage="0" showErrorMessage="1" allowBlank="1" type="list">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xmlns:r="http://schemas.openxmlformats.org/officeDocument/2006/relationships" r:id="anysvml"/>
</worksheet>
</file>

<file path=xl/worksheets/sheet4.xml><?xml version="1.0" encoding="utf-8"?>
<worksheet xmlns="http://schemas.openxmlformats.org/spreadsheetml/2006/main">
  <sheetPr>
    <tabColor rgb="FF17324D"/>
    <outlinePr summaryBelow="1" summaryRight="1"/>
    <pageSetUpPr/>
  </sheetPr>
  <dimension ref="B1:K57"/>
  <sheetViews>
    <sheetView showGridLines="0" zoomScaleNormal="100" workbookViewId="0">
      <selection activeCell="A21" sqref="A9:XFD21"/>
    </sheetView>
  </sheetViews>
  <sheetFormatPr baseColWidth="8" defaultColWidth="10.28515625" defaultRowHeight="12"/>
  <cols>
    <col width="36.42578125" customWidth="1" style="545" min="2" max="2"/>
    <col width="21.42578125" customWidth="1" style="545" min="3" max="3"/>
    <col width="13.7109375" customWidth="1" style="545" min="4" max="4"/>
    <col width="11.42578125" customWidth="1" style="545" min="6" max="6"/>
    <col width="13.7109375" customWidth="1" style="545" min="7" max="8"/>
    <col hidden="1" width="16" customWidth="1" style="545" min="9" max="9"/>
    <col hidden="1" width="14.85546875" customWidth="1" style="545" min="11" max="11"/>
  </cols>
  <sheetData>
    <row r="1" ht="15.75" customHeight="1" s="545">
      <c r="B1" s="565" t="inlineStr">
        <is>
          <t>COMP PICKER -- browse all ranked matches, then type the rank # into WO / BAA Market / BOCC / Appeal</t>
        </is>
      </c>
      <c r="C1" s="55" t="n"/>
      <c r="D1" s="55" t="n"/>
      <c r="E1" s="55" t="n"/>
      <c r="F1" s="55" t="n"/>
      <c r="G1" s="55" t="n"/>
      <c r="H1" s="55" t="n"/>
      <c r="I1" s="55" t="n"/>
    </row>
    <row r="2" ht="39.75" customHeight="1" s="545">
      <c r="B2" s="567"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ht="15.75" customHeight="1" s="545">
      <c r="B4" s="565" t="inlineStr">
        <is>
          <t>Top Sales Comps (auto-ranked by size closeness)</t>
        </is>
      </c>
      <c r="C4" s="55" t="n"/>
      <c r="D4" s="55" t="n"/>
      <c r="E4" s="55" t="n"/>
      <c r="F4" s="55" t="n"/>
      <c r="G4" s="55" t="n"/>
      <c r="H4" s="55" t="n"/>
      <c r="I4" s="55" t="n"/>
    </row>
    <row r="5" ht="12" customHeight="1" s="545">
      <c r="B5" s="56" t="inlineStr">
        <is>
          <t>Rank</t>
        </is>
      </c>
      <c r="C5" s="56" t="inlineStr">
        <is>
          <t>Address</t>
        </is>
      </c>
      <c r="D5" s="56" t="inlineStr">
        <is>
          <t>Sale Price</t>
        </is>
      </c>
      <c r="E5" s="56" t="inlineStr">
        <is>
          <t>$ / SF</t>
        </is>
      </c>
      <c r="F5" s="56" t="inlineStr">
        <is>
          <t>NRA (SF)</t>
        </is>
      </c>
      <c r="G5" s="56" t="inlineStr">
        <is>
          <t>YOC</t>
        </is>
      </c>
      <c r="H5" s="56" t="inlineStr">
        <is>
          <t>Sale Date</t>
        </is>
      </c>
      <c r="I5" s="56" t="inlineStr">
        <is>
          <t>Parcel #</t>
        </is>
      </c>
    </row>
    <row r="6" ht="12" customHeight="1" s="545">
      <c r="B6">
        <f>IF($K6="","",1)</f>
        <v/>
      </c>
      <c r="C6">
        <f>IF($K6="","",IFERROR(INDEX(Sales!D:D,$K6),""))</f>
        <v/>
      </c>
      <c r="D6" s="60">
        <f>IF($K6="","",IFERROR(INDEX(Sales!AA:AA,$K6),""))</f>
        <v/>
      </c>
      <c r="E6" s="59">
        <f>IF(OR($D6="",$F6="",$F6=0),"",$D6/$F6)</f>
        <v/>
      </c>
      <c r="F6" s="57">
        <f>IF($K6="","",IFERROR(INDEX(Sales!L:L,$K6),""))</f>
        <v/>
      </c>
      <c r="G6">
        <f>IF($K6="","",IFERROR(INDEX(Sales!M:M,$K6),""))</f>
        <v/>
      </c>
      <c r="H6" s="61">
        <f>IF($K6="","",IFERROR(INDEX(Sales!I:I,$K6),""))</f>
        <v/>
      </c>
      <c r="I6">
        <f>IF($K6="","",IFERROR(INDEX(Sales!AC:AC,$K6),""))</f>
        <v/>
      </c>
      <c r="K6">
        <f>IFERROR(MATCH(_xlfn.AGGREGATE(15,6,Sales!$AJ$2:$AJ$941,1),Sales!$AJ$2:$AJ$941,0)+1,"")</f>
        <v/>
      </c>
    </row>
    <row r="7" ht="12" customHeight="1" s="545">
      <c r="B7">
        <f>IF($K7="","",2)</f>
        <v/>
      </c>
      <c r="C7">
        <f>IF($K7="","",IFERROR(INDEX(Sales!D:D,$K7),""))</f>
        <v/>
      </c>
      <c r="D7" s="60">
        <f>IF($K7="","",IFERROR(INDEX(Sales!AA:AA,$K7),""))</f>
        <v/>
      </c>
      <c r="E7" s="59">
        <f>IF(OR($D7="",$F7="",$F7=0),"",$D7/$F7)</f>
        <v/>
      </c>
      <c r="F7" s="57">
        <f>IF($K7="","",IFERROR(INDEX(Sales!L:L,$K7),""))</f>
        <v/>
      </c>
      <c r="G7">
        <f>IF($K7="","",IFERROR(INDEX(Sales!M:M,$K7),""))</f>
        <v/>
      </c>
      <c r="H7" s="61">
        <f>IF($K7="","",IFERROR(INDEX(Sales!I:I,$K7),""))</f>
        <v/>
      </c>
      <c r="I7">
        <f>IF($K7="","",IFERROR(INDEX(Sales!AC:AC,$K7),""))</f>
        <v/>
      </c>
      <c r="K7">
        <f>IFERROR(MATCH(_xlfn.AGGREGATE(15,6,Sales!$AJ$2:$AJ$941,2),Sales!$AJ$2:$AJ$941,0)+1,"")</f>
        <v/>
      </c>
    </row>
    <row r="8" ht="12" customHeight="1" s="545">
      <c r="B8">
        <f>IF($K8="","",3)</f>
        <v/>
      </c>
      <c r="C8">
        <f>IF($K8="","",IFERROR(INDEX(Sales!D:D,$K8),""))</f>
        <v/>
      </c>
      <c r="D8" s="60">
        <f>IF($K8="","",IFERROR(INDEX(Sales!AA:AA,$K8),""))</f>
        <v/>
      </c>
      <c r="E8" s="59">
        <f>IF(OR($D8="",$F8="",$F8=0),"",$D8/$F8)</f>
        <v/>
      </c>
      <c r="F8" s="57">
        <f>IF($K8="","",IFERROR(INDEX(Sales!L:L,$K8),""))</f>
        <v/>
      </c>
      <c r="G8">
        <f>IF($K8="","",IFERROR(INDEX(Sales!M:M,$K8),""))</f>
        <v/>
      </c>
      <c r="H8" s="61">
        <f>IF($K8="","",IFERROR(INDEX(Sales!I:I,$K8),""))</f>
        <v/>
      </c>
      <c r="I8">
        <f>IF($K8="","",IFERROR(INDEX(Sales!AC:AC,$K8),""))</f>
        <v/>
      </c>
      <c r="K8">
        <f>IFERROR(MATCH(_xlfn.AGGREGATE(15,6,Sales!$AJ$2:$AJ$941,3),Sales!$AJ$2:$AJ$941,0)+1,"")</f>
        <v/>
      </c>
    </row>
    <row r="9" ht="12" customHeight="1" s="545">
      <c r="B9">
        <f>IF($K9="","",4)</f>
        <v/>
      </c>
      <c r="C9">
        <f>IF($K9="","",IFERROR(INDEX(Sales!D:D,$K9),""))</f>
        <v/>
      </c>
      <c r="D9" s="60">
        <f>IF($K9="","",IFERROR(INDEX(Sales!AA:AA,$K9),""))</f>
        <v/>
      </c>
      <c r="E9" s="59">
        <f>IF(OR($D9="",$F9="",$F9=0),"",$D9/$F9)</f>
        <v/>
      </c>
      <c r="F9" s="57">
        <f>IF($K9="","",IFERROR(INDEX(Sales!L:L,$K9),""))</f>
        <v/>
      </c>
      <c r="G9">
        <f>IF($K9="","",IFERROR(INDEX(Sales!M:M,$K9),""))</f>
        <v/>
      </c>
      <c r="H9" s="61">
        <f>IF($K9="","",IFERROR(INDEX(Sales!I:I,$K9),""))</f>
        <v/>
      </c>
      <c r="I9">
        <f>IF($K9="","",IFERROR(INDEX(Sales!AC:AC,$K9),""))</f>
        <v/>
      </c>
      <c r="K9">
        <f>IFERROR(MATCH(_xlfn.AGGREGATE(15,6,Sales!$AJ$2:$AJ$941,4),Sales!$AJ$2:$AJ$941,0)+1,"")</f>
        <v/>
      </c>
    </row>
    <row r="10" ht="12" customHeight="1" s="545">
      <c r="B10">
        <f>IF($K10="","",5)</f>
        <v/>
      </c>
      <c r="C10">
        <f>IF($K10="","",IFERROR(INDEX(Sales!D:D,$K10),""))</f>
        <v/>
      </c>
      <c r="D10" s="60">
        <f>IF($K10="","",IFERROR(INDEX(Sales!AA:AA,$K10),""))</f>
        <v/>
      </c>
      <c r="E10" s="59">
        <f>IF(OR($D10="",$F10="",$F10=0),"",$D10/$F10)</f>
        <v/>
      </c>
      <c r="F10" s="57">
        <f>IF($K10="","",IFERROR(INDEX(Sales!L:L,$K10),""))</f>
        <v/>
      </c>
      <c r="G10">
        <f>IF($K10="","",IFERROR(INDEX(Sales!M:M,$K10),""))</f>
        <v/>
      </c>
      <c r="H10" s="61">
        <f>IF($K10="","",IFERROR(INDEX(Sales!I:I,$K10),""))</f>
        <v/>
      </c>
      <c r="I10">
        <f>IF($K10="","",IFERROR(INDEX(Sales!AC:AC,$K10),""))</f>
        <v/>
      </c>
      <c r="K10">
        <f>IFERROR(MATCH(_xlfn.AGGREGATE(15,6,Sales!$AJ$2:$AJ$941,5),Sales!$AJ$2:$AJ$941,0)+1,"")</f>
        <v/>
      </c>
    </row>
    <row r="11" ht="12" customHeight="1" s="545">
      <c r="B11">
        <f>IF($K11="","",6)</f>
        <v/>
      </c>
      <c r="C11">
        <f>IF($K11="","",IFERROR(INDEX(Sales!D:D,$K11),""))</f>
        <v/>
      </c>
      <c r="D11" s="60">
        <f>IF($K11="","",IFERROR(INDEX(Sales!AA:AA,$K11),""))</f>
        <v/>
      </c>
      <c r="E11" s="59">
        <f>IF(OR($D11="",$F11="",$F11=0),"",$D11/$F11)</f>
        <v/>
      </c>
      <c r="F11" s="57">
        <f>IF($K11="","",IFERROR(INDEX(Sales!L:L,$K11),""))</f>
        <v/>
      </c>
      <c r="G11">
        <f>IF($K11="","",IFERROR(INDEX(Sales!M:M,$K11),""))</f>
        <v/>
      </c>
      <c r="H11" s="61">
        <f>IF($K11="","",IFERROR(INDEX(Sales!I:I,$K11),""))</f>
        <v/>
      </c>
      <c r="I11">
        <f>IF($K11="","",IFERROR(INDEX(Sales!AC:AC,$K11),""))</f>
        <v/>
      </c>
      <c r="K11">
        <f>IFERROR(MATCH(_xlfn.AGGREGATE(15,6,Sales!$AJ$2:$AJ$941,6),Sales!$AJ$2:$AJ$941,0)+1,"")</f>
        <v/>
      </c>
    </row>
    <row r="12" ht="12" customHeight="1" s="545">
      <c r="B12">
        <f>IF($K12="","",7)</f>
        <v/>
      </c>
      <c r="C12">
        <f>IF($K12="","",IFERROR(INDEX(Sales!D:D,$K12),""))</f>
        <v/>
      </c>
      <c r="D12" s="60">
        <f>IF($K12="","",IFERROR(INDEX(Sales!AA:AA,$K12),""))</f>
        <v/>
      </c>
      <c r="E12" s="59">
        <f>IF(OR($D12="",$F12="",$F12=0),"",$D12/$F12)</f>
        <v/>
      </c>
      <c r="F12" s="57">
        <f>IF($K12="","",IFERROR(INDEX(Sales!L:L,$K12),""))</f>
        <v/>
      </c>
      <c r="G12">
        <f>IF($K12="","",IFERROR(INDEX(Sales!M:M,$K12),""))</f>
        <v/>
      </c>
      <c r="H12" s="61">
        <f>IF($K12="","",IFERROR(INDEX(Sales!I:I,$K12),""))</f>
        <v/>
      </c>
      <c r="I12">
        <f>IF($K12="","",IFERROR(INDEX(Sales!AC:AC,$K12),""))</f>
        <v/>
      </c>
      <c r="K12">
        <f>IFERROR(MATCH(_xlfn.AGGREGATE(15,6,Sales!$AJ$2:$AJ$941,7),Sales!$AJ$2:$AJ$941,0)+1,"")</f>
        <v/>
      </c>
    </row>
    <row r="13" ht="12" customHeight="1" s="545">
      <c r="B13">
        <f>IF($K13="","",8)</f>
        <v/>
      </c>
      <c r="C13">
        <f>IF($K13="","",IFERROR(INDEX(Sales!D:D,$K13),""))</f>
        <v/>
      </c>
      <c r="D13" s="60">
        <f>IF($K13="","",IFERROR(INDEX(Sales!AA:AA,$K13),""))</f>
        <v/>
      </c>
      <c r="E13" s="59">
        <f>IF(OR($D13="",$F13="",$F13=0),"",$D13/$F13)</f>
        <v/>
      </c>
      <c r="F13" s="57">
        <f>IF($K13="","",IFERROR(INDEX(Sales!L:L,$K13),""))</f>
        <v/>
      </c>
      <c r="G13">
        <f>IF($K13="","",IFERROR(INDEX(Sales!M:M,$K13),""))</f>
        <v/>
      </c>
      <c r="H13" s="61">
        <f>IF($K13="","",IFERROR(INDEX(Sales!I:I,$K13),""))</f>
        <v/>
      </c>
      <c r="I13">
        <f>IF($K13="","",IFERROR(INDEX(Sales!AC:AC,$K13),""))</f>
        <v/>
      </c>
      <c r="K13">
        <f>IFERROR(MATCH(_xlfn.AGGREGATE(15,6,Sales!$AJ$2:$AJ$941,8),Sales!$AJ$2:$AJ$941,0)+1,"")</f>
        <v/>
      </c>
    </row>
    <row r="14" ht="12" customHeight="1" s="545">
      <c r="B14">
        <f>IF($K14="","",9)</f>
        <v/>
      </c>
      <c r="C14">
        <f>IF($K14="","",IFERROR(INDEX(Sales!D:D,$K14),""))</f>
        <v/>
      </c>
      <c r="D14" s="60">
        <f>IF($K14="","",IFERROR(INDEX(Sales!AA:AA,$K14),""))</f>
        <v/>
      </c>
      <c r="E14" s="59">
        <f>IF(OR($D14="",$F14="",$F14=0),"",$D14/$F14)</f>
        <v/>
      </c>
      <c r="F14" s="57">
        <f>IF($K14="","",IFERROR(INDEX(Sales!L:L,$K14),""))</f>
        <v/>
      </c>
      <c r="G14">
        <f>IF($K14="","",IFERROR(INDEX(Sales!M:M,$K14),""))</f>
        <v/>
      </c>
      <c r="H14" s="61">
        <f>IF($K14="","",IFERROR(INDEX(Sales!I:I,$K14),""))</f>
        <v/>
      </c>
      <c r="I14">
        <f>IF($K14="","",IFERROR(INDEX(Sales!AC:AC,$K14),""))</f>
        <v/>
      </c>
      <c r="K14">
        <f>IFERROR(MATCH(_xlfn.AGGREGATE(15,6,Sales!$AJ$2:$AJ$941,9),Sales!$AJ$2:$AJ$941,0)+1,"")</f>
        <v/>
      </c>
    </row>
    <row r="15" ht="12" customHeight="1" s="545">
      <c r="B15">
        <f>IF($K15="","",10)</f>
        <v/>
      </c>
      <c r="C15">
        <f>IF($K15="","",IFERROR(INDEX(Sales!D:D,$K15),""))</f>
        <v/>
      </c>
      <c r="D15" s="60">
        <f>IF($K15="","",IFERROR(INDEX(Sales!AA:AA,$K15),""))</f>
        <v/>
      </c>
      <c r="E15" s="59">
        <f>IF(OR($D15="",$F15="",$F15=0),"",$D15/$F15)</f>
        <v/>
      </c>
      <c r="F15" s="57">
        <f>IF($K15="","",IFERROR(INDEX(Sales!L:L,$K15),""))</f>
        <v/>
      </c>
      <c r="G15">
        <f>IF($K15="","",IFERROR(INDEX(Sales!M:M,$K15),""))</f>
        <v/>
      </c>
      <c r="H15" s="61">
        <f>IF($K15="","",IFERROR(INDEX(Sales!I:I,$K15),""))</f>
        <v/>
      </c>
      <c r="I15">
        <f>IF($K15="","",IFERROR(INDEX(Sales!AC:AC,$K15),""))</f>
        <v/>
      </c>
      <c r="K15">
        <f>IFERROR(MATCH(_xlfn.AGGREGATE(15,6,Sales!$AJ$2:$AJ$941,10),Sales!$AJ$2:$AJ$941,0)+1,"")</f>
        <v/>
      </c>
    </row>
    <row r="16" ht="12" customHeight="1" s="545">
      <c r="B16">
        <f>IF($K16="","",11)</f>
        <v/>
      </c>
      <c r="C16">
        <f>IF($K16="","",IFERROR(INDEX(Sales!D:D,$K16),""))</f>
        <v/>
      </c>
      <c r="D16" s="60">
        <f>IF($K16="","",IFERROR(INDEX(Sales!AA:AA,$K16),""))</f>
        <v/>
      </c>
      <c r="E16" s="59">
        <f>IF(OR($D16="",$F16="",$F16=0),"",$D16/$F16)</f>
        <v/>
      </c>
      <c r="F16" s="57">
        <f>IF($K16="","",IFERROR(INDEX(Sales!L:L,$K16),""))</f>
        <v/>
      </c>
      <c r="G16">
        <f>IF($K16="","",IFERROR(INDEX(Sales!M:M,$K16),""))</f>
        <v/>
      </c>
      <c r="H16" s="61">
        <f>IF($K16="","",IFERROR(INDEX(Sales!I:I,$K16),""))</f>
        <v/>
      </c>
      <c r="I16">
        <f>IF($K16="","",IFERROR(INDEX(Sales!AC:AC,$K16),""))</f>
        <v/>
      </c>
      <c r="K16">
        <f>IFERROR(MATCH(_xlfn.AGGREGATE(15,6,Sales!$AJ$2:$AJ$941,11),Sales!$AJ$2:$AJ$941,0)+1,"")</f>
        <v/>
      </c>
    </row>
    <row r="17" ht="12" customHeight="1" s="545">
      <c r="B17">
        <f>IF($K17="","",12)</f>
        <v/>
      </c>
      <c r="C17">
        <f>IF($K17="","",IFERROR(INDEX(Sales!D:D,$K17),""))</f>
        <v/>
      </c>
      <c r="D17" s="60">
        <f>IF($K17="","",IFERROR(INDEX(Sales!AA:AA,$K17),""))</f>
        <v/>
      </c>
      <c r="E17" s="59">
        <f>IF(OR($D17="",$F17="",$F17=0),"",$D17/$F17)</f>
        <v/>
      </c>
      <c r="F17" s="57">
        <f>IF($K17="","",IFERROR(INDEX(Sales!L:L,$K17),""))</f>
        <v/>
      </c>
      <c r="G17">
        <f>IF($K17="","",IFERROR(INDEX(Sales!M:M,$K17),""))</f>
        <v/>
      </c>
      <c r="H17" s="61">
        <f>IF($K17="","",IFERROR(INDEX(Sales!I:I,$K17),""))</f>
        <v/>
      </c>
      <c r="I17">
        <f>IF($K17="","",IFERROR(INDEX(Sales!AC:AC,$K17),""))</f>
        <v/>
      </c>
      <c r="K17">
        <f>IFERROR(MATCH(_xlfn.AGGREGATE(15,6,Sales!$AJ$2:$AJ$941,12),Sales!$AJ$2:$AJ$941,0)+1,"")</f>
        <v/>
      </c>
    </row>
    <row r="18" ht="12" customHeight="1" s="545">
      <c r="B18">
        <f>IF($K18="","",13)</f>
        <v/>
      </c>
      <c r="C18">
        <f>IF($K18="","",IFERROR(INDEX(Sales!D:D,$K18),""))</f>
        <v/>
      </c>
      <c r="D18" s="60">
        <f>IF($K18="","",IFERROR(INDEX(Sales!AA:AA,$K18),""))</f>
        <v/>
      </c>
      <c r="E18" s="59">
        <f>IF(OR($D18="",$F18="",$F18=0),"",$D18/$F18)</f>
        <v/>
      </c>
      <c r="F18" s="57">
        <f>IF($K18="","",IFERROR(INDEX(Sales!L:L,$K18),""))</f>
        <v/>
      </c>
      <c r="G18">
        <f>IF($K18="","",IFERROR(INDEX(Sales!M:M,$K18),""))</f>
        <v/>
      </c>
      <c r="H18" s="61">
        <f>IF($K18="","",IFERROR(INDEX(Sales!I:I,$K18),""))</f>
        <v/>
      </c>
      <c r="I18">
        <f>IF($K18="","",IFERROR(INDEX(Sales!AC:AC,$K18),""))</f>
        <v/>
      </c>
      <c r="K18">
        <f>IFERROR(MATCH(_xlfn.AGGREGATE(15,6,Sales!$AJ$2:$AJ$941,13),Sales!$AJ$2:$AJ$941,0)+1,"")</f>
        <v/>
      </c>
    </row>
    <row r="19" ht="12" customHeight="1" s="545">
      <c r="B19">
        <f>IF($K19="","",14)</f>
        <v/>
      </c>
      <c r="C19">
        <f>IF($K19="","",IFERROR(INDEX(Sales!D:D,$K19),""))</f>
        <v/>
      </c>
      <c r="D19" s="60">
        <f>IF($K19="","",IFERROR(INDEX(Sales!AA:AA,$K19),""))</f>
        <v/>
      </c>
      <c r="E19" s="59">
        <f>IF(OR($D19="",$F19="",$F19=0),"",$D19/$F19)</f>
        <v/>
      </c>
      <c r="F19" s="57">
        <f>IF($K19="","",IFERROR(INDEX(Sales!L:L,$K19),""))</f>
        <v/>
      </c>
      <c r="G19">
        <f>IF($K19="","",IFERROR(INDEX(Sales!M:M,$K19),""))</f>
        <v/>
      </c>
      <c r="H19" s="61">
        <f>IF($K19="","",IFERROR(INDEX(Sales!I:I,$K19),""))</f>
        <v/>
      </c>
      <c r="I19">
        <f>IF($K19="","",IFERROR(INDEX(Sales!AC:AC,$K19),""))</f>
        <v/>
      </c>
      <c r="K19">
        <f>IFERROR(MATCH(_xlfn.AGGREGATE(15,6,Sales!$AJ$2:$AJ$941,14),Sales!$AJ$2:$AJ$941,0)+1,"")</f>
        <v/>
      </c>
    </row>
    <row r="20" ht="12" customHeight="1" s="545">
      <c r="B20">
        <f>IF($K20="","",15)</f>
        <v/>
      </c>
      <c r="C20">
        <f>IF($K20="","",IFERROR(INDEX(Sales!D:D,$K20),""))</f>
        <v/>
      </c>
      <c r="D20" s="60">
        <f>IF($K20="","",IFERROR(INDEX(Sales!AA:AA,$K20),""))</f>
        <v/>
      </c>
      <c r="E20" s="59">
        <f>IF(OR($D20="",$F20="",$F20=0),"",$D20/$F20)</f>
        <v/>
      </c>
      <c r="F20" s="57">
        <f>IF($K20="","",IFERROR(INDEX(Sales!L:L,$K20),""))</f>
        <v/>
      </c>
      <c r="G20">
        <f>IF($K20="","",IFERROR(INDEX(Sales!M:M,$K20),""))</f>
        <v/>
      </c>
      <c r="H20" s="61">
        <f>IF($K20="","",IFERROR(INDEX(Sales!I:I,$K20),""))</f>
        <v/>
      </c>
      <c r="I20">
        <f>IF($K20="","",IFERROR(INDEX(Sales!AC:AC,$K20),""))</f>
        <v/>
      </c>
      <c r="K20">
        <f>IFERROR(MATCH(_xlfn.AGGREGATE(15,6,Sales!$AJ$2:$AJ$941,15),Sales!$AJ$2:$AJ$941,0)+1,"")</f>
        <v/>
      </c>
    </row>
    <row r="22" ht="12" customHeight="1" s="545">
      <c r="B22" s="62" t="inlineStr">
        <is>
          <t>Stats (of the matches actually found above)</t>
        </is>
      </c>
    </row>
    <row r="23" ht="12" customHeight="1" s="545">
      <c r="B23" s="63" t="inlineStr">
        <is>
          <t>Count</t>
        </is>
      </c>
      <c r="D23" s="64">
        <f>IF(COUNT(D6:D20)=0,"",COUNT(D6:D20))</f>
        <v/>
      </c>
      <c r="E23" s="65">
        <f>IF(COUNT(E6:E20)=0,"",COUNT(E6:E20))</f>
        <v/>
      </c>
    </row>
    <row r="24" ht="12" customHeight="1" s="545">
      <c r="B24" s="63" t="inlineStr">
        <is>
          <t>Min</t>
        </is>
      </c>
      <c r="D24" s="64">
        <f>IF(COUNT(D6:D20)=0,"",MIN(D6:D20))</f>
        <v/>
      </c>
      <c r="E24" s="65">
        <f>IF(COUNT(E6:E20)=0,"",MIN(E6:E20))</f>
        <v/>
      </c>
    </row>
    <row r="25" ht="12" customHeight="1" s="545">
      <c r="B25" s="63" t="inlineStr">
        <is>
          <t>Max</t>
        </is>
      </c>
      <c r="D25" s="64">
        <f>IF(COUNT(D6:D20)=0,"",MAX(D6:D20))</f>
        <v/>
      </c>
      <c r="E25" s="65">
        <f>IF(COUNT(E6:E20)=0,"",MAX(E6:E20))</f>
        <v/>
      </c>
    </row>
    <row r="26" ht="12" customHeight="1" s="545">
      <c r="B26" s="63" t="inlineStr">
        <is>
          <t>Range (Max-Min)</t>
        </is>
      </c>
      <c r="D26" s="64">
        <f>IF(COUNT(D6:D20)=0,"",MAX(D6:D20)-MIN(D6:D20))</f>
        <v/>
      </c>
      <c r="E26" s="65">
        <f>IF(COUNT(E6:E20)=0,"",MAX(E6:E20)-MIN(E6:E20))</f>
        <v/>
      </c>
    </row>
    <row r="27" ht="12" customHeight="1" s="545">
      <c r="B27" s="63" t="inlineStr">
        <is>
          <t>Median</t>
        </is>
      </c>
      <c r="D27" s="64">
        <f>IF(COUNT(D6:D20)=0,"",MEDIAN(D6:D20))</f>
        <v/>
      </c>
      <c r="E27" s="65">
        <f>IF(COUNT(E6:E20)=0,"",MEDIAN(E6:E20))</f>
        <v/>
      </c>
    </row>
    <row r="28" ht="12" customHeight="1" s="545">
      <c r="B28" s="63" t="inlineStr">
        <is>
          <t>Average</t>
        </is>
      </c>
      <c r="D28" s="64">
        <f>IF(COUNT(D6:D20)=0,"",AVERAGE(D6:D20))</f>
        <v/>
      </c>
      <c r="E28" s="65">
        <f>IF(COUNT(E6:E20)=0,"",AVERAGE(E6:E20))</f>
        <v/>
      </c>
    </row>
    <row r="29" ht="12" customHeight="1" s="545">
      <c r="B29" s="63" t="inlineStr">
        <is>
          <t>Std Dev</t>
        </is>
      </c>
      <c r="D29" s="64">
        <f>IF(COUNT(D6:D20)&lt;2,"",STDEV(D6:D20))</f>
        <v/>
      </c>
      <c r="E29" s="65">
        <f>IF(COUNT(E6:E20)&lt;2,"",STDEV(E6:E20))</f>
        <v/>
      </c>
    </row>
    <row r="32" ht="12.75" customHeight="1" s="545">
      <c r="B32" s="66" t="inlineStr">
        <is>
          <t>Top Expense Comps (auto-ranked by size closeness)</t>
        </is>
      </c>
      <c r="C32" s="55" t="n"/>
      <c r="D32" s="55" t="n"/>
      <c r="E32" s="55" t="n"/>
      <c r="F32" s="55" t="n"/>
      <c r="G32" s="55" t="n"/>
    </row>
    <row r="33" ht="12" customHeight="1" s="545">
      <c r="B33" s="56" t="inlineStr">
        <is>
          <t>Rank</t>
        </is>
      </c>
      <c r="C33" s="56" t="inlineStr">
        <is>
          <t>Address</t>
        </is>
      </c>
      <c r="D33" s="56" t="inlineStr">
        <is>
          <t>City</t>
        </is>
      </c>
      <c r="E33" s="56" t="inlineStr">
        <is>
          <t>Bldg SF</t>
        </is>
      </c>
      <c r="F33" s="56" t="inlineStr">
        <is>
          <t>Year</t>
        </is>
      </c>
      <c r="G33" s="56" t="inlineStr">
        <is>
          <t>NOI ($/SF)</t>
        </is>
      </c>
    </row>
    <row r="34" ht="12" customHeight="1" s="545">
      <c r="B34">
        <f>IF($I34="","",1)</f>
        <v/>
      </c>
      <c r="C34">
        <f>IF($I34="","",IFERROR(INDEX('Expense Database'!D:D,$I34),""))</f>
        <v/>
      </c>
      <c r="D34">
        <f>IF($I34="","",IFERROR(INDEX('Expense Database'!E:E,$I34),""))</f>
        <v/>
      </c>
      <c r="E34" s="57">
        <f>IF($I34="","",IFERROR(INDEX('Expense Database'!J:J,$I34),""))</f>
        <v/>
      </c>
      <c r="F34" s="58">
        <f>IF($I34="","",IFERROR(INDEX('Expense Database'!K:K,$I34),""))</f>
        <v/>
      </c>
      <c r="G34" s="59">
        <f>IF($I34="","",IFERROR(INDEX('PSF Summary'!AK:AK,$I34),""))</f>
        <v/>
      </c>
      <c r="I34">
        <f>IFERROR(MATCH(_xlfn.AGGREGATE(15,6,'Expense Database'!$AO$4:$AO$197,1),'Expense Database'!$AO$4:$AO$197,0)+3,"")</f>
        <v/>
      </c>
    </row>
    <row r="35" ht="12" customHeight="1" s="545">
      <c r="B35">
        <f>IF($I35="","",2)</f>
        <v/>
      </c>
      <c r="C35">
        <f>IF($I35="","",IFERROR(INDEX('Expense Database'!D:D,$I35),""))</f>
        <v/>
      </c>
      <c r="D35">
        <f>IF($I35="","",IFERROR(INDEX('Expense Database'!E:E,$I35),""))</f>
        <v/>
      </c>
      <c r="E35" s="57">
        <f>IF($I35="","",IFERROR(INDEX('Expense Database'!J:J,$I35),""))</f>
        <v/>
      </c>
      <c r="F35" s="58">
        <f>IF($I35="","",IFERROR(INDEX('Expense Database'!K:K,$I35),""))</f>
        <v/>
      </c>
      <c r="G35" s="59">
        <f>IF($I35="","",IFERROR(INDEX('PSF Summary'!AK:AK,$I35),""))</f>
        <v/>
      </c>
      <c r="I35">
        <f>IFERROR(MATCH(_xlfn.AGGREGATE(15,6,'Expense Database'!$AO$4:$AO$197,2),'Expense Database'!$AO$4:$AO$197,0)+3,"")</f>
        <v/>
      </c>
    </row>
    <row r="36" ht="12" customHeight="1" s="545">
      <c r="B36">
        <f>IF($I36="","",3)</f>
        <v/>
      </c>
      <c r="C36">
        <f>IF($I36="","",IFERROR(INDEX('Expense Database'!D:D,$I36),""))</f>
        <v/>
      </c>
      <c r="D36">
        <f>IF($I36="","",IFERROR(INDEX('Expense Database'!E:E,$I36),""))</f>
        <v/>
      </c>
      <c r="E36" s="57">
        <f>IF($I36="","",IFERROR(INDEX('Expense Database'!J:J,$I36),""))</f>
        <v/>
      </c>
      <c r="F36">
        <f>IF($I36="","",IFERROR(INDEX('Expense Database'!K:K,$I36),""))</f>
        <v/>
      </c>
      <c r="G36" s="59">
        <f>IF($I36="","",IFERROR(INDEX('PSF Summary'!AK:AK,$I36),""))</f>
        <v/>
      </c>
      <c r="I36">
        <f>IFERROR(MATCH(_xlfn.AGGREGATE(15,6,'Expense Database'!$AO$4:$AO$197,3),'Expense Database'!$AO$4:$AO$197,0)+3,"")</f>
        <v/>
      </c>
    </row>
    <row r="37" ht="12" customHeight="1" s="545">
      <c r="B37">
        <f>IF($I37="","",4)</f>
        <v/>
      </c>
      <c r="C37">
        <f>IF($I37="","",IFERROR(INDEX('Expense Database'!D:D,$I37),""))</f>
        <v/>
      </c>
      <c r="D37">
        <f>IF($I37="","",IFERROR(INDEX('Expense Database'!E:E,$I37),""))</f>
        <v/>
      </c>
      <c r="E37" s="57">
        <f>IF($I37="","",IFERROR(INDEX('Expense Database'!J:J,$I37),""))</f>
        <v/>
      </c>
      <c r="F37">
        <f>IF($I37="","",IFERROR(INDEX('Expense Database'!K:K,$I37),""))</f>
        <v/>
      </c>
      <c r="G37" s="59">
        <f>IF($I37="","",IFERROR(INDEX('PSF Summary'!AK:AK,$I37),""))</f>
        <v/>
      </c>
      <c r="I37">
        <f>IFERROR(MATCH(_xlfn.AGGREGATE(15,6,'Expense Database'!$AO$4:$AO$197,4),'Expense Database'!$AO$4:$AO$197,0)+3,"")</f>
        <v/>
      </c>
    </row>
    <row r="38" ht="12" customHeight="1" s="545">
      <c r="B38">
        <f>IF($I38="","",5)</f>
        <v/>
      </c>
      <c r="C38">
        <f>IF($I38="","",IFERROR(INDEX('Expense Database'!D:D,$I38),""))</f>
        <v/>
      </c>
      <c r="D38">
        <f>IF($I38="","",IFERROR(INDEX('Expense Database'!E:E,$I38),""))</f>
        <v/>
      </c>
      <c r="E38" s="57">
        <f>IF($I38="","",IFERROR(INDEX('Expense Database'!J:J,$I38),""))</f>
        <v/>
      </c>
      <c r="F38">
        <f>IF($I38="","",IFERROR(INDEX('Expense Database'!K:K,$I38),""))</f>
        <v/>
      </c>
      <c r="G38" s="59">
        <f>IF($I38="","",IFERROR(INDEX('PSF Summary'!AK:AK,$I38),""))</f>
        <v/>
      </c>
      <c r="I38">
        <f>IFERROR(MATCH(_xlfn.AGGREGATE(15,6,'Expense Database'!$AO$4:$AO$197,5),'Expense Database'!$AO$4:$AO$197,0)+3,"")</f>
        <v/>
      </c>
    </row>
    <row r="39" ht="12" customHeight="1" s="545">
      <c r="B39">
        <f>IF($I39="","",6)</f>
        <v/>
      </c>
      <c r="C39">
        <f>IF($I39="","",IFERROR(INDEX('Expense Database'!D:D,$I39),""))</f>
        <v/>
      </c>
      <c r="D39">
        <f>IF($I39="","",IFERROR(INDEX('Expense Database'!E:E,$I39),""))</f>
        <v/>
      </c>
      <c r="E39" s="57">
        <f>IF($I39="","",IFERROR(INDEX('Expense Database'!J:J,$I39),""))</f>
        <v/>
      </c>
      <c r="F39">
        <f>IF($I39="","",IFERROR(INDEX('Expense Database'!K:K,$I39),""))</f>
        <v/>
      </c>
      <c r="G39" s="59">
        <f>IF($I39="","",IFERROR(INDEX('PSF Summary'!AK:AK,$I39),""))</f>
        <v/>
      </c>
      <c r="I39">
        <f>IFERROR(MATCH(_xlfn.AGGREGATE(15,6,'Expense Database'!$AO$4:$AO$197,6),'Expense Database'!$AO$4:$AO$197,0)+3,"")</f>
        <v/>
      </c>
    </row>
    <row r="40" ht="12" customHeight="1" s="545">
      <c r="B40">
        <f>IF($I40="","",7)</f>
        <v/>
      </c>
      <c r="C40">
        <f>IF($I40="","",IFERROR(INDEX('Expense Database'!D:D,$I40),""))</f>
        <v/>
      </c>
      <c r="D40">
        <f>IF($I40="","",IFERROR(INDEX('Expense Database'!E:E,$I40),""))</f>
        <v/>
      </c>
      <c r="E40" s="57">
        <f>IF($I40="","",IFERROR(INDEX('Expense Database'!J:J,$I40),""))</f>
        <v/>
      </c>
      <c r="F40">
        <f>IF($I40="","",IFERROR(INDEX('Expense Database'!K:K,$I40),""))</f>
        <v/>
      </c>
      <c r="G40" s="59">
        <f>IF($I40="","",IFERROR(INDEX('PSF Summary'!AK:AK,$I40),""))</f>
        <v/>
      </c>
      <c r="I40">
        <f>IFERROR(MATCH(_xlfn.AGGREGATE(15,6,'Expense Database'!$AO$4:$AO$197,7),'Expense Database'!$AO$4:$AO$197,0)+3,"")</f>
        <v/>
      </c>
    </row>
    <row r="41" ht="12" customHeight="1" s="545">
      <c r="B41">
        <f>IF($I41="","",8)</f>
        <v/>
      </c>
      <c r="C41">
        <f>IF($I41="","",IFERROR(INDEX('Expense Database'!D:D,$I41),""))</f>
        <v/>
      </c>
      <c r="D41">
        <f>IF($I41="","",IFERROR(INDEX('Expense Database'!E:E,$I41),""))</f>
        <v/>
      </c>
      <c r="E41" s="57">
        <f>IF($I41="","",IFERROR(INDEX('Expense Database'!J:J,$I41),""))</f>
        <v/>
      </c>
      <c r="F41">
        <f>IF($I41="","",IFERROR(INDEX('Expense Database'!K:K,$I41),""))</f>
        <v/>
      </c>
      <c r="G41" s="59">
        <f>IF($I41="","",IFERROR(INDEX('PSF Summary'!AK:AK,$I41),""))</f>
        <v/>
      </c>
      <c r="I41">
        <f>IFERROR(MATCH(_xlfn.AGGREGATE(15,6,'Expense Database'!$AO$4:$AO$197,8),'Expense Database'!$AO$4:$AO$197,0)+3,"")</f>
        <v/>
      </c>
    </row>
    <row r="42" ht="12" customHeight="1" s="545">
      <c r="B42">
        <f>IF($I42="","",9)</f>
        <v/>
      </c>
      <c r="C42">
        <f>IF($I42="","",IFERROR(INDEX('Expense Database'!D:D,$I42),""))</f>
        <v/>
      </c>
      <c r="D42">
        <f>IF($I42="","",IFERROR(INDEX('Expense Database'!E:E,$I42),""))</f>
        <v/>
      </c>
      <c r="E42" s="57">
        <f>IF($I42="","",IFERROR(INDEX('Expense Database'!J:J,$I42),""))</f>
        <v/>
      </c>
      <c r="F42">
        <f>IF($I42="","",IFERROR(INDEX('Expense Database'!K:K,$I42),""))</f>
        <v/>
      </c>
      <c r="G42" s="59">
        <f>IF($I42="","",IFERROR(INDEX('PSF Summary'!AK:AK,$I42),""))</f>
        <v/>
      </c>
      <c r="I42">
        <f>IFERROR(MATCH(_xlfn.AGGREGATE(15,6,'Expense Database'!$AO$4:$AO$197,9),'Expense Database'!$AO$4:$AO$197,0)+3,"")</f>
        <v/>
      </c>
    </row>
    <row r="43" ht="12" customHeight="1" s="545">
      <c r="B43">
        <f>IF($I43="","",10)</f>
        <v/>
      </c>
      <c r="C43">
        <f>IF($I43="","",IFERROR(INDEX('Expense Database'!D:D,$I43),""))</f>
        <v/>
      </c>
      <c r="D43">
        <f>IF($I43="","",IFERROR(INDEX('Expense Database'!E:E,$I43),""))</f>
        <v/>
      </c>
      <c r="E43" s="57">
        <f>IF($I43="","",IFERROR(INDEX('Expense Database'!J:J,$I43),""))</f>
        <v/>
      </c>
      <c r="F43">
        <f>IF($I43="","",IFERROR(INDEX('Expense Database'!K:K,$I43),""))</f>
        <v/>
      </c>
      <c r="G43" s="59">
        <f>IF($I43="","",IFERROR(INDEX('PSF Summary'!AK:AK,$I43),""))</f>
        <v/>
      </c>
      <c r="I43">
        <f>IFERROR(MATCH(_xlfn.AGGREGATE(15,6,'Expense Database'!$AO$4:$AO$197,10),'Expense Database'!$AO$4:$AO$197,0)+3,"")</f>
        <v/>
      </c>
    </row>
    <row r="44" ht="12" customHeight="1" s="545">
      <c r="B44">
        <f>IF($I44="","",11)</f>
        <v/>
      </c>
      <c r="C44">
        <f>IF($I44="","",IFERROR(INDEX('Expense Database'!D:D,$I44),""))</f>
        <v/>
      </c>
      <c r="D44">
        <f>IF($I44="","",IFERROR(INDEX('Expense Database'!E:E,$I44),""))</f>
        <v/>
      </c>
      <c r="E44" s="57">
        <f>IF($I44="","",IFERROR(INDEX('Expense Database'!J:J,$I44),""))</f>
        <v/>
      </c>
      <c r="F44">
        <f>IF($I44="","",IFERROR(INDEX('Expense Database'!K:K,$I44),""))</f>
        <v/>
      </c>
      <c r="G44" s="59">
        <f>IF($I44="","",IFERROR(INDEX('PSF Summary'!AK:AK,$I44),""))</f>
        <v/>
      </c>
      <c r="I44">
        <f>IFERROR(MATCH(_xlfn.AGGREGATE(15,6,'Expense Database'!$AO$4:$AO$197,11),'Expense Database'!$AO$4:$AO$197,0)+3,"")</f>
        <v/>
      </c>
    </row>
    <row r="45" ht="12" customHeight="1" s="545">
      <c r="B45">
        <f>IF($I45="","",12)</f>
        <v/>
      </c>
      <c r="C45">
        <f>IF($I45="","",IFERROR(INDEX('Expense Database'!D:D,$I45),""))</f>
        <v/>
      </c>
      <c r="D45">
        <f>IF($I45="","",IFERROR(INDEX('Expense Database'!E:E,$I45),""))</f>
        <v/>
      </c>
      <c r="E45" s="57">
        <f>IF($I45="","",IFERROR(INDEX('Expense Database'!J:J,$I45),""))</f>
        <v/>
      </c>
      <c r="F45">
        <f>IF($I45="","",IFERROR(INDEX('Expense Database'!K:K,$I45),""))</f>
        <v/>
      </c>
      <c r="G45" s="59">
        <f>IF($I45="","",IFERROR(INDEX('PSF Summary'!AK:AK,$I45),""))</f>
        <v/>
      </c>
      <c r="I45">
        <f>IFERROR(MATCH(_xlfn.AGGREGATE(15,6,'Expense Database'!$AO$4:$AO$197,12),'Expense Database'!$AO$4:$AO$197,0)+3,"")</f>
        <v/>
      </c>
    </row>
    <row r="46" ht="12" customHeight="1" s="545">
      <c r="B46">
        <f>IF($I46="","",13)</f>
        <v/>
      </c>
      <c r="C46">
        <f>IF($I46="","",IFERROR(INDEX('Expense Database'!D:D,$I46),""))</f>
        <v/>
      </c>
      <c r="D46">
        <f>IF($I46="","",IFERROR(INDEX('Expense Database'!E:E,$I46),""))</f>
        <v/>
      </c>
      <c r="E46" s="57">
        <f>IF($I46="","",IFERROR(INDEX('Expense Database'!J:J,$I46),""))</f>
        <v/>
      </c>
      <c r="F46">
        <f>IF($I46="","",IFERROR(INDEX('Expense Database'!K:K,$I46),""))</f>
        <v/>
      </c>
      <c r="G46" s="59">
        <f>IF($I46="","",IFERROR(INDEX('PSF Summary'!AK:AK,$I46),""))</f>
        <v/>
      </c>
      <c r="I46">
        <f>IFERROR(MATCH(_xlfn.AGGREGATE(15,6,'Expense Database'!$AO$4:$AO$197,13),'Expense Database'!$AO$4:$AO$197,0)+3,"")</f>
        <v/>
      </c>
    </row>
    <row r="47" ht="12" customHeight="1" s="545">
      <c r="B47">
        <f>IF($I47="","",14)</f>
        <v/>
      </c>
      <c r="C47">
        <f>IF($I47="","",IFERROR(INDEX('Expense Database'!D:D,$I47),""))</f>
        <v/>
      </c>
      <c r="D47">
        <f>IF($I47="","",IFERROR(INDEX('Expense Database'!E:E,$I47),""))</f>
        <v/>
      </c>
      <c r="E47" s="57">
        <f>IF($I47="","",IFERROR(INDEX('Expense Database'!J:J,$I47),""))</f>
        <v/>
      </c>
      <c r="F47">
        <f>IF($I47="","",IFERROR(INDEX('Expense Database'!K:K,$I47),""))</f>
        <v/>
      </c>
      <c r="G47" s="59">
        <f>IF($I47="","",IFERROR(INDEX('PSF Summary'!AK:AK,$I47),""))</f>
        <v/>
      </c>
      <c r="I47">
        <f>IFERROR(MATCH(_xlfn.AGGREGATE(15,6,'Expense Database'!$AO$4:$AO$197,14),'Expense Database'!$AO$4:$AO$197,0)+3,"")</f>
        <v/>
      </c>
    </row>
    <row r="48" ht="12" customHeight="1" s="545">
      <c r="B48">
        <f>IF($I48="","",15)</f>
        <v/>
      </c>
      <c r="C48">
        <f>IF($I48="","",IFERROR(INDEX('Expense Database'!D:D,$I48),""))</f>
        <v/>
      </c>
      <c r="D48">
        <f>IF($I48="","",IFERROR(INDEX('Expense Database'!E:E,$I48),""))</f>
        <v/>
      </c>
      <c r="E48" s="57">
        <f>IF($I48="","",IFERROR(INDEX('Expense Database'!J:J,$I48),""))</f>
        <v/>
      </c>
      <c r="F48">
        <f>IF($I48="","",IFERROR(INDEX('Expense Database'!K:K,$I48),""))</f>
        <v/>
      </c>
      <c r="G48" s="59">
        <f>IF($I48="","",IFERROR(INDEX('PSF Summary'!AK:AK,$I48),""))</f>
        <v/>
      </c>
      <c r="I48">
        <f>IFERROR(MATCH(_xlfn.AGGREGATE(15,6,'Expense Database'!$AO$4:$AO$197,15),'Expense Database'!$AO$4:$AO$197,0)+3,"")</f>
        <v/>
      </c>
    </row>
    <row r="50" ht="12" customHeight="1" s="545">
      <c r="B50" s="62" t="inlineStr">
        <is>
          <t>Stats (of the matches actually found above)</t>
        </is>
      </c>
    </row>
    <row r="51" ht="12" customHeight="1" s="545">
      <c r="B51" s="63" t="inlineStr">
        <is>
          <t>Count</t>
        </is>
      </c>
      <c r="G51" s="65">
        <f>IF(COUNT(G34:G48)=0,"",COUNT(G34:G48))</f>
        <v/>
      </c>
    </row>
    <row r="52" ht="12" customHeight="1" s="545">
      <c r="B52" s="63" t="inlineStr">
        <is>
          <t>Min</t>
        </is>
      </c>
      <c r="G52" s="65">
        <f>IF(COUNT(G34:G48)=0,"",MIN(G34:G48))</f>
        <v/>
      </c>
    </row>
    <row r="53" ht="12" customHeight="1" s="545">
      <c r="B53" s="63" t="inlineStr">
        <is>
          <t>Max</t>
        </is>
      </c>
      <c r="G53" s="65">
        <f>IF(COUNT(G34:G48)=0,"",MAX(G34:G48))</f>
        <v/>
      </c>
    </row>
    <row r="54" ht="12" customHeight="1" s="545">
      <c r="B54" s="63" t="inlineStr">
        <is>
          <t>Range (Max-Min)</t>
        </is>
      </c>
      <c r="G54" s="65">
        <f>IF(COUNT(G34:G48)=0,"",MAX(G34:G48)-MIN(G34:G48))</f>
        <v/>
      </c>
    </row>
    <row r="55" ht="12" customHeight="1" s="545">
      <c r="B55" s="63" t="inlineStr">
        <is>
          <t>Median</t>
        </is>
      </c>
      <c r="G55" s="65">
        <f>IF(COUNT(G34:G48)=0,"",MEDIAN(G34:G48))</f>
        <v/>
      </c>
    </row>
    <row r="56" ht="12" customHeight="1" s="545">
      <c r="B56" s="63" t="inlineStr">
        <is>
          <t>Average</t>
        </is>
      </c>
      <c r="G56" s="65">
        <f>IF(COUNT(G34:G48)=0,"",AVERAGE(G34:G48))</f>
        <v/>
      </c>
    </row>
    <row r="57" ht="12" customHeight="1" s="545">
      <c r="B57" s="63" t="inlineStr">
        <is>
          <t>Std Dev</t>
        </is>
      </c>
      <c r="G57" s="65">
        <f>IF(COUNT(G34:G48)&lt;2,"",STDEV(G34:G48))</f>
        <v/>
      </c>
    </row>
  </sheetData>
  <mergeCells count="1">
    <mergeCell ref="B2:I2"/>
  </mergeCells>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tabColor rgb="FF1F4E78"/>
    <outlinePr summaryBelow="1" summaryRight="1"/>
    <pageSetUpPr fitToPage="1"/>
  </sheetPr>
  <dimension ref="A1:O8"/>
  <sheetViews>
    <sheetView showGridLines="0" zoomScaleNormal="100" workbookViewId="0">
      <selection activeCell="C21" sqref="C21"/>
    </sheetView>
  </sheetViews>
  <sheetFormatPr baseColWidth="8" defaultColWidth="10.42578125" defaultRowHeight="14.25"/>
  <cols>
    <col width="18.28515625" customWidth="1" style="569" min="1" max="1"/>
    <col width="16" customWidth="1" style="569" min="2" max="2"/>
    <col width="34.140625" customWidth="1" style="569" min="3" max="3"/>
    <col width="10.42578125" customWidth="1" style="569" min="4" max="6"/>
    <col width="10.42578125" customWidth="1" style="569" min="7" max="16384"/>
  </cols>
  <sheetData>
    <row r="1" ht="24" customHeight="1" s="545">
      <c r="A1" s="68" t="inlineStr">
        <is>
          <t>Click on the tab at the bottom to switch between worksheets</t>
        </is>
      </c>
      <c r="B1" s="68" t="n"/>
      <c r="C1" s="68" t="n"/>
      <c r="D1" s="68" t="n"/>
      <c r="E1" s="68" t="n"/>
      <c r="F1" s="68" t="n"/>
      <c r="G1" s="68" t="n"/>
      <c r="H1" s="68" t="n"/>
      <c r="I1" s="68" t="n"/>
      <c r="J1" s="68" t="n"/>
      <c r="K1" s="68" t="n"/>
      <c r="L1" s="68" t="n"/>
      <c r="M1" s="68" t="n"/>
      <c r="N1" s="68" t="n"/>
      <c r="O1" s="68" t="n"/>
    </row>
    <row r="2" ht="9" customHeight="1" s="545"/>
    <row r="3" ht="60" customHeight="1" s="545">
      <c r="A3" s="568" t="inlineStr">
        <is>
          <t>To print all sheets, click printer icon on toolbar.</t>
        </is>
      </c>
      <c r="B3" s="70" t="n"/>
      <c r="C3" s="70" t="n"/>
      <c r="D3" s="70" t="n"/>
      <c r="E3" s="70" t="n"/>
      <c r="F3" s="70" t="n"/>
      <c r="G3" s="70" t="n"/>
      <c r="H3" s="70" t="n"/>
      <c r="I3" s="70" t="n"/>
      <c r="J3" s="70" t="n"/>
      <c r="K3" s="70" t="n"/>
      <c r="L3" s="70" t="n"/>
      <c r="M3" s="70" t="n"/>
      <c r="N3" s="70" t="n"/>
      <c r="O3" s="70" t="n"/>
    </row>
    <row r="4" ht="9" customHeight="1" s="545"/>
    <row r="5" ht="40.5" customHeight="1" s="545">
      <c r="A5" s="568"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71" t="n"/>
      <c r="E5" s="71" t="n"/>
      <c r="F5" s="71" t="n"/>
      <c r="G5" s="71" t="n"/>
      <c r="H5" s="71" t="n"/>
      <c r="I5" s="71" t="n"/>
      <c r="J5" s="71" t="n"/>
      <c r="K5" s="71" t="n"/>
      <c r="L5" s="71" t="n"/>
      <c r="M5" s="71" t="n"/>
      <c r="N5" s="71" t="n"/>
      <c r="O5" s="71" t="n"/>
    </row>
    <row r="6" ht="14.25" customHeight="1" s="545">
      <c r="A6" s="72" t="n"/>
      <c r="B6" s="72" t="n"/>
      <c r="C6" s="72" t="n"/>
      <c r="D6" s="72" t="n"/>
      <c r="E6" s="72" t="n"/>
      <c r="F6" s="72" t="n"/>
      <c r="G6" s="72" t="n"/>
      <c r="H6" s="72" t="n"/>
      <c r="I6" s="72" t="n"/>
      <c r="J6" s="72" t="n"/>
      <c r="K6" s="72" t="n"/>
      <c r="L6" s="72" t="n"/>
      <c r="M6" s="72" t="n"/>
      <c r="N6" s="72" t="n"/>
      <c r="O6" s="72" t="n"/>
    </row>
    <row r="7" ht="15" customHeight="1" s="545">
      <c r="C7" s="73" t="inlineStr">
        <is>
          <t>Click desired sheet to work.</t>
        </is>
      </c>
      <c r="D7" s="70" t="n"/>
      <c r="E7" s="70" t="n"/>
      <c r="F7" s="70" t="n"/>
      <c r="G7" s="70" t="n"/>
      <c r="H7" s="70" t="n"/>
      <c r="I7" s="70" t="n"/>
      <c r="J7" s="70" t="n"/>
      <c r="K7" s="70" t="n"/>
      <c r="L7" s="70" t="n"/>
      <c r="M7" s="70" t="n"/>
      <c r="N7" s="70" t="n"/>
      <c r="O7" s="70" t="n"/>
    </row>
    <row r="8" ht="15.75" customHeight="1" s="545">
      <c r="A8" s="74" t="inlineStr">
        <is>
          <t>Appeal Year</t>
        </is>
      </c>
      <c r="B8" s="75" t="n">
        <v>2025</v>
      </c>
    </row>
  </sheetData>
  <mergeCells count="1">
    <mergeCell ref="A5:C5"/>
  </mergeCells>
  <pageMargins left="0.75" right="0.75" top="1" bottom="1" header="0.511811023622047" footer="0.511811023622047"/>
  <pageSetup orientation="portrait" fitToHeight="0" horizontalDpi="300" verticalDpi="300"/>
  <legacyDrawing xmlns:r="http://schemas.openxmlformats.org/officeDocument/2006/relationships" r:id="anysvml"/>
</worksheet>
</file>

<file path=xl/worksheets/sheet6.xml><?xml version="1.0" encoding="utf-8"?>
<worksheet xmlns="http://schemas.openxmlformats.org/spreadsheetml/2006/main">
  <sheetPr>
    <tabColor rgb="FF1F4E78"/>
    <outlinePr summaryBelow="1" summaryRight="1"/>
    <pageSetUpPr fitToPage="1"/>
  </sheetPr>
  <dimension ref="A1:Z55"/>
  <sheetViews>
    <sheetView showGridLines="0" zoomScaleNormal="100" workbookViewId="0">
      <pane ySplit="4" topLeftCell="A5" activePane="bottomLeft" state="frozen"/>
      <selection pane="bottomLeft" activeCell="N27" sqref="N27"/>
    </sheetView>
  </sheetViews>
  <sheetFormatPr baseColWidth="8" defaultColWidth="11" defaultRowHeight="12"/>
  <cols>
    <col width="15.140625" customWidth="1" style="545" min="1" max="1"/>
    <col width="30.7109375" customWidth="1" style="545" min="2" max="2"/>
    <col width="12.5703125" customWidth="1" style="545" min="3" max="3"/>
    <col width="14.85546875" customWidth="1" style="545" min="4" max="4"/>
    <col width="19.42578125" customWidth="1" style="545" min="5" max="5"/>
    <col width="15.140625" customWidth="1" style="545" min="6" max="6"/>
    <col width="16" customWidth="1" style="545" min="7" max="7"/>
    <col width="18.28515625" customWidth="1" style="545" min="8" max="8"/>
    <col hidden="1" width="6.85546875" customWidth="1" style="545" min="25" max="25"/>
    <col hidden="1" width="14.85546875" customWidth="1" style="545" min="26" max="26"/>
  </cols>
  <sheetData>
    <row r="1" ht="23.25" customHeight="1" s="545">
      <c r="A1" s="76" t="n"/>
      <c r="B1" t="n"/>
      <c r="E1" s="77" t="inlineStr">
        <is>
          <t>y</t>
        </is>
      </c>
    </row>
    <row r="2" ht="24" customHeight="1" s="545">
      <c r="A2" s="68" t="inlineStr">
        <is>
          <t>MARKET SALES &amp; RENT COMPARABLES</t>
        </is>
      </c>
      <c r="B2" s="68" t="n"/>
      <c r="C2" s="68" t="n"/>
      <c r="D2" s="68" t="n"/>
      <c r="E2" s="68" t="n"/>
      <c r="F2" s="68" t="n"/>
      <c r="G2" s="68" t="n"/>
      <c r="H2" s="68" t="n"/>
    </row>
    <row r="3" ht="15.75" customHeight="1" s="545">
      <c r="A3" s="78">
        <f>TEXT(Year,"0")&amp;" APPEALS"</f>
        <v/>
      </c>
      <c r="B3" s="78" t="n"/>
      <c r="C3" s="78" t="n"/>
      <c r="D3" s="78" t="n"/>
      <c r="E3" s="78" t="n"/>
      <c r="F3" s="78" t="n"/>
      <c r="G3" s="78" t="n"/>
      <c r="H3" s="78" t="n"/>
    </row>
    <row r="4" ht="15.75" customHeight="1" s="545">
      <c r="A4" s="78" t="inlineStr">
        <is>
          <t>PROTEST #</t>
        </is>
      </c>
      <c r="B4" s="79" t="inlineStr">
        <is>
          <t>156810</t>
        </is>
      </c>
      <c r="C4" s="80" t="n"/>
      <c r="D4" s="78" t="n"/>
      <c r="E4" s="78" t="n"/>
      <c r="F4" s="78" t="n"/>
      <c r="G4" s="78" t="n"/>
      <c r="H4" s="78" t="n"/>
    </row>
    <row r="5" ht="18" customHeight="1" s="545">
      <c r="A5" s="81" t="n"/>
      <c r="B5" s="63" t="n"/>
      <c r="C5" s="82" t="n"/>
    </row>
    <row r="6" ht="6.75" customHeight="1" s="545"/>
    <row r="7" ht="16.5" customHeight="1" s="545">
      <c r="A7" s="83" t="inlineStr">
        <is>
          <t>SUBJECT  PROPERTY  INFORMATION</t>
        </is>
      </c>
      <c r="B7" s="84" t="n"/>
      <c r="C7" s="84" t="n"/>
      <c r="D7" s="84" t="n"/>
      <c r="E7" s="84" t="n"/>
      <c r="F7" s="84" t="n"/>
      <c r="G7" s="84" t="n"/>
      <c r="H7" s="85" t="n"/>
    </row>
    <row r="8" ht="12" customHeight="1" s="545">
      <c r="A8" s="86" t="n"/>
      <c r="B8" s="590" t="inlineStr">
        <is>
          <t>Account Number</t>
        </is>
      </c>
      <c r="C8" s="590" t="inlineStr">
        <is>
          <t>Ngbh</t>
        </is>
      </c>
      <c r="D8" s="590" t="inlineStr">
        <is>
          <t xml:space="preserve">Land Area </t>
        </is>
      </c>
      <c r="E8" s="590" t="inlineStr">
        <is>
          <t>Quality</t>
        </is>
      </c>
      <c r="F8" s="590" t="inlineStr">
        <is>
          <t>Rent / Sq Ft</t>
        </is>
      </c>
      <c r="G8" s="590" t="inlineStr">
        <is>
          <t>Subject Sale Information</t>
        </is>
      </c>
      <c r="H8" s="590" t="inlineStr">
        <is>
          <t>Parcel Number</t>
        </is>
      </c>
    </row>
    <row r="9" ht="12" customHeight="1" s="545">
      <c r="A9" s="88" t="n"/>
      <c r="B9" s="590" t="inlineStr">
        <is>
          <t>Property Address</t>
        </is>
      </c>
      <c r="C9" s="590" t="inlineStr">
        <is>
          <t>Zone</t>
        </is>
      </c>
      <c r="D9" s="590" t="inlineStr">
        <is>
          <t xml:space="preserve">L : B  Ratio </t>
        </is>
      </c>
      <c r="E9" s="590" t="inlineStr">
        <is>
          <t>Physical Condition</t>
        </is>
      </c>
      <c r="F9" s="590" t="inlineStr">
        <is>
          <t>Vacancy</t>
        </is>
      </c>
      <c r="G9" s="590" t="inlineStr">
        <is>
          <t>Last Sale Date</t>
        </is>
      </c>
      <c r="H9" s="590" t="inlineStr">
        <is>
          <t>Assigned Value / Sq Ft</t>
        </is>
      </c>
    </row>
    <row r="10" ht="12" customHeight="1" s="545">
      <c r="A10" s="89" t="n"/>
      <c r="B10" s="590" t="inlineStr">
        <is>
          <t>Property Type</t>
        </is>
      </c>
      <c r="C10" s="590" t="inlineStr">
        <is>
          <t>YOC</t>
        </is>
      </c>
      <c r="D10" s="590" t="inlineStr">
        <is>
          <t xml:space="preserve">Building Area </t>
        </is>
      </c>
      <c r="E10" s="590" t="inlineStr">
        <is>
          <t>Functional Utility</t>
        </is>
      </c>
      <c r="F10" s="590" t="inlineStr">
        <is>
          <t>Expense Ratio</t>
        </is>
      </c>
      <c r="G10" s="590" t="inlineStr">
        <is>
          <t>Last Sale Price</t>
        </is>
      </c>
      <c r="H10" s="590" t="inlineStr">
        <is>
          <t>Assigned Value</t>
        </is>
      </c>
    </row>
    <row r="11" ht="12" customHeight="1" s="545">
      <c r="A11" s="88" t="n"/>
      <c r="B11" s="90" t="n"/>
      <c r="C11" s="91" t="n"/>
      <c r="D11" s="92">
        <f>Subj_SiteSF</f>
        <v/>
      </c>
      <c r="E11" s="93">
        <f>Subj_Quality</f>
        <v/>
      </c>
      <c r="F11" s="94">
        <f>PI_RentPSF</f>
        <v/>
      </c>
      <c r="G11" s="95" t="n"/>
      <c r="H11" s="94" t="n"/>
    </row>
    <row r="12" ht="12" customHeight="1" s="545">
      <c r="A12" s="88" t="n"/>
      <c r="B12" s="96">
        <f>Subj_Address</f>
        <v/>
      </c>
      <c r="C12" s="97">
        <f>Subj_Zoning</f>
        <v/>
      </c>
      <c r="D12" s="98">
        <f>IF(AND(ISNUMBER(D11),ISNUMBER(Subj_TotalBldgSF),Subj_TotalBldgSF&lt;&gt;0),ROUND(D11/Subj_TotalBldgSF,1)&amp;":1","")</f>
        <v/>
      </c>
      <c r="E12" s="93">
        <f>Subj_Condition</f>
        <v/>
      </c>
      <c r="F12" s="99">
        <f>PI_Vacancy</f>
        <v/>
      </c>
      <c r="G12" s="100" t="n"/>
      <c r="H12" s="101">
        <f>IF(D13=0,0,ROUND(H13/D13,2))</f>
        <v/>
      </c>
    </row>
    <row r="13" ht="12" customHeight="1" s="545">
      <c r="A13" s="102" t="n"/>
      <c r="B13" s="103">
        <f>IFERROR(INDEX(OCC_TABLE_DESC,MATCH(Subj_OccCode,OCC_TABLE_CODE,0)),"")</f>
        <v/>
      </c>
      <c r="C13" s="104">
        <f>Subj_YOC</f>
        <v/>
      </c>
      <c r="D13" s="92">
        <f>Subj_BldgSF</f>
        <v/>
      </c>
      <c r="E13" s="105" t="n"/>
      <c r="F13" s="99">
        <f>PI_ExpenseRatio</f>
        <v/>
      </c>
      <c r="G13" s="106" t="n"/>
      <c r="H13" s="106" t="n"/>
    </row>
    <row r="14" ht="6" customHeight="1" s="545">
      <c r="C14" s="107" t="n"/>
      <c r="D14" s="107" t="n"/>
      <c r="F14" s="107" t="n"/>
      <c r="G14" s="107" t="n"/>
      <c r="H14" s="107" t="n"/>
    </row>
    <row r="15" ht="6" customHeight="1" s="545">
      <c r="C15" s="107" t="n"/>
      <c r="D15" s="107" t="n"/>
      <c r="F15" s="107" t="n"/>
      <c r="G15" s="107" t="n"/>
      <c r="H15" s="107" t="n"/>
    </row>
    <row r="16" ht="16.5" customHeight="1" s="545">
      <c r="A16" s="83" t="inlineStr">
        <is>
          <t>MARKET  SALE  COMPARABLES</t>
        </is>
      </c>
      <c r="B16" s="84" t="n"/>
      <c r="C16" s="84" t="n"/>
      <c r="D16" s="84" t="n"/>
      <c r="E16" s="84" t="n"/>
      <c r="F16" s="84" t="n"/>
      <c r="G16" s="84" t="n"/>
      <c r="H16" s="85" t="n"/>
    </row>
    <row r="17" ht="12" customHeight="1" s="545">
      <c r="A17" s="590" t="n"/>
      <c r="B17" s="590" t="inlineStr">
        <is>
          <t>Account Number</t>
        </is>
      </c>
      <c r="C17" s="590" t="inlineStr">
        <is>
          <t>Ngbh</t>
        </is>
      </c>
      <c r="D17" s="590" t="inlineStr">
        <is>
          <t xml:space="preserve">Land Area </t>
        </is>
      </c>
      <c r="E17" s="590" t="inlineStr">
        <is>
          <t>Quality</t>
        </is>
      </c>
      <c r="F17" s="590" t="inlineStr">
        <is>
          <t xml:space="preserve">Sale Date </t>
        </is>
      </c>
      <c r="G17" s="590" t="inlineStr">
        <is>
          <t>Adj Sale Price / Sq Ft</t>
        </is>
      </c>
      <c r="H17" s="590" t="inlineStr">
        <is>
          <t>Parcel Number</t>
        </is>
      </c>
    </row>
    <row r="18" ht="12" customHeight="1" s="545">
      <c r="A18" s="590" t="n"/>
      <c r="B18" s="590" t="inlineStr">
        <is>
          <t>Property Address</t>
        </is>
      </c>
      <c r="C18" s="590" t="inlineStr">
        <is>
          <t>Zone</t>
        </is>
      </c>
      <c r="D18" s="590" t="inlineStr">
        <is>
          <t xml:space="preserve">L : B  Ratio </t>
        </is>
      </c>
      <c r="E18" s="590" t="inlineStr">
        <is>
          <t>Physical Condition</t>
        </is>
      </c>
      <c r="F18" s="590" t="inlineStr">
        <is>
          <t xml:space="preserve">Sale Price </t>
        </is>
      </c>
      <c r="G18" s="590" t="inlineStr">
        <is>
          <t>Net Adjustments</t>
        </is>
      </c>
      <c r="H18" s="590" t="inlineStr">
        <is>
          <t>Sale Remarks</t>
        </is>
      </c>
    </row>
    <row r="19" ht="12" customHeight="1" s="545">
      <c r="A19" s="590" t="inlineStr">
        <is>
          <t>#</t>
        </is>
      </c>
      <c r="B19" s="590" t="inlineStr">
        <is>
          <t>Property Type</t>
        </is>
      </c>
      <c r="C19" s="590" t="inlineStr">
        <is>
          <t>YOC</t>
        </is>
      </c>
      <c r="D19" s="590" t="inlineStr">
        <is>
          <t xml:space="preserve">Building Area </t>
        </is>
      </c>
      <c r="E19" s="590" t="inlineStr">
        <is>
          <t>Functional Utility</t>
        </is>
      </c>
      <c r="F19" s="590" t="inlineStr">
        <is>
          <t xml:space="preserve">Adjusted Sale Price </t>
        </is>
      </c>
      <c r="G19" s="590" t="inlineStr">
        <is>
          <t>Adj Value of Comp / Sq Ft</t>
        </is>
      </c>
      <c r="H19" s="590">
        <f>"Indicated Value of Subject ("&amp;Subj_Basis&amp;")"</f>
        <v/>
      </c>
    </row>
    <row r="20" ht="12" customHeight="1" s="545">
      <c r="A20" s="79" t="n"/>
      <c r="B20" s="604">
        <f>IF(IFERROR(INDEX(Sales!C:C,$Z$20),"")="","",+" "&amp;IFERROR(INDEX(Sales!C:C,$Z$20),""))</f>
        <v/>
      </c>
      <c r="C20" s="109">
        <f>IF(IFERROR(INDEX(Sales!F:F,$Z$20),"")="","",IFERROR(INDEX(Sales!F:F,$Z$20),""))</f>
        <v/>
      </c>
      <c r="D20" s="110">
        <f>IF(IFERROR(INDEX(Sales!S:S,$Z$20),"")="","",IFERROR(INDEX(Sales!S:S,$Z$20),""))</f>
        <v/>
      </c>
      <c r="E20" s="111">
        <f>IF(IFERROR(INDEX(Sales!R:R,$Z$20),"")="","",IFERROR(VLOOKUP(IFERROR(INDEX(Sales!R:R,$Z$20),""),GRADE,2),IFERROR(INDEX(Sales!R:R,$Z$20),"")))</f>
        <v/>
      </c>
      <c r="F20" s="112">
        <f>IF(IFERROR(INDEX(Sales!I:I,$Z$20),"")="","",IFERROR(INDEX(Sales!I:I,$Z$20),""))</f>
        <v/>
      </c>
      <c r="G20" s="101">
        <f>IF(IFERROR(INDEX(Sales!H:H,$Z$20),"")="","",IFERROR(INDEX(Sales!H:H,$Z$20),""))</f>
        <v/>
      </c>
      <c r="H20" s="101">
        <f>IF(IFERROR(INDEX(Sales!AC:AC,$Z$20),"")="","",+IFERROR(INDEX(Sales!AC:AC,$Z$20),""))</f>
        <v/>
      </c>
      <c r="Y20" s="113" t="n">
        <v>1</v>
      </c>
      <c r="Z20">
        <f>IFERROR(MATCH(_xlfn.AGGREGATE(15,6,Sales!$AJ$2:$AJ$941,$Y$20),Sales!$AJ$2:$AJ$941,0)+1,"")</f>
        <v/>
      </c>
    </row>
    <row r="21" ht="12" customHeight="1" s="545">
      <c r="A21" s="579" t="inlineStr">
        <is>
          <t>Best Match #1</t>
        </is>
      </c>
      <c r="B21" s="604">
        <f>IF(IFERROR(INDEX(Sales!D:D,$Z$20),"")="","",+" "&amp;IFERROR(INDEX(Sales!D:D,$Z$20),""))</f>
        <v/>
      </c>
      <c r="C21" s="109">
        <f>IF(IFERROR(INDEX(Sales!P:P,$Z$20),"")="","",IFERROR(INDEX(Sales!P:P,$Z$20),""))</f>
        <v/>
      </c>
      <c r="D21" s="110">
        <f>IF(IFERROR(INDEX(Sales!T:T,$Z$20),"")="","",IFERROR(INDEX(Sales!T:T,$Z$20),""))</f>
        <v/>
      </c>
      <c r="E21" s="111">
        <f>IF(IFERROR(INDEX(Sales!U:U,$Z$20),"")="","",IFERROR(VLOOKUP(IFERROR(INDEX(Sales!U:U,$Z$20),""),Codes!$A$12:$B$16,2),IFERROR(INDEX(Sales!U:U,$Z$20),"")))</f>
        <v/>
      </c>
      <c r="F21" s="602">
        <f>IF(IFERROR(INDEX(Sales!Y:Y,$Z$20),"")="","",IFERROR(INDEX(Sales!Y:Y,$Z$20),""))</f>
        <v/>
      </c>
      <c r="G21" s="116" t="n"/>
      <c r="H21" s="101">
        <f>IF(IFERROR(INDEX(Sales!AB:AB,$Z$20),"")="","",IFERROR(INDEX(Sales!AB:AB,$Z$20),""))</f>
        <v/>
      </c>
    </row>
    <row r="22" ht="12" customHeight="1" s="545">
      <c r="A22" s="79" t="n"/>
      <c r="B22" s="604">
        <f>IF(IFERROR(INDEX(Sales!E:E,$Z$20),"")="","",+" "&amp;IFERROR(VLOOKUP(IFERROR(INDEX(Sales!E:E,$Z$20),""),Class,2),IFERROR(INDEX(Sales!E:E,$Z$20),"")))</f>
        <v/>
      </c>
      <c r="C22" s="109">
        <f>IF(IFERROR(INDEX(Sales!M:M,$Z$20),"")="","",IFERROR(INDEX(Sales!M:M,$Z$20),""))</f>
        <v/>
      </c>
      <c r="D22" s="110">
        <f>IF(IFERROR(INDEX(Sales!L:L,$Z$20),"")="","",IFERROR(INDEX(Sales!L:L,$Z$20),""))</f>
        <v/>
      </c>
      <c r="E22" s="111">
        <f>IF(IFERROR(INDEX(Sales!V:V,$Z$20),"")="","",IFERROR(VLOOKUP(IFERROR(INDEX(Sales!V:V,$Z$20),""),Codes!$A$1:$B$5,2),IFERROR(INDEX(Sales!V:V,$Z$20),"")))</f>
        <v/>
      </c>
      <c r="F22" s="602">
        <f>IF(IFERROR(INDEX(Sales!AA:AA,$Z$20),"")="","",IFERROR(INDEX(Sales!AA:AA,$Z$20),""))</f>
        <v/>
      </c>
      <c r="G22" s="117">
        <f>IF(G20="","",ROUND(G20*(1+G21),2))</f>
        <v/>
      </c>
      <c r="H22" s="118">
        <f>IF(G22="","",IF(Subj_Basis="Per SF",ROUND(G22*$D$13,-2),IFERROR(ROUND(INDEX(Sales!$AK:$AK,$Z$20)*(1+N(G21))*Subj_Units1,-2),ROUND(G22*$D$13,-2))))</f>
        <v/>
      </c>
    </row>
    <row r="23" ht="12" customHeight="1" s="545">
      <c r="A23" s="79" t="n"/>
      <c r="B23" s="607">
        <f>IF(IFERROR(INDEX(Sales!C:C,$Z$23),"")="","",+" "&amp;IFERROR(INDEX(Sales!C:C,$Z$23),""))</f>
        <v/>
      </c>
      <c r="C23" s="120">
        <f>IF(IFERROR(INDEX(Sales!F:F,$Z$23),"")="","",IFERROR(INDEX(Sales!F:F,$Z$23),""))</f>
        <v/>
      </c>
      <c r="D23" s="121">
        <f>IF(IFERROR(INDEX(Sales!S:S,$Z$23),"")="","",IFERROR(INDEX(Sales!S:S,$Z$23),""))</f>
        <v/>
      </c>
      <c r="E23" s="122">
        <f>IF(IFERROR(INDEX(Sales!R:R,$Z$23),"")="","",IFERROR(VLOOKUP(IFERROR(INDEX(Sales!R:R,$Z$23),""),GRADE,2),IFERROR(INDEX(Sales!R:R,$Z$23),"")))</f>
        <v/>
      </c>
      <c r="F23" s="123">
        <f>IF(IFERROR(INDEX(Sales!I:I,$Z$23),"")="","",IFERROR(INDEX(Sales!I:I,$Z$23),""))</f>
        <v/>
      </c>
      <c r="G23" s="124">
        <f>IF(IFERROR(INDEX(Sales!H:H,$Z$23),"")="","",IFERROR(INDEX(Sales!H:H,$Z$23),""))</f>
        <v/>
      </c>
      <c r="H23" s="124">
        <f>IF(IFERROR(INDEX(Sales!AC:AC,$Z$23),"")="","",+IFERROR(INDEX(Sales!AC:AC,$Z$23),""))</f>
        <v/>
      </c>
      <c r="Y23" s="113" t="n">
        <v>2</v>
      </c>
      <c r="Z23">
        <f>IFERROR(MATCH(_xlfn.AGGREGATE(15,6,Sales!$AJ$2:$AJ$941,$Y$23),Sales!$AJ$2:$AJ$941,0)+1,"")</f>
        <v/>
      </c>
    </row>
    <row r="24" ht="12" customHeight="1" s="545">
      <c r="A24" s="579" t="inlineStr">
        <is>
          <t>Best Match #2</t>
        </is>
      </c>
      <c r="B24" s="607">
        <f>IF(IFERROR(INDEX(Sales!D:D,$Z$23),"")="","",+" "&amp;IFERROR(INDEX(Sales!D:D,$Z$23),""))</f>
        <v/>
      </c>
      <c r="C24" s="120">
        <f>IF(IFERROR(INDEX(Sales!P:P,$Z$23),"")="","",IFERROR(INDEX(Sales!P:P,$Z$23),""))</f>
        <v/>
      </c>
      <c r="D24" s="121">
        <f>IF(IFERROR(INDEX(Sales!T:T,$Z$23),"")="","",IFERROR(INDEX(Sales!T:T,$Z$23),""))</f>
        <v/>
      </c>
      <c r="E24" s="122">
        <f>IF(IFERROR(INDEX(Sales!U:U,$Z$23),"")="","",IFERROR(VLOOKUP(IFERROR(INDEX(Sales!U:U,$Z$23),""),Codes!$A$12:$B$16,2),IFERROR(INDEX(Sales!U:U,$Z$23),"")))</f>
        <v/>
      </c>
      <c r="F24" s="125">
        <f>IF(IFERROR(INDEX(Sales!Y:Y,$Z$23),"")="","",IFERROR(INDEX(Sales!Y:Y,$Z$23),""))</f>
        <v/>
      </c>
      <c r="G24" s="116" t="n"/>
      <c r="H24" s="124">
        <f>IF(IFERROR(INDEX(Sales!AB:AB,$Z$23),"")="","",IFERROR(INDEX(Sales!AB:AB,$Z$23),""))</f>
        <v/>
      </c>
    </row>
    <row r="25" ht="12" customHeight="1" s="545">
      <c r="A25" s="79" t="n"/>
      <c r="B25" s="607">
        <f>IF(IFERROR(INDEX(Sales!E:E,$Z$23),"")="","",+" "&amp;IFERROR(VLOOKUP(IFERROR(INDEX(Sales!E:E,$Z$23),""),Class,2),IFERROR(INDEX(Sales!E:E,$Z$23),"")))</f>
        <v/>
      </c>
      <c r="C25" s="120">
        <f>IF(IFERROR(INDEX(Sales!M:M,$Z$23),"")="","",IFERROR(INDEX(Sales!M:M,$Z$23),""))</f>
        <v/>
      </c>
      <c r="D25" s="121">
        <f>IF(IFERROR(INDEX(Sales!L:L,$Z$23),"")="","",IFERROR(INDEX(Sales!L:L,$Z$23),""))</f>
        <v/>
      </c>
      <c r="E25" s="122">
        <f>IF(IFERROR(INDEX(Sales!V:V,$Z$23),"")="","",IFERROR(VLOOKUP(IFERROR(INDEX(Sales!V:V,$Z$23),""),Codes!$A$1:$B$5,2),IFERROR(INDEX(Sales!V:V,$Z$23),"")))</f>
        <v/>
      </c>
      <c r="F25" s="125">
        <f>IF(IFERROR(INDEX(Sales!AA:AA,$Z$23),"")="","",IFERROR(INDEX(Sales!AA:AA,$Z$23),""))</f>
        <v/>
      </c>
      <c r="G25" s="117">
        <f>IF(G23="","",ROUND(G23*(1+G24),2))</f>
        <v/>
      </c>
      <c r="H25" s="118">
        <f>IF(G25="","",IF(Subj_Basis="Per SF",ROUND(G25*$D$13,-2),IFERROR(ROUND(INDEX(Sales!$AK:$AK,$Z$23)*(1+N(G24))*Subj_Units1,-2),ROUND(G25*$D$13,-2))))</f>
        <v/>
      </c>
    </row>
    <row r="26" ht="12" customHeight="1" s="545">
      <c r="A26" s="79" t="n"/>
      <c r="B26" s="604">
        <f>IF(IFERROR(INDEX(Sales!C:C,$Z$26),"")="","",+" "&amp;IFERROR(INDEX(Sales!C:C,$Z$26),""))</f>
        <v/>
      </c>
      <c r="C26" s="109">
        <f>IF(IFERROR(INDEX(Sales!F:F,$Z$26),"")="","",IFERROR(INDEX(Sales!F:F,$Z$26),""))</f>
        <v/>
      </c>
      <c r="D26" s="110">
        <f>IF(IFERROR(INDEX(Sales!S:S,$Z$26),"")="","",IFERROR(INDEX(Sales!S:S,$Z$26),""))</f>
        <v/>
      </c>
      <c r="E26" s="111">
        <f>IF(IFERROR(INDEX(Sales!R:R,$Z$26),"")="","",IFERROR(VLOOKUP(IFERROR(INDEX(Sales!R:R,$Z$26),""),GRADE,2),IFERROR(INDEX(Sales!R:R,$Z$26),"")))</f>
        <v/>
      </c>
      <c r="F26" s="112">
        <f>IF(IFERROR(INDEX(Sales!I:I,$Z$26),"")="","",IFERROR(INDEX(Sales!I:I,$Z$26),""))</f>
        <v/>
      </c>
      <c r="G26" s="101">
        <f>IF(IFERROR(INDEX(Sales!H:H,$Z$26),"")="","",IFERROR(INDEX(Sales!H:H,$Z$26),""))</f>
        <v/>
      </c>
      <c r="H26" s="101">
        <f>IF(IFERROR(INDEX(Sales!AC:AC,$Z$26),"")="","",+IFERROR(INDEX(Sales!AC:AC,$Z$26),""))</f>
        <v/>
      </c>
      <c r="Y26" s="113" t="n">
        <v>3</v>
      </c>
      <c r="Z26">
        <f>IFERROR(MATCH(_xlfn.AGGREGATE(15,6,Sales!$AJ$2:$AJ$941,$Y$26),Sales!$AJ$2:$AJ$941,0)+1,"")</f>
        <v/>
      </c>
    </row>
    <row r="27" ht="12" customHeight="1" s="545">
      <c r="A27" s="579" t="inlineStr">
        <is>
          <t>Best Match #3</t>
        </is>
      </c>
      <c r="B27" s="604">
        <f>IF(IFERROR(INDEX(Sales!D:D,$Z$26),"")="","",+" "&amp;IFERROR(INDEX(Sales!D:D,$Z$26),""))</f>
        <v/>
      </c>
      <c r="C27" s="109">
        <f>IF(IFERROR(INDEX(Sales!P:P,$Z$26),"")="","",IFERROR(INDEX(Sales!P:P,$Z$26),""))</f>
        <v/>
      </c>
      <c r="D27" s="110">
        <f>IF(IFERROR(INDEX(Sales!T:T,$Z$26),"")="","",IFERROR(INDEX(Sales!T:T,$Z$26),""))</f>
        <v/>
      </c>
      <c r="E27" s="111">
        <f>IF(IFERROR(INDEX(Sales!U:U,$Z$26),"")="","",IFERROR(VLOOKUP(IFERROR(INDEX(Sales!U:U,$Z$26),""),Codes!$A$12:$B$16,2),IFERROR(INDEX(Sales!U:U,$Z$26),"")))</f>
        <v/>
      </c>
      <c r="F27" s="602">
        <f>IF(IFERROR(INDEX(Sales!Y:Y,$Z$26),"")="","",IFERROR(INDEX(Sales!Y:Y,$Z$26),""))</f>
        <v/>
      </c>
      <c r="G27" s="116" t="n"/>
      <c r="H27" s="101">
        <f>IF(IFERROR(INDEX(Sales!AB:AB,$Z$26),"")="","",IFERROR(INDEX(Sales!AB:AB,$Z$26),""))</f>
        <v/>
      </c>
    </row>
    <row r="28" ht="12" customHeight="1" s="545">
      <c r="A28" s="79" t="n"/>
      <c r="B28" s="604">
        <f>IF(IFERROR(INDEX(Sales!E:E,$Z$26),"")="","",+" "&amp;IFERROR(VLOOKUP(IFERROR(INDEX(Sales!E:E,$Z$26),""),Class,2),IFERROR(INDEX(Sales!E:E,$Z$26),"")))</f>
        <v/>
      </c>
      <c r="C28" s="109">
        <f>IF(IFERROR(INDEX(Sales!M:M,$Z$26),"")="","",IFERROR(INDEX(Sales!M:M,$Z$26),""))</f>
        <v/>
      </c>
      <c r="D28" s="110">
        <f>IF(IFERROR(INDEX(Sales!L:L,$Z$26),"")="","",IFERROR(INDEX(Sales!L:L,$Z$26),""))</f>
        <v/>
      </c>
      <c r="E28" s="111">
        <f>IF(IFERROR(INDEX(Sales!V:V,$Z$26),"")="","",IFERROR(VLOOKUP(IFERROR(INDEX(Sales!V:V,$Z$26),""),Codes!$A$1:$B$5,2),IFERROR(INDEX(Sales!V:V,$Z$26),"")))</f>
        <v/>
      </c>
      <c r="F28" s="602">
        <f>IF(IFERROR(INDEX(Sales!AA:AA,$Z$26),"")="","",IFERROR(INDEX(Sales!AA:AA,$Z$26),""))</f>
        <v/>
      </c>
      <c r="G28" s="117">
        <f>IF(G26="","",ROUND(G26*(1+G27),2))</f>
        <v/>
      </c>
      <c r="H28" s="118">
        <f>IF(G28="","",IF(Subj_Basis="Per SF",ROUND(G28*$D$13,-2),IFERROR(ROUND(INDEX(Sales!$AK:$AK,$Z$26)*(1+N(G27))*Subj_Units1,-2),ROUND(G28*$D$13,-2))))</f>
        <v/>
      </c>
    </row>
    <row r="29" ht="9.75" customHeight="1" s="545"/>
    <row r="30" ht="16.5" customHeight="1" s="545">
      <c r="A30" s="126" t="inlineStr">
        <is>
          <t>MARKET SALE REMARKS</t>
        </is>
      </c>
      <c r="B30" s="127" t="n"/>
      <c r="C30" s="127" t="n"/>
      <c r="D30" s="127" t="n"/>
      <c r="E30" s="127" t="n"/>
      <c r="F30" s="127" t="n"/>
      <c r="G30" s="127" t="n"/>
      <c r="H30" s="128" t="n"/>
    </row>
    <row r="31" ht="12" customHeight="1" s="545">
      <c r="A31" s="570" t="n"/>
      <c r="B31" s="571" t="n"/>
      <c r="C31" s="571" t="n"/>
      <c r="D31" s="571" t="n"/>
      <c r="E31" s="571" t="n"/>
      <c r="F31" s="571" t="n"/>
      <c r="G31" s="571" t="n"/>
      <c r="H31" s="572" t="n"/>
    </row>
    <row r="32" ht="12" customHeight="1" s="545">
      <c r="A32" s="573" t="n"/>
      <c r="B32" s="574" t="n"/>
      <c r="C32" s="574" t="n"/>
      <c r="D32" s="574" t="n"/>
      <c r="E32" s="574" t="n"/>
      <c r="F32" s="574" t="n"/>
      <c r="G32" s="574" t="n"/>
      <c r="H32" s="575" t="n"/>
    </row>
    <row r="33" ht="12" customHeight="1" s="545">
      <c r="A33" s="573" t="n"/>
      <c r="B33" s="574" t="n"/>
      <c r="C33" s="574" t="n"/>
      <c r="D33" s="574" t="n"/>
      <c r="E33" s="574" t="n"/>
      <c r="F33" s="574" t="n"/>
      <c r="G33" s="574" t="n"/>
      <c r="H33" s="575" t="n"/>
    </row>
    <row r="34" ht="12" customHeight="1" s="545">
      <c r="A34" s="576" t="n"/>
      <c r="B34" s="577" t="n"/>
      <c r="C34" s="577" t="n"/>
      <c r="D34" s="577" t="n"/>
      <c r="E34" s="577" t="n"/>
      <c r="F34" s="577" t="n"/>
      <c r="G34" s="577" t="n"/>
      <c r="H34" s="578" t="n"/>
    </row>
    <row r="35" ht="12" customHeight="1" s="545"/>
    <row r="36" ht="16.5" customHeight="1" s="545">
      <c r="A36" s="83" t="inlineStr">
        <is>
          <t>RENT  COMPARABLE  INFORMATION</t>
        </is>
      </c>
      <c r="B36" s="84" t="n"/>
      <c r="C36" s="84" t="n"/>
      <c r="D36" s="84" t="n"/>
      <c r="E36" s="84" t="n"/>
      <c r="F36" s="84" t="n"/>
      <c r="G36" s="128" t="n"/>
      <c r="H36" s="129" t="n"/>
    </row>
    <row r="37" ht="12" customHeight="1" s="545">
      <c r="A37" s="590" t="n"/>
      <c r="B37" s="590" t="inlineStr">
        <is>
          <t xml:space="preserve"> Source of Information</t>
        </is>
      </c>
      <c r="C37" s="590" t="inlineStr">
        <is>
          <t>Ngbh</t>
        </is>
      </c>
      <c r="D37" s="590" t="inlineStr">
        <is>
          <t xml:space="preserve">Land Area </t>
        </is>
      </c>
      <c r="E37" s="590" t="inlineStr">
        <is>
          <t>Quality</t>
        </is>
      </c>
      <c r="F37" s="590">
        <f>"Rent / "&amp;IF(Subj_Basis="Per Unit","Unit",IF(Subj_Basis="Per Key","Key","Sq Ft"))</f>
        <v/>
      </c>
      <c r="G37" s="590" t="n"/>
      <c r="H37" s="590" t="n"/>
    </row>
    <row r="38" ht="12" customHeight="1" s="545">
      <c r="A38" s="590" t="n"/>
      <c r="B38" s="590" t="inlineStr">
        <is>
          <t xml:space="preserve">  Location</t>
        </is>
      </c>
      <c r="C38" s="590" t="inlineStr">
        <is>
          <t>Zone</t>
        </is>
      </c>
      <c r="D38" s="590" t="inlineStr">
        <is>
          <t xml:space="preserve">L : B  Ratio </t>
        </is>
      </c>
      <c r="E38" s="590" t="n"/>
      <c r="F38" s="590" t="inlineStr">
        <is>
          <t>Vacancy</t>
        </is>
      </c>
      <c r="G38" s="590" t="inlineStr">
        <is>
          <t xml:space="preserve">Net Adjustments </t>
        </is>
      </c>
      <c r="H38" s="590" t="n"/>
    </row>
    <row r="39" ht="12" customHeight="1" s="545">
      <c r="A39" s="590" t="inlineStr">
        <is>
          <t>#</t>
        </is>
      </c>
      <c r="B39" s="590" t="inlineStr">
        <is>
          <t xml:space="preserve"> Property Type</t>
        </is>
      </c>
      <c r="C39" s="590" t="inlineStr">
        <is>
          <t>YOC</t>
        </is>
      </c>
      <c r="D39" s="590" t="inlineStr">
        <is>
          <t xml:space="preserve">Building Area </t>
        </is>
      </c>
      <c r="E39" s="590" t="n"/>
      <c r="F39" s="590" t="inlineStr">
        <is>
          <t>Expense Ratio</t>
        </is>
      </c>
      <c r="G39" s="590" t="inlineStr">
        <is>
          <t xml:space="preserve">Adjusted Rent </t>
        </is>
      </c>
      <c r="H39" s="590" t="n"/>
    </row>
    <row r="40" ht="12" customHeight="1" s="545">
      <c r="A40" s="79" t="n"/>
      <c r="B40" s="604">
        <f>IF(Income!E2="","",+Income!E2)</f>
        <v/>
      </c>
      <c r="C40" s="109">
        <f>IF(Income!H2="","",IF(Income!H2&gt;9100,+Income!H2,+"            "&amp;Income!H2))</f>
        <v/>
      </c>
      <c r="D40" s="110">
        <f>IF(Income!W2="","",Income!W2)</f>
        <v/>
      </c>
      <c r="E40" s="111">
        <f>IF(Income!Z2="","",VLOOKUP(LEFT(Income!Z2,1),GRADE,2))</f>
        <v/>
      </c>
      <c r="F40" s="101">
        <f>IF(Subj_Basis="Per SF",IF(Income!K2="","",Income!K2),IF(N(Income!AL2)&gt;0,Income!AL2,IF(Income!K2="","",Income!K2)))</f>
        <v/>
      </c>
      <c r="G40" s="95" t="n"/>
      <c r="H40" s="79" t="n"/>
    </row>
    <row r="41" ht="12" customHeight="1" s="545">
      <c r="A41" s="579" t="inlineStr">
        <is>
          <t>1</t>
        </is>
      </c>
      <c r="B41" s="604">
        <f>IF(Income!H2="","",+" "&amp;VLOOKUP(Income!H2,Codes!$G$1:$H$68,2))</f>
        <v/>
      </c>
      <c r="C41" s="109">
        <f>IF(Income!T2="","",Income!T2)</f>
        <v/>
      </c>
      <c r="D41" s="130">
        <f>IF(Income!X2="","",TEXT(Income!X2,"0.00"))</f>
        <v/>
      </c>
      <c r="E41" s="131" t="n"/>
      <c r="F41" s="132">
        <f>IF(Income!L2="","",Income!L2)</f>
        <v/>
      </c>
      <c r="G41" s="116" t="n"/>
      <c r="H41" s="79" t="n"/>
    </row>
    <row r="42" ht="12" customHeight="1" s="545">
      <c r="A42" s="79" t="n"/>
      <c r="B42" s="604">
        <f>IF(Income!G2="","",+" "&amp;VLOOKUP(Income!G2,Class,2))</f>
        <v/>
      </c>
      <c r="C42" s="109">
        <f>IF(Income!N2="","",Income!N2)</f>
        <v/>
      </c>
      <c r="D42" s="110">
        <f>IF(Income!Y2="","",Income!Y2)</f>
        <v/>
      </c>
      <c r="E42" s="131" t="n"/>
      <c r="F42" s="132">
        <f>IF(Income!M2="","",Income!M2)</f>
        <v/>
      </c>
      <c r="G42" s="117">
        <f>IF(F40="","",ROUND(F40*(1+G41),2))</f>
        <v/>
      </c>
      <c r="H42" s="79" t="n"/>
    </row>
    <row r="43" ht="12" customHeight="1" s="545">
      <c r="A43" s="79" t="n"/>
      <c r="B43" s="607">
        <f>IF(Income!E3="","",+Income!E3)</f>
        <v/>
      </c>
      <c r="C43" s="120">
        <f>IF(Income!H3="","",IF(Income!H3&gt;9100,+Income!H3,+"            "&amp;Income!H3))</f>
        <v/>
      </c>
      <c r="D43" s="121">
        <f>IF(Income!W3="","",Income!W3)</f>
        <v/>
      </c>
      <c r="E43" s="122">
        <f>IF(Income!Z3="","",VLOOKUP(LEFT(Income!Z3,1),GRADE,2))</f>
        <v/>
      </c>
      <c r="F43" s="124">
        <f>IF(Subj_Basis="Per SF",IF(Income!K3="","",Income!K3),IF(N(Income!AL3)&gt;0,Income!AL3,IF(Income!K3="","",Income!K3)))</f>
        <v/>
      </c>
      <c r="G43" s="95" t="n"/>
      <c r="H43" s="79" t="n"/>
    </row>
    <row r="44" ht="12" customHeight="1" s="545">
      <c r="A44" s="579" t="inlineStr">
        <is>
          <t>2</t>
        </is>
      </c>
      <c r="B44" s="607">
        <f>IF(Income!H3="","",+" "&amp;VLOOKUP(Income!H3,Codes!$G$1:$H$68,2))</f>
        <v/>
      </c>
      <c r="C44" s="120">
        <f>IF(Income!T3="","",Income!T3)</f>
        <v/>
      </c>
      <c r="D44" s="133">
        <f>IF(Income!X3="","",TEXT(Income!X3,"0.00"))</f>
        <v/>
      </c>
      <c r="E44" s="131" t="n"/>
      <c r="F44" s="134">
        <f>IF(Income!L3="","",Income!L3)</f>
        <v/>
      </c>
      <c r="G44" s="116" t="n"/>
      <c r="H44" s="79" t="n"/>
    </row>
    <row r="45" ht="12" customHeight="1" s="545">
      <c r="A45" s="79" t="n"/>
      <c r="B45" s="607">
        <f>IF(Income!G3="","",+" "&amp;VLOOKUP(Income!G3,Class,2))</f>
        <v/>
      </c>
      <c r="C45" s="120">
        <f>IF(Income!N3="","",Income!N3)</f>
        <v/>
      </c>
      <c r="D45" s="121">
        <f>IF(Income!Y3="","",Income!Y3)</f>
        <v/>
      </c>
      <c r="E45" s="131" t="n"/>
      <c r="F45" s="134">
        <f>IF(Income!M3="","",Income!M3)</f>
        <v/>
      </c>
      <c r="G45" s="117">
        <f>IF(F43="","",ROUND(F43*(1+G44),2))</f>
        <v/>
      </c>
      <c r="H45" s="79" t="n"/>
    </row>
    <row r="46" ht="12" customHeight="1" s="545">
      <c r="A46" s="79" t="n"/>
      <c r="B46" s="604">
        <f>IF(Income!E4="","",+Income!E4)</f>
        <v/>
      </c>
      <c r="C46" s="109">
        <f>IF(Income!H4="","",IF(Income!H4&gt;9100,+Income!H4,+"            "&amp;Income!H4))</f>
        <v/>
      </c>
      <c r="D46" s="110">
        <f>IF(Income!W4="","",Income!W4)</f>
        <v/>
      </c>
      <c r="E46" s="111">
        <f>IF(Income!Z4="","",VLOOKUP(LEFT(Income!Z4,1),GRADE,2))</f>
        <v/>
      </c>
      <c r="F46" s="101">
        <f>IF(Subj_Basis="Per SF",IF(Income!K4="","",Income!K4),IF(N(Income!AL4)&gt;0,Income!AL4,IF(Income!K4="","",Income!K4)))</f>
        <v/>
      </c>
      <c r="G46" s="95" t="n"/>
      <c r="H46" s="79" t="n"/>
    </row>
    <row r="47" ht="12" customHeight="1" s="545">
      <c r="A47" s="579" t="inlineStr">
        <is>
          <t>3</t>
        </is>
      </c>
      <c r="B47" s="604">
        <f>IF(Income!H4="","",+" "&amp;VLOOKUP(Income!H4,Codes!$G$1:$H$68,2))</f>
        <v/>
      </c>
      <c r="C47" s="109">
        <f>IF(Income!T4="","",Income!T4)</f>
        <v/>
      </c>
      <c r="D47" s="130">
        <f>IF(Income!X4="","",TEXT(Income!X4,"0.00"))</f>
        <v/>
      </c>
      <c r="E47" s="131" t="n"/>
      <c r="F47" s="132">
        <f>IF(Income!L4="","",Income!L4)</f>
        <v/>
      </c>
      <c r="G47" s="116" t="n"/>
      <c r="H47" s="79" t="n"/>
    </row>
    <row r="48" ht="12" customHeight="1" s="545">
      <c r="A48" s="79" t="n"/>
      <c r="B48" s="604">
        <f>IF(Income!G4="","",+" "&amp;VLOOKUP(Income!G4,Class,2))</f>
        <v/>
      </c>
      <c r="C48" s="109">
        <f>IF(Income!N4="","",Income!N4)</f>
        <v/>
      </c>
      <c r="D48" s="110">
        <f>IF(Income!Y4="","",Income!Y4)</f>
        <v/>
      </c>
      <c r="E48" s="131" t="n"/>
      <c r="F48" s="132">
        <f>IF(Income!M4="","",Income!M4)</f>
        <v/>
      </c>
      <c r="G48" s="117">
        <f>IF(F46="","",ROUND(F46*(1+G47),2))</f>
        <v/>
      </c>
      <c r="H48" s="79" t="n"/>
    </row>
    <row r="49" ht="11.25" customHeight="1" s="545"/>
    <row r="50" ht="11.25" customHeight="1" s="545"/>
    <row r="51" ht="16.5" customHeight="1" s="545">
      <c r="A51" s="126" t="inlineStr">
        <is>
          <t>RENT COMPARABLE REMARKS</t>
        </is>
      </c>
      <c r="B51" s="127" t="n"/>
      <c r="C51" s="127" t="n"/>
      <c r="D51" s="127" t="n"/>
      <c r="E51" s="127" t="n"/>
      <c r="F51" s="127" t="n"/>
      <c r="G51" s="127" t="n"/>
      <c r="H51" s="128" t="n"/>
    </row>
    <row r="52" ht="12" customHeight="1" s="545">
      <c r="A52" s="570" t="n"/>
      <c r="B52" s="571" t="n"/>
      <c r="C52" s="571" t="n"/>
      <c r="D52" s="571" t="n"/>
      <c r="E52" s="571" t="n"/>
      <c r="F52" s="571" t="n"/>
      <c r="G52" s="571" t="n"/>
      <c r="H52" s="572" t="n"/>
    </row>
    <row r="53" ht="12" customHeight="1" s="545">
      <c r="A53" s="573" t="n"/>
      <c r="B53" s="574" t="n"/>
      <c r="C53" s="574" t="n"/>
      <c r="D53" s="574" t="n"/>
      <c r="E53" s="574" t="n"/>
      <c r="F53" s="574" t="n"/>
      <c r="G53" s="574" t="n"/>
      <c r="H53" s="575" t="n"/>
    </row>
    <row r="54" ht="12" customHeight="1" s="545">
      <c r="A54" s="573" t="n"/>
      <c r="B54" s="574" t="n"/>
      <c r="C54" s="574" t="n"/>
      <c r="D54" s="574" t="n"/>
      <c r="E54" s="574" t="n"/>
      <c r="F54" s="574" t="n"/>
      <c r="G54" s="574" t="n"/>
      <c r="H54" s="575" t="n"/>
    </row>
    <row r="55" ht="12" customHeight="1" s="545">
      <c r="A55" s="576" t="n"/>
      <c r="B55" s="577" t="n"/>
      <c r="C55" s="577" t="n"/>
      <c r="D55" s="577" t="n"/>
      <c r="E55" s="577" t="n"/>
      <c r="F55" s="577" t="n"/>
      <c r="G55" s="577" t="n"/>
      <c r="H55" s="578" t="n"/>
    </row>
    <row r="56" ht="4.5" customHeight="1" s="545"/>
  </sheetData>
  <mergeCells count="2">
    <mergeCell ref="A52:H55"/>
    <mergeCell ref="A31:H34"/>
  </mergeCells>
  <printOptions horizontalCentered="1" verticalCentered="1"/>
  <pageMargins left="0.5" right="0.25" top="0.25" bottom="0.25" header="0.511811023622047" footer="0.511811023622047"/>
  <pageSetup orientation="landscape" fitToHeight="0" horizontalDpi="300" verticalDpi="300"/>
  <legacyDrawing xmlns:r="http://schemas.openxmlformats.org/officeDocument/2006/relationships" r:id="anysvml"/>
</worksheet>
</file>

<file path=xl/worksheets/sheet7.xml><?xml version="1.0" encoding="utf-8"?>
<worksheet xmlns="http://schemas.openxmlformats.org/spreadsheetml/2006/main">
  <sheetPr>
    <tabColor rgb="FF1F4E78"/>
    <outlinePr summaryBelow="1" summaryRight="1"/>
    <pageSetUpPr fitToPage="1"/>
  </sheetPr>
  <dimension ref="A1:Z39"/>
  <sheetViews>
    <sheetView showGridLines="0" zoomScale="93" zoomScaleNormal="93" workbookViewId="0">
      <pane ySplit="7" topLeftCell="A8" activePane="bottomLeft" state="frozen"/>
      <selection pane="bottomLeft" activeCell="C21" sqref="C21"/>
    </sheetView>
  </sheetViews>
  <sheetFormatPr baseColWidth="8" defaultColWidth="15.5703125" defaultRowHeight="12.75"/>
  <cols>
    <col width="13.7109375" customWidth="1" style="605" min="1" max="1"/>
    <col width="22.85546875" customWidth="1" style="605" min="2" max="3"/>
    <col width="25.140625" customWidth="1" style="605" min="4" max="4"/>
    <col width="22.85546875" customWidth="1" style="605" min="5" max="5"/>
    <col width="21.7109375" customWidth="1" style="605" min="6" max="6"/>
    <col width="11.42578125" customWidth="1" style="605" min="7" max="7"/>
    <col width="12.5703125" customWidth="1" style="605" min="8" max="8"/>
    <col width="21.7109375" customWidth="1" style="605" min="9" max="9"/>
    <col width="20.7109375" customWidth="1" style="605" min="10" max="10"/>
    <col width="15.5703125" customWidth="1" style="605" min="11" max="24"/>
    <col hidden="1" width="6.85546875" customWidth="1" style="545" min="25" max="25"/>
    <col hidden="1" width="14.85546875" customWidth="1" style="545" min="26" max="26"/>
    <col width="15.5703125" customWidth="1" style="605" min="27" max="29"/>
    <col width="15.5703125" customWidth="1" style="605" min="30" max="16384"/>
  </cols>
  <sheetData>
    <row r="1" ht="24" customHeight="1" s="545">
      <c r="A1" s="68" t="inlineStr">
        <is>
          <t>IMPROVED MARKET APPROACH</t>
        </is>
      </c>
      <c r="B1" s="68" t="n"/>
      <c r="C1" s="68" t="n"/>
      <c r="D1" s="68" t="n"/>
      <c r="E1" s="68" t="n"/>
      <c r="F1" s="68" t="n"/>
      <c r="G1" s="68" t="n"/>
      <c r="H1" s="68" t="n"/>
      <c r="I1" s="68" t="n"/>
      <c r="J1" s="66" t="n"/>
      <c r="K1" s="66" t="n"/>
    </row>
    <row r="3" ht="16.5" customHeight="1" s="545">
      <c r="A3" s="129" t="inlineStr">
        <is>
          <t>SUBJECT</t>
        </is>
      </c>
      <c r="B3" s="129" t="n"/>
      <c r="C3" s="129" t="n"/>
      <c r="D3" s="129" t="n"/>
      <c r="E3" s="129" t="n"/>
      <c r="F3" s="129" t="n"/>
      <c r="G3" s="129" t="n"/>
      <c r="H3" s="129" t="n"/>
      <c r="I3" s="129" t="n"/>
    </row>
    <row r="4" ht="13.5" customHeight="1" s="545">
      <c r="B4" s="590" t="inlineStr">
        <is>
          <t>Account Number</t>
        </is>
      </c>
      <c r="C4" s="590" t="inlineStr">
        <is>
          <t>Grantor</t>
        </is>
      </c>
      <c r="D4" s="590" t="inlineStr">
        <is>
          <t xml:space="preserve">Sale Price </t>
        </is>
      </c>
      <c r="E4" s="590" t="inlineStr">
        <is>
          <t>Location</t>
        </is>
      </c>
      <c r="F4" s="590" t="inlineStr">
        <is>
          <t>Age</t>
        </is>
      </c>
      <c r="G4" s="590" t="n"/>
      <c r="H4" s="590" t="n"/>
      <c r="I4" s="590" t="inlineStr">
        <is>
          <t>Value of the</t>
        </is>
      </c>
    </row>
    <row r="5" ht="12.75" customHeight="1" s="545">
      <c r="B5" s="590" t="inlineStr">
        <is>
          <t>Property Address</t>
        </is>
      </c>
      <c r="C5" s="590" t="inlineStr">
        <is>
          <t>Grantee</t>
        </is>
      </c>
      <c r="D5" s="590" t="inlineStr">
        <is>
          <t>Sale Price  / SF</t>
        </is>
      </c>
      <c r="E5" s="590" t="inlineStr">
        <is>
          <t>Land Size</t>
        </is>
      </c>
      <c r="F5" s="590" t="inlineStr">
        <is>
          <t>Quality</t>
        </is>
      </c>
      <c r="G5" s="590" t="n"/>
      <c r="H5" s="590" t="n"/>
      <c r="I5" s="590" t="inlineStr">
        <is>
          <t xml:space="preserve"> Subject/SF</t>
        </is>
      </c>
    </row>
    <row r="6" ht="12.75" customHeight="1" s="545">
      <c r="B6" s="590" t="inlineStr">
        <is>
          <t>Parcel Number</t>
        </is>
      </c>
      <c r="C6" s="590" t="inlineStr">
        <is>
          <t>Reception Number</t>
        </is>
      </c>
      <c r="D6" s="590" t="inlineStr">
        <is>
          <t>PP/Time/Mkt Cond</t>
        </is>
      </c>
      <c r="E6" s="590" t="inlineStr">
        <is>
          <t>L : B  Ratio</t>
        </is>
      </c>
      <c r="F6" s="590" t="inlineStr">
        <is>
          <t>Phy./Funct Rating</t>
        </is>
      </c>
      <c r="G6" s="590" t="n"/>
      <c r="H6" s="590" t="n"/>
      <c r="I6" s="590" t="inlineStr">
        <is>
          <t>Value</t>
        </is>
      </c>
    </row>
    <row r="7" ht="13.5" customHeight="1" s="545">
      <c r="B7" s="590" t="inlineStr">
        <is>
          <t>Property Type</t>
        </is>
      </c>
      <c r="C7" s="590" t="inlineStr">
        <is>
          <t>Sale Date</t>
        </is>
      </c>
      <c r="D7" s="590" t="inlineStr">
        <is>
          <t>Adj S P  / SF</t>
        </is>
      </c>
      <c r="E7" s="590" t="inlineStr">
        <is>
          <t>Building Size</t>
        </is>
      </c>
      <c r="F7" s="590" t="inlineStr">
        <is>
          <t>Zoning</t>
        </is>
      </c>
      <c r="G7" s="590" t="inlineStr">
        <is>
          <t>Comments</t>
        </is>
      </c>
      <c r="H7" s="590" t="n"/>
      <c r="I7" s="590" t="inlineStr">
        <is>
          <t>of the Subject</t>
        </is>
      </c>
    </row>
    <row r="8" ht="14.25" customHeight="1" s="545">
      <c r="B8" s="79" t="n"/>
      <c r="C8" s="79" t="n"/>
      <c r="D8" s="79" t="n"/>
      <c r="E8" s="79" t="n"/>
      <c r="F8" s="79" t="n"/>
      <c r="G8" s="79" t="n"/>
      <c r="H8" s="79" t="n"/>
      <c r="I8" s="79" t="n"/>
    </row>
    <row r="9" ht="13.5" customHeight="1" s="545">
      <c r="B9" s="588" t="n"/>
      <c r="C9" s="588" t="n"/>
      <c r="D9" s="106" t="n"/>
      <c r="E9" s="91" t="n"/>
      <c r="F9" s="91" t="n"/>
      <c r="G9" s="105" t="n"/>
      <c r="H9" s="105" t="n"/>
      <c r="I9" s="91" t="n"/>
    </row>
    <row r="10" ht="12.75" customHeight="1" s="545">
      <c r="B10" s="588" t="n"/>
      <c r="C10" s="588" t="n"/>
      <c r="D10" s="137">
        <f>D9/E12</f>
        <v/>
      </c>
      <c r="E10" s="138" t="n"/>
      <c r="F10" s="91" t="n"/>
      <c r="G10" s="105" t="n"/>
      <c r="H10" s="105" t="n"/>
      <c r="I10" s="139">
        <f>IF(E12="","",ROUND(I12/E12,2))</f>
        <v/>
      </c>
    </row>
    <row r="11" ht="12.75" customHeight="1" s="545">
      <c r="B11" s="140" t="n"/>
      <c r="C11" s="140" t="n"/>
      <c r="D11" s="106" t="n"/>
      <c r="E11" s="141" t="n"/>
      <c r="F11" s="91" t="n"/>
      <c r="G11" s="105" t="n"/>
      <c r="H11" s="105" t="n"/>
      <c r="I11" s="91" t="n"/>
    </row>
    <row r="12" ht="13.5" customHeight="1" s="545">
      <c r="B12" s="588" t="n"/>
      <c r="C12" s="142" t="n"/>
      <c r="D12" s="94" t="n"/>
      <c r="E12" s="138" t="n"/>
      <c r="F12" s="91" t="n"/>
      <c r="G12" s="105" t="n"/>
      <c r="H12" s="105" t="n"/>
      <c r="I12" s="143" t="n"/>
    </row>
    <row r="13" ht="13.5" customHeight="1" s="545">
      <c r="B13" s="79" t="n"/>
      <c r="C13" s="79" t="n"/>
      <c r="D13" s="79" t="n"/>
      <c r="E13" s="79" t="n"/>
      <c r="F13" s="79" t="n"/>
      <c r="G13" s="79" t="n"/>
      <c r="H13" s="79" t="n"/>
      <c r="I13" s="144" t="n"/>
    </row>
    <row r="14" ht="12.75" customHeight="1" s="545">
      <c r="I14" s="145" t="n"/>
    </row>
    <row r="15" ht="16.5" customHeight="1" s="545">
      <c r="A15" s="129" t="inlineStr">
        <is>
          <t>COMPARABLE SALE PROPERTIES</t>
        </is>
      </c>
      <c r="B15" s="129" t="n"/>
      <c r="C15" s="129" t="n"/>
      <c r="D15" s="129" t="n"/>
      <c r="E15" s="129" t="n"/>
      <c r="F15" s="129" t="n"/>
      <c r="G15" s="129" t="n"/>
      <c r="H15" s="129" t="n"/>
      <c r="I15" s="129" t="n"/>
      <c r="J15" s="66" t="n"/>
      <c r="K15" s="66" t="n"/>
    </row>
    <row r="16" ht="13.5" customHeight="1" s="545">
      <c r="A16" s="590" t="n"/>
      <c r="B16" s="590" t="inlineStr">
        <is>
          <t>Account Number</t>
        </is>
      </c>
      <c r="C16" s="590" t="inlineStr">
        <is>
          <t>Grantor</t>
        </is>
      </c>
      <c r="D16" s="590" t="inlineStr">
        <is>
          <t xml:space="preserve">Sale Price </t>
        </is>
      </c>
      <c r="E16" s="590" t="inlineStr">
        <is>
          <t>Location</t>
        </is>
      </c>
      <c r="F16" s="590" t="inlineStr">
        <is>
          <t>Age</t>
        </is>
      </c>
      <c r="G16" s="590" t="n"/>
      <c r="H16" s="590" t="n"/>
      <c r="I16" s="590" t="inlineStr">
        <is>
          <t>Indicated Value</t>
        </is>
      </c>
    </row>
    <row r="17" ht="12.75" customHeight="1" s="545">
      <c r="A17" s="590" t="n"/>
      <c r="B17" s="590" t="inlineStr">
        <is>
          <t>Property Address</t>
        </is>
      </c>
      <c r="C17" s="590" t="inlineStr">
        <is>
          <t>Grantee</t>
        </is>
      </c>
      <c r="D17" s="590" t="inlineStr">
        <is>
          <t>Sale Price  / SF</t>
        </is>
      </c>
      <c r="E17" s="590" t="inlineStr">
        <is>
          <t>Land Size</t>
        </is>
      </c>
      <c r="F17" s="590" t="inlineStr">
        <is>
          <t>Quality</t>
        </is>
      </c>
      <c r="G17" s="590" t="n"/>
      <c r="H17" s="590" t="inlineStr">
        <is>
          <t>Adjusted</t>
        </is>
      </c>
      <c r="I17" s="590" t="inlineStr">
        <is>
          <t>of the Subject/SF</t>
        </is>
      </c>
    </row>
    <row r="18" ht="12.75" customHeight="1" s="545">
      <c r="A18" s="590" t="n"/>
      <c r="B18" s="590" t="inlineStr">
        <is>
          <t>Parcel Number</t>
        </is>
      </c>
      <c r="C18" s="590" t="inlineStr">
        <is>
          <t>Reception Number</t>
        </is>
      </c>
      <c r="D18" s="590" t="inlineStr">
        <is>
          <t>PP/Time/Mkt Cond Adj</t>
        </is>
      </c>
      <c r="E18" s="590" t="inlineStr">
        <is>
          <t>L : B  Ratio</t>
        </is>
      </c>
      <c r="F18" s="590" t="inlineStr">
        <is>
          <t>Phy/Funct Rating</t>
        </is>
      </c>
      <c r="G18" s="590" t="inlineStr">
        <is>
          <t>Net</t>
        </is>
      </c>
      <c r="H18" s="590" t="inlineStr">
        <is>
          <t>Sale</t>
        </is>
      </c>
      <c r="I18" s="590" t="inlineStr">
        <is>
          <t>Indicated Value</t>
        </is>
      </c>
    </row>
    <row r="19" ht="13.5" customHeight="1" s="545">
      <c r="A19" s="590" t="n"/>
      <c r="B19" s="590" t="inlineStr">
        <is>
          <t>Property Type</t>
        </is>
      </c>
      <c r="C19" s="590" t="inlineStr">
        <is>
          <t>Sale Date</t>
        </is>
      </c>
      <c r="D19" s="590" t="inlineStr">
        <is>
          <t>Adj S P  / SF</t>
        </is>
      </c>
      <c r="E19" s="590" t="inlineStr">
        <is>
          <t>Building Size/Keys</t>
        </is>
      </c>
      <c r="F19" s="590" t="inlineStr">
        <is>
          <t>Zoning</t>
        </is>
      </c>
      <c r="G19" s="590" t="inlineStr">
        <is>
          <t>Adj.</t>
        </is>
      </c>
      <c r="H19" s="590" t="inlineStr">
        <is>
          <t>Price/SF</t>
        </is>
      </c>
      <c r="I19" s="590" t="inlineStr">
        <is>
          <t>of the Subject</t>
        </is>
      </c>
    </row>
    <row r="20" ht="14.25" customHeight="1" s="545"/>
    <row r="21" ht="13.5" customHeight="1" s="545">
      <c r="A21" s="579" t="inlineStr">
        <is>
          <t>Best Match #1</t>
        </is>
      </c>
      <c r="B21" s="604">
        <f>IF(IFERROR(INDEX(Sales!C:C,$Z$21),"")="","",+" "&amp;IFERROR(INDEX(Sales!C:C,$Z$21),""))</f>
        <v/>
      </c>
      <c r="C21" s="604">
        <f>IF(IFERROR(INDEX(Sales!AE:AE,$Z$21),"")="","",IFERROR(INDEX(Sales!AE:AE,$Z$21),""))</f>
        <v/>
      </c>
      <c r="D21" s="602">
        <f>IF(IFERROR(INDEX(Sales!AA:AA,$Z$21),"")="","",IFERROR(INDEX(Sales!AA:AA,$Z$21),""))</f>
        <v/>
      </c>
      <c r="E21" s="602">
        <f>IF(IFERROR(INDEX(Sales!F:F,$Z$21),"")="","",IFERROR(INDEX(Sales!F:F,$Z$21),""))</f>
        <v/>
      </c>
      <c r="F21" s="109">
        <f>IF(IFERROR(INDEX(Sales!M:M,$Z$21),"")="","",IFERROR(INDEX(Sales!M:M,$Z$21),""))</f>
        <v/>
      </c>
      <c r="G21" s="146" t="n"/>
      <c r="H21" s="95" t="n"/>
      <c r="I21" s="95" t="n"/>
      <c r="Y21" s="113" t="n">
        <v>1</v>
      </c>
      <c r="Z21">
        <f>IFERROR(MATCH(_xlfn.AGGREGATE(15,6,Sales!$AJ$2:$AJ$941,$Y$21),Sales!$AJ$2:$AJ$941,0)+1,"")</f>
        <v/>
      </c>
    </row>
    <row r="22" ht="12.75" customHeight="1" s="545">
      <c r="A22" s="580" t="n"/>
      <c r="B22" s="604">
        <f>IF(IFERROR(INDEX(Sales!D:D,$Z$21),"")="","",IFERROR(INDEX(Sales!D:D,$Z$21),""))</f>
        <v/>
      </c>
      <c r="C22" s="604">
        <f>IF(IFERROR(INDEX(Sales!AF:AF,$Z$21),"")="","",IFERROR(INDEX(Sales!AF:AF,$Z$21),""))</f>
        <v/>
      </c>
      <c r="D22" s="101">
        <f>IF(IFERROR(INDEX(Sales!H:H,$Z$21),"")="","",IFERROR(INDEX(Sales!H:H,$Z$21),""))</f>
        <v/>
      </c>
      <c r="E22" s="110">
        <f>IF(IFERROR(INDEX(Sales!S:S,$Z$21),"")="","",IFERROR(INDEX(Sales!S:S,$Z$21),""))</f>
        <v/>
      </c>
      <c r="F22" s="109">
        <f>IF(IFERROR(INDEX(Sales!R:R,$Z$21),"")="","",IFERROR(VLOOKUP(IFERROR(INDEX(Sales!R:R,$Z$21),""),GRADE,2),IFERROR(INDEX(Sales!R:R,$Z$21),"")))</f>
        <v/>
      </c>
      <c r="G22" s="95" t="n"/>
      <c r="H22" s="95" t="n"/>
      <c r="I22" s="147">
        <f>IF(H24="","",H24)</f>
        <v/>
      </c>
    </row>
    <row r="23" ht="12.75" customHeight="1" s="545">
      <c r="A23" s="580" t="n"/>
      <c r="B23" s="604">
        <f>IF(IFERROR(INDEX(Sales!AC:AC,$Z$21),"")="","",+IFERROR(INDEX(Sales!AC:AC,$Z$21),""))</f>
        <v/>
      </c>
      <c r="C23" s="604">
        <f>IF(IFERROR(INDEX(Sales!AD:AD,$Z$21),"")="","",IFERROR(INDEX(Sales!AD:AD,$Z$21),""))</f>
        <v/>
      </c>
      <c r="D23" s="148" t="n"/>
      <c r="E23" s="109">
        <f>IF(IFERROR(INDEX(Sales!T:T,$Z$21),"")="","",IFERROR(INDEX(Sales!T:T,$Z$21),""))</f>
        <v/>
      </c>
      <c r="F23" s="109">
        <f>IF(IFERROR(INDEX(Sales!V:V,$Z$21),"")="","",IFERROR(VLOOKUP(IFERROR(INDEX(Sales!V:V,$Z$21),""),Codes!$A$12:$B$16,2),IFERROR(INDEX(Sales!V:V,$Z$21),"")))</f>
        <v/>
      </c>
      <c r="G23" s="95" t="n"/>
      <c r="H23" s="95" t="n"/>
      <c r="I23" s="95" t="n"/>
    </row>
    <row r="24" ht="13.5" customHeight="1" s="545">
      <c r="A24" s="581" t="n"/>
      <c r="B24" s="604">
        <f>IF(IFERROR(INDEX(Sales!E:E,$Z$21),"")="","",+" "&amp;IFERROR(VLOOKUP(IFERROR(INDEX(Sales!E:E,$Z$21),""),Class,2),IFERROR(INDEX(Sales!E:E,$Z$21),"")))</f>
        <v/>
      </c>
      <c r="C24" s="149">
        <f>IF(IFERROR(INDEX(Sales!I:I,$Z$21),"")="","",IFERROR(INDEX(Sales!I:I,$Z$21),""))</f>
        <v/>
      </c>
      <c r="D24" s="101">
        <f>IF(D21="","",ROUND((D21+D23)/E24,2))</f>
        <v/>
      </c>
      <c r="E24" s="110">
        <f>IF(IFERROR(INDEX(Sales!L:L,$Z$21),"")="","",IFERROR(INDEX(Sales!L:L,$Z$21),""))</f>
        <v/>
      </c>
      <c r="F24" s="109">
        <f>IF(IFERROR(INDEX(Sales!P:P,$Z$21),"")="","",IFERROR(INDEX(Sales!P:P,$Z$21),""))</f>
        <v/>
      </c>
      <c r="G24" s="150" t="n"/>
      <c r="H24" s="147">
        <f>IF(D24="","",ROUND(D24*(1+G24),2))</f>
        <v/>
      </c>
      <c r="I24" s="151">
        <f>IF(E12="","",ROUND(E12*H24,-2))</f>
        <v/>
      </c>
    </row>
    <row r="25" ht="14.25" customHeight="1" s="545">
      <c r="A25" s="152" t="n"/>
      <c r="G25" s="153" t="n"/>
      <c r="I25" s="154" t="n"/>
    </row>
    <row r="26" ht="13.5" customHeight="1" s="545">
      <c r="A26" s="579" t="inlineStr">
        <is>
          <t>Best Match #2</t>
        </is>
      </c>
      <c r="B26" s="607">
        <f>IF(IFERROR(INDEX(Sales!C:C,$Z$26),"")="","",+" "&amp;IFERROR(INDEX(Sales!C:C,$Z$26),""))</f>
        <v/>
      </c>
      <c r="C26" s="607">
        <f>IF(IFERROR(INDEX(Sales!AE:AE,$Z$26),"")="","",IFERROR(INDEX(Sales!AE:AE,$Z$26),""))</f>
        <v/>
      </c>
      <c r="D26" s="125">
        <f>IF(IFERROR(INDEX(Sales!AA:AA,$Z$26),"")="","",IFERROR(INDEX(Sales!AA:AA,$Z$26),""))</f>
        <v/>
      </c>
      <c r="E26" s="125">
        <f>IF(IFERROR(INDEX(Sales!F:F,$Z$26),"")="","",IFERROR(INDEX(Sales!F:F,$Z$26),""))</f>
        <v/>
      </c>
      <c r="F26" s="120">
        <f>IF(IFERROR(INDEX(Sales!M:M,$Z$26),"")="","",IFERROR(INDEX(Sales!M:M,$Z$26),""))</f>
        <v/>
      </c>
      <c r="G26" s="155" t="n"/>
      <c r="H26" s="95" t="n"/>
      <c r="I26" s="95" t="n"/>
      <c r="Y26" s="113" t="n">
        <v>2</v>
      </c>
      <c r="Z26">
        <f>IFERROR(MATCH(_xlfn.AGGREGATE(15,6,Sales!$AJ$2:$AJ$941,$Y$26),Sales!$AJ$2:$AJ$941,0)+1,"")</f>
        <v/>
      </c>
    </row>
    <row r="27" ht="12.75" customHeight="1" s="545">
      <c r="A27" s="580" t="n"/>
      <c r="B27" s="607">
        <f>IF(IFERROR(INDEX(Sales!D:D,$Z$26),"")="","",IFERROR(INDEX(Sales!D:D,$Z$26),""))</f>
        <v/>
      </c>
      <c r="C27" s="607">
        <f>IF(IFERROR(INDEX(Sales!AF:AF,$Z$26),"")="","",IFERROR(INDEX(Sales!AF:AF,$Z$26),""))</f>
        <v/>
      </c>
      <c r="D27" s="124">
        <f>IF(IFERROR(INDEX(Sales!H:H,$Z$26),"")="","",IFERROR(INDEX(Sales!H:H,$Z$26),""))</f>
        <v/>
      </c>
      <c r="E27" s="121">
        <f>IF(IFERROR(INDEX(Sales!S:S,$Z$26),"")="","",IFERROR(INDEX(Sales!S:S,$Z$26),""))</f>
        <v/>
      </c>
      <c r="F27" s="120">
        <f>IF(IFERROR(INDEX(Sales!R:R,$Z$26),"")="","",IFERROR(VLOOKUP(IFERROR(INDEX(Sales!R:R,$Z$26),""),GRADE,2),IFERROR(INDEX(Sales!R:R,$Z$26),"")))</f>
        <v/>
      </c>
      <c r="G27" s="95" t="n"/>
      <c r="H27" s="95" t="n"/>
      <c r="I27" s="147">
        <f>IF(H29="","",H29)</f>
        <v/>
      </c>
    </row>
    <row r="28" ht="12.75" customHeight="1" s="545">
      <c r="A28" s="580" t="n"/>
      <c r="B28" s="607">
        <f>IF(IFERROR(INDEX(Sales!AC:AC,$Z$26),"")="","",+IFERROR(INDEX(Sales!AC:AC,$Z$26),""))</f>
        <v/>
      </c>
      <c r="C28" s="607">
        <f>IF(IFERROR(INDEX(Sales!AD:AD,$Z$26),"")="","",IFERROR(INDEX(Sales!AD:AD,$Z$26),""))</f>
        <v/>
      </c>
      <c r="D28" s="148" t="n"/>
      <c r="E28" s="120">
        <f>IF(IFERROR(INDEX(Sales!T:T,$Z$26),"")="","",IFERROR(INDEX(Sales!T:T,$Z$26),""))</f>
        <v/>
      </c>
      <c r="F28" s="120">
        <f>IF(IFERROR(INDEX(Sales!V:V,$Z$26),"")="","",IFERROR(VLOOKUP(IFERROR(INDEX(Sales!V:V,$Z$26),""),Codes!$A$12:$B$16,2),IFERROR(INDEX(Sales!V:V,$Z$26),"")))</f>
        <v/>
      </c>
      <c r="G28" s="95" t="n"/>
      <c r="H28" s="95" t="n"/>
      <c r="I28" s="95" t="n"/>
    </row>
    <row r="29" ht="13.5" customHeight="1" s="545">
      <c r="A29" s="581" t="n"/>
      <c r="B29" s="607">
        <f>IF(IFERROR(INDEX(Sales!E:E,$Z$26),"")="","",+" "&amp;IFERROR(VLOOKUP(IFERROR(INDEX(Sales!E:E,$Z$26),""),Class,2),IFERROR(INDEX(Sales!E:E,$Z$26),"")))</f>
        <v/>
      </c>
      <c r="C29" s="156">
        <f>IF(IFERROR(INDEX(Sales!I:I,$Z$26),"")="","",IFERROR(INDEX(Sales!I:I,$Z$26),""))</f>
        <v/>
      </c>
      <c r="D29" s="124">
        <f>IF(D26="","",ROUND((D26+D28)/E29,2))</f>
        <v/>
      </c>
      <c r="E29" s="121">
        <f>IF(IFERROR(INDEX(Sales!L:L,$Z$26),"")="","",IFERROR(INDEX(Sales!L:L,$Z$26),""))</f>
        <v/>
      </c>
      <c r="F29" s="120">
        <f>IF(IFERROR(INDEX(Sales!P:P,$Z$26),"")="","",IFERROR(INDEX(Sales!P:P,$Z$26),""))</f>
        <v/>
      </c>
      <c r="G29" s="150" t="n"/>
      <c r="H29" s="147">
        <f>IF(D29="","",ROUND(D29*(1+G29),2))</f>
        <v/>
      </c>
      <c r="I29" s="151">
        <f>IF(E12="","",ROUND(E12*H29,-2))</f>
        <v/>
      </c>
    </row>
    <row r="30" ht="14.25" customHeight="1" s="545">
      <c r="A30" s="152" t="n"/>
      <c r="G30" s="153" t="n"/>
      <c r="I30" s="154" t="n"/>
    </row>
    <row r="31" ht="13.5" customHeight="1" s="545">
      <c r="A31" s="579" t="inlineStr">
        <is>
          <t>Best Match #3</t>
        </is>
      </c>
      <c r="B31" s="604">
        <f>IF(IFERROR(INDEX(Sales!C:C,$Z$31),"")="","",+" "&amp;IFERROR(INDEX(Sales!C:C,$Z$31),""))</f>
        <v/>
      </c>
      <c r="C31" s="604">
        <f>IF(IFERROR(INDEX(Sales!AE:AE,$Z$31),"")="","",IFERROR(INDEX(Sales!AE:AE,$Z$31),""))</f>
        <v/>
      </c>
      <c r="D31" s="602">
        <f>IF(IFERROR(INDEX(Sales!AA:AA,$Z$31),"")="","",IFERROR(INDEX(Sales!AA:AA,$Z$31),""))</f>
        <v/>
      </c>
      <c r="E31" s="602">
        <f>IF(IFERROR(INDEX(Sales!F:F,$Z$31),"")="","",IFERROR(INDEX(Sales!F:F,$Z$31),""))</f>
        <v/>
      </c>
      <c r="F31" s="109">
        <f>IF(IFERROR(INDEX(Sales!M:M,$Z$31),"")="","",IFERROR(INDEX(Sales!M:M,$Z$31),""))</f>
        <v/>
      </c>
      <c r="G31" s="146" t="n"/>
      <c r="H31" s="95" t="n"/>
      <c r="I31" s="95" t="n"/>
      <c r="Y31" s="113" t="n">
        <v>3</v>
      </c>
      <c r="Z31">
        <f>IFERROR(MATCH(_xlfn.AGGREGATE(15,6,Sales!$AJ$2:$AJ$941,$Y$31),Sales!$AJ$2:$AJ$941,0)+1,"")</f>
        <v/>
      </c>
    </row>
    <row r="32" ht="12.75" customHeight="1" s="545">
      <c r="A32" s="580" t="n"/>
      <c r="B32" s="604">
        <f>IF(IFERROR(INDEX(Sales!D:D,$Z$31),"")="","",IFERROR(INDEX(Sales!D:D,$Z$31),""))</f>
        <v/>
      </c>
      <c r="C32" s="604">
        <f>IF(IFERROR(INDEX(Sales!AF:AF,$Z$31),"")="","",IFERROR(INDEX(Sales!AF:AF,$Z$31),""))</f>
        <v/>
      </c>
      <c r="D32" s="101">
        <f>IF(IFERROR(INDEX(Sales!H:H,$Z$31),"")="","",IFERROR(INDEX(Sales!H:H,$Z$31),""))</f>
        <v/>
      </c>
      <c r="E32" s="110">
        <f>IF(IFERROR(INDEX(Sales!S:S,$Z$31),"")="","",IFERROR(INDEX(Sales!S:S,$Z$31),""))</f>
        <v/>
      </c>
      <c r="F32" s="109">
        <f>IF(IFERROR(INDEX(Sales!R:R,$Z$31),"")="","",IFERROR(VLOOKUP(IFERROR(INDEX(Sales!R:R,$Z$31),""),GRADE,2),IFERROR(INDEX(Sales!R:R,$Z$31),"")))</f>
        <v/>
      </c>
      <c r="G32" s="95" t="n"/>
      <c r="H32" s="95" t="n"/>
      <c r="I32" s="147">
        <f>IF(H34="","",H34)</f>
        <v/>
      </c>
    </row>
    <row r="33" ht="12.75" customHeight="1" s="545">
      <c r="A33" s="580" t="n"/>
      <c r="B33" s="604">
        <f>IF(IFERROR(INDEX(Sales!AC:AC,$Z$31),"")="","",+IFERROR(INDEX(Sales!AC:AC,$Z$31),""))</f>
        <v/>
      </c>
      <c r="C33" s="604">
        <f>IF(IFERROR(INDEX(Sales!AD:AD,$Z$31),"")="","",IFERROR(INDEX(Sales!AD:AD,$Z$31),""))</f>
        <v/>
      </c>
      <c r="D33" s="148" t="n"/>
      <c r="E33" s="109">
        <f>IF(IFERROR(INDEX(Sales!T:T,$Z$31),"")="","",IFERROR(INDEX(Sales!T:T,$Z$31),""))</f>
        <v/>
      </c>
      <c r="F33" s="109">
        <f>IF(IFERROR(INDEX(Sales!V:V,$Z$31),"")="","",IFERROR(VLOOKUP(IFERROR(INDEX(Sales!V:V,$Z$31),""),Codes!$A$12:$B$16,2),IFERROR(INDEX(Sales!V:V,$Z$31),"")))</f>
        <v/>
      </c>
      <c r="G33" s="95" t="n"/>
      <c r="H33" s="95" t="n"/>
      <c r="I33" s="95" t="n"/>
      <c r="K33" s="154" t="n"/>
    </row>
    <row r="34" ht="13.5" customHeight="1" s="545">
      <c r="A34" s="581" t="n"/>
      <c r="B34" s="604">
        <f>IF(IFERROR(INDEX(Sales!E:E,$Z$31),"")="","",+" "&amp;IFERROR(VLOOKUP(IFERROR(INDEX(Sales!E:E,$Z$31),""),Class,2),IFERROR(INDEX(Sales!E:E,$Z$31),"")))</f>
        <v/>
      </c>
      <c r="C34" s="149">
        <f>IF(IFERROR(INDEX(Sales!I:I,$Z$31),"")="","",IFERROR(INDEX(Sales!I:I,$Z$31),""))</f>
        <v/>
      </c>
      <c r="D34" s="101">
        <f>IF(D31="","",ROUND((D31+D33)/E34,2))</f>
        <v/>
      </c>
      <c r="E34" s="110">
        <f>IF(IFERROR(INDEX(Sales!L:L,$Z$31),"")="","",IFERROR(INDEX(Sales!L:L,$Z$31),""))</f>
        <v/>
      </c>
      <c r="F34" s="109">
        <f>IF(IFERROR(INDEX(Sales!P:P,$Z$31),"")="","",IFERROR(INDEX(Sales!P:P,$Z$31),""))</f>
        <v/>
      </c>
      <c r="G34" s="150" t="n"/>
      <c r="H34" s="147">
        <f>IF(D34="","",ROUND(D34*(1+G34),2))</f>
        <v/>
      </c>
      <c r="I34" s="151">
        <f>IF(E12="","",ROUND(E12*H34,-2))</f>
        <v/>
      </c>
    </row>
    <row r="35" ht="14.25" customHeight="1" s="545">
      <c r="A35" s="152" t="n"/>
      <c r="G35" s="153" t="n"/>
      <c r="I35" s="154" t="n"/>
    </row>
    <row r="36" ht="13.5" customHeight="1" s="545">
      <c r="A36" s="579" t="inlineStr">
        <is>
          <t>Best Match #4</t>
        </is>
      </c>
      <c r="B36" s="607">
        <f>IF(IFERROR(INDEX(Sales!C:C,$Z$36),"")="","",+" "&amp;IFERROR(INDEX(Sales!C:C,$Z$36),""))</f>
        <v/>
      </c>
      <c r="C36" s="607">
        <f>IF(IFERROR(INDEX(Sales!AE:AE,$Z$36),"")="","",IFERROR(INDEX(Sales!AE:AE,$Z$36),""))</f>
        <v/>
      </c>
      <c r="D36" s="125">
        <f>IF(IFERROR(INDEX(Sales!AA:AA,$Z$36),"")="","",IFERROR(INDEX(Sales!AA:AA,$Z$36),""))</f>
        <v/>
      </c>
      <c r="E36" s="125">
        <f>IF(IFERROR(INDEX(Sales!F:F,$Z$36),"")="","",IFERROR(INDEX(Sales!F:F,$Z$36),""))</f>
        <v/>
      </c>
      <c r="F36" s="120">
        <f>IF(IFERROR(INDEX(Sales!M:M,$Z$36),"")="","",IFERROR(INDEX(Sales!M:M,$Z$36),""))</f>
        <v/>
      </c>
      <c r="G36" s="95" t="n"/>
      <c r="H36" s="95" t="n"/>
      <c r="I36" s="95" t="n"/>
      <c r="Y36" s="113" t="n">
        <v>4</v>
      </c>
      <c r="Z36">
        <f>IFERROR(MATCH(_xlfn.AGGREGATE(15,6,Sales!$AJ$2:$AJ$941,$Y$36),Sales!$AJ$2:$AJ$941,0)+1,"")</f>
        <v/>
      </c>
    </row>
    <row r="37" ht="12.75" customHeight="1" s="545">
      <c r="A37" s="580" t="n"/>
      <c r="B37" s="607">
        <f>IF(IFERROR(INDEX(Sales!D:D,$Z$36),"")="","",IFERROR(INDEX(Sales!D:D,$Z$36),""))</f>
        <v/>
      </c>
      <c r="C37" s="607">
        <f>IF(IFERROR(INDEX(Sales!AF:AF,$Z$36),"")="","",IFERROR(INDEX(Sales!AF:AF,$Z$36),""))</f>
        <v/>
      </c>
      <c r="D37" s="124">
        <f>IF(IFERROR(INDEX(Sales!H:H,$Z$36),"")="","",IFERROR(INDEX(Sales!H:H,$Z$36),""))</f>
        <v/>
      </c>
      <c r="E37" s="121">
        <f>IF(IFERROR(INDEX(Sales!S:S,$Z$36),"")="","",IFERROR(INDEX(Sales!S:S,$Z$36),""))</f>
        <v/>
      </c>
      <c r="F37" s="120">
        <f>IF(IFERROR(INDEX(Sales!R:R,$Z$36),"")="","",IFERROR(VLOOKUP(IFERROR(INDEX(Sales!R:R,$Z$36),""),GRADE,2),IFERROR(INDEX(Sales!R:R,$Z$36),"")))</f>
        <v/>
      </c>
      <c r="G37" s="95" t="n"/>
      <c r="H37" s="95" t="n"/>
      <c r="I37" s="147">
        <f>IF(H39="","",H39)</f>
        <v/>
      </c>
    </row>
    <row r="38" ht="12.75" customHeight="1" s="545">
      <c r="A38" s="581" t="n"/>
      <c r="B38" s="607">
        <f>IF(IFERROR(INDEX(Sales!AC:AC,$Z$36),"")="","",+IFERROR(INDEX(Sales!AC:AC,$Z$36),""))</f>
        <v/>
      </c>
      <c r="C38" s="607">
        <f>IF(IFERROR(INDEX(Sales!AD:AD,$Z$36),"")="","",IFERROR(INDEX(Sales!AD:AD,$Z$36),""))</f>
        <v/>
      </c>
      <c r="D38" s="148" t="n"/>
      <c r="E38" s="120">
        <f>IF(IFERROR(INDEX(Sales!T:T,$Z$36),"")="","",IFERROR(INDEX(Sales!T:T,$Z$36),""))</f>
        <v/>
      </c>
      <c r="F38" s="120">
        <f>IF(IFERROR(INDEX(Sales!V:V,$Z$36),"")="","",IFERROR(VLOOKUP(IFERROR(INDEX(Sales!V:V,$Z$36),""),Codes!$A$12:$B$16,2),IFERROR(INDEX(Sales!V:V,$Z$36),"")))</f>
        <v/>
      </c>
      <c r="G38" s="95" t="n"/>
      <c r="H38" s="95" t="n"/>
      <c r="I38" s="95" t="n"/>
    </row>
    <row r="39" ht="13.5" customHeight="1" s="545">
      <c r="A39" s="79" t="n"/>
      <c r="B39" s="607">
        <f>IF(IFERROR(INDEX(Sales!E:E,$Z$36),"")="","",+" "&amp;IFERROR(VLOOKUP(IFERROR(INDEX(Sales!E:E,$Z$36),""),Class,2),IFERROR(INDEX(Sales!E:E,$Z$36),"")))</f>
        <v/>
      </c>
      <c r="C39" s="156">
        <f>IF(IFERROR(INDEX(Sales!I:I,$Z$36),"")="","",IFERROR(INDEX(Sales!I:I,$Z$36),""))</f>
        <v/>
      </c>
      <c r="D39" s="124">
        <f>IF(D36="","",ROUND((D36+D38)/E39,2))</f>
        <v/>
      </c>
      <c r="E39" s="121">
        <f>IF(IFERROR(INDEX(Sales!L:L,$Z$36),"")="","",IFERROR(INDEX(Sales!L:L,$Z$36),""))</f>
        <v/>
      </c>
      <c r="F39" s="120">
        <f>IF(IFERROR(INDEX(Sales!P:P,$Z$36),"")="","",IFERROR(INDEX(Sales!P:P,$Z$36),""))</f>
        <v/>
      </c>
      <c r="G39" s="150" t="n"/>
      <c r="H39" s="147">
        <f>IF(D39="","",ROUND(D39*(1+G39),2))</f>
        <v/>
      </c>
      <c r="I39" s="151">
        <f>I37*E12</f>
        <v/>
      </c>
    </row>
    <row r="40" ht="13.5" customHeight="1" s="545"/>
  </sheetData>
  <mergeCells count="4">
    <mergeCell ref="A31:A34"/>
    <mergeCell ref="A21:A24"/>
    <mergeCell ref="A26:A29"/>
    <mergeCell ref="A36:A38"/>
  </mergeCells>
  <printOptions horizontalCentered="1"/>
  <pageMargins left="0.25" right="0.25" top="0.5" bottom="0.5" header="0.511811023622047" footer="0.511811023622047"/>
  <pageSetup orientation="landscape" fitToHeight="0" horizontalDpi="300" verticalDpi="300"/>
  <legacyDrawing xmlns:r="http://schemas.openxmlformats.org/officeDocument/2006/relationships" r:id="anysvml"/>
</worksheet>
</file>

<file path=xl/worksheets/sheet8.xml><?xml version="1.0" encoding="utf-8"?>
<worksheet xmlns="http://schemas.openxmlformats.org/spreadsheetml/2006/main">
  <sheetPr>
    <tabColor rgb="FF1F4E78"/>
    <outlinePr summaryBelow="1" summaryRight="1"/>
    <pageSetUpPr fitToPage="1"/>
  </sheetPr>
  <dimension ref="A1:H41"/>
  <sheetViews>
    <sheetView showGridLines="0" zoomScale="85" zoomScaleNormal="85" workbookViewId="0">
      <pane ySplit="4" topLeftCell="A5" activePane="bottomLeft" state="frozen"/>
      <selection pane="bottomLeft" activeCell="P51" sqref="P51"/>
    </sheetView>
  </sheetViews>
  <sheetFormatPr baseColWidth="8" defaultColWidth="14" defaultRowHeight="12.75"/>
  <cols>
    <col width="6.85546875" customWidth="1" style="157" min="1" max="1"/>
    <col width="22.85546875" customWidth="1" style="157" min="2" max="2"/>
    <col width="21.7109375" customWidth="1" style="158" min="3" max="3"/>
    <col width="17.140625" customWidth="1" style="545" min="4" max="4"/>
    <col width="20.5703125" customWidth="1" style="545" min="5" max="5"/>
    <col width="9.140625" customWidth="1" style="545" min="6" max="6"/>
    <col width="14.85546875" customWidth="1" style="158" min="7" max="7"/>
    <col width="16" customWidth="1" style="157" min="8" max="8"/>
    <col width="14" customWidth="1" style="157" min="9" max="11"/>
    <col width="14" customWidth="1" style="157" min="12" max="16384"/>
  </cols>
  <sheetData>
    <row r="1" ht="32.25" customHeight="1" s="545">
      <c r="B1" t="n"/>
    </row>
    <row r="2" ht="24" customHeight="1" s="545">
      <c r="A2" s="66" t="n"/>
      <c r="B2" s="68" t="inlineStr">
        <is>
          <t>RENT COMPARABLES</t>
        </is>
      </c>
      <c r="C2" s="68" t="n"/>
      <c r="D2" s="68" t="n"/>
      <c r="E2" s="68" t="n"/>
      <c r="F2" s="68" t="n"/>
      <c r="G2" s="68" t="n"/>
      <c r="H2" s="68" t="n"/>
    </row>
    <row r="4" ht="16.5" customHeight="1" s="545">
      <c r="B4" s="129" t="inlineStr">
        <is>
          <t>SUBJECT</t>
        </is>
      </c>
      <c r="C4" s="129" t="n"/>
      <c r="D4" s="129" t="n"/>
      <c r="E4" s="129" t="n"/>
      <c r="F4" s="129" t="n"/>
      <c r="G4" s="129" t="n"/>
      <c r="H4" s="129" t="n"/>
    </row>
    <row r="5" ht="13.5" customHeight="1" s="545">
      <c r="B5" s="590" t="inlineStr">
        <is>
          <t>Schedule Number</t>
        </is>
      </c>
      <c r="C5" s="590" t="inlineStr">
        <is>
          <t>Rent/Sq.Ft.</t>
        </is>
      </c>
      <c r="D5" s="590" t="inlineStr">
        <is>
          <t>Location</t>
        </is>
      </c>
      <c r="E5" s="590" t="inlineStr">
        <is>
          <t>Age</t>
        </is>
      </c>
      <c r="F5" s="590" t="n"/>
      <c r="G5" s="590" t="n"/>
      <c r="H5" s="590" t="n"/>
    </row>
    <row r="6" ht="12.75" customHeight="1" s="545">
      <c r="B6" s="590" t="inlineStr">
        <is>
          <t>Property Address</t>
        </is>
      </c>
      <c r="C6" s="590" t="inlineStr">
        <is>
          <t>Vacancy</t>
        </is>
      </c>
      <c r="D6" s="590" t="inlineStr">
        <is>
          <t>Land Size</t>
        </is>
      </c>
      <c r="E6" s="590" t="inlineStr">
        <is>
          <t>Quality</t>
        </is>
      </c>
      <c r="F6" s="590" t="n"/>
      <c r="G6" s="590" t="n"/>
      <c r="H6" s="590" t="n"/>
    </row>
    <row r="7" ht="12.75" customHeight="1" s="545">
      <c r="B7" s="590" t="inlineStr">
        <is>
          <t>Property Name</t>
        </is>
      </c>
      <c r="C7" s="590" t="inlineStr">
        <is>
          <t>Expense / Sq. Ft.</t>
        </is>
      </c>
      <c r="D7" s="590" t="inlineStr">
        <is>
          <t>L:B Ratio</t>
        </is>
      </c>
      <c r="E7" s="590" t="inlineStr">
        <is>
          <t>Phy/Funct Rating</t>
        </is>
      </c>
      <c r="F7" s="590" t="n"/>
      <c r="G7" s="590" t="n"/>
      <c r="H7" s="590" t="n"/>
    </row>
    <row r="8" ht="13.5" customHeight="1" s="545">
      <c r="B8" s="590" t="inlineStr">
        <is>
          <t>Property Type</t>
        </is>
      </c>
      <c r="C8" s="590" t="inlineStr">
        <is>
          <t>Expense Ratio</t>
        </is>
      </c>
      <c r="D8" s="590" t="inlineStr">
        <is>
          <t>Building Size</t>
        </is>
      </c>
      <c r="E8" s="590" t="inlineStr">
        <is>
          <t>Zoning</t>
        </is>
      </c>
      <c r="F8" s="590" t="inlineStr">
        <is>
          <t>Other</t>
        </is>
      </c>
      <c r="G8" s="590" t="inlineStr">
        <is>
          <t>Comments</t>
        </is>
      </c>
      <c r="H8" s="590" t="n"/>
    </row>
    <row r="9" ht="14.25" customHeight="1" s="545"/>
    <row r="10" ht="13.5" customHeight="1" s="545">
      <c r="B10" s="606">
        <f>IF('BAA Market'!B9="","",'BAA Market'!B9)</f>
        <v/>
      </c>
      <c r="C10" s="160" t="n"/>
      <c r="D10" s="161">
        <f>IF('BAA Market'!E9="","",'BAA Market'!E9)</f>
        <v/>
      </c>
      <c r="E10" s="161">
        <f>IF('BAA Market'!F9="","",'BAA Market'!F9)</f>
        <v/>
      </c>
      <c r="F10" s="91" t="n"/>
      <c r="G10" s="105" t="n"/>
      <c r="H10" s="105" t="n"/>
    </row>
    <row r="11" ht="12.75" customHeight="1" s="545">
      <c r="B11" s="162">
        <f>IF('BAA Market'!B10="","",'BAA Market'!B10)</f>
        <v/>
      </c>
      <c r="C11" s="150" t="n"/>
      <c r="D11" s="163">
        <f>IF('BAA Market'!E10="","",'BAA Market'!E10)</f>
        <v/>
      </c>
      <c r="E11" s="161">
        <f>IF('BAA Market'!F10="","",'BAA Market'!F10)</f>
        <v/>
      </c>
      <c r="F11" s="91" t="n"/>
      <c r="G11" s="105" t="n"/>
      <c r="H11" s="105" t="n"/>
    </row>
    <row r="12" ht="12.75" customHeight="1" s="545">
      <c r="B12" s="162">
        <f>IF('BAA Market'!B11="","",'BAA Market'!B11)</f>
        <v/>
      </c>
      <c r="C12" s="160" t="n"/>
      <c r="D12" s="109">
        <f>IF('BAA Market'!E11="","",'BAA Market'!E11)</f>
        <v/>
      </c>
      <c r="E12" s="161">
        <f>IF('BAA Market'!F11="","",'BAA Market'!F11)</f>
        <v/>
      </c>
      <c r="F12" s="91" t="n"/>
      <c r="G12" s="105" t="n"/>
      <c r="H12" s="105" t="n"/>
    </row>
    <row r="13" ht="13.5" customHeight="1" s="545">
      <c r="B13" s="162">
        <f>IF('BAA Market'!B12="","",'BAA Market'!B12)</f>
        <v/>
      </c>
      <c r="C13" s="150" t="n"/>
      <c r="D13" s="163">
        <f>IF('BAA Market'!E12="","",'BAA Market'!E12)</f>
        <v/>
      </c>
      <c r="E13" s="161">
        <f>IF('BAA Market'!F12="","",'BAA Market'!F12)</f>
        <v/>
      </c>
      <c r="F13" s="91" t="n"/>
      <c r="G13" s="105" t="n"/>
      <c r="H13" s="105" t="n"/>
    </row>
    <row r="14" ht="13.5" customHeight="1" s="545"/>
    <row r="17" ht="16.5" customHeight="1" s="545">
      <c r="A17" s="66" t="n"/>
      <c r="B17" s="129" t="inlineStr">
        <is>
          <t>COMPARABLE RENTAL PROPERTIES</t>
        </is>
      </c>
      <c r="C17" s="129" t="n"/>
      <c r="D17" s="129" t="n"/>
      <c r="E17" s="129" t="n"/>
      <c r="F17" s="129" t="n"/>
      <c r="G17" s="129" t="n"/>
      <c r="H17" s="129" t="n"/>
    </row>
    <row r="18" ht="13.5" customHeight="1" s="545">
      <c r="A18" s="56" t="n"/>
      <c r="B18" s="590" t="n"/>
      <c r="C18" s="590" t="inlineStr">
        <is>
          <t>Rent/Sq.Ft.</t>
        </is>
      </c>
      <c r="D18" s="590" t="inlineStr">
        <is>
          <t>Location</t>
        </is>
      </c>
      <c r="E18" s="590" t="inlineStr">
        <is>
          <t>Age</t>
        </is>
      </c>
      <c r="F18" s="590" t="n"/>
      <c r="G18" s="590" t="n"/>
      <c r="H18" s="590" t="n"/>
    </row>
    <row r="19" ht="12.75" customHeight="1" s="545">
      <c r="A19" s="56" t="n"/>
      <c r="B19" s="590" t="inlineStr">
        <is>
          <t>OFFICE</t>
        </is>
      </c>
      <c r="C19" s="590" t="inlineStr">
        <is>
          <t>Vacancy</t>
        </is>
      </c>
      <c r="D19" s="590" t="inlineStr">
        <is>
          <t>Land Size</t>
        </is>
      </c>
      <c r="E19" s="590" t="inlineStr">
        <is>
          <t>Quality</t>
        </is>
      </c>
      <c r="F19" s="590" t="n"/>
      <c r="G19" s="590" t="n"/>
      <c r="H19" s="590" t="n"/>
    </row>
    <row r="20" ht="12.75" customHeight="1" s="545">
      <c r="A20" s="56" t="n"/>
      <c r="B20" s="590" t="inlineStr">
        <is>
          <t>Source</t>
        </is>
      </c>
      <c r="C20" s="590" t="inlineStr">
        <is>
          <t>Expense / Sq. Ft.</t>
        </is>
      </c>
      <c r="D20" s="590" t="inlineStr">
        <is>
          <t>L:B Ratio</t>
        </is>
      </c>
      <c r="E20" s="590" t="inlineStr">
        <is>
          <t>Phy/Funct Rating</t>
        </is>
      </c>
      <c r="F20" s="590" t="n"/>
      <c r="G20" s="590" t="inlineStr">
        <is>
          <t>Net</t>
        </is>
      </c>
      <c r="H20" s="590" t="inlineStr">
        <is>
          <t>Adjusted</t>
        </is>
      </c>
    </row>
    <row r="21" ht="13.5" customHeight="1" s="545">
      <c r="A21" s="56" t="n"/>
      <c r="B21" s="590" t="inlineStr">
        <is>
          <t>Property Type</t>
        </is>
      </c>
      <c r="C21" s="590" t="inlineStr">
        <is>
          <t>Expense Ratio</t>
        </is>
      </c>
      <c r="D21" s="590" t="inlineStr">
        <is>
          <t>Building Size</t>
        </is>
      </c>
      <c r="E21" s="590" t="inlineStr">
        <is>
          <t>Zoning</t>
        </is>
      </c>
      <c r="F21" s="590" t="inlineStr">
        <is>
          <t>Other</t>
        </is>
      </c>
      <c r="G21" s="590" t="inlineStr">
        <is>
          <t>Adjustments</t>
        </is>
      </c>
      <c r="H21" s="590" t="inlineStr">
        <is>
          <t>Rent/Sq.Ft.</t>
        </is>
      </c>
    </row>
    <row r="22" ht="14.25" customHeight="1" s="545"/>
    <row r="23" ht="13.5" customHeight="1" s="545">
      <c r="A23" s="579" t="inlineStr">
        <is>
          <t>#1</t>
        </is>
      </c>
      <c r="B23" s="79" t="n"/>
      <c r="C23" s="164">
        <f>IF(Income!K2="","",Income!K$2)</f>
        <v/>
      </c>
      <c r="D23" s="109">
        <f>IF(Income!H2="","",VLOOKUP(Income!H2,Location,2))</f>
        <v/>
      </c>
      <c r="E23" s="109">
        <f>IF(Income!N2="","",Income!N2)</f>
        <v/>
      </c>
      <c r="F23" s="95" t="n"/>
      <c r="G23" s="95" t="n"/>
      <c r="H23" s="79" t="n"/>
    </row>
    <row r="24" ht="12.75" customHeight="1" s="545">
      <c r="A24" s="580" t="n"/>
      <c r="B24" s="79" t="n"/>
      <c r="C24" s="132">
        <f>IF(Income!L$2="","",Income!L$2)</f>
        <v/>
      </c>
      <c r="D24" s="110">
        <f>IF(Income!W2="","",Income!W2)</f>
        <v/>
      </c>
      <c r="E24" s="109">
        <f>IF(Income!Z2="","",VLOOKUP(Income!Z2,GRADE,2))</f>
        <v/>
      </c>
      <c r="F24" s="95" t="n"/>
      <c r="G24" s="95" t="n"/>
      <c r="H24" s="79" t="n"/>
    </row>
    <row r="25" ht="12.75" customHeight="1" s="545">
      <c r="A25" s="580" t="n"/>
      <c r="B25" s="604">
        <f>IF(Income!E$2="","",Income!E$2)</f>
        <v/>
      </c>
      <c r="C25" s="164">
        <f>C23*(1-C24)*C26</f>
        <v/>
      </c>
      <c r="D25" s="109">
        <f>IF(Income!X2="","",Income!X2)</f>
        <v/>
      </c>
      <c r="E25" s="109">
        <f>IF(Income!AC2="","",VLOOKUP(Income!AC2,P_f,2))</f>
        <v/>
      </c>
      <c r="F25" s="95" t="n"/>
      <c r="G25" s="95" t="n"/>
      <c r="H25" s="79" t="n"/>
    </row>
    <row r="26" ht="13.5" customHeight="1" s="545">
      <c r="A26" s="581" t="n"/>
      <c r="B26" s="604">
        <f>IF(Income!G$2="","",VLOOKUP(Income!G$2,Class,2))</f>
        <v/>
      </c>
      <c r="C26" s="132">
        <f>IF(Income!M2="","",Income!M$2)</f>
        <v/>
      </c>
      <c r="D26" s="110">
        <f>IF(Income!Y2="","",Income!Y2)</f>
        <v/>
      </c>
      <c r="E26" s="109">
        <f>IF(Income!T2="","",Income!T2)</f>
        <v/>
      </c>
      <c r="F26" s="150" t="n"/>
      <c r="G26" s="116" t="n"/>
      <c r="H26" s="165">
        <f>IF(C23="","",C23*(1+G26))</f>
        <v/>
      </c>
    </row>
    <row r="27" ht="14.25" customHeight="1" s="545">
      <c r="F27" s="166" t="n"/>
    </row>
    <row r="28" ht="13.5" customHeight="1" s="545">
      <c r="A28" s="579" t="inlineStr">
        <is>
          <t>#2</t>
        </is>
      </c>
      <c r="B28" s="79" t="n"/>
      <c r="C28" s="167">
        <f>IF(Income!K3="","",Income!K3)</f>
        <v/>
      </c>
      <c r="D28" s="120">
        <f>IF(Income!H3="","",VLOOKUP(Income!H3,Location,2))</f>
        <v/>
      </c>
      <c r="E28" s="120">
        <f>IF(Income!N3="","",Income!N3)</f>
        <v/>
      </c>
      <c r="F28" s="95" t="n"/>
      <c r="G28" s="95" t="n"/>
      <c r="H28" s="79" t="n"/>
    </row>
    <row r="29" ht="12.75" customHeight="1" s="545">
      <c r="A29" s="580" t="n"/>
      <c r="B29" s="79" t="n"/>
      <c r="C29" s="134">
        <f>IF(Income!L3="","",Income!L3)</f>
        <v/>
      </c>
      <c r="D29" s="121">
        <f>IF(Income!W3="","",Income!W3)</f>
        <v/>
      </c>
      <c r="E29" s="120">
        <f>IF(Income!Z3="","",VLOOKUP(Income!Z3,GRADE,2))</f>
        <v/>
      </c>
      <c r="F29" s="95" t="n"/>
      <c r="G29" s="95" t="n"/>
      <c r="H29" s="79" t="n"/>
    </row>
    <row r="30" ht="12.75" customHeight="1" s="545">
      <c r="A30" s="580" t="n"/>
      <c r="B30" s="607">
        <f>IF(Income!E3="","",Income!E3)</f>
        <v/>
      </c>
      <c r="C30" s="167">
        <f>C28*(1-C29)*C31</f>
        <v/>
      </c>
      <c r="D30" s="120">
        <f>IF(Income!X3="","",Income!X3)</f>
        <v/>
      </c>
      <c r="E30" s="120">
        <f>IF(Income!AC3="","",VLOOKUP(Income!AC3,P_f,2))</f>
        <v/>
      </c>
      <c r="F30" s="95" t="n"/>
      <c r="G30" s="95" t="n"/>
      <c r="H30" s="79" t="n"/>
    </row>
    <row r="31" ht="13.5" customHeight="1" s="545">
      <c r="A31" s="581" t="n"/>
      <c r="B31" s="607">
        <f>IF(Income!G3="","",VLOOKUP(Income!G3,Class,2))</f>
        <v/>
      </c>
      <c r="C31" s="134">
        <f>IF(Income!M3="","",Income!M3)</f>
        <v/>
      </c>
      <c r="D31" s="121">
        <f>IF(Income!Y3="","",Income!Y3)</f>
        <v/>
      </c>
      <c r="E31" s="120">
        <f>IF(Income!T3="","",Income!T3)</f>
        <v/>
      </c>
      <c r="F31" s="150" t="n"/>
      <c r="G31" s="116" t="n"/>
      <c r="H31" s="165">
        <f>IF(C28="","",C28*(1+G31))</f>
        <v/>
      </c>
    </row>
    <row r="32" ht="14.25" customHeight="1" s="545">
      <c r="F32" s="166" t="n"/>
    </row>
    <row r="33" ht="13.5" customHeight="1" s="545">
      <c r="A33" s="579" t="inlineStr">
        <is>
          <t>#3</t>
        </is>
      </c>
      <c r="B33" s="79" t="n"/>
      <c r="C33" s="164">
        <f>IF(Income!K4="","",Income!K4)</f>
        <v/>
      </c>
      <c r="D33" s="109">
        <f>IF(Income!H4="","",VLOOKUP(Income!H4,Location,2))</f>
        <v/>
      </c>
      <c r="E33" s="109">
        <f>IF(Income!N4="","",Income!N4)</f>
        <v/>
      </c>
      <c r="F33" s="95" t="n"/>
      <c r="G33" s="95" t="n"/>
      <c r="H33" s="79" t="n"/>
    </row>
    <row r="34" ht="12.75" customHeight="1" s="545">
      <c r="A34" s="580" t="n"/>
      <c r="B34" s="79" t="n"/>
      <c r="C34" s="132">
        <f>IF(Income!L4="","",Income!L4)</f>
        <v/>
      </c>
      <c r="D34" s="110">
        <f>IF(Income!W4="","",Income!W4)</f>
        <v/>
      </c>
      <c r="E34" s="109">
        <f>IF(Income!Z4="","",VLOOKUP(Income!Z4,GRADE,2))</f>
        <v/>
      </c>
      <c r="F34" s="95" t="n"/>
      <c r="G34" s="95" t="n"/>
      <c r="H34" s="79" t="n"/>
    </row>
    <row r="35" ht="12.75" customHeight="1" s="545">
      <c r="A35" s="580" t="n"/>
      <c r="B35" s="604">
        <f>IF(Income!E4="","",Income!E4)</f>
        <v/>
      </c>
      <c r="C35" s="164">
        <f>C33*(1-C34)*C36</f>
        <v/>
      </c>
      <c r="D35" s="109">
        <f>IF(Income!X4="","",Income!X4)</f>
        <v/>
      </c>
      <c r="E35" s="109">
        <f>IF(Income!AC4="","",VLOOKUP(Income!AC4,P_f,2))</f>
        <v/>
      </c>
      <c r="F35" s="95" t="n"/>
      <c r="G35" s="95" t="n"/>
      <c r="H35" s="79" t="n"/>
    </row>
    <row r="36" ht="13.5" customHeight="1" s="545">
      <c r="A36" s="581" t="n"/>
      <c r="B36" s="604">
        <f>IF(Income!G4="","",VLOOKUP(Income!G4,Class,2))</f>
        <v/>
      </c>
      <c r="C36" s="132">
        <f>IF(Income!M4="","",Income!M4)</f>
        <v/>
      </c>
      <c r="D36" s="110">
        <f>IF(Income!Y4="","",Income!Y4)</f>
        <v/>
      </c>
      <c r="E36" s="109">
        <f>IF(Income!T4="","",Income!T4)</f>
        <v/>
      </c>
      <c r="F36" s="150" t="n"/>
      <c r="G36" s="116" t="n"/>
      <c r="H36" s="165">
        <f>IF(C33="","",C33*(1+G36))</f>
        <v/>
      </c>
    </row>
    <row r="37" ht="14.25" customHeight="1" s="545">
      <c r="F37" s="166" t="n"/>
    </row>
    <row r="38" ht="13.5" customHeight="1" s="545">
      <c r="A38" s="579" t="inlineStr">
        <is>
          <t>#4</t>
        </is>
      </c>
      <c r="B38" s="79" t="n"/>
      <c r="C38" s="167">
        <f>IF(Income!K5="","",Income!K5)</f>
        <v/>
      </c>
      <c r="D38" s="120">
        <f>IF(Income!H5="","",VLOOKUP(Income!H5,Location,2))</f>
        <v/>
      </c>
      <c r="E38" s="120">
        <f>IF(Income!N5="","",Income!N5)</f>
        <v/>
      </c>
      <c r="F38" s="95" t="n"/>
      <c r="G38" s="95" t="n"/>
      <c r="H38" s="79" t="n"/>
    </row>
    <row r="39" ht="12.75" customHeight="1" s="545">
      <c r="A39" s="580" t="n"/>
      <c r="B39" s="79" t="n"/>
      <c r="C39" s="134">
        <f>IF(Income!L5="","",Income!L5)</f>
        <v/>
      </c>
      <c r="D39" s="121">
        <f>IF(Income!W5="","",Income!W5)</f>
        <v/>
      </c>
      <c r="E39" s="120">
        <f>IF(Income!Z5="","",VLOOKUP(Income!Z5,GRADE,2))</f>
        <v/>
      </c>
      <c r="F39" s="95" t="n"/>
      <c r="G39" s="95" t="n"/>
      <c r="H39" s="79" t="n"/>
    </row>
    <row r="40" ht="12.75" customHeight="1" s="545">
      <c r="A40" s="580" t="n"/>
      <c r="B40" s="607">
        <f>IF(Income!E5="","",Income!E5)</f>
        <v/>
      </c>
      <c r="C40" s="167">
        <f>C38*(1-C39)*C41</f>
        <v/>
      </c>
      <c r="D40" s="120">
        <f>IF(Income!X5="","",Income!X5)</f>
        <v/>
      </c>
      <c r="E40" s="120">
        <f>IF(Income!AC5="","",VLOOKUP(Income!AC5,P_f,2))</f>
        <v/>
      </c>
      <c r="F40" s="95" t="n"/>
      <c r="G40" s="95" t="n"/>
      <c r="H40" s="79" t="n"/>
    </row>
    <row r="41" ht="13.5" customHeight="1" s="545">
      <c r="A41" s="581" t="n"/>
      <c r="B41" s="607">
        <f>IF(Income!G5="","",VLOOKUP(Income!G5,Class,2))</f>
        <v/>
      </c>
      <c r="C41" s="134">
        <f>IF(Income!M5="","",Income!M5)</f>
        <v/>
      </c>
      <c r="D41" s="121">
        <f>IF(Income!Y5="","",Income!Y5)</f>
        <v/>
      </c>
      <c r="E41" s="120">
        <f>IF(Income!T5="","",Income!T5)</f>
        <v/>
      </c>
      <c r="F41" s="150" t="n"/>
      <c r="G41" s="116" t="n"/>
      <c r="H41" s="165">
        <f>IF(C38="","",C38*(1+G41))</f>
        <v/>
      </c>
    </row>
    <row r="42" ht="13.5" customHeight="1" s="545"/>
  </sheetData>
  <mergeCells count="4">
    <mergeCell ref="A33:A36"/>
    <mergeCell ref="A38:A41"/>
    <mergeCell ref="A23:A26"/>
    <mergeCell ref="A28:A31"/>
  </mergeCells>
  <printOptions horizontalCentered="1"/>
  <pageMargins left="0.25" right="0.25" top="0.5" bottom="0.25" header="0.511811023622047" footer="0.511811023622047"/>
  <pageSetup orientation="landscape" fitToHeight="0" horizontalDpi="300" verticalDpi="300"/>
  <legacyDrawing xmlns:r="http://schemas.openxmlformats.org/officeDocument/2006/relationships" r:id="anysvml"/>
</worksheet>
</file>

<file path=xl/worksheets/sheet9.xml><?xml version="1.0" encoding="utf-8"?>
<worksheet xmlns="http://schemas.openxmlformats.org/spreadsheetml/2006/main">
  <sheetPr>
    <tabColor rgb="FF1F4E78"/>
    <outlinePr summaryBelow="1" summaryRight="1"/>
    <pageSetUpPr fitToPage="1"/>
  </sheetPr>
  <dimension ref="A1:Z74"/>
  <sheetViews>
    <sheetView showGridLines="0" topLeftCell="A18" zoomScaleNormal="100" workbookViewId="0">
      <selection activeCell="D77" sqref="D77"/>
    </sheetView>
  </sheetViews>
  <sheetFormatPr baseColWidth="8" defaultColWidth="14" defaultRowHeight="16.5"/>
  <cols>
    <col width="28.42578125" customWidth="1" style="595" min="1" max="1"/>
    <col width="20.5703125" customWidth="1" style="595" min="2" max="2"/>
    <col width="11.42578125" customWidth="1" style="595" min="3" max="3"/>
    <col width="19.42578125" customWidth="1" style="595" min="4" max="4"/>
    <col width="2.42578125" customWidth="1" style="595" min="5" max="5"/>
    <col width="6.85546875" customWidth="1" style="595" min="6" max="6"/>
    <col width="8" customWidth="1" style="595" min="7" max="7"/>
    <col width="11.42578125" customWidth="1" style="595" min="8" max="8"/>
    <col width="2.42578125" customWidth="1" style="595" min="9" max="9"/>
    <col width="9.140625" customWidth="1" style="595" min="10" max="10"/>
    <col width="12.5703125" customWidth="1" style="595" min="11" max="11"/>
    <col width="9.140625" customWidth="1" style="595" min="12" max="12"/>
    <col width="14" customWidth="1" style="595" min="13" max="24"/>
    <col hidden="1" width="6.85546875" customWidth="1" style="545" min="25" max="25"/>
    <col hidden="1" width="14.85546875" customWidth="1" style="545" min="26" max="26"/>
    <col width="14" customWidth="1" style="595" min="27" max="29"/>
    <col width="14" customWidth="1" style="595" min="30" max="16384"/>
  </cols>
  <sheetData>
    <row r="1" ht="24" customHeight="1" s="545">
      <c r="A1" s="169" t="inlineStr">
        <is>
          <t>APPEAL WORKSHEET</t>
        </is>
      </c>
      <c r="B1" s="169" t="n"/>
      <c r="C1" s="169" t="n"/>
      <c r="D1" s="169" t="n"/>
      <c r="E1" s="169" t="n"/>
      <c r="F1" s="169" t="n"/>
      <c r="G1" s="169" t="n"/>
      <c r="H1" s="169" t="n"/>
      <c r="I1" s="169" t="n"/>
      <c r="J1" s="169" t="n"/>
      <c r="K1" s="169" t="n"/>
      <c r="L1" s="169" t="n"/>
      <c r="M1" s="169" t="n"/>
    </row>
    <row r="2" ht="16.5" customHeight="1" s="545">
      <c r="A2" s="170" t="inlineStr">
        <is>
          <t>ACCOUNT / SCHEDULE NUMBER</t>
        </is>
      </c>
      <c r="D2" s="585" t="inlineStr">
        <is>
          <t>R0194277</t>
        </is>
      </c>
      <c r="E2" s="586" t="n"/>
      <c r="F2" s="586" t="n"/>
      <c r="G2" s="586" t="n"/>
      <c r="H2" s="587" t="n"/>
    </row>
    <row r="3" ht="16.5" customHeight="1" s="545">
      <c r="A3" s="170" t="inlineStr">
        <is>
          <t>PROPERTY ADDRESS</t>
        </is>
      </c>
      <c r="D3" s="601">
        <f>IF(Subj_Address="","",Subj_Address)</f>
        <v/>
      </c>
      <c r="E3" s="586" t="n"/>
      <c r="F3" s="586" t="n"/>
      <c r="G3" s="586" t="n"/>
      <c r="H3" s="587" t="n"/>
    </row>
    <row r="4" ht="16.5" customHeight="1" s="545">
      <c r="A4" s="170" t="inlineStr">
        <is>
          <t>PROTEST NUMBER</t>
        </is>
      </c>
      <c r="D4" s="585">
        <f>PI_Protest</f>
        <v/>
      </c>
      <c r="E4" s="586" t="n"/>
      <c r="F4" s="586" t="n"/>
      <c r="G4" s="586" t="n"/>
      <c r="H4" s="587" t="n"/>
    </row>
    <row r="5" ht="16.5" customHeight="1" s="545">
      <c r="A5" s="170" t="inlineStr">
        <is>
          <t>PETITIONER'S NAME</t>
        </is>
      </c>
      <c r="D5" s="585" t="inlineStr">
        <is>
          <t>Colorado Brecknell Investors LLC</t>
        </is>
      </c>
      <c r="E5" s="586" t="n"/>
      <c r="F5" s="586" t="n"/>
      <c r="G5" s="586" t="n"/>
      <c r="H5" s="587" t="n"/>
    </row>
    <row r="7" ht="16.5" customHeight="1" s="545">
      <c r="A7" s="170" t="inlineStr">
        <is>
          <t>ASSESSOR'S REMARKS:</t>
        </is>
      </c>
    </row>
    <row r="8" ht="16.5" customHeight="1" s="545">
      <c r="A8" s="591" t="inlineStr">
        <is>
          <t>Account R0194277 / Parcel 0172328302002 - 8251 Quintero Street, Commerce City (Adams County), within DIA Tech Center Filing No. 6. TY2025 real property valuation protest; assessor-level protest (#156810) denied 6/17/2025. Petitioner Becknell Industrial (owner of record: Colorado Brecknell Investors LLC), represented by Ryan, LLC (Beth Diehl). Assessor's actual value $56,941,733 ($10,988,663 land + $45,953,070 improvements, $105.29 PSF); petitioner's opinion of value $39,994,200 ($73.95 PSF), an income-approach-only conclusion.
THE SUBJECT is a single 540,800 SF Class A big-box industrial/distribution building, built 2018, on a 38.81-acre (1,690,564 SF) site. It is 100% leased to three tenants under triple-net leases: Haier US Appliance Solutions, Inc. (351,520 SF, through 5/31/2029), The TJX Companies (94,621 SF, through 1/31/2026), and Highland Cabinetry, Inc. (94,621 SF, through 9/30/2033). 2023 and 2024 actual operating statements show total revenue (including reimbursements) of roughly $5.3-7.4 million and net operating income before adjustments of roughly $2.6-2.9 million.
PETITIONER'S ANALYSIS relies solely on a single-approach income pro forma: $5.50/SF PGI, 5% vacancy, 8% operating expenses, and a 6.50% cap rate, yielding $39,994,200. That pro forma's $5.50/SF market rent is below both the 12-comparable CompStak lease-comp average developed in this analysis ($6.42/SF) and the subject's own recently-signed leases (TJX at $7.38/SF).
INDEPENDENT ANALYSIS (this workbook): Cost Approach $66,945,000 ($123.79 PSF); Sales Comparison Approach $74,500,000 ($137.76 PSF, 5 comps); Income Capitalization Approach $47,350,000 ($87.56 PSF, market rent $6.50/SF NNN, 5% vacancy, 6.50% cap rate). Reconciled (Income 50% / Cost 30% / Sales 20%): $58,660,000 ($108.47 PSF) - about 3% above the Assessor's assigned value and 47% above the petitioner's request. Even the lowest of the three developed approaches (Income, $47,350,000) exceeds the petitioner's requested value by 18%.</t>
        </is>
      </c>
      <c r="B8" s="592" t="n"/>
      <c r="C8" s="592" t="n"/>
      <c r="D8" s="592" t="n"/>
      <c r="E8" s="592" t="n"/>
      <c r="F8" s="592" t="n"/>
      <c r="G8" s="592" t="n"/>
      <c r="H8" s="592" t="n"/>
      <c r="I8" s="592" t="n"/>
      <c r="J8" s="592" t="n"/>
      <c r="K8" s="592" t="n"/>
      <c r="L8" s="592" t="n"/>
      <c r="M8" s="593" t="n"/>
    </row>
    <row r="9" ht="16.5" customHeight="1" s="545">
      <c r="A9" s="594" t="n"/>
      <c r="M9" s="596" t="n"/>
    </row>
    <row r="10" ht="16.5" customHeight="1" s="545">
      <c r="A10" s="594" t="n"/>
      <c r="M10" s="596" t="n"/>
    </row>
    <row r="11" ht="16.5" customHeight="1" s="545">
      <c r="A11" s="594" t="n"/>
      <c r="M11" s="596" t="n"/>
    </row>
    <row r="12" ht="16.5" customHeight="1" s="545">
      <c r="A12" s="594" t="n"/>
      <c r="M12" s="596" t="n"/>
    </row>
    <row r="13" ht="16.5" customHeight="1" s="545">
      <c r="A13" s="594" t="n"/>
      <c r="M13" s="596" t="n"/>
    </row>
    <row r="14" ht="16.5" customHeight="1" s="545">
      <c r="A14" s="594" t="n"/>
      <c r="M14" s="596" t="n"/>
    </row>
    <row r="15" ht="16.5" customHeight="1" s="545">
      <c r="A15" s="594" t="n"/>
      <c r="M15" s="596" t="n"/>
    </row>
    <row r="16" ht="16.5" customHeight="1" s="545">
      <c r="A16" s="594" t="n"/>
      <c r="M16" s="596" t="n"/>
    </row>
    <row r="17" ht="16.5" customHeight="1" s="545">
      <c r="A17" s="594" t="n"/>
      <c r="M17" s="596" t="n"/>
    </row>
    <row r="18" ht="16.5" customHeight="1" s="545">
      <c r="A18" s="594" t="n"/>
      <c r="M18" s="596" t="n"/>
    </row>
    <row r="19" ht="16.5" customHeight="1" s="545">
      <c r="A19" s="594" t="n"/>
      <c r="M19" s="596" t="n"/>
    </row>
    <row r="20" ht="16.5" customHeight="1" s="545">
      <c r="A20" s="597" t="n"/>
      <c r="B20" s="598" t="n"/>
      <c r="C20" s="598" t="n"/>
      <c r="D20" s="598" t="n"/>
      <c r="E20" s="598" t="n"/>
      <c r="F20" s="598" t="n"/>
      <c r="G20" s="598" t="n"/>
      <c r="H20" s="598" t="n"/>
      <c r="I20" s="598" t="n"/>
      <c r="J20" s="598" t="n"/>
      <c r="K20" s="598" t="n"/>
      <c r="L20" s="598" t="n"/>
      <c r="M20" s="599" t="n"/>
    </row>
    <row r="22" ht="16.5" customHeight="1" s="545">
      <c r="A22" s="170" t="inlineStr">
        <is>
          <t>VALUE CONCLUSIONS:</t>
        </is>
      </c>
    </row>
    <row r="23" ht="16.5" customHeight="1" s="545">
      <c r="A23" s="591" t="inlineStr">
        <is>
          <t>COST APPROACH - $66,945,000 ($123.79/SF). MVS June 2024 calculator, Mega Warehouse occupancy (OCC 584), Class C masonry, Average quality, 36' eave height (per the directly comparable Highpoint Elevated / Dematic building - 541,985 SF, built 2022, documented 36' clear - used in place of the Assessor's own ambiguous 'Story Ht: 40' CAMA field, which could not be reconciled to this workbook's MVS story-height table without producing an implausibly high result), Denver local multiplier, current-cost multiplier de-trended to 6/30/2024, 10% indirect costs, 10% entrepreneurial profit. Site improvements (asphalt and concrete paving) are transcribed directly from the Assessor's own R0194277 Cost Details record ($724,625 + $435,940), less an assumed 13% depreciation (6/45 years) consistent with the building's own effective age. Effective age 6 of a 45-year life (4% physical depreciation) - both figures taken directly from the Assessor's own Cost Details record for this account. Plus land of $11,000,000 ($6.50/SF x 1,690,564 SF, rounded). This exceeds the Assessor's own $56,941,733 mainly because it adds 10% entrepreneurial profit, standard for a fee-simple market-value cost approach but not carried in the Assessor's CAMA calibration.
SALES COMPARISON APPROACH - $74,500,000 ($137.76/SF). Straight average of 5 industrial improved sales identified in the assignment's source materials (2 Commerce City Mega Warehouse comps from the Assessor's own countywide sales database, 2 CoStar comps, 1 CompStak comp), each trended to the 6/30/2024 level of value at an assumed 5.0%/year market-conditions rate (no paired-sales data were available to derive a precise trend). The 2 comps sharing the subject's exact city and occupancy code (Commerce City, OCC 584) average roughly $117/SF adjusted - a materially lower, arguably more reliable subset than the full 5-comp average, which is pulled upward by two smaller/older, out-of-submarket comps.
INCOME CAPITALIZATION APPROACH - $47,350,000 ($87.56/SF). Market rent of $6.50/SF NNN (12 CompStak large-bay industrial lease comparables, average $6.42/SF, median $6.68/SF) on 540,800 SF ($3,515,200 PGRI); 5% vacancy; landlord expenses in the vacancy block dominated by real estate taxes (based on the Assessor's own assigned value x 27.0% assessment rate x 105.574 mills, since taxes continue regardless of occupancy) plus a 5% owner's expense allowance; NOI $3,078,191 ($5.69/SF); capitalized at 6.50% (the petitioner's own point estimate, judged reasonable against the single disclosed 2020 industrial sale-cap comp of 4.60%, which pre-dates the 2022-2024 rate environment).
RECONCILED VALUE - $58,660,000 ($108.47/SF). Income 50%, Cost 30%, Sales 20%. Allocated: land $11,000,000 (per the Land Sales Grid), improvements $47,660,000.</t>
        </is>
      </c>
      <c r="B23" s="592" t="n"/>
      <c r="C23" s="592" t="n"/>
      <c r="D23" s="592" t="n"/>
      <c r="E23" s="592" t="n"/>
      <c r="F23" s="592" t="n"/>
      <c r="G23" s="592" t="n"/>
      <c r="H23" s="592" t="n"/>
      <c r="I23" s="592" t="n"/>
      <c r="J23" s="592" t="n"/>
      <c r="K23" s="592" t="n"/>
      <c r="L23" s="592" t="n"/>
      <c r="M23" s="593" t="n"/>
    </row>
    <row r="24" ht="16.5" customHeight="1" s="545">
      <c r="A24" s="594" t="n"/>
      <c r="M24" s="596" t="n"/>
    </row>
    <row r="25" ht="16.5" customHeight="1" s="545">
      <c r="A25" s="594" t="n"/>
      <c r="M25" s="596" t="n"/>
    </row>
    <row r="26" ht="16.5" customHeight="1" s="545">
      <c r="A26" s="594" t="n"/>
      <c r="M26" s="596" t="n"/>
    </row>
    <row r="27" ht="16.5" customHeight="1" s="545">
      <c r="A27" s="594" t="n"/>
      <c r="M27" s="596" t="n"/>
    </row>
    <row r="28" ht="16.5" customHeight="1" s="545">
      <c r="A28" s="594" t="n"/>
      <c r="M28" s="596" t="n"/>
    </row>
    <row r="29" ht="16.5" customHeight="1" s="545">
      <c r="A29" s="594" t="n"/>
      <c r="M29" s="596" t="n"/>
    </row>
    <row r="30" ht="16.5" customHeight="1" s="545">
      <c r="A30" s="594" t="n"/>
      <c r="M30" s="596" t="n"/>
    </row>
    <row r="31" ht="16.5" customHeight="1" s="545">
      <c r="A31" s="594" t="n"/>
      <c r="M31" s="596" t="n"/>
    </row>
    <row r="32" ht="16.5" customHeight="1" s="545">
      <c r="A32" s="594" t="n"/>
      <c r="M32" s="596" t="n"/>
    </row>
    <row r="33" ht="16.5" customHeight="1" s="545">
      <c r="A33" s="597" t="n"/>
      <c r="B33" s="598" t="n"/>
      <c r="C33" s="598" t="n"/>
      <c r="D33" s="598" t="n"/>
      <c r="E33" s="598" t="n"/>
      <c r="F33" s="598" t="n"/>
      <c r="G33" s="598" t="n"/>
      <c r="H33" s="598" t="n"/>
      <c r="I33" s="598" t="n"/>
      <c r="J33" s="598" t="n"/>
      <c r="K33" s="598" t="n"/>
      <c r="L33" s="598" t="n"/>
      <c r="M33" s="599" t="n"/>
    </row>
    <row r="35" ht="16.5" customHeight="1" s="545">
      <c r="A35" s="170" t="inlineStr">
        <is>
          <t>BASIS OF RECOMMENDATION / HEARING NOTES:</t>
        </is>
      </c>
    </row>
    <row r="36" ht="16.5" customHeight="1" s="545">
      <c r="A36" s="591" t="inlineStr">
        <is>
          <t>INDEPENDENT ANALYSIS RESULT: This analysis's reconciled value of $58,660,000 ($108.47/SF) is approximately 3% ABOVE the Assessor's currently assigned $56,941,733. On this record, the petitioner's requested reduction to $39,994,200 is not supported: it is exceeded by all three approaches developed in this analysis, including the Income Capitalization Approach - the approach most directly comparable to the petitioner's own methodology - by 18% ($47,350,000 vs. $39,994,200). RECOMMENDATION: deny the petitioner's requested reduction and sustain the Assessor's assigned value of $56,941,733, citing this analysis as support. Because this analysis's own reconciled figure runs slightly higher than the assigned value, confirm Adams County's protest/appeal procedures regarding any restriction on increasing value in a taxpayer-initiated proceeding before citing the reconciled figure itself as a basis for change.
OPEN ITEMS BEFORE THE HEARING - each is flagged in the tab it affects:
1. Basic Sales Comparison rests on only 5 improved sales with a wide $95.83-$169.14/SF unadjusted range; add more Commerce City / DIA Tech Center-area Mega Warehouse sales if available and consider excluding or further adjusting the weaker (smaller/older/out-of-submarket) comps.
2. Land Sales Grid has no third-party land comparables; the $6.50/SF rate matches the Assessor's own allocation and is broadly corroborated by the subject's own 2018 purchase price trended forward, but should be supported with actual vacant industrial land sales in the corridor before the hearing.
3. Confirm the City of Commerce City zoning district; the source records reviewed did not include a specific zoning code for this account.
4. Confirm the 36' eave height assumption used in the Cost Approach against the subject's actual building plans; the Assessor's own CAMA record shows a different, ambiguous 'Story Ht: 40' field.
5. The Cost Approach's site-improvement figures (asphalt/concrete) are the Assessor's own totals from the R0194277 Cost Details record; independently verify paved area and the assumed 13% depreciation.
6. Confirm the 27.0% assessment rate and 105.574 total mill levy for the correct Commerce City tax district before the hearing (both tie exactly to the Assessor's Account Summary land/improvement valuation math for this account).</t>
        </is>
      </c>
      <c r="B36" s="592" t="n"/>
      <c r="C36" s="592" t="n"/>
      <c r="D36" s="592" t="n"/>
      <c r="E36" s="592" t="n"/>
      <c r="F36" s="592" t="n"/>
      <c r="G36" s="592" t="n"/>
      <c r="H36" s="592" t="n"/>
      <c r="I36" s="592" t="n"/>
      <c r="J36" s="592" t="n"/>
      <c r="K36" s="592" t="n"/>
      <c r="L36" s="592" t="n"/>
      <c r="M36" s="593" t="n"/>
    </row>
    <row r="37" ht="16.5" customHeight="1" s="545">
      <c r="A37" s="594" t="n"/>
      <c r="M37" s="596" t="n"/>
    </row>
    <row r="38" ht="16.5" customHeight="1" s="545">
      <c r="A38" s="594" t="n"/>
      <c r="M38" s="596" t="n"/>
    </row>
    <row r="39" ht="16.5" customHeight="1" s="545">
      <c r="A39" s="594" t="n"/>
      <c r="M39" s="596" t="n"/>
    </row>
    <row r="40" ht="16.5" customHeight="1" s="545">
      <c r="A40" s="594" t="n"/>
      <c r="M40" s="596" t="n"/>
    </row>
    <row r="41" ht="16.5" customHeight="1" s="545">
      <c r="A41" s="594" t="n"/>
      <c r="M41" s="596" t="n"/>
    </row>
    <row r="42" ht="16.5" customHeight="1" s="545">
      <c r="A42" s="594" t="n"/>
      <c r="M42" s="596" t="n"/>
    </row>
    <row r="43" ht="16.5" customHeight="1" s="545">
      <c r="A43" s="594" t="n"/>
      <c r="M43" s="596" t="n"/>
    </row>
    <row r="44" ht="16.5" customHeight="1" s="545">
      <c r="A44" s="594" t="n"/>
      <c r="M44" s="596" t="n"/>
    </row>
    <row r="45" ht="16.5" customHeight="1" s="545">
      <c r="A45" s="594" t="n"/>
      <c r="M45" s="596" t="n"/>
    </row>
    <row r="46" ht="16.5" customHeight="1" s="545">
      <c r="A46" s="597" t="n"/>
      <c r="B46" s="598" t="n"/>
      <c r="C46" s="598" t="n"/>
      <c r="D46" s="598" t="n"/>
      <c r="E46" s="598" t="n"/>
      <c r="F46" s="598" t="n"/>
      <c r="G46" s="598" t="n"/>
      <c r="H46" s="598" t="n"/>
      <c r="I46" s="598" t="n"/>
      <c r="J46" s="598" t="n"/>
      <c r="K46" s="598" t="n"/>
      <c r="L46" s="598" t="n"/>
      <c r="M46" s="599" t="n"/>
    </row>
    <row r="47" ht="16.5" customHeight="1" s="545">
      <c r="A47" s="172" t="inlineStr">
        <is>
          <t>VALUE REVIEW</t>
        </is>
      </c>
      <c r="B47" s="172" t="n"/>
      <c r="C47" s="172" t="n"/>
      <c r="D47" s="172" t="n"/>
      <c r="E47" s="172" t="n"/>
      <c r="F47" s="172" t="n"/>
      <c r="G47" s="172" t="n"/>
      <c r="H47" s="172" t="n"/>
      <c r="I47" s="172" t="n"/>
      <c r="J47" s="172" t="n"/>
      <c r="K47" s="172" t="n"/>
      <c r="L47" s="172" t="n"/>
      <c r="M47" s="172" t="n"/>
    </row>
    <row r="48" ht="15.75" customHeight="1" s="545">
      <c r="C48" s="590" t="inlineStr">
        <is>
          <t>Value Prior To Review</t>
        </is>
      </c>
      <c r="D48" s="587" t="n"/>
      <c r="E48" s="590" t="n"/>
      <c r="F48" s="590" t="inlineStr">
        <is>
          <t>Recommended Value</t>
        </is>
      </c>
      <c r="G48" s="586" t="n"/>
      <c r="H48" s="587" t="n"/>
      <c r="I48" s="590" t="n"/>
      <c r="J48" s="590" t="inlineStr">
        <is>
          <t>Value Reduction</t>
        </is>
      </c>
      <c r="K48" s="587" t="n"/>
    </row>
    <row r="49" ht="16.5" customHeight="1" s="545">
      <c r="A49" s="170" t="inlineStr">
        <is>
          <t>Land</t>
        </is>
      </c>
      <c r="C49" s="582" t="n">
        <v>10988663</v>
      </c>
      <c r="D49" s="584" t="n"/>
      <c r="E49" s="173" t="n"/>
      <c r="F49" s="582" t="n">
        <v>11000000</v>
      </c>
      <c r="G49" s="583" t="n"/>
      <c r="H49" s="584" t="n"/>
      <c r="I49" s="79" t="n"/>
      <c r="J49" s="589">
        <f>F49-C49</f>
        <v/>
      </c>
      <c r="K49" s="587" t="n"/>
    </row>
    <row r="50" ht="16.5" customHeight="1" s="545">
      <c r="A50" s="174" t="inlineStr">
        <is>
          <t>Imp(s)</t>
        </is>
      </c>
      <c r="C50" s="582" t="n">
        <v>45953070</v>
      </c>
      <c r="D50" s="584" t="n"/>
      <c r="E50" s="173" t="n"/>
      <c r="F50" s="582">
        <f>58660000-F49</f>
        <v/>
      </c>
      <c r="G50" s="583" t="n"/>
      <c r="H50" s="584" t="n"/>
      <c r="I50" s="79" t="n"/>
      <c r="J50" s="589">
        <f>F50-C50</f>
        <v/>
      </c>
      <c r="K50" s="587" t="n"/>
    </row>
    <row r="51" ht="16.5" customHeight="1" s="545">
      <c r="A51" s="170" t="inlineStr">
        <is>
          <t>Total</t>
        </is>
      </c>
      <c r="C51" s="600">
        <f>C50+C49</f>
        <v/>
      </c>
      <c r="D51" s="587" t="n"/>
      <c r="E51" s="173" t="n"/>
      <c r="F51" s="602">
        <f>F50+F49</f>
        <v/>
      </c>
      <c r="G51" s="586" t="n"/>
      <c r="H51" s="587" t="n"/>
      <c r="I51" s="79" t="n"/>
      <c r="J51" s="589">
        <f>F51-C51</f>
        <v/>
      </c>
      <c r="K51" s="587" t="n"/>
    </row>
    <row r="54" ht="19.5" customHeight="1" s="545">
      <c r="A54" s="170" t="inlineStr">
        <is>
          <t>Appraiser</t>
        </is>
      </c>
      <c r="B54" s="175" t="n"/>
      <c r="C54" s="176" t="n"/>
      <c r="D54" s="177" t="inlineStr">
        <is>
          <t>Shaquille Carter</t>
        </is>
      </c>
      <c r="F54" s="178" t="n"/>
    </row>
    <row r="55" ht="19.5" customHeight="1" s="545">
      <c r="A55" s="179" t="inlineStr">
        <is>
          <t>Supervisor</t>
        </is>
      </c>
      <c r="B55" s="175" t="n"/>
      <c r="C55" s="175" t="n"/>
      <c r="D55" s="175" t="n"/>
      <c r="E55" s="180" t="n"/>
      <c r="F55" s="180" t="n"/>
    </row>
    <row r="56" ht="19.5" customHeight="1" s="545">
      <c r="A56" s="181" t="inlineStr">
        <is>
          <t>Deputy Assessor</t>
        </is>
      </c>
      <c r="B56" s="175" t="n"/>
      <c r="C56" s="175" t="n"/>
      <c r="D56" s="175" t="n"/>
      <c r="E56" s="178" t="n"/>
      <c r="F56" s="178" t="n"/>
    </row>
    <row r="57" ht="19.5" customHeight="1" s="545"/>
    <row r="58" ht="19.5" customHeight="1" s="545"/>
    <row r="59" ht="19.5" customHeight="1" s="545"/>
    <row r="60" ht="16.5" customHeight="1" s="545">
      <c r="A60" s="182" t="inlineStr">
        <is>
          <t>MARKET RENT COMPARABLES</t>
        </is>
      </c>
      <c r="B60" s="183" t="n"/>
      <c r="C60" s="183" t="n"/>
      <c r="D60" s="183" t="n"/>
      <c r="E60" s="183" t="n"/>
      <c r="F60" s="183" t="n"/>
      <c r="G60" s="183" t="n"/>
      <c r="H60" s="183" t="inlineStr">
        <is>
          <t>BUILDING</t>
        </is>
      </c>
      <c r="I60" s="183" t="n"/>
      <c r="J60" s="183" t="n"/>
      <c r="K60" s="183" t="n"/>
      <c r="L60" s="184" t="inlineStr">
        <is>
          <t>EXP</t>
        </is>
      </c>
      <c r="M60" s="129" t="n"/>
    </row>
    <row r="61" ht="16.5" customHeight="1" s="545">
      <c r="A61" s="590" t="n"/>
      <c r="B61" s="590" t="inlineStr">
        <is>
          <t>MAP</t>
        </is>
      </c>
      <c r="C61" s="590" t="inlineStr">
        <is>
          <t>USE TYPE</t>
        </is>
      </c>
      <c r="D61" s="590" t="n"/>
      <c r="E61" s="590" t="n"/>
      <c r="F61" s="590" t="inlineStr">
        <is>
          <t>ZONE</t>
        </is>
      </c>
      <c r="G61" s="590" t="inlineStr">
        <is>
          <t>YOC</t>
        </is>
      </c>
      <c r="H61" s="590" t="inlineStr">
        <is>
          <t>SQ FT</t>
        </is>
      </c>
      <c r="I61" s="590" t="n"/>
      <c r="J61" s="590" t="inlineStr">
        <is>
          <t>RENT</t>
        </is>
      </c>
      <c r="K61" s="590" t="inlineStr">
        <is>
          <t>VACANCY</t>
        </is>
      </c>
      <c r="L61" s="590" t="inlineStr">
        <is>
          <t>RATIO</t>
        </is>
      </c>
      <c r="M61" s="590" t="n"/>
    </row>
    <row r="62" ht="16.5" customHeight="1" s="545">
      <c r="A62" s="185" t="n"/>
      <c r="B62" s="579" t="inlineStr">
        <is>
          <t>SUBJECT PROPERTY</t>
        </is>
      </c>
      <c r="C62" s="79" t="n"/>
      <c r="D62" s="79" t="n"/>
      <c r="E62" s="79" t="n"/>
      <c r="F62" s="131" t="n"/>
      <c r="G62" s="131" t="n"/>
      <c r="H62" s="95" t="n"/>
      <c r="I62" s="95" t="n"/>
      <c r="J62" s="95" t="n"/>
      <c r="K62" s="95" t="n"/>
      <c r="L62" s="95" t="n"/>
      <c r="M62" s="79" t="n"/>
    </row>
    <row r="63" ht="16.5" customHeight="1" s="545">
      <c r="A63" s="186" t="n"/>
      <c r="B63" s="588">
        <f>IF(D2="","",LEFT(D2,5))</f>
        <v/>
      </c>
      <c r="C63" s="588">
        <f>IFERROR(INDEX(OCC_TABLE_DESC,MATCH(Subj_OccCode,OCC_TABLE_CODE,0)),"")</f>
        <v/>
      </c>
      <c r="D63" s="584" t="n"/>
      <c r="E63" s="173" t="n"/>
      <c r="F63" s="105">
        <f>IF(Subj_Zoning="","",Subj_Zoning)</f>
        <v/>
      </c>
      <c r="G63" s="187">
        <f>IF(Subj_YOC="","",Subj_YOC)</f>
        <v/>
      </c>
      <c r="H63" s="188">
        <f>IF(Subj_BldgSF="","",Subj_BldgSF)</f>
        <v/>
      </c>
      <c r="I63" s="173" t="n"/>
      <c r="J63" s="144">
        <f>IF(WO!F11="","",WO!F11)</f>
        <v/>
      </c>
      <c r="K63" s="189">
        <f>IF(WO!F12="","",WO!F12)</f>
        <v/>
      </c>
      <c r="L63" s="189">
        <f>IF(WO!F13="","",WO!F13)</f>
        <v/>
      </c>
      <c r="M63" s="79" t="n"/>
    </row>
    <row r="64" ht="16.5" customHeight="1" s="545">
      <c r="A64" s="579" t="inlineStr">
        <is>
          <t>1)</t>
        </is>
      </c>
      <c r="B64" s="604">
        <f>IF(Income!D$2="","",MID(Income!D2,1,5))</f>
        <v/>
      </c>
      <c r="C64" s="604">
        <f>IF(Income!G$2="","",VLOOKUP(Income!G$2,Class,2))</f>
        <v/>
      </c>
      <c r="D64" s="79" t="n"/>
      <c r="E64" s="79" t="n"/>
      <c r="F64" s="111">
        <f>IF(Income!T$2="","",Income!T$2)</f>
        <v/>
      </c>
      <c r="G64" s="111">
        <f>IF(Income!N$2="","",Income!N$2)</f>
        <v/>
      </c>
      <c r="H64" s="190">
        <f>IF(Income!J$2="","",Income!J$2)</f>
        <v/>
      </c>
      <c r="I64" s="191" t="n"/>
      <c r="J64" s="192">
        <f>IF(Income!K$2="","",Income!K$2)</f>
        <v/>
      </c>
      <c r="K64" s="193">
        <f>IF(Income!L$2="","",Income!L$2)</f>
        <v/>
      </c>
      <c r="L64" s="193">
        <f>IF(Income!M$2="","",Income!M$2)</f>
        <v/>
      </c>
      <c r="M64" s="79" t="n"/>
    </row>
    <row r="65" ht="16.5" customHeight="1" s="545">
      <c r="A65" s="579" t="inlineStr">
        <is>
          <t>2)</t>
        </is>
      </c>
      <c r="B65" s="607">
        <f>IF(Income!D$3="","",MID(Income!D$3,1,5))</f>
        <v/>
      </c>
      <c r="C65" s="607">
        <f>IF(Income!G$3="","",VLOOKUP(Income!G$3,Class,2))</f>
        <v/>
      </c>
      <c r="D65" s="79" t="n"/>
      <c r="E65" s="79" t="n"/>
      <c r="F65" s="122">
        <f>IF(Income!T$3="","",Income!T$3)</f>
        <v/>
      </c>
      <c r="G65" s="122">
        <f>IF(Income!N$3="","",Income!N$3)</f>
        <v/>
      </c>
      <c r="H65" s="194">
        <f>IF(Income!J$3="","",Income!J$3)</f>
        <v/>
      </c>
      <c r="I65" s="191" t="n"/>
      <c r="J65" s="195">
        <f>IF(Income!K$3="","",Income!K$3)</f>
        <v/>
      </c>
      <c r="K65" s="196">
        <f>IF(Income!L$3="","",Income!L$3)</f>
        <v/>
      </c>
      <c r="L65" s="196">
        <f>IF(Income!M$3="","",Income!M$3)</f>
        <v/>
      </c>
      <c r="M65" s="79" t="n"/>
    </row>
    <row r="66" ht="16.5" customHeight="1" s="545">
      <c r="A66" s="579" t="inlineStr">
        <is>
          <t>3)</t>
        </is>
      </c>
      <c r="B66" s="604">
        <f>IF(Income!D$4="","",MID(Income!D$4,1,5))</f>
        <v/>
      </c>
      <c r="C66" s="604">
        <f>IF(Income!G$4="","",VLOOKUP(Income!G$4,Class,2))</f>
        <v/>
      </c>
      <c r="D66" s="79" t="n"/>
      <c r="E66" s="79" t="n"/>
      <c r="F66" s="111">
        <f>IF(Income!T$4="","",Income!T$4)</f>
        <v/>
      </c>
      <c r="G66" s="111">
        <f>IF(Income!N$4="","",Income!N$4)</f>
        <v/>
      </c>
      <c r="H66" s="190">
        <f>IF(Income!J$4="","",Income!J$4)</f>
        <v/>
      </c>
      <c r="I66" s="191" t="n"/>
      <c r="J66" s="192">
        <f>IF(Income!K$4="","",Income!K$4)</f>
        <v/>
      </c>
      <c r="K66" s="193">
        <f>IF(Income!L$4="","",Income!L$4)</f>
        <v/>
      </c>
      <c r="L66" s="193">
        <f>IF(Income!M$4="","",Income!M$4)</f>
        <v/>
      </c>
      <c r="M66" s="79" t="n"/>
    </row>
    <row r="67" ht="16.5" customHeight="1" s="545">
      <c r="A67" s="197" t="n"/>
      <c r="B67" s="197" t="n"/>
      <c r="C67" s="197" t="n"/>
      <c r="D67" s="197" t="n"/>
      <c r="E67" s="197" t="n"/>
    </row>
    <row r="68" ht="16.5" customHeight="1" s="545">
      <c r="A68" s="182" t="inlineStr">
        <is>
          <t>MARKET SALE COMPARABLES</t>
        </is>
      </c>
      <c r="B68" s="183" t="n"/>
      <c r="C68" s="183" t="n"/>
      <c r="D68" s="183" t="n"/>
      <c r="E68" s="183" t="n"/>
      <c r="F68" s="183" t="n"/>
      <c r="G68" s="183" t="n"/>
      <c r="H68" s="183" t="inlineStr">
        <is>
          <t>BUILDING</t>
        </is>
      </c>
      <c r="I68" s="183" t="n"/>
      <c r="J68" s="183" t="inlineStr">
        <is>
          <t>SALE</t>
        </is>
      </c>
      <c r="K68" s="183" t="inlineStr">
        <is>
          <t>SALE</t>
        </is>
      </c>
      <c r="L68" s="184" t="inlineStr">
        <is>
          <t>S.P./</t>
        </is>
      </c>
      <c r="M68" s="129" t="n"/>
    </row>
    <row r="69" ht="24" customHeight="1" s="545">
      <c r="A69" s="590" t="inlineStr">
        <is>
          <t>PROPERTY ADDRESS</t>
        </is>
      </c>
      <c r="B69" s="590" t="n"/>
      <c r="C69" s="590" t="n"/>
      <c r="D69" s="590" t="inlineStr">
        <is>
          <t>SCHEDULE NUMBER</t>
        </is>
      </c>
      <c r="E69" s="590" t="n"/>
      <c r="F69" s="590" t="n"/>
      <c r="G69" s="590" t="inlineStr">
        <is>
          <t>YOC</t>
        </is>
      </c>
      <c r="H69" s="590" t="inlineStr">
        <is>
          <t>SQ FT</t>
        </is>
      </c>
      <c r="I69" s="590" t="n"/>
      <c r="J69" s="590" t="inlineStr">
        <is>
          <t>DATE</t>
        </is>
      </c>
      <c r="K69" s="590" t="inlineStr">
        <is>
          <t>PRICE</t>
        </is>
      </c>
      <c r="L69" s="590" t="inlineStr">
        <is>
          <t>SQ FT</t>
        </is>
      </c>
      <c r="M69" s="590" t="n"/>
    </row>
    <row r="70" ht="16.5" customHeight="1" s="545">
      <c r="A70" s="186" t="n"/>
      <c r="B70" s="579" t="inlineStr">
        <is>
          <t>SUBJECT PROPERTY</t>
        </is>
      </c>
      <c r="C70" s="79" t="n"/>
      <c r="D70" s="79" t="n"/>
      <c r="E70" s="79" t="n"/>
      <c r="F70" s="79" t="n"/>
      <c r="G70" s="131" t="n"/>
      <c r="H70" s="79" t="n"/>
      <c r="I70" s="79" t="n"/>
      <c r="J70" s="79" t="n"/>
      <c r="K70" s="79" t="n"/>
      <c r="L70" s="79" t="n"/>
      <c r="M70" s="79" t="n"/>
    </row>
    <row r="71" ht="16.5" customHeight="1" s="545">
      <c r="A71" s="186" t="n"/>
      <c r="B71" s="588">
        <f>IF(Subj_Address="","",Subj_Address)</f>
        <v/>
      </c>
      <c r="C71" s="588" t="n"/>
      <c r="D71" s="79">
        <f>IF(D2="","",D2)</f>
        <v/>
      </c>
      <c r="E71" s="79" t="n"/>
      <c r="F71" s="79" t="n"/>
      <c r="G71" s="198">
        <f>G63</f>
        <v/>
      </c>
      <c r="H71" s="190">
        <f>H63</f>
        <v/>
      </c>
      <c r="I71" s="191" t="n"/>
      <c r="J71" s="199" t="n"/>
      <c r="K71" s="199" t="n"/>
      <c r="L71" s="200">
        <f>IF(N(H71)=0,"",ROUND(F51/H71,2))</f>
        <v/>
      </c>
      <c r="M71" s="79" t="n"/>
    </row>
    <row r="72" ht="16.5" customHeight="1" s="545">
      <c r="A72" s="579" t="inlineStr">
        <is>
          <t>Best Match 1)</t>
        </is>
      </c>
      <c r="B72" s="604">
        <f>IF(IFERROR(INDEX(Sales!D:D,$Z$72),"")="","",IFERROR(INDEX(Sales!D:D,$Z$72),""))</f>
        <v/>
      </c>
      <c r="C72" s="79" t="n"/>
      <c r="D72" s="604">
        <f>IF(IFERROR(INDEX(Sales!C:C,$Z$72),"")="","",IFERROR(INDEX(Sales!C:C,$Z$72),""))</f>
        <v/>
      </c>
      <c r="E72" s="79" t="n"/>
      <c r="F72" s="79" t="n"/>
      <c r="G72" s="111">
        <f>IF(IFERROR(INDEX(Sales!M:M,$Z$72),"")="","",IFERROR(INDEX(Sales!M:M,$Z$72),""))</f>
        <v/>
      </c>
      <c r="H72" s="190">
        <f>IF(IFERROR(INDEX(Sales!L:L,$Z$72),"")="","",IFERROR(INDEX(Sales!L:L,$Z$72),""))</f>
        <v/>
      </c>
      <c r="I72" s="191" t="n"/>
      <c r="J72" s="112">
        <f>IF(IFERROR(INDEX(Sales!I:I,$Z$72),"")="","",IFERROR(INDEX(Sales!I:I,$Z$72),""))</f>
        <v/>
      </c>
      <c r="K72" s="201">
        <f>IF(IFERROR(INDEX(Sales!AA:AA,$Z$72),"")="","",IFERROR(INDEX(Sales!AA:AA,$Z$72),""))</f>
        <v/>
      </c>
      <c r="L72" s="192">
        <f>IF(IFERROR(INDEX(Sales!H:H,$Z$72),"")="","",IFERROR(INDEX(Sales!H:H,$Z$72),""))</f>
        <v/>
      </c>
      <c r="M72" s="79" t="n"/>
      <c r="Y72" s="113" t="n">
        <v>1</v>
      </c>
      <c r="Z72">
        <f>IFERROR(MATCH(_xlfn.AGGREGATE(15,6,Sales!$AJ$2:$AJ$941,$Y$72),Sales!$AJ$2:$AJ$941,0)+1,"")</f>
        <v/>
      </c>
    </row>
    <row r="73" ht="16.5" customHeight="1" s="545">
      <c r="A73" s="579" t="inlineStr">
        <is>
          <t>Best Match 2)</t>
        </is>
      </c>
      <c r="B73" s="607">
        <f>IF(IFERROR(INDEX(Sales!D:D,$Z$73),"")="","",IFERROR(INDEX(Sales!D:D,$Z$73),""))</f>
        <v/>
      </c>
      <c r="C73" s="79" t="n"/>
      <c r="D73" s="607">
        <f>IF(IFERROR(INDEX(Sales!C:C,$Z$73),"")="","",IFERROR(INDEX(Sales!C:C,$Z$73),""))</f>
        <v/>
      </c>
      <c r="E73" s="79" t="n"/>
      <c r="F73" s="79" t="n"/>
      <c r="G73" s="122">
        <f>IF(IFERROR(INDEX(Sales!M:M,$Z$73),"")="","",IFERROR(INDEX(Sales!M:M,$Z$73),""))</f>
        <v/>
      </c>
      <c r="H73" s="194">
        <f>IF(IFERROR(INDEX(Sales!L:L,$Z$73),"")="","",IFERROR(INDEX(Sales!L:L,$Z$73),""))</f>
        <v/>
      </c>
      <c r="I73" s="191" t="n"/>
      <c r="J73" s="123">
        <f>IF(IFERROR(INDEX(Sales!I:I,$Z$73),"")="","",IFERROR(INDEX(Sales!I:I,$Z$73),""))</f>
        <v/>
      </c>
      <c r="K73" s="202">
        <f>IF(IFERROR(INDEX(Sales!AA:AA,$Z$73),"")="","",IFERROR(INDEX(Sales!AA:AA,$Z$73),""))</f>
        <v/>
      </c>
      <c r="L73" s="195">
        <f>IF(IFERROR(INDEX(Sales!H:H,$Z$73),"")="","",IFERROR(INDEX(Sales!H:H,$Z$73),""))</f>
        <v/>
      </c>
      <c r="M73" s="79" t="n"/>
      <c r="Y73" s="113" t="n">
        <v>2</v>
      </c>
      <c r="Z73">
        <f>IFERROR(MATCH(_xlfn.AGGREGATE(15,6,Sales!$AJ$2:$AJ$941,$Y$73),Sales!$AJ$2:$AJ$941,0)+1,"")</f>
        <v/>
      </c>
    </row>
    <row r="74" ht="16.5" customHeight="1" s="545">
      <c r="A74" s="579" t="inlineStr">
        <is>
          <t>Best Match 3)</t>
        </is>
      </c>
      <c r="B74" s="604">
        <f>IF(IFERROR(INDEX(Sales!D:D,$Z$74),"")="","",IFERROR(INDEX(Sales!D:D,$Z$74),""))</f>
        <v/>
      </c>
      <c r="C74" s="79" t="n"/>
      <c r="D74" s="604">
        <f>IF(IFERROR(INDEX(Sales!C:C,$Z$74),"")="","",IFERROR(INDEX(Sales!C:C,$Z$74),""))</f>
        <v/>
      </c>
      <c r="E74" s="79" t="n"/>
      <c r="F74" s="79" t="n"/>
      <c r="G74" s="111">
        <f>IF(IFERROR(INDEX(Sales!M:M,$Z$74),"")="","",IFERROR(INDEX(Sales!M:M,$Z$74),""))</f>
        <v/>
      </c>
      <c r="H74" s="190">
        <f>IF(IFERROR(INDEX(Sales!L:L,$Z$74),"")="","",IFERROR(INDEX(Sales!L:L,$Z$74),""))</f>
        <v/>
      </c>
      <c r="I74" s="191" t="n"/>
      <c r="J74" s="112">
        <f>IF(IFERROR(INDEX(Sales!I:I,$Z$74),"")="","",IFERROR(INDEX(Sales!I:I,$Z$74),""))</f>
        <v/>
      </c>
      <c r="K74" s="201">
        <f>IF(IFERROR(INDEX(Sales!AA:AA,$Z$74),"")="","",IFERROR(INDEX(Sales!AA:AA,$Z$74),""))</f>
        <v/>
      </c>
      <c r="L74" s="192">
        <f>IF(IFERROR(INDEX(Sales!H:H,$Z$74),"")="","",IFERROR(INDEX(Sales!H:H,$Z$74),""))</f>
        <v/>
      </c>
      <c r="M74" s="79" t="n"/>
      <c r="Y74" s="113" t="n">
        <v>3</v>
      </c>
      <c r="Z74">
        <f>IFERROR(MATCH(_xlfn.AGGREGATE(15,6,Sales!$AJ$2:$AJ$941,$Y$74),Sales!$AJ$2:$AJ$941,0)+1,"")</f>
        <v/>
      </c>
    </row>
  </sheetData>
  <mergeCells count="20">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29861111111111" right="0.440277777777778" top="0.759722222222222" bottom="0.420138888888889" header="0.511811023622047" footer="0.511811023622047"/>
  <pageSetup orientation="portrait" fitToHeight="0" horizontalDpi="300" verticalDpi="300"/>
  <rowBreaks count="1" manualBreakCount="1">
    <brk id="40" min="0" max="16383" man="1"/>
  </rowBreaks>
  <legacyDrawing xmlns:r="http://schemas.openxmlformats.org/officeDocument/2006/relationships" r:id="anysvml"/>
</worksheet>
</file>

<file path=xl/worksheets/sheet10.xml><?xml version="1.0" encoding="utf-8"?>
<worksheet xmlns="http://schemas.openxmlformats.org/spreadsheetml/2006/main">
  <sheetPr>
    <tabColor rgb="FF1F4E78"/>
    <outlinePr summaryBelow="1" summaryRight="1"/>
    <pageSetUpPr fitToPage="1"/>
  </sheetPr>
  <dimension ref="A1:Z48"/>
  <sheetViews>
    <sheetView showGridLines="0" zoomScaleNormal="100" workbookViewId="0">
      <selection activeCell="P15" sqref="P15"/>
    </sheetView>
  </sheetViews>
  <sheetFormatPr baseColWidth="8" defaultColWidth="12.85546875" defaultRowHeight="12.75"/>
  <cols>
    <col width="34.140625" customWidth="1" style="605" min="1" max="1"/>
    <col width="20.5703125" customWidth="1" style="605" min="2" max="2"/>
    <col width="11.42578125" customWidth="1" style="605" min="3" max="3"/>
    <col width="18.28515625" customWidth="1" style="605" min="4" max="4"/>
    <col width="8" customWidth="1" style="605" min="5" max="5"/>
    <col width="6.85546875" customWidth="1" style="605" min="6" max="6"/>
    <col width="12.5703125" customWidth="1" style="605" min="7" max="7"/>
    <col width="9.140625" customWidth="1" style="605" min="8" max="8"/>
    <col width="12.5703125" customWidth="1" style="605" min="9" max="9"/>
    <col width="10.28515625" customWidth="1" style="605" min="10" max="10"/>
    <col width="9.140625" customWidth="1" style="605" min="11" max="11"/>
    <col width="12.85546875" customWidth="1" style="605" min="12" max="24"/>
    <col hidden="1" width="6.85546875" customWidth="1" style="545" min="25" max="25"/>
    <col hidden="1" width="14.85546875" customWidth="1" style="545" min="26" max="26"/>
    <col width="12.85546875" customWidth="1" style="605" min="27" max="29"/>
    <col width="12.85546875" customWidth="1" style="605" min="30" max="16384"/>
  </cols>
  <sheetData>
    <row r="1" ht="24" customHeight="1" s="545">
      <c r="A1" s="68" t="inlineStr">
        <is>
          <t>2025 ABATEMENT WORKSHEET</t>
        </is>
      </c>
      <c r="B1" s="68" t="n"/>
      <c r="C1" s="68" t="n"/>
      <c r="D1" s="68" t="n"/>
      <c r="E1" s="68" t="n"/>
      <c r="F1" s="68" t="n"/>
      <c r="G1" s="68" t="n"/>
      <c r="H1" s="68" t="n"/>
      <c r="I1" s="68" t="n"/>
      <c r="J1" s="68" t="n"/>
      <c r="K1" s="68" t="n"/>
    </row>
    <row r="2" ht="15.75" customHeight="1" s="545">
      <c r="A2" s="170" t="inlineStr">
        <is>
          <t>ACCOUNT NUMBER</t>
        </is>
      </c>
      <c r="D2" s="203">
        <f>PI_Account</f>
        <v/>
      </c>
      <c r="E2" s="585" t="n"/>
      <c r="F2" s="585" t="n"/>
      <c r="G2" s="204" t="n"/>
      <c r="H2" s="204" t="n"/>
    </row>
    <row r="3" ht="15.75" customHeight="1" s="545">
      <c r="A3" s="170" t="inlineStr">
        <is>
          <t>PROPERTY ADDRESS</t>
        </is>
      </c>
      <c r="D3" s="203">
        <f>Subj_Address</f>
        <v/>
      </c>
      <c r="E3" s="585" t="n"/>
      <c r="F3" s="585" t="n"/>
      <c r="G3" s="205" t="n"/>
      <c r="H3" s="205" t="n"/>
    </row>
    <row r="4" ht="15.75" customHeight="1" s="545">
      <c r="A4" s="170" t="inlineStr">
        <is>
          <t>PROTEST NUMBER</t>
        </is>
      </c>
      <c r="D4" s="203">
        <f>PI_Protest</f>
        <v/>
      </c>
      <c r="E4" s="585" t="n"/>
      <c r="F4" s="585" t="n"/>
      <c r="G4" s="205" t="n"/>
      <c r="H4" s="205" t="n"/>
    </row>
    <row r="5" ht="15.75" customHeight="1" s="545">
      <c r="A5" s="170" t="inlineStr">
        <is>
          <t>PETITIONER'S NAME</t>
        </is>
      </c>
      <c r="D5" s="203">
        <f>PI_Petitioner</f>
        <v/>
      </c>
      <c r="E5" s="585" t="n"/>
      <c r="F5" s="585" t="n"/>
      <c r="G5" s="205" t="n"/>
      <c r="H5" s="205" t="n"/>
    </row>
    <row r="7" ht="15.75" customHeight="1" s="545">
      <c r="A7" s="174" t="inlineStr">
        <is>
          <t>ASSESSOR'S REMARKS:</t>
        </is>
      </c>
    </row>
    <row r="8" ht="12.75" customHeight="1" s="545">
      <c r="A8" s="591" t="inlineStr">
        <is>
          <t>Account R0194277 / Parcel 0172328302002 - 8251 Quintero Street, Commerce City. Petitioner Becknell Industrial (owner of record Colorado Brecknell Investors LLC) by Ryan, LLC. Assessor's TY2025 actual value $56,941,733; petitioner's estimate $39,994,200.
The 540,800 SF, 2018-built distribution building on a 38.81-acre site is 100% leased to three NNN tenants (Haier US Appliance Solutions, TJX, Highland Cabinetry). The petitioner's income approach uses $5.50/SF market rent, below both this analysis's 12-comparable lease-comp average ($6.42/SF) and the subject's own recently re-leased space (TJX at $7.38/SF).
Independent conclusion: $58,660,000 ($108.47/SF) - Income Capitalization $47,350,000 weighted 50%, Cost Approach $66,945,000 weighted 30%, Sales Comparison $74,500,000 weighted 20%. This figure is approximately 3% above the Assessor's assigned value and is not supportive of the petitioner's requested reduction.</t>
        </is>
      </c>
      <c r="B8" s="592" t="n"/>
      <c r="C8" s="592" t="n"/>
      <c r="D8" s="592" t="n"/>
      <c r="E8" s="592" t="n"/>
      <c r="F8" s="592" t="n"/>
      <c r="G8" s="592" t="n"/>
      <c r="H8" s="592" t="n"/>
      <c r="I8" s="592" t="n"/>
      <c r="J8" s="592" t="n"/>
      <c r="K8" s="593" t="n"/>
    </row>
    <row r="9" ht="12.75" customHeight="1" s="545">
      <c r="A9" s="594" t="n"/>
      <c r="K9" s="596" t="n"/>
    </row>
    <row r="10" ht="12.75" customHeight="1" s="545">
      <c r="A10" s="594" t="n"/>
      <c r="K10" s="596" t="n"/>
    </row>
    <row r="11" ht="12.75" customHeight="1" s="545">
      <c r="A11" s="594" t="n"/>
      <c r="K11" s="596" t="n"/>
    </row>
    <row r="12" ht="12.75" customHeight="1" s="545">
      <c r="A12" s="594" t="n"/>
      <c r="K12" s="596" t="n"/>
    </row>
    <row r="13" ht="12.75" customHeight="1" s="545">
      <c r="A13" s="594" t="n"/>
      <c r="K13" s="596" t="n"/>
    </row>
    <row r="14" ht="12.75" customHeight="1" s="545">
      <c r="A14" s="594" t="n"/>
      <c r="K14" s="596" t="n"/>
    </row>
    <row r="15" ht="12.75" customHeight="1" s="545">
      <c r="A15" s="597" t="n"/>
      <c r="B15" s="598" t="n"/>
      <c r="C15" s="598" t="n"/>
      <c r="D15" s="598" t="n"/>
      <c r="E15" s="598" t="n"/>
      <c r="F15" s="598" t="n"/>
      <c r="G15" s="598" t="n"/>
      <c r="H15" s="598" t="n"/>
      <c r="I15" s="598" t="n"/>
      <c r="J15" s="598" t="n"/>
      <c r="K15" s="599" t="n"/>
    </row>
    <row r="18" ht="16.5" customHeight="1" s="545">
      <c r="A18" s="182" t="inlineStr">
        <is>
          <t>MARKET RENT COMPARABLES</t>
        </is>
      </c>
      <c r="B18" s="183" t="n"/>
      <c r="C18" s="183" t="n"/>
      <c r="D18" s="183" t="n"/>
      <c r="E18" s="183" t="n"/>
      <c r="F18" s="183" t="n"/>
      <c r="G18" s="183" t="n"/>
      <c r="H18" s="183" t="inlineStr">
        <is>
          <t>BUILDING</t>
        </is>
      </c>
      <c r="I18" s="183" t="n"/>
      <c r="J18" s="183" t="n"/>
      <c r="K18" s="184" t="inlineStr">
        <is>
          <t>EXP</t>
        </is>
      </c>
    </row>
    <row r="19" ht="15" customHeight="1" s="545">
      <c r="A19" s="590" t="n"/>
      <c r="B19" s="590" t="inlineStr">
        <is>
          <t>OFFICE</t>
        </is>
      </c>
      <c r="C19" s="590" t="inlineStr">
        <is>
          <t>USE TYPE</t>
        </is>
      </c>
      <c r="D19" s="590" t="n"/>
      <c r="E19" s="590" t="n"/>
      <c r="F19" s="590" t="inlineStr">
        <is>
          <t>ZONE</t>
        </is>
      </c>
      <c r="G19" s="590" t="inlineStr">
        <is>
          <t>YOC</t>
        </is>
      </c>
      <c r="H19" s="590" t="inlineStr">
        <is>
          <t>SQ FT</t>
        </is>
      </c>
      <c r="I19" s="590" t="inlineStr">
        <is>
          <t>RENT</t>
        </is>
      </c>
      <c r="J19" s="590" t="inlineStr">
        <is>
          <t>VACANCY</t>
        </is>
      </c>
      <c r="K19" s="590" t="inlineStr">
        <is>
          <t>RATIO</t>
        </is>
      </c>
    </row>
    <row r="20" ht="16.5" customHeight="1" s="545">
      <c r="A20" s="206" t="n"/>
      <c r="B20" s="579" t="inlineStr">
        <is>
          <t>SUBJECT PROPERTY</t>
        </is>
      </c>
      <c r="C20" s="79" t="n"/>
      <c r="D20" s="79" t="n"/>
      <c r="E20" s="79" t="n"/>
      <c r="F20" s="131" t="n"/>
      <c r="G20" s="131" t="n"/>
      <c r="H20" s="95" t="n"/>
      <c r="I20" s="95" t="n"/>
      <c r="J20" s="95" t="n"/>
      <c r="K20" s="95" t="n"/>
    </row>
    <row r="21" ht="15" customHeight="1" s="545">
      <c r="A21" s="207" t="n"/>
      <c r="B21" s="208">
        <f>LEFT(D2,5)</f>
        <v/>
      </c>
      <c r="C21" s="588">
        <f>Subj_OccName</f>
        <v/>
      </c>
      <c r="D21" s="584" t="n"/>
      <c r="E21" s="173" t="n"/>
      <c r="F21" s="105">
        <f>Subj_Zoning</f>
        <v/>
      </c>
      <c r="G21" s="105">
        <f>Subj_YOC</f>
        <v/>
      </c>
      <c r="H21" s="209">
        <f>Subj_BldgSF</f>
        <v/>
      </c>
      <c r="I21" s="199">
        <f>WO!F11</f>
        <v/>
      </c>
      <c r="J21" s="189">
        <f>WO!F12</f>
        <v/>
      </c>
      <c r="K21" s="189">
        <f>WO!F13</f>
        <v/>
      </c>
    </row>
    <row r="22" ht="15" customHeight="1" s="545">
      <c r="A22" s="579" t="inlineStr">
        <is>
          <t>1)</t>
        </is>
      </c>
      <c r="B22" s="111">
        <f>IF(Income!D$2="","",MID(Income!D2,1,5))</f>
        <v/>
      </c>
      <c r="C22" s="604">
        <f>IF(Income!G$2="","",VLOOKUP(Income!G$2,Class,2))</f>
        <v/>
      </c>
      <c r="D22" s="587" t="n"/>
      <c r="E22" s="79" t="n"/>
      <c r="F22" s="111">
        <f>IF(Income!T$2="","",Income!T$2)</f>
        <v/>
      </c>
      <c r="G22" s="111">
        <f>IF(Income!N$2="","",Income!N$2)</f>
        <v/>
      </c>
      <c r="H22" s="190">
        <f>IF(Income!J$2="","",Income!J$2)</f>
        <v/>
      </c>
      <c r="I22" s="192">
        <f>IF(Income!K$2="","",Income!K$2)</f>
        <v/>
      </c>
      <c r="J22" s="193">
        <f>IF(Income!L$2="","",Income!L$2)</f>
        <v/>
      </c>
      <c r="K22" s="193">
        <f>IF(Income!M$2="","",Income!M$2)</f>
        <v/>
      </c>
    </row>
    <row r="23" ht="15" customHeight="1" s="545">
      <c r="A23" s="579" t="inlineStr">
        <is>
          <t>2)</t>
        </is>
      </c>
      <c r="B23" s="122">
        <f>IF(Income!D$3="","",MID(Income!D$3,1,5))</f>
        <v/>
      </c>
      <c r="C23" s="607">
        <f>IF(Income!G$3="","",VLOOKUP(Income!G$3,Class,2))</f>
        <v/>
      </c>
      <c r="D23" s="587" t="n"/>
      <c r="E23" s="79" t="n"/>
      <c r="F23" s="122">
        <f>IF(Income!T$3="","",Income!T$3)</f>
        <v/>
      </c>
      <c r="G23" s="122">
        <f>IF(Income!N$3="","",Income!N$3)</f>
        <v/>
      </c>
      <c r="H23" s="194">
        <f>IF(Income!J$3="","",Income!J$3)</f>
        <v/>
      </c>
      <c r="I23" s="195">
        <f>IF(Income!K$3="","",Income!K$3)</f>
        <v/>
      </c>
      <c r="J23" s="196">
        <f>IF(Income!L$3="","",Income!L$3)</f>
        <v/>
      </c>
      <c r="K23" s="196">
        <f>IF(Income!M$3="","",Income!M$3)</f>
        <v/>
      </c>
    </row>
    <row r="24" ht="15" customHeight="1" s="545">
      <c r="A24" s="579" t="inlineStr">
        <is>
          <t>3)</t>
        </is>
      </c>
      <c r="B24" s="111">
        <f>IF(Income!D$4="","",MID(Income!D$4,1,5))</f>
        <v/>
      </c>
      <c r="C24" s="604">
        <f>IF(Income!G$4="","",VLOOKUP(Income!G$4,Class,2))</f>
        <v/>
      </c>
      <c r="D24" s="587" t="n"/>
      <c r="E24" s="79" t="n"/>
      <c r="F24" s="111">
        <f>IF(Income!T$4="","",Income!T$4)</f>
        <v/>
      </c>
      <c r="G24" s="111">
        <f>IF(Income!N$4="","",Income!N$4)</f>
        <v/>
      </c>
      <c r="H24" s="190">
        <f>IF(Income!J$4="","",Income!J$4)</f>
        <v/>
      </c>
      <c r="I24" s="192">
        <f>IF(Income!K$4="","",Income!K$4)</f>
        <v/>
      </c>
      <c r="J24" s="193">
        <f>IF(Income!L$4="","",Income!L$4)</f>
        <v/>
      </c>
      <c r="K24" s="193">
        <f>IF(Income!M$4="","",Income!M$4)</f>
        <v/>
      </c>
    </row>
    <row r="25" ht="15.75" customHeight="1" s="545">
      <c r="A25" s="197" t="n"/>
      <c r="B25" s="197" t="n"/>
      <c r="C25" s="197" t="n"/>
      <c r="D25" s="197" t="n"/>
      <c r="E25" s="197" t="n"/>
    </row>
    <row r="26" ht="16.5" customHeight="1" s="545">
      <c r="A26" s="182" t="inlineStr">
        <is>
          <t>MARKET SALE COMPARABLES</t>
        </is>
      </c>
      <c r="B26" s="183" t="n"/>
      <c r="C26" s="183" t="n"/>
      <c r="D26" s="183" t="n"/>
      <c r="E26" s="183" t="n"/>
      <c r="F26" s="183" t="n"/>
      <c r="G26" s="183" t="n"/>
      <c r="H26" s="183" t="inlineStr">
        <is>
          <t>BUILDING</t>
        </is>
      </c>
      <c r="I26" s="183" t="inlineStr">
        <is>
          <t>SALE</t>
        </is>
      </c>
      <c r="J26" s="183" t="inlineStr">
        <is>
          <t>SALE</t>
        </is>
      </c>
      <c r="K26" s="184" t="inlineStr">
        <is>
          <t>S.P./</t>
        </is>
      </c>
    </row>
    <row r="27" ht="15" customHeight="1" s="545">
      <c r="A27" s="590" t="n"/>
      <c r="B27" s="590" t="inlineStr">
        <is>
          <t>PROPERTY ADDRESS</t>
        </is>
      </c>
      <c r="C27" s="590" t="n"/>
      <c r="D27" s="590" t="inlineStr">
        <is>
          <t>ACCOUNT NUMBER</t>
        </is>
      </c>
      <c r="E27" s="590" t="n"/>
      <c r="F27" s="590" t="n"/>
      <c r="G27" s="590" t="inlineStr">
        <is>
          <t>YOC</t>
        </is>
      </c>
      <c r="H27" s="590" t="inlineStr">
        <is>
          <t>SQ FT</t>
        </is>
      </c>
      <c r="I27" s="590" t="inlineStr">
        <is>
          <t>DATE</t>
        </is>
      </c>
      <c r="J27" s="590" t="inlineStr">
        <is>
          <t>PRICE</t>
        </is>
      </c>
      <c r="K27" s="590" t="inlineStr">
        <is>
          <t>SQ FT</t>
        </is>
      </c>
    </row>
    <row r="28" ht="16.5" customHeight="1" s="545">
      <c r="A28" s="207" t="n"/>
      <c r="B28" s="579" t="inlineStr">
        <is>
          <t>SUBJECT PROPERTY</t>
        </is>
      </c>
      <c r="C28" s="79" t="n"/>
      <c r="D28" s="79" t="n"/>
      <c r="E28" s="79" t="n"/>
      <c r="F28" s="79" t="n"/>
      <c r="G28" s="131" t="n"/>
      <c r="H28" s="79" t="n"/>
      <c r="I28" s="79" t="n"/>
      <c r="J28" s="79" t="n"/>
      <c r="K28" s="79" t="n"/>
    </row>
    <row r="29" ht="15" customHeight="1" s="545">
      <c r="A29" s="207" t="n"/>
      <c r="B29" s="606">
        <f>D3</f>
        <v/>
      </c>
      <c r="C29" s="584" t="n"/>
      <c r="D29" s="604">
        <f>D2</f>
        <v/>
      </c>
      <c r="E29" s="586" t="n"/>
      <c r="F29" s="587" t="n"/>
      <c r="G29" s="111">
        <f>G21</f>
        <v/>
      </c>
      <c r="H29" s="190">
        <f>H21</f>
        <v/>
      </c>
      <c r="I29" s="199" t="n"/>
      <c r="J29" s="199" t="n"/>
      <c r="K29" s="192">
        <f>IF(OR(N(H29)=0,N(D48)=0),"",ROUND(D48/H29,2))</f>
        <v/>
      </c>
    </row>
    <row r="30" ht="15" customHeight="1" s="545">
      <c r="A30" s="579" t="inlineStr">
        <is>
          <t>Best Match 1)</t>
        </is>
      </c>
      <c r="B30" s="604">
        <f>IF(IFERROR(INDEX(Sales!D:D,$Z$30),"")="","",IFERROR(INDEX(Sales!D:D,$Z$30),""))</f>
        <v/>
      </c>
      <c r="C30" s="587" t="n"/>
      <c r="D30" s="604">
        <f>IF(IFERROR(INDEX(Sales!C:C,$Z$30),"")="","",IFERROR(INDEX(Sales!C:C,$Z$30),""))</f>
        <v/>
      </c>
      <c r="E30" s="586" t="n"/>
      <c r="F30" s="587" t="n"/>
      <c r="G30" s="111">
        <f>IF(IFERROR(INDEX(Sales!M:M,$Z$30),"")="","",IFERROR(INDEX(Sales!M:M,$Z$30),""))</f>
        <v/>
      </c>
      <c r="H30" s="190">
        <f>IF(IFERROR(INDEX(Sales!L:L,$Z$30),"")="","",IFERROR(INDEX(Sales!L:L,$Z$30),""))</f>
        <v/>
      </c>
      <c r="I30" s="112">
        <f>IF(IFERROR(INDEX(Sales!I:I,$Z$30),"")="","",IFERROR(INDEX(Sales!I:I,$Z$30),""))</f>
        <v/>
      </c>
      <c r="J30" s="201">
        <f>IF(IFERROR(INDEX(Sales!AA:AA,$Z$30),"")="","",IFERROR(INDEX(Sales!AA:AA,$Z$30),""))</f>
        <v/>
      </c>
      <c r="K30" s="192">
        <f>IF(IFERROR(INDEX(Sales!H:H,$Z$30),"")="","",IFERROR(INDEX(Sales!H:H,$Z$30),""))</f>
        <v/>
      </c>
      <c r="Y30" s="113" t="n">
        <v>1</v>
      </c>
      <c r="Z30">
        <f>IFERROR(MATCH(_xlfn.AGGREGATE(15,6,Sales!$AJ$2:$AJ$941,$Y$30),Sales!$AJ$2:$AJ$941,0)+1,"")</f>
        <v/>
      </c>
    </row>
    <row r="31" ht="15" customHeight="1" s="545">
      <c r="A31" s="579" t="inlineStr">
        <is>
          <t>Best Match 2)</t>
        </is>
      </c>
      <c r="B31" s="607">
        <f>IF(IFERROR(INDEX(Sales!D:D,$Z$31),"")="","",IFERROR(INDEX(Sales!D:D,$Z$31),""))</f>
        <v/>
      </c>
      <c r="C31" s="587" t="n"/>
      <c r="D31" s="607">
        <f>IF(IFERROR(INDEX(Sales!C:C,$Z$31),"")="","",IFERROR(INDEX(Sales!C:C,$Z$31),""))</f>
        <v/>
      </c>
      <c r="E31" s="586" t="n"/>
      <c r="F31" s="587" t="n"/>
      <c r="G31" s="122">
        <f>IF(IFERROR(INDEX(Sales!M:M,$Z$31),"")="","",IFERROR(INDEX(Sales!M:M,$Z$31),""))</f>
        <v/>
      </c>
      <c r="H31" s="194">
        <f>IF(IFERROR(INDEX(Sales!L:L,$Z$31),"")="","",IFERROR(INDEX(Sales!L:L,$Z$31),""))</f>
        <v/>
      </c>
      <c r="I31" s="123">
        <f>IF(IFERROR(INDEX(Sales!I:I,$Z$31),"")="","",IFERROR(INDEX(Sales!I:I,$Z$31),""))</f>
        <v/>
      </c>
      <c r="J31" s="202">
        <f>IF(IFERROR(INDEX(Sales!AA:AA,$Z$31),"")="","",IFERROR(INDEX(Sales!AA:AA,$Z$31),""))</f>
        <v/>
      </c>
      <c r="K31" s="195">
        <f>IF(IFERROR(INDEX(Sales!H:H,$Z$31),"")="","",IFERROR(INDEX(Sales!H:H,$Z$31),""))</f>
        <v/>
      </c>
      <c r="Y31" s="113" t="n">
        <v>2</v>
      </c>
      <c r="Z31">
        <f>IFERROR(MATCH(_xlfn.AGGREGATE(15,6,Sales!$AJ$2:$AJ$941,$Y$31),Sales!$AJ$2:$AJ$941,0)+1,"")</f>
        <v/>
      </c>
    </row>
    <row r="32" ht="15" customHeight="1" s="545">
      <c r="A32" s="579" t="inlineStr">
        <is>
          <t>Best Match 3)</t>
        </is>
      </c>
      <c r="B32" s="604">
        <f>IF(IFERROR(INDEX(Sales!D:D,$Z$32),"")="","",IFERROR(INDEX(Sales!D:D,$Z$32),""))</f>
        <v/>
      </c>
      <c r="C32" s="587" t="n"/>
      <c r="D32" s="604">
        <f>IF(IFERROR(INDEX(Sales!C:C,$Z$32),"")="","",IFERROR(INDEX(Sales!C:C,$Z$32),""))</f>
        <v/>
      </c>
      <c r="E32" s="586" t="n"/>
      <c r="F32" s="587" t="n"/>
      <c r="G32" s="111">
        <f>IF(IFERROR(INDEX(Sales!M:M,$Z$32),"")="","",IFERROR(INDEX(Sales!M:M,$Z$32),""))</f>
        <v/>
      </c>
      <c r="H32" s="190">
        <f>IF(IFERROR(INDEX(Sales!L:L,$Z$32),"")="","",IFERROR(INDEX(Sales!L:L,$Z$32),""))</f>
        <v/>
      </c>
      <c r="I32" s="112">
        <f>IF(IFERROR(INDEX(Sales!I:I,$Z$32),"")="","",IFERROR(INDEX(Sales!I:I,$Z$32),""))</f>
        <v/>
      </c>
      <c r="J32" s="201">
        <f>IF(IFERROR(INDEX(Sales!AA:AA,$Z$32),"")="","",IFERROR(INDEX(Sales!AA:AA,$Z$32),""))</f>
        <v/>
      </c>
      <c r="K32" s="192">
        <f>IF(IFERROR(INDEX(Sales!H:H,$Z$32),"")="","",IFERROR(INDEX(Sales!H:H,$Z$32),""))</f>
        <v/>
      </c>
      <c r="Y32" s="113" t="n">
        <v>3</v>
      </c>
      <c r="Z32">
        <f>IFERROR(MATCH(_xlfn.AGGREGATE(15,6,Sales!$AJ$2:$AJ$941,$Y$32),Sales!$AJ$2:$AJ$941,0)+1,"")</f>
        <v/>
      </c>
    </row>
    <row r="34" ht="15.75" customHeight="1" s="545">
      <c r="A34" s="170" t="inlineStr">
        <is>
          <t>VALUE CONCLUSIONS:</t>
        </is>
      </c>
    </row>
    <row r="35" ht="12.75" customHeight="1" s="545">
      <c r="A35" s="591" t="inlineStr">
        <is>
          <t>RECOMMENDATION: SUSTAIN the TY2025 actual value of $56,941,733. The petitioner's requested $39,994,200 is not supported by this record: all three approaches developed independently in this analysis - including the Income Capitalization Approach, methodologically closest to the petitioner's own pro forma - exceed the requested value, with Income alone ($47,350,000) exceeding it by 18%.</t>
        </is>
      </c>
      <c r="B35" s="592" t="n"/>
      <c r="C35" s="592" t="n"/>
      <c r="D35" s="592" t="n"/>
      <c r="E35" s="592" t="n"/>
      <c r="F35" s="592" t="n"/>
      <c r="G35" s="592" t="n"/>
      <c r="H35" s="592" t="n"/>
      <c r="I35" s="592" t="n"/>
      <c r="J35" s="592" t="n"/>
      <c r="K35" s="593" t="n"/>
    </row>
    <row r="36" ht="12.75" customHeight="1" s="545">
      <c r="A36" s="594" t="n"/>
      <c r="K36" s="596" t="n"/>
    </row>
    <row r="37" ht="12.75" customHeight="1" s="545">
      <c r="A37" s="594" t="n"/>
      <c r="K37" s="596" t="n"/>
    </row>
    <row r="38" ht="12.75" customHeight="1" s="545">
      <c r="A38" s="594" t="n"/>
      <c r="K38" s="596" t="n"/>
    </row>
    <row r="39" ht="12.75" customHeight="1" s="545">
      <c r="A39" s="594" t="n"/>
      <c r="K39" s="596" t="n"/>
    </row>
    <row r="40" ht="12.75" customHeight="1" s="545">
      <c r="A40" s="594" t="n"/>
      <c r="K40" s="596" t="n"/>
    </row>
    <row r="41" ht="12.75" customHeight="1" s="545">
      <c r="A41" s="594" t="n"/>
      <c r="K41" s="596" t="n"/>
    </row>
    <row r="42" ht="12.75" customHeight="1" s="545">
      <c r="A42" s="597" t="n"/>
      <c r="B42" s="598" t="n"/>
      <c r="C42" s="598" t="n"/>
      <c r="D42" s="598" t="n"/>
      <c r="E42" s="598" t="n"/>
      <c r="F42" s="598" t="n"/>
      <c r="G42" s="598" t="n"/>
      <c r="H42" s="598" t="n"/>
      <c r="I42" s="598" t="n"/>
      <c r="J42" s="598" t="n"/>
      <c r="K42" s="599" t="n"/>
    </row>
    <row r="44" ht="16.5" customHeight="1" s="545">
      <c r="A44" s="129" t="inlineStr">
        <is>
          <t>VALUE ALLOCATION OF SUBJECT PROPERTY:</t>
        </is>
      </c>
      <c r="B44" s="129" t="n"/>
      <c r="C44" s="129" t="n"/>
      <c r="D44" s="129" t="n"/>
      <c r="E44" s="129" t="n"/>
      <c r="F44" s="129" t="n"/>
      <c r="G44" s="129" t="n"/>
      <c r="H44" s="129" t="n"/>
      <c r="I44" s="129" t="n"/>
      <c r="J44" s="129" t="n"/>
      <c r="K44" s="129" t="n"/>
    </row>
    <row r="46" ht="13.5" customHeight="1" s="545">
      <c r="A46" s="170" t="inlineStr">
        <is>
          <t>LAND VALUE:</t>
        </is>
      </c>
      <c r="D46" s="603" t="n">
        <v>11000000</v>
      </c>
      <c r="E46" s="587" t="n"/>
      <c r="G46" s="210" t="inlineStr">
        <is>
          <t>NO CHANGE</t>
        </is>
      </c>
      <c r="H46" t="n"/>
      <c r="I46" s="210" t="inlineStr">
        <is>
          <t>REDUCTION</t>
        </is>
      </c>
    </row>
    <row r="47" ht="13.5" customHeight="1" s="545">
      <c r="A47" s="170" t="inlineStr">
        <is>
          <t>IMPROVEMENT VALUE:</t>
        </is>
      </c>
      <c r="D47" s="603">
        <f>58660000-D46</f>
        <v/>
      </c>
      <c r="E47" s="587" t="n"/>
      <c r="G47" s="210" t="inlineStr">
        <is>
          <t>NO CHANGE</t>
        </is>
      </c>
      <c r="I47" s="210" t="inlineStr">
        <is>
          <t>REDUCTION</t>
        </is>
      </c>
    </row>
    <row r="48" ht="12.75" customHeight="1" s="545">
      <c r="A48" s="170" t="inlineStr">
        <is>
          <t>TOTAL VALUE:</t>
        </is>
      </c>
      <c r="D48" s="603">
        <f>D46+D47</f>
        <v/>
      </c>
      <c r="E48" s="587" t="n"/>
      <c r="G48" s="210" t="n"/>
      <c r="I48" s="210" t="n"/>
    </row>
  </sheetData>
  <mergeCells count="17">
    <mergeCell ref="D47:E47"/>
    <mergeCell ref="B30:C30"/>
    <mergeCell ref="A8:K15"/>
    <mergeCell ref="D29:F29"/>
    <mergeCell ref="C21:D21"/>
    <mergeCell ref="B29:C29"/>
    <mergeCell ref="C24:D24"/>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511811023622047" footer="0.511811023622047"/>
  <pageSetup orientation="portrait" fitToHeight="0" horizontalDpi="300" verticalDpi="300"/>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B1:M5104"/>
  <sheetViews>
    <sheetView zoomScaleNormal="100" workbookViewId="0">
      <selection activeCell="A1" sqref="A1"/>
    </sheetView>
  </sheetViews>
  <sheetFormatPr baseColWidth="8" defaultColWidth="10.28515625" defaultRowHeight="12"/>
  <cols>
    <col width="59.28515625" customWidth="1" style="545" min="2" max="2"/>
    <col width="34.140625" customWidth="1" style="545" min="3" max="3"/>
    <col width="50.140625" customWidth="1" style="545" min="4" max="4"/>
    <col width="9.140625" customWidth="1" style="545" min="5" max="5"/>
    <col width="11.42578125" customWidth="1" style="545" min="6" max="6"/>
    <col width="12.5703125" customWidth="1" style="545" min="7" max="7"/>
    <col width="11.42578125" customWidth="1" style="545" min="8" max="8"/>
    <col width="16" customWidth="1" style="545" min="9" max="9"/>
    <col width="29.5703125" customWidth="1" style="545" min="10" max="10"/>
    <col width="11.42578125" customWidth="1" style="545" min="11" max="13"/>
  </cols>
  <sheetData>
    <row r="1" ht="12" customHeight="1" s="545">
      <c r="B1" s="63" t="inlineStr">
        <is>
          <t>MARSHALL AND SWIFT (MVS) REFERENCE ENGINE -- June 2024 Ed. (Sec.99/98 multiplier inserts dated Jan 2025). COMPLETE occupancy coverage: every Class/Quality cost table in calculator Sections 11-18.</t>
        </is>
      </c>
    </row>
    <row r="2" ht="12" customHeight="1" s="545">
      <c r="B2" t="inlineStr">
        <is>
          <t>ALL WORKING INPUTS LIVE ON THE 'COST APPROACH' TAB -- this sheet is locked MVS reference/lookup data only. Go to Cost Approach to value a property.</t>
        </is>
      </c>
    </row>
    <row r="4" ht="12" customHeight="1" s="545">
      <c r="B4" t="inlineStr">
        <is>
          <t>CURRENT RESULT  (mirrors the 'Cost Approach' tab)</t>
        </is>
      </c>
    </row>
    <row r="5" ht="12" customHeight="1" s="545">
      <c r="B5" t="inlineStr">
        <is>
          <t>Total Replacement Cost New (RCN)</t>
        </is>
      </c>
      <c r="C5" s="60">
        <f>'Cost Approach'!G51</f>
        <v/>
      </c>
    </row>
    <row r="6" ht="12" customHeight="1" s="545">
      <c r="B6" t="inlineStr">
        <is>
          <t>Depreciated Value of Improvements</t>
        </is>
      </c>
      <c r="C6" s="60">
        <f>'Cost Approach'!G64</f>
        <v/>
      </c>
    </row>
    <row r="7" ht="12" customHeight="1" s="545">
      <c r="B7" t="inlineStr">
        <is>
          <t>Plus: Land Value</t>
        </is>
      </c>
      <c r="C7" s="60">
        <f>'Cost Approach'!G67</f>
        <v/>
      </c>
    </row>
    <row r="8" ht="12" customHeight="1" s="545">
      <c r="B8" t="inlineStr">
        <is>
          <t>INDICATED VALUE BY COST APPROACH</t>
        </is>
      </c>
      <c r="C8" s="60">
        <f>'Cost Approach'!G70</f>
        <v/>
      </c>
    </row>
    <row r="11" ht="12" customHeight="1" s="545">
      <c r="B11" s="63" t="inlineStr">
        <is>
          <t>MVS QUICK-REFERENCE TABLES -- DO NOT EDIT  (sourced &amp;amp; verified from the licensed MVS June 2024 edition; Sec.99/98 multiplier inserts dated Jan 2025)</t>
        </is>
      </c>
    </row>
    <row r="13" ht="12" customHeight="1" s="545">
      <c r="B13" s="63" t="inlineStr">
        <is>
          <t>REFERENCE 1 -- Class of Construction Indicators (MVS Section 1, pp.4-9)</t>
        </is>
      </c>
    </row>
    <row r="14" ht="12" customHeight="1" s="545">
      <c r="B14" t="inlineStr">
        <is>
          <t>Class</t>
        </is>
      </c>
      <c r="C14" t="inlineStr">
        <is>
          <t>Frame</t>
        </is>
      </c>
      <c r="D14" t="inlineStr">
        <is>
          <t>Floor</t>
        </is>
      </c>
      <c r="E14" t="inlineStr">
        <is>
          <t>Roof</t>
        </is>
      </c>
      <c r="F14" t="inlineStr">
        <is>
          <t>Walls</t>
        </is>
      </c>
    </row>
    <row r="15" ht="12" customHeight="1" s="54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ht="12" customHeight="1" s="545">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ht="12" customHeight="1" s="545">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ht="12" customHeight="1" s="545">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ht="12" customHeight="1" s="545">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ht="12" customHeight="1" s="545">
      <c r="B21" s="63" t="inlineStr">
        <is>
          <t>REFERENCE 2 -- Quality Tier Definitions (MVS Section 1, pp.10-12)</t>
        </is>
      </c>
    </row>
    <row r="22" ht="12" customHeight="1" s="545">
      <c r="B22" t="inlineStr">
        <is>
          <t>Quality</t>
        </is>
      </c>
      <c r="C22" t="inlineStr">
        <is>
          <t>Description</t>
        </is>
      </c>
    </row>
    <row r="23" ht="12" customHeight="1" s="545">
      <c r="B23" t="inlineStr">
        <is>
          <t>Low Cost</t>
        </is>
      </c>
      <c r="C23" t="inlineStr">
        <is>
          <t>Constructed to minimum code requirements, little regard for architectural appearance, minimum investment, little ornamentation, minimal/low-quality interior finish.</t>
        </is>
      </c>
    </row>
    <row r="24" ht="12" customHeight="1" s="545">
      <c r="B24" t="inlineStr">
        <is>
          <t>Average</t>
        </is>
      </c>
      <c r="C24" t="inlineStr">
        <is>
          <t>Largest group of buildings constructed (~50% of all buildings). Designed for maximum economic potential without pride-of-ownership amenities. Good standard code construction, simple ornamentation and finishes.</t>
        </is>
      </c>
    </row>
    <row r="25" ht="12" customHeight="1" s="545">
      <c r="B25" t="inlineStr">
        <is>
          <t>Good</t>
        </is>
      </c>
      <c r="C25" t="inlineStr">
        <is>
          <t>Designed for good appearance, comfort and convenience with an element of prestige. Higher-quality ornamental treatment, interiors designed for upper-class rentals, better lighting and mechanical work.</t>
        </is>
      </c>
    </row>
    <row r="26" ht="12" customHeight="1" s="545">
      <c r="B26" t="inlineStr">
        <is>
          <t>Excellent</t>
        </is>
      </c>
      <c r="C26" t="inlineStr">
        <is>
          <t>Prestige buildings. Part of cost is attributable to pride of ownership. Expensive finishes and fixtures; built for established professionals/institutions or high-profile tenants.</t>
        </is>
      </c>
    </row>
    <row r="28" ht="12" customHeight="1" s="545">
      <c r="B28" s="211" t="inlineStr">
        <is>
          <t>REFERENCE 3 -- Occupancy Base Cost Tables (Calculator Method, $/SF) -- every Class/Quality occupancy cost table in MVS calculator Sections 11-18</t>
        </is>
      </c>
    </row>
    <row r="29" ht="12" customHeight="1" s="545">
      <c r="B29" s="212" t="inlineStr">
        <is>
          <t>Occupancy Name</t>
        </is>
      </c>
      <c r="C29" s="212" t="inlineStr">
        <is>
          <t>MVS Code</t>
        </is>
      </c>
      <c r="D29" s="212" t="inlineStr">
        <is>
          <t>Section</t>
        </is>
      </c>
      <c r="E29" s="212" t="inlineStr">
        <is>
          <t>Page</t>
        </is>
      </c>
      <c r="F29" s="212" t="inlineStr">
        <is>
          <t>Class</t>
        </is>
      </c>
      <c r="G29" s="212" t="inlineStr">
        <is>
          <t>Quality</t>
        </is>
      </c>
      <c r="H29" s="212" t="inlineStr">
        <is>
          <t>$/SF</t>
        </is>
      </c>
      <c r="I29" s="212" t="inlineStr">
        <is>
          <t>Lookup Key</t>
        </is>
      </c>
      <c r="J29" s="212" t="inlineStr">
        <is>
          <t>Citation</t>
        </is>
      </c>
    </row>
    <row r="30" ht="12" customHeight="1" s="545">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ht="12" customHeight="1" s="545">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ht="12" customHeight="1" s="545">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ht="12" customHeight="1" s="545">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ht="12" customHeight="1" s="545">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ht="12" customHeight="1" s="54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ht="12" customHeight="1" s="545">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ht="12" customHeight="1" s="545">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ht="12" customHeight="1" s="545">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ht="12" customHeight="1" s="545">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ht="12" customHeight="1" s="545">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ht="12" customHeight="1" s="545">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ht="12" customHeight="1" s="545">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ht="12" customHeight="1" s="545">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ht="12" customHeight="1" s="545">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ht="12" customHeight="1" s="5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ht="12" customHeight="1" s="545">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ht="12" customHeight="1" s="545">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ht="12" customHeight="1" s="545">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ht="12" customHeight="1" s="545">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ht="12" customHeight="1" s="545">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ht="12" customHeight="1" s="545">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ht="12" customHeight="1" s="545">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ht="12" customHeight="1" s="545">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ht="12" customHeight="1" s="545">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ht="12" customHeight="1" s="54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ht="12" customHeight="1" s="545">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ht="12" customHeight="1" s="545">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ht="12" customHeight="1" s="545">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ht="12" customHeight="1" s="545">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ht="12" customHeight="1" s="545">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ht="12" customHeight="1" s="545">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ht="12" customHeight="1" s="545">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ht="12" customHeight="1" s="545">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ht="12" customHeight="1" s="545">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ht="12" customHeight="1" s="54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ht="12" customHeight="1" s="545">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ht="12" customHeight="1" s="545">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ht="12" customHeight="1" s="545">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ht="12" customHeight="1" s="545">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ht="12" customHeight="1" s="545">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ht="12" customHeight="1" s="545">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ht="12" customHeight="1" s="545">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ht="12" customHeight="1" s="545">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ht="12" customHeight="1" s="545">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ht="12" customHeight="1" s="54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ht="12" customHeight="1" s="545">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ht="12" customHeight="1" s="545">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ht="12" customHeight="1" s="545">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ht="12" customHeight="1" s="545">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ht="12" customHeight="1" s="545">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ht="12" customHeight="1" s="545">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ht="12" customHeight="1" s="545">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ht="12" customHeight="1" s="545">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ht="12" customHeight="1" s="545">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ht="12" customHeight="1" s="54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ht="12" customHeight="1" s="545">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ht="12" customHeight="1" s="545">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ht="12" customHeight="1" s="545">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ht="12" customHeight="1" s="545">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ht="12" customHeight="1" s="545">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ht="12" customHeight="1" s="545">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ht="12" customHeight="1" s="545">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ht="12" customHeight="1" s="545">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ht="12" customHeight="1" s="545">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ht="12" customHeight="1" s="54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ht="12" customHeight="1" s="545">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ht="12" customHeight="1" s="545">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ht="12" customHeight="1" s="545">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ht="12" customHeight="1" s="545">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ht="12" customHeight="1" s="545">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ht="12" customHeight="1" s="545">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ht="12" customHeight="1" s="545">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ht="12" customHeight="1" s="545">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ht="12" customHeight="1" s="545">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ht="12" customHeight="1" s="54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ht="12" customHeight="1" s="545">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ht="12" customHeight="1" s="545">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ht="12" customHeight="1" s="545">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ht="12" customHeight="1" s="545">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ht="12" customHeight="1" s="545">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ht="12" customHeight="1" s="545">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ht="12" customHeight="1" s="545">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ht="12" customHeight="1" s="545">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ht="12" customHeight="1" s="545">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ht="12" customHeight="1" s="54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ht="12" customHeight="1" s="545">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ht="12" customHeight="1" s="545">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ht="12" customHeight="1" s="545">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ht="12" customHeight="1" s="545">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ht="12" customHeight="1" s="545">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ht="12" customHeight="1" s="545">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ht="12" customHeight="1" s="545">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ht="12" customHeight="1" s="545">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ht="12" customHeight="1" s="545">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ht="12" customHeight="1" s="54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ht="12" customHeight="1" s="545">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ht="12" customHeight="1" s="545">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ht="12" customHeight="1" s="545">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ht="12" customHeight="1" s="545">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ht="12" customHeight="1" s="545">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ht="12" customHeight="1" s="545">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ht="12" customHeight="1" s="545">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ht="12" customHeight="1" s="545">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ht="12" customHeight="1" s="545">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ht="12" customHeight="1" s="54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ht="12" customHeight="1" s="545">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ht="12" customHeight="1" s="545">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ht="12" customHeight="1" s="545">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ht="12" customHeight="1" s="545">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ht="12" customHeight="1" s="545">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ht="12" customHeight="1" s="545">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ht="12" customHeight="1" s="545">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ht="12" customHeight="1" s="545">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ht="12" customHeight="1" s="545">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ht="12" customHeight="1" s="5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ht="12" customHeight="1" s="545">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ht="12" customHeight="1" s="545">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ht="12" customHeight="1" s="545">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ht="12" customHeight="1" s="545">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ht="12" customHeight="1" s="545">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ht="12" customHeight="1" s="545">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ht="12" customHeight="1" s="545">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ht="12" customHeight="1" s="545">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ht="12" customHeight="1" s="545">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ht="12" customHeight="1" s="54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ht="12" customHeight="1" s="545">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ht="12" customHeight="1" s="545">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ht="12" customHeight="1" s="545">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ht="12" customHeight="1" s="545">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ht="12" customHeight="1" s="545">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ht="12" customHeight="1" s="545">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ht="12" customHeight="1" s="545">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ht="12" customHeight="1" s="545">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ht="12" customHeight="1" s="545">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ht="12" customHeight="1" s="54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ht="12" customHeight="1" s="545">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ht="12" customHeight="1" s="545">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ht="12" customHeight="1" s="545">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ht="12" customHeight="1" s="545">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ht="12" customHeight="1" s="545">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ht="12" customHeight="1" s="545">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ht="12" customHeight="1" s="545">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ht="12" customHeight="1" s="545">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ht="12" customHeight="1" s="545">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ht="12" customHeight="1" s="54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ht="12" customHeight="1" s="545">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ht="12" customHeight="1" s="545">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ht="12" customHeight="1" s="545">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ht="12" customHeight="1" s="545">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ht="12" customHeight="1" s="545">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ht="12" customHeight="1" s="545">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ht="12" customHeight="1" s="545">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ht="12" customHeight="1" s="545">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ht="12" customHeight="1" s="545">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ht="12" customHeight="1" s="54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ht="12" customHeight="1" s="545">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ht="12" customHeight="1" s="545">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ht="12" customHeight="1" s="545">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ht="12" customHeight="1" s="545">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ht="12" customHeight="1" s="545">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ht="12" customHeight="1" s="545">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ht="12" customHeight="1" s="545">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ht="12" customHeight="1" s="545">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ht="12" customHeight="1" s="545">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ht="12" customHeight="1" s="54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ht="12" customHeight="1" s="545">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ht="12" customHeight="1" s="545">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ht="12" customHeight="1" s="545">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ht="12" customHeight="1" s="545">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ht="12" customHeight="1" s="545">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ht="12" customHeight="1" s="545">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ht="12" customHeight="1" s="545">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ht="12" customHeight="1" s="545">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ht="12" customHeight="1" s="545">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ht="12" customHeight="1" s="54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ht="12" customHeight="1" s="545">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ht="12" customHeight="1" s="545">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ht="12" customHeight="1" s="545">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ht="12" customHeight="1" s="545">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ht="12" customHeight="1" s="545">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ht="12" customHeight="1" s="545">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ht="12" customHeight="1" s="545">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ht="12" customHeight="1" s="545">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ht="12" customHeight="1" s="545">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ht="12" customHeight="1" s="54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ht="12" customHeight="1" s="545">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ht="12" customHeight="1" s="545">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ht="12" customHeight="1" s="545">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ht="12" customHeight="1" s="545">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ht="12" customHeight="1" s="545">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ht="12" customHeight="1" s="545">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ht="12" customHeight="1" s="545">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ht="12" customHeight="1" s="545">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ht="12" customHeight="1" s="545">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ht="12" customHeight="1" s="54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ht="12" customHeight="1" s="545">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ht="12" customHeight="1" s="545">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ht="12" customHeight="1" s="545">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ht="12" customHeight="1" s="545">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ht="12" customHeight="1" s="545">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ht="12" customHeight="1" s="545">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ht="12" customHeight="1" s="545">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ht="12" customHeight="1" s="545">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ht="12" customHeight="1" s="545">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ht="12" customHeight="1" s="54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ht="12" customHeight="1" s="545">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ht="12" customHeight="1" s="545">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ht="12" customHeight="1" s="545">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ht="12" customHeight="1" s="545">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ht="12" customHeight="1" s="545">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ht="12" customHeight="1" s="545">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ht="12" customHeight="1" s="545">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ht="12" customHeight="1" s="545">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ht="12" customHeight="1" s="545">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ht="12" customHeight="1" s="5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ht="12" customHeight="1" s="545">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ht="12" customHeight="1" s="545">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ht="12" customHeight="1" s="545">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ht="12" customHeight="1" s="545">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ht="12" customHeight="1" s="545">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ht="12" customHeight="1" s="545">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ht="12" customHeight="1" s="545">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ht="12" customHeight="1" s="545">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ht="12" customHeight="1" s="545">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ht="12" customHeight="1" s="54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ht="12" customHeight="1" s="545">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ht="12" customHeight="1" s="545">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ht="12" customHeight="1" s="545">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ht="12" customHeight="1" s="545">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ht="12" customHeight="1" s="545">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ht="12" customHeight="1" s="545">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ht="12" customHeight="1" s="545">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ht="12" customHeight="1" s="545">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ht="12" customHeight="1" s="545">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ht="12" customHeight="1" s="54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ht="12" customHeight="1" s="545">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ht="12" customHeight="1" s="545">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ht="12" customHeight="1" s="545">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ht="12" customHeight="1" s="545">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ht="12" customHeight="1" s="545">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ht="12" customHeight="1" s="545">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ht="12" customHeight="1" s="545">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ht="12" customHeight="1" s="545">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ht="12" customHeight="1" s="545">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ht="12" customHeight="1" s="54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ht="12" customHeight="1" s="545">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ht="12" customHeight="1" s="545">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ht="12" customHeight="1" s="545">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ht="12" customHeight="1" s="545">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ht="12" customHeight="1" s="545">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ht="12" customHeight="1" s="545">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ht="12" customHeight="1" s="545">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ht="12" customHeight="1" s="545">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ht="12" customHeight="1" s="545">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ht="12" customHeight="1" s="54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ht="12" customHeight="1" s="545">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ht="12" customHeight="1" s="545">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ht="12" customHeight="1" s="545">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ht="12" customHeight="1" s="545">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ht="12" customHeight="1" s="545">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ht="12" customHeight="1" s="545">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ht="12" customHeight="1" s="545">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ht="12" customHeight="1" s="545">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ht="12" customHeight="1" s="545">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ht="12" customHeight="1" s="54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ht="12" customHeight="1" s="545">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ht="12" customHeight="1" s="545">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ht="12" customHeight="1" s="545">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ht="12" customHeight="1" s="545">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ht="12" customHeight="1" s="545">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ht="12" customHeight="1" s="545">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ht="12" customHeight="1" s="545">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ht="12" customHeight="1" s="545">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ht="12" customHeight="1" s="545">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ht="12" customHeight="1" s="54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ht="12" customHeight="1" s="545">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ht="12" customHeight="1" s="545">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ht="12" customHeight="1" s="545">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ht="12" customHeight="1" s="545">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ht="12" customHeight="1" s="545">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ht="12" customHeight="1" s="545">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ht="12" customHeight="1" s="545">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ht="12" customHeight="1" s="545">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ht="12" customHeight="1" s="545">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ht="12" customHeight="1" s="54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ht="12" customHeight="1" s="545">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ht="12" customHeight="1" s="545">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ht="12" customHeight="1" s="545">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ht="12" customHeight="1" s="545">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ht="12" customHeight="1" s="545">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ht="12" customHeight="1" s="545">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ht="12" customHeight="1" s="545">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ht="12" customHeight="1" s="545">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ht="12" customHeight="1" s="545">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ht="12" customHeight="1" s="54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ht="12" customHeight="1" s="545">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ht="12" customHeight="1" s="545">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ht="12" customHeight="1" s="545">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ht="12" customHeight="1" s="545">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ht="12" customHeight="1" s="545">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ht="12" customHeight="1" s="545">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ht="12" customHeight="1" s="545">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ht="12" customHeight="1" s="545">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ht="12" customHeight="1" s="545">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ht="12" customHeight="1" s="54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ht="12" customHeight="1" s="545">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ht="12" customHeight="1" s="545">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ht="12" customHeight="1" s="545">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ht="12" customHeight="1" s="545">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ht="12" customHeight="1" s="545">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ht="12" customHeight="1" s="545">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ht="12" customHeight="1" s="545">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ht="12" customHeight="1" s="545">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ht="12" customHeight="1" s="545">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ht="12" customHeight="1" s="5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ht="12" customHeight="1" s="545">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ht="12" customHeight="1" s="545">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ht="12" customHeight="1" s="545">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ht="12" customHeight="1" s="545">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ht="12" customHeight="1" s="545">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ht="12" customHeight="1" s="545">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ht="12" customHeight="1" s="545">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ht="12" customHeight="1" s="545">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ht="12" customHeight="1" s="545">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ht="12" customHeight="1" s="54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ht="12" customHeight="1" s="545">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ht="12" customHeight="1" s="545">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ht="12" customHeight="1" s="545">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ht="12" customHeight="1" s="545">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ht="12" customHeight="1" s="545">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ht="12" customHeight="1" s="545">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ht="12" customHeight="1" s="545">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ht="12" customHeight="1" s="545">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ht="12" customHeight="1" s="545">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ht="12" customHeight="1" s="54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ht="12" customHeight="1" s="545">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ht="12" customHeight="1" s="545">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ht="12" customHeight="1" s="545">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ht="12" customHeight="1" s="545">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ht="12" customHeight="1" s="545">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ht="12" customHeight="1" s="545">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ht="12" customHeight="1" s="545">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ht="12" customHeight="1" s="545">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ht="12" customHeight="1" s="545">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ht="12" customHeight="1" s="54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ht="12" customHeight="1" s="545">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ht="12" customHeight="1" s="545">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ht="12" customHeight="1" s="545">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ht="12" customHeight="1" s="545">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ht="12" customHeight="1" s="545">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ht="12" customHeight="1" s="545">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ht="12" customHeight="1" s="545">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ht="12" customHeight="1" s="545">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ht="12" customHeight="1" s="545">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ht="12" customHeight="1" s="54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ht="12" customHeight="1" s="545">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ht="12" customHeight="1" s="545">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ht="12" customHeight="1" s="545">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ht="12" customHeight="1" s="545">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ht="12" customHeight="1" s="545">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ht="12" customHeight="1" s="545">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ht="12" customHeight="1" s="545">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ht="12" customHeight="1" s="545">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ht="12" customHeight="1" s="545">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ht="12" customHeight="1" s="54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ht="12" customHeight="1" s="545">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ht="12" customHeight="1" s="545">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ht="12" customHeight="1" s="545">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ht="12" customHeight="1" s="545">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ht="12" customHeight="1" s="545">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ht="12" customHeight="1" s="545">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ht="12" customHeight="1" s="545">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ht="12" customHeight="1" s="545">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ht="12" customHeight="1" s="545">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ht="12" customHeight="1" s="54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ht="12" customHeight="1" s="545">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ht="12" customHeight="1" s="545">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ht="12" customHeight="1" s="545">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ht="12" customHeight="1" s="545">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ht="12" customHeight="1" s="545">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ht="12" customHeight="1" s="545">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ht="12" customHeight="1" s="545">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ht="12" customHeight="1" s="545">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ht="12" customHeight="1" s="545">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ht="12" customHeight="1" s="54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ht="12" customHeight="1" s="545">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ht="12" customHeight="1" s="545">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ht="12" customHeight="1" s="545">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ht="12" customHeight="1" s="545">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ht="12" customHeight="1" s="545">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ht="12" customHeight="1" s="545">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ht="12" customHeight="1" s="545">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ht="12" customHeight="1" s="545">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ht="12" customHeight="1" s="545">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ht="12" customHeight="1" s="54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ht="12" customHeight="1" s="545">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ht="12" customHeight="1" s="545">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ht="12" customHeight="1" s="545">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ht="12" customHeight="1" s="545">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ht="12" customHeight="1" s="545">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ht="12" customHeight="1" s="545">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ht="12" customHeight="1" s="545">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ht="12" customHeight="1" s="545">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ht="12" customHeight="1" s="545">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ht="12" customHeight="1" s="54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ht="12" customHeight="1" s="545">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ht="12" customHeight="1" s="545">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ht="12" customHeight="1" s="545">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ht="12" customHeight="1" s="545">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ht="12" customHeight="1" s="545">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ht="12" customHeight="1" s="545">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ht="12" customHeight="1" s="545">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ht="12" customHeight="1" s="545">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ht="12" customHeight="1" s="545">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ht="12" customHeight="1" s="5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ht="12" customHeight="1" s="545">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ht="12" customHeight="1" s="545">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ht="12" customHeight="1" s="545">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ht="12" customHeight="1" s="545">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ht="12" customHeight="1" s="545">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ht="12" customHeight="1" s="545">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ht="12" customHeight="1" s="545">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ht="12" customHeight="1" s="545">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ht="12" customHeight="1" s="545">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ht="12" customHeight="1" s="54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ht="12" customHeight="1" s="545">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ht="12" customHeight="1" s="545">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ht="12" customHeight="1" s="545">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ht="12" customHeight="1" s="545">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ht="12" customHeight="1" s="545">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ht="12" customHeight="1" s="545">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ht="12" customHeight="1" s="545">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ht="12" customHeight="1" s="545">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ht="12" customHeight="1" s="545">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ht="12" customHeight="1" s="54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ht="12" customHeight="1" s="545">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ht="12" customHeight="1" s="545">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ht="12" customHeight="1" s="545">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ht="12" customHeight="1" s="545">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ht="12" customHeight="1" s="545">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ht="12" customHeight="1" s="545">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ht="12" customHeight="1" s="545">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ht="12" customHeight="1" s="545">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ht="12" customHeight="1" s="545">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ht="12" customHeight="1" s="54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ht="12" customHeight="1" s="545">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ht="12" customHeight="1" s="545">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ht="12" customHeight="1" s="545">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ht="12" customHeight="1" s="545">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ht="12" customHeight="1" s="545">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ht="12" customHeight="1" s="545">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ht="12" customHeight="1" s="545">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ht="12" customHeight="1" s="545">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ht="12" customHeight="1" s="545">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ht="12" customHeight="1" s="54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ht="12" customHeight="1" s="545">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ht="12" customHeight="1" s="545">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ht="12" customHeight="1" s="545">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ht="12" customHeight="1" s="545">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ht="12" customHeight="1" s="545">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ht="12" customHeight="1" s="545">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ht="12" customHeight="1" s="545">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ht="12" customHeight="1" s="545">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ht="12" customHeight="1" s="545">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ht="12" customHeight="1" s="54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ht="12" customHeight="1" s="545">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ht="12" customHeight="1" s="545">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ht="12" customHeight="1" s="545">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ht="12" customHeight="1" s="545">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ht="12" customHeight="1" s="545">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ht="12" customHeight="1" s="545">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ht="12" customHeight="1" s="545">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ht="12" customHeight="1" s="545">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ht="12" customHeight="1" s="545">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ht="12" customHeight="1" s="54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ht="12" customHeight="1" s="545">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ht="12" customHeight="1" s="545">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ht="12" customHeight="1" s="545">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ht="12" customHeight="1" s="545">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ht="12" customHeight="1" s="545">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ht="12" customHeight="1" s="545">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ht="12" customHeight="1" s="545">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ht="12" customHeight="1" s="545">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ht="12" customHeight="1" s="545">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ht="12" customHeight="1" s="54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ht="12" customHeight="1" s="545">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ht="12" customHeight="1" s="545">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ht="12" customHeight="1" s="545">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ht="12" customHeight="1" s="545">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ht="12" customHeight="1" s="545">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ht="12" customHeight="1" s="545">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ht="12" customHeight="1" s="545">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ht="12" customHeight="1" s="545">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ht="12" customHeight="1" s="545">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ht="12" customHeight="1" s="54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ht="12" customHeight="1" s="545">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ht="12" customHeight="1" s="545">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ht="12" customHeight="1" s="545">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ht="12" customHeight="1" s="545">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ht="12" customHeight="1" s="545">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ht="12" customHeight="1" s="545">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ht="12" customHeight="1" s="545">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ht="12" customHeight="1" s="545">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ht="12" customHeight="1" s="545">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ht="12" customHeight="1" s="54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ht="12" customHeight="1" s="545">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ht="12" customHeight="1" s="545">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ht="12" customHeight="1" s="545">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ht="12" customHeight="1" s="545">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ht="12" customHeight="1" s="545">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ht="12" customHeight="1" s="545">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ht="12" customHeight="1" s="545">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ht="12" customHeight="1" s="545">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ht="12" customHeight="1" s="545">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ht="12" customHeight="1" s="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ht="12" customHeight="1" s="545">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ht="12" customHeight="1" s="545">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ht="12" customHeight="1" s="545">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ht="12" customHeight="1" s="545">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ht="12" customHeight="1" s="545">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ht="12" customHeight="1" s="545">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ht="12" customHeight="1" s="545">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ht="12" customHeight="1" s="545">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ht="12" customHeight="1" s="545">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ht="12" customHeight="1" s="54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ht="12" customHeight="1" s="545">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ht="12" customHeight="1" s="545">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ht="12" customHeight="1" s="545">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ht="12" customHeight="1" s="545">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ht="12" customHeight="1" s="545">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ht="12" customHeight="1" s="545">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ht="12" customHeight="1" s="545">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ht="12" customHeight="1" s="545">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ht="12" customHeight="1" s="545">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ht="12" customHeight="1" s="54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ht="12" customHeight="1" s="545">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ht="12" customHeight="1" s="545">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ht="12" customHeight="1" s="545">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ht="12" customHeight="1" s="545">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ht="12" customHeight="1" s="545">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ht="12" customHeight="1" s="545">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ht="12" customHeight="1" s="545">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ht="12" customHeight="1" s="545">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ht="12" customHeight="1" s="545">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ht="12" customHeight="1" s="54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ht="12" customHeight="1" s="545">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ht="12" customHeight="1" s="545">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ht="12" customHeight="1" s="545">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ht="12" customHeight="1" s="545">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ht="12" customHeight="1" s="545">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ht="12" customHeight="1" s="545">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ht="12" customHeight="1" s="545">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ht="12" customHeight="1" s="545">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ht="12" customHeight="1" s="545">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ht="12" customHeight="1" s="54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ht="12" customHeight="1" s="545">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ht="12" customHeight="1" s="545">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ht="12" customHeight="1" s="545">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ht="12" customHeight="1" s="545">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ht="12" customHeight="1" s="545">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ht="12" customHeight="1" s="545">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ht="12" customHeight="1" s="545">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ht="12" customHeight="1" s="545">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ht="12" customHeight="1" s="545">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ht="12" customHeight="1" s="54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ht="12" customHeight="1" s="545">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ht="12" customHeight="1" s="545">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ht="12" customHeight="1" s="545">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ht="12" customHeight="1" s="545">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ht="12" customHeight="1" s="545">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ht="12" customHeight="1" s="545">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ht="12" customHeight="1" s="545">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ht="12" customHeight="1" s="545">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ht="12" customHeight="1" s="545">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ht="12" customHeight="1" s="54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ht="12" customHeight="1" s="545">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ht="12" customHeight="1" s="545">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ht="12" customHeight="1" s="545">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ht="12" customHeight="1" s="545">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ht="12" customHeight="1" s="545">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ht="12" customHeight="1" s="545">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ht="12" customHeight="1" s="545">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ht="12" customHeight="1" s="545">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ht="12" customHeight="1" s="545">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ht="12" customHeight="1" s="54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ht="12" customHeight="1" s="545">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ht="12" customHeight="1" s="545">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ht="12" customHeight="1" s="545">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ht="12" customHeight="1" s="545">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ht="12" customHeight="1" s="545">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ht="12" customHeight="1" s="545">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ht="12" customHeight="1" s="545">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ht="12" customHeight="1" s="545">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ht="12" customHeight="1" s="545">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ht="12" customHeight="1" s="54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ht="12" customHeight="1" s="545">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ht="12" customHeight="1" s="545">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ht="12" customHeight="1" s="545">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ht="12" customHeight="1" s="545">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ht="12" customHeight="1" s="545">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ht="12" customHeight="1" s="545">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ht="12" customHeight="1" s="545">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ht="12" customHeight="1" s="545">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ht="12" customHeight="1" s="545">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ht="12" customHeight="1" s="54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ht="12" customHeight="1" s="545">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ht="12" customHeight="1" s="545">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ht="12" customHeight="1" s="545">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ht="12" customHeight="1" s="545">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ht="12" customHeight="1" s="545">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ht="12" customHeight="1" s="545">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ht="12" customHeight="1" s="545">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ht="12" customHeight="1" s="545">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ht="12" customHeight="1" s="545">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ht="12" customHeight="1" s="5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ht="12" customHeight="1" s="545">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ht="12" customHeight="1" s="545">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ht="12" customHeight="1" s="545">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ht="12" customHeight="1" s="545">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ht="12" customHeight="1" s="545">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ht="12" customHeight="1" s="545">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ht="12" customHeight="1" s="545">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ht="12" customHeight="1" s="545">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ht="12" customHeight="1" s="545">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ht="12" customHeight="1" s="54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ht="12" customHeight="1" s="545">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ht="12" customHeight="1" s="545">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ht="12" customHeight="1" s="545">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ht="12" customHeight="1" s="545">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ht="12" customHeight="1" s="545">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ht="12" customHeight="1" s="545">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ht="12" customHeight="1" s="545">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ht="12" customHeight="1" s="545">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ht="12" customHeight="1" s="545">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ht="12" customHeight="1" s="54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ht="12" customHeight="1" s="545">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ht="12" customHeight="1" s="545">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ht="12" customHeight="1" s="545">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ht="12" customHeight="1" s="545">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ht="12" customHeight="1" s="545">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ht="12" customHeight="1" s="545">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ht="12" customHeight="1" s="545">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ht="12" customHeight="1" s="545">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ht="12" customHeight="1" s="545">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ht="12" customHeight="1" s="54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ht="12" customHeight="1" s="545">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ht="12" customHeight="1" s="545">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ht="12" customHeight="1" s="545">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ht="12" customHeight="1" s="545">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ht="12" customHeight="1" s="545">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ht="12" customHeight="1" s="545">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ht="12" customHeight="1" s="545">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ht="12" customHeight="1" s="545">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ht="12" customHeight="1" s="545">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ht="12" customHeight="1" s="54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ht="12" customHeight="1" s="545">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ht="12" customHeight="1" s="545">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ht="12" customHeight="1" s="545">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ht="12" customHeight="1" s="545">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ht="12" customHeight="1" s="545">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ht="12" customHeight="1" s="545">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ht="12" customHeight="1" s="545">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ht="12" customHeight="1" s="545">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ht="12" customHeight="1" s="545">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ht="12" customHeight="1" s="54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ht="12" customHeight="1" s="545">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ht="12" customHeight="1" s="545">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ht="12" customHeight="1" s="545">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ht="12" customHeight="1" s="545">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ht="12" customHeight="1" s="545">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ht="12" customHeight="1" s="545">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ht="12" customHeight="1" s="545">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ht="12" customHeight="1" s="545">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ht="12" customHeight="1" s="545">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ht="12" customHeight="1" s="54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ht="12" customHeight="1" s="545">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ht="12" customHeight="1" s="545">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ht="12" customHeight="1" s="545">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ht="12" customHeight="1" s="545">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ht="12" customHeight="1" s="545">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ht="12" customHeight="1" s="545">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ht="12" customHeight="1" s="545">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ht="12" customHeight="1" s="545">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ht="12" customHeight="1" s="545">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ht="12" customHeight="1" s="54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ht="12" customHeight="1" s="545">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ht="12" customHeight="1" s="545">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ht="12" customHeight="1" s="545">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ht="12" customHeight="1" s="545">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ht="12" customHeight="1" s="545">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ht="12" customHeight="1" s="545">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ht="12" customHeight="1" s="545">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ht="12" customHeight="1" s="545">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ht="12" customHeight="1" s="545">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ht="12" customHeight="1" s="54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ht="12" customHeight="1" s="545">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ht="12" customHeight="1" s="545">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ht="12" customHeight="1" s="545">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ht="12" customHeight="1" s="545">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ht="12" customHeight="1" s="545">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ht="12" customHeight="1" s="545">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ht="12" customHeight="1" s="545">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ht="12" customHeight="1" s="545">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ht="12" customHeight="1" s="545">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ht="12" customHeight="1" s="54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ht="12" customHeight="1" s="545">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ht="12" customHeight="1" s="545">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ht="12" customHeight="1" s="545">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ht="12" customHeight="1" s="545">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ht="12" customHeight="1" s="545">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ht="12" customHeight="1" s="545">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ht="12" customHeight="1" s="545">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ht="12" customHeight="1" s="545">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ht="12" customHeight="1" s="545">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ht="12" customHeight="1" s="5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ht="12" customHeight="1" s="545">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ht="12" customHeight="1" s="545">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ht="12" customHeight="1" s="545">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ht="12" customHeight="1" s="545">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ht="12" customHeight="1" s="545">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ht="12" customHeight="1" s="545">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ht="12" customHeight="1" s="545">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ht="12" customHeight="1" s="545">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ht="12" customHeight="1" s="545">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ht="12" customHeight="1" s="54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ht="12" customHeight="1" s="545">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ht="12" customHeight="1" s="545">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ht="12" customHeight="1" s="545">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ht="12" customHeight="1" s="545">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ht="12" customHeight="1" s="545">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ht="12" customHeight="1" s="545">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ht="12" customHeight="1" s="545">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ht="12" customHeight="1" s="545">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ht="12" customHeight="1" s="545">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ht="12" customHeight="1" s="54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ht="12" customHeight="1" s="545">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ht="12" customHeight="1" s="545">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ht="12" customHeight="1" s="545">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ht="12" customHeight="1" s="545">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ht="12" customHeight="1" s="545">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ht="12" customHeight="1" s="545">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ht="12" customHeight="1" s="545">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ht="12" customHeight="1" s="545">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ht="12" customHeight="1" s="545">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ht="12" customHeight="1" s="54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ht="12" customHeight="1" s="545">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ht="12" customHeight="1" s="545">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ht="12" customHeight="1" s="545">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ht="12" customHeight="1" s="545">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ht="12" customHeight="1" s="545">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ht="12" customHeight="1" s="545">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ht="12" customHeight="1" s="545">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ht="12" customHeight="1" s="545">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ht="12" customHeight="1" s="545">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ht="12" customHeight="1" s="54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ht="12" customHeight="1" s="545">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ht="12" customHeight="1" s="545">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ht="12" customHeight="1" s="545">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ht="12" customHeight="1" s="545">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ht="12" customHeight="1" s="545">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ht="12" customHeight="1" s="545">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ht="12" customHeight="1" s="545">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ht="12" customHeight="1" s="545">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ht="12" customHeight="1" s="545">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ht="12" customHeight="1" s="54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ht="12" customHeight="1" s="545">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ht="12" customHeight="1" s="545">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ht="12" customHeight="1" s="545">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ht="12" customHeight="1" s="545">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ht="12" customHeight="1" s="545">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ht="12" customHeight="1" s="545">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ht="12" customHeight="1" s="545">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ht="12" customHeight="1" s="545">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ht="12" customHeight="1" s="545">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ht="12" customHeight="1" s="54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ht="12" customHeight="1" s="545">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ht="12" customHeight="1" s="545">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ht="12" customHeight="1" s="545">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ht="12" customHeight="1" s="545">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ht="12" customHeight="1" s="545">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ht="12" customHeight="1" s="545">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ht="12" customHeight="1" s="545">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ht="12" customHeight="1" s="545">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ht="12" customHeight="1" s="545">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ht="12" customHeight="1" s="54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ht="12" customHeight="1" s="545">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ht="12" customHeight="1" s="545">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ht="12" customHeight="1" s="545">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ht="12" customHeight="1" s="545">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ht="12" customHeight="1" s="545">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ht="12" customHeight="1" s="545">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ht="12" customHeight="1" s="545">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ht="12" customHeight="1" s="545">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ht="12" customHeight="1" s="545">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ht="12" customHeight="1" s="54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ht="12" customHeight="1" s="545">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ht="12" customHeight="1" s="545">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ht="12" customHeight="1" s="545">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ht="12" customHeight="1" s="545">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ht="12" customHeight="1" s="545">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ht="12" customHeight="1" s="545">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ht="12" customHeight="1" s="545">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ht="12" customHeight="1" s="545">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ht="12" customHeight="1" s="545">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ht="12" customHeight="1" s="54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ht="12" customHeight="1" s="545">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ht="12" customHeight="1" s="545">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ht="12" customHeight="1" s="545">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ht="12" customHeight="1" s="545">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ht="12" customHeight="1" s="545">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ht="12" customHeight="1" s="545">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ht="12" customHeight="1" s="545">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ht="12" customHeight="1" s="545">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ht="12" customHeight="1" s="545">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ht="12" customHeight="1" s="5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ht="12" customHeight="1" s="545">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ht="12" customHeight="1" s="545">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ht="12" customHeight="1" s="545">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ht="12" customHeight="1" s="545">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ht="12" customHeight="1" s="545">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ht="12" customHeight="1" s="545">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ht="12" customHeight="1" s="545">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ht="12" customHeight="1" s="545">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ht="12" customHeight="1" s="545">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ht="12" customHeight="1" s="54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ht="12" customHeight="1" s="545">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ht="12" customHeight="1" s="545">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ht="12" customHeight="1" s="545">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ht="12" customHeight="1" s="545">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ht="12" customHeight="1" s="545">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ht="12" customHeight="1" s="545">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ht="12" customHeight="1" s="545">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ht="12" customHeight="1" s="545">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ht="12" customHeight="1" s="545">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ht="12" customHeight="1" s="54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ht="12" customHeight="1" s="545">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ht="12" customHeight="1" s="545">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ht="12" customHeight="1" s="545">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ht="12" customHeight="1" s="545">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ht="12" customHeight="1" s="545">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ht="12" customHeight="1" s="545">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ht="12" customHeight="1" s="545">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ht="12" customHeight="1" s="545">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ht="12" customHeight="1" s="545">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ht="12" customHeight="1" s="54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ht="12" customHeight="1" s="545">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ht="12" customHeight="1" s="545">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ht="12" customHeight="1" s="545">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ht="12" customHeight="1" s="545">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ht="12" customHeight="1" s="545">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ht="12" customHeight="1" s="545">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ht="12" customHeight="1" s="545">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ht="12" customHeight="1" s="545">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ht="12" customHeight="1" s="545">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ht="12" customHeight="1" s="54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ht="12" customHeight="1" s="545">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ht="12" customHeight="1" s="545">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ht="12" customHeight="1" s="545">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ht="12" customHeight="1" s="545">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ht="12" customHeight="1" s="545">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ht="12" customHeight="1" s="545">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ht="12" customHeight="1" s="545">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ht="12" customHeight="1" s="545">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ht="12" customHeight="1" s="545">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ht="12" customHeight="1" s="54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ht="12" customHeight="1" s="545">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ht="12" customHeight="1" s="545">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ht="12" customHeight="1" s="545">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ht="12" customHeight="1" s="545">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ht="12" customHeight="1" s="545">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ht="12" customHeight="1" s="545">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ht="12" customHeight="1" s="545">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ht="12" customHeight="1" s="545">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ht="12" customHeight="1" s="545">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ht="12" customHeight="1" s="54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ht="12" customHeight="1" s="545">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ht="12" customHeight="1" s="545">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ht="12" customHeight="1" s="545">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ht="12" customHeight="1" s="545">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ht="12" customHeight="1" s="545">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ht="12" customHeight="1" s="545">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ht="12" customHeight="1" s="545">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ht="12" customHeight="1" s="545">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ht="12" customHeight="1" s="545">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ht="12" customHeight="1" s="54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ht="12" customHeight="1" s="545">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ht="12" customHeight="1" s="545">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ht="12" customHeight="1" s="545">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ht="12" customHeight="1" s="545">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ht="12" customHeight="1" s="545">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ht="12" customHeight="1" s="545">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ht="12" customHeight="1" s="545">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ht="12" customHeight="1" s="545">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ht="12" customHeight="1" s="545">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ht="12" customHeight="1" s="54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ht="12" customHeight="1" s="545">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ht="12" customHeight="1" s="545">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ht="12" customHeight="1" s="545">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ht="12" customHeight="1" s="545">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ht="12" customHeight="1" s="545">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ht="12" customHeight="1" s="545">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ht="12" customHeight="1" s="545">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ht="12" customHeight="1" s="545">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ht="12" customHeight="1" s="545">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ht="12" customHeight="1" s="54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ht="12" customHeight="1" s="545">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ht="12" customHeight="1" s="545">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ht="12" customHeight="1" s="545">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ht="12" customHeight="1" s="545">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ht="12" customHeight="1" s="545">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ht="12" customHeight="1" s="545">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ht="12" customHeight="1" s="545">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ht="12" customHeight="1" s="545">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ht="12" customHeight="1" s="545">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ht="12" customHeight="1" s="5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ht="12" customHeight="1" s="545">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ht="12" customHeight="1" s="545">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ht="12" customHeight="1" s="545">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ht="12" customHeight="1" s="545">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ht="12" customHeight="1" s="545">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ht="12" customHeight="1" s="545">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ht="12" customHeight="1" s="545">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ht="12" customHeight="1" s="545">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ht="12" customHeight="1" s="545">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ht="12" customHeight="1" s="54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ht="12" customHeight="1" s="545">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ht="12" customHeight="1" s="545">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ht="12" customHeight="1" s="545">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ht="12" customHeight="1" s="545">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ht="12" customHeight="1" s="545">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ht="12" customHeight="1" s="545">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ht="12" customHeight="1" s="545">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ht="12" customHeight="1" s="545">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ht="12" customHeight="1" s="545">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ht="12" customHeight="1" s="54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ht="12" customHeight="1" s="545">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ht="12" customHeight="1" s="545">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ht="12" customHeight="1" s="545">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ht="12" customHeight="1" s="545">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ht="12" customHeight="1" s="545">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ht="12" customHeight="1" s="545">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ht="12" customHeight="1" s="545">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ht="12" customHeight="1" s="545">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ht="12" customHeight="1" s="545">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ht="12" customHeight="1" s="54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ht="12" customHeight="1" s="545">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ht="12" customHeight="1" s="545">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ht="12" customHeight="1" s="545">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ht="12" customHeight="1" s="545">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ht="12" customHeight="1" s="545">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ht="12" customHeight="1" s="545">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ht="12" customHeight="1" s="545">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ht="12" customHeight="1" s="545">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ht="12" customHeight="1" s="545">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ht="12" customHeight="1" s="54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ht="12" customHeight="1" s="545">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ht="12" customHeight="1" s="545">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ht="12" customHeight="1" s="545">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ht="12" customHeight="1" s="545">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ht="12" customHeight="1" s="545">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ht="12" customHeight="1" s="545">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ht="12" customHeight="1" s="545">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ht="12" customHeight="1" s="545">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ht="12" customHeight="1" s="545">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ht="12" customHeight="1" s="54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ht="12" customHeight="1" s="545">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ht="12" customHeight="1" s="545">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ht="12" customHeight="1" s="545">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ht="12" customHeight="1" s="545">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ht="12" customHeight="1" s="545">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ht="12" customHeight="1" s="545">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ht="12" customHeight="1" s="545">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ht="12" customHeight="1" s="545">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ht="12" customHeight="1" s="545">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ht="12" customHeight="1" s="54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ht="12" customHeight="1" s="545">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ht="12" customHeight="1" s="545">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ht="12" customHeight="1" s="545">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ht="12" customHeight="1" s="545">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ht="12" customHeight="1" s="545">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ht="12" customHeight="1" s="545">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ht="12" customHeight="1" s="545">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ht="12" customHeight="1" s="545">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ht="12" customHeight="1" s="545">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ht="12" customHeight="1" s="54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ht="12" customHeight="1" s="545">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ht="12" customHeight="1" s="545">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ht="12" customHeight="1" s="545">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ht="12" customHeight="1" s="545">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ht="12" customHeight="1" s="545">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ht="12" customHeight="1" s="545">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ht="12" customHeight="1" s="545">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ht="12" customHeight="1" s="545">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ht="12" customHeight="1" s="545">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ht="12" customHeight="1" s="54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ht="12" customHeight="1" s="545">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ht="12" customHeight="1" s="545">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ht="12" customHeight="1" s="545">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ht="12" customHeight="1" s="545">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ht="12" customHeight="1" s="545">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ht="12" customHeight="1" s="545">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ht="12" customHeight="1" s="545">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ht="12" customHeight="1" s="545">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ht="12" customHeight="1" s="545">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ht="12" customHeight="1" s="54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ht="12" customHeight="1" s="545">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ht="12" customHeight="1" s="545">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ht="12" customHeight="1" s="545">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ht="12" customHeight="1" s="545">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ht="12" customHeight="1" s="545">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ht="12" customHeight="1" s="545">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ht="12" customHeight="1" s="545">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ht="12" customHeight="1" s="545">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ht="12" customHeight="1" s="545">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ht="12" customHeight="1" s="5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ht="12" customHeight="1" s="545">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ht="12" customHeight="1" s="545">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ht="12" customHeight="1" s="545">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ht="12" customHeight="1" s="545">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ht="12" customHeight="1" s="545">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ht="12" customHeight="1" s="545">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ht="12" customHeight="1" s="545">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ht="12" customHeight="1" s="545">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ht="12" customHeight="1" s="545">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ht="12" customHeight="1" s="54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ht="12" customHeight="1" s="545">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ht="12" customHeight="1" s="545">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ht="12" customHeight="1" s="545">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ht="12" customHeight="1" s="545">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ht="12" customHeight="1" s="545">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ht="12" customHeight="1" s="545">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ht="12" customHeight="1" s="545">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ht="12" customHeight="1" s="545">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ht="12" customHeight="1" s="545">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ht="12" customHeight="1" s="54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ht="12" customHeight="1" s="545">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ht="12" customHeight="1" s="545">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ht="12" customHeight="1" s="545">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ht="12" customHeight="1" s="545">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ht="12" customHeight="1" s="545">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ht="12" customHeight="1" s="545">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ht="12" customHeight="1" s="545">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ht="12" customHeight="1" s="545">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ht="12" customHeight="1" s="545">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ht="12" customHeight="1" s="54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ht="12" customHeight="1" s="545">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ht="12" customHeight="1" s="545">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ht="12" customHeight="1" s="545">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ht="12" customHeight="1" s="545">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ht="12" customHeight="1" s="545">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ht="12" customHeight="1" s="545">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ht="12" customHeight="1" s="545">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ht="12" customHeight="1" s="545">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ht="12" customHeight="1" s="545">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ht="12" customHeight="1" s="54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ht="12" customHeight="1" s="545">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ht="12" customHeight="1" s="545">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ht="12" customHeight="1" s="545">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ht="12" customHeight="1" s="545">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ht="12" customHeight="1" s="545">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ht="12" customHeight="1" s="545">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ht="12" customHeight="1" s="545">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ht="12" customHeight="1" s="545">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ht="12" customHeight="1" s="545">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ht="12" customHeight="1" s="54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ht="12" customHeight="1" s="545">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ht="12" customHeight="1" s="545">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ht="12" customHeight="1" s="545">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ht="12" customHeight="1" s="545">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ht="12" customHeight="1" s="545">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ht="12" customHeight="1" s="545">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ht="12" customHeight="1" s="545">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ht="12" customHeight="1" s="545">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ht="12" customHeight="1" s="545">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ht="12" customHeight="1" s="54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ht="12" customHeight="1" s="545">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ht="12" customHeight="1" s="545">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ht="12" customHeight="1" s="545">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ht="12" customHeight="1" s="545">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ht="12" customHeight="1" s="545">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ht="12" customHeight="1" s="545">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ht="12" customHeight="1" s="545">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ht="12" customHeight="1" s="545">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ht="12" customHeight="1" s="545">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ht="12" customHeight="1" s="54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ht="12" customHeight="1" s="545">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ht="12" customHeight="1" s="545">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ht="12" customHeight="1" s="545">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ht="12" customHeight="1" s="545">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ht="12" customHeight="1" s="545">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ht="12" customHeight="1" s="545">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ht="12" customHeight="1" s="545">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ht="12" customHeight="1" s="545">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ht="12" customHeight="1" s="545">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ht="12" customHeight="1" s="54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ht="12" customHeight="1" s="545">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ht="12" customHeight="1" s="545">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ht="12" customHeight="1" s="545">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ht="12" customHeight="1" s="545">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ht="12" customHeight="1" s="545">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ht="12" customHeight="1" s="545">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ht="12" customHeight="1" s="545">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ht="12" customHeight="1" s="545">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ht="12" customHeight="1" s="545">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ht="12" customHeight="1" s="54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ht="12" customHeight="1" s="545">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ht="12" customHeight="1" s="545">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ht="12" customHeight="1" s="545">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ht="12" customHeight="1" s="545">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ht="12" customHeight="1" s="545">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ht="12" customHeight="1" s="545">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ht="12" customHeight="1" s="545">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ht="12" customHeight="1" s="545">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ht="12" customHeight="1" s="545">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ht="12" customHeight="1" s="5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ht="12" customHeight="1" s="545">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ht="12" customHeight="1" s="545">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ht="12" customHeight="1" s="545">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ht="12" customHeight="1" s="545">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ht="12" customHeight="1" s="545">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ht="12" customHeight="1" s="545">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ht="12" customHeight="1" s="545">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ht="12" customHeight="1" s="545">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ht="12" customHeight="1" s="545">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ht="12" customHeight="1" s="54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ht="12" customHeight="1" s="545">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ht="12" customHeight="1" s="545">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ht="12" customHeight="1" s="545">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ht="12" customHeight="1" s="545">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ht="12" customHeight="1" s="545">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ht="12" customHeight="1" s="545">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ht="12" customHeight="1" s="545">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ht="12" customHeight="1" s="545">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ht="12" customHeight="1" s="545">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ht="12" customHeight="1" s="54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ht="12" customHeight="1" s="545">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ht="12" customHeight="1" s="545">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ht="12" customHeight="1" s="545">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ht="12" customHeight="1" s="545">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ht="12" customHeight="1" s="545">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ht="12" customHeight="1" s="545">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ht="12" customHeight="1" s="545">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ht="12" customHeight="1" s="545">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ht="12" customHeight="1" s="545">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ht="12" customHeight="1" s="54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ht="12" customHeight="1" s="545">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ht="12" customHeight="1" s="545">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ht="12" customHeight="1" s="545">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ht="12" customHeight="1" s="545">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ht="12" customHeight="1" s="545">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ht="12" customHeight="1" s="545">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ht="12" customHeight="1" s="545">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ht="12" customHeight="1" s="545">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ht="12" customHeight="1" s="545">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ht="12" customHeight="1" s="54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ht="12" customHeight="1" s="545">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ht="12" customHeight="1" s="545">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ht="12" customHeight="1" s="545">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ht="12" customHeight="1" s="545">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ht="12" customHeight="1" s="545">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ht="12" customHeight="1" s="545">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ht="12" customHeight="1" s="545">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ht="12" customHeight="1" s="545">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ht="12" customHeight="1" s="545">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ht="12" customHeight="1" s="54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ht="12" customHeight="1" s="545">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ht="12" customHeight="1" s="545">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ht="12" customHeight="1" s="545">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ht="12" customHeight="1" s="545">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ht="12" customHeight="1" s="545">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ht="12" customHeight="1" s="545">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ht="12" customHeight="1" s="545">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ht="12" customHeight="1" s="545">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ht="12" customHeight="1" s="545">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ht="12" customHeight="1" s="54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ht="12" customHeight="1" s="545">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ht="12" customHeight="1" s="545">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ht="12" customHeight="1" s="545">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ht="12" customHeight="1" s="545">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ht="12" customHeight="1" s="545">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ht="12" customHeight="1" s="545">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ht="12" customHeight="1" s="545">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ht="12" customHeight="1" s="545">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ht="12" customHeight="1" s="545">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ht="12" customHeight="1" s="54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ht="12" customHeight="1" s="545">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ht="12" customHeight="1" s="545">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ht="12" customHeight="1" s="545">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ht="12" customHeight="1" s="545">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ht="12" customHeight="1" s="545">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ht="12" customHeight="1" s="545">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ht="12" customHeight="1" s="545">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ht="12" customHeight="1" s="545">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ht="12" customHeight="1" s="545">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ht="12" customHeight="1" s="54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ht="12" customHeight="1" s="545">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ht="12" customHeight="1" s="545">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ht="12" customHeight="1" s="545">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ht="12" customHeight="1" s="545">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ht="12" customHeight="1" s="545">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ht="12" customHeight="1" s="545">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ht="12" customHeight="1" s="545">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ht="12" customHeight="1" s="545">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ht="12" customHeight="1" s="545">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ht="12" customHeight="1" s="54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ht="12" customHeight="1" s="545">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ht="12" customHeight="1" s="545">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ht="12" customHeight="1" s="545">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ht="12" customHeight="1" s="545">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ht="12" customHeight="1" s="545">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ht="12" customHeight="1" s="545">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ht="12" customHeight="1" s="545">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ht="12" customHeight="1" s="545">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ht="12" customHeight="1" s="545">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ht="12" customHeight="1" s="5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ht="12" customHeight="1" s="545">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ht="12" customHeight="1" s="545">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ht="12" customHeight="1" s="545">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ht="12" customHeight="1" s="545">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ht="12" customHeight="1" s="545">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ht="12" customHeight="1" s="545">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ht="12" customHeight="1" s="545">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ht="12" customHeight="1" s="545">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ht="12" customHeight="1" s="545">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ht="12" customHeight="1" s="54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ht="12" customHeight="1" s="545">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ht="12" customHeight="1" s="545">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ht="12" customHeight="1" s="545">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ht="12" customHeight="1" s="545">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ht="12" customHeight="1" s="545">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ht="12" customHeight="1" s="545">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ht="12" customHeight="1" s="545">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ht="12" customHeight="1" s="545">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ht="12" customHeight="1" s="545">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ht="12" customHeight="1" s="54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ht="12" customHeight="1" s="545">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ht="12" customHeight="1" s="545">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ht="12" customHeight="1" s="545">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ht="12" customHeight="1" s="545">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ht="12" customHeight="1" s="545">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ht="12" customHeight="1" s="545">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ht="12" customHeight="1" s="545">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ht="12" customHeight="1" s="545">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ht="12" customHeight="1" s="545">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ht="12" customHeight="1" s="54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ht="12" customHeight="1" s="545">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ht="12" customHeight="1" s="545">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ht="12" customHeight="1" s="545">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ht="12" customHeight="1" s="545">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ht="12" customHeight="1" s="545">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ht="12" customHeight="1" s="545">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ht="12" customHeight="1" s="545">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ht="12" customHeight="1" s="545">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ht="12" customHeight="1" s="545">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ht="12" customHeight="1" s="54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ht="12" customHeight="1" s="545">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ht="12" customHeight="1" s="545">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ht="12" customHeight="1" s="545">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ht="12" customHeight="1" s="545">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ht="12" customHeight="1" s="545">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ht="12" customHeight="1" s="545">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ht="12" customHeight="1" s="545">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ht="12" customHeight="1" s="545">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ht="12" customHeight="1" s="545">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ht="12" customHeight="1" s="54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ht="12" customHeight="1" s="545">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ht="12" customHeight="1" s="545">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ht="12" customHeight="1" s="545">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ht="12" customHeight="1" s="545">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ht="12" customHeight="1" s="545">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ht="12" customHeight="1" s="545">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ht="12" customHeight="1" s="545">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ht="12" customHeight="1" s="545">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ht="12" customHeight="1" s="545">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ht="12" customHeight="1" s="54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ht="12" customHeight="1" s="545">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ht="12" customHeight="1" s="545">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ht="12" customHeight="1" s="545">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ht="12" customHeight="1" s="545">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ht="12" customHeight="1" s="545">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ht="12" customHeight="1" s="545">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ht="12" customHeight="1" s="545">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ht="12" customHeight="1" s="545">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ht="12" customHeight="1" s="545">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ht="12" customHeight="1" s="54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ht="12" customHeight="1" s="545">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ht="12" customHeight="1" s="545">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ht="12" customHeight="1" s="545">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ht="12" customHeight="1" s="545">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ht="12" customHeight="1" s="545">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ht="12" customHeight="1" s="545">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ht="12" customHeight="1" s="545">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ht="12" customHeight="1" s="545">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ht="12" customHeight="1" s="545">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ht="12" customHeight="1" s="54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ht="12" customHeight="1" s="545">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ht="12" customHeight="1" s="545">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ht="12" customHeight="1" s="545">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ht="12" customHeight="1" s="545">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ht="12" customHeight="1" s="545">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ht="12" customHeight="1" s="545">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ht="12" customHeight="1" s="545">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ht="12" customHeight="1" s="545">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ht="12" customHeight="1" s="545">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ht="12" customHeight="1" s="54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ht="12" customHeight="1" s="545">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ht="12" customHeight="1" s="545">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ht="12" customHeight="1" s="545">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ht="12" customHeight="1" s="545">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ht="12" customHeight="1" s="545">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ht="12" customHeight="1" s="545">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ht="12" customHeight="1" s="545">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ht="12" customHeight="1" s="545">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ht="12" customHeight="1" s="545">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ht="12" customHeight="1" s="5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ht="12" customHeight="1" s="545">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ht="12" customHeight="1" s="545">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ht="12" customHeight="1" s="545">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ht="12" customHeight="1" s="545">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ht="12" customHeight="1" s="545">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ht="12" customHeight="1" s="545">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ht="12" customHeight="1" s="545">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ht="12" customHeight="1" s="545">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ht="12" customHeight="1" s="545">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ht="12" customHeight="1" s="54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ht="12" customHeight="1" s="545">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ht="12" customHeight="1" s="545">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ht="12" customHeight="1" s="545">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ht="12" customHeight="1" s="545">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ht="12" customHeight="1" s="545">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ht="12" customHeight="1" s="545">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ht="12" customHeight="1" s="545">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ht="12" customHeight="1" s="545">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ht="12" customHeight="1" s="545">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ht="12" customHeight="1" s="54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ht="12" customHeight="1" s="545">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ht="12" customHeight="1" s="545">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ht="12" customHeight="1" s="545">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ht="12" customHeight="1" s="545">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ht="12" customHeight="1" s="545">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ht="12" customHeight="1" s="545">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ht="12" customHeight="1" s="545">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ht="12" customHeight="1" s="545">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ht="12" customHeight="1" s="545">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ht="12" customHeight="1" s="54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ht="12" customHeight="1" s="545">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ht="12" customHeight="1" s="545">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ht="12" customHeight="1" s="545">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ht="12" customHeight="1" s="545">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ht="12" customHeight="1" s="545">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ht="12" customHeight="1" s="545">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ht="12" customHeight="1" s="545">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ht="12" customHeight="1" s="545">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ht="12" customHeight="1" s="545">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ht="12" customHeight="1" s="54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ht="12" customHeight="1" s="545">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ht="12" customHeight="1" s="545">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ht="12" customHeight="1" s="545">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ht="12" customHeight="1" s="545">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ht="12" customHeight="1" s="545">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ht="12" customHeight="1" s="545">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ht="12" customHeight="1" s="545">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ht="12" customHeight="1" s="545">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ht="12" customHeight="1" s="545">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ht="12" customHeight="1" s="54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ht="12" customHeight="1" s="545">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ht="12" customHeight="1" s="545">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ht="12" customHeight="1" s="545">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ht="12" customHeight="1" s="545">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ht="12" customHeight="1" s="545">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ht="12" customHeight="1" s="545">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ht="12" customHeight="1" s="545">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ht="12" customHeight="1" s="545">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ht="12" customHeight="1" s="545">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ht="12" customHeight="1" s="54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ht="12" customHeight="1" s="545">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ht="12" customHeight="1" s="545">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ht="12" customHeight="1" s="545">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ht="12" customHeight="1" s="545">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ht="12" customHeight="1" s="545">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ht="12" customHeight="1" s="545">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ht="12" customHeight="1" s="545">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ht="12" customHeight="1" s="545">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ht="12" customHeight="1" s="545">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ht="12" customHeight="1" s="54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ht="12" customHeight="1" s="545">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ht="12" customHeight="1" s="545">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ht="12" customHeight="1" s="545">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ht="12" customHeight="1" s="545">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ht="12" customHeight="1" s="545">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ht="12" customHeight="1" s="545">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ht="12" customHeight="1" s="545">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ht="12" customHeight="1" s="545">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ht="12" customHeight="1" s="545">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ht="12" customHeight="1" s="54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ht="12" customHeight="1" s="545">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ht="12" customHeight="1" s="545">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ht="12" customHeight="1" s="545">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ht="12" customHeight="1" s="545">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ht="12" customHeight="1" s="545">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ht="12" customHeight="1" s="545">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ht="12" customHeight="1" s="545">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ht="12" customHeight="1" s="545">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ht="12" customHeight="1" s="545">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ht="12" customHeight="1" s="54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ht="12" customHeight="1" s="545">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ht="12" customHeight="1" s="545">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ht="12" customHeight="1" s="545">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ht="12" customHeight="1" s="545">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ht="12" customHeight="1" s="545">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ht="12" customHeight="1" s="545">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ht="12" customHeight="1" s="545">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ht="12" customHeight="1" s="545">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ht="12" customHeight="1" s="545">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ht="12" customHeight="1" s="5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ht="12" customHeight="1" s="545">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ht="12" customHeight="1" s="545">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ht="12" customHeight="1" s="545">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ht="12" customHeight="1" s="545">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ht="12" customHeight="1" s="545">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ht="12" customHeight="1" s="545">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ht="12" customHeight="1" s="545">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ht="12" customHeight="1" s="545">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ht="12" customHeight="1" s="545">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ht="12" customHeight="1" s="54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ht="12" customHeight="1" s="545">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ht="12" customHeight="1" s="545">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ht="12" customHeight="1" s="545">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ht="12" customHeight="1" s="545">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ht="12" customHeight="1" s="545">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ht="12" customHeight="1" s="545">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ht="12" customHeight="1" s="545">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ht="12" customHeight="1" s="545">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ht="12" customHeight="1" s="545">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ht="12" customHeight="1" s="54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ht="12" customHeight="1" s="545">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ht="12" customHeight="1" s="545">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ht="12" customHeight="1" s="545">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ht="12" customHeight="1" s="545">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ht="12" customHeight="1" s="545">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ht="12" customHeight="1" s="545">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ht="12" customHeight="1" s="545">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ht="12" customHeight="1" s="545">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ht="12" customHeight="1" s="545">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ht="12" customHeight="1" s="54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ht="12" customHeight="1" s="545">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ht="12" customHeight="1" s="545">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ht="12" customHeight="1" s="545">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ht="12" customHeight="1" s="545">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ht="12" customHeight="1" s="545">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ht="12" customHeight="1" s="545">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ht="12" customHeight="1" s="545">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ht="12" customHeight="1" s="545">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ht="12" customHeight="1" s="545">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ht="12" customHeight="1" s="54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ht="12" customHeight="1" s="545">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ht="12" customHeight="1" s="545">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ht="12" customHeight="1" s="545">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ht="12" customHeight="1" s="545">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ht="12" customHeight="1" s="545">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ht="12" customHeight="1" s="545">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ht="12" customHeight="1" s="545">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ht="12" customHeight="1" s="545">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ht="12" customHeight="1" s="545">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ht="12" customHeight="1" s="54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ht="12" customHeight="1" s="545">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ht="12" customHeight="1" s="545">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ht="12" customHeight="1" s="545">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ht="12" customHeight="1" s="545">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ht="12" customHeight="1" s="545">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ht="12" customHeight="1" s="545">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ht="12" customHeight="1" s="545">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ht="12" customHeight="1" s="545">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ht="12" customHeight="1" s="545">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ht="12" customHeight="1" s="54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ht="12" customHeight="1" s="545">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ht="12" customHeight="1" s="545">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ht="12" customHeight="1" s="545">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ht="12" customHeight="1" s="545">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ht="12" customHeight="1" s="545">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ht="12" customHeight="1" s="545">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ht="12" customHeight="1" s="545">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ht="12" customHeight="1" s="545">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ht="12" customHeight="1" s="545">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ht="12" customHeight="1" s="54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ht="12" customHeight="1" s="545">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ht="12" customHeight="1" s="545">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ht="12" customHeight="1" s="545">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ht="12" customHeight="1" s="545">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ht="12" customHeight="1" s="545">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ht="12" customHeight="1" s="545">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ht="12" customHeight="1" s="545">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ht="12" customHeight="1" s="545">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ht="12" customHeight="1" s="545">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ht="12" customHeight="1" s="54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ht="12" customHeight="1" s="545">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ht="12" customHeight="1" s="545">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ht="12" customHeight="1" s="545">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ht="12" customHeight="1" s="545">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ht="12" customHeight="1" s="545">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ht="12" customHeight="1" s="545">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ht="12" customHeight="1" s="545">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ht="12" customHeight="1" s="545">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ht="12" customHeight="1" s="545">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ht="12" customHeight="1" s="54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ht="12" customHeight="1" s="545">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ht="12" customHeight="1" s="545">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ht="12" customHeight="1" s="545">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ht="12" customHeight="1" s="545">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ht="12" customHeight="1" s="545">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ht="12" customHeight="1" s="545">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ht="12" customHeight="1" s="545">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ht="12" customHeight="1" s="545">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ht="12" customHeight="1" s="545">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ht="12" customHeight="1" s="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ht="12" customHeight="1" s="545">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ht="12" customHeight="1" s="545">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ht="12" customHeight="1" s="545">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ht="12" customHeight="1" s="545">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ht="12" customHeight="1" s="545">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ht="12" customHeight="1" s="545">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ht="12" customHeight="1" s="545">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ht="12" customHeight="1" s="545">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ht="12" customHeight="1" s="545">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ht="12" customHeight="1" s="54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ht="12" customHeight="1" s="545">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ht="12" customHeight="1" s="545">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ht="12" customHeight="1" s="545">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ht="12" customHeight="1" s="545">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ht="12" customHeight="1" s="545">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ht="12" customHeight="1" s="545">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ht="12" customHeight="1" s="545">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ht="12" customHeight="1" s="545">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ht="12" customHeight="1" s="545">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ht="12" customHeight="1" s="54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ht="12" customHeight="1" s="545">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ht="12" customHeight="1" s="545">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ht="12" customHeight="1" s="545">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ht="12" customHeight="1" s="545">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ht="12" customHeight="1" s="545">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ht="12" customHeight="1" s="545">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ht="12" customHeight="1" s="545">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ht="12" customHeight="1" s="545">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ht="12" customHeight="1" s="545">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ht="12" customHeight="1" s="54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ht="12" customHeight="1" s="545">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ht="12" customHeight="1" s="545">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ht="12" customHeight="1" s="545">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ht="12" customHeight="1" s="545">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ht="12" customHeight="1" s="545">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ht="12" customHeight="1" s="545">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ht="12" customHeight="1" s="545">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ht="12" customHeight="1" s="545">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ht="12" customHeight="1" s="545">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ht="12" customHeight="1" s="54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ht="12" customHeight="1" s="545">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ht="12" customHeight="1" s="545">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ht="12" customHeight="1" s="545">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ht="12" customHeight="1" s="545">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ht="12" customHeight="1" s="545">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ht="12" customHeight="1" s="545">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ht="12" customHeight="1" s="545">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ht="12" customHeight="1" s="545">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ht="12" customHeight="1" s="545">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ht="12" customHeight="1" s="54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ht="12" customHeight="1" s="545">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ht="12" customHeight="1" s="545">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ht="12" customHeight="1" s="545">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ht="12" customHeight="1" s="545">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ht="12" customHeight="1" s="545">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ht="12" customHeight="1" s="545">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ht="12" customHeight="1" s="545">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ht="12" customHeight="1" s="545">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ht="12" customHeight="1" s="545">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ht="12" customHeight="1" s="54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ht="12" customHeight="1" s="545">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ht="12" customHeight="1" s="545">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ht="12" customHeight="1" s="545">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ht="12" customHeight="1" s="545">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ht="12" customHeight="1" s="545">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ht="12" customHeight="1" s="545">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ht="12" customHeight="1" s="545">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ht="12" customHeight="1" s="545">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ht="12" customHeight="1" s="545">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ht="12" customHeight="1" s="54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ht="12" customHeight="1" s="545">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ht="12" customHeight="1" s="545">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ht="12" customHeight="1" s="545">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ht="12" customHeight="1" s="545">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ht="12" customHeight="1" s="545">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ht="12" customHeight="1" s="545">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ht="12" customHeight="1" s="545">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ht="12" customHeight="1" s="545">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ht="12" customHeight="1" s="545">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ht="12" customHeight="1" s="54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ht="12" customHeight="1" s="545">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ht="12" customHeight="1" s="545">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ht="12" customHeight="1" s="545">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ht="12" customHeight="1" s="545">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ht="12" customHeight="1" s="545">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ht="12" customHeight="1" s="545">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ht="12" customHeight="1" s="545">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ht="12" customHeight="1" s="545">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ht="12" customHeight="1" s="545">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ht="12" customHeight="1" s="54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ht="12" customHeight="1" s="545">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ht="12" customHeight="1" s="545">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ht="12" customHeight="1" s="545">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ht="12" customHeight="1" s="545">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ht="12" customHeight="1" s="545">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ht="12" customHeight="1" s="545">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ht="12" customHeight="1" s="545">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ht="12" customHeight="1" s="545">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ht="12" customHeight="1" s="545">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ht="12" customHeight="1" s="5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ht="12" customHeight="1" s="545">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ht="12" customHeight="1" s="545">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ht="12" customHeight="1" s="545">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ht="12" customHeight="1" s="545">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ht="12" customHeight="1" s="545">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ht="12" customHeight="1" s="545">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ht="12" customHeight="1" s="545">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ht="12" customHeight="1" s="545">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ht="12" customHeight="1" s="545">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ht="12" customHeight="1" s="54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ht="12" customHeight="1" s="545">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ht="12" customHeight="1" s="545">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ht="12" customHeight="1" s="545">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ht="12" customHeight="1" s="545">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ht="12" customHeight="1" s="545">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ht="12" customHeight="1" s="545">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ht="12" customHeight="1" s="545">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ht="12" customHeight="1" s="545">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ht="12" customHeight="1" s="545">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ht="12" customHeight="1" s="54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ht="12" customHeight="1" s="545">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ht="12" customHeight="1" s="545">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ht="12" customHeight="1" s="545">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ht="12" customHeight="1" s="545">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ht="12" customHeight="1" s="545">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ht="12" customHeight="1" s="545">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ht="12" customHeight="1" s="545">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ht="12" customHeight="1" s="545">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ht="12" customHeight="1" s="545">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ht="12" customHeight="1" s="54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ht="12" customHeight="1" s="545">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ht="12" customHeight="1" s="545">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ht="12" customHeight="1" s="545">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ht="12" customHeight="1" s="545">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ht="12" customHeight="1" s="545">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ht="12" customHeight="1" s="545">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ht="12" customHeight="1" s="545">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ht="12" customHeight="1" s="545">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ht="12" customHeight="1" s="545">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ht="12" customHeight="1" s="54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ht="12" customHeight="1" s="545">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ht="12" customHeight="1" s="545">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ht="12" customHeight="1" s="545">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ht="12" customHeight="1" s="545">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ht="12" customHeight="1" s="545">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ht="12" customHeight="1" s="545">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ht="12" customHeight="1" s="545">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ht="12" customHeight="1" s="545">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ht="12" customHeight="1" s="545">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ht="12" customHeight="1" s="54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ht="12" customHeight="1" s="545">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ht="12" customHeight="1" s="545">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ht="12" customHeight="1" s="545">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ht="12" customHeight="1" s="545">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ht="12" customHeight="1" s="545">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ht="12" customHeight="1" s="545">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ht="12" customHeight="1" s="545">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ht="12" customHeight="1" s="545">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ht="12" customHeight="1" s="545">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ht="12" customHeight="1" s="54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ht="12" customHeight="1" s="545">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ht="12" customHeight="1" s="545">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ht="12" customHeight="1" s="545">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ht="12" customHeight="1" s="545">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ht="12" customHeight="1" s="545">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ht="12" customHeight="1" s="545">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ht="12" customHeight="1" s="545">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ht="12" customHeight="1" s="545">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ht="12" customHeight="1" s="545">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ht="12" customHeight="1" s="54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ht="12" customHeight="1" s="545">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ht="12" customHeight="1" s="545">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ht="12" customHeight="1" s="545">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ht="12" customHeight="1" s="545">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ht="12" customHeight="1" s="545">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ht="12" customHeight="1" s="545">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ht="12" customHeight="1" s="545">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ht="12" customHeight="1" s="545">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ht="12" customHeight="1" s="545">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ht="12" customHeight="1" s="54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ht="12" customHeight="1" s="545">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ht="12" customHeight="1" s="545">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ht="12" customHeight="1" s="545">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ht="12" customHeight="1" s="545">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ht="12" customHeight="1" s="545">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ht="12" customHeight="1" s="545">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ht="12" customHeight="1" s="545">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ht="12" customHeight="1" s="545">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ht="12" customHeight="1" s="545">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ht="12" customHeight="1" s="54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ht="12" customHeight="1" s="545">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ht="12" customHeight="1" s="545">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ht="12" customHeight="1" s="545">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ht="12" customHeight="1" s="545">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ht="12" customHeight="1" s="545">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ht="12" customHeight="1" s="545">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ht="12" customHeight="1" s="545">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ht="12" customHeight="1" s="545">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ht="12" customHeight="1" s="545">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ht="12" customHeight="1" s="5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ht="12" customHeight="1" s="545">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ht="12" customHeight="1" s="545">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ht="12" customHeight="1" s="545">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ht="12" customHeight="1" s="545">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ht="12" customHeight="1" s="545">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ht="12" customHeight="1" s="545">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ht="12" customHeight="1" s="545">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ht="12" customHeight="1" s="545">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ht="12" customHeight="1" s="545">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ht="12" customHeight="1" s="54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ht="12" customHeight="1" s="545">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ht="12" customHeight="1" s="545">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ht="12" customHeight="1" s="545">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ht="12" customHeight="1" s="545">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ht="12" customHeight="1" s="545">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ht="12" customHeight="1" s="545">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ht="12" customHeight="1" s="545">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ht="12" customHeight="1" s="545">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ht="12" customHeight="1" s="545">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ht="12" customHeight="1" s="54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ht="12" customHeight="1" s="545">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ht="12" customHeight="1" s="545">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ht="12" customHeight="1" s="545">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ht="12" customHeight="1" s="545">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ht="12" customHeight="1" s="545">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ht="12" customHeight="1" s="545">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ht="12" customHeight="1" s="545">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ht="12" customHeight="1" s="545">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ht="12" customHeight="1" s="545">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ht="12" customHeight="1" s="54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ht="12" customHeight="1" s="545">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ht="12" customHeight="1" s="545">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ht="12" customHeight="1" s="545">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ht="12" customHeight="1" s="545">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ht="12" customHeight="1" s="545">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ht="12" customHeight="1" s="545">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ht="12" customHeight="1" s="545">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ht="12" customHeight="1" s="545">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ht="12" customHeight="1" s="545">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ht="12" customHeight="1" s="54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ht="12" customHeight="1" s="545">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ht="12" customHeight="1" s="545">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ht="12" customHeight="1" s="545">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ht="12" customHeight="1" s="545">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ht="12" customHeight="1" s="545">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ht="12" customHeight="1" s="545">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ht="12" customHeight="1" s="545">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ht="12" customHeight="1" s="545">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ht="12" customHeight="1" s="545">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ht="12" customHeight="1" s="54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ht="12" customHeight="1" s="545">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ht="12" customHeight="1" s="545">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ht="12" customHeight="1" s="545">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ht="12" customHeight="1" s="545">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ht="12" customHeight="1" s="545">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ht="12" customHeight="1" s="545">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ht="12" customHeight="1" s="545">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ht="12" customHeight="1" s="545">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ht="12" customHeight="1" s="545">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ht="12" customHeight="1" s="54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ht="12" customHeight="1" s="545">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ht="12" customHeight="1" s="545">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ht="12" customHeight="1" s="545">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ht="12" customHeight="1" s="545">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ht="12" customHeight="1" s="545">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ht="12" customHeight="1" s="545">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ht="12" customHeight="1" s="545">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ht="12" customHeight="1" s="545">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ht="12" customHeight="1" s="545">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ht="12" customHeight="1" s="54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ht="12" customHeight="1" s="545">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ht="12" customHeight="1" s="545">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ht="12" customHeight="1" s="545">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ht="12" customHeight="1" s="545">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ht="12" customHeight="1" s="545">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ht="12" customHeight="1" s="545">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ht="12" customHeight="1" s="545">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ht="12" customHeight="1" s="545">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ht="12" customHeight="1" s="545">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ht="12" customHeight="1" s="54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ht="12" customHeight="1" s="545">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ht="12" customHeight="1" s="545">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ht="12" customHeight="1" s="545">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ht="12" customHeight="1" s="545">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ht="12" customHeight="1" s="545">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ht="12" customHeight="1" s="545">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ht="12" customHeight="1" s="545">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ht="12" customHeight="1" s="545">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ht="12" customHeight="1" s="545">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ht="12" customHeight="1" s="54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ht="12" customHeight="1" s="545">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ht="12" customHeight="1" s="545">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ht="12" customHeight="1" s="545">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ht="12" customHeight="1" s="545">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ht="12" customHeight="1" s="545">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ht="12" customHeight="1" s="545">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ht="12" customHeight="1" s="545">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ht="12" customHeight="1" s="545">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ht="12" customHeight="1" s="545">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ht="12" customHeight="1" s="5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ht="12" customHeight="1" s="545">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ht="12" customHeight="1" s="545">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ht="12" customHeight="1" s="545">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ht="12" customHeight="1" s="545">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ht="12" customHeight="1" s="545">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ht="12" customHeight="1" s="545">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ht="12" customHeight="1" s="545">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ht="12" customHeight="1" s="545">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ht="12" customHeight="1" s="545">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ht="12" customHeight="1" s="54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ht="12" customHeight="1" s="545">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ht="12" customHeight="1" s="545">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ht="12" customHeight="1" s="545">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ht="12" customHeight="1" s="545">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ht="12" customHeight="1" s="545">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ht="12" customHeight="1" s="545">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ht="12" customHeight="1" s="545">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ht="12" customHeight="1" s="545">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ht="12" customHeight="1" s="545">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ht="12" customHeight="1" s="54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ht="12" customHeight="1" s="545">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ht="12" customHeight="1" s="545">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ht="12" customHeight="1" s="545">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ht="12" customHeight="1" s="545">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ht="12" customHeight="1" s="545">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ht="12" customHeight="1" s="545">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ht="12" customHeight="1" s="545">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ht="12" customHeight="1" s="545">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ht="12" customHeight="1" s="545">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ht="12" customHeight="1" s="54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ht="12" customHeight="1" s="545">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ht="12" customHeight="1" s="545">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ht="12" customHeight="1" s="545">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ht="12" customHeight="1" s="545">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ht="12" customHeight="1" s="545">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ht="12" customHeight="1" s="545">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ht="12" customHeight="1" s="545">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ht="12" customHeight="1" s="545">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ht="12" customHeight="1" s="545">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ht="12" customHeight="1" s="54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ht="12" customHeight="1" s="545">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ht="12" customHeight="1" s="545">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ht="12" customHeight="1" s="545">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ht="12" customHeight="1" s="545">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ht="12" customHeight="1" s="545">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ht="12" customHeight="1" s="545">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ht="12" customHeight="1" s="545">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ht="12" customHeight="1" s="545">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ht="12" customHeight="1" s="545">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ht="12" customHeight="1" s="54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ht="12" customHeight="1" s="545">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ht="12" customHeight="1" s="545">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ht="12" customHeight="1" s="545">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ht="12" customHeight="1" s="545">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ht="12" customHeight="1" s="545">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ht="12" customHeight="1" s="545">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ht="12" customHeight="1" s="545">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ht="12" customHeight="1" s="545">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ht="12" customHeight="1" s="545">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ht="12" customHeight="1" s="54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ht="12" customHeight="1" s="545">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ht="12" customHeight="1" s="545">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ht="12" customHeight="1" s="545">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ht="12" customHeight="1" s="545">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ht="12" customHeight="1" s="545">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ht="12" customHeight="1" s="545">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ht="12" customHeight="1" s="545">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ht="12" customHeight="1" s="545">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ht="12" customHeight="1" s="545">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ht="12" customHeight="1" s="54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ht="12" customHeight="1" s="545">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ht="12" customHeight="1" s="545">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ht="12" customHeight="1" s="545">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ht="12" customHeight="1" s="545">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ht="12" customHeight="1" s="545">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ht="12" customHeight="1" s="545">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ht="12" customHeight="1" s="545">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ht="12" customHeight="1" s="545">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ht="12" customHeight="1" s="545">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ht="12" customHeight="1" s="54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ht="12" customHeight="1" s="545">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ht="12" customHeight="1" s="545">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ht="12" customHeight="1" s="545">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ht="12" customHeight="1" s="545">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ht="12" customHeight="1" s="545">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ht="12" customHeight="1" s="545">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ht="12" customHeight="1" s="545">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ht="12" customHeight="1" s="545">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ht="12" customHeight="1" s="545">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ht="12" customHeight="1" s="54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ht="12" customHeight="1" s="545">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ht="12" customHeight="1" s="545">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ht="12" customHeight="1" s="545">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ht="12" customHeight="1" s="545">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ht="12" customHeight="1" s="545">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ht="12" customHeight="1" s="545">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ht="12" customHeight="1" s="545">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ht="12" customHeight="1" s="545">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ht="12" customHeight="1" s="545">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ht="12" customHeight="1" s="5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ht="12" customHeight="1" s="545">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ht="12" customHeight="1" s="545">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ht="12" customHeight="1" s="545">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ht="12" customHeight="1" s="545">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ht="12" customHeight="1" s="545">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ht="12" customHeight="1" s="545">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ht="12" customHeight="1" s="545">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ht="12" customHeight="1" s="545">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ht="12" customHeight="1" s="545">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ht="12" customHeight="1" s="54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ht="12" customHeight="1" s="545">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ht="12" customHeight="1" s="545">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ht="12" customHeight="1" s="545">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ht="12" customHeight="1" s="545">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ht="12" customHeight="1" s="545">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ht="12" customHeight="1" s="545">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ht="12" customHeight="1" s="545">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ht="12" customHeight="1" s="545">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ht="12" customHeight="1" s="545">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ht="12" customHeight="1" s="54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ht="12" customHeight="1" s="545">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ht="12" customHeight="1" s="545">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ht="12" customHeight="1" s="545">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ht="12" customHeight="1" s="545">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ht="12" customHeight="1" s="545">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ht="12" customHeight="1" s="545">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ht="12" customHeight="1" s="545">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ht="12" customHeight="1" s="545">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ht="12" customHeight="1" s="545">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ht="12" customHeight="1" s="54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ht="12" customHeight="1" s="545">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ht="12" customHeight="1" s="545">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ht="12" customHeight="1" s="545">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ht="12" customHeight="1" s="545">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ht="12" customHeight="1" s="545">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ht="12" customHeight="1" s="545">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ht="12" customHeight="1" s="545">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ht="12" customHeight="1" s="545">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ht="12" customHeight="1" s="545">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ht="12" customHeight="1" s="54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ht="12" customHeight="1" s="545">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ht="12" customHeight="1" s="545">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ht="12" customHeight="1" s="545">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ht="12" customHeight="1" s="545">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ht="12" customHeight="1" s="545">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ht="12" customHeight="1" s="545">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ht="12" customHeight="1" s="545">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ht="12" customHeight="1" s="545">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ht="12" customHeight="1" s="545">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ht="12" customHeight="1" s="54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ht="12" customHeight="1" s="545">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ht="12" customHeight="1" s="545">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ht="12" customHeight="1" s="545">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ht="12" customHeight="1" s="545">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ht="12" customHeight="1" s="545">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ht="12" customHeight="1" s="545">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ht="12" customHeight="1" s="545">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ht="12" customHeight="1" s="545">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ht="12" customHeight="1" s="545">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ht="12" customHeight="1" s="54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ht="12" customHeight="1" s="545">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ht="12" customHeight="1" s="545">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ht="12" customHeight="1" s="545">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ht="12" customHeight="1" s="545">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ht="12" customHeight="1" s="545">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ht="12" customHeight="1" s="545">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ht="12" customHeight="1" s="545">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ht="12" customHeight="1" s="545">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ht="12" customHeight="1" s="545">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ht="12" customHeight="1" s="54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ht="12" customHeight="1" s="545">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ht="12" customHeight="1" s="545">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ht="12" customHeight="1" s="545">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ht="12" customHeight="1" s="545">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ht="12" customHeight="1" s="545">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ht="12" customHeight="1" s="545">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ht="12" customHeight="1" s="545">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ht="12" customHeight="1" s="545">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ht="12" customHeight="1" s="545">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ht="12" customHeight="1" s="54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ht="12" customHeight="1" s="545">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ht="12" customHeight="1" s="545">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ht="12" customHeight="1" s="545">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ht="12" customHeight="1" s="545">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ht="12" customHeight="1" s="545">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ht="12" customHeight="1" s="545">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ht="12" customHeight="1" s="545">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ht="12" customHeight="1" s="545">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ht="12" customHeight="1" s="545">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ht="12" customHeight="1" s="54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ht="12" customHeight="1" s="545">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ht="12" customHeight="1" s="545">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ht="12" customHeight="1" s="545">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ht="12" customHeight="1" s="545">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ht="12" customHeight="1" s="545">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ht="12" customHeight="1" s="545">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ht="12" customHeight="1" s="545">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ht="12" customHeight="1" s="545">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ht="12" customHeight="1" s="545">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ht="12" customHeight="1" s="5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ht="12" customHeight="1" s="545">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ht="12" customHeight="1" s="545">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ht="12" customHeight="1" s="545">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ht="12" customHeight="1" s="545">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ht="12" customHeight="1" s="545">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ht="12" customHeight="1" s="545">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ht="12" customHeight="1" s="545">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ht="12" customHeight="1" s="545">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ht="12" customHeight="1" s="545">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ht="12" customHeight="1" s="54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ht="12" customHeight="1" s="545">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ht="12" customHeight="1" s="545">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ht="12" customHeight="1" s="545">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ht="12" customHeight="1" s="545">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ht="12" customHeight="1" s="545">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ht="12" customHeight="1" s="545">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ht="12" customHeight="1" s="545">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ht="12" customHeight="1" s="545">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ht="12" customHeight="1" s="545">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ht="12" customHeight="1" s="54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ht="12" customHeight="1" s="545">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ht="12" customHeight="1" s="545">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ht="12" customHeight="1" s="545">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ht="12" customHeight="1" s="545">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ht="12" customHeight="1" s="545">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ht="12" customHeight="1" s="545">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ht="12" customHeight="1" s="545">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ht="12" customHeight="1" s="545">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ht="12" customHeight="1" s="545">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ht="12" customHeight="1" s="54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ht="12" customHeight="1" s="545">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ht="12" customHeight="1" s="545">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ht="12" customHeight="1" s="545">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ht="12" customHeight="1" s="545">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ht="12" customHeight="1" s="545">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ht="12" customHeight="1" s="545">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ht="12" customHeight="1" s="545">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ht="12" customHeight="1" s="545">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ht="12" customHeight="1" s="545">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ht="12" customHeight="1" s="54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ht="12" customHeight="1" s="545">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ht="12" customHeight="1" s="545">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ht="12" customHeight="1" s="545">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ht="12" customHeight="1" s="545">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ht="12" customHeight="1" s="545">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ht="12" customHeight="1" s="545">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ht="12" customHeight="1" s="545">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ht="12" customHeight="1" s="545">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ht="12" customHeight="1" s="545">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ht="12" customHeight="1" s="54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ht="12" customHeight="1" s="545">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ht="12" customHeight="1" s="545">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ht="12" customHeight="1" s="545">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ht="12" customHeight="1" s="545">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ht="12" customHeight="1" s="545">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ht="12" customHeight="1" s="545">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ht="12" customHeight="1" s="545">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ht="12" customHeight="1" s="545">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ht="12" customHeight="1" s="545">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ht="12" customHeight="1" s="54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ht="12" customHeight="1" s="545">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ht="12" customHeight="1" s="545">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ht="12" customHeight="1" s="545">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ht="12" customHeight="1" s="545">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ht="12" customHeight="1" s="545">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ht="12" customHeight="1" s="545">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ht="12" customHeight="1" s="545">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ht="12" customHeight="1" s="545">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ht="12" customHeight="1" s="545">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ht="12" customHeight="1" s="54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ht="12" customHeight="1" s="545">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ht="12" customHeight="1" s="545">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ht="12" customHeight="1" s="545">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ht="12" customHeight="1" s="545">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ht="12" customHeight="1" s="545">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ht="12" customHeight="1" s="545">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ht="12" customHeight="1" s="545">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ht="12" customHeight="1" s="545">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ht="12" customHeight="1" s="545">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ht="12" customHeight="1" s="54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ht="12" customHeight="1" s="545">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ht="12" customHeight="1" s="545">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ht="12" customHeight="1" s="545">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ht="12" customHeight="1" s="545">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ht="12" customHeight="1" s="545">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ht="12" customHeight="1" s="545">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ht="12" customHeight="1" s="545">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ht="12" customHeight="1" s="545">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ht="12" customHeight="1" s="545">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ht="12" customHeight="1" s="54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ht="12" customHeight="1" s="545">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ht="12" customHeight="1" s="545">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ht="12" customHeight="1" s="545">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ht="12" customHeight="1" s="545">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ht="12" customHeight="1" s="545">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ht="12" customHeight="1" s="545">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ht="12" customHeight="1" s="545">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ht="12" customHeight="1" s="545">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ht="12" customHeight="1" s="545">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ht="12" customHeight="1" s="5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ht="12" customHeight="1" s="545">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ht="12" customHeight="1" s="545">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ht="12" customHeight="1" s="545">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ht="12" customHeight="1" s="545">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ht="12" customHeight="1" s="545">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ht="12" customHeight="1" s="545">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ht="12" customHeight="1" s="545">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ht="12" customHeight="1" s="545">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ht="12" customHeight="1" s="545">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ht="12" customHeight="1" s="54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ht="12" customHeight="1" s="545">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ht="12" customHeight="1" s="545">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ht="12" customHeight="1" s="545">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ht="12" customHeight="1" s="545">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ht="12" customHeight="1" s="545">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ht="12" customHeight="1" s="545">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ht="12" customHeight="1" s="545">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ht="12" customHeight="1" s="545">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ht="12" customHeight="1" s="545">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ht="12" customHeight="1" s="54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ht="12" customHeight="1" s="545">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ht="12" customHeight="1" s="545">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ht="12" customHeight="1" s="545">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ht="12" customHeight="1" s="545">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ht="12" customHeight="1" s="545">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ht="12" customHeight="1" s="545">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ht="12" customHeight="1" s="545">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ht="12" customHeight="1" s="545">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ht="12" customHeight="1" s="545">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ht="12" customHeight="1" s="54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ht="12" customHeight="1" s="545">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ht="12" customHeight="1" s="545">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ht="12" customHeight="1" s="545">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ht="12" customHeight="1" s="545">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ht="12" customHeight="1" s="545">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ht="12" customHeight="1" s="545">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ht="12" customHeight="1" s="545">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ht="12" customHeight="1" s="545">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ht="12" customHeight="1" s="545">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ht="12" customHeight="1" s="54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ht="12" customHeight="1" s="545">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ht="12" customHeight="1" s="545">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ht="12" customHeight="1" s="545">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ht="12" customHeight="1" s="545">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ht="12" customHeight="1" s="545">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ht="12" customHeight="1" s="545">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ht="12" customHeight="1" s="545">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ht="12" customHeight="1" s="545">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ht="12" customHeight="1" s="545">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ht="12" customHeight="1" s="54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ht="12" customHeight="1" s="545">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ht="12" customHeight="1" s="545">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ht="12" customHeight="1" s="545">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ht="12" customHeight="1" s="545">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ht="12" customHeight="1" s="545">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ht="12" customHeight="1" s="545">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ht="12" customHeight="1" s="545">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ht="12" customHeight="1" s="545">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ht="12" customHeight="1" s="545">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ht="12" customHeight="1" s="54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ht="12" customHeight="1" s="545">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ht="12" customHeight="1" s="545">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ht="12" customHeight="1" s="545">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ht="12" customHeight="1" s="545">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ht="12" customHeight="1" s="545">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ht="12" customHeight="1" s="545">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ht="12" customHeight="1" s="545">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ht="12" customHeight="1" s="545">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ht="12" customHeight="1" s="545">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ht="12" customHeight="1" s="54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ht="12" customHeight="1" s="545">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ht="12" customHeight="1" s="545">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ht="12" customHeight="1" s="545">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ht="12" customHeight="1" s="545">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ht="12" customHeight="1" s="545">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ht="12" customHeight="1" s="545">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ht="12" customHeight="1" s="545">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ht="12" customHeight="1" s="545">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ht="12" customHeight="1" s="545">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ht="12" customHeight="1" s="54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ht="12" customHeight="1" s="545">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ht="12" customHeight="1" s="545">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ht="12" customHeight="1" s="545">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ht="12" customHeight="1" s="545">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ht="12" customHeight="1" s="545">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ht="12" customHeight="1" s="545">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ht="12" customHeight="1" s="545">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ht="12" customHeight="1" s="545">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ht="12" customHeight="1" s="545">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ht="12" customHeight="1" s="54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ht="12" customHeight="1" s="545">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ht="12" customHeight="1" s="545">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ht="12" customHeight="1" s="545">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ht="12" customHeight="1" s="545">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ht="12" customHeight="1" s="545">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ht="12" customHeight="1" s="545">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ht="12" customHeight="1" s="545">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ht="12" customHeight="1" s="545">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ht="12" customHeight="1" s="545">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ht="12" customHeight="1" s="5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ht="12" customHeight="1" s="545">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ht="12" customHeight="1" s="545">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ht="12" customHeight="1" s="545">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ht="12" customHeight="1" s="545">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ht="12" customHeight="1" s="545">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ht="12" customHeight="1" s="545">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ht="12" customHeight="1" s="545">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ht="12" customHeight="1" s="545">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ht="12" customHeight="1" s="545">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ht="12" customHeight="1" s="54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ht="12" customHeight="1" s="545">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ht="12" customHeight="1" s="545">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ht="12" customHeight="1" s="545">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ht="12" customHeight="1" s="545">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ht="12" customHeight="1" s="545">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ht="12" customHeight="1" s="545">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ht="12" customHeight="1" s="545">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ht="12" customHeight="1" s="545">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ht="12" customHeight="1" s="545">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ht="12" customHeight="1" s="54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ht="12" customHeight="1" s="545">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ht="12" customHeight="1" s="545">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ht="12" customHeight="1" s="545">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ht="12" customHeight="1" s="545">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ht="12" customHeight="1" s="545">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ht="12" customHeight="1" s="545">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ht="12" customHeight="1" s="545">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ht="12" customHeight="1" s="545">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ht="12" customHeight="1" s="545">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ht="12" customHeight="1" s="54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ht="12" customHeight="1" s="545">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ht="12" customHeight="1" s="545">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ht="12" customHeight="1" s="545">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ht="12" customHeight="1" s="545">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ht="12" customHeight="1" s="545">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ht="12" customHeight="1" s="545">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ht="12" customHeight="1" s="545">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ht="12" customHeight="1" s="545">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ht="12" customHeight="1" s="545">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ht="12" customHeight="1" s="54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ht="12" customHeight="1" s="545">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ht="12" customHeight="1" s="545">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ht="12" customHeight="1" s="545">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ht="12" customHeight="1" s="545">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ht="12" customHeight="1" s="545">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ht="12" customHeight="1" s="545">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ht="12" customHeight="1" s="545">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ht="12" customHeight="1" s="545">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ht="12" customHeight="1" s="545">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ht="12" customHeight="1" s="54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ht="12" customHeight="1" s="545">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ht="12" customHeight="1" s="545">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ht="12" customHeight="1" s="545">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ht="12" customHeight="1" s="545">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ht="12" customHeight="1" s="545">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ht="12" customHeight="1" s="545">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ht="12" customHeight="1" s="545">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ht="12" customHeight="1" s="545">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ht="12" customHeight="1" s="545">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ht="12" customHeight="1" s="54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ht="12" customHeight="1" s="545">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ht="12" customHeight="1" s="545">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ht="12" customHeight="1" s="545">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ht="12" customHeight="1" s="545">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ht="12" customHeight="1" s="545">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ht="12" customHeight="1" s="545">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ht="12" customHeight="1" s="545">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ht="12" customHeight="1" s="545">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ht="12" customHeight="1" s="545">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ht="12" customHeight="1" s="54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ht="12" customHeight="1" s="545">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ht="12" customHeight="1" s="545">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ht="12" customHeight="1" s="545">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ht="12" customHeight="1" s="545">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ht="12" customHeight="1" s="545">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ht="12" customHeight="1" s="545">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ht="12" customHeight="1" s="545">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ht="12" customHeight="1" s="545">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ht="12" customHeight="1" s="545">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ht="12" customHeight="1" s="54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ht="12" customHeight="1" s="545">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ht="12" customHeight="1" s="545">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ht="12" customHeight="1" s="545">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ht="12" customHeight="1" s="545">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ht="12" customHeight="1" s="545">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ht="12" customHeight="1" s="545">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ht="12" customHeight="1" s="545">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ht="12" customHeight="1" s="545">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ht="12" customHeight="1" s="545">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ht="12" customHeight="1" s="54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ht="12" customHeight="1" s="545">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ht="12" customHeight="1" s="545">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ht="12" customHeight="1" s="545">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ht="12" customHeight="1" s="545">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ht="12" customHeight="1" s="545">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ht="12" customHeight="1" s="545">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ht="12" customHeight="1" s="545">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ht="12" customHeight="1" s="545">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ht="12" customHeight="1" s="545">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ht="12" customHeight="1" s="5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ht="12" customHeight="1" s="545">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ht="12" customHeight="1" s="545">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ht="12" customHeight="1" s="545">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ht="12" customHeight="1" s="545">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ht="12" customHeight="1" s="545">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ht="12" customHeight="1" s="545">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ht="12" customHeight="1" s="545">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ht="12" customHeight="1" s="545">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ht="12" customHeight="1" s="545">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ht="12" customHeight="1" s="54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ht="12" customHeight="1" s="545">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ht="12" customHeight="1" s="545">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ht="12" customHeight="1" s="545">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ht="12" customHeight="1" s="545">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ht="12" customHeight="1" s="545">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ht="12" customHeight="1" s="545">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ht="12" customHeight="1" s="545">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ht="12" customHeight="1" s="545">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ht="12" customHeight="1" s="545">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ht="12" customHeight="1" s="54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ht="12" customHeight="1" s="545">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ht="12" customHeight="1" s="545">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ht="12" customHeight="1" s="545">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ht="12" customHeight="1" s="545">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ht="12" customHeight="1" s="545">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ht="12" customHeight="1" s="545">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ht="12" customHeight="1" s="545">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ht="12" customHeight="1" s="545">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ht="12" customHeight="1" s="545">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ht="12" customHeight="1" s="54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ht="12" customHeight="1" s="545">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ht="12" customHeight="1" s="545">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ht="12" customHeight="1" s="545">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ht="12" customHeight="1" s="545">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ht="12" customHeight="1" s="545">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ht="12" customHeight="1" s="545">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ht="12" customHeight="1" s="545">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ht="12" customHeight="1" s="545">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ht="12" customHeight="1" s="545">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ht="12" customHeight="1" s="54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ht="12" customHeight="1" s="545">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ht="12" customHeight="1" s="545">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ht="12" customHeight="1" s="545">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ht="12" customHeight="1" s="545">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ht="12" customHeight="1" s="545">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ht="12" customHeight="1" s="545">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ht="12" customHeight="1" s="545">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ht="12" customHeight="1" s="545">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ht="12" customHeight="1" s="545">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ht="12" customHeight="1" s="54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ht="12" customHeight="1" s="545">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ht="12" customHeight="1" s="545">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ht="12" customHeight="1" s="545">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ht="12" customHeight="1" s="545">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ht="12" customHeight="1" s="545">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ht="12" customHeight="1" s="545">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ht="12" customHeight="1" s="545">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ht="12" customHeight="1" s="545">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ht="12" customHeight="1" s="545">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ht="12" customHeight="1" s="54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ht="12" customHeight="1" s="545">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ht="12" customHeight="1" s="545">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ht="12" customHeight="1" s="545">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ht="12" customHeight="1" s="545">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ht="12" customHeight="1" s="545">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ht="12" customHeight="1" s="545">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ht="12" customHeight="1" s="545">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ht="12" customHeight="1" s="545">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ht="12" customHeight="1" s="545">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ht="12" customHeight="1" s="54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ht="12" customHeight="1" s="545">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ht="12" customHeight="1" s="545">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ht="12" customHeight="1" s="545">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ht="12" customHeight="1" s="545">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ht="12" customHeight="1" s="545">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ht="12" customHeight="1" s="545">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ht="12" customHeight="1" s="545">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ht="12" customHeight="1" s="545">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ht="12" customHeight="1" s="545">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ht="12" customHeight="1" s="54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ht="12" customHeight="1" s="545">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ht="12" customHeight="1" s="545">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ht="12" customHeight="1" s="545">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ht="12" customHeight="1" s="545">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ht="12" customHeight="1" s="545">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ht="12" customHeight="1" s="545">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ht="12" customHeight="1" s="545">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ht="12" customHeight="1" s="545">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ht="12" customHeight="1" s="545">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ht="12" customHeight="1" s="54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ht="12" customHeight="1" s="545">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ht="12" customHeight="1" s="545">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ht="12" customHeight="1" s="545">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ht="12" customHeight="1" s="545">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ht="12" customHeight="1" s="545">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ht="12" customHeight="1" s="545">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ht="12" customHeight="1" s="545">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ht="12" customHeight="1" s="545">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ht="12" customHeight="1" s="545">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ht="12" customHeight="1" s="5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ht="12" customHeight="1" s="545">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ht="12" customHeight="1" s="545">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ht="12" customHeight="1" s="545">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ht="12" customHeight="1" s="545">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ht="12" customHeight="1" s="545">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ht="12" customHeight="1" s="545">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ht="12" customHeight="1" s="545">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ht="12" customHeight="1" s="545">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ht="12" customHeight="1" s="545">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ht="12" customHeight="1" s="54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ht="12" customHeight="1" s="545">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ht="12" customHeight="1" s="545">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ht="12" customHeight="1" s="545">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ht="12" customHeight="1" s="545">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ht="12" customHeight="1" s="545">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ht="12" customHeight="1" s="545">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ht="12" customHeight="1" s="545">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ht="12" customHeight="1" s="545">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ht="12" customHeight="1" s="545">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ht="12" customHeight="1" s="54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ht="12" customHeight="1" s="545">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ht="12" customHeight="1" s="545">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ht="12" customHeight="1" s="545">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ht="12" customHeight="1" s="545">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ht="12" customHeight="1" s="545">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ht="12" customHeight="1" s="545">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ht="12" customHeight="1" s="545">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ht="12" customHeight="1" s="545">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ht="12" customHeight="1" s="545">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ht="12" customHeight="1" s="54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ht="12" customHeight="1" s="545">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ht="12" customHeight="1" s="545">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ht="12" customHeight="1" s="545">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ht="12" customHeight="1" s="545">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ht="12" customHeight="1" s="545">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ht="12" customHeight="1" s="545">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ht="12" customHeight="1" s="545">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ht="12" customHeight="1" s="545">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ht="12" customHeight="1" s="545">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ht="12" customHeight="1" s="54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ht="12" customHeight="1" s="545">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ht="12" customHeight="1" s="545">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ht="12" customHeight="1" s="545">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ht="12" customHeight="1" s="545">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ht="12" customHeight="1" s="545">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ht="12" customHeight="1" s="545">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ht="12" customHeight="1" s="545">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ht="12" customHeight="1" s="545">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ht="12" customHeight="1" s="545">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ht="12" customHeight="1" s="54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ht="12" customHeight="1" s="545">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ht="12" customHeight="1" s="545">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ht="12" customHeight="1" s="545">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ht="12" customHeight="1" s="545">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ht="12" customHeight="1" s="545">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ht="12" customHeight="1" s="545">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ht="12" customHeight="1" s="545">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ht="12" customHeight="1" s="545">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ht="12" customHeight="1" s="545">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ht="12" customHeight="1" s="54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ht="12" customHeight="1" s="545">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ht="12" customHeight="1" s="545">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ht="12" customHeight="1" s="545">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ht="12" customHeight="1" s="545">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ht="12" customHeight="1" s="545">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ht="12" customHeight="1" s="545">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ht="12" customHeight="1" s="545">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ht="12" customHeight="1" s="545">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ht="12" customHeight="1" s="545">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ht="12" customHeight="1" s="54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ht="12" customHeight="1" s="545">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ht="12" customHeight="1" s="545">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ht="12" customHeight="1" s="545">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ht="12" customHeight="1" s="545">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ht="12" customHeight="1" s="545">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ht="12" customHeight="1" s="545">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ht="12" customHeight="1" s="545">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ht="12" customHeight="1" s="545">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ht="12" customHeight="1" s="545">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ht="12" customHeight="1" s="54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ht="12" customHeight="1" s="545">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ht="12" customHeight="1" s="545">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ht="12" customHeight="1" s="545">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ht="12" customHeight="1" s="545">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ht="12" customHeight="1" s="545">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ht="12" customHeight="1" s="545">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ht="12" customHeight="1" s="545">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ht="12" customHeight="1" s="545">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ht="12" customHeight="1" s="545">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ht="12" customHeight="1" s="54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ht="12" customHeight="1" s="545">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ht="12" customHeight="1" s="545">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ht="12" customHeight="1" s="545">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ht="12" customHeight="1" s="545">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ht="12" customHeight="1" s="545">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ht="12" customHeight="1" s="545">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ht="12" customHeight="1" s="545">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ht="12" customHeight="1" s="545">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ht="12" customHeight="1" s="545">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ht="12" customHeight="1" s="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ht="12" customHeight="1" s="545">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ht="12" customHeight="1" s="545">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ht="12" customHeight="1" s="545">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ht="12" customHeight="1" s="545">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ht="12" customHeight="1" s="545">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ht="12" customHeight="1" s="545">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ht="12" customHeight="1" s="545">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ht="12" customHeight="1" s="545">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ht="12" customHeight="1" s="545">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ht="12" customHeight="1" s="54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ht="12" customHeight="1" s="545">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ht="12" customHeight="1" s="545">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ht="12" customHeight="1" s="545">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ht="12" customHeight="1" s="545">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ht="12" customHeight="1" s="545">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ht="12" customHeight="1" s="545">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ht="12" customHeight="1" s="545">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ht="12" customHeight="1" s="545">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ht="12" customHeight="1" s="545">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ht="12" customHeight="1" s="54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ht="12" customHeight="1" s="545">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ht="12" customHeight="1" s="545">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ht="12" customHeight="1" s="545">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ht="12" customHeight="1" s="545">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ht="12" customHeight="1" s="545">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ht="12" customHeight="1" s="545">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ht="12" customHeight="1" s="545">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ht="12" customHeight="1" s="545">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ht="12" customHeight="1" s="545">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ht="12" customHeight="1" s="54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ht="12" customHeight="1" s="545">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ht="12" customHeight="1" s="545">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ht="12" customHeight="1" s="545">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ht="12" customHeight="1" s="545">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ht="12" customHeight="1" s="545">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ht="12" customHeight="1" s="545">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ht="12" customHeight="1" s="545">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ht="12" customHeight="1" s="545">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ht="12" customHeight="1" s="545">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ht="12" customHeight="1" s="54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ht="12" customHeight="1" s="545">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ht="12" customHeight="1" s="545">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ht="12" customHeight="1" s="545">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ht="12" customHeight="1" s="545">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ht="12" customHeight="1" s="545">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ht="12" customHeight="1" s="545">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ht="12" customHeight="1" s="545">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ht="12" customHeight="1" s="545">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ht="12" customHeight="1" s="545">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ht="12" customHeight="1" s="54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ht="12" customHeight="1" s="545">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ht="12" customHeight="1" s="545">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ht="12" customHeight="1" s="545">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ht="12" customHeight="1" s="545">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ht="12" customHeight="1" s="545">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ht="12" customHeight="1" s="545">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ht="12" customHeight="1" s="545">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ht="12" customHeight="1" s="545">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ht="12" customHeight="1" s="545">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ht="12" customHeight="1" s="54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ht="12" customHeight="1" s="545">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ht="12" customHeight="1" s="545">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ht="12" customHeight="1" s="545">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ht="12" customHeight="1" s="545">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ht="12" customHeight="1" s="545">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ht="12" customHeight="1" s="545">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ht="12" customHeight="1" s="545">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ht="12" customHeight="1" s="545">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ht="12" customHeight="1" s="545">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ht="12" customHeight="1" s="54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ht="12" customHeight="1" s="545">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ht="12" customHeight="1" s="545">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ht="12" customHeight="1" s="545">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ht="12" customHeight="1" s="545">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ht="12" customHeight="1" s="545">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ht="12" customHeight="1" s="545">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ht="12" customHeight="1" s="545">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ht="12" customHeight="1" s="545">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ht="12" customHeight="1" s="545">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ht="12" customHeight="1" s="54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ht="12" customHeight="1" s="545">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ht="12" customHeight="1" s="545">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ht="12" customHeight="1" s="545">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ht="12" customHeight="1" s="545">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ht="12" customHeight="1" s="545">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ht="12" customHeight="1" s="545">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ht="12" customHeight="1" s="545">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ht="12" customHeight="1" s="545">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ht="12" customHeight="1" s="545">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ht="12" customHeight="1" s="54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ht="12" customHeight="1" s="545">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ht="12" customHeight="1" s="545">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ht="12" customHeight="1" s="545">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ht="12" customHeight="1" s="545">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ht="12" customHeight="1" s="545">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ht="12" customHeight="1" s="545">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ht="12" customHeight="1" s="545">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ht="12" customHeight="1" s="545">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ht="12" customHeight="1" s="545">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ht="12" customHeight="1" s="5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ht="12" customHeight="1" s="545">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ht="12" customHeight="1" s="545">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ht="12" customHeight="1" s="545">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ht="12" customHeight="1" s="545">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ht="12" customHeight="1" s="545">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ht="12" customHeight="1" s="545">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ht="12" customHeight="1" s="545">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ht="12" customHeight="1" s="545">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ht="12" customHeight="1" s="545">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ht="12" customHeight="1" s="54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ht="12" customHeight="1" s="545">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ht="12" customHeight="1" s="545">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ht="12" customHeight="1" s="545">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ht="12" customHeight="1" s="545">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ht="12" customHeight="1" s="545">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ht="12" customHeight="1" s="545">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ht="12" customHeight="1" s="545">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ht="12" customHeight="1" s="545">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ht="12" customHeight="1" s="545">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ht="12" customHeight="1" s="54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ht="12" customHeight="1" s="545">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ht="12" customHeight="1" s="545">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ht="12" customHeight="1" s="545">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ht="12" customHeight="1" s="545">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ht="12" customHeight="1" s="545">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ht="12" customHeight="1" s="545">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ht="12" customHeight="1" s="545">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ht="12" customHeight="1" s="545">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ht="12" customHeight="1" s="545">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ht="12" customHeight="1" s="54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ht="12" customHeight="1" s="545">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ht="12" customHeight="1" s="545">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ht="12" customHeight="1" s="545">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ht="12" customHeight="1" s="545">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ht="12" customHeight="1" s="545">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ht="12" customHeight="1" s="545">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ht="12" customHeight="1" s="545">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ht="12" customHeight="1" s="545">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ht="12" customHeight="1" s="545">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ht="12" customHeight="1" s="54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ht="12" customHeight="1" s="545">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ht="12" customHeight="1" s="545">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ht="12" customHeight="1" s="545">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ht="12" customHeight="1" s="545">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ht="12" customHeight="1" s="545">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ht="12" customHeight="1" s="545">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ht="12" customHeight="1" s="545">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ht="12" customHeight="1" s="545">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ht="12" customHeight="1" s="545">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ht="12" customHeight="1" s="54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ht="12" customHeight="1" s="545">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ht="12" customHeight="1" s="545">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ht="12" customHeight="1" s="545">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ht="12" customHeight="1" s="545">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ht="12" customHeight="1" s="545">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ht="12" customHeight="1" s="545">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ht="12" customHeight="1" s="545">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ht="12" customHeight="1" s="545">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ht="12" customHeight="1" s="545">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ht="12" customHeight="1" s="54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ht="12" customHeight="1" s="545">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ht="12" customHeight="1" s="545">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ht="12" customHeight="1" s="545">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ht="12" customHeight="1" s="545">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ht="12" customHeight="1" s="545">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ht="12" customHeight="1" s="545">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ht="12" customHeight="1" s="545">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ht="12" customHeight="1" s="545">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ht="12" customHeight="1" s="545">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ht="12" customHeight="1" s="54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ht="12" customHeight="1" s="545">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ht="12" customHeight="1" s="545">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ht="12" customHeight="1" s="545">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ht="12" customHeight="1" s="545">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ht="12" customHeight="1" s="545">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ht="12" customHeight="1" s="545">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ht="12" customHeight="1" s="545">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ht="12" customHeight="1" s="545">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ht="12" customHeight="1" s="545">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ht="12" customHeight="1" s="54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ht="12" customHeight="1" s="545">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ht="12" customHeight="1" s="545">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ht="12" customHeight="1" s="545">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ht="12" customHeight="1" s="545">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ht="12" customHeight="1" s="545">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ht="12" customHeight="1" s="545">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ht="12" customHeight="1" s="545">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ht="12" customHeight="1" s="545">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ht="12" customHeight="1" s="545">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ht="12" customHeight="1" s="54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ht="12" customHeight="1" s="545">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ht="12" customHeight="1" s="545">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ht="12" customHeight="1" s="545">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ht="12" customHeight="1" s="545">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ht="12" customHeight="1" s="545">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ht="12" customHeight="1" s="545">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ht="12" customHeight="1" s="545">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ht="12" customHeight="1" s="545">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ht="12" customHeight="1" s="545">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ht="12" customHeight="1" s="5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ht="12" customHeight="1" s="545">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ht="12" customHeight="1" s="545">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ht="12" customHeight="1" s="545">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ht="12" customHeight="1" s="545">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ht="12" customHeight="1" s="545">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ht="12" customHeight="1" s="545">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ht="12" customHeight="1" s="545">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ht="12" customHeight="1" s="545">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ht="12" customHeight="1" s="545">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ht="12" customHeight="1" s="54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ht="12" customHeight="1" s="545">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ht="12" customHeight="1" s="545">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ht="12" customHeight="1" s="545">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ht="12" customHeight="1" s="545">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ht="12" customHeight="1" s="545">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ht="12" customHeight="1" s="545">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ht="12" customHeight="1" s="545">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ht="12" customHeight="1" s="545">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ht="12" customHeight="1" s="545">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ht="12" customHeight="1" s="54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ht="12" customHeight="1" s="545">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ht="12" customHeight="1" s="545">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ht="12" customHeight="1" s="545">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ht="12" customHeight="1" s="545">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ht="12" customHeight="1" s="545">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ht="12" customHeight="1" s="545">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ht="12" customHeight="1" s="545">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ht="12" customHeight="1" s="545">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ht="12" customHeight="1" s="545">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ht="12" customHeight="1" s="54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ht="12" customHeight="1" s="545">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ht="12" customHeight="1" s="545">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ht="12" customHeight="1" s="545">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ht="12" customHeight="1" s="545">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ht="12" customHeight="1" s="545">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ht="12" customHeight="1" s="545">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ht="12" customHeight="1" s="545">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ht="12" customHeight="1" s="545">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ht="12" customHeight="1" s="545">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ht="12" customHeight="1" s="54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ht="12" customHeight="1" s="545">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ht="12" customHeight="1" s="545">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ht="12" customHeight="1" s="545">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ht="12" customHeight="1" s="545">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ht="12" customHeight="1" s="545">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ht="12" customHeight="1" s="545">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ht="12" customHeight="1" s="545">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ht="12" customHeight="1" s="545">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ht="12" customHeight="1" s="545">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ht="12" customHeight="1" s="54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ht="12" customHeight="1" s="545">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ht="12" customHeight="1" s="545">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ht="12" customHeight="1" s="545">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ht="12" customHeight="1" s="545">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ht="12" customHeight="1" s="545">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ht="12" customHeight="1" s="545">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ht="12" customHeight="1" s="545">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ht="12" customHeight="1" s="545">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ht="12" customHeight="1" s="545">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ht="12" customHeight="1" s="54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ht="12" customHeight="1" s="545">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ht="12" customHeight="1" s="545">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ht="12" customHeight="1" s="545">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ht="12" customHeight="1" s="545">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ht="12" customHeight="1" s="545">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ht="12" customHeight="1" s="545">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ht="12" customHeight="1" s="545">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ht="12" customHeight="1" s="545">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ht="12" customHeight="1" s="545">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ht="12" customHeight="1" s="54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ht="12" customHeight="1" s="545">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ht="12" customHeight="1" s="545">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ht="12" customHeight="1" s="545">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ht="12" customHeight="1" s="545">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ht="12" customHeight="1" s="545">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ht="12" customHeight="1" s="545">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ht="12" customHeight="1" s="545">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ht="12" customHeight="1" s="545">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ht="12" customHeight="1" s="545">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ht="12" customHeight="1" s="54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ht="12" customHeight="1" s="545">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ht="12" customHeight="1" s="545">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ht="12" customHeight="1" s="545">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ht="12" customHeight="1" s="545">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ht="12" customHeight="1" s="545">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ht="12" customHeight="1" s="545">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ht="12" customHeight="1" s="545">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ht="12" customHeight="1" s="545">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ht="12" customHeight="1" s="545">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ht="12" customHeight="1" s="54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ht="12" customHeight="1" s="545">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ht="12" customHeight="1" s="545">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ht="12" customHeight="1" s="545">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ht="12" customHeight="1" s="545">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ht="12" customHeight="1" s="545">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ht="12" customHeight="1" s="545">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ht="12" customHeight="1" s="545">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ht="12" customHeight="1" s="545">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ht="12" customHeight="1" s="545">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ht="12" customHeight="1" s="5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ht="12" customHeight="1" s="545">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ht="12" customHeight="1" s="545">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ht="12" customHeight="1" s="545">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ht="12" customHeight="1" s="545">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ht="12" customHeight="1" s="545">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ht="12" customHeight="1" s="545">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ht="12" customHeight="1" s="545">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ht="12" customHeight="1" s="545">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ht="12" customHeight="1" s="545">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ht="12" customHeight="1" s="54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ht="12" customHeight="1" s="545">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ht="12" customHeight="1" s="545">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ht="12" customHeight="1" s="545">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ht="12" customHeight="1" s="545">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ht="12" customHeight="1" s="545">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ht="12" customHeight="1" s="545">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ht="12" customHeight="1" s="545">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ht="12" customHeight="1" s="545">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ht="12" customHeight="1" s="545">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ht="12" customHeight="1" s="54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ht="12" customHeight="1" s="545">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ht="12" customHeight="1" s="545">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ht="12" customHeight="1" s="545">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ht="12" customHeight="1" s="545">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ht="12" customHeight="1" s="545">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ht="12" customHeight="1" s="545">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ht="12" customHeight="1" s="545">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ht="12" customHeight="1" s="545">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ht="12" customHeight="1" s="545">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ht="12" customHeight="1" s="54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ht="12" customHeight="1" s="545">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ht="12" customHeight="1" s="545">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ht="12" customHeight="1" s="545">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ht="12" customHeight="1" s="545">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ht="12" customHeight="1" s="545">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ht="12" customHeight="1" s="545">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ht="12" customHeight="1" s="545">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ht="12" customHeight="1" s="545">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ht="12" customHeight="1" s="545">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ht="12" customHeight="1" s="54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ht="12" customHeight="1" s="545">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ht="12" customHeight="1" s="545">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ht="12" customHeight="1" s="545">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ht="12" customHeight="1" s="545">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ht="12" customHeight="1" s="545">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ht="12" customHeight="1" s="545">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ht="12" customHeight="1" s="545">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ht="12" customHeight="1" s="545">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ht="12" customHeight="1" s="545">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ht="12" customHeight="1" s="54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ht="12" customHeight="1" s="545">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ht="12" customHeight="1" s="545">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ht="12" customHeight="1" s="545">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ht="12" customHeight="1" s="545">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ht="12" customHeight="1" s="545">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ht="12" customHeight="1" s="545">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ht="12" customHeight="1" s="545">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ht="12" customHeight="1" s="545">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ht="12" customHeight="1" s="545">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ht="12" customHeight="1" s="54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ht="12" customHeight="1" s="545">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ht="12" customHeight="1" s="545">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ht="12" customHeight="1" s="545">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ht="12" customHeight="1" s="545">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ht="12" customHeight="1" s="545">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ht="12" customHeight="1" s="545">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ht="12" customHeight="1" s="545">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ht="12" customHeight="1" s="545">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ht="12" customHeight="1" s="545">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ht="12" customHeight="1" s="54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ht="12" customHeight="1" s="545">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ht="12" customHeight="1" s="545">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ht="12" customHeight="1" s="545">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ht="12" customHeight="1" s="545">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ht="12" customHeight="1" s="545">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ht="12" customHeight="1" s="545">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ht="12" customHeight="1" s="545">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ht="12" customHeight="1" s="545">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ht="12" customHeight="1" s="545">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ht="12" customHeight="1" s="54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ht="12" customHeight="1" s="545">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ht="12" customHeight="1" s="545">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ht="12" customHeight="1" s="545">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ht="12" customHeight="1" s="545">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ht="12" customHeight="1" s="545">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ht="12" customHeight="1" s="545">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ht="12" customHeight="1" s="545">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ht="12" customHeight="1" s="545">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ht="12" customHeight="1" s="545">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ht="12" customHeight="1" s="54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ht="12" customHeight="1" s="545">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ht="12" customHeight="1" s="545">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ht="12" customHeight="1" s="545">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ht="12" customHeight="1" s="545">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ht="12" customHeight="1" s="545">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ht="12" customHeight="1" s="545">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ht="12" customHeight="1" s="545">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ht="12" customHeight="1" s="545">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ht="12" customHeight="1" s="545">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ht="12" customHeight="1" s="5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ht="12" customHeight="1" s="545">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ht="12" customHeight="1" s="545">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ht="12" customHeight="1" s="545">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ht="12" customHeight="1" s="545">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ht="12" customHeight="1" s="545">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ht="12" customHeight="1" s="545">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ht="12" customHeight="1" s="545">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ht="12" customHeight="1" s="545">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ht="12" customHeight="1" s="545">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ht="12" customHeight="1" s="54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ht="12" customHeight="1" s="545">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ht="12" customHeight="1" s="545">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ht="12" customHeight="1" s="545">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ht="12" customHeight="1" s="545">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ht="12" customHeight="1" s="545">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ht="12" customHeight="1" s="545">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ht="12" customHeight="1" s="545">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ht="12" customHeight="1" s="545">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ht="12" customHeight="1" s="545">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ht="12" customHeight="1" s="54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ht="12" customHeight="1" s="545">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ht="12" customHeight="1" s="545">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ht="12" customHeight="1" s="545">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ht="12" customHeight="1" s="545">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ht="12" customHeight="1" s="545">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ht="12" customHeight="1" s="545">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ht="12" customHeight="1" s="545">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ht="12" customHeight="1" s="545">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ht="12" customHeight="1" s="545">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ht="12" customHeight="1" s="54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ht="12" customHeight="1" s="545">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ht="12" customHeight="1" s="545">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ht="12" customHeight="1" s="545">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ht="12" customHeight="1" s="545">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ht="12" customHeight="1" s="545">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ht="12" customHeight="1" s="545">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ht="12" customHeight="1" s="545">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ht="12" customHeight="1" s="545">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ht="12" customHeight="1" s="545">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ht="12" customHeight="1" s="54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ht="12" customHeight="1" s="545">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ht="12" customHeight="1" s="545">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ht="12" customHeight="1" s="545">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ht="12" customHeight="1" s="545">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ht="12" customHeight="1" s="545">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ht="12" customHeight="1" s="545">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ht="12" customHeight="1" s="545">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ht="12" customHeight="1" s="545">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ht="12" customHeight="1" s="545">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ht="12" customHeight="1" s="54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ht="12" customHeight="1" s="545">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ht="12" customHeight="1" s="545">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ht="12" customHeight="1" s="545">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ht="12" customHeight="1" s="545">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ht="12" customHeight="1" s="545">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ht="12" customHeight="1" s="545">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ht="12" customHeight="1" s="545">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ht="12" customHeight="1" s="545">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ht="12" customHeight="1" s="545">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ht="12" customHeight="1" s="54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ht="12" customHeight="1" s="545">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ht="12" customHeight="1" s="545">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ht="12" customHeight="1" s="545">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ht="12" customHeight="1" s="545">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ht="12" customHeight="1" s="545">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ht="12" customHeight="1" s="545">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ht="12" customHeight="1" s="545">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ht="12" customHeight="1" s="545">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ht="12" customHeight="1" s="545">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ht="12" customHeight="1" s="54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ht="12" customHeight="1" s="545">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ht="12" customHeight="1" s="545">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ht="12" customHeight="1" s="545">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ht="12" customHeight="1" s="545">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ht="12" customHeight="1" s="545">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ht="12" customHeight="1" s="545">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ht="12" customHeight="1" s="545">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ht="12" customHeight="1" s="545">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ht="12" customHeight="1" s="545">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ht="12" customHeight="1" s="54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ht="12" customHeight="1" s="545">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ht="12" customHeight="1" s="545">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ht="12" customHeight="1" s="545">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ht="12" customHeight="1" s="545">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ht="12" customHeight="1" s="545">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ht="12" customHeight="1" s="545">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ht="12" customHeight="1" s="545">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ht="12" customHeight="1" s="545">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ht="12" customHeight="1" s="545">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ht="12" customHeight="1" s="54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ht="12" customHeight="1" s="545">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ht="12" customHeight="1" s="545">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ht="12" customHeight="1" s="545">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ht="12" customHeight="1" s="545">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ht="12" customHeight="1" s="545">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ht="12" customHeight="1" s="545">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ht="12" customHeight="1" s="545">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ht="12" customHeight="1" s="545">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ht="12" customHeight="1" s="545">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ht="12" customHeight="1" s="5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ht="12" customHeight="1" s="545">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ht="12" customHeight="1" s="545">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ht="12" customHeight="1" s="545">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ht="12" customHeight="1" s="545">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ht="12" customHeight="1" s="545">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ht="12" customHeight="1" s="545">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ht="12" customHeight="1" s="545">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ht="12" customHeight="1" s="545">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ht="12" customHeight="1" s="545">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ht="12" customHeight="1" s="54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ht="12" customHeight="1" s="545">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ht="12" customHeight="1" s="545">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ht="12" customHeight="1" s="545">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ht="12" customHeight="1" s="545">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ht="12" customHeight="1" s="545">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ht="12" customHeight="1" s="545">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ht="12" customHeight="1" s="545">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ht="12" customHeight="1" s="545">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ht="12" customHeight="1" s="545">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ht="12" customHeight="1" s="54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ht="12" customHeight="1" s="545">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ht="12" customHeight="1" s="545">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ht="12" customHeight="1" s="545">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ht="12" customHeight="1" s="545">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ht="12" customHeight="1" s="545">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ht="12" customHeight="1" s="545">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ht="12" customHeight="1" s="545">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ht="12" customHeight="1" s="545">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ht="12" customHeight="1" s="545">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ht="12" customHeight="1" s="54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ht="12" customHeight="1" s="545">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ht="12" customHeight="1" s="545">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ht="12" customHeight="1" s="545">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ht="12" customHeight="1" s="545">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ht="12" customHeight="1" s="545">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ht="12" customHeight="1" s="545">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ht="12" customHeight="1" s="545">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ht="12" customHeight="1" s="545">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ht="12" customHeight="1" s="545">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ht="12" customHeight="1" s="54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ht="12" customHeight="1" s="545">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ht="12" customHeight="1" s="545">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ht="12" customHeight="1" s="545">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ht="12" customHeight="1" s="545">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ht="12" customHeight="1" s="545">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ht="12" customHeight="1" s="545">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ht="12" customHeight="1" s="545">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ht="12" customHeight="1" s="545">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ht="12" customHeight="1" s="545">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ht="12" customHeight="1" s="54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ht="12" customHeight="1" s="545">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ht="12" customHeight="1" s="545">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ht="12" customHeight="1" s="545">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ht="12" customHeight="1" s="545">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ht="12" customHeight="1" s="545">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ht="12" customHeight="1" s="545">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ht="12" customHeight="1" s="545">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ht="12" customHeight="1" s="545">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ht="12" customHeight="1" s="545">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ht="12" customHeight="1" s="54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ht="12" customHeight="1" s="545">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ht="12" customHeight="1" s="545">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ht="12" customHeight="1" s="545">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ht="12" customHeight="1" s="545">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ht="12" customHeight="1" s="545">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ht="12" customHeight="1" s="545">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ht="12" customHeight="1" s="545">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ht="12" customHeight="1" s="545">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ht="12" customHeight="1" s="545">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ht="12" customHeight="1" s="54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ht="12" customHeight="1" s="545">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ht="12" customHeight="1" s="545">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ht="12" customHeight="1" s="545">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ht="12" customHeight="1" s="545">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ht="12" customHeight="1" s="545">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ht="12" customHeight="1" s="545">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ht="12" customHeight="1" s="545">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ht="12" customHeight="1" s="545">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ht="12" customHeight="1" s="545">
      <c r="B3126" s="211" t="inlineStr">
        <is>
          <t>REFERENCE 4 -- Occupancy Master List (dropdown source / lookup attributes)</t>
        </is>
      </c>
    </row>
    <row r="3127" ht="12" customHeight="1" s="545">
      <c r="B3127" s="212" t="inlineStr">
        <is>
          <t>Occupancy Name</t>
        </is>
      </c>
      <c r="C3127" s="212" t="inlineStr">
        <is>
          <t>MVS Code</t>
        </is>
      </c>
      <c r="D3127" s="212" t="inlineStr">
        <is>
          <t>Section</t>
        </is>
      </c>
      <c r="E3127" s="212" t="inlineStr">
        <is>
          <t>Page</t>
        </is>
      </c>
      <c r="F3127" s="212" t="inlineStr">
        <is>
          <t>Story-Height Tbl (Sec.)</t>
        </is>
      </c>
      <c r="G3127" s="212" t="inlineStr">
        <is>
          <t>Sprinkler Tbl (Sec.)</t>
        </is>
      </c>
      <c r="H3127" s="212" t="inlineStr">
        <is>
          <t>Depr Table (C=Commercial Sec.97 p.24 / R=Residential p.25)</t>
        </is>
      </c>
    </row>
    <row r="3128" ht="12" customHeight="1" s="545">
      <c r="B3128" t="inlineStr">
        <is>
          <t>Homes For the Elderly</t>
        </is>
      </c>
      <c r="C3128" t="inlineStr">
        <is>
          <t>330</t>
        </is>
      </c>
      <c r="D3128" t="inlineStr">
        <is>
          <t>11</t>
        </is>
      </c>
      <c r="E3128" t="inlineStr">
        <is>
          <t>13</t>
        </is>
      </c>
      <c r="F3128" t="inlineStr">
        <is>
          <t>11</t>
        </is>
      </c>
      <c r="G3128" t="inlineStr">
        <is>
          <t>11</t>
        </is>
      </c>
      <c r="H3128" t="inlineStr">
        <is>
          <t>C</t>
        </is>
      </c>
    </row>
    <row r="3129" ht="12" customHeight="1" s="545">
      <c r="B3129" t="inlineStr">
        <is>
          <t>Dormitories</t>
        </is>
      </c>
      <c r="C3129" t="inlineStr">
        <is>
          <t>321</t>
        </is>
      </c>
      <c r="D3129" t="inlineStr">
        <is>
          <t>11</t>
        </is>
      </c>
      <c r="E3129" t="inlineStr">
        <is>
          <t>14</t>
        </is>
      </c>
      <c r="F3129" t="inlineStr">
        <is>
          <t>11</t>
        </is>
      </c>
      <c r="G3129" t="inlineStr">
        <is>
          <t>11</t>
        </is>
      </c>
      <c r="H3129" t="inlineStr">
        <is>
          <t>R</t>
        </is>
      </c>
    </row>
    <row r="3130" ht="12" customHeight="1" s="545">
      <c r="B3130" t="inlineStr">
        <is>
          <t>Luxury Apartments (High-Rise)</t>
        </is>
      </c>
      <c r="C3130" t="inlineStr">
        <is>
          <t>984</t>
        </is>
      </c>
      <c r="D3130" t="inlineStr">
        <is>
          <t>11</t>
        </is>
      </c>
      <c r="E3130" t="inlineStr">
        <is>
          <t>15</t>
        </is>
      </c>
      <c r="F3130" t="inlineStr">
        <is>
          <t>11</t>
        </is>
      </c>
      <c r="G3130" t="inlineStr">
        <is>
          <t>11</t>
        </is>
      </c>
      <c r="H3130" t="inlineStr">
        <is>
          <t>C</t>
        </is>
      </c>
    </row>
    <row r="3131" ht="12" customHeight="1" s="545">
      <c r="B3131" t="inlineStr">
        <is>
          <t>Shell Luxury Apartment Buildings</t>
        </is>
      </c>
      <c r="C3131" t="inlineStr">
        <is>
          <t>777</t>
        </is>
      </c>
      <c r="D3131" t="inlineStr">
        <is>
          <t>11</t>
        </is>
      </c>
      <c r="E3131" t="inlineStr">
        <is>
          <t>16</t>
        </is>
      </c>
      <c r="F3131" t="inlineStr">
        <is>
          <t>11</t>
        </is>
      </c>
      <c r="G3131" t="inlineStr">
        <is>
          <t>11</t>
        </is>
      </c>
      <c r="H3131" t="inlineStr">
        <is>
          <t>C</t>
        </is>
      </c>
    </row>
    <row r="3132" ht="12" customHeight="1" s="545">
      <c r="B3132" t="inlineStr">
        <is>
          <t>Apartments (High-Rise)</t>
        </is>
      </c>
      <c r="C3132" t="inlineStr">
        <is>
          <t>300</t>
        </is>
      </c>
      <c r="D3132" t="inlineStr">
        <is>
          <t>11</t>
        </is>
      </c>
      <c r="E3132" t="inlineStr">
        <is>
          <t>18</t>
        </is>
      </c>
      <c r="F3132" t="inlineStr">
        <is>
          <t>11</t>
        </is>
      </c>
      <c r="G3132" t="inlineStr">
        <is>
          <t>11</t>
        </is>
      </c>
      <c r="H3132" t="inlineStr">
        <is>
          <t>C</t>
        </is>
      </c>
    </row>
    <row r="3133" ht="12" customHeight="1" s="545">
      <c r="B3133" t="inlineStr">
        <is>
          <t>City Clubs</t>
        </is>
      </c>
      <c r="C3133" t="inlineStr">
        <is>
          <t>310</t>
        </is>
      </c>
      <c r="D3133" t="inlineStr">
        <is>
          <t>11</t>
        </is>
      </c>
      <c r="E3133" t="inlineStr">
        <is>
          <t>19</t>
        </is>
      </c>
      <c r="F3133" t="inlineStr">
        <is>
          <t>11</t>
        </is>
      </c>
      <c r="G3133" t="inlineStr">
        <is>
          <t>11</t>
        </is>
      </c>
      <c r="H3133" t="inlineStr">
        <is>
          <t>R</t>
        </is>
      </c>
    </row>
    <row r="3134" ht="12" customHeight="1" s="545">
      <c r="B3134" t="inlineStr">
        <is>
          <t>Shell Apartment Buildings</t>
        </is>
      </c>
      <c r="C3134" t="inlineStr">
        <is>
          <t>596</t>
        </is>
      </c>
      <c r="D3134" t="inlineStr">
        <is>
          <t>11</t>
        </is>
      </c>
      <c r="E3134" t="inlineStr">
        <is>
          <t>20</t>
        </is>
      </c>
      <c r="F3134" t="inlineStr">
        <is>
          <t>11</t>
        </is>
      </c>
      <c r="G3134" t="inlineStr">
        <is>
          <t>11</t>
        </is>
      </c>
      <c r="H3134" t="inlineStr">
        <is>
          <t>C</t>
        </is>
      </c>
    </row>
    <row r="3135" ht="12" customHeight="1" s="545">
      <c r="B3135" t="inlineStr">
        <is>
          <t>Hotels, Limited Service</t>
        </is>
      </c>
      <c r="C3135" t="inlineStr">
        <is>
          <t>595</t>
        </is>
      </c>
      <c r="D3135" t="inlineStr">
        <is>
          <t>11</t>
        </is>
      </c>
      <c r="E3135" t="inlineStr">
        <is>
          <t>22</t>
        </is>
      </c>
      <c r="F3135" t="inlineStr">
        <is>
          <t>11</t>
        </is>
      </c>
      <c r="G3135" t="inlineStr">
        <is>
          <t>11</t>
        </is>
      </c>
      <c r="H3135" t="inlineStr">
        <is>
          <t>C</t>
        </is>
      </c>
    </row>
    <row r="3136" ht="12" customHeight="1" s="545">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ht="12" customHeight="1" s="545">
      <c r="B3137" t="inlineStr">
        <is>
          <t>Hotels, Full Service</t>
        </is>
      </c>
      <c r="C3137" t="inlineStr">
        <is>
          <t>594</t>
        </is>
      </c>
      <c r="D3137" t="inlineStr">
        <is>
          <t>11</t>
        </is>
      </c>
      <c r="E3137" t="inlineStr">
        <is>
          <t>25</t>
        </is>
      </c>
      <c r="F3137" t="inlineStr">
        <is>
          <t>11</t>
        </is>
      </c>
      <c r="G3137" t="inlineStr">
        <is>
          <t>11</t>
        </is>
      </c>
      <c r="H3137" t="inlineStr">
        <is>
          <t>C</t>
        </is>
      </c>
    </row>
    <row r="3138" ht="12" customHeight="1" s="545">
      <c r="B3138" t="inlineStr">
        <is>
          <t>Shell Hotels: Full Service Buildings</t>
        </is>
      </c>
      <c r="C3138" t="inlineStr">
        <is>
          <t>778</t>
        </is>
      </c>
      <c r="D3138" t="inlineStr">
        <is>
          <t>11</t>
        </is>
      </c>
      <c r="E3138" t="inlineStr">
        <is>
          <t>26</t>
        </is>
      </c>
      <c r="F3138" t="inlineStr">
        <is>
          <t>11</t>
        </is>
      </c>
      <c r="G3138" t="inlineStr">
        <is>
          <t>11</t>
        </is>
      </c>
      <c r="H3138" t="inlineStr">
        <is>
          <t>C</t>
        </is>
      </c>
    </row>
    <row r="3139" ht="12" customHeight="1" s="545">
      <c r="B3139" t="inlineStr">
        <is>
          <t>Rooming Houses</t>
        </is>
      </c>
      <c r="C3139" t="inlineStr">
        <is>
          <t>551</t>
        </is>
      </c>
      <c r="D3139" t="inlineStr">
        <is>
          <t>11</t>
        </is>
      </c>
      <c r="E3139" t="inlineStr">
        <is>
          <t>28</t>
        </is>
      </c>
      <c r="F3139" t="inlineStr">
        <is>
          <t>11</t>
        </is>
      </c>
      <c r="G3139" t="inlineStr">
        <is>
          <t>11</t>
        </is>
      </c>
      <c r="H3139" t="inlineStr">
        <is>
          <t>R</t>
        </is>
      </c>
    </row>
    <row r="3140" ht="12" customHeight="1" s="545">
      <c r="B3140" t="inlineStr">
        <is>
          <t>Rectories</t>
        </is>
      </c>
      <c r="C3140" t="inlineStr">
        <is>
          <t>348</t>
        </is>
      </c>
      <c r="D3140" t="inlineStr">
        <is>
          <t>11</t>
        </is>
      </c>
      <c r="E3140" t="inlineStr">
        <is>
          <t>28</t>
        </is>
      </c>
      <c r="F3140" t="inlineStr">
        <is>
          <t>11</t>
        </is>
      </c>
      <c r="G3140" t="inlineStr">
        <is>
          <t>11</t>
        </is>
      </c>
      <c r="H3140" t="inlineStr">
        <is>
          <t>R</t>
        </is>
      </c>
    </row>
    <row r="3141" ht="12" customHeight="1" s="545">
      <c r="B3141" t="inlineStr">
        <is>
          <t>Fraternity Housing</t>
        </is>
      </c>
      <c r="C3141" t="inlineStr">
        <is>
          <t>324</t>
        </is>
      </c>
      <c r="D3141" t="inlineStr">
        <is>
          <t>11</t>
        </is>
      </c>
      <c r="E3141" t="inlineStr">
        <is>
          <t>28</t>
        </is>
      </c>
      <c r="F3141" t="inlineStr">
        <is>
          <t>11</t>
        </is>
      </c>
      <c r="G3141" t="inlineStr">
        <is>
          <t>11</t>
        </is>
      </c>
      <c r="H3141" t="inlineStr">
        <is>
          <t>R</t>
        </is>
      </c>
    </row>
    <row r="3142" ht="12" customHeight="1" s="545">
      <c r="B3142" t="inlineStr">
        <is>
          <t>Group Care Homes</t>
        </is>
      </c>
      <c r="C3142" t="inlineStr">
        <is>
          <t>424</t>
        </is>
      </c>
      <c r="D3142" t="inlineStr">
        <is>
          <t>11</t>
        </is>
      </c>
      <c r="E3142" t="inlineStr">
        <is>
          <t>29</t>
        </is>
      </c>
      <c r="F3142" t="inlineStr">
        <is>
          <t>11</t>
        </is>
      </c>
      <c r="G3142" t="inlineStr">
        <is>
          <t>11</t>
        </is>
      </c>
      <c r="H3142" t="inlineStr">
        <is>
          <t>R</t>
        </is>
      </c>
    </row>
    <row r="3143" ht="12" customHeight="1" s="545">
      <c r="B3143" t="inlineStr">
        <is>
          <t>Recreational (Pool) Enclosures</t>
        </is>
      </c>
      <c r="C3143" t="inlineStr">
        <is>
          <t>552</t>
        </is>
      </c>
      <c r="D3143" t="inlineStr">
        <is>
          <t>11</t>
        </is>
      </c>
      <c r="E3143" t="inlineStr">
        <is>
          <t>29</t>
        </is>
      </c>
      <c r="F3143" t="inlineStr">
        <is>
          <t>11</t>
        </is>
      </c>
      <c r="G3143" t="inlineStr">
        <is>
          <t>11</t>
        </is>
      </c>
      <c r="H3143" t="inlineStr">
        <is>
          <t>R</t>
        </is>
      </c>
    </row>
    <row r="3144" ht="12" customHeight="1" s="545">
      <c r="B3144" t="inlineStr">
        <is>
          <t>Clubhouses</t>
        </is>
      </c>
      <c r="C3144" t="inlineStr">
        <is>
          <t>311</t>
        </is>
      </c>
      <c r="D3144" t="inlineStr">
        <is>
          <t>11</t>
        </is>
      </c>
      <c r="E3144" t="inlineStr">
        <is>
          <t>30</t>
        </is>
      </c>
      <c r="F3144" t="inlineStr">
        <is>
          <t>11</t>
        </is>
      </c>
      <c r="G3144" t="inlineStr">
        <is>
          <t>11</t>
        </is>
      </c>
      <c r="H3144" t="inlineStr">
        <is>
          <t>R</t>
        </is>
      </c>
    </row>
    <row r="3145" ht="12" customHeight="1" s="545">
      <c r="B3145" t="inlineStr">
        <is>
          <t>Senior (Clubhouse) Centers</t>
        </is>
      </c>
      <c r="C3145" t="inlineStr">
        <is>
          <t>985</t>
        </is>
      </c>
      <c r="D3145" t="inlineStr">
        <is>
          <t>11</t>
        </is>
      </c>
      <c r="E3145" t="inlineStr">
        <is>
          <t>30</t>
        </is>
      </c>
      <c r="F3145" t="inlineStr">
        <is>
          <t>11</t>
        </is>
      </c>
      <c r="G3145" t="inlineStr">
        <is>
          <t>11</t>
        </is>
      </c>
      <c r="H3145" t="inlineStr">
        <is>
          <t>R</t>
        </is>
      </c>
    </row>
    <row r="3146" ht="12" customHeight="1" s="545">
      <c r="B3146" t="inlineStr">
        <is>
          <t>Country Clubs</t>
        </is>
      </c>
      <c r="C3146" t="inlineStr">
        <is>
          <t>314</t>
        </is>
      </c>
      <c r="D3146" t="inlineStr">
        <is>
          <t>11</t>
        </is>
      </c>
      <c r="E3146" t="inlineStr">
        <is>
          <t>31</t>
        </is>
      </c>
      <c r="F3146" t="inlineStr">
        <is>
          <t>11</t>
        </is>
      </c>
      <c r="G3146" t="inlineStr">
        <is>
          <t>11</t>
        </is>
      </c>
      <c r="H3146" t="inlineStr">
        <is>
          <t>R</t>
        </is>
      </c>
    </row>
    <row r="3147" ht="12" customHeight="1" s="545">
      <c r="B3147" t="inlineStr">
        <is>
          <t>Health Clubs (Spas)</t>
        </is>
      </c>
      <c r="C3147" t="inlineStr">
        <is>
          <t>418</t>
        </is>
      </c>
      <c r="D3147" t="inlineStr">
        <is>
          <t>11</t>
        </is>
      </c>
      <c r="E3147" t="inlineStr">
        <is>
          <t>31</t>
        </is>
      </c>
      <c r="F3147" t="inlineStr">
        <is>
          <t>11</t>
        </is>
      </c>
      <c r="G3147" t="inlineStr">
        <is>
          <t>11</t>
        </is>
      </c>
      <c r="H3147" t="inlineStr">
        <is>
          <t>R</t>
        </is>
      </c>
    </row>
    <row r="3148" ht="12" customHeight="1" s="545">
      <c r="B3148" t="inlineStr">
        <is>
          <t>Mortuaries / Funeral Homes</t>
        </is>
      </c>
      <c r="C3148" t="inlineStr">
        <is>
          <t>342</t>
        </is>
      </c>
      <c r="D3148" t="inlineStr">
        <is>
          <t>11</t>
        </is>
      </c>
      <c r="E3148" t="inlineStr">
        <is>
          <t>32</t>
        </is>
      </c>
      <c r="F3148" t="inlineStr">
        <is>
          <t>11</t>
        </is>
      </c>
      <c r="G3148" t="inlineStr">
        <is>
          <t>11</t>
        </is>
      </c>
      <c r="H3148" t="inlineStr">
        <is>
          <t>R</t>
        </is>
      </c>
    </row>
    <row r="3149" ht="12" customHeight="1" s="545">
      <c r="B3149" t="inlineStr">
        <is>
          <t>High-Rise Row (Town) Houses</t>
        </is>
      </c>
      <c r="C3149" t="inlineStr">
        <is>
          <t>177</t>
        </is>
      </c>
      <c r="D3149" t="inlineStr">
        <is>
          <t>11</t>
        </is>
      </c>
      <c r="E3149" t="inlineStr">
        <is>
          <t>33</t>
        </is>
      </c>
      <c r="F3149" t="inlineStr">
        <is>
          <t>11</t>
        </is>
      </c>
      <c r="G3149" t="inlineStr">
        <is>
          <t>11</t>
        </is>
      </c>
      <c r="H3149" t="inlineStr">
        <is>
          <t>R</t>
        </is>
      </c>
    </row>
    <row r="3150" ht="12" customHeight="1" s="545">
      <c r="B3150" t="inlineStr">
        <is>
          <t>Motels</t>
        </is>
      </c>
      <c r="C3150" t="inlineStr">
        <is>
          <t>343</t>
        </is>
      </c>
      <c r="D3150" t="inlineStr">
        <is>
          <t>12</t>
        </is>
      </c>
      <c r="E3150" t="inlineStr">
        <is>
          <t>9</t>
        </is>
      </c>
      <c r="F3150" t="inlineStr">
        <is>
          <t>-</t>
        </is>
      </c>
      <c r="G3150" t="inlineStr">
        <is>
          <t>12</t>
        </is>
      </c>
      <c r="H3150" t="inlineStr">
        <is>
          <t>C</t>
        </is>
      </c>
    </row>
    <row r="3151" ht="12" customHeight="1" s="545">
      <c r="B3151" t="inlineStr">
        <is>
          <t>Shell Motels</t>
        </is>
      </c>
      <c r="C3151" t="inlineStr">
        <is>
          <t>780</t>
        </is>
      </c>
      <c r="D3151" t="inlineStr">
        <is>
          <t>12</t>
        </is>
      </c>
      <c r="E3151" t="inlineStr">
        <is>
          <t>10</t>
        </is>
      </c>
      <c r="F3151" t="inlineStr">
        <is>
          <t>-</t>
        </is>
      </c>
      <c r="G3151" t="inlineStr">
        <is>
          <t>12</t>
        </is>
      </c>
      <c r="H3151" t="inlineStr">
        <is>
          <t>C</t>
        </is>
      </c>
    </row>
    <row r="3152" ht="12" customHeight="1" s="545">
      <c r="B3152" t="inlineStr">
        <is>
          <t>Extended-Stay Motels</t>
        </is>
      </c>
      <c r="C3152" t="inlineStr">
        <is>
          <t>588</t>
        </is>
      </c>
      <c r="D3152" t="inlineStr">
        <is>
          <t>12</t>
        </is>
      </c>
      <c r="E3152" t="inlineStr">
        <is>
          <t>11</t>
        </is>
      </c>
      <c r="F3152" t="inlineStr">
        <is>
          <t>-</t>
        </is>
      </c>
      <c r="G3152" t="inlineStr">
        <is>
          <t>12</t>
        </is>
      </c>
      <c r="H3152" t="inlineStr">
        <is>
          <t>C</t>
        </is>
      </c>
    </row>
    <row r="3153" ht="12" customHeight="1" s="545">
      <c r="B3153" t="inlineStr">
        <is>
          <t>Shell Extended Stay - Motels</t>
        </is>
      </c>
      <c r="C3153" t="inlineStr">
        <is>
          <t>781</t>
        </is>
      </c>
      <c r="D3153" t="inlineStr">
        <is>
          <t>12</t>
        </is>
      </c>
      <c r="E3153" t="inlineStr">
        <is>
          <t>12</t>
        </is>
      </c>
      <c r="F3153" t="inlineStr">
        <is>
          <t>-</t>
        </is>
      </c>
      <c r="G3153" t="inlineStr">
        <is>
          <t>12</t>
        </is>
      </c>
      <c r="H3153" t="inlineStr">
        <is>
          <t>C</t>
        </is>
      </c>
    </row>
    <row r="3154" ht="12" customHeight="1" s="545">
      <c r="B3154" t="inlineStr">
        <is>
          <t>Office-Apartments</t>
        </is>
      </c>
      <c r="C3154" t="inlineStr">
        <is>
          <t>544</t>
        </is>
      </c>
      <c r="D3154" t="inlineStr">
        <is>
          <t>12</t>
        </is>
      </c>
      <c r="E3154" t="inlineStr">
        <is>
          <t>13</t>
        </is>
      </c>
      <c r="F3154" t="inlineStr">
        <is>
          <t>-</t>
        </is>
      </c>
      <c r="G3154" t="inlineStr">
        <is>
          <t>12</t>
        </is>
      </c>
      <c r="H3154" t="inlineStr">
        <is>
          <t>R</t>
        </is>
      </c>
    </row>
    <row r="3155" ht="12" customHeight="1" s="545">
      <c r="B3155" t="inlineStr">
        <is>
          <t>Motel Guest Rooms</t>
        </is>
      </c>
      <c r="C3155" t="inlineStr">
        <is>
          <t>540</t>
        </is>
      </c>
      <c r="D3155" t="inlineStr">
        <is>
          <t>12</t>
        </is>
      </c>
      <c r="E3155" t="inlineStr">
        <is>
          <t>13</t>
        </is>
      </c>
      <c r="F3155" t="inlineStr">
        <is>
          <t>-</t>
        </is>
      </c>
      <c r="G3155" t="inlineStr">
        <is>
          <t>12</t>
        </is>
      </c>
      <c r="H3155" t="inlineStr">
        <is>
          <t>C</t>
        </is>
      </c>
    </row>
    <row r="3156" ht="12" customHeight="1" s="545">
      <c r="B3156" t="inlineStr">
        <is>
          <t>Lodges</t>
        </is>
      </c>
      <c r="C3156" t="inlineStr">
        <is>
          <t>537</t>
        </is>
      </c>
      <c r="D3156" t="inlineStr">
        <is>
          <t>12</t>
        </is>
      </c>
      <c r="E3156" t="inlineStr">
        <is>
          <t>14</t>
        </is>
      </c>
      <c r="F3156" t="inlineStr">
        <is>
          <t>-</t>
        </is>
      </c>
      <c r="G3156" t="inlineStr">
        <is>
          <t>12</t>
        </is>
      </c>
      <c r="H3156" t="inlineStr">
        <is>
          <t>C</t>
        </is>
      </c>
    </row>
    <row r="3157" ht="12" customHeight="1" s="545">
      <c r="B3157" t="inlineStr">
        <is>
          <t>Guest Cottages</t>
        </is>
      </c>
      <c r="C3157" t="inlineStr">
        <is>
          <t>538</t>
        </is>
      </c>
      <c r="D3157" t="inlineStr">
        <is>
          <t>12</t>
        </is>
      </c>
      <c r="E3157" t="inlineStr">
        <is>
          <t>15</t>
        </is>
      </c>
      <c r="F3157" t="inlineStr">
        <is>
          <t>-</t>
        </is>
      </c>
      <c r="G3157" t="inlineStr">
        <is>
          <t>12</t>
        </is>
      </c>
      <c r="H3157" t="inlineStr">
        <is>
          <t>R</t>
        </is>
      </c>
    </row>
    <row r="3158" ht="12" customHeight="1" s="545">
      <c r="B3158" t="inlineStr">
        <is>
          <t>Bed and Breakfast Inns</t>
        </is>
      </c>
      <c r="C3158" t="inlineStr">
        <is>
          <t>539</t>
        </is>
      </c>
      <c r="D3158" t="inlineStr">
        <is>
          <t>12</t>
        </is>
      </c>
      <c r="E3158" t="inlineStr">
        <is>
          <t>15</t>
        </is>
      </c>
      <c r="F3158" t="inlineStr">
        <is>
          <t>-</t>
        </is>
      </c>
      <c r="G3158" t="inlineStr">
        <is>
          <t>12</t>
        </is>
      </c>
      <c r="H3158" t="inlineStr">
        <is>
          <t>R</t>
        </is>
      </c>
    </row>
    <row r="3159" ht="12" customHeight="1" s="545">
      <c r="B3159" t="inlineStr">
        <is>
          <t>Multiple Residences</t>
        </is>
      </c>
      <c r="C3159" t="inlineStr">
        <is>
          <t>352</t>
        </is>
      </c>
      <c r="D3159" t="inlineStr">
        <is>
          <t>12</t>
        </is>
      </c>
      <c r="E3159" t="inlineStr">
        <is>
          <t>16</t>
        </is>
      </c>
      <c r="F3159" t="inlineStr">
        <is>
          <t>-</t>
        </is>
      </c>
      <c r="G3159" t="inlineStr">
        <is>
          <t>12</t>
        </is>
      </c>
      <c r="H3159" t="inlineStr">
        <is>
          <t>C</t>
        </is>
      </c>
    </row>
    <row r="3160" ht="12" customHeight="1" s="545">
      <c r="B3160" t="inlineStr">
        <is>
          <t>Shell Multiple Residence Buildings</t>
        </is>
      </c>
      <c r="C3160" t="inlineStr">
        <is>
          <t>587</t>
        </is>
      </c>
      <c r="D3160" t="inlineStr">
        <is>
          <t>12</t>
        </is>
      </c>
      <c r="E3160" t="inlineStr">
        <is>
          <t>17</t>
        </is>
      </c>
      <c r="F3160" t="inlineStr">
        <is>
          <t>-</t>
        </is>
      </c>
      <c r="G3160" t="inlineStr">
        <is>
          <t>12</t>
        </is>
      </c>
      <c r="H3160" t="inlineStr">
        <is>
          <t>C</t>
        </is>
      </c>
    </row>
    <row r="3161" ht="12" customHeight="1" s="545">
      <c r="B3161" t="inlineStr">
        <is>
          <t>Multiple Residences – Senior Citizen</t>
        </is>
      </c>
      <c r="C3161" t="inlineStr">
        <is>
          <t>451</t>
        </is>
      </c>
      <c r="D3161" t="inlineStr">
        <is>
          <t>12</t>
        </is>
      </c>
      <c r="E3161" t="inlineStr">
        <is>
          <t>18</t>
        </is>
      </c>
      <c r="F3161" t="inlineStr">
        <is>
          <t>-</t>
        </is>
      </c>
      <c r="G3161" t="inlineStr">
        <is>
          <t>12</t>
        </is>
      </c>
      <c r="H3161" t="inlineStr">
        <is>
          <t>C</t>
        </is>
      </c>
    </row>
    <row r="3162" ht="12" customHeight="1" s="545">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ht="12" customHeight="1" s="545">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ht="12" customHeight="1" s="545">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ht="12" customHeight="1" s="54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ht="12" customHeight="1" s="545">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ht="12" customHeight="1" s="545">
      <c r="B3167" t="inlineStr">
        <is>
          <t>Single-Family Residences</t>
        </is>
      </c>
      <c r="C3167" t="inlineStr">
        <is>
          <t>351</t>
        </is>
      </c>
      <c r="D3167" t="inlineStr">
        <is>
          <t>12</t>
        </is>
      </c>
      <c r="E3167" t="inlineStr">
        <is>
          <t>25</t>
        </is>
      </c>
      <c r="F3167" t="inlineStr">
        <is>
          <t>-</t>
        </is>
      </c>
      <c r="G3167" t="inlineStr">
        <is>
          <t>12</t>
        </is>
      </c>
      <c r="H3167" t="inlineStr">
        <is>
          <t>R</t>
        </is>
      </c>
    </row>
    <row r="3168" ht="12" customHeight="1" s="545">
      <c r="B3168" t="inlineStr">
        <is>
          <t>Guest Houses</t>
        </is>
      </c>
      <c r="D3168" t="inlineStr">
        <is>
          <t>12</t>
        </is>
      </c>
      <c r="E3168" t="inlineStr">
        <is>
          <t>29</t>
        </is>
      </c>
      <c r="F3168" t="inlineStr">
        <is>
          <t>-</t>
        </is>
      </c>
      <c r="G3168" t="inlineStr">
        <is>
          <t>12</t>
        </is>
      </c>
      <c r="H3168" t="inlineStr">
        <is>
          <t>R</t>
        </is>
      </c>
    </row>
    <row r="3169" ht="12" customHeight="1" s="545">
      <c r="B3169" t="inlineStr">
        <is>
          <t>Log Homes</t>
        </is>
      </c>
      <c r="C3169" t="inlineStr">
        <is>
          <t>445</t>
        </is>
      </c>
      <c r="D3169" t="inlineStr">
        <is>
          <t>12</t>
        </is>
      </c>
      <c r="E3169" t="inlineStr">
        <is>
          <t>30</t>
        </is>
      </c>
      <c r="F3169" t="inlineStr">
        <is>
          <t>-</t>
        </is>
      </c>
      <c r="G3169" t="inlineStr">
        <is>
          <t>12</t>
        </is>
      </c>
      <c r="H3169" t="inlineStr">
        <is>
          <t>R</t>
        </is>
      </c>
    </row>
    <row r="3170" ht="12" customHeight="1" s="545">
      <c r="B3170" t="inlineStr">
        <is>
          <t>Town Houses</t>
        </is>
      </c>
      <c r="C3170" t="inlineStr">
        <is>
          <t>401</t>
        </is>
      </c>
      <c r="D3170" t="inlineStr">
        <is>
          <t>12</t>
        </is>
      </c>
      <c r="E3170" t="inlineStr">
        <is>
          <t>31</t>
        </is>
      </c>
      <c r="F3170" t="inlineStr">
        <is>
          <t>-</t>
        </is>
      </c>
      <c r="G3170" t="inlineStr">
        <is>
          <t>12</t>
        </is>
      </c>
      <c r="H3170" t="inlineStr">
        <is>
          <t>R</t>
        </is>
      </c>
    </row>
    <row r="3171" ht="12" customHeight="1" s="545">
      <c r="B3171" t="inlineStr">
        <is>
          <t>Senior Citizen Town Houses</t>
        </is>
      </c>
      <c r="C3171" t="inlineStr">
        <is>
          <t>546</t>
        </is>
      </c>
      <c r="D3171" t="inlineStr">
        <is>
          <t>12</t>
        </is>
      </c>
      <c r="E3171" t="inlineStr">
        <is>
          <t>32</t>
        </is>
      </c>
      <c r="F3171" t="inlineStr">
        <is>
          <t>-</t>
        </is>
      </c>
      <c r="G3171" t="inlineStr">
        <is>
          <t>12</t>
        </is>
      </c>
      <c r="H3171" t="inlineStr">
        <is>
          <t>R</t>
        </is>
      </c>
    </row>
    <row r="3172" ht="12" customHeight="1" s="545">
      <c r="B3172" t="inlineStr">
        <is>
          <t>Urban Row (Town) Houses</t>
        </is>
      </c>
      <c r="C3172" t="inlineStr">
        <is>
          <t>549</t>
        </is>
      </c>
      <c r="D3172" t="inlineStr">
        <is>
          <t>12</t>
        </is>
      </c>
      <c r="E3172" t="inlineStr">
        <is>
          <t>33</t>
        </is>
      </c>
      <c r="F3172" t="inlineStr">
        <is>
          <t>-</t>
        </is>
      </c>
      <c r="G3172" t="inlineStr">
        <is>
          <t>12</t>
        </is>
      </c>
      <c r="H3172" t="inlineStr">
        <is>
          <t>R</t>
        </is>
      </c>
    </row>
    <row r="3173" ht="12" customHeight="1" s="545">
      <c r="B3173" t="inlineStr">
        <is>
          <t>Shell Town House Buildings</t>
        </is>
      </c>
      <c r="C3173" t="inlineStr">
        <is>
          <t>774</t>
        </is>
      </c>
      <c r="D3173" t="inlineStr">
        <is>
          <t>12</t>
        </is>
      </c>
      <c r="E3173" t="inlineStr">
        <is>
          <t>34</t>
        </is>
      </c>
      <c r="F3173" t="inlineStr">
        <is>
          <t>-</t>
        </is>
      </c>
      <c r="G3173" t="inlineStr">
        <is>
          <t>12</t>
        </is>
      </c>
      <c r="H3173" t="inlineStr">
        <is>
          <t>R</t>
        </is>
      </c>
    </row>
    <row r="3174" ht="12" customHeight="1" s="545">
      <c r="B3174" t="inlineStr">
        <is>
          <t>Bars/Taverns</t>
        </is>
      </c>
      <c r="C3174" t="inlineStr">
        <is>
          <t>442</t>
        </is>
      </c>
      <c r="D3174" t="inlineStr">
        <is>
          <t>13</t>
        </is>
      </c>
      <c r="E3174" t="inlineStr">
        <is>
          <t>13</t>
        </is>
      </c>
      <c r="F3174" t="inlineStr">
        <is>
          <t>13</t>
        </is>
      </c>
      <c r="G3174" t="inlineStr">
        <is>
          <t>13</t>
        </is>
      </c>
      <c r="H3174" t="inlineStr">
        <is>
          <t>C</t>
        </is>
      </c>
    </row>
    <row r="3175" ht="12" customHeight="1" s="545">
      <c r="B3175" t="inlineStr">
        <is>
          <t>Cocktail Lounges</t>
        </is>
      </c>
      <c r="C3175" t="inlineStr">
        <is>
          <t>441</t>
        </is>
      </c>
      <c r="D3175" t="inlineStr">
        <is>
          <t>13</t>
        </is>
      </c>
      <c r="E3175" t="inlineStr">
        <is>
          <t>13</t>
        </is>
      </c>
      <c r="F3175" t="inlineStr">
        <is>
          <t>13</t>
        </is>
      </c>
      <c r="G3175" t="inlineStr">
        <is>
          <t>13</t>
        </is>
      </c>
      <c r="H3175" t="inlineStr">
        <is>
          <t>C</t>
        </is>
      </c>
    </row>
    <row r="3176" ht="12" customHeight="1" s="545">
      <c r="B3176" t="inlineStr">
        <is>
          <t>Restaurants</t>
        </is>
      </c>
      <c r="C3176" t="inlineStr">
        <is>
          <t>350</t>
        </is>
      </c>
      <c r="D3176" t="inlineStr">
        <is>
          <t>13</t>
        </is>
      </c>
      <c r="E3176" t="inlineStr">
        <is>
          <t>14</t>
        </is>
      </c>
      <c r="F3176" t="inlineStr">
        <is>
          <t>13</t>
        </is>
      </c>
      <c r="G3176" t="inlineStr">
        <is>
          <t>13</t>
        </is>
      </c>
      <c r="H3176" t="inlineStr">
        <is>
          <t>C</t>
        </is>
      </c>
    </row>
    <row r="3177" ht="12" customHeight="1" s="545">
      <c r="B3177" t="inlineStr">
        <is>
          <t>Restaurants – Cafeterias</t>
        </is>
      </c>
      <c r="C3177" t="inlineStr">
        <is>
          <t>530</t>
        </is>
      </c>
      <c r="D3177" t="inlineStr">
        <is>
          <t>13</t>
        </is>
      </c>
      <c r="E3177" t="inlineStr">
        <is>
          <t>15</t>
        </is>
      </c>
      <c r="F3177" t="inlineStr">
        <is>
          <t>13</t>
        </is>
      </c>
      <c r="G3177" t="inlineStr">
        <is>
          <t>13</t>
        </is>
      </c>
      <c r="H3177" t="inlineStr">
        <is>
          <t>C</t>
        </is>
      </c>
    </row>
    <row r="3178" ht="12" customHeight="1" s="545">
      <c r="B3178" t="inlineStr">
        <is>
          <t>Truck Stop Restaurants</t>
        </is>
      </c>
      <c r="C3178" t="inlineStr">
        <is>
          <t>580</t>
        </is>
      </c>
      <c r="D3178" t="inlineStr">
        <is>
          <t>13</t>
        </is>
      </c>
      <c r="E3178" t="inlineStr">
        <is>
          <t>16</t>
        </is>
      </c>
      <c r="F3178" t="inlineStr">
        <is>
          <t>13</t>
        </is>
      </c>
      <c r="G3178" t="inlineStr">
        <is>
          <t>13</t>
        </is>
      </c>
      <c r="H3178" t="inlineStr">
        <is>
          <t>C</t>
        </is>
      </c>
    </row>
    <row r="3179" ht="12" customHeight="1" s="545">
      <c r="B3179" t="inlineStr">
        <is>
          <t>Dining Atriums/Play Rooms</t>
        </is>
      </c>
      <c r="C3179" t="inlineStr">
        <is>
          <t>575</t>
        </is>
      </c>
      <c r="D3179" t="inlineStr">
        <is>
          <t>13</t>
        </is>
      </c>
      <c r="E3179" t="inlineStr">
        <is>
          <t>16</t>
        </is>
      </c>
      <c r="F3179" t="inlineStr">
        <is>
          <t>13</t>
        </is>
      </c>
      <c r="G3179" t="inlineStr">
        <is>
          <t>13</t>
        </is>
      </c>
      <c r="H3179" t="inlineStr">
        <is>
          <t>C</t>
        </is>
      </c>
    </row>
    <row r="3180" ht="12" customHeight="1" s="545">
      <c r="B3180" t="inlineStr">
        <is>
          <t>Restaurants – Fast Food</t>
        </is>
      </c>
      <c r="C3180" t="inlineStr">
        <is>
          <t>349</t>
        </is>
      </c>
      <c r="D3180" t="inlineStr">
        <is>
          <t>13</t>
        </is>
      </c>
      <c r="E3180" t="inlineStr">
        <is>
          <t>17</t>
        </is>
      </c>
      <c r="F3180" t="inlineStr">
        <is>
          <t>13</t>
        </is>
      </c>
      <c r="G3180" t="inlineStr">
        <is>
          <t>13</t>
        </is>
      </c>
      <c r="H3180" t="inlineStr">
        <is>
          <t>C</t>
        </is>
      </c>
    </row>
    <row r="3181" ht="12" customHeight="1" s="545">
      <c r="B3181" t="inlineStr">
        <is>
          <t>Snack Bars</t>
        </is>
      </c>
      <c r="C3181" t="inlineStr">
        <is>
          <t>529</t>
        </is>
      </c>
      <c r="D3181" t="inlineStr">
        <is>
          <t>13</t>
        </is>
      </c>
      <c r="E3181" t="inlineStr">
        <is>
          <t>18</t>
        </is>
      </c>
      <c r="F3181" t="inlineStr">
        <is>
          <t>13</t>
        </is>
      </c>
      <c r="G3181" t="inlineStr">
        <is>
          <t>13</t>
        </is>
      </c>
      <c r="H3181" t="inlineStr">
        <is>
          <t>C</t>
        </is>
      </c>
    </row>
    <row r="3182" ht="12" customHeight="1" s="545">
      <c r="B3182" t="inlineStr">
        <is>
          <t>Banquet Halls</t>
        </is>
      </c>
      <c r="C3182" t="inlineStr">
        <is>
          <t>718</t>
        </is>
      </c>
      <c r="D3182" t="inlineStr">
        <is>
          <t>13</t>
        </is>
      </c>
      <c r="E3182" t="inlineStr">
        <is>
          <t>19</t>
        </is>
      </c>
      <c r="F3182" t="inlineStr">
        <is>
          <t>13</t>
        </is>
      </c>
      <c r="G3182" t="inlineStr">
        <is>
          <t>13</t>
        </is>
      </c>
      <c r="H3182" t="inlineStr">
        <is>
          <t>C</t>
        </is>
      </c>
    </row>
    <row r="3183" ht="12" customHeight="1" s="545">
      <c r="B3183" t="inlineStr">
        <is>
          <t>Modular Restaurants – Diners</t>
        </is>
      </c>
      <c r="C3183" t="inlineStr">
        <is>
          <t>719</t>
        </is>
      </c>
      <c r="D3183" t="inlineStr">
        <is>
          <t>13</t>
        </is>
      </c>
      <c r="E3183" t="inlineStr">
        <is>
          <t>19</t>
        </is>
      </c>
      <c r="F3183" t="inlineStr">
        <is>
          <t>13</t>
        </is>
      </c>
      <c r="G3183" t="inlineStr">
        <is>
          <t>13</t>
        </is>
      </c>
      <c r="H3183" t="inlineStr">
        <is>
          <t>C</t>
        </is>
      </c>
    </row>
    <row r="3184" ht="12" customHeight="1" s="545">
      <c r="B3184" t="inlineStr">
        <is>
          <t>Supermarkets</t>
        </is>
      </c>
      <c r="C3184" t="inlineStr">
        <is>
          <t>446</t>
        </is>
      </c>
      <c r="D3184" t="inlineStr">
        <is>
          <t>13</t>
        </is>
      </c>
      <c r="E3184" t="inlineStr">
        <is>
          <t>20</t>
        </is>
      </c>
      <c r="F3184" t="inlineStr">
        <is>
          <t>13</t>
        </is>
      </c>
      <c r="G3184" t="inlineStr">
        <is>
          <t>13</t>
        </is>
      </c>
      <c r="H3184" t="inlineStr">
        <is>
          <t>C</t>
        </is>
      </c>
    </row>
    <row r="3185" ht="12" customHeight="1" s="545">
      <c r="B3185" t="inlineStr">
        <is>
          <t>Drug Stores</t>
        </is>
      </c>
      <c r="C3185" t="inlineStr">
        <is>
          <t>511</t>
        </is>
      </c>
      <c r="D3185" t="inlineStr">
        <is>
          <t>13</t>
        </is>
      </c>
      <c r="E3185" t="inlineStr">
        <is>
          <t>20</t>
        </is>
      </c>
      <c r="F3185" t="inlineStr">
        <is>
          <t>13</t>
        </is>
      </c>
      <c r="G3185" t="inlineStr">
        <is>
          <t>13</t>
        </is>
      </c>
      <c r="H3185" t="inlineStr">
        <is>
          <t>C</t>
        </is>
      </c>
    </row>
    <row r="3186" ht="12" customHeight="1" s="545">
      <c r="B3186" t="inlineStr">
        <is>
          <t>Markets</t>
        </is>
      </c>
      <c r="C3186" t="inlineStr">
        <is>
          <t>340</t>
        </is>
      </c>
      <c r="D3186" t="inlineStr">
        <is>
          <t>13</t>
        </is>
      </c>
      <c r="E3186" t="inlineStr">
        <is>
          <t>21</t>
        </is>
      </c>
      <c r="F3186" t="inlineStr">
        <is>
          <t>13</t>
        </is>
      </c>
      <c r="G3186" t="inlineStr">
        <is>
          <t>13</t>
        </is>
      </c>
      <c r="H3186" t="inlineStr">
        <is>
          <t>C</t>
        </is>
      </c>
    </row>
    <row r="3187" ht="12" customHeight="1" s="545">
      <c r="B3187" t="inlineStr">
        <is>
          <t>Florist Shops</t>
        </is>
      </c>
      <c r="C3187" t="inlineStr">
        <is>
          <t>532</t>
        </is>
      </c>
      <c r="D3187" t="inlineStr">
        <is>
          <t>13</t>
        </is>
      </c>
      <c r="E3187" t="inlineStr">
        <is>
          <t>21</t>
        </is>
      </c>
      <c r="F3187" t="inlineStr">
        <is>
          <t>13</t>
        </is>
      </c>
      <c r="G3187" t="inlineStr">
        <is>
          <t>13</t>
        </is>
      </c>
      <c r="H3187" t="inlineStr">
        <is>
          <t>C</t>
        </is>
      </c>
    </row>
    <row r="3188" ht="12" customHeight="1" s="545">
      <c r="B3188" t="inlineStr">
        <is>
          <t>Convenience Stores</t>
        </is>
      </c>
      <c r="C3188" t="inlineStr">
        <is>
          <t>419</t>
        </is>
      </c>
      <c r="D3188" t="inlineStr">
        <is>
          <t>13</t>
        </is>
      </c>
      <c r="E3188" t="inlineStr">
        <is>
          <t>22</t>
        </is>
      </c>
      <c r="F3188" t="inlineStr">
        <is>
          <t>13</t>
        </is>
      </c>
      <c r="G3188" t="inlineStr">
        <is>
          <t>13</t>
        </is>
      </c>
      <c r="H3188" t="inlineStr">
        <is>
          <t>C</t>
        </is>
      </c>
    </row>
    <row r="3189" ht="12" customHeight="1" s="545">
      <c r="B3189" t="inlineStr">
        <is>
          <t>Mini-Mart Convenience Stores</t>
        </is>
      </c>
      <c r="C3189" t="inlineStr">
        <is>
          <t>531</t>
        </is>
      </c>
      <c r="D3189" t="inlineStr">
        <is>
          <t>13</t>
        </is>
      </c>
      <c r="E3189" t="inlineStr">
        <is>
          <t>22</t>
        </is>
      </c>
      <c r="F3189" t="inlineStr">
        <is>
          <t>13</t>
        </is>
      </c>
      <c r="G3189" t="inlineStr">
        <is>
          <t>13</t>
        </is>
      </c>
      <c r="H3189" t="inlineStr">
        <is>
          <t>C</t>
        </is>
      </c>
    </row>
    <row r="3190" ht="12" customHeight="1" s="545">
      <c r="B3190" t="inlineStr">
        <is>
          <t>Roadside Markets</t>
        </is>
      </c>
      <c r="C3190" t="inlineStr">
        <is>
          <t>586</t>
        </is>
      </c>
      <c r="D3190" t="inlineStr">
        <is>
          <t>13</t>
        </is>
      </c>
      <c r="E3190" t="inlineStr">
        <is>
          <t>23</t>
        </is>
      </c>
      <c r="F3190" t="inlineStr">
        <is>
          <t>13</t>
        </is>
      </c>
      <c r="G3190" t="inlineStr">
        <is>
          <t>13</t>
        </is>
      </c>
      <c r="H3190" t="inlineStr">
        <is>
          <t>C</t>
        </is>
      </c>
    </row>
    <row r="3191" ht="12" customHeight="1" s="545">
      <c r="B3191" t="inlineStr">
        <is>
          <t>Luxury Boutiques</t>
        </is>
      </c>
      <c r="C3191" t="inlineStr">
        <is>
          <t>512</t>
        </is>
      </c>
      <c r="D3191" t="inlineStr">
        <is>
          <t>13</t>
        </is>
      </c>
      <c r="E3191" t="inlineStr">
        <is>
          <t>24</t>
        </is>
      </c>
      <c r="F3191" t="inlineStr">
        <is>
          <t>13</t>
        </is>
      </c>
      <c r="G3191" t="inlineStr">
        <is>
          <t>13</t>
        </is>
      </c>
      <c r="H3191" t="inlineStr">
        <is>
          <t>C</t>
        </is>
      </c>
    </row>
    <row r="3192" ht="12" customHeight="1" s="545">
      <c r="B3192" t="inlineStr">
        <is>
          <t>Winery (Tasting – Display) Shops</t>
        </is>
      </c>
      <c r="C3192" t="inlineStr">
        <is>
          <t>127</t>
        </is>
      </c>
      <c r="D3192" t="inlineStr">
        <is>
          <t>13</t>
        </is>
      </c>
      <c r="E3192" t="inlineStr">
        <is>
          <t>24</t>
        </is>
      </c>
      <c r="F3192" t="inlineStr">
        <is>
          <t>13</t>
        </is>
      </c>
      <c r="G3192" t="inlineStr">
        <is>
          <t>13</t>
        </is>
      </c>
      <c r="H3192" t="inlineStr">
        <is>
          <t>C</t>
        </is>
      </c>
    </row>
    <row r="3193" ht="12" customHeight="1" s="545">
      <c r="B3193" t="inlineStr">
        <is>
          <t>Barber Shops/Beauty Salons</t>
        </is>
      </c>
      <c r="C3193" t="inlineStr">
        <is>
          <t>384</t>
        </is>
      </c>
      <c r="D3193" t="inlineStr">
        <is>
          <t>13</t>
        </is>
      </c>
      <c r="E3193" t="inlineStr">
        <is>
          <t>25</t>
        </is>
      </c>
      <c r="F3193" t="inlineStr">
        <is>
          <t>13</t>
        </is>
      </c>
      <c r="G3193" t="inlineStr">
        <is>
          <t>13</t>
        </is>
      </c>
      <c r="H3193" t="inlineStr">
        <is>
          <t>C</t>
        </is>
      </c>
    </row>
    <row r="3194" ht="12" customHeight="1" s="545">
      <c r="B3194" t="inlineStr">
        <is>
          <t>Laundromats</t>
        </is>
      </c>
      <c r="C3194" t="inlineStr">
        <is>
          <t>336</t>
        </is>
      </c>
      <c r="D3194" t="inlineStr">
        <is>
          <t>13</t>
        </is>
      </c>
      <c r="E3194" t="inlineStr">
        <is>
          <t>25</t>
        </is>
      </c>
      <c r="F3194" t="inlineStr">
        <is>
          <t>13</t>
        </is>
      </c>
      <c r="G3194" t="inlineStr">
        <is>
          <t>13</t>
        </is>
      </c>
      <c r="H3194" t="inlineStr">
        <is>
          <t>C</t>
        </is>
      </c>
    </row>
    <row r="3195" ht="12" customHeight="1" s="545">
      <c r="B3195" t="inlineStr">
        <is>
          <t>Laundry/Dry Cleaning</t>
        </is>
      </c>
      <c r="C3195" t="inlineStr">
        <is>
          <t>499</t>
        </is>
      </c>
      <c r="D3195" t="inlineStr">
        <is>
          <t>13</t>
        </is>
      </c>
      <c r="E3195" t="inlineStr">
        <is>
          <t>25</t>
        </is>
      </c>
      <c r="F3195" t="inlineStr">
        <is>
          <t>13</t>
        </is>
      </c>
      <c r="G3195" t="inlineStr">
        <is>
          <t>13</t>
        </is>
      </c>
      <c r="H3195" t="inlineStr">
        <is>
          <t>C</t>
        </is>
      </c>
    </row>
    <row r="3196" ht="12" customHeight="1" s="545">
      <c r="B3196" t="inlineStr">
        <is>
          <t>Dairy Sales</t>
        </is>
      </c>
      <c r="C3196" t="inlineStr">
        <is>
          <t>317</t>
        </is>
      </c>
      <c r="D3196" t="inlineStr">
        <is>
          <t>13</t>
        </is>
      </c>
      <c r="E3196" t="inlineStr">
        <is>
          <t>25</t>
        </is>
      </c>
      <c r="F3196" t="inlineStr">
        <is>
          <t>13</t>
        </is>
      </c>
      <c r="G3196" t="inlineStr">
        <is>
          <t>13</t>
        </is>
      </c>
      <c r="H3196" t="inlineStr">
        <is>
          <t>C</t>
        </is>
      </c>
    </row>
    <row r="3197" ht="12" customHeight="1" s="545">
      <c r="B3197" t="inlineStr">
        <is>
          <t>Retail Stores</t>
        </is>
      </c>
      <c r="C3197" t="inlineStr">
        <is>
          <t>353</t>
        </is>
      </c>
      <c r="D3197" t="inlineStr">
        <is>
          <t>13</t>
        </is>
      </c>
      <c r="E3197" t="inlineStr">
        <is>
          <t>26</t>
        </is>
      </c>
      <c r="F3197" t="inlineStr">
        <is>
          <t>13</t>
        </is>
      </c>
      <c r="G3197" t="inlineStr">
        <is>
          <t>13</t>
        </is>
      </c>
      <c r="H3197" t="inlineStr">
        <is>
          <t>C</t>
        </is>
      </c>
    </row>
    <row r="3198" ht="12" customHeight="1" s="545">
      <c r="B3198" t="inlineStr">
        <is>
          <t>Department Stores</t>
        </is>
      </c>
      <c r="C3198" t="inlineStr">
        <is>
          <t>318</t>
        </is>
      </c>
      <c r="D3198" t="inlineStr">
        <is>
          <t>13</t>
        </is>
      </c>
      <c r="E3198" t="inlineStr">
        <is>
          <t>27</t>
        </is>
      </c>
      <c r="F3198" t="inlineStr">
        <is>
          <t>13</t>
        </is>
      </c>
      <c r="G3198" t="inlineStr">
        <is>
          <t>13</t>
        </is>
      </c>
      <c r="H3198" t="inlineStr">
        <is>
          <t>C</t>
        </is>
      </c>
    </row>
    <row r="3199" ht="12" customHeight="1" s="545">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ht="12" customHeight="1" s="545">
      <c r="B3200" t="inlineStr">
        <is>
          <t>Discount Stores</t>
        </is>
      </c>
      <c r="C3200" t="inlineStr">
        <is>
          <t>319</t>
        </is>
      </c>
      <c r="D3200" t="inlineStr">
        <is>
          <t>13</t>
        </is>
      </c>
      <c r="E3200" t="inlineStr">
        <is>
          <t>28</t>
        </is>
      </c>
      <c r="F3200" t="inlineStr">
        <is>
          <t>13</t>
        </is>
      </c>
      <c r="G3200" t="inlineStr">
        <is>
          <t>13</t>
        </is>
      </c>
      <c r="H3200" t="inlineStr">
        <is>
          <t>C</t>
        </is>
      </c>
    </row>
    <row r="3201" ht="12" customHeight="1" s="545">
      <c r="B3201" t="inlineStr">
        <is>
          <t>Warehouse Discount Stores</t>
        </is>
      </c>
      <c r="C3201" t="inlineStr">
        <is>
          <t>458</t>
        </is>
      </c>
      <c r="D3201" t="inlineStr">
        <is>
          <t>13</t>
        </is>
      </c>
      <c r="E3201" t="inlineStr">
        <is>
          <t>28</t>
        </is>
      </c>
      <c r="F3201" t="inlineStr">
        <is>
          <t>13</t>
        </is>
      </c>
      <c r="G3201" t="inlineStr">
        <is>
          <t>13</t>
        </is>
      </c>
      <c r="H3201" t="inlineStr">
        <is>
          <t>C</t>
        </is>
      </c>
    </row>
    <row r="3202" ht="12" customHeight="1" s="545">
      <c r="B3202" t="inlineStr">
        <is>
          <t>Warehouse Showroom Stores</t>
        </is>
      </c>
      <c r="C3202" t="inlineStr">
        <is>
          <t>534</t>
        </is>
      </c>
      <c r="D3202" t="inlineStr">
        <is>
          <t>13</t>
        </is>
      </c>
      <c r="E3202" t="inlineStr">
        <is>
          <t>29</t>
        </is>
      </c>
      <c r="F3202" t="inlineStr">
        <is>
          <t>13</t>
        </is>
      </c>
      <c r="G3202" t="inlineStr">
        <is>
          <t>13</t>
        </is>
      </c>
      <c r="H3202" t="inlineStr">
        <is>
          <t>C</t>
        </is>
      </c>
    </row>
    <row r="3203" ht="12" customHeight="1" s="545">
      <c r="B3203" t="inlineStr">
        <is>
          <t>Warehouse Food Stores</t>
        </is>
      </c>
      <c r="C3203" t="inlineStr">
        <is>
          <t>533</t>
        </is>
      </c>
      <c r="D3203" t="inlineStr">
        <is>
          <t>13</t>
        </is>
      </c>
      <c r="E3203" t="inlineStr">
        <is>
          <t>29</t>
        </is>
      </c>
      <c r="F3203" t="inlineStr">
        <is>
          <t>13</t>
        </is>
      </c>
      <c r="G3203" t="inlineStr">
        <is>
          <t>13</t>
        </is>
      </c>
      <c r="H3203" t="inlineStr">
        <is>
          <t>C</t>
        </is>
      </c>
    </row>
    <row r="3204" ht="12" customHeight="1" s="545">
      <c r="B3204" t="inlineStr">
        <is>
          <t>Mega Warehouse Stores</t>
        </is>
      </c>
      <c r="C3204" t="inlineStr">
        <is>
          <t>720</t>
        </is>
      </c>
      <c r="D3204" t="inlineStr">
        <is>
          <t>13</t>
        </is>
      </c>
      <c r="E3204" t="inlineStr">
        <is>
          <t>30</t>
        </is>
      </c>
      <c r="F3204" t="inlineStr">
        <is>
          <t>13</t>
        </is>
      </c>
      <c r="G3204" t="inlineStr">
        <is>
          <t>13</t>
        </is>
      </c>
      <c r="H3204" t="inlineStr">
        <is>
          <t>C</t>
        </is>
      </c>
    </row>
    <row r="3205" ht="12" customHeight="1" s="545">
      <c r="B3205" t="inlineStr">
        <is>
          <t>Neighborhood Shopping Centers</t>
        </is>
      </c>
      <c r="C3205" t="inlineStr">
        <is>
          <t>412</t>
        </is>
      </c>
      <c r="D3205" t="inlineStr">
        <is>
          <t>13</t>
        </is>
      </c>
      <c r="E3205" t="inlineStr">
        <is>
          <t>33</t>
        </is>
      </c>
      <c r="F3205" t="inlineStr">
        <is>
          <t>13</t>
        </is>
      </c>
      <c r="G3205" t="inlineStr">
        <is>
          <t>13</t>
        </is>
      </c>
      <c r="H3205" t="inlineStr">
        <is>
          <t>C</t>
        </is>
      </c>
    </row>
    <row r="3206" ht="12" customHeight="1" s="545">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ht="12" customHeight="1" s="545">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ht="12" customHeight="1" s="545">
      <c r="B3208" t="inlineStr">
        <is>
          <t>Community Shopping Centers</t>
        </is>
      </c>
      <c r="C3208" t="inlineStr">
        <is>
          <t>413</t>
        </is>
      </c>
      <c r="D3208" t="inlineStr">
        <is>
          <t>13</t>
        </is>
      </c>
      <c r="E3208" t="inlineStr">
        <is>
          <t>34</t>
        </is>
      </c>
      <c r="F3208" t="inlineStr">
        <is>
          <t>13</t>
        </is>
      </c>
      <c r="G3208" t="inlineStr">
        <is>
          <t>13</t>
        </is>
      </c>
      <c r="H3208" t="inlineStr">
        <is>
          <t>C</t>
        </is>
      </c>
    </row>
    <row r="3209" ht="12" customHeight="1" s="545">
      <c r="B3209" t="inlineStr">
        <is>
          <t>Regional Discount Shopping Centers</t>
        </is>
      </c>
      <c r="C3209" t="inlineStr">
        <is>
          <t>513</t>
        </is>
      </c>
      <c r="D3209" t="inlineStr">
        <is>
          <t>13</t>
        </is>
      </c>
      <c r="E3209" t="inlineStr">
        <is>
          <t>35</t>
        </is>
      </c>
      <c r="F3209" t="inlineStr">
        <is>
          <t>13</t>
        </is>
      </c>
      <c r="G3209" t="inlineStr">
        <is>
          <t>13</t>
        </is>
      </c>
      <c r="H3209" t="inlineStr">
        <is>
          <t>C</t>
        </is>
      </c>
    </row>
    <row r="3210" ht="12" customHeight="1" s="545">
      <c r="B3210" t="inlineStr">
        <is>
          <t>Regional Shopping Centers</t>
        </is>
      </c>
      <c r="C3210" t="inlineStr">
        <is>
          <t>414</t>
        </is>
      </c>
      <c r="D3210" t="inlineStr">
        <is>
          <t>13</t>
        </is>
      </c>
      <c r="E3210" t="inlineStr">
        <is>
          <t>35</t>
        </is>
      </c>
      <c r="F3210" t="inlineStr">
        <is>
          <t>13</t>
        </is>
      </c>
      <c r="G3210" t="inlineStr">
        <is>
          <t>13</t>
        </is>
      </c>
      <c r="H3210" t="inlineStr">
        <is>
          <t>C</t>
        </is>
      </c>
    </row>
    <row r="3211" ht="12" customHeight="1" s="545">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ht="12" customHeight="1" s="545">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ht="12" customHeight="1" s="545">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ht="12" customHeight="1" s="545">
      <c r="B3214" t="inlineStr">
        <is>
          <t>Lofts</t>
        </is>
      </c>
      <c r="C3214" t="inlineStr">
        <is>
          <t>338</t>
        </is>
      </c>
      <c r="D3214" t="inlineStr">
        <is>
          <t>14</t>
        </is>
      </c>
      <c r="E3214" t="inlineStr">
        <is>
          <t>13</t>
        </is>
      </c>
      <c r="F3214" t="inlineStr">
        <is>
          <t>14</t>
        </is>
      </c>
      <c r="G3214" t="inlineStr">
        <is>
          <t>14</t>
        </is>
      </c>
      <c r="H3214" t="inlineStr">
        <is>
          <t>C</t>
        </is>
      </c>
    </row>
    <row r="3215" ht="12" customHeight="1" s="545">
      <c r="B3215" t="inlineStr">
        <is>
          <t>Industrial Flex (Mall) Buildings</t>
        </is>
      </c>
      <c r="C3215" t="inlineStr">
        <is>
          <t>453</t>
        </is>
      </c>
      <c r="D3215" t="inlineStr">
        <is>
          <t>14</t>
        </is>
      </c>
      <c r="E3215" t="inlineStr">
        <is>
          <t>13</t>
        </is>
      </c>
      <c r="F3215" t="inlineStr">
        <is>
          <t>14</t>
        </is>
      </c>
      <c r="G3215" t="inlineStr">
        <is>
          <t>14</t>
        </is>
      </c>
      <c r="H3215" t="inlineStr">
        <is>
          <t>C</t>
        </is>
      </c>
    </row>
    <row r="3216" ht="12" customHeight="1" s="545">
      <c r="B3216" t="inlineStr">
        <is>
          <t>Industrials, Light Manufacturing</t>
        </is>
      </c>
      <c r="C3216" t="inlineStr">
        <is>
          <t>494</t>
        </is>
      </c>
      <c r="D3216" t="inlineStr">
        <is>
          <t>14</t>
        </is>
      </c>
      <c r="E3216" t="inlineStr">
        <is>
          <t>14</t>
        </is>
      </c>
      <c r="F3216" t="inlineStr">
        <is>
          <t>14</t>
        </is>
      </c>
      <c r="G3216" t="inlineStr">
        <is>
          <t>14</t>
        </is>
      </c>
      <c r="H3216" t="inlineStr">
        <is>
          <t>C</t>
        </is>
      </c>
    </row>
    <row r="3217" ht="12" customHeight="1" s="545">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ht="12" customHeight="1" s="545">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ht="12" customHeight="1" s="545">
      <c r="B3219" t="inlineStr">
        <is>
          <t>Laboratory Buildings</t>
        </is>
      </c>
      <c r="C3219" t="inlineStr">
        <is>
          <t>496</t>
        </is>
      </c>
      <c r="D3219" t="inlineStr">
        <is>
          <t>14</t>
        </is>
      </c>
      <c r="E3219" t="inlineStr">
        <is>
          <t>17</t>
        </is>
      </c>
      <c r="F3219" t="inlineStr">
        <is>
          <t>14</t>
        </is>
      </c>
      <c r="G3219" t="inlineStr">
        <is>
          <t>14</t>
        </is>
      </c>
      <c r="H3219" t="inlineStr">
        <is>
          <t>C</t>
        </is>
      </c>
    </row>
    <row r="3220" ht="12" customHeight="1" s="545">
      <c r="B3220" t="inlineStr">
        <is>
          <t>Computer (Data) Centers</t>
        </is>
      </c>
      <c r="C3220" t="inlineStr">
        <is>
          <t>497</t>
        </is>
      </c>
      <c r="D3220" t="inlineStr">
        <is>
          <t>14</t>
        </is>
      </c>
      <c r="E3220" t="inlineStr">
        <is>
          <t>18</t>
        </is>
      </c>
      <c r="F3220" t="inlineStr">
        <is>
          <t>14</t>
        </is>
      </c>
      <c r="G3220" t="inlineStr">
        <is>
          <t>14</t>
        </is>
      </c>
      <c r="H3220" t="inlineStr">
        <is>
          <t>C</t>
        </is>
      </c>
    </row>
    <row r="3221" ht="12" customHeight="1" s="545">
      <c r="B3221" t="inlineStr">
        <is>
          <t>Broadcasting Facilities</t>
        </is>
      </c>
      <c r="C3221" t="inlineStr">
        <is>
          <t>498</t>
        </is>
      </c>
      <c r="D3221" t="inlineStr">
        <is>
          <t>14</t>
        </is>
      </c>
      <c r="E3221" t="inlineStr">
        <is>
          <t>19</t>
        </is>
      </c>
      <c r="F3221" t="inlineStr">
        <is>
          <t>14</t>
        </is>
      </c>
      <c r="G3221" t="inlineStr">
        <is>
          <t>14</t>
        </is>
      </c>
      <c r="H3221" t="inlineStr">
        <is>
          <t>C</t>
        </is>
      </c>
    </row>
    <row r="3222" ht="12" customHeight="1" s="545">
      <c r="B3222" t="inlineStr">
        <is>
          <t>Passenger Terminals</t>
        </is>
      </c>
      <c r="C3222" t="inlineStr">
        <is>
          <t>571</t>
        </is>
      </c>
      <c r="D3222" t="inlineStr">
        <is>
          <t>14</t>
        </is>
      </c>
      <c r="E3222" t="inlineStr">
        <is>
          <t>20</t>
        </is>
      </c>
      <c r="F3222" t="inlineStr">
        <is>
          <t>14</t>
        </is>
      </c>
      <c r="G3222" t="inlineStr">
        <is>
          <t>14</t>
        </is>
      </c>
      <c r="H3222" t="inlineStr">
        <is>
          <t>C</t>
        </is>
      </c>
    </row>
    <row r="3223" ht="12" customHeight="1" s="545">
      <c r="B3223" t="inlineStr">
        <is>
          <t>Main Post Offices</t>
        </is>
      </c>
      <c r="C3223" t="inlineStr">
        <is>
          <t>581</t>
        </is>
      </c>
      <c r="D3223" t="inlineStr">
        <is>
          <t>14</t>
        </is>
      </c>
      <c r="E3223" t="inlineStr">
        <is>
          <t>21</t>
        </is>
      </c>
      <c r="F3223" t="inlineStr">
        <is>
          <t>14</t>
        </is>
      </c>
      <c r="G3223" t="inlineStr">
        <is>
          <t>14</t>
        </is>
      </c>
      <c r="H3223" t="inlineStr">
        <is>
          <t>C</t>
        </is>
      </c>
    </row>
    <row r="3224" ht="12" customHeight="1" s="545">
      <c r="B3224" t="inlineStr">
        <is>
          <t>Mail - Processing Facilities</t>
        </is>
      </c>
      <c r="C3224" t="inlineStr">
        <is>
          <t>583</t>
        </is>
      </c>
      <c r="D3224" t="inlineStr">
        <is>
          <t>14</t>
        </is>
      </c>
      <c r="E3224" t="inlineStr">
        <is>
          <t>21</t>
        </is>
      </c>
      <c r="F3224" t="inlineStr">
        <is>
          <t>14</t>
        </is>
      </c>
      <c r="G3224" t="inlineStr">
        <is>
          <t>14</t>
        </is>
      </c>
      <c r="H3224" t="inlineStr">
        <is>
          <t>C</t>
        </is>
      </c>
    </row>
    <row r="3225" ht="12" customHeight="1" s="545">
      <c r="B3225" t="inlineStr">
        <is>
          <t>Branch Post Offices</t>
        </is>
      </c>
      <c r="C3225" t="inlineStr">
        <is>
          <t>582</t>
        </is>
      </c>
      <c r="D3225" t="inlineStr">
        <is>
          <t>14</t>
        </is>
      </c>
      <c r="E3225" t="inlineStr">
        <is>
          <t>22</t>
        </is>
      </c>
      <c r="F3225" t="inlineStr">
        <is>
          <t>14</t>
        </is>
      </c>
      <c r="G3225" t="inlineStr">
        <is>
          <t>14</t>
        </is>
      </c>
      <c r="H3225" t="inlineStr">
        <is>
          <t>C</t>
        </is>
      </c>
    </row>
    <row r="3226" ht="12" customHeight="1" s="545">
      <c r="B3226" t="inlineStr">
        <is>
          <t>Armories</t>
        </is>
      </c>
      <c r="C3226" t="inlineStr">
        <is>
          <t>301</t>
        </is>
      </c>
      <c r="D3226" t="inlineStr">
        <is>
          <t>14</t>
        </is>
      </c>
      <c r="E3226" t="inlineStr">
        <is>
          <t>22</t>
        </is>
      </c>
      <c r="F3226" t="inlineStr">
        <is>
          <t>14</t>
        </is>
      </c>
      <c r="G3226" t="inlineStr">
        <is>
          <t>14</t>
        </is>
      </c>
      <c r="H3226" t="inlineStr">
        <is>
          <t>C</t>
        </is>
      </c>
    </row>
    <row r="3227" ht="12" customHeight="1" s="545">
      <c r="B3227" t="inlineStr">
        <is>
          <t>Distribution Warehouses</t>
        </is>
      </c>
      <c r="C3227" t="inlineStr">
        <is>
          <t>407</t>
        </is>
      </c>
      <c r="D3227" t="inlineStr">
        <is>
          <t>14</t>
        </is>
      </c>
      <c r="E3227" t="inlineStr">
        <is>
          <t>23</t>
        </is>
      </c>
      <c r="F3227" t="inlineStr">
        <is>
          <t>14</t>
        </is>
      </c>
      <c r="G3227" t="inlineStr">
        <is>
          <t>14</t>
        </is>
      </c>
      <c r="H3227" t="inlineStr">
        <is>
          <t>C</t>
        </is>
      </c>
    </row>
    <row r="3228" ht="12" customHeight="1" s="545">
      <c r="B3228" t="inlineStr">
        <is>
          <t>Transit Warehouses</t>
        </is>
      </c>
      <c r="C3228" t="inlineStr">
        <is>
          <t>387</t>
        </is>
      </c>
      <c r="D3228" t="inlineStr">
        <is>
          <t>14</t>
        </is>
      </c>
      <c r="E3228" t="inlineStr">
        <is>
          <t>23</t>
        </is>
      </c>
      <c r="F3228" t="inlineStr">
        <is>
          <t>14</t>
        </is>
      </c>
      <c r="G3228" t="inlineStr">
        <is>
          <t>14</t>
        </is>
      </c>
      <c r="H3228" t="inlineStr">
        <is>
          <t>C</t>
        </is>
      </c>
    </row>
    <row r="3229" ht="12" customHeight="1" s="545">
      <c r="B3229" t="inlineStr">
        <is>
          <t>Cold Storage Facilities</t>
        </is>
      </c>
      <c r="C3229" t="inlineStr">
        <is>
          <t>447</t>
        </is>
      </c>
      <c r="D3229" t="inlineStr">
        <is>
          <t>14</t>
        </is>
      </c>
      <c r="E3229" t="inlineStr">
        <is>
          <t>24</t>
        </is>
      </c>
      <c r="F3229" t="inlineStr">
        <is>
          <t>14</t>
        </is>
      </c>
      <c r="G3229" t="inlineStr">
        <is>
          <t>14</t>
        </is>
      </c>
      <c r="H3229" t="inlineStr">
        <is>
          <t>C</t>
        </is>
      </c>
    </row>
    <row r="3230" ht="12" customHeight="1" s="545">
      <c r="B3230" t="inlineStr">
        <is>
          <t>Creameries</t>
        </is>
      </c>
      <c r="C3230" t="inlineStr">
        <is>
          <t>315</t>
        </is>
      </c>
      <c r="D3230" t="inlineStr">
        <is>
          <t>14</t>
        </is>
      </c>
      <c r="E3230" t="inlineStr">
        <is>
          <t>25</t>
        </is>
      </c>
      <c r="F3230" t="inlineStr">
        <is>
          <t>14</t>
        </is>
      </c>
      <c r="G3230" t="inlineStr">
        <is>
          <t>14</t>
        </is>
      </c>
      <c r="H3230" t="inlineStr">
        <is>
          <t>C</t>
        </is>
      </c>
    </row>
    <row r="3231" ht="12" customHeight="1" s="545">
      <c r="B3231" t="inlineStr">
        <is>
          <t>Mega (Storage/Distribution) Warehouses</t>
        </is>
      </c>
      <c r="C3231" t="inlineStr">
        <is>
          <t>584</t>
        </is>
      </c>
      <c r="D3231" t="inlineStr">
        <is>
          <t>14</t>
        </is>
      </c>
      <c r="E3231" t="inlineStr">
        <is>
          <t>25</t>
        </is>
      </c>
      <c r="F3231" t="inlineStr">
        <is>
          <t>14</t>
        </is>
      </c>
      <c r="G3231" t="inlineStr">
        <is>
          <t>14</t>
        </is>
      </c>
      <c r="H3231" t="inlineStr">
        <is>
          <t>C</t>
        </is>
      </c>
    </row>
    <row r="3232" ht="12" customHeight="1" s="545">
      <c r="B3232" t="inlineStr">
        <is>
          <t>Storage Warehouses</t>
        </is>
      </c>
      <c r="C3232" t="inlineStr">
        <is>
          <t>406</t>
        </is>
      </c>
      <c r="D3232" t="inlineStr">
        <is>
          <t>14</t>
        </is>
      </c>
      <c r="E3232" t="inlineStr">
        <is>
          <t>26</t>
        </is>
      </c>
      <c r="F3232" t="inlineStr">
        <is>
          <t>14</t>
        </is>
      </c>
      <c r="G3232" t="inlineStr">
        <is>
          <t>14</t>
        </is>
      </c>
      <c r="H3232" t="inlineStr">
        <is>
          <t>C</t>
        </is>
      </c>
    </row>
    <row r="3233" ht="12" customHeight="1" s="545">
      <c r="B3233" t="inlineStr">
        <is>
          <t>Mini-Warehouses / Self-Storage</t>
        </is>
      </c>
      <c r="C3233" t="inlineStr">
        <is>
          <t>386</t>
        </is>
      </c>
      <c r="D3233" t="inlineStr">
        <is>
          <t>14</t>
        </is>
      </c>
      <c r="E3233" t="inlineStr">
        <is>
          <t>28</t>
        </is>
      </c>
      <c r="F3233" t="inlineStr">
        <is>
          <t>14</t>
        </is>
      </c>
      <c r="G3233" t="inlineStr">
        <is>
          <t>14</t>
        </is>
      </c>
      <c r="H3233" t="inlineStr">
        <is>
          <t>C</t>
        </is>
      </c>
    </row>
    <row r="3234" ht="12" customHeight="1" s="545">
      <c r="B3234" t="inlineStr">
        <is>
          <t>Mini-Warehouses, High-Rise</t>
        </is>
      </c>
      <c r="C3234" t="inlineStr">
        <is>
          <t>525</t>
        </is>
      </c>
      <c r="D3234" t="inlineStr">
        <is>
          <t>14</t>
        </is>
      </c>
      <c r="E3234" t="inlineStr">
        <is>
          <t>28</t>
        </is>
      </c>
      <c r="F3234" t="inlineStr">
        <is>
          <t>14</t>
        </is>
      </c>
      <c r="G3234" t="inlineStr">
        <is>
          <t>14</t>
        </is>
      </c>
      <c r="H3234" t="inlineStr">
        <is>
          <t>C</t>
        </is>
      </c>
    </row>
    <row r="3235" ht="12" customHeight="1" s="545">
      <c r="B3235" t="inlineStr">
        <is>
          <t>Maintenance Hangars</t>
        </is>
      </c>
      <c r="C3235" t="inlineStr">
        <is>
          <t>329</t>
        </is>
      </c>
      <c r="D3235" t="inlineStr">
        <is>
          <t>14</t>
        </is>
      </c>
      <c r="E3235" t="inlineStr">
        <is>
          <t>29</t>
        </is>
      </c>
      <c r="F3235" t="inlineStr">
        <is>
          <t>14</t>
        </is>
      </c>
      <c r="G3235" t="inlineStr">
        <is>
          <t>14</t>
        </is>
      </c>
      <c r="H3235" t="inlineStr">
        <is>
          <t>C</t>
        </is>
      </c>
    </row>
    <row r="3236" ht="12" customHeight="1" s="545">
      <c r="B3236" t="inlineStr">
        <is>
          <t>Storage Hangars</t>
        </is>
      </c>
      <c r="C3236" t="inlineStr">
        <is>
          <t>328</t>
        </is>
      </c>
      <c r="D3236" t="inlineStr">
        <is>
          <t>14</t>
        </is>
      </c>
      <c r="E3236" t="inlineStr">
        <is>
          <t>29</t>
        </is>
      </c>
      <c r="F3236" t="inlineStr">
        <is>
          <t>14</t>
        </is>
      </c>
      <c r="G3236" t="inlineStr">
        <is>
          <t>14</t>
        </is>
      </c>
      <c r="H3236" t="inlineStr">
        <is>
          <t>C</t>
        </is>
      </c>
    </row>
    <row r="3237" ht="12" customHeight="1" s="545">
      <c r="B3237" t="inlineStr">
        <is>
          <t>T-Hangars</t>
        </is>
      </c>
      <c r="C3237" t="inlineStr">
        <is>
          <t>409</t>
        </is>
      </c>
      <c r="D3237" t="inlineStr">
        <is>
          <t>14</t>
        </is>
      </c>
      <c r="E3237" t="inlineStr">
        <is>
          <t>30</t>
        </is>
      </c>
      <c r="F3237" t="inlineStr">
        <is>
          <t>14</t>
        </is>
      </c>
      <c r="G3237" t="inlineStr">
        <is>
          <t>14</t>
        </is>
      </c>
      <c r="H3237" t="inlineStr">
        <is>
          <t>C</t>
        </is>
      </c>
    </row>
    <row r="3238" ht="12" customHeight="1" s="545">
      <c r="B3238" t="inlineStr">
        <is>
          <t>Complete Auto Dealerships</t>
        </is>
      </c>
      <c r="C3238" t="inlineStr">
        <is>
          <t>455</t>
        </is>
      </c>
      <c r="D3238" t="inlineStr">
        <is>
          <t>14</t>
        </is>
      </c>
      <c r="E3238" t="inlineStr">
        <is>
          <t>30</t>
        </is>
      </c>
      <c r="F3238" t="inlineStr">
        <is>
          <t>14</t>
        </is>
      </c>
      <c r="G3238" t="inlineStr">
        <is>
          <t>14</t>
        </is>
      </c>
      <c r="H3238" t="inlineStr">
        <is>
          <t>C</t>
        </is>
      </c>
    </row>
    <row r="3239" ht="12" customHeight="1" s="545">
      <c r="B3239" t="inlineStr">
        <is>
          <t>Automotive Service Centers</t>
        </is>
      </c>
      <c r="C3239" t="inlineStr">
        <is>
          <t>410</t>
        </is>
      </c>
      <c r="D3239" t="inlineStr">
        <is>
          <t>14</t>
        </is>
      </c>
      <c r="E3239" t="inlineStr">
        <is>
          <t>31</t>
        </is>
      </c>
      <c r="F3239" t="inlineStr">
        <is>
          <t>14</t>
        </is>
      </c>
      <c r="G3239" t="inlineStr">
        <is>
          <t>14</t>
        </is>
      </c>
      <c r="H3239" t="inlineStr">
        <is>
          <t>C</t>
        </is>
      </c>
    </row>
    <row r="3240" ht="12" customHeight="1" s="545">
      <c r="B3240" t="inlineStr">
        <is>
          <t>Showrooms</t>
        </is>
      </c>
      <c r="C3240" t="inlineStr">
        <is>
          <t>303</t>
        </is>
      </c>
      <c r="D3240" t="inlineStr">
        <is>
          <t>14</t>
        </is>
      </c>
      <c r="E3240" t="inlineStr">
        <is>
          <t>31</t>
        </is>
      </c>
      <c r="F3240" t="inlineStr">
        <is>
          <t>14</t>
        </is>
      </c>
      <c r="G3240" t="inlineStr">
        <is>
          <t>14</t>
        </is>
      </c>
      <c r="H3240" t="inlineStr">
        <is>
          <t>C</t>
        </is>
      </c>
    </row>
    <row r="3241" ht="12" customHeight="1" s="545">
      <c r="B3241" t="inlineStr">
        <is>
          <t>Service Garages (Commercial/Repair)</t>
        </is>
      </c>
      <c r="C3241" t="inlineStr">
        <is>
          <t>528</t>
        </is>
      </c>
      <c r="D3241" t="inlineStr">
        <is>
          <t>14</t>
        </is>
      </c>
      <c r="E3241" t="inlineStr">
        <is>
          <t>32</t>
        </is>
      </c>
      <c r="F3241" t="inlineStr">
        <is>
          <t>14</t>
        </is>
      </c>
      <c r="G3241" t="inlineStr">
        <is>
          <t>14</t>
        </is>
      </c>
      <c r="H3241" t="inlineStr">
        <is>
          <t>C</t>
        </is>
      </c>
    </row>
    <row r="3242" ht="12" customHeight="1" s="545">
      <c r="B3242" t="inlineStr">
        <is>
          <t>Service Garage Sheds</t>
        </is>
      </c>
      <c r="C3242" t="inlineStr">
        <is>
          <t>526</t>
        </is>
      </c>
      <c r="D3242" t="inlineStr">
        <is>
          <t>14</t>
        </is>
      </c>
      <c r="E3242" t="inlineStr">
        <is>
          <t>32</t>
        </is>
      </c>
      <c r="F3242" t="inlineStr">
        <is>
          <t>14</t>
        </is>
      </c>
      <c r="G3242" t="inlineStr">
        <is>
          <t>14</t>
        </is>
      </c>
      <c r="H3242" t="inlineStr">
        <is>
          <t>C</t>
        </is>
      </c>
    </row>
    <row r="3243" ht="12" customHeight="1" s="545">
      <c r="B3243" t="inlineStr">
        <is>
          <t>Municipal Service Garages</t>
        </is>
      </c>
      <c r="C3243" t="inlineStr">
        <is>
          <t>527</t>
        </is>
      </c>
      <c r="D3243" t="inlineStr">
        <is>
          <t>14</t>
        </is>
      </c>
      <c r="E3243" t="inlineStr">
        <is>
          <t>33</t>
        </is>
      </c>
      <c r="F3243" t="inlineStr">
        <is>
          <t>14</t>
        </is>
      </c>
      <c r="G3243" t="inlineStr">
        <is>
          <t>14</t>
        </is>
      </c>
      <c r="H3243" t="inlineStr">
        <is>
          <t>C</t>
        </is>
      </c>
    </row>
    <row r="3244" ht="12" customHeight="1" s="545">
      <c r="B3244" t="inlineStr">
        <is>
          <t>Mini-Lube Garages</t>
        </is>
      </c>
      <c r="C3244" t="inlineStr">
        <is>
          <t>423</t>
        </is>
      </c>
      <c r="D3244" t="inlineStr">
        <is>
          <t>14</t>
        </is>
      </c>
      <c r="E3244" t="inlineStr">
        <is>
          <t>33</t>
        </is>
      </c>
      <c r="F3244" t="inlineStr">
        <is>
          <t>14</t>
        </is>
      </c>
      <c r="G3244" t="inlineStr">
        <is>
          <t>14</t>
        </is>
      </c>
      <c r="H3244" t="inlineStr">
        <is>
          <t>C</t>
        </is>
      </c>
    </row>
    <row r="3245" ht="12" customHeight="1" s="545">
      <c r="B3245" t="inlineStr">
        <is>
          <t>Parking (Parkade) Structures</t>
        </is>
      </c>
      <c r="C3245" t="inlineStr">
        <is>
          <t>345</t>
        </is>
      </c>
      <c r="D3245" t="inlineStr">
        <is>
          <t>14</t>
        </is>
      </c>
      <c r="E3245" t="inlineStr">
        <is>
          <t>34</t>
        </is>
      </c>
      <c r="F3245" t="inlineStr">
        <is>
          <t>14</t>
        </is>
      </c>
      <c r="G3245" t="inlineStr">
        <is>
          <t>14</t>
        </is>
      </c>
      <c r="H3245" t="inlineStr">
        <is>
          <t>C</t>
        </is>
      </c>
    </row>
    <row r="3246" ht="12" customHeight="1" s="545">
      <c r="B3246" t="inlineStr">
        <is>
          <t>Storage Garages</t>
        </is>
      </c>
      <c r="C3246" t="inlineStr">
        <is>
          <t>326</t>
        </is>
      </c>
      <c r="D3246" t="inlineStr">
        <is>
          <t>14</t>
        </is>
      </c>
      <c r="E3246" t="inlineStr">
        <is>
          <t>34</t>
        </is>
      </c>
      <c r="F3246" t="inlineStr">
        <is>
          <t>14</t>
        </is>
      </c>
      <c r="G3246" t="inlineStr">
        <is>
          <t>14</t>
        </is>
      </c>
      <c r="H3246" t="inlineStr">
        <is>
          <t>C</t>
        </is>
      </c>
    </row>
    <row r="3247" ht="12" customHeight="1" s="545">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ht="12" customHeight="1" s="545">
      <c r="B3248" t="inlineStr">
        <is>
          <t>Office Buildings</t>
        </is>
      </c>
      <c r="C3248" t="inlineStr">
        <is>
          <t>344</t>
        </is>
      </c>
      <c r="D3248" t="inlineStr">
        <is>
          <t>15</t>
        </is>
      </c>
      <c r="E3248" t="inlineStr">
        <is>
          <t>17</t>
        </is>
      </c>
      <c r="F3248" t="inlineStr">
        <is>
          <t>15</t>
        </is>
      </c>
      <c r="G3248" t="inlineStr">
        <is>
          <t>15</t>
        </is>
      </c>
      <c r="H3248" t="inlineStr">
        <is>
          <t>C</t>
        </is>
      </c>
    </row>
    <row r="3249" ht="12" customHeight="1" s="545">
      <c r="B3249" t="inlineStr">
        <is>
          <t>Atriums/Vestibules</t>
        </is>
      </c>
      <c r="C3249" t="inlineStr">
        <is>
          <t>576</t>
        </is>
      </c>
      <c r="D3249" t="inlineStr">
        <is>
          <t>15</t>
        </is>
      </c>
      <c r="E3249" t="inlineStr">
        <is>
          <t>18</t>
        </is>
      </c>
      <c r="F3249" t="inlineStr">
        <is>
          <t>15</t>
        </is>
      </c>
      <c r="G3249" t="inlineStr">
        <is>
          <t>15</t>
        </is>
      </c>
      <c r="H3249" t="inlineStr">
        <is>
          <t>C</t>
        </is>
      </c>
    </row>
    <row r="3250" ht="12" customHeight="1" s="545">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ht="12" customHeight="1" s="545">
      <c r="B3251" t="inlineStr">
        <is>
          <t>Mechanical Penthouses</t>
        </is>
      </c>
      <c r="C3251" t="inlineStr">
        <is>
          <t>585</t>
        </is>
      </c>
      <c r="D3251" t="inlineStr">
        <is>
          <t>15</t>
        </is>
      </c>
      <c r="E3251" t="inlineStr">
        <is>
          <t>19</t>
        </is>
      </c>
      <c r="F3251" t="inlineStr">
        <is>
          <t>15</t>
        </is>
      </c>
      <c r="G3251" t="inlineStr">
        <is>
          <t>15</t>
        </is>
      </c>
      <c r="H3251" t="inlineStr">
        <is>
          <t>C</t>
        </is>
      </c>
    </row>
    <row r="3252" ht="12" customHeight="1" s="545">
      <c r="B3252" t="inlineStr">
        <is>
          <t>Banks – Central Offices</t>
        </is>
      </c>
      <c r="C3252" t="inlineStr">
        <is>
          <t>443</t>
        </is>
      </c>
      <c r="D3252" t="inlineStr">
        <is>
          <t>15</t>
        </is>
      </c>
      <c r="E3252" t="inlineStr">
        <is>
          <t>20</t>
        </is>
      </c>
      <c r="F3252" t="inlineStr">
        <is>
          <t>15</t>
        </is>
      </c>
      <c r="G3252" t="inlineStr">
        <is>
          <t>15</t>
        </is>
      </c>
      <c r="H3252" t="inlineStr">
        <is>
          <t>C</t>
        </is>
      </c>
    </row>
    <row r="3253" ht="12" customHeight="1" s="545">
      <c r="B3253" t="inlineStr">
        <is>
          <t>Mini-Banks (Walk-Up and Drive-Through)</t>
        </is>
      </c>
      <c r="C3253" t="inlineStr">
        <is>
          <t>578</t>
        </is>
      </c>
      <c r="D3253" t="inlineStr">
        <is>
          <t>15</t>
        </is>
      </c>
      <c r="E3253" t="inlineStr">
        <is>
          <t>20</t>
        </is>
      </c>
      <c r="F3253" t="inlineStr">
        <is>
          <t>15</t>
        </is>
      </c>
      <c r="G3253" t="inlineStr">
        <is>
          <t>15</t>
        </is>
      </c>
      <c r="H3253" t="inlineStr">
        <is>
          <t>C</t>
        </is>
      </c>
    </row>
    <row r="3254" ht="12" customHeight="1" s="545">
      <c r="B3254" t="inlineStr">
        <is>
          <t>Banks, Branch</t>
        </is>
      </c>
      <c r="C3254" t="inlineStr">
        <is>
          <t>304</t>
        </is>
      </c>
      <c r="D3254" t="inlineStr">
        <is>
          <t>15</t>
        </is>
      </c>
      <c r="E3254" t="inlineStr">
        <is>
          <t>21</t>
        </is>
      </c>
      <c r="F3254" t="inlineStr">
        <is>
          <t>15</t>
        </is>
      </c>
      <c r="G3254" t="inlineStr">
        <is>
          <t>15</t>
        </is>
      </c>
      <c r="H3254" t="inlineStr">
        <is>
          <t>C</t>
        </is>
      </c>
    </row>
    <row r="3255" ht="12" customHeight="1" s="545">
      <c r="B3255" t="inlineStr">
        <is>
          <t>Medical Office Buildings</t>
        </is>
      </c>
      <c r="C3255" t="inlineStr">
        <is>
          <t>341</t>
        </is>
      </c>
      <c r="D3255" t="inlineStr">
        <is>
          <t>15</t>
        </is>
      </c>
      <c r="E3255" t="inlineStr">
        <is>
          <t>22</t>
        </is>
      </c>
      <c r="F3255" t="inlineStr">
        <is>
          <t>15</t>
        </is>
      </c>
      <c r="G3255" t="inlineStr">
        <is>
          <t>15</t>
        </is>
      </c>
      <c r="H3255" t="inlineStr">
        <is>
          <t>C</t>
        </is>
      </c>
    </row>
    <row r="3256" ht="12" customHeight="1" s="545">
      <c r="B3256" t="inlineStr">
        <is>
          <t>Dental Clinics</t>
        </is>
      </c>
      <c r="C3256" t="inlineStr">
        <is>
          <t>444</t>
        </is>
      </c>
      <c r="D3256" t="inlineStr">
        <is>
          <t>15</t>
        </is>
      </c>
      <c r="E3256" t="inlineStr">
        <is>
          <t>23</t>
        </is>
      </c>
      <c r="F3256" t="inlineStr">
        <is>
          <t>15</t>
        </is>
      </c>
      <c r="G3256" t="inlineStr">
        <is>
          <t>15</t>
        </is>
      </c>
      <c r="H3256" t="inlineStr">
        <is>
          <t>C</t>
        </is>
      </c>
    </row>
    <row r="3257" ht="12" customHeight="1" s="545">
      <c r="B3257" t="inlineStr">
        <is>
          <t>Urgent Care Clinics</t>
        </is>
      </c>
      <c r="C3257" t="inlineStr">
        <is>
          <t>320</t>
        </is>
      </c>
      <c r="D3257" t="inlineStr">
        <is>
          <t>15</t>
        </is>
      </c>
      <c r="E3257" t="inlineStr">
        <is>
          <t>23</t>
        </is>
      </c>
      <c r="F3257" t="inlineStr">
        <is>
          <t>15</t>
        </is>
      </c>
      <c r="G3257" t="inlineStr">
        <is>
          <t>15</t>
        </is>
      </c>
      <c r="H3257" t="inlineStr">
        <is>
          <t>C</t>
        </is>
      </c>
    </row>
    <row r="3258" ht="12" customHeight="1" s="545">
      <c r="B3258" t="inlineStr">
        <is>
          <t>General Hospitals</t>
        </is>
      </c>
      <c r="C3258" t="inlineStr">
        <is>
          <t>331</t>
        </is>
      </c>
      <c r="D3258" t="inlineStr">
        <is>
          <t>15</t>
        </is>
      </c>
      <c r="E3258" t="inlineStr">
        <is>
          <t>24</t>
        </is>
      </c>
      <c r="F3258" t="inlineStr">
        <is>
          <t>15</t>
        </is>
      </c>
      <c r="G3258" t="inlineStr">
        <is>
          <t>15</t>
        </is>
      </c>
      <c r="H3258" t="inlineStr">
        <is>
          <t>C</t>
        </is>
      </c>
    </row>
    <row r="3259" ht="12" customHeight="1" s="545">
      <c r="B3259" t="inlineStr">
        <is>
          <t>Outpatient (Surgical) Centers</t>
        </is>
      </c>
      <c r="C3259" t="inlineStr">
        <is>
          <t>431</t>
        </is>
      </c>
      <c r="D3259" t="inlineStr">
        <is>
          <t>15</t>
        </is>
      </c>
      <c r="E3259" t="inlineStr">
        <is>
          <t>25</t>
        </is>
      </c>
      <c r="F3259" t="inlineStr">
        <is>
          <t>15</t>
        </is>
      </c>
      <c r="G3259" t="inlineStr">
        <is>
          <t>15</t>
        </is>
      </c>
      <c r="H3259" t="inlineStr">
        <is>
          <t>C</t>
        </is>
      </c>
    </row>
    <row r="3260" ht="12" customHeight="1" s="545">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ht="12" customHeight="1" s="545">
      <c r="B3261" t="inlineStr">
        <is>
          <t>Kennels</t>
        </is>
      </c>
      <c r="C3261" t="inlineStr">
        <is>
          <t>490</t>
        </is>
      </c>
      <c r="D3261" t="inlineStr">
        <is>
          <t>15</t>
        </is>
      </c>
      <c r="E3261" t="inlineStr">
        <is>
          <t>27</t>
        </is>
      </c>
      <c r="F3261" t="inlineStr">
        <is>
          <t>15</t>
        </is>
      </c>
      <c r="G3261" t="inlineStr">
        <is>
          <t>15</t>
        </is>
      </c>
      <c r="H3261" t="inlineStr">
        <is>
          <t>C</t>
        </is>
      </c>
    </row>
    <row r="3262" ht="12" customHeight="1" s="545">
      <c r="B3262" t="inlineStr">
        <is>
          <t>Veterinary Hospitals</t>
        </is>
      </c>
      <c r="C3262" t="inlineStr">
        <is>
          <t>381</t>
        </is>
      </c>
      <c r="D3262" t="inlineStr">
        <is>
          <t>15</t>
        </is>
      </c>
      <c r="E3262" t="inlineStr">
        <is>
          <t>28</t>
        </is>
      </c>
      <c r="F3262" t="inlineStr">
        <is>
          <t>15</t>
        </is>
      </c>
      <c r="G3262" t="inlineStr">
        <is>
          <t>15</t>
        </is>
      </c>
      <c r="H3262" t="inlineStr">
        <is>
          <t>C</t>
        </is>
      </c>
    </row>
    <row r="3263" ht="12" customHeight="1" s="545">
      <c r="B3263" t="inlineStr">
        <is>
          <t>Fire Stations – Volunteer</t>
        </is>
      </c>
      <c r="C3263" t="inlineStr">
        <is>
          <t>427</t>
        </is>
      </c>
      <c r="D3263" t="inlineStr">
        <is>
          <t>15</t>
        </is>
      </c>
      <c r="E3263" t="inlineStr">
        <is>
          <t>28</t>
        </is>
      </c>
      <c r="F3263" t="inlineStr">
        <is>
          <t>15</t>
        </is>
      </c>
      <c r="G3263" t="inlineStr">
        <is>
          <t>15</t>
        </is>
      </c>
      <c r="H3263" t="inlineStr">
        <is>
          <t>C</t>
        </is>
      </c>
    </row>
    <row r="3264" ht="12" customHeight="1" s="545">
      <c r="B3264" t="inlineStr">
        <is>
          <t>Fire Stations – Staffed</t>
        </is>
      </c>
      <c r="C3264" t="inlineStr">
        <is>
          <t>322</t>
        </is>
      </c>
      <c r="D3264" t="inlineStr">
        <is>
          <t>15</t>
        </is>
      </c>
      <c r="E3264" t="inlineStr">
        <is>
          <t>29</t>
        </is>
      </c>
      <c r="F3264" t="inlineStr">
        <is>
          <t>15</t>
        </is>
      </c>
      <c r="G3264" t="inlineStr">
        <is>
          <t>15</t>
        </is>
      </c>
      <c r="H3264" t="inlineStr">
        <is>
          <t>C</t>
        </is>
      </c>
    </row>
    <row r="3265" ht="12" customHeight="1" s="545">
      <c r="B3265" t="inlineStr">
        <is>
          <t>Governmental Buildings</t>
        </is>
      </c>
      <c r="C3265" t="inlineStr">
        <is>
          <t>327</t>
        </is>
      </c>
      <c r="D3265" t="inlineStr">
        <is>
          <t>15</t>
        </is>
      </c>
      <c r="E3265" t="inlineStr">
        <is>
          <t>30</t>
        </is>
      </c>
      <c r="F3265" t="inlineStr">
        <is>
          <t>15</t>
        </is>
      </c>
      <c r="G3265" t="inlineStr">
        <is>
          <t>15</t>
        </is>
      </c>
      <c r="H3265" t="inlineStr">
        <is>
          <t>C</t>
        </is>
      </c>
    </row>
    <row r="3266" ht="12" customHeight="1" s="545">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ht="12" customHeight="1" s="545">
      <c r="B3267" t="inlineStr">
        <is>
          <t>Public Libraries</t>
        </is>
      </c>
      <c r="C3267" t="inlineStr">
        <is>
          <t>337</t>
        </is>
      </c>
      <c r="D3267" t="inlineStr">
        <is>
          <t>15</t>
        </is>
      </c>
      <c r="E3267" t="inlineStr">
        <is>
          <t>32</t>
        </is>
      </c>
      <c r="F3267" t="inlineStr">
        <is>
          <t>15</t>
        </is>
      </c>
      <c r="G3267" t="inlineStr">
        <is>
          <t>15</t>
        </is>
      </c>
      <c r="H3267" t="inlineStr">
        <is>
          <t>R</t>
        </is>
      </c>
    </row>
    <row r="3268" ht="12" customHeight="1" s="545">
      <c r="B3268" t="inlineStr">
        <is>
          <t>Jails – Correctional Facilities</t>
        </is>
      </c>
      <c r="C3268" t="inlineStr">
        <is>
          <t>335</t>
        </is>
      </c>
      <c r="D3268" t="inlineStr">
        <is>
          <t>15</t>
        </is>
      </c>
      <c r="E3268" t="inlineStr">
        <is>
          <t>33</t>
        </is>
      </c>
      <c r="F3268" t="inlineStr">
        <is>
          <t>15</t>
        </is>
      </c>
      <c r="G3268" t="inlineStr">
        <is>
          <t>15</t>
        </is>
      </c>
      <c r="H3268" t="inlineStr">
        <is>
          <t>C</t>
        </is>
      </c>
    </row>
    <row r="3269" ht="12" customHeight="1" s="545">
      <c r="B3269" t="inlineStr">
        <is>
          <t>Jails – Police Stations</t>
        </is>
      </c>
      <c r="C3269" t="inlineStr">
        <is>
          <t>489</t>
        </is>
      </c>
      <c r="D3269" t="inlineStr">
        <is>
          <t>15</t>
        </is>
      </c>
      <c r="E3269" t="inlineStr">
        <is>
          <t>33</t>
        </is>
      </c>
      <c r="F3269" t="inlineStr">
        <is>
          <t>15</t>
        </is>
      </c>
      <c r="G3269" t="inlineStr">
        <is>
          <t>15</t>
        </is>
      </c>
      <c r="H3269" t="inlineStr">
        <is>
          <t>C</t>
        </is>
      </c>
    </row>
    <row r="3270" ht="12" customHeight="1" s="545">
      <c r="B3270" t="inlineStr">
        <is>
          <t>Shell Office Buildings</t>
        </is>
      </c>
      <c r="C3270" t="inlineStr">
        <is>
          <t>492</t>
        </is>
      </c>
      <c r="D3270" t="inlineStr">
        <is>
          <t>15</t>
        </is>
      </c>
      <c r="E3270" t="inlineStr">
        <is>
          <t>34</t>
        </is>
      </c>
      <c r="F3270" t="inlineStr">
        <is>
          <t>15</t>
        </is>
      </c>
      <c r="G3270" t="inlineStr">
        <is>
          <t>15</t>
        </is>
      </c>
      <c r="H3270" t="inlineStr">
        <is>
          <t>C</t>
        </is>
      </c>
    </row>
    <row r="3271" ht="12" customHeight="1" s="545">
      <c r="B3271" t="inlineStr">
        <is>
          <t>Churches with Sunday Schools</t>
        </is>
      </c>
      <c r="C3271" t="inlineStr">
        <is>
          <t>308</t>
        </is>
      </c>
      <c r="D3271" t="inlineStr">
        <is>
          <t>16</t>
        </is>
      </c>
      <c r="E3271" t="inlineStr">
        <is>
          <t>8</t>
        </is>
      </c>
      <c r="F3271" t="inlineStr">
        <is>
          <t>16</t>
        </is>
      </c>
      <c r="G3271" t="inlineStr">
        <is>
          <t>16</t>
        </is>
      </c>
      <c r="H3271" t="inlineStr">
        <is>
          <t>R</t>
        </is>
      </c>
    </row>
    <row r="3272" ht="12" customHeight="1" s="545">
      <c r="B3272" t="inlineStr">
        <is>
          <t>Churches – Sanctuaries (Chapels)</t>
        </is>
      </c>
      <c r="C3272" t="inlineStr">
        <is>
          <t>309</t>
        </is>
      </c>
      <c r="D3272" t="inlineStr">
        <is>
          <t>16</t>
        </is>
      </c>
      <c r="E3272" t="inlineStr">
        <is>
          <t>9</t>
        </is>
      </c>
      <c r="F3272" t="inlineStr">
        <is>
          <t>16</t>
        </is>
      </c>
      <c r="G3272" t="inlineStr">
        <is>
          <t>16</t>
        </is>
      </c>
      <c r="H3272" t="inlineStr">
        <is>
          <t>R</t>
        </is>
      </c>
    </row>
    <row r="3273" ht="12" customHeight="1" s="545">
      <c r="B3273" t="inlineStr">
        <is>
          <t>Fellowship Halls</t>
        </is>
      </c>
      <c r="C3273" t="inlineStr">
        <is>
          <t>516</t>
        </is>
      </c>
      <c r="D3273" t="inlineStr">
        <is>
          <t>16</t>
        </is>
      </c>
      <c r="E3273" t="inlineStr">
        <is>
          <t>10</t>
        </is>
      </c>
      <c r="F3273" t="inlineStr">
        <is>
          <t>16</t>
        </is>
      </c>
      <c r="G3273" t="inlineStr">
        <is>
          <t>16</t>
        </is>
      </c>
      <c r="H3273" t="inlineStr">
        <is>
          <t>R</t>
        </is>
      </c>
    </row>
    <row r="3274" ht="12" customHeight="1" s="545">
      <c r="B3274" t="inlineStr">
        <is>
          <t>Foyers / Narthexes</t>
        </is>
      </c>
      <c r="C3274" t="inlineStr">
        <is>
          <t>517</t>
        </is>
      </c>
      <c r="D3274" t="inlineStr">
        <is>
          <t>16</t>
        </is>
      </c>
      <c r="E3274" t="inlineStr">
        <is>
          <t>10</t>
        </is>
      </c>
      <c r="F3274" t="inlineStr">
        <is>
          <t>16</t>
        </is>
      </c>
      <c r="G3274" t="inlineStr">
        <is>
          <t>16</t>
        </is>
      </c>
      <c r="H3274" t="inlineStr">
        <is>
          <t>R</t>
        </is>
      </c>
    </row>
    <row r="3275" ht="12" customHeight="1" s="545">
      <c r="B3275" t="inlineStr">
        <is>
          <t>Church Educational Wings</t>
        </is>
      </c>
      <c r="C3275" t="inlineStr">
        <is>
          <t>173</t>
        </is>
      </c>
      <c r="D3275" t="inlineStr">
        <is>
          <t>16</t>
        </is>
      </c>
      <c r="E3275" t="inlineStr">
        <is>
          <t>11</t>
        </is>
      </c>
      <c r="F3275" t="inlineStr">
        <is>
          <t>16</t>
        </is>
      </c>
      <c r="G3275" t="inlineStr">
        <is>
          <t>16</t>
        </is>
      </c>
      <c r="H3275" t="inlineStr">
        <is>
          <t>R</t>
        </is>
      </c>
    </row>
    <row r="3276" ht="12" customHeight="1" s="545">
      <c r="B3276" t="inlineStr">
        <is>
          <t>Theaters: Live-Stage</t>
        </is>
      </c>
      <c r="C3276" t="inlineStr">
        <is>
          <t>379</t>
        </is>
      </c>
      <c r="D3276" t="inlineStr">
        <is>
          <t>16</t>
        </is>
      </c>
      <c r="E3276" t="inlineStr">
        <is>
          <t>12</t>
        </is>
      </c>
      <c r="F3276" t="inlineStr">
        <is>
          <t>16</t>
        </is>
      </c>
      <c r="G3276" t="inlineStr">
        <is>
          <t>16</t>
        </is>
      </c>
      <c r="H3276" t="inlineStr">
        <is>
          <t>C</t>
        </is>
      </c>
    </row>
    <row r="3277" ht="12" customHeight="1" s="545">
      <c r="B3277" t="inlineStr">
        <is>
          <t>Theaters: Cinema</t>
        </is>
      </c>
      <c r="C3277" t="inlineStr">
        <is>
          <t>380</t>
        </is>
      </c>
      <c r="D3277" t="inlineStr">
        <is>
          <t>16</t>
        </is>
      </c>
      <c r="E3277" t="inlineStr">
        <is>
          <t>13</t>
        </is>
      </c>
      <c r="F3277" t="inlineStr">
        <is>
          <t>16</t>
        </is>
      </c>
      <c r="G3277" t="inlineStr">
        <is>
          <t>16</t>
        </is>
      </c>
      <c r="H3277" t="inlineStr">
        <is>
          <t>C</t>
        </is>
      </c>
    </row>
    <row r="3278" ht="12" customHeight="1" s="545">
      <c r="B3278" t="inlineStr">
        <is>
          <t>Auditoriums</t>
        </is>
      </c>
      <c r="C3278" t="inlineStr">
        <is>
          <t>302</t>
        </is>
      </c>
      <c r="D3278" t="inlineStr">
        <is>
          <t>16</t>
        </is>
      </c>
      <c r="E3278" t="inlineStr">
        <is>
          <t>14</t>
        </is>
      </c>
      <c r="F3278" t="inlineStr">
        <is>
          <t>16</t>
        </is>
      </c>
      <c r="G3278" t="inlineStr">
        <is>
          <t>16</t>
        </is>
      </c>
      <c r="H3278" t="inlineStr">
        <is>
          <t>C</t>
        </is>
      </c>
    </row>
    <row r="3279" ht="12" customHeight="1" s="545">
      <c r="B3279" t="inlineStr">
        <is>
          <t>Fraternal Buildings</t>
        </is>
      </c>
      <c r="C3279" t="inlineStr">
        <is>
          <t>323</t>
        </is>
      </c>
      <c r="D3279" t="inlineStr">
        <is>
          <t>16</t>
        </is>
      </c>
      <c r="E3279" t="inlineStr">
        <is>
          <t>15</t>
        </is>
      </c>
      <c r="F3279" t="inlineStr">
        <is>
          <t>16</t>
        </is>
      </c>
      <c r="G3279" t="inlineStr">
        <is>
          <t>16</t>
        </is>
      </c>
      <c r="H3279" t="inlineStr">
        <is>
          <t>R</t>
        </is>
      </c>
    </row>
    <row r="3280" ht="12" customHeight="1" s="545">
      <c r="B3280" t="inlineStr">
        <is>
          <t>Visitor Centers</t>
        </is>
      </c>
      <c r="C3280" t="inlineStr">
        <is>
          <t>574</t>
        </is>
      </c>
      <c r="D3280" t="inlineStr">
        <is>
          <t>16</t>
        </is>
      </c>
      <c r="E3280" t="inlineStr">
        <is>
          <t>15</t>
        </is>
      </c>
      <c r="F3280" t="inlineStr">
        <is>
          <t>16</t>
        </is>
      </c>
      <c r="G3280" t="inlineStr">
        <is>
          <t>16</t>
        </is>
      </c>
      <c r="H3280" t="inlineStr">
        <is>
          <t>C</t>
        </is>
      </c>
    </row>
    <row r="3281" ht="12" customHeight="1" s="545">
      <c r="B3281" t="inlineStr">
        <is>
          <t>Convention Centers</t>
        </is>
      </c>
      <c r="C3281" t="inlineStr">
        <is>
          <t>482</t>
        </is>
      </c>
      <c r="D3281" t="inlineStr">
        <is>
          <t>16</t>
        </is>
      </c>
      <c r="E3281" t="inlineStr">
        <is>
          <t>16</t>
        </is>
      </c>
      <c r="F3281" t="inlineStr">
        <is>
          <t>16</t>
        </is>
      </c>
      <c r="G3281" t="inlineStr">
        <is>
          <t>16</t>
        </is>
      </c>
      <c r="H3281" t="inlineStr">
        <is>
          <t>C</t>
        </is>
      </c>
    </row>
    <row r="3282" ht="12" customHeight="1" s="545">
      <c r="B3282" t="inlineStr">
        <is>
          <t>Casinos</t>
        </is>
      </c>
      <c r="C3282" t="inlineStr">
        <is>
          <t>515</t>
        </is>
      </c>
      <c r="D3282" t="inlineStr">
        <is>
          <t>16</t>
        </is>
      </c>
      <c r="E3282" t="inlineStr">
        <is>
          <t>17</t>
        </is>
      </c>
      <c r="F3282" t="inlineStr">
        <is>
          <t>16</t>
        </is>
      </c>
      <c r="G3282" t="inlineStr">
        <is>
          <t>16</t>
        </is>
      </c>
      <c r="H3282" t="inlineStr">
        <is>
          <t>C</t>
        </is>
      </c>
    </row>
    <row r="3283" ht="12" customHeight="1" s="545">
      <c r="B3283" t="inlineStr">
        <is>
          <t>Community Recreation Centers</t>
        </is>
      </c>
      <c r="C3283" t="inlineStr">
        <is>
          <t>514</t>
        </is>
      </c>
      <c r="D3283" t="inlineStr">
        <is>
          <t>16</t>
        </is>
      </c>
      <c r="E3283" t="inlineStr">
        <is>
          <t>18</t>
        </is>
      </c>
      <c r="F3283" t="inlineStr">
        <is>
          <t>16</t>
        </is>
      </c>
      <c r="G3283" t="inlineStr">
        <is>
          <t>16</t>
        </is>
      </c>
      <c r="H3283" t="inlineStr">
        <is>
          <t>C</t>
        </is>
      </c>
    </row>
    <row r="3284" ht="12" customHeight="1" s="545">
      <c r="B3284" t="inlineStr">
        <is>
          <t>Arcade Buildings</t>
        </is>
      </c>
      <c r="C3284" t="inlineStr">
        <is>
          <t>573</t>
        </is>
      </c>
      <c r="D3284" t="inlineStr">
        <is>
          <t>16</t>
        </is>
      </c>
      <c r="E3284" t="inlineStr">
        <is>
          <t>18</t>
        </is>
      </c>
      <c r="F3284" t="inlineStr">
        <is>
          <t>16</t>
        </is>
      </c>
      <c r="G3284" t="inlineStr">
        <is>
          <t>16</t>
        </is>
      </c>
      <c r="H3284" t="inlineStr">
        <is>
          <t>C</t>
        </is>
      </c>
    </row>
    <row r="3285" ht="12" customHeight="1" s="545">
      <c r="B3285" t="inlineStr">
        <is>
          <t>Museums</t>
        </is>
      </c>
      <c r="C3285" t="inlineStr">
        <is>
          <t>481</t>
        </is>
      </c>
      <c r="D3285" t="inlineStr">
        <is>
          <t>16</t>
        </is>
      </c>
      <c r="E3285" t="inlineStr">
        <is>
          <t>19</t>
        </is>
      </c>
      <c r="F3285" t="inlineStr">
        <is>
          <t>16</t>
        </is>
      </c>
      <c r="G3285" t="inlineStr">
        <is>
          <t>16</t>
        </is>
      </c>
      <c r="H3285" t="inlineStr">
        <is>
          <t>C</t>
        </is>
      </c>
    </row>
    <row r="3286" ht="12" customHeight="1" s="545">
      <c r="B3286" t="inlineStr">
        <is>
          <t>Ice Skating Rinks</t>
        </is>
      </c>
      <c r="C3286" t="inlineStr">
        <is>
          <t>175</t>
        </is>
      </c>
      <c r="D3286" t="inlineStr">
        <is>
          <t>16</t>
        </is>
      </c>
      <c r="E3286" t="inlineStr">
        <is>
          <t>20</t>
        </is>
      </c>
      <c r="F3286" t="inlineStr">
        <is>
          <t>16</t>
        </is>
      </c>
      <c r="G3286" t="inlineStr">
        <is>
          <t>16</t>
        </is>
      </c>
      <c r="H3286" t="inlineStr">
        <is>
          <t>C</t>
        </is>
      </c>
    </row>
    <row r="3287" ht="12" customHeight="1" s="545">
      <c r="B3287" t="inlineStr">
        <is>
          <t>Roller Skating Rinks</t>
        </is>
      </c>
      <c r="C3287" t="inlineStr">
        <is>
          <t>176</t>
        </is>
      </c>
      <c r="D3287" t="inlineStr">
        <is>
          <t>16</t>
        </is>
      </c>
      <c r="E3287" t="inlineStr">
        <is>
          <t>21</t>
        </is>
      </c>
      <c r="F3287" t="inlineStr">
        <is>
          <t>16</t>
        </is>
      </c>
      <c r="G3287" t="inlineStr">
        <is>
          <t>16</t>
        </is>
      </c>
      <c r="H3287" t="inlineStr">
        <is>
          <t>C</t>
        </is>
      </c>
    </row>
    <row r="3288" ht="12" customHeight="1" s="545">
      <c r="B3288" t="inlineStr">
        <is>
          <t>Handball/Racquetball Clubs</t>
        </is>
      </c>
      <c r="C3288" t="inlineStr">
        <is>
          <t>417</t>
        </is>
      </c>
      <c r="D3288" t="inlineStr">
        <is>
          <t>16</t>
        </is>
      </c>
      <c r="E3288" t="inlineStr">
        <is>
          <t>21</t>
        </is>
      </c>
      <c r="F3288" t="inlineStr">
        <is>
          <t>16</t>
        </is>
      </c>
      <c r="G3288" t="inlineStr">
        <is>
          <t>16</t>
        </is>
      </c>
      <c r="H3288" t="inlineStr">
        <is>
          <t>C</t>
        </is>
      </c>
    </row>
    <row r="3289" ht="12" customHeight="1" s="545">
      <c r="B3289" t="inlineStr">
        <is>
          <t>Fitness Centers</t>
        </is>
      </c>
      <c r="C3289" t="inlineStr">
        <is>
          <t>483</t>
        </is>
      </c>
      <c r="D3289" t="inlineStr">
        <is>
          <t>16</t>
        </is>
      </c>
      <c r="E3289" t="inlineStr">
        <is>
          <t>21</t>
        </is>
      </c>
      <c r="F3289" t="inlineStr">
        <is>
          <t>16</t>
        </is>
      </c>
      <c r="G3289" t="inlineStr">
        <is>
          <t>16</t>
        </is>
      </c>
      <c r="H3289" t="inlineStr">
        <is>
          <t>C</t>
        </is>
      </c>
    </row>
    <row r="3290" ht="12" customHeight="1" s="545">
      <c r="B3290" t="inlineStr">
        <is>
          <t>Bowling Centers</t>
        </is>
      </c>
      <c r="C3290" t="inlineStr">
        <is>
          <t>306</t>
        </is>
      </c>
      <c r="D3290" t="inlineStr">
        <is>
          <t>16</t>
        </is>
      </c>
      <c r="E3290" t="inlineStr">
        <is>
          <t>22</t>
        </is>
      </c>
      <c r="F3290" t="inlineStr">
        <is>
          <t>16</t>
        </is>
      </c>
      <c r="G3290" t="inlineStr">
        <is>
          <t>16</t>
        </is>
      </c>
      <c r="H3290" t="inlineStr">
        <is>
          <t>C</t>
        </is>
      </c>
    </row>
    <row r="3291" ht="12" customHeight="1" s="545">
      <c r="B3291" t="inlineStr">
        <is>
          <t>Indoor Tennis Clubs</t>
        </is>
      </c>
      <c r="C3291" t="inlineStr">
        <is>
          <t>416</t>
        </is>
      </c>
      <c r="D3291" t="inlineStr">
        <is>
          <t>16</t>
        </is>
      </c>
      <c r="E3291" t="inlineStr">
        <is>
          <t>22</t>
        </is>
      </c>
      <c r="F3291" t="inlineStr">
        <is>
          <t>16</t>
        </is>
      </c>
      <c r="G3291" t="inlineStr">
        <is>
          <t>16</t>
        </is>
      </c>
      <c r="H3291" t="inlineStr">
        <is>
          <t>C</t>
        </is>
      </c>
    </row>
    <row r="3292" ht="12" customHeight="1" s="545">
      <c r="B3292" t="inlineStr">
        <is>
          <t>Pavilions</t>
        </is>
      </c>
      <c r="C3292" t="inlineStr">
        <is>
          <t>174</t>
        </is>
      </c>
      <c r="D3292" t="inlineStr">
        <is>
          <t>16</t>
        </is>
      </c>
      <c r="E3292" t="inlineStr">
        <is>
          <t>23</t>
        </is>
      </c>
      <c r="F3292" t="inlineStr">
        <is>
          <t>16</t>
        </is>
      </c>
      <c r="G3292" t="inlineStr">
        <is>
          <t>16</t>
        </is>
      </c>
      <c r="H3292" t="inlineStr">
        <is>
          <t>C</t>
        </is>
      </c>
    </row>
    <row r="3293" ht="12" customHeight="1" s="545">
      <c r="B3293" t="inlineStr">
        <is>
          <t>Light Commercial – Commodity Warehouse</t>
        </is>
      </c>
      <c r="C3293" t="inlineStr">
        <is>
          <t>104</t>
        </is>
      </c>
      <c r="D3293" t="inlineStr">
        <is>
          <t>17</t>
        </is>
      </c>
      <c r="E3293" t="inlineStr">
        <is>
          <t>11</t>
        </is>
      </c>
      <c r="F3293" t="inlineStr">
        <is>
          <t>-</t>
        </is>
      </c>
      <c r="G3293" t="inlineStr">
        <is>
          <t>-</t>
        </is>
      </c>
      <c r="H3293" t="inlineStr">
        <is>
          <t>C</t>
        </is>
      </c>
    </row>
    <row r="3294" ht="12" customHeight="1" s="545">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ht="12" customHeight="1" s="545">
      <c r="B3295" t="inlineStr">
        <is>
          <t>Material – Commodity Shelters</t>
        </is>
      </c>
      <c r="C3295" t="inlineStr">
        <is>
          <t>473</t>
        </is>
      </c>
      <c r="D3295" t="inlineStr">
        <is>
          <t>17</t>
        </is>
      </c>
      <c r="E3295" t="inlineStr">
        <is>
          <t>11</t>
        </is>
      </c>
      <c r="F3295" t="inlineStr">
        <is>
          <t>-</t>
        </is>
      </c>
      <c r="G3295" t="inlineStr">
        <is>
          <t>-</t>
        </is>
      </c>
      <c r="H3295" t="inlineStr">
        <is>
          <t>C</t>
        </is>
      </c>
    </row>
    <row r="3296" ht="12" customHeight="1" s="545">
      <c r="B3296" t="inlineStr">
        <is>
          <t>Light Commercial Utility Buildings</t>
        </is>
      </c>
      <c r="C3296" t="inlineStr">
        <is>
          <t>471</t>
        </is>
      </c>
      <c r="D3296" t="inlineStr">
        <is>
          <t>17</t>
        </is>
      </c>
      <c r="E3296" t="inlineStr">
        <is>
          <t>12</t>
        </is>
      </c>
      <c r="F3296" t="inlineStr">
        <is>
          <t>-</t>
        </is>
      </c>
      <c r="G3296" t="inlineStr">
        <is>
          <t>-</t>
        </is>
      </c>
      <c r="H3296" t="inlineStr">
        <is>
          <t>C</t>
        </is>
      </c>
    </row>
    <row r="3297" ht="12" customHeight="1" s="545">
      <c r="B3297" t="inlineStr">
        <is>
          <t>Toolshed Buildings</t>
        </is>
      </c>
      <c r="C3297" t="inlineStr">
        <is>
          <t>456</t>
        </is>
      </c>
      <c r="D3297" t="inlineStr">
        <is>
          <t>17</t>
        </is>
      </c>
      <c r="E3297" t="inlineStr">
        <is>
          <t>12</t>
        </is>
      </c>
      <c r="F3297" t="inlineStr">
        <is>
          <t>-</t>
        </is>
      </c>
      <c r="G3297" t="inlineStr">
        <is>
          <t>-</t>
        </is>
      </c>
      <c r="H3297" t="inlineStr">
        <is>
          <t>C</t>
        </is>
      </c>
    </row>
    <row r="3298" ht="12" customHeight="1" s="545">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ht="12" customHeight="1" s="545">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ht="12" customHeight="1" s="545">
      <c r="B3300" t="inlineStr">
        <is>
          <t>Light Commercial Equipment Sheds</t>
        </is>
      </c>
      <c r="C3300" t="inlineStr">
        <is>
          <t>472</t>
        </is>
      </c>
      <c r="D3300" t="inlineStr">
        <is>
          <t>17</t>
        </is>
      </c>
      <c r="E3300" t="inlineStr">
        <is>
          <t>14</t>
        </is>
      </c>
      <c r="F3300" t="inlineStr">
        <is>
          <t>-</t>
        </is>
      </c>
      <c r="G3300" t="inlineStr">
        <is>
          <t>-</t>
        </is>
      </c>
      <c r="H3300" t="inlineStr">
        <is>
          <t>C</t>
        </is>
      </c>
    </row>
    <row r="3301" ht="12" customHeight="1" s="545">
      <c r="B3301" t="inlineStr">
        <is>
          <t>Shed Office Structures</t>
        </is>
      </c>
      <c r="C3301" t="inlineStr">
        <is>
          <t>554</t>
        </is>
      </c>
      <c r="D3301" t="inlineStr">
        <is>
          <t>17</t>
        </is>
      </c>
      <c r="E3301" t="inlineStr">
        <is>
          <t>14</t>
        </is>
      </c>
      <c r="F3301" t="inlineStr">
        <is>
          <t>-</t>
        </is>
      </c>
      <c r="G3301" t="inlineStr">
        <is>
          <t>-</t>
        </is>
      </c>
      <c r="H3301" t="inlineStr">
        <is>
          <t>C</t>
        </is>
      </c>
    </row>
    <row r="3302" ht="12" customHeight="1" s="545">
      <c r="B3302" t="inlineStr">
        <is>
          <t>Golf Cart Storage Buildings</t>
        </is>
      </c>
      <c r="C3302" t="inlineStr">
        <is>
          <t>523</t>
        </is>
      </c>
      <c r="D3302" t="inlineStr">
        <is>
          <t>17</t>
        </is>
      </c>
      <c r="E3302" t="inlineStr">
        <is>
          <t>15</t>
        </is>
      </c>
      <c r="F3302" t="inlineStr">
        <is>
          <t>-</t>
        </is>
      </c>
      <c r="G3302" t="inlineStr">
        <is>
          <t>-</t>
        </is>
      </c>
      <c r="H3302" t="inlineStr">
        <is>
          <t>C</t>
        </is>
      </c>
    </row>
    <row r="3303" ht="12" customHeight="1" s="545">
      <c r="B3303" t="inlineStr">
        <is>
          <t>Golf Starter (Guard House) Booths</t>
        </is>
      </c>
      <c r="C3303" t="inlineStr">
        <is>
          <t>183</t>
        </is>
      </c>
      <c r="D3303" t="inlineStr">
        <is>
          <t>17</t>
        </is>
      </c>
      <c r="E3303" t="inlineStr">
        <is>
          <t>15</t>
        </is>
      </c>
      <c r="F3303" t="inlineStr">
        <is>
          <t>-</t>
        </is>
      </c>
      <c r="G3303" t="inlineStr">
        <is>
          <t>-</t>
        </is>
      </c>
      <c r="H3303" t="inlineStr">
        <is>
          <t>C</t>
        </is>
      </c>
    </row>
    <row r="3304" ht="12" customHeight="1" s="545">
      <c r="B3304" t="inlineStr">
        <is>
          <t>Material Storage Buildings</t>
        </is>
      </c>
      <c r="C3304" t="inlineStr">
        <is>
          <t>391</t>
        </is>
      </c>
      <c r="D3304" t="inlineStr">
        <is>
          <t>17</t>
        </is>
      </c>
      <c r="E3304" t="inlineStr">
        <is>
          <t>16</t>
        </is>
      </c>
      <c r="F3304" t="inlineStr">
        <is>
          <t>-</t>
        </is>
      </c>
      <c r="G3304" t="inlineStr">
        <is>
          <t>-</t>
        </is>
      </c>
      <c r="H3304" t="inlineStr">
        <is>
          <t>C</t>
        </is>
      </c>
    </row>
    <row r="3305" ht="12" customHeight="1" s="545">
      <c r="B3305" t="inlineStr">
        <is>
          <t>Material Storage Sheds</t>
        </is>
      </c>
      <c r="C3305" t="inlineStr">
        <is>
          <t>468</t>
        </is>
      </c>
      <c r="D3305" t="inlineStr">
        <is>
          <t>17</t>
        </is>
      </c>
      <c r="E3305" t="inlineStr">
        <is>
          <t>16</t>
        </is>
      </c>
      <c r="F3305" t="inlineStr">
        <is>
          <t>-</t>
        </is>
      </c>
      <c r="G3305" t="inlineStr">
        <is>
          <t>-</t>
        </is>
      </c>
      <c r="H3305" t="inlineStr">
        <is>
          <t>C</t>
        </is>
      </c>
    </row>
    <row r="3306" ht="12" customHeight="1" s="545">
      <c r="B3306" t="inlineStr">
        <is>
          <t>Bulk Oil Storage</t>
        </is>
      </c>
      <c r="C3306" t="inlineStr">
        <is>
          <t>556</t>
        </is>
      </c>
      <c r="D3306" t="inlineStr">
        <is>
          <t>17</t>
        </is>
      </c>
      <c r="E3306" t="inlineStr">
        <is>
          <t>16</t>
        </is>
      </c>
      <c r="F3306" t="inlineStr">
        <is>
          <t>-</t>
        </is>
      </c>
      <c r="G3306" t="inlineStr">
        <is>
          <t>-</t>
        </is>
      </c>
      <c r="H3306" t="inlineStr">
        <is>
          <t>C</t>
        </is>
      </c>
    </row>
    <row r="3307" ht="12" customHeight="1" s="545">
      <c r="B3307" t="inlineStr">
        <is>
          <t>Lumber Storage Buildings</t>
        </is>
      </c>
      <c r="C3307" t="inlineStr">
        <is>
          <t>390</t>
        </is>
      </c>
      <c r="D3307" t="inlineStr">
        <is>
          <t>17</t>
        </is>
      </c>
      <c r="E3307" t="inlineStr">
        <is>
          <t>17</t>
        </is>
      </c>
      <c r="F3307" t="inlineStr">
        <is>
          <t>-</t>
        </is>
      </c>
      <c r="G3307" t="inlineStr">
        <is>
          <t>-</t>
        </is>
      </c>
      <c r="H3307" t="inlineStr">
        <is>
          <t>C</t>
        </is>
      </c>
    </row>
    <row r="3308" ht="12" customHeight="1" s="545">
      <c r="B3308" t="inlineStr">
        <is>
          <t>Lumber Storage Sheds</t>
        </is>
      </c>
      <c r="C3308" t="inlineStr">
        <is>
          <t>339</t>
        </is>
      </c>
      <c r="D3308" t="inlineStr">
        <is>
          <t>17</t>
        </is>
      </c>
      <c r="E3308" t="inlineStr">
        <is>
          <t>17</t>
        </is>
      </c>
      <c r="F3308" t="inlineStr">
        <is>
          <t>-</t>
        </is>
      </c>
      <c r="G3308" t="inlineStr">
        <is>
          <t>-</t>
        </is>
      </c>
      <c r="H3308" t="inlineStr">
        <is>
          <t>C</t>
        </is>
      </c>
    </row>
    <row r="3309" ht="12" customHeight="1" s="545">
      <c r="B3309" t="inlineStr">
        <is>
          <t>Boat Storage Buildings</t>
        </is>
      </c>
      <c r="C3309" t="inlineStr">
        <is>
          <t>467</t>
        </is>
      </c>
      <c r="D3309" t="inlineStr">
        <is>
          <t>17</t>
        </is>
      </c>
      <c r="E3309" t="inlineStr">
        <is>
          <t>18</t>
        </is>
      </c>
      <c r="F3309" t="inlineStr">
        <is>
          <t>-</t>
        </is>
      </c>
      <c r="G3309" t="inlineStr">
        <is>
          <t>-</t>
        </is>
      </c>
      <c r="H3309" t="inlineStr">
        <is>
          <t>C</t>
        </is>
      </c>
    </row>
    <row r="3310" ht="12" customHeight="1" s="545">
      <c r="B3310" t="inlineStr">
        <is>
          <t>Boat Storage Sheds</t>
        </is>
      </c>
      <c r="C3310" t="inlineStr">
        <is>
          <t>466</t>
        </is>
      </c>
      <c r="D3310" t="inlineStr">
        <is>
          <t>17</t>
        </is>
      </c>
      <c r="E3310" t="inlineStr">
        <is>
          <t>18</t>
        </is>
      </c>
      <c r="F3310" t="inlineStr">
        <is>
          <t>-</t>
        </is>
      </c>
      <c r="G3310" t="inlineStr">
        <is>
          <t>-</t>
        </is>
      </c>
      <c r="H3310" t="inlineStr">
        <is>
          <t>C</t>
        </is>
      </c>
    </row>
    <row r="3311" ht="12" customHeight="1" s="545">
      <c r="B3311" t="inlineStr">
        <is>
          <t>Bag Fertilizer Storage</t>
        </is>
      </c>
      <c r="C3311" t="inlineStr">
        <is>
          <t>563</t>
        </is>
      </c>
      <c r="D3311" t="inlineStr">
        <is>
          <t>17</t>
        </is>
      </c>
      <c r="E3311" t="inlineStr">
        <is>
          <t>19</t>
        </is>
      </c>
      <c r="F3311" t="inlineStr">
        <is>
          <t>-</t>
        </is>
      </c>
      <c r="G3311" t="inlineStr">
        <is>
          <t>-</t>
        </is>
      </c>
      <c r="H3311" t="inlineStr">
        <is>
          <t>C</t>
        </is>
      </c>
    </row>
    <row r="3312" ht="12" customHeight="1" s="545">
      <c r="B3312" t="inlineStr">
        <is>
          <t>Bulk Fertilizer Storage</t>
        </is>
      </c>
      <c r="C3312" t="inlineStr">
        <is>
          <t>420</t>
        </is>
      </c>
      <c r="D3312" t="inlineStr">
        <is>
          <t>17</t>
        </is>
      </c>
      <c r="E3312" t="inlineStr">
        <is>
          <t>19</t>
        </is>
      </c>
      <c r="F3312" t="inlineStr">
        <is>
          <t>-</t>
        </is>
      </c>
      <c r="G3312" t="inlineStr">
        <is>
          <t>-</t>
        </is>
      </c>
      <c r="H3312" t="inlineStr">
        <is>
          <t>C</t>
        </is>
      </c>
    </row>
    <row r="3313" ht="12" customHeight="1" s="545">
      <c r="B3313" t="inlineStr">
        <is>
          <t>Tobacco Barns – Flue Curing</t>
        </is>
      </c>
      <c r="C3313" t="inlineStr">
        <is>
          <t>122</t>
        </is>
      </c>
      <c r="D3313" t="inlineStr">
        <is>
          <t>17</t>
        </is>
      </c>
      <c r="E3313" t="inlineStr">
        <is>
          <t>19</t>
        </is>
      </c>
      <c r="F3313" t="inlineStr">
        <is>
          <t>-</t>
        </is>
      </c>
      <c r="G3313" t="inlineStr">
        <is>
          <t>-</t>
        </is>
      </c>
      <c r="H3313" t="inlineStr">
        <is>
          <t>C</t>
        </is>
      </c>
    </row>
    <row r="3314" ht="12" customHeight="1" s="545">
      <c r="B3314" t="inlineStr">
        <is>
          <t>Tobacco Barns – Air Curing</t>
        </is>
      </c>
      <c r="C3314" t="inlineStr">
        <is>
          <t>121</t>
        </is>
      </c>
      <c r="D3314" t="inlineStr">
        <is>
          <t>17</t>
        </is>
      </c>
      <c r="E3314" t="inlineStr">
        <is>
          <t>19</t>
        </is>
      </c>
      <c r="F3314" t="inlineStr">
        <is>
          <t>-</t>
        </is>
      </c>
      <c r="G3314" t="inlineStr">
        <is>
          <t>-</t>
        </is>
      </c>
      <c r="H3314" t="inlineStr">
        <is>
          <t>C</t>
        </is>
      </c>
    </row>
    <row r="3315" ht="12" customHeight="1" s="545">
      <c r="B3315" t="inlineStr">
        <is>
          <t>Dehydrator Shed Buildings</t>
        </is>
      </c>
      <c r="C3315" t="inlineStr">
        <is>
          <t>564</t>
        </is>
      </c>
      <c r="D3315" t="inlineStr">
        <is>
          <t>17</t>
        </is>
      </c>
      <c r="E3315" t="inlineStr">
        <is>
          <t>19</t>
        </is>
      </c>
      <c r="F3315" t="inlineStr">
        <is>
          <t>-</t>
        </is>
      </c>
      <c r="G3315" t="inlineStr">
        <is>
          <t>-</t>
        </is>
      </c>
      <c r="H3315" t="inlineStr">
        <is>
          <t>C</t>
        </is>
      </c>
    </row>
    <row r="3316" ht="12" customHeight="1" s="545">
      <c r="B3316" t="inlineStr">
        <is>
          <t>Farm Cold Storage Buildings</t>
        </is>
      </c>
      <c r="C3316" t="inlineStr">
        <is>
          <t>448</t>
        </is>
      </c>
      <c r="D3316" t="inlineStr">
        <is>
          <t>17</t>
        </is>
      </c>
      <c r="E3316" t="inlineStr">
        <is>
          <t>20</t>
        </is>
      </c>
      <c r="F3316" t="inlineStr">
        <is>
          <t>-</t>
        </is>
      </c>
      <c r="G3316" t="inlineStr">
        <is>
          <t>-</t>
        </is>
      </c>
      <c r="H3316" t="inlineStr">
        <is>
          <t>C</t>
        </is>
      </c>
    </row>
    <row r="3317" ht="12" customHeight="1" s="545">
      <c r="B3317" t="inlineStr">
        <is>
          <t>Fruit Packing Barns</t>
        </is>
      </c>
      <c r="C3317" t="inlineStr">
        <is>
          <t>398</t>
        </is>
      </c>
      <c r="D3317" t="inlineStr">
        <is>
          <t>17</t>
        </is>
      </c>
      <c r="E3317" t="inlineStr">
        <is>
          <t>20</t>
        </is>
      </c>
      <c r="F3317" t="inlineStr">
        <is>
          <t>-</t>
        </is>
      </c>
      <c r="G3317" t="inlineStr">
        <is>
          <t>-</t>
        </is>
      </c>
      <c r="H3317" t="inlineStr">
        <is>
          <t>C</t>
        </is>
      </c>
    </row>
    <row r="3318" ht="12" customHeight="1" s="545">
      <c r="B3318" t="inlineStr">
        <is>
          <t>Potato Storage Buildings</t>
        </is>
      </c>
      <c r="C3318" t="inlineStr">
        <is>
          <t>395</t>
        </is>
      </c>
      <c r="D3318" t="inlineStr">
        <is>
          <t>17</t>
        </is>
      </c>
      <c r="E3318" t="inlineStr">
        <is>
          <t>21</t>
        </is>
      </c>
      <c r="F3318" t="inlineStr">
        <is>
          <t>-</t>
        </is>
      </c>
      <c r="G3318" t="inlineStr">
        <is>
          <t>-</t>
        </is>
      </c>
      <c r="H3318" t="inlineStr">
        <is>
          <t>C</t>
        </is>
      </c>
    </row>
    <row r="3319" ht="12" customHeight="1" s="545">
      <c r="B3319" t="inlineStr">
        <is>
          <t>Vegetable Buildings – Environmental</t>
        </is>
      </c>
      <c r="C3319" t="inlineStr">
        <is>
          <t>480</t>
        </is>
      </c>
      <c r="D3319" t="inlineStr">
        <is>
          <t>17</t>
        </is>
      </c>
      <c r="E3319" t="inlineStr">
        <is>
          <t>21</t>
        </is>
      </c>
      <c r="F3319" t="inlineStr">
        <is>
          <t>-</t>
        </is>
      </c>
      <c r="G3319" t="inlineStr">
        <is>
          <t>-</t>
        </is>
      </c>
      <c r="H3319" t="inlineStr">
        <is>
          <t>C</t>
        </is>
      </c>
    </row>
    <row r="3320" ht="12" customHeight="1" s="545">
      <c r="B3320" t="inlineStr">
        <is>
          <t>Controlled Atmosphere Buildings</t>
        </is>
      </c>
      <c r="C3320" t="inlineStr">
        <is>
          <t>106</t>
        </is>
      </c>
      <c r="D3320" t="inlineStr">
        <is>
          <t>17</t>
        </is>
      </c>
      <c r="E3320" t="inlineStr">
        <is>
          <t>21</t>
        </is>
      </c>
      <c r="F3320" t="inlineStr">
        <is>
          <t>-</t>
        </is>
      </c>
      <c r="G3320" t="inlineStr">
        <is>
          <t>-</t>
        </is>
      </c>
      <c r="H3320" t="inlineStr">
        <is>
          <t>C</t>
        </is>
      </c>
    </row>
    <row r="3321" ht="12" customHeight="1" s="545">
      <c r="B3321" t="inlineStr">
        <is>
          <t>Greenhouse – Straight-Wall Structures</t>
        </is>
      </c>
      <c r="C3321" t="inlineStr">
        <is>
          <t>136</t>
        </is>
      </c>
      <c r="D3321" t="inlineStr">
        <is>
          <t>17</t>
        </is>
      </c>
      <c r="E3321" t="inlineStr">
        <is>
          <t>22</t>
        </is>
      </c>
      <c r="F3321" t="inlineStr">
        <is>
          <t>-</t>
        </is>
      </c>
      <c r="G3321" t="inlineStr">
        <is>
          <t>-</t>
        </is>
      </c>
      <c r="H3321" t="inlineStr">
        <is>
          <t>C</t>
        </is>
      </c>
    </row>
    <row r="3322" ht="12" customHeight="1" s="545">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ht="12" customHeight="1" s="545">
      <c r="B3323" t="inlineStr">
        <is>
          <t>Greenhouse Shade Shelters</t>
        </is>
      </c>
      <c r="C3323" t="inlineStr">
        <is>
          <t>519</t>
        </is>
      </c>
      <c r="D3323" t="inlineStr">
        <is>
          <t>17</t>
        </is>
      </c>
      <c r="E3323" t="inlineStr">
        <is>
          <t>23</t>
        </is>
      </c>
      <c r="F3323" t="inlineStr">
        <is>
          <t>-</t>
        </is>
      </c>
      <c r="G3323" t="inlineStr">
        <is>
          <t>-</t>
        </is>
      </c>
      <c r="H3323" t="inlineStr">
        <is>
          <t>C</t>
        </is>
      </c>
    </row>
    <row r="3324" ht="12" customHeight="1" s="545">
      <c r="B3324" t="inlineStr">
        <is>
          <t>Lath Shade Houses</t>
        </is>
      </c>
      <c r="C3324" t="inlineStr">
        <is>
          <t>518</t>
        </is>
      </c>
      <c r="D3324" t="inlineStr">
        <is>
          <t>17</t>
        </is>
      </c>
      <c r="E3324" t="inlineStr">
        <is>
          <t>23</t>
        </is>
      </c>
      <c r="F3324" t="inlineStr">
        <is>
          <t>-</t>
        </is>
      </c>
      <c r="G3324" t="inlineStr">
        <is>
          <t>-</t>
        </is>
      </c>
      <c r="H3324" t="inlineStr">
        <is>
          <t>C</t>
        </is>
      </c>
    </row>
    <row r="3325" ht="12" customHeight="1" s="545">
      <c r="B3325" t="inlineStr">
        <is>
          <t>Flathouse Storage Buildings</t>
        </is>
      </c>
      <c r="C3325" t="inlineStr">
        <is>
          <t>493</t>
        </is>
      </c>
      <c r="D3325" t="inlineStr">
        <is>
          <t>17</t>
        </is>
      </c>
      <c r="E3325" t="inlineStr">
        <is>
          <t>24</t>
        </is>
      </c>
      <c r="F3325" t="inlineStr">
        <is>
          <t>-</t>
        </is>
      </c>
      <c r="G3325" t="inlineStr">
        <is>
          <t>-</t>
        </is>
      </c>
      <c r="H3325" t="inlineStr">
        <is>
          <t>C</t>
        </is>
      </c>
    </row>
    <row r="3326" ht="12" customHeight="1" s="545">
      <c r="B3326" t="inlineStr">
        <is>
          <t>Feed Handling and Mixing Shed Building</t>
        </is>
      </c>
      <c r="C3326" t="inlineStr">
        <is>
          <t>180</t>
        </is>
      </c>
      <c r="D3326" t="inlineStr">
        <is>
          <t>17</t>
        </is>
      </c>
      <c r="E3326" t="inlineStr">
        <is>
          <t>24</t>
        </is>
      </c>
      <c r="F3326" t="inlineStr">
        <is>
          <t>-</t>
        </is>
      </c>
      <c r="G3326" t="inlineStr">
        <is>
          <t>-</t>
        </is>
      </c>
      <c r="H3326" t="inlineStr">
        <is>
          <t>C</t>
        </is>
      </c>
    </row>
    <row r="3327" ht="12" customHeight="1" s="545">
      <c r="B3327" t="inlineStr">
        <is>
          <t>Cotton Gins</t>
        </is>
      </c>
      <c r="C3327" t="inlineStr">
        <is>
          <t>450</t>
        </is>
      </c>
      <c r="D3327" t="inlineStr">
        <is>
          <t>17</t>
        </is>
      </c>
      <c r="E3327" t="inlineStr">
        <is>
          <t>24</t>
        </is>
      </c>
      <c r="F3327" t="inlineStr">
        <is>
          <t>-</t>
        </is>
      </c>
      <c r="G3327" t="inlineStr">
        <is>
          <t>-</t>
        </is>
      </c>
      <c r="H3327" t="inlineStr">
        <is>
          <t>C</t>
        </is>
      </c>
    </row>
    <row r="3328" ht="12" customHeight="1" s="545">
      <c r="B3328" t="inlineStr">
        <is>
          <t>Seed Processing Storage</t>
        </is>
      </c>
      <c r="C3328" t="inlineStr">
        <is>
          <t>123</t>
        </is>
      </c>
      <c r="D3328" t="inlineStr">
        <is>
          <t>17</t>
        </is>
      </c>
      <c r="E3328" t="inlineStr">
        <is>
          <t>24</t>
        </is>
      </c>
      <c r="F3328" t="inlineStr">
        <is>
          <t>-</t>
        </is>
      </c>
      <c r="G3328" t="inlineStr">
        <is>
          <t>-</t>
        </is>
      </c>
      <c r="H3328" t="inlineStr">
        <is>
          <t>C</t>
        </is>
      </c>
    </row>
    <row r="3329" ht="12" customHeight="1" s="545">
      <c r="B3329" t="inlineStr">
        <is>
          <t>Secure Storage Modular Shed Buildings</t>
        </is>
      </c>
      <c r="C3329" t="inlineStr">
        <is>
          <t>181</t>
        </is>
      </c>
      <c r="D3329" t="inlineStr">
        <is>
          <t>17</t>
        </is>
      </c>
      <c r="E3329" t="inlineStr">
        <is>
          <t>25</t>
        </is>
      </c>
      <c r="F3329" t="inlineStr">
        <is>
          <t>-</t>
        </is>
      </c>
      <c r="G3329" t="inlineStr">
        <is>
          <t>-</t>
        </is>
      </c>
      <c r="H3329" t="inlineStr">
        <is>
          <t>C</t>
        </is>
      </c>
    </row>
    <row r="3330" ht="12" customHeight="1" s="545">
      <c r="B3330" t="inlineStr">
        <is>
          <t>Prefabricated Storage Shed Buildings</t>
        </is>
      </c>
      <c r="C3330" t="inlineStr">
        <is>
          <t>133</t>
        </is>
      </c>
      <c r="D3330" t="inlineStr">
        <is>
          <t>17</t>
        </is>
      </c>
      <c r="E3330" t="inlineStr">
        <is>
          <t>25</t>
        </is>
      </c>
      <c r="F3330" t="inlineStr">
        <is>
          <t>-</t>
        </is>
      </c>
      <c r="G3330" t="inlineStr">
        <is>
          <t>-</t>
        </is>
      </c>
      <c r="H3330" t="inlineStr">
        <is>
          <t>C</t>
        </is>
      </c>
    </row>
    <row r="3331" ht="12" customHeight="1" s="545">
      <c r="B3331" t="inlineStr">
        <is>
          <t>Corn Crib Bins</t>
        </is>
      </c>
      <c r="C3331" t="inlineStr">
        <is>
          <t>131</t>
        </is>
      </c>
      <c r="D3331" t="inlineStr">
        <is>
          <t>17</t>
        </is>
      </c>
      <c r="E3331" t="inlineStr">
        <is>
          <t>25</t>
        </is>
      </c>
      <c r="F3331" t="inlineStr">
        <is>
          <t>-</t>
        </is>
      </c>
      <c r="G3331" t="inlineStr">
        <is>
          <t>-</t>
        </is>
      </c>
      <c r="H3331" t="inlineStr">
        <is>
          <t>C</t>
        </is>
      </c>
    </row>
    <row r="3332" ht="12" customHeight="1" s="545">
      <c r="B3332" t="inlineStr">
        <is>
          <t>Farm Utility Buildings</t>
        </is>
      </c>
      <c r="C3332" t="inlineStr">
        <is>
          <t>477</t>
        </is>
      </c>
      <c r="D3332" t="inlineStr">
        <is>
          <t>17</t>
        </is>
      </c>
      <c r="E3332" t="inlineStr">
        <is>
          <t>26</t>
        </is>
      </c>
      <c r="F3332" t="inlineStr">
        <is>
          <t>-</t>
        </is>
      </c>
      <c r="G3332" t="inlineStr">
        <is>
          <t>-</t>
        </is>
      </c>
      <c r="H3332" t="inlineStr">
        <is>
          <t>R</t>
        </is>
      </c>
    </row>
    <row r="3333" ht="12" customHeight="1" s="545">
      <c r="B3333" t="inlineStr">
        <is>
          <t>Arch-Rib (Quonset) Farm Utility Buildings</t>
        </is>
      </c>
      <c r="C3333" t="inlineStr">
        <is>
          <t>557</t>
        </is>
      </c>
      <c r="D3333" t="inlineStr">
        <is>
          <t>17</t>
        </is>
      </c>
      <c r="E3333" t="inlineStr">
        <is>
          <t>26</t>
        </is>
      </c>
      <c r="F3333" t="inlineStr">
        <is>
          <t>-</t>
        </is>
      </c>
      <c r="G3333" t="inlineStr">
        <is>
          <t>-</t>
        </is>
      </c>
      <c r="H3333" t="inlineStr">
        <is>
          <t>R</t>
        </is>
      </c>
    </row>
    <row r="3334" ht="12" customHeight="1" s="545">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ht="12" customHeight="1" s="545">
      <c r="B3335" t="inlineStr">
        <is>
          <t>Farm Utility Storage Sheds</t>
        </is>
      </c>
      <c r="C3335" t="inlineStr">
        <is>
          <t>479</t>
        </is>
      </c>
      <c r="D3335" t="inlineStr">
        <is>
          <t>17</t>
        </is>
      </c>
      <c r="E3335" t="inlineStr">
        <is>
          <t>27</t>
        </is>
      </c>
      <c r="F3335" t="inlineStr">
        <is>
          <t>-</t>
        </is>
      </c>
      <c r="G3335" t="inlineStr">
        <is>
          <t>-</t>
        </is>
      </c>
      <c r="H3335" t="inlineStr">
        <is>
          <t>R</t>
        </is>
      </c>
    </row>
    <row r="3336" ht="12" customHeight="1" s="545">
      <c r="B3336" t="inlineStr">
        <is>
          <t>Farm Utility Lean-Tos</t>
        </is>
      </c>
      <c r="C3336" t="inlineStr">
        <is>
          <t>124</t>
        </is>
      </c>
      <c r="D3336" t="inlineStr">
        <is>
          <t>17</t>
        </is>
      </c>
      <c r="E3336" t="inlineStr">
        <is>
          <t>27</t>
        </is>
      </c>
      <c r="F3336" t="inlineStr">
        <is>
          <t>-</t>
        </is>
      </c>
      <c r="G3336" t="inlineStr">
        <is>
          <t>-</t>
        </is>
      </c>
      <c r="H3336" t="inlineStr">
        <is>
          <t>R</t>
        </is>
      </c>
    </row>
    <row r="3337" ht="12" customHeight="1" s="545">
      <c r="B3337" t="inlineStr">
        <is>
          <t>Farm Commodity Storage Sheds</t>
        </is>
      </c>
      <c r="C3337" t="inlineStr">
        <is>
          <t>562</t>
        </is>
      </c>
      <c r="D3337" t="inlineStr">
        <is>
          <t>17</t>
        </is>
      </c>
      <c r="E3337" t="inlineStr">
        <is>
          <t>28</t>
        </is>
      </c>
      <c r="F3337" t="inlineStr">
        <is>
          <t>-</t>
        </is>
      </c>
      <c r="G3337" t="inlineStr">
        <is>
          <t>-</t>
        </is>
      </c>
      <c r="H3337" t="inlineStr">
        <is>
          <t>R</t>
        </is>
      </c>
    </row>
    <row r="3338" ht="12" customHeight="1" s="545">
      <c r="B3338" t="inlineStr">
        <is>
          <t>Corn Crib Buildings – Spaced Boards</t>
        </is>
      </c>
      <c r="C3338" t="inlineStr">
        <is>
          <t>107</t>
        </is>
      </c>
      <c r="D3338" t="inlineStr">
        <is>
          <t>17</t>
        </is>
      </c>
      <c r="E3338" t="inlineStr">
        <is>
          <t>28</t>
        </is>
      </c>
      <c r="F3338" t="inlineStr">
        <is>
          <t>-</t>
        </is>
      </c>
      <c r="G3338" t="inlineStr">
        <is>
          <t>-</t>
        </is>
      </c>
      <c r="H3338" t="inlineStr">
        <is>
          <t>R</t>
        </is>
      </c>
    </row>
    <row r="3339" ht="12" customHeight="1" s="545">
      <c r="B3339" t="inlineStr">
        <is>
          <t>Corn Crib Buildings – Wire Mesh</t>
        </is>
      </c>
      <c r="C3339" t="inlineStr">
        <is>
          <t>108</t>
        </is>
      </c>
      <c r="D3339" t="inlineStr">
        <is>
          <t>17</t>
        </is>
      </c>
      <c r="E3339" t="inlineStr">
        <is>
          <t>28</t>
        </is>
      </c>
      <c r="F3339" t="inlineStr">
        <is>
          <t>-</t>
        </is>
      </c>
      <c r="G3339" t="inlineStr">
        <is>
          <t>-</t>
        </is>
      </c>
      <c r="H3339" t="inlineStr">
        <is>
          <t>R</t>
        </is>
      </c>
    </row>
    <row r="3340" ht="12" customHeight="1" s="545">
      <c r="B3340" t="inlineStr">
        <is>
          <t>Farm Implement (Equipment Shop) Buildings</t>
        </is>
      </c>
      <c r="C3340" t="inlineStr">
        <is>
          <t>476</t>
        </is>
      </c>
      <c r="D3340" t="inlineStr">
        <is>
          <t>17</t>
        </is>
      </c>
      <c r="E3340" t="inlineStr">
        <is>
          <t>28</t>
        </is>
      </c>
      <c r="F3340" t="inlineStr">
        <is>
          <t>-</t>
        </is>
      </c>
      <c r="G3340" t="inlineStr">
        <is>
          <t>-</t>
        </is>
      </c>
      <c r="H3340" t="inlineStr">
        <is>
          <t>R</t>
        </is>
      </c>
    </row>
    <row r="3341" ht="12" customHeight="1" s="545">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ht="12" customHeight="1" s="545">
      <c r="B3342" t="inlineStr">
        <is>
          <t>Farm Implement – Equipment Sheds</t>
        </is>
      </c>
      <c r="C3342" t="inlineStr">
        <is>
          <t>478</t>
        </is>
      </c>
      <c r="D3342" t="inlineStr">
        <is>
          <t>17</t>
        </is>
      </c>
      <c r="E3342" t="inlineStr">
        <is>
          <t>29</t>
        </is>
      </c>
      <c r="F3342" t="inlineStr">
        <is>
          <t>-</t>
        </is>
      </c>
      <c r="G3342" t="inlineStr">
        <is>
          <t>-</t>
        </is>
      </c>
      <c r="H3342" t="inlineStr">
        <is>
          <t>R</t>
        </is>
      </c>
    </row>
    <row r="3343" ht="12" customHeight="1" s="545">
      <c r="B3343" t="inlineStr">
        <is>
          <t>Barns – General Purpose</t>
        </is>
      </c>
      <c r="C3343" t="inlineStr">
        <is>
          <t>102</t>
        </is>
      </c>
      <c r="D3343" t="inlineStr">
        <is>
          <t>17</t>
        </is>
      </c>
      <c r="E3343" t="inlineStr">
        <is>
          <t>30</t>
        </is>
      </c>
      <c r="F3343" t="inlineStr">
        <is>
          <t>-</t>
        </is>
      </c>
      <c r="G3343" t="inlineStr">
        <is>
          <t>-</t>
        </is>
      </c>
      <c r="H3343" t="inlineStr">
        <is>
          <t>R</t>
        </is>
      </c>
    </row>
    <row r="3344" ht="12" customHeight="1" s="545">
      <c r="B3344" t="inlineStr">
        <is>
          <t>Bank Barns (Two-Story) – General Purpose</t>
        </is>
      </c>
      <c r="C3344" t="inlineStr">
        <is>
          <t>100</t>
        </is>
      </c>
      <c r="D3344" t="inlineStr">
        <is>
          <t>17</t>
        </is>
      </c>
      <c r="E3344" t="inlineStr">
        <is>
          <t>30</t>
        </is>
      </c>
      <c r="F3344" t="inlineStr">
        <is>
          <t>-</t>
        </is>
      </c>
      <c r="G3344" t="inlineStr">
        <is>
          <t>-</t>
        </is>
      </c>
      <c r="H3344" t="inlineStr">
        <is>
          <t>R</t>
        </is>
      </c>
    </row>
    <row r="3345" ht="12" customHeight="1" s="545">
      <c r="B3345" t="inlineStr">
        <is>
          <t>Barns – Special Purpose</t>
        </is>
      </c>
      <c r="C3345" t="inlineStr">
        <is>
          <t>103</t>
        </is>
      </c>
      <c r="D3345" t="inlineStr">
        <is>
          <t>17</t>
        </is>
      </c>
      <c r="E3345" t="inlineStr">
        <is>
          <t>31</t>
        </is>
      </c>
      <c r="F3345" t="inlineStr">
        <is>
          <t>-</t>
        </is>
      </c>
      <c r="G3345" t="inlineStr">
        <is>
          <t>-</t>
        </is>
      </c>
      <c r="H3345" t="inlineStr">
        <is>
          <t>R</t>
        </is>
      </c>
    </row>
    <row r="3346" ht="12" customHeight="1" s="545">
      <c r="B3346" t="inlineStr">
        <is>
          <t>Bank Barns (Two-Story) – Special Purpose</t>
        </is>
      </c>
      <c r="C3346" t="inlineStr">
        <is>
          <t>101</t>
        </is>
      </c>
      <c r="D3346" t="inlineStr">
        <is>
          <t>17</t>
        </is>
      </c>
      <c r="E3346" t="inlineStr">
        <is>
          <t>31</t>
        </is>
      </c>
      <c r="F3346" t="inlineStr">
        <is>
          <t>-</t>
        </is>
      </c>
      <c r="G3346" t="inlineStr">
        <is>
          <t>-</t>
        </is>
      </c>
      <c r="H3346" t="inlineStr">
        <is>
          <t>R</t>
        </is>
      </c>
    </row>
    <row r="3347" ht="12" customHeight="1" s="545">
      <c r="B3347" t="inlineStr">
        <is>
          <t>Free-Stall Barns</t>
        </is>
      </c>
      <c r="C3347" t="inlineStr">
        <is>
          <t>469</t>
        </is>
      </c>
      <c r="D3347" t="inlineStr">
        <is>
          <t>17</t>
        </is>
      </c>
      <c r="E3347" t="inlineStr">
        <is>
          <t>32</t>
        </is>
      </c>
      <c r="F3347" t="inlineStr">
        <is>
          <t>-</t>
        </is>
      </c>
      <c r="G3347" t="inlineStr">
        <is>
          <t>-</t>
        </is>
      </c>
      <c r="H3347" t="inlineStr">
        <is>
          <t>R</t>
        </is>
      </c>
    </row>
    <row r="3348" ht="12" customHeight="1" s="545">
      <c r="B3348" t="inlineStr">
        <is>
          <t>Confinement Barns</t>
        </is>
      </c>
      <c r="C3348" t="inlineStr">
        <is>
          <t>105</t>
        </is>
      </c>
      <c r="D3348" t="inlineStr">
        <is>
          <t>17</t>
        </is>
      </c>
      <c r="E3348" t="inlineStr">
        <is>
          <t>32</t>
        </is>
      </c>
      <c r="F3348" t="inlineStr">
        <is>
          <t>-</t>
        </is>
      </c>
      <c r="G3348" t="inlineStr">
        <is>
          <t>-</t>
        </is>
      </c>
      <c r="H3348" t="inlineStr">
        <is>
          <t>R</t>
        </is>
      </c>
    </row>
    <row r="3349" ht="12" customHeight="1" s="545">
      <c r="B3349" t="inlineStr">
        <is>
          <t>Feeder Barns – Sheds</t>
        </is>
      </c>
      <c r="C3349" t="inlineStr">
        <is>
          <t>561</t>
        </is>
      </c>
      <c r="D3349" t="inlineStr">
        <is>
          <t>17</t>
        </is>
      </c>
      <c r="E3349" t="inlineStr">
        <is>
          <t>33</t>
        </is>
      </c>
      <c r="F3349" t="inlineStr">
        <is>
          <t>-</t>
        </is>
      </c>
      <c r="G3349" t="inlineStr">
        <is>
          <t>-</t>
        </is>
      </c>
      <c r="H3349" t="inlineStr">
        <is>
          <t>R</t>
        </is>
      </c>
    </row>
    <row r="3350" ht="12" customHeight="1" s="545">
      <c r="B3350" t="inlineStr">
        <is>
          <t>Loafing Sheds</t>
        </is>
      </c>
      <c r="C3350" t="inlineStr">
        <is>
          <t>113</t>
        </is>
      </c>
      <c r="D3350" t="inlineStr">
        <is>
          <t>17</t>
        </is>
      </c>
      <c r="E3350" t="inlineStr">
        <is>
          <t>33</t>
        </is>
      </c>
      <c r="F3350" t="inlineStr">
        <is>
          <t>-</t>
        </is>
      </c>
      <c r="G3350" t="inlineStr">
        <is>
          <t>-</t>
        </is>
      </c>
      <c r="H3350" t="inlineStr">
        <is>
          <t>R</t>
        </is>
      </c>
    </row>
    <row r="3351" ht="12" customHeight="1" s="545">
      <c r="B3351" t="inlineStr">
        <is>
          <t>Farm Utility Shelters (Open Hay Sheds)</t>
        </is>
      </c>
      <c r="C3351" t="inlineStr">
        <is>
          <t>565</t>
        </is>
      </c>
      <c r="D3351" t="inlineStr">
        <is>
          <t>17</t>
        </is>
      </c>
      <c r="E3351" t="inlineStr">
        <is>
          <t>33</t>
        </is>
      </c>
      <c r="F3351" t="inlineStr">
        <is>
          <t>-</t>
        </is>
      </c>
      <c r="G3351" t="inlineStr">
        <is>
          <t>-</t>
        </is>
      </c>
      <c r="H3351" t="inlineStr">
        <is>
          <t>R</t>
        </is>
      </c>
    </row>
    <row r="3352" ht="12" customHeight="1" s="545">
      <c r="B3352" t="inlineStr">
        <is>
          <t>Calving Barns – Sheds</t>
        </is>
      </c>
      <c r="C3352" t="inlineStr">
        <is>
          <t>182</t>
        </is>
      </c>
      <c r="D3352" t="inlineStr">
        <is>
          <t>17</t>
        </is>
      </c>
      <c r="E3352" t="inlineStr">
        <is>
          <t>34</t>
        </is>
      </c>
      <c r="F3352" t="inlineStr">
        <is>
          <t>-</t>
        </is>
      </c>
      <c r="G3352" t="inlineStr">
        <is>
          <t>-</t>
        </is>
      </c>
      <c r="H3352" t="inlineStr">
        <is>
          <t>R</t>
        </is>
      </c>
    </row>
    <row r="3353" ht="12" customHeight="1" s="545">
      <c r="B3353" t="inlineStr">
        <is>
          <t>Arena Shelters</t>
        </is>
      </c>
      <c r="C3353" t="inlineStr">
        <is>
          <t>184</t>
        </is>
      </c>
      <c r="D3353" t="inlineStr">
        <is>
          <t>17</t>
        </is>
      </c>
      <c r="E3353" t="inlineStr">
        <is>
          <t>34</t>
        </is>
      </c>
      <c r="F3353" t="inlineStr">
        <is>
          <t>-</t>
        </is>
      </c>
      <c r="G3353" t="inlineStr">
        <is>
          <t>-</t>
        </is>
      </c>
      <c r="H3353" t="inlineStr">
        <is>
          <t>R</t>
        </is>
      </c>
    </row>
    <row r="3354" ht="12" customHeight="1" s="545">
      <c r="B3354" t="inlineStr">
        <is>
          <t>Farm Sun Shelters</t>
        </is>
      </c>
      <c r="C3354" t="inlineStr">
        <is>
          <t>566</t>
        </is>
      </c>
      <c r="D3354" t="inlineStr">
        <is>
          <t>17</t>
        </is>
      </c>
      <c r="E3354" t="inlineStr">
        <is>
          <t>34</t>
        </is>
      </c>
      <c r="F3354" t="inlineStr">
        <is>
          <t>-</t>
        </is>
      </c>
      <c r="G3354" t="inlineStr">
        <is>
          <t>-</t>
        </is>
      </c>
      <c r="H3354" t="inlineStr">
        <is>
          <t>R</t>
        </is>
      </c>
    </row>
    <row r="3355" ht="12" customHeight="1" s="545">
      <c r="B3355" t="inlineStr">
        <is>
          <t>Arenas</t>
        </is>
      </c>
      <c r="C3355" t="inlineStr">
        <is>
          <t>428</t>
        </is>
      </c>
      <c r="D3355" t="inlineStr">
        <is>
          <t>17</t>
        </is>
      </c>
      <c r="E3355" t="inlineStr">
        <is>
          <t>35</t>
        </is>
      </c>
      <c r="F3355" t="inlineStr">
        <is>
          <t>-</t>
        </is>
      </c>
      <c r="G3355" t="inlineStr">
        <is>
          <t>-</t>
        </is>
      </c>
      <c r="H3355" t="inlineStr">
        <is>
          <t>R</t>
        </is>
      </c>
    </row>
    <row r="3356" ht="12" customHeight="1" s="545">
      <c r="B3356" t="inlineStr">
        <is>
          <t>Equestrian Lean-Tos</t>
        </is>
      </c>
      <c r="C3356" t="inlineStr">
        <is>
          <t>560</t>
        </is>
      </c>
      <c r="D3356" t="inlineStr">
        <is>
          <t>17</t>
        </is>
      </c>
      <c r="E3356" t="inlineStr">
        <is>
          <t>35</t>
        </is>
      </c>
      <c r="F3356" t="inlineStr">
        <is>
          <t>-</t>
        </is>
      </c>
      <c r="G3356" t="inlineStr">
        <is>
          <t>-</t>
        </is>
      </c>
      <c r="H3356" t="inlineStr">
        <is>
          <t>R</t>
        </is>
      </c>
    </row>
    <row r="3357" ht="12" customHeight="1" s="545">
      <c r="B3357" t="inlineStr">
        <is>
          <t>Stables</t>
        </is>
      </c>
      <c r="C3357" t="inlineStr">
        <is>
          <t>378</t>
        </is>
      </c>
      <c r="D3357" t="inlineStr">
        <is>
          <t>17</t>
        </is>
      </c>
      <c r="E3357" t="inlineStr">
        <is>
          <t>36</t>
        </is>
      </c>
      <c r="F3357" t="inlineStr">
        <is>
          <t>-</t>
        </is>
      </c>
      <c r="G3357" t="inlineStr">
        <is>
          <t>-</t>
        </is>
      </c>
      <c r="H3357" t="inlineStr">
        <is>
          <t>R</t>
        </is>
      </c>
    </row>
    <row r="3358" ht="12" customHeight="1" s="545">
      <c r="B3358" t="inlineStr">
        <is>
          <t>High-Value (Estate) Stables – Horse Barns</t>
        </is>
      </c>
      <c r="C3358" t="inlineStr">
        <is>
          <t>559</t>
        </is>
      </c>
      <c r="D3358" t="inlineStr">
        <is>
          <t>17</t>
        </is>
      </c>
      <c r="E3358" t="inlineStr">
        <is>
          <t>36</t>
        </is>
      </c>
      <c r="F3358" t="inlineStr">
        <is>
          <t>-</t>
        </is>
      </c>
      <c r="G3358" t="inlineStr">
        <is>
          <t>-</t>
        </is>
      </c>
      <c r="H3358" t="inlineStr">
        <is>
          <t>R</t>
        </is>
      </c>
    </row>
    <row r="3359" ht="12" customHeight="1" s="545">
      <c r="B3359" t="inlineStr">
        <is>
          <t>Dairies (Milking Parlors)</t>
        </is>
      </c>
      <c r="C3359" t="inlineStr">
        <is>
          <t>316</t>
        </is>
      </c>
      <c r="D3359" t="inlineStr">
        <is>
          <t>17</t>
        </is>
      </c>
      <c r="E3359" t="inlineStr">
        <is>
          <t>38</t>
        </is>
      </c>
      <c r="F3359" t="inlineStr">
        <is>
          <t>-</t>
        </is>
      </c>
      <c r="G3359" t="inlineStr">
        <is>
          <t>-</t>
        </is>
      </c>
      <c r="H3359" t="inlineStr">
        <is>
          <t>R</t>
        </is>
      </c>
    </row>
    <row r="3360" ht="12" customHeight="1" s="545">
      <c r="B3360" t="inlineStr">
        <is>
          <t>Milkhouses</t>
        </is>
      </c>
      <c r="C3360" t="inlineStr">
        <is>
          <t>440</t>
        </is>
      </c>
      <c r="D3360" t="inlineStr">
        <is>
          <t>17</t>
        </is>
      </c>
      <c r="E3360" t="inlineStr">
        <is>
          <t>38</t>
        </is>
      </c>
      <c r="F3360" t="inlineStr">
        <is>
          <t>-</t>
        </is>
      </c>
      <c r="G3360" t="inlineStr">
        <is>
          <t>-</t>
        </is>
      </c>
      <c r="H3360" t="inlineStr">
        <is>
          <t>R</t>
        </is>
      </c>
    </row>
    <row r="3361" ht="12" customHeight="1" s="545">
      <c r="B3361" t="inlineStr">
        <is>
          <t>Milkhouse Sheds</t>
        </is>
      </c>
      <c r="C3361" t="inlineStr">
        <is>
          <t>114</t>
        </is>
      </c>
      <c r="D3361" t="inlineStr">
        <is>
          <t>17</t>
        </is>
      </c>
      <c r="E3361" t="inlineStr">
        <is>
          <t>38</t>
        </is>
      </c>
      <c r="F3361" t="inlineStr">
        <is>
          <t>-</t>
        </is>
      </c>
      <c r="G3361" t="inlineStr">
        <is>
          <t>-</t>
        </is>
      </c>
      <c r="H3361" t="inlineStr">
        <is>
          <t>R</t>
        </is>
      </c>
    </row>
    <row r="3362" ht="12" customHeight="1" s="545">
      <c r="B3362" t="inlineStr">
        <is>
          <t>Hog Barns – Nursery</t>
        </is>
      </c>
      <c r="C3362" t="inlineStr">
        <is>
          <t>112</t>
        </is>
      </c>
      <c r="D3362" t="inlineStr">
        <is>
          <t>17</t>
        </is>
      </c>
      <c r="E3362" t="inlineStr">
        <is>
          <t>40</t>
        </is>
      </c>
      <c r="F3362" t="inlineStr">
        <is>
          <t>-</t>
        </is>
      </c>
      <c r="G3362" t="inlineStr">
        <is>
          <t>-</t>
        </is>
      </c>
      <c r="H3362" t="inlineStr">
        <is>
          <t>R</t>
        </is>
      </c>
    </row>
    <row r="3363" ht="12" customHeight="1" s="545">
      <c r="B3363" t="inlineStr">
        <is>
          <t>Hog Barns – Breeding/Gestation</t>
        </is>
      </c>
      <c r="C3363" t="inlineStr">
        <is>
          <t>109</t>
        </is>
      </c>
      <c r="D3363" t="inlineStr">
        <is>
          <t>17</t>
        </is>
      </c>
      <c r="E3363" t="inlineStr">
        <is>
          <t>40</t>
        </is>
      </c>
      <c r="F3363" t="inlineStr">
        <is>
          <t>-</t>
        </is>
      </c>
      <c r="G3363" t="inlineStr">
        <is>
          <t>-</t>
        </is>
      </c>
      <c r="H3363" t="inlineStr">
        <is>
          <t>R</t>
        </is>
      </c>
    </row>
    <row r="3364" ht="12" customHeight="1" s="545">
      <c r="B3364" t="inlineStr">
        <is>
          <t>Hog Barns – Farrowing</t>
        </is>
      </c>
      <c r="C3364" t="inlineStr">
        <is>
          <t>110</t>
        </is>
      </c>
      <c r="D3364" t="inlineStr">
        <is>
          <t>17</t>
        </is>
      </c>
      <c r="E3364" t="inlineStr">
        <is>
          <t>41</t>
        </is>
      </c>
      <c r="F3364" t="inlineStr">
        <is>
          <t>-</t>
        </is>
      </c>
      <c r="G3364" t="inlineStr">
        <is>
          <t>-</t>
        </is>
      </c>
      <c r="H3364" t="inlineStr">
        <is>
          <t>R</t>
        </is>
      </c>
    </row>
    <row r="3365" ht="12" customHeight="1" s="545">
      <c r="B3365" t="inlineStr">
        <is>
          <t>Hog Barns – Finishing</t>
        </is>
      </c>
      <c r="C3365" t="inlineStr">
        <is>
          <t>111</t>
        </is>
      </c>
      <c r="D3365" t="inlineStr">
        <is>
          <t>17</t>
        </is>
      </c>
      <c r="E3365" t="inlineStr">
        <is>
          <t>41</t>
        </is>
      </c>
      <c r="F3365" t="inlineStr">
        <is>
          <t>-</t>
        </is>
      </c>
      <c r="G3365" t="inlineStr">
        <is>
          <t>-</t>
        </is>
      </c>
      <c r="H3365" t="inlineStr">
        <is>
          <t>R</t>
        </is>
      </c>
    </row>
    <row r="3366" ht="12" customHeight="1" s="545">
      <c r="B3366" t="inlineStr">
        <is>
          <t>Modified Hog Sheds</t>
        </is>
      </c>
      <c r="C3366" t="inlineStr">
        <is>
          <t>429</t>
        </is>
      </c>
      <c r="D3366" t="inlineStr">
        <is>
          <t>17</t>
        </is>
      </c>
      <c r="E3366" t="inlineStr">
        <is>
          <t>42</t>
        </is>
      </c>
      <c r="F3366" t="inlineStr">
        <is>
          <t>-</t>
        </is>
      </c>
      <c r="G3366" t="inlineStr">
        <is>
          <t>-</t>
        </is>
      </c>
      <c r="H3366" t="inlineStr">
        <is>
          <t>R</t>
        </is>
      </c>
    </row>
    <row r="3367" ht="12" customHeight="1" s="545">
      <c r="B3367" t="inlineStr">
        <is>
          <t>Hog Sheds</t>
        </is>
      </c>
      <c r="C3367" t="inlineStr">
        <is>
          <t>430</t>
        </is>
      </c>
      <c r="D3367" t="inlineStr">
        <is>
          <t>17</t>
        </is>
      </c>
      <c r="E3367" t="inlineStr">
        <is>
          <t>42</t>
        </is>
      </c>
      <c r="F3367" t="inlineStr">
        <is>
          <t>-</t>
        </is>
      </c>
      <c r="G3367" t="inlineStr">
        <is>
          <t>-</t>
        </is>
      </c>
      <c r="H3367" t="inlineStr">
        <is>
          <t>R</t>
        </is>
      </c>
    </row>
    <row r="3368" ht="12" customHeight="1" s="545">
      <c r="B3368" t="inlineStr">
        <is>
          <t>Sheep Barns</t>
        </is>
      </c>
      <c r="C3368" t="inlineStr">
        <is>
          <t>397</t>
        </is>
      </c>
      <c r="D3368" t="inlineStr">
        <is>
          <t>17</t>
        </is>
      </c>
      <c r="E3368" t="inlineStr">
        <is>
          <t>44</t>
        </is>
      </c>
      <c r="F3368" t="inlineStr">
        <is>
          <t>-</t>
        </is>
      </c>
      <c r="G3368" t="inlineStr">
        <is>
          <t>-</t>
        </is>
      </c>
      <c r="H3368" t="inlineStr">
        <is>
          <t>R</t>
        </is>
      </c>
    </row>
    <row r="3369" ht="12" customHeight="1" s="545">
      <c r="B3369" t="inlineStr">
        <is>
          <t>Sheep Sheds</t>
        </is>
      </c>
      <c r="C3369" t="inlineStr">
        <is>
          <t>120</t>
        </is>
      </c>
      <c r="D3369" t="inlineStr">
        <is>
          <t>17</t>
        </is>
      </c>
      <c r="E3369" t="inlineStr">
        <is>
          <t>44</t>
        </is>
      </c>
      <c r="F3369" t="inlineStr">
        <is>
          <t>-</t>
        </is>
      </c>
      <c r="G3369" t="inlineStr">
        <is>
          <t>-</t>
        </is>
      </c>
      <c r="H3369" t="inlineStr">
        <is>
          <t>R</t>
        </is>
      </c>
    </row>
    <row r="3370" ht="12" customHeight="1" s="545">
      <c r="B3370" t="inlineStr">
        <is>
          <t>Poultry Floor Operation – Breeder Houses</t>
        </is>
      </c>
      <c r="C3370" t="inlineStr">
        <is>
          <t>117</t>
        </is>
      </c>
      <c r="D3370" t="inlineStr">
        <is>
          <t>17</t>
        </is>
      </c>
      <c r="E3370" t="inlineStr">
        <is>
          <t>46</t>
        </is>
      </c>
      <c r="F3370" t="inlineStr">
        <is>
          <t>-</t>
        </is>
      </c>
      <c r="G3370" t="inlineStr">
        <is>
          <t>-</t>
        </is>
      </c>
      <c r="H3370" t="inlineStr">
        <is>
          <t>R</t>
        </is>
      </c>
    </row>
    <row r="3371" ht="12" customHeight="1" s="545">
      <c r="B3371" t="inlineStr">
        <is>
          <t>Poultry Floor Operation – Broiler Houses</t>
        </is>
      </c>
      <c r="C3371" t="inlineStr">
        <is>
          <t>118</t>
        </is>
      </c>
      <c r="D3371" t="inlineStr">
        <is>
          <t>17</t>
        </is>
      </c>
      <c r="E3371" t="inlineStr">
        <is>
          <t>46</t>
        </is>
      </c>
      <c r="F3371" t="inlineStr">
        <is>
          <t>-</t>
        </is>
      </c>
      <c r="G3371" t="inlineStr">
        <is>
          <t>-</t>
        </is>
      </c>
      <c r="H3371" t="inlineStr">
        <is>
          <t>R</t>
        </is>
      </c>
    </row>
    <row r="3372" ht="12" customHeight="1" s="545">
      <c r="B3372" t="inlineStr">
        <is>
          <t>Poultry Cage Operation – Enclosed Houses</t>
        </is>
      </c>
      <c r="C3372" t="inlineStr">
        <is>
          <t>474</t>
        </is>
      </c>
      <c r="D3372" t="inlineStr">
        <is>
          <t>17</t>
        </is>
      </c>
      <c r="E3372" t="inlineStr">
        <is>
          <t>47</t>
        </is>
      </c>
      <c r="F3372" t="inlineStr">
        <is>
          <t>-</t>
        </is>
      </c>
      <c r="G3372" t="inlineStr">
        <is>
          <t>-</t>
        </is>
      </c>
      <c r="H3372" t="inlineStr">
        <is>
          <t>R</t>
        </is>
      </c>
    </row>
    <row r="3373" ht="12" customHeight="1" s="545">
      <c r="B3373" t="inlineStr">
        <is>
          <t>Poultry Cage Operation – Screened Houses</t>
        </is>
      </c>
      <c r="C3373" t="inlineStr">
        <is>
          <t>115</t>
        </is>
      </c>
      <c r="D3373" t="inlineStr">
        <is>
          <t>17</t>
        </is>
      </c>
      <c r="E3373" t="inlineStr">
        <is>
          <t>47</t>
        </is>
      </c>
      <c r="F3373" t="inlineStr">
        <is>
          <t>-</t>
        </is>
      </c>
      <c r="G3373" t="inlineStr">
        <is>
          <t>-</t>
        </is>
      </c>
      <c r="H3373" t="inlineStr">
        <is>
          <t>R</t>
        </is>
      </c>
    </row>
    <row r="3374" ht="12" customHeight="1" s="545">
      <c r="B3374" t="inlineStr">
        <is>
          <t>Farm Labor Housing – Dormitories</t>
        </is>
      </c>
      <c r="C3374" t="inlineStr">
        <is>
          <t>393</t>
        </is>
      </c>
      <c r="D3374" t="inlineStr">
        <is>
          <t>17</t>
        </is>
      </c>
      <c r="E3374" t="inlineStr">
        <is>
          <t>49</t>
        </is>
      </c>
      <c r="F3374" t="inlineStr">
        <is>
          <t>-</t>
        </is>
      </c>
      <c r="G3374" t="inlineStr">
        <is>
          <t>-</t>
        </is>
      </c>
      <c r="H3374" t="inlineStr">
        <is>
          <t>R</t>
        </is>
      </c>
    </row>
    <row r="3375" ht="12" customHeight="1" s="545">
      <c r="B3375" t="inlineStr">
        <is>
          <t>Transient Labor Cabins</t>
        </is>
      </c>
      <c r="C3375" t="inlineStr">
        <is>
          <t>394</t>
        </is>
      </c>
      <c r="D3375" t="inlineStr">
        <is>
          <t>17</t>
        </is>
      </c>
      <c r="E3375" t="inlineStr">
        <is>
          <t>49</t>
        </is>
      </c>
      <c r="F3375" t="inlineStr">
        <is>
          <t>-</t>
        </is>
      </c>
      <c r="G3375" t="inlineStr">
        <is>
          <t>-</t>
        </is>
      </c>
      <c r="H3375" t="inlineStr">
        <is>
          <t>R</t>
        </is>
      </c>
    </row>
    <row r="3376" ht="12" customHeight="1" s="545">
      <c r="B3376" t="inlineStr">
        <is>
          <t>Hunting Shelters</t>
        </is>
      </c>
      <c r="C3376" t="inlineStr">
        <is>
          <t>155</t>
        </is>
      </c>
      <c r="D3376" t="inlineStr">
        <is>
          <t>17</t>
        </is>
      </c>
      <c r="E3376" t="inlineStr">
        <is>
          <t>49</t>
        </is>
      </c>
      <c r="F3376" t="inlineStr">
        <is>
          <t>-</t>
        </is>
      </c>
      <c r="G3376" t="inlineStr">
        <is>
          <t>-</t>
        </is>
      </c>
      <c r="H3376" t="inlineStr">
        <is>
          <t>R</t>
        </is>
      </c>
    </row>
    <row r="3377" ht="12" customHeight="1" s="545">
      <c r="B3377" t="inlineStr">
        <is>
          <t>High Schools</t>
        </is>
      </c>
      <c r="C3377" t="inlineStr">
        <is>
          <t>484</t>
        </is>
      </c>
      <c r="D3377" t="inlineStr">
        <is>
          <t>18</t>
        </is>
      </c>
      <c r="E3377" t="inlineStr">
        <is>
          <t>9</t>
        </is>
      </c>
      <c r="F3377" t="inlineStr">
        <is>
          <t>18</t>
        </is>
      </c>
      <c r="G3377" t="inlineStr">
        <is>
          <t>18</t>
        </is>
      </c>
      <c r="H3377" t="inlineStr">
        <is>
          <t>R</t>
        </is>
      </c>
    </row>
    <row r="3378" ht="12" customHeight="1" s="545">
      <c r="B3378" t="inlineStr">
        <is>
          <t>Middle (Junior High) Schools</t>
        </is>
      </c>
      <c r="C3378" t="inlineStr">
        <is>
          <t>366</t>
        </is>
      </c>
      <c r="D3378" t="inlineStr">
        <is>
          <t>18</t>
        </is>
      </c>
      <c r="E3378" t="inlineStr">
        <is>
          <t>10</t>
        </is>
      </c>
      <c r="F3378" t="inlineStr">
        <is>
          <t>18</t>
        </is>
      </c>
      <c r="G3378" t="inlineStr">
        <is>
          <t>18</t>
        </is>
      </c>
      <c r="H3378" t="inlineStr">
        <is>
          <t>R</t>
        </is>
      </c>
    </row>
    <row r="3379" ht="12" customHeight="1" s="545">
      <c r="B3379" t="inlineStr">
        <is>
          <t>Elementary Schools</t>
        </is>
      </c>
      <c r="C3379" t="inlineStr">
        <is>
          <t>365</t>
        </is>
      </c>
      <c r="D3379" t="inlineStr">
        <is>
          <t>18</t>
        </is>
      </c>
      <c r="E3379" t="inlineStr">
        <is>
          <t>11</t>
        </is>
      </c>
      <c r="F3379" t="inlineStr">
        <is>
          <t>18</t>
        </is>
      </c>
      <c r="G3379" t="inlineStr">
        <is>
          <t>18</t>
        </is>
      </c>
      <c r="H3379" t="inlineStr">
        <is>
          <t>R</t>
        </is>
      </c>
    </row>
    <row r="3380" ht="12" customHeight="1" s="545">
      <c r="B3380" t="inlineStr">
        <is>
          <t>Vocational Schools</t>
        </is>
      </c>
      <c r="C3380" t="inlineStr">
        <is>
          <t>487</t>
        </is>
      </c>
      <c r="D3380" t="inlineStr">
        <is>
          <t>18</t>
        </is>
      </c>
      <c r="E3380" t="inlineStr">
        <is>
          <t>12</t>
        </is>
      </c>
      <c r="F3380" t="inlineStr">
        <is>
          <t>18</t>
        </is>
      </c>
      <c r="G3380" t="inlineStr">
        <is>
          <t>18</t>
        </is>
      </c>
      <c r="H3380" t="inlineStr">
        <is>
          <t>R</t>
        </is>
      </c>
    </row>
    <row r="3381" ht="12" customHeight="1" s="545">
      <c r="B3381" t="inlineStr">
        <is>
          <t>Alternative (High) Schools</t>
        </is>
      </c>
      <c r="C3381" t="inlineStr">
        <is>
          <t>156</t>
        </is>
      </c>
      <c r="D3381" t="inlineStr">
        <is>
          <t>18</t>
        </is>
      </c>
      <c r="E3381" t="inlineStr">
        <is>
          <t>13</t>
        </is>
      </c>
      <c r="F3381" t="inlineStr">
        <is>
          <t>18</t>
        </is>
      </c>
      <c r="G3381" t="inlineStr">
        <is>
          <t>18</t>
        </is>
      </c>
      <c r="H3381" t="inlineStr">
        <is>
          <t>R</t>
        </is>
      </c>
    </row>
    <row r="3382" ht="12" customHeight="1" s="545">
      <c r="B3382" t="inlineStr">
        <is>
          <t>Day Care Centers</t>
        </is>
      </c>
      <c r="C3382" t="inlineStr">
        <is>
          <t>426</t>
        </is>
      </c>
      <c r="D3382" t="inlineStr">
        <is>
          <t>18</t>
        </is>
      </c>
      <c r="E3382" t="inlineStr">
        <is>
          <t>13</t>
        </is>
      </c>
      <c r="F3382" t="inlineStr">
        <is>
          <t>18</t>
        </is>
      </c>
      <c r="G3382" t="inlineStr">
        <is>
          <t>18</t>
        </is>
      </c>
      <c r="H3382" t="inlineStr">
        <is>
          <t>R</t>
        </is>
      </c>
    </row>
    <row r="3383" ht="12" customHeight="1" s="545">
      <c r="B3383" t="inlineStr">
        <is>
          <t>Classrooms</t>
        </is>
      </c>
      <c r="C3383" t="inlineStr">
        <is>
          <t>356</t>
        </is>
      </c>
      <c r="D3383" t="inlineStr">
        <is>
          <t>18</t>
        </is>
      </c>
      <c r="E3383" t="inlineStr">
        <is>
          <t>14</t>
        </is>
      </c>
      <c r="F3383" t="inlineStr">
        <is>
          <t>18</t>
        </is>
      </c>
      <c r="G3383" t="inlineStr">
        <is>
          <t>18</t>
        </is>
      </c>
      <c r="H3383" t="inlineStr">
        <is>
          <t>R</t>
        </is>
      </c>
    </row>
    <row r="3384" ht="12" customHeight="1" s="545">
      <c r="B3384" t="inlineStr">
        <is>
          <t>Special Education Classrooms</t>
        </is>
      </c>
      <c r="C3384" t="inlineStr">
        <is>
          <t>158</t>
        </is>
      </c>
      <c r="D3384" t="inlineStr">
        <is>
          <t>18</t>
        </is>
      </c>
      <c r="E3384" t="inlineStr">
        <is>
          <t>15</t>
        </is>
      </c>
      <c r="F3384" t="inlineStr">
        <is>
          <t>18</t>
        </is>
      </c>
      <c r="G3384" t="inlineStr">
        <is>
          <t>18</t>
        </is>
      </c>
      <c r="H3384" t="inlineStr">
        <is>
          <t>R</t>
        </is>
      </c>
    </row>
    <row r="3385" ht="12" customHeight="1" s="545">
      <c r="B3385" t="inlineStr">
        <is>
          <t>Relocatable Classrooms</t>
        </is>
      </c>
      <c r="C3385" t="inlineStr">
        <is>
          <t>598</t>
        </is>
      </c>
      <c r="D3385" t="inlineStr">
        <is>
          <t>18</t>
        </is>
      </c>
      <c r="E3385" t="inlineStr">
        <is>
          <t>15</t>
        </is>
      </c>
      <c r="F3385" t="inlineStr">
        <is>
          <t>18</t>
        </is>
      </c>
      <c r="G3385" t="inlineStr">
        <is>
          <t>18</t>
        </is>
      </c>
      <c r="H3385" t="inlineStr">
        <is>
          <t>R</t>
        </is>
      </c>
    </row>
    <row r="3386" ht="12" customHeight="1" s="545">
      <c r="B3386" t="inlineStr">
        <is>
          <t>Manual Arts (Shop) Buildings</t>
        </is>
      </c>
      <c r="C3386" t="inlineStr">
        <is>
          <t>361</t>
        </is>
      </c>
      <c r="D3386" t="inlineStr">
        <is>
          <t>18</t>
        </is>
      </c>
      <c r="E3386" t="inlineStr">
        <is>
          <t>16</t>
        </is>
      </c>
      <c r="F3386" t="inlineStr">
        <is>
          <t>18</t>
        </is>
      </c>
      <c r="G3386" t="inlineStr">
        <is>
          <t>18</t>
        </is>
      </c>
      <c r="H3386" t="inlineStr">
        <is>
          <t>R</t>
        </is>
      </c>
    </row>
    <row r="3387" ht="12" customHeight="1" s="545">
      <c r="B3387" t="inlineStr">
        <is>
          <t>Lecture Classrooms</t>
        </is>
      </c>
      <c r="C3387" t="inlineStr">
        <is>
          <t>359</t>
        </is>
      </c>
      <c r="D3387" t="inlineStr">
        <is>
          <t>18</t>
        </is>
      </c>
      <c r="E3387" t="inlineStr">
        <is>
          <t>16</t>
        </is>
      </c>
      <c r="F3387" t="inlineStr">
        <is>
          <t>18</t>
        </is>
      </c>
      <c r="G3387" t="inlineStr">
        <is>
          <t>18</t>
        </is>
      </c>
      <c r="H3387" t="inlineStr">
        <is>
          <t>R</t>
        </is>
      </c>
    </row>
    <row r="3388" ht="12" customHeight="1" s="545">
      <c r="B3388" t="inlineStr">
        <is>
          <t>Multipurpose Buildings</t>
        </is>
      </c>
      <c r="C3388" t="inlineStr">
        <is>
          <t>362</t>
        </is>
      </c>
      <c r="D3388" t="inlineStr">
        <is>
          <t>18</t>
        </is>
      </c>
      <c r="E3388" t="inlineStr">
        <is>
          <t>17</t>
        </is>
      </c>
      <c r="F3388" t="inlineStr">
        <is>
          <t>18</t>
        </is>
      </c>
      <c r="G3388" t="inlineStr">
        <is>
          <t>18</t>
        </is>
      </c>
      <c r="H3388" t="inlineStr">
        <is>
          <t>R</t>
        </is>
      </c>
    </row>
    <row r="3389" ht="12" customHeight="1" s="545">
      <c r="B3389" t="inlineStr">
        <is>
          <t>Laboratory Classrooms</t>
        </is>
      </c>
      <c r="C3389" t="inlineStr">
        <is>
          <t>364</t>
        </is>
      </c>
      <c r="D3389" t="inlineStr">
        <is>
          <t>18</t>
        </is>
      </c>
      <c r="E3389" t="inlineStr">
        <is>
          <t>17</t>
        </is>
      </c>
      <c r="F3389" t="inlineStr">
        <is>
          <t>18</t>
        </is>
      </c>
      <c r="G3389" t="inlineStr">
        <is>
          <t>18</t>
        </is>
      </c>
      <c r="H3389" t="inlineStr">
        <is>
          <t>R</t>
        </is>
      </c>
    </row>
    <row r="3390" ht="12" customHeight="1" s="545">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ht="12" customHeight="1" s="545">
      <c r="B3391" t="inlineStr">
        <is>
          <t>Academic (College) Libraries</t>
        </is>
      </c>
      <c r="C3391" t="inlineStr">
        <is>
          <t>372</t>
        </is>
      </c>
      <c r="D3391" t="inlineStr">
        <is>
          <t>18</t>
        </is>
      </c>
      <c r="E3391" t="inlineStr">
        <is>
          <t>19</t>
        </is>
      </c>
      <c r="F3391" t="inlineStr">
        <is>
          <t>18</t>
        </is>
      </c>
      <c r="G3391" t="inlineStr">
        <is>
          <t>18</t>
        </is>
      </c>
      <c r="H3391" t="inlineStr">
        <is>
          <t>R</t>
        </is>
      </c>
    </row>
    <row r="3392" ht="12" customHeight="1" s="545">
      <c r="B3392" t="inlineStr">
        <is>
          <t>Fine Arts Buildings</t>
        </is>
      </c>
      <c r="C3392" t="inlineStr">
        <is>
          <t>355</t>
        </is>
      </c>
      <c r="D3392" t="inlineStr">
        <is>
          <t>18</t>
        </is>
      </c>
      <c r="E3392" t="inlineStr">
        <is>
          <t>20</t>
        </is>
      </c>
      <c r="F3392" t="inlineStr">
        <is>
          <t>18</t>
        </is>
      </c>
      <c r="G3392" t="inlineStr">
        <is>
          <t>18</t>
        </is>
      </c>
      <c r="H3392" t="inlineStr">
        <is>
          <t>R</t>
        </is>
      </c>
    </row>
    <row r="3393" ht="12" customHeight="1" s="545">
      <c r="B3393" t="inlineStr">
        <is>
          <t>Book Stores</t>
        </is>
      </c>
      <c r="C3393" t="inlineStr">
        <is>
          <t>488</t>
        </is>
      </c>
      <c r="D3393" t="inlineStr">
        <is>
          <t>18</t>
        </is>
      </c>
      <c r="E3393" t="inlineStr">
        <is>
          <t>20</t>
        </is>
      </c>
      <c r="F3393" t="inlineStr">
        <is>
          <t>18</t>
        </is>
      </c>
      <c r="G3393" t="inlineStr">
        <is>
          <t>18</t>
        </is>
      </c>
      <c r="H3393" t="inlineStr">
        <is>
          <t>R</t>
        </is>
      </c>
    </row>
    <row r="3394" ht="12" customHeight="1" s="545">
      <c r="B3394" t="inlineStr">
        <is>
          <t>Restroom Buildings</t>
        </is>
      </c>
      <c r="C3394" t="inlineStr">
        <is>
          <t>432</t>
        </is>
      </c>
      <c r="D3394" t="inlineStr">
        <is>
          <t>18</t>
        </is>
      </c>
      <c r="E3394" t="inlineStr">
        <is>
          <t>21</t>
        </is>
      </c>
      <c r="F3394" t="inlineStr">
        <is>
          <t>18</t>
        </is>
      </c>
      <c r="G3394" t="inlineStr">
        <is>
          <t>18</t>
        </is>
      </c>
      <c r="H3394" t="inlineStr">
        <is>
          <t>R</t>
        </is>
      </c>
    </row>
    <row r="3395" ht="12" customHeight="1" s="545">
      <c r="B3395" t="inlineStr">
        <is>
          <t>Maintenance (Storage) Buildings</t>
        </is>
      </c>
      <c r="C3395" t="inlineStr">
        <is>
          <t>157</t>
        </is>
      </c>
      <c r="D3395" t="inlineStr">
        <is>
          <t>18</t>
        </is>
      </c>
      <c r="E3395" t="inlineStr">
        <is>
          <t>21</t>
        </is>
      </c>
      <c r="F3395" t="inlineStr">
        <is>
          <t>18</t>
        </is>
      </c>
      <c r="G3395" t="inlineStr">
        <is>
          <t>18</t>
        </is>
      </c>
      <c r="H3395" t="inlineStr">
        <is>
          <t>R</t>
        </is>
      </c>
    </row>
    <row r="3396" ht="12" customHeight="1" s="545">
      <c r="B3396" t="inlineStr">
        <is>
          <t>Natatoriums</t>
        </is>
      </c>
      <c r="C3396" t="inlineStr">
        <is>
          <t>485</t>
        </is>
      </c>
      <c r="D3396" t="inlineStr">
        <is>
          <t>18</t>
        </is>
      </c>
      <c r="E3396" t="inlineStr">
        <is>
          <t>22</t>
        </is>
      </c>
      <c r="F3396" t="inlineStr">
        <is>
          <t>18</t>
        </is>
      </c>
      <c r="G3396" t="inlineStr">
        <is>
          <t>18</t>
        </is>
      </c>
      <c r="H3396" t="inlineStr">
        <is>
          <t>R</t>
        </is>
      </c>
    </row>
    <row r="3397" ht="12" customHeight="1" s="545">
      <c r="B3397" t="inlineStr">
        <is>
          <t>Shower Room Buildings</t>
        </is>
      </c>
      <c r="C3397" t="inlineStr">
        <is>
          <t>403</t>
        </is>
      </c>
      <c r="D3397" t="inlineStr">
        <is>
          <t>18</t>
        </is>
      </c>
      <c r="E3397" t="inlineStr">
        <is>
          <t>22</t>
        </is>
      </c>
      <c r="F3397" t="inlineStr">
        <is>
          <t>18</t>
        </is>
      </c>
      <c r="G3397" t="inlineStr">
        <is>
          <t>18</t>
        </is>
      </c>
      <c r="H3397" t="inlineStr">
        <is>
          <t>R</t>
        </is>
      </c>
    </row>
    <row r="3398" ht="12" customHeight="1" s="545">
      <c r="B3398" t="inlineStr">
        <is>
          <t>Fieldhouses</t>
        </is>
      </c>
      <c r="C3398" t="inlineStr">
        <is>
          <t>486</t>
        </is>
      </c>
      <c r="D3398" t="inlineStr">
        <is>
          <t>18</t>
        </is>
      </c>
      <c r="E3398" t="inlineStr">
        <is>
          <t>23</t>
        </is>
      </c>
      <c r="F3398" t="inlineStr">
        <is>
          <t>18</t>
        </is>
      </c>
      <c r="G3398" t="inlineStr">
        <is>
          <t>18</t>
        </is>
      </c>
      <c r="H3398" t="inlineStr">
        <is>
          <t>R</t>
        </is>
      </c>
    </row>
    <row r="3399" ht="12" customHeight="1" s="545">
      <c r="B3399" t="inlineStr">
        <is>
          <t>Physical Education Buildings</t>
        </is>
      </c>
      <c r="C3399" t="inlineStr">
        <is>
          <t>375</t>
        </is>
      </c>
      <c r="D3399" t="inlineStr">
        <is>
          <t>18</t>
        </is>
      </c>
      <c r="E3399" t="inlineStr">
        <is>
          <t>24</t>
        </is>
      </c>
      <c r="F3399" t="inlineStr">
        <is>
          <t>18</t>
        </is>
      </c>
      <c r="G3399" t="inlineStr">
        <is>
          <t>18</t>
        </is>
      </c>
      <c r="H3399" t="inlineStr">
        <is>
          <t>R</t>
        </is>
      </c>
    </row>
    <row r="3400" ht="12" customHeight="1" s="545">
      <c r="B3400" t="inlineStr">
        <is>
          <t>Gymnasiums</t>
        </is>
      </c>
      <c r="C3400" t="inlineStr">
        <is>
          <t>358</t>
        </is>
      </c>
      <c r="D3400" t="inlineStr">
        <is>
          <t>18</t>
        </is>
      </c>
      <c r="E3400" t="inlineStr">
        <is>
          <t>25</t>
        </is>
      </c>
      <c r="F3400" t="inlineStr">
        <is>
          <t>18</t>
        </is>
      </c>
      <c r="G3400" t="inlineStr">
        <is>
          <t>18</t>
        </is>
      </c>
      <c r="H3400" t="inlineStr">
        <is>
          <t>R</t>
        </is>
      </c>
    </row>
    <row r="3401" ht="12" customHeight="1" s="545">
      <c r="B3401" t="inlineStr">
        <is>
          <t>Colleges</t>
        </is>
      </c>
      <c r="C3401" t="inlineStr">
        <is>
          <t>377</t>
        </is>
      </c>
      <c r="D3401" t="inlineStr">
        <is>
          <t>18</t>
        </is>
      </c>
      <c r="E3401" t="inlineStr">
        <is>
          <t>26</t>
        </is>
      </c>
      <c r="F3401" t="inlineStr">
        <is>
          <t>18</t>
        </is>
      </c>
      <c r="G3401" t="inlineStr">
        <is>
          <t>18</t>
        </is>
      </c>
      <c r="H3401" t="inlineStr">
        <is>
          <t>R</t>
        </is>
      </c>
    </row>
    <row r="3402" ht="12" customHeight="1" s="545">
      <c r="B3402" t="inlineStr">
        <is>
          <t>College Classrooms</t>
        </is>
      </c>
      <c r="C3402" t="inlineStr">
        <is>
          <t>368</t>
        </is>
      </c>
      <c r="D3402" t="inlineStr">
        <is>
          <t>18</t>
        </is>
      </c>
      <c r="E3402" t="inlineStr">
        <is>
          <t>27</t>
        </is>
      </c>
      <c r="F3402" t="inlineStr">
        <is>
          <t>18</t>
        </is>
      </c>
      <c r="G3402" t="inlineStr">
        <is>
          <t>18</t>
        </is>
      </c>
      <c r="H3402" t="inlineStr">
        <is>
          <t>R</t>
        </is>
      </c>
    </row>
    <row r="3403" ht="12" customHeight="1" s="545">
      <c r="B3403" t="inlineStr">
        <is>
          <t>Technical Trades Buildings</t>
        </is>
      </c>
      <c r="C3403" t="inlineStr">
        <is>
          <t>373</t>
        </is>
      </c>
      <c r="D3403" t="inlineStr">
        <is>
          <t>18</t>
        </is>
      </c>
      <c r="E3403" t="inlineStr">
        <is>
          <t>28</t>
        </is>
      </c>
      <c r="F3403" t="inlineStr">
        <is>
          <t>18</t>
        </is>
      </c>
      <c r="G3403" t="inlineStr">
        <is>
          <t>18</t>
        </is>
      </c>
      <c r="H3403" t="inlineStr">
        <is>
          <t>R</t>
        </is>
      </c>
    </row>
    <row r="3404" ht="12" customHeight="1" s="545">
      <c r="B3404" t="inlineStr">
        <is>
          <t>Lecture Hall Buildings</t>
        </is>
      </c>
      <c r="C3404" t="inlineStr">
        <is>
          <t>371</t>
        </is>
      </c>
      <c r="D3404" t="inlineStr">
        <is>
          <t>18</t>
        </is>
      </c>
      <c r="E3404" t="inlineStr">
        <is>
          <t>28</t>
        </is>
      </c>
      <c r="F3404" t="inlineStr">
        <is>
          <t>18</t>
        </is>
      </c>
      <c r="G3404" t="inlineStr">
        <is>
          <t>18</t>
        </is>
      </c>
      <c r="H3404" t="inlineStr">
        <is>
          <t>R</t>
        </is>
      </c>
    </row>
    <row r="3405" ht="12" customHeight="1" s="545">
      <c r="B3405" t="inlineStr">
        <is>
          <t>Arts &amp; Crafts Buildings</t>
        </is>
      </c>
      <c r="C3405" t="inlineStr">
        <is>
          <t>367</t>
        </is>
      </c>
      <c r="D3405" t="inlineStr">
        <is>
          <t>18</t>
        </is>
      </c>
      <c r="E3405" t="inlineStr">
        <is>
          <t>29</t>
        </is>
      </c>
      <c r="F3405" t="inlineStr">
        <is>
          <t>18</t>
        </is>
      </c>
      <c r="G3405" t="inlineStr">
        <is>
          <t>18</t>
        </is>
      </c>
      <c r="H3405" t="inlineStr">
        <is>
          <t>R</t>
        </is>
      </c>
    </row>
    <row r="3406" ht="12" customHeight="1" s="545">
      <c r="B3406" t="inlineStr">
        <is>
          <t>Science Buildings</t>
        </is>
      </c>
      <c r="C3406" t="inlineStr">
        <is>
          <t>376</t>
        </is>
      </c>
      <c r="D3406" t="inlineStr">
        <is>
          <t>18</t>
        </is>
      </c>
      <c r="E3406" t="inlineStr">
        <is>
          <t>30</t>
        </is>
      </c>
      <c r="F3406" t="inlineStr">
        <is>
          <t>18</t>
        </is>
      </c>
      <c r="G3406" t="inlineStr">
        <is>
          <t>18</t>
        </is>
      </c>
      <c r="H3406" t="inlineStr">
        <is>
          <t>R</t>
        </is>
      </c>
    </row>
    <row r="3407" ht="12" customHeight="1" s="545">
      <c r="B3407" t="inlineStr">
        <is>
          <t>Commons</t>
        </is>
      </c>
      <c r="C3407" t="inlineStr">
        <is>
          <t>369</t>
        </is>
      </c>
      <c r="D3407" t="inlineStr">
        <is>
          <t>18</t>
        </is>
      </c>
      <c r="E3407" t="inlineStr">
        <is>
          <t>31</t>
        </is>
      </c>
      <c r="F3407" t="inlineStr">
        <is>
          <t>18</t>
        </is>
      </c>
      <c r="G3407" t="inlineStr">
        <is>
          <t>18</t>
        </is>
      </c>
      <c r="H3407" t="inlineStr">
        <is>
          <t>R</t>
        </is>
      </c>
    </row>
    <row r="3408" ht="12" customHeight="1" s="545">
      <c r="B3408" t="inlineStr">
        <is>
          <t>Administration (Office) Buildings</t>
        </is>
      </c>
      <c r="C3408" t="inlineStr">
        <is>
          <t>600</t>
        </is>
      </c>
      <c r="D3408" t="inlineStr">
        <is>
          <t>18</t>
        </is>
      </c>
      <c r="E3408" t="inlineStr">
        <is>
          <t>32</t>
        </is>
      </c>
      <c r="F3408" t="inlineStr">
        <is>
          <t>18</t>
        </is>
      </c>
      <c r="G3408" t="inlineStr">
        <is>
          <t>18</t>
        </is>
      </c>
      <c r="H3408" t="inlineStr">
        <is>
          <t>R</t>
        </is>
      </c>
    </row>
    <row r="3409" ht="12" customHeight="1" s="545">
      <c r="B3409" t="inlineStr">
        <is>
          <t>Relocatable Offices</t>
        </is>
      </c>
      <c r="C3409" t="inlineStr">
        <is>
          <t>599</t>
        </is>
      </c>
      <c r="D3409" t="inlineStr">
        <is>
          <t>18</t>
        </is>
      </c>
      <c r="E3409" t="inlineStr">
        <is>
          <t>33</t>
        </is>
      </c>
      <c r="F3409" t="inlineStr">
        <is>
          <t>18</t>
        </is>
      </c>
      <c r="G3409" t="inlineStr">
        <is>
          <t>18</t>
        </is>
      </c>
      <c r="H3409" t="inlineStr">
        <is>
          <t>R</t>
        </is>
      </c>
    </row>
    <row r="3410" ht="12" customHeight="1" s="545">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ht="12" customHeight="1" s="545">
      <c r="B3413" s="211"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ht="12" customHeight="1" s="545">
      <c r="B3414" s="212" t="inlineStr">
        <is>
          <t>County OCC Code</t>
        </is>
      </c>
      <c r="C3414" s="212" t="inlineStr">
        <is>
          <t>County Description</t>
        </is>
      </c>
      <c r="D3414" s="212" t="inlineStr">
        <is>
          <t>MVS Occupancy (Reference 4)</t>
        </is>
      </c>
    </row>
    <row r="3415" ht="12" customHeight="1" s="545">
      <c r="B3415" t="n">
        <v>26</v>
      </c>
      <c r="C3415" t="inlineStr">
        <is>
          <t>Studio Loft</t>
        </is>
      </c>
      <c r="D3415" t="inlineStr">
        <is>
          <t>Lofts</t>
        </is>
      </c>
    </row>
    <row r="3416" ht="12" customHeight="1" s="545">
      <c r="B3416" t="n">
        <v>100</v>
      </c>
      <c r="C3416" t="inlineStr">
        <is>
          <t>Single Family Residential</t>
        </is>
      </c>
      <c r="D3416" t="inlineStr">
        <is>
          <t>Single-Family Residences</t>
        </is>
      </c>
    </row>
    <row r="3417" ht="12" customHeight="1" s="545">
      <c r="B3417" t="n">
        <v>101</v>
      </c>
      <c r="C3417" t="inlineStr">
        <is>
          <t>Ag Single Family Residential-not integral</t>
        </is>
      </c>
      <c r="D3417" t="inlineStr">
        <is>
          <t>Single-Family Residences</t>
        </is>
      </c>
    </row>
    <row r="3418" ht="12" customHeight="1" s="545">
      <c r="B3418" t="n">
        <v>102</v>
      </c>
      <c r="C3418" t="inlineStr">
        <is>
          <t>Duplex</t>
        </is>
      </c>
      <c r="D3418" t="inlineStr">
        <is>
          <t>Multiple Residences</t>
        </is>
      </c>
    </row>
    <row r="3419" ht="12" customHeight="1" s="545">
      <c r="B3419" t="n">
        <v>105</v>
      </c>
      <c r="C3419" t="inlineStr">
        <is>
          <t>Attached Single Family Residential</t>
        </is>
      </c>
      <c r="D3419" t="inlineStr">
        <is>
          <t>Town Houses</t>
        </is>
      </c>
    </row>
    <row r="3420" ht="12" customHeight="1" s="545">
      <c r="B3420" t="n">
        <v>116</v>
      </c>
      <c r="C3420" t="inlineStr">
        <is>
          <t>Apartment w/4-8 Units</t>
        </is>
      </c>
      <c r="D3420" t="inlineStr">
        <is>
          <t>Multiple Residences</t>
        </is>
      </c>
    </row>
    <row r="3421" ht="12" customHeight="1" s="545">
      <c r="B3421" t="n">
        <v>118</v>
      </c>
      <c r="C3421" t="inlineStr">
        <is>
          <t>Apartment w/9 + Units</t>
        </is>
      </c>
      <c r="D3421" t="inlineStr">
        <is>
          <t>Multiple Residences</t>
        </is>
      </c>
    </row>
    <row r="3422" ht="12" customHeight="1" s="545">
      <c r="B3422" t="n">
        <v>186</v>
      </c>
      <c r="C3422" t="inlineStr">
        <is>
          <t>Light Commercial - Manufacturing Utility Bldg</t>
        </is>
      </c>
      <c r="D3422" t="inlineStr">
        <is>
          <t>Light Commercial – Manufacturing Utility Buildings</t>
        </is>
      </c>
    </row>
    <row r="3423" ht="12" customHeight="1" s="545">
      <c r="B3423" t="n">
        <v>204</v>
      </c>
      <c r="C3423" t="inlineStr">
        <is>
          <t>Computer Centers</t>
        </is>
      </c>
      <c r="D3423" t="inlineStr">
        <is>
          <t>Computer (Data) Centers</t>
        </is>
      </c>
    </row>
    <row r="3424" ht="12" customHeight="1" s="545">
      <c r="B3424" t="n">
        <v>209</v>
      </c>
      <c r="C3424" t="inlineStr">
        <is>
          <t>Nursery/Greenhouse</t>
        </is>
      </c>
      <c r="D3424" t="inlineStr">
        <is>
          <t>Greenhouse – Straight-Wall Structures</t>
        </is>
      </c>
    </row>
    <row r="3425" ht="12" customHeight="1" s="545">
      <c r="B3425" t="n">
        <v>210</v>
      </c>
      <c r="C3425" t="inlineStr">
        <is>
          <t>Industrial Flex Mall Building</t>
        </is>
      </c>
      <c r="D3425" t="inlineStr">
        <is>
          <t>Industrial Flex (Mall) Buildings</t>
        </is>
      </c>
    </row>
    <row r="3426" ht="12" customHeight="1" s="545">
      <c r="B3426" t="n">
        <v>212</v>
      </c>
      <c r="C3426" t="inlineStr">
        <is>
          <t>Laboratories</t>
        </is>
      </c>
      <c r="D3426" t="inlineStr">
        <is>
          <t>Laboratory Buildings</t>
        </is>
      </c>
    </row>
    <row r="3427" ht="12" customHeight="1" s="545">
      <c r="B3427" t="n">
        <v>213</v>
      </c>
      <c r="C3427" t="inlineStr">
        <is>
          <t>Light Industrial Shell Buildings</t>
        </is>
      </c>
      <c r="D3427" t="inlineStr">
        <is>
          <t>Light Industrial/Warehouse Shell Buildings</t>
        </is>
      </c>
    </row>
    <row r="3428" ht="12" customHeight="1" s="545">
      <c r="B3428" t="n">
        <v>220</v>
      </c>
      <c r="C3428" t="inlineStr">
        <is>
          <t>Recreational Pool Enclosure</t>
        </is>
      </c>
      <c r="D3428" t="inlineStr">
        <is>
          <t>Recreational (Pool) Enclosures</t>
        </is>
      </c>
    </row>
    <row r="3429" ht="12" customHeight="1" s="545">
      <c r="B3429" t="n">
        <v>227</v>
      </c>
      <c r="C3429" t="inlineStr">
        <is>
          <t>Complete Auto Dealership</t>
        </is>
      </c>
      <c r="D3429" t="inlineStr">
        <is>
          <t>Complete Auto Dealerships</t>
        </is>
      </c>
    </row>
    <row r="3430" ht="12" customHeight="1" s="545">
      <c r="B3430" t="n">
        <v>228</v>
      </c>
      <c r="C3430" t="inlineStr">
        <is>
          <t>Kennel</t>
        </is>
      </c>
      <c r="D3430" t="inlineStr">
        <is>
          <t>Kennels</t>
        </is>
      </c>
    </row>
    <row r="3431" ht="12" customHeight="1" s="545">
      <c r="B3431" t="n">
        <v>300</v>
      </c>
      <c r="C3431" t="inlineStr">
        <is>
          <t>Apartments (Hi-Rise)</t>
        </is>
      </c>
      <c r="D3431" t="inlineStr">
        <is>
          <t>Apartments (High-Rise)</t>
        </is>
      </c>
    </row>
    <row r="3432" ht="12" customHeight="1" s="545">
      <c r="B3432" t="n">
        <v>302</v>
      </c>
      <c r="C3432" t="inlineStr">
        <is>
          <t>Auditorium</t>
        </is>
      </c>
      <c r="D3432" t="inlineStr">
        <is>
          <t>Auditoriums</t>
        </is>
      </c>
    </row>
    <row r="3433" ht="12" customHeight="1" s="545">
      <c r="B3433" t="n">
        <v>303</v>
      </c>
      <c r="C3433" t="inlineStr">
        <is>
          <t>Showroom</t>
        </is>
      </c>
      <c r="D3433" t="inlineStr">
        <is>
          <t>Showrooms</t>
        </is>
      </c>
    </row>
    <row r="3434" ht="12" customHeight="1" s="545">
      <c r="B3434" t="n">
        <v>304</v>
      </c>
      <c r="C3434" t="inlineStr">
        <is>
          <t>Bank</t>
        </is>
      </c>
      <c r="D3434" t="inlineStr">
        <is>
          <t>Banks, Branch</t>
        </is>
      </c>
    </row>
    <row r="3435" ht="12" customHeight="1" s="545">
      <c r="B3435" t="n">
        <v>305</v>
      </c>
      <c r="C3435" t="inlineStr">
        <is>
          <t>Drive-up Mini Banks</t>
        </is>
      </c>
      <c r="D3435" t="inlineStr">
        <is>
          <t>Mini-Banks (Walk-Up and Drive-Through)</t>
        </is>
      </c>
    </row>
    <row r="3436" ht="12" customHeight="1" s="545">
      <c r="B3436" t="n">
        <v>306</v>
      </c>
      <c r="C3436" t="inlineStr">
        <is>
          <t>Bowling Alley</t>
        </is>
      </c>
      <c r="D3436" t="inlineStr">
        <is>
          <t>Bowling Centers</t>
        </is>
      </c>
    </row>
    <row r="3437" ht="12" customHeight="1" s="545">
      <c r="B3437" t="n">
        <v>309</v>
      </c>
      <c r="C3437" t="inlineStr">
        <is>
          <t>Church</t>
        </is>
      </c>
      <c r="D3437" t="inlineStr">
        <is>
          <t>Churches – Sanctuaries (Chapels)</t>
        </is>
      </c>
    </row>
    <row r="3438" ht="12" customHeight="1" s="545">
      <c r="B3438" t="n">
        <v>310</v>
      </c>
      <c r="C3438" t="inlineStr">
        <is>
          <t>City Club</t>
        </is>
      </c>
      <c r="D3438" t="inlineStr">
        <is>
          <t>City Clubs</t>
        </is>
      </c>
    </row>
    <row r="3439" ht="12" customHeight="1" s="545">
      <c r="B3439" t="n">
        <v>311</v>
      </c>
      <c r="C3439" t="inlineStr">
        <is>
          <t>Clubhouse</t>
        </is>
      </c>
      <c r="D3439" t="inlineStr">
        <is>
          <t>Clubhouses</t>
        </is>
      </c>
    </row>
    <row r="3440" ht="12" customHeight="1" s="545">
      <c r="B3440" t="n">
        <v>313</v>
      </c>
      <c r="C3440" t="inlineStr">
        <is>
          <t>Convlsnt Hosp Nursing Home</t>
        </is>
      </c>
      <c r="D3440" t="inlineStr">
        <is>
          <t>Nursing Homes (Convalescent Hospitals)</t>
        </is>
      </c>
    </row>
    <row r="3441" ht="12" customHeight="1" s="545">
      <c r="B3441" t="n">
        <v>314</v>
      </c>
      <c r="C3441" t="inlineStr">
        <is>
          <t>Country Club</t>
        </is>
      </c>
      <c r="D3441" t="inlineStr">
        <is>
          <t>Country Clubs</t>
        </is>
      </c>
    </row>
    <row r="3442" ht="12" customHeight="1" s="545">
      <c r="B3442" t="n">
        <v>318</v>
      </c>
      <c r="C3442" t="inlineStr">
        <is>
          <t>Department Store</t>
        </is>
      </c>
      <c r="D3442" t="inlineStr">
        <is>
          <t>Department Stores</t>
        </is>
      </c>
    </row>
    <row r="3443" ht="12" customHeight="1" s="545">
      <c r="B3443" t="n">
        <v>319</v>
      </c>
      <c r="C3443" t="inlineStr">
        <is>
          <t>Discount Store</t>
        </is>
      </c>
      <c r="D3443" t="inlineStr">
        <is>
          <t>Discount Stores</t>
        </is>
      </c>
    </row>
    <row r="3444" ht="12" customHeight="1" s="545">
      <c r="B3444" t="n">
        <v>320</v>
      </c>
      <c r="C3444" t="inlineStr">
        <is>
          <t>Dispensary</t>
        </is>
      </c>
      <c r="D3444" t="inlineStr">
        <is>
          <t>Urgent Care Clinics</t>
        </is>
      </c>
    </row>
    <row r="3445" ht="12" customHeight="1" s="545">
      <c r="B3445" t="n">
        <v>321</v>
      </c>
      <c r="C3445" t="inlineStr">
        <is>
          <t>Dormitory Residence Halls</t>
        </is>
      </c>
      <c r="D3445" t="inlineStr">
        <is>
          <t>Dormitories</t>
        </is>
      </c>
    </row>
    <row r="3446" ht="12" customHeight="1" s="545">
      <c r="B3446" t="n">
        <v>323</v>
      </c>
      <c r="C3446" t="inlineStr">
        <is>
          <t>Fraternal Building</t>
        </is>
      </c>
      <c r="D3446" t="inlineStr">
        <is>
          <t>Fraternal Buildings</t>
        </is>
      </c>
    </row>
    <row r="3447" ht="12" customHeight="1" s="545">
      <c r="B3447" t="n">
        <v>325</v>
      </c>
      <c r="C3447" t="inlineStr">
        <is>
          <t>Service Garage</t>
        </is>
      </c>
      <c r="D3447" t="inlineStr">
        <is>
          <t>Service Garages (Commercial/Repair)</t>
        </is>
      </c>
    </row>
    <row r="3448" ht="12" customHeight="1" s="545">
      <c r="B3448" t="n">
        <v>326</v>
      </c>
      <c r="C3448" t="inlineStr">
        <is>
          <t>Storage Garage</t>
        </is>
      </c>
      <c r="D3448" t="inlineStr">
        <is>
          <t>Storage Garages</t>
        </is>
      </c>
    </row>
    <row r="3449" ht="12" customHeight="1" s="545">
      <c r="B3449" t="n">
        <v>328</v>
      </c>
      <c r="C3449" t="inlineStr">
        <is>
          <t>Storage Hanger</t>
        </is>
      </c>
      <c r="D3449" t="inlineStr">
        <is>
          <t>Storage Hangars</t>
        </is>
      </c>
    </row>
    <row r="3450" ht="12" customHeight="1" s="545">
      <c r="B3450" t="n">
        <v>331</v>
      </c>
      <c r="C3450" t="inlineStr">
        <is>
          <t>Hospital</t>
        </is>
      </c>
      <c r="D3450" t="inlineStr">
        <is>
          <t>General Hospitals</t>
        </is>
      </c>
    </row>
    <row r="3451" ht="12" customHeight="1" s="545">
      <c r="B3451" t="n">
        <v>332</v>
      </c>
      <c r="C3451" t="inlineStr">
        <is>
          <t>Hotel - Full Service</t>
        </is>
      </c>
      <c r="D3451" t="inlineStr">
        <is>
          <t>Hotels, Full Service</t>
        </is>
      </c>
    </row>
    <row r="3452" ht="12" customHeight="1" s="545">
      <c r="B3452" t="n">
        <v>333</v>
      </c>
      <c r="C3452" t="inlineStr">
        <is>
          <t>Indust Heavy Manufacturing</t>
        </is>
      </c>
      <c r="D3452" t="inlineStr">
        <is>
          <t>Industrials, Heavy (Process) Manufacturing</t>
        </is>
      </c>
    </row>
    <row r="3453" ht="12" customHeight="1" s="545">
      <c r="B3453" t="n">
        <v>334</v>
      </c>
      <c r="C3453" t="inlineStr">
        <is>
          <t>Indust Lght Manufacturing</t>
        </is>
      </c>
      <c r="D3453" t="inlineStr">
        <is>
          <t>Industrials, Light Manufacturing</t>
        </is>
      </c>
    </row>
    <row r="3454" ht="12" customHeight="1" s="545">
      <c r="B3454" t="n">
        <v>335</v>
      </c>
      <c r="C3454" t="inlineStr">
        <is>
          <t>Jail - Correctional Facility</t>
        </is>
      </c>
      <c r="D3454" t="inlineStr">
        <is>
          <t>Jails – Correctional Facilities</t>
        </is>
      </c>
    </row>
    <row r="3455" ht="12" customHeight="1" s="545">
      <c r="B3455" t="n">
        <v>336</v>
      </c>
      <c r="C3455" t="inlineStr">
        <is>
          <t>Laundromat</t>
        </is>
      </c>
      <c r="D3455" t="inlineStr">
        <is>
          <t>Laundromats</t>
        </is>
      </c>
    </row>
    <row r="3456" ht="12" customHeight="1" s="545">
      <c r="B3456" t="n">
        <v>339</v>
      </c>
      <c r="C3456" t="inlineStr">
        <is>
          <t>Lumber Storage - Horizontal</t>
        </is>
      </c>
      <c r="D3456" t="inlineStr">
        <is>
          <t>Lumber Storage Sheds</t>
        </is>
      </c>
    </row>
    <row r="3457" ht="12" customHeight="1" s="545">
      <c r="B3457" t="n">
        <v>340</v>
      </c>
      <c r="C3457" t="inlineStr">
        <is>
          <t>Market</t>
        </is>
      </c>
      <c r="D3457" t="inlineStr">
        <is>
          <t>Markets</t>
        </is>
      </c>
    </row>
    <row r="3458" ht="12" customHeight="1" s="545">
      <c r="B3458" t="n">
        <v>341</v>
      </c>
      <c r="C3458" t="inlineStr">
        <is>
          <t>Medical Offices</t>
        </is>
      </c>
      <c r="D3458" t="inlineStr">
        <is>
          <t>Medical Office Buildings</t>
        </is>
      </c>
    </row>
    <row r="3459" ht="12" customHeight="1" s="545">
      <c r="B3459" t="n">
        <v>342</v>
      </c>
      <c r="C3459" t="inlineStr">
        <is>
          <t>Mortuary</t>
        </is>
      </c>
      <c r="D3459" t="inlineStr">
        <is>
          <t>Mortuaries / Funeral Homes</t>
        </is>
      </c>
    </row>
    <row r="3460" ht="12" customHeight="1" s="545">
      <c r="B3460" t="n">
        <v>343</v>
      </c>
      <c r="C3460" t="inlineStr">
        <is>
          <t>Motel</t>
        </is>
      </c>
      <c r="D3460" t="inlineStr">
        <is>
          <t>Motels</t>
        </is>
      </c>
    </row>
    <row r="3461" ht="12" customHeight="1" s="545">
      <c r="B3461" t="n">
        <v>344</v>
      </c>
      <c r="C3461" t="inlineStr">
        <is>
          <t>Office Building</t>
        </is>
      </c>
      <c r="D3461" t="inlineStr">
        <is>
          <t>Office Buildings</t>
        </is>
      </c>
    </row>
    <row r="3462" ht="12" customHeight="1" s="545">
      <c r="B3462" t="n">
        <v>345</v>
      </c>
      <c r="C3462" t="inlineStr">
        <is>
          <t>Parking Structure</t>
        </is>
      </c>
      <c r="D3462" t="inlineStr">
        <is>
          <t>Parking (Parkade) Structures</t>
        </is>
      </c>
    </row>
    <row r="3463" ht="12" customHeight="1" s="545">
      <c r="B3463" t="n">
        <v>346</v>
      </c>
      <c r="C3463" t="inlineStr">
        <is>
          <t>Post Office</t>
        </is>
      </c>
      <c r="D3463" t="inlineStr">
        <is>
          <t>Main Post Offices</t>
        </is>
      </c>
    </row>
    <row r="3464" ht="12" customHeight="1" s="545">
      <c r="B3464" t="n">
        <v>349</v>
      </c>
      <c r="C3464" t="inlineStr">
        <is>
          <t>Fast Food Restaurant</t>
        </is>
      </c>
      <c r="D3464" t="inlineStr">
        <is>
          <t>Restaurants – Fast Food</t>
        </is>
      </c>
    </row>
    <row r="3465" ht="12" customHeight="1" s="545">
      <c r="B3465" t="n">
        <v>350</v>
      </c>
      <c r="C3465" t="inlineStr">
        <is>
          <t>Restaurant</t>
        </is>
      </c>
      <c r="D3465" t="inlineStr">
        <is>
          <t>Restaurants</t>
        </is>
      </c>
    </row>
    <row r="3466" ht="12" customHeight="1" s="545">
      <c r="B3466" t="n">
        <v>352</v>
      </c>
      <c r="C3466" t="inlineStr">
        <is>
          <t>Multiple - Residential</t>
        </is>
      </c>
      <c r="D3466" t="inlineStr">
        <is>
          <t>Multiple Residences</t>
        </is>
      </c>
    </row>
    <row r="3467" ht="12" customHeight="1" s="545">
      <c r="B3467" t="n">
        <v>353</v>
      </c>
      <c r="C3467" t="inlineStr">
        <is>
          <t>Retail Store</t>
        </is>
      </c>
      <c r="D3467" t="inlineStr">
        <is>
          <t>Retail Stores</t>
        </is>
      </c>
    </row>
    <row r="3468" ht="12" customHeight="1" s="545">
      <c r="B3468" t="n">
        <v>356</v>
      </c>
      <c r="C3468" t="inlineStr">
        <is>
          <t>School - Classroom</t>
        </is>
      </c>
      <c r="D3468" t="inlineStr">
        <is>
          <t>Classrooms</t>
        </is>
      </c>
    </row>
    <row r="3469" ht="12" customHeight="1" s="545">
      <c r="B3469" t="n">
        <v>358</v>
      </c>
      <c r="C3469" t="inlineStr">
        <is>
          <t>School - Gymnasium</t>
        </is>
      </c>
      <c r="D3469" t="inlineStr">
        <is>
          <t>Gymnasiums</t>
        </is>
      </c>
    </row>
    <row r="3470" ht="12" customHeight="1" s="545">
      <c r="B3470" t="n">
        <v>359</v>
      </c>
      <c r="C3470" t="inlineStr">
        <is>
          <t>School - Lecture Hall</t>
        </is>
      </c>
      <c r="D3470" t="inlineStr">
        <is>
          <t>Lecture Classrooms</t>
        </is>
      </c>
    </row>
    <row r="3471" ht="12" customHeight="1" s="545">
      <c r="B3471" t="n">
        <v>361</v>
      </c>
      <c r="C3471" t="inlineStr">
        <is>
          <t>School - Manual Arts</t>
        </is>
      </c>
      <c r="D3471" t="inlineStr">
        <is>
          <t>Manual Arts (Shop) Buildings</t>
        </is>
      </c>
    </row>
    <row r="3472" ht="12" customHeight="1" s="545">
      <c r="B3472" t="n">
        <v>368</v>
      </c>
      <c r="C3472" t="inlineStr">
        <is>
          <t>College - Classrooms</t>
        </is>
      </c>
      <c r="D3472" t="inlineStr">
        <is>
          <t>College Classrooms</t>
        </is>
      </c>
    </row>
    <row r="3473" ht="12" customHeight="1" s="545">
      <c r="B3473" t="n">
        <v>378</v>
      </c>
      <c r="C3473" t="inlineStr">
        <is>
          <t>Stable</t>
        </is>
      </c>
      <c r="D3473" t="inlineStr">
        <is>
          <t>Stables</t>
        </is>
      </c>
    </row>
    <row r="3474" ht="12" customHeight="1" s="545">
      <c r="B3474" t="n">
        <v>380</v>
      </c>
      <c r="C3474" t="inlineStr">
        <is>
          <t>Theatre - Motion</t>
        </is>
      </c>
      <c r="D3474" t="inlineStr">
        <is>
          <t>Theaters: Cinema</t>
        </is>
      </c>
    </row>
    <row r="3475" ht="12" customHeight="1" s="545">
      <c r="B3475" t="n">
        <v>381</v>
      </c>
      <c r="C3475" t="inlineStr">
        <is>
          <t>Veterinary Hospital</t>
        </is>
      </c>
      <c r="D3475" t="inlineStr">
        <is>
          <t>Veterinary Hospitals</t>
        </is>
      </c>
    </row>
    <row r="3476" ht="12" customHeight="1" s="545">
      <c r="B3476" t="n">
        <v>382</v>
      </c>
      <c r="C3476" t="inlineStr">
        <is>
          <t>Medical Office Buildings</t>
        </is>
      </c>
      <c r="D3476" t="inlineStr">
        <is>
          <t>Medical Office Buildings</t>
        </is>
      </c>
    </row>
    <row r="3477" ht="12" customHeight="1" s="545">
      <c r="B3477" t="n">
        <v>384</v>
      </c>
      <c r="C3477" t="inlineStr">
        <is>
          <t>Barber/Beauty Shop</t>
        </is>
      </c>
      <c r="D3477" t="inlineStr">
        <is>
          <t>Barber Shops/Beauty Salons</t>
        </is>
      </c>
    </row>
    <row r="3478" ht="12" customHeight="1" s="545">
      <c r="B3478" t="n">
        <v>386</v>
      </c>
      <c r="C3478" t="inlineStr">
        <is>
          <t>Mini Warehouse</t>
        </is>
      </c>
      <c r="D3478" t="inlineStr">
        <is>
          <t>Mini-Warehouses / Self-Storage</t>
        </is>
      </c>
    </row>
    <row r="3479" ht="12" customHeight="1" s="545">
      <c r="B3479" t="n">
        <v>387</v>
      </c>
      <c r="C3479" t="inlineStr">
        <is>
          <t>Transit Warehouse</t>
        </is>
      </c>
      <c r="D3479" t="inlineStr">
        <is>
          <t>Transit Warehouses</t>
        </is>
      </c>
    </row>
    <row r="3480" ht="12" customHeight="1" s="545">
      <c r="B3480" t="n">
        <v>389</v>
      </c>
      <c r="C3480" t="inlineStr">
        <is>
          <t>Equipment Implement</t>
        </is>
      </c>
      <c r="D3480" t="inlineStr">
        <is>
          <t>Farm Implement (Equipment Shop) Buildings</t>
        </is>
      </c>
    </row>
    <row r="3481" ht="12" customHeight="1" s="545">
      <c r="B3481" t="n">
        <v>390</v>
      </c>
      <c r="C3481" t="inlineStr">
        <is>
          <t>Lumber Storage - Vertical</t>
        </is>
      </c>
      <c r="D3481" t="inlineStr">
        <is>
          <t>Lumber Storage Buildings</t>
        </is>
      </c>
    </row>
    <row r="3482" ht="12" customHeight="1" s="545">
      <c r="B3482" t="n">
        <v>391</v>
      </c>
      <c r="C3482" t="inlineStr">
        <is>
          <t>Storage - Material</t>
        </is>
      </c>
      <c r="D3482" t="inlineStr">
        <is>
          <t>Material Storage Buildings</t>
        </is>
      </c>
    </row>
    <row r="3483" ht="12" customHeight="1" s="545">
      <c r="B3483" t="n">
        <v>392</v>
      </c>
      <c r="C3483" t="inlineStr">
        <is>
          <t>Industrial Engineering &amp; Research</t>
        </is>
      </c>
      <c r="D3483" t="inlineStr">
        <is>
          <t>Industrial, Engineering (R&amp;D) Buildings</t>
        </is>
      </c>
    </row>
    <row r="3484" ht="12" customHeight="1" s="545">
      <c r="B3484" t="n">
        <v>397</v>
      </c>
      <c r="C3484" t="inlineStr">
        <is>
          <t>Barn</t>
        </is>
      </c>
      <c r="D3484" t="inlineStr">
        <is>
          <t>Barns – General Purpose</t>
        </is>
      </c>
    </row>
    <row r="3485" ht="12" customHeight="1" s="545">
      <c r="B3485" t="n">
        <v>401</v>
      </c>
      <c r="C3485" t="inlineStr">
        <is>
          <t>Shed - Equipment</t>
        </is>
      </c>
      <c r="D3485" t="inlineStr">
        <is>
          <t>Light Commercial Equipment Sheds</t>
        </is>
      </c>
    </row>
    <row r="3486" ht="12" customHeight="1" s="545">
      <c r="B3486" t="n">
        <v>403</v>
      </c>
      <c r="C3486" t="inlineStr">
        <is>
          <t>Shower Building</t>
        </is>
      </c>
      <c r="D3486" t="inlineStr">
        <is>
          <t>Shower Room Buildings</t>
        </is>
      </c>
    </row>
    <row r="3487" ht="12" customHeight="1" s="545">
      <c r="B3487" t="n">
        <v>404</v>
      </c>
      <c r="C3487" t="inlineStr">
        <is>
          <t>Farm Utility Building</t>
        </is>
      </c>
      <c r="D3487" t="inlineStr">
        <is>
          <t>Farm Utility Buildings</t>
        </is>
      </c>
    </row>
    <row r="3488" ht="12" customHeight="1" s="545">
      <c r="B3488" t="n">
        <v>405</v>
      </c>
      <c r="C3488" t="inlineStr">
        <is>
          <t>Skating Rink</t>
        </is>
      </c>
      <c r="D3488" t="inlineStr">
        <is>
          <t>Ice Skating Rinks</t>
        </is>
      </c>
    </row>
    <row r="3489" ht="12" customHeight="1" s="545">
      <c r="B3489" t="n">
        <v>406</v>
      </c>
      <c r="C3489" t="inlineStr">
        <is>
          <t>Storage Warehouse</t>
        </is>
      </c>
      <c r="D3489" t="inlineStr">
        <is>
          <t>Storage Warehouses</t>
        </is>
      </c>
    </row>
    <row r="3490" ht="12" customHeight="1" s="545">
      <c r="B3490" t="n">
        <v>407</v>
      </c>
      <c r="C3490" t="inlineStr">
        <is>
          <t>Distribution Warehouse</t>
        </is>
      </c>
      <c r="D3490" t="inlineStr">
        <is>
          <t>Distribution Warehouses</t>
        </is>
      </c>
    </row>
    <row r="3491" ht="12" customHeight="1" s="545">
      <c r="B3491" t="n">
        <v>409</v>
      </c>
      <c r="C3491" t="inlineStr">
        <is>
          <t>T-Hanger</t>
        </is>
      </c>
      <c r="D3491" t="inlineStr">
        <is>
          <t>T-Hangars</t>
        </is>
      </c>
    </row>
    <row r="3492" ht="12" customHeight="1" s="545">
      <c r="B3492" t="n">
        <v>410</v>
      </c>
      <c r="C3492" t="inlineStr">
        <is>
          <t>Automotive Center</t>
        </is>
      </c>
      <c r="D3492" t="inlineStr">
        <is>
          <t>Automotive Service Centers</t>
        </is>
      </c>
    </row>
    <row r="3493" ht="12" customHeight="1" s="545">
      <c r="B3493" t="n">
        <v>412</v>
      </c>
      <c r="C3493" t="inlineStr">
        <is>
          <t>Neighborhood Shopping Center</t>
        </is>
      </c>
      <c r="D3493" t="inlineStr">
        <is>
          <t>Neighborhood Shopping Centers</t>
        </is>
      </c>
    </row>
    <row r="3494" ht="12" customHeight="1" s="545">
      <c r="B3494" t="n">
        <v>413</v>
      </c>
      <c r="C3494" t="inlineStr">
        <is>
          <t>Community Shopping Center</t>
        </is>
      </c>
      <c r="D3494" t="inlineStr">
        <is>
          <t>Community Shopping Centers</t>
        </is>
      </c>
    </row>
    <row r="3495" ht="12" customHeight="1" s="545">
      <c r="B3495" t="n">
        <v>414</v>
      </c>
      <c r="C3495" t="inlineStr">
        <is>
          <t>Regional Shopping Center</t>
        </is>
      </c>
      <c r="D3495" t="inlineStr">
        <is>
          <t>Regional Shopping Centers</t>
        </is>
      </c>
    </row>
    <row r="3496" ht="12" customHeight="1" s="545">
      <c r="B3496" t="n">
        <v>418</v>
      </c>
      <c r="C3496" t="inlineStr">
        <is>
          <t>Health Club</t>
        </is>
      </c>
      <c r="D3496" t="inlineStr">
        <is>
          <t>Health Clubs (Spas)</t>
        </is>
      </c>
    </row>
    <row r="3497" ht="12" customHeight="1" s="545">
      <c r="B3497" t="n">
        <v>419</v>
      </c>
      <c r="C3497" t="inlineStr">
        <is>
          <t>Convenience Store</t>
        </is>
      </c>
      <c r="D3497" t="inlineStr">
        <is>
          <t>Convenience Stores</t>
        </is>
      </c>
    </row>
    <row r="3498" ht="12" customHeight="1" s="545">
      <c r="B3498" t="n">
        <v>421</v>
      </c>
      <c r="C3498" t="inlineStr">
        <is>
          <t>Shed - Tool</t>
        </is>
      </c>
      <c r="D3498" t="inlineStr">
        <is>
          <t>Toolshed Buildings</t>
        </is>
      </c>
    </row>
    <row r="3499" ht="12" customHeight="1" s="545">
      <c r="B3499" t="n">
        <v>423</v>
      </c>
      <c r="C3499" t="inlineStr">
        <is>
          <t>Mini Lube Garage</t>
        </is>
      </c>
      <c r="D3499" t="inlineStr">
        <is>
          <t>Mini-Lube Garages</t>
        </is>
      </c>
    </row>
    <row r="3500" ht="12" customHeight="1" s="545">
      <c r="B3500" t="n">
        <v>425</v>
      </c>
      <c r="C3500" t="inlineStr">
        <is>
          <t>Industrial WH Condo</t>
        </is>
      </c>
      <c r="D3500" t="inlineStr">
        <is>
          <t>Storage Warehouses</t>
        </is>
      </c>
    </row>
    <row r="3501" ht="12" customHeight="1" s="545">
      <c r="B3501" t="n">
        <v>426</v>
      </c>
      <c r="C3501" t="inlineStr">
        <is>
          <t>Day Care Center</t>
        </is>
      </c>
      <c r="D3501" t="inlineStr">
        <is>
          <t>Day Care Centers</t>
        </is>
      </c>
    </row>
    <row r="3502" ht="12" customHeight="1" s="545">
      <c r="B3502" t="n">
        <v>430</v>
      </c>
      <c r="C3502" t="inlineStr">
        <is>
          <t>Storage - Utility Grain</t>
        </is>
      </c>
      <c r="D3502" t="inlineStr">
        <is>
          <t>Farm Utility/Grain Storage (Granary) Buildings</t>
        </is>
      </c>
    </row>
    <row r="3503" ht="12" customHeight="1" s="545">
      <c r="B3503" t="n">
        <v>431</v>
      </c>
      <c r="C3503" t="inlineStr">
        <is>
          <t>Surgical Center - Out patient</t>
        </is>
      </c>
      <c r="D3503" t="inlineStr">
        <is>
          <t>Outpatient (Surgical) Centers</t>
        </is>
      </c>
    </row>
    <row r="3504" ht="12" customHeight="1" s="545">
      <c r="B3504" t="n">
        <v>432</v>
      </c>
      <c r="C3504" t="inlineStr">
        <is>
          <t>Restroom Building/Concessions</t>
        </is>
      </c>
      <c r="D3504" t="inlineStr">
        <is>
          <t>Restroom Buildings</t>
        </is>
      </c>
    </row>
    <row r="3505" ht="12" customHeight="1" s="545">
      <c r="B3505" t="n">
        <v>441</v>
      </c>
      <c r="C3505" t="inlineStr">
        <is>
          <t>Cocktail Lounge</t>
        </is>
      </c>
      <c r="D3505" t="inlineStr">
        <is>
          <t>Cocktail Lounges</t>
        </is>
      </c>
    </row>
    <row r="3506" ht="12" customHeight="1" s="545">
      <c r="B3506" t="n">
        <v>442</v>
      </c>
      <c r="C3506" t="inlineStr">
        <is>
          <t>Bar/Tavern</t>
        </is>
      </c>
      <c r="D3506" t="inlineStr">
        <is>
          <t>Bars/Taverns</t>
        </is>
      </c>
    </row>
    <row r="3507" ht="12" customHeight="1" s="545">
      <c r="B3507" t="n">
        <v>444</v>
      </c>
      <c r="C3507" t="inlineStr">
        <is>
          <t>Dental Office/ Clinic</t>
        </is>
      </c>
      <c r="D3507" t="inlineStr">
        <is>
          <t>Dental Clinics</t>
        </is>
      </c>
    </row>
    <row r="3508" ht="12" customHeight="1" s="545">
      <c r="B3508" t="n">
        <v>446</v>
      </c>
      <c r="C3508" t="inlineStr">
        <is>
          <t>SuperMarket</t>
        </is>
      </c>
      <c r="D3508" t="inlineStr">
        <is>
          <t>Supermarkets</t>
        </is>
      </c>
    </row>
    <row r="3509" ht="12" customHeight="1" s="545">
      <c r="B3509" t="n">
        <v>447</v>
      </c>
      <c r="C3509" t="inlineStr">
        <is>
          <t>Cold Storage Warehouse</t>
        </is>
      </c>
      <c r="D3509" t="inlineStr">
        <is>
          <t>Cold Storage Facilities</t>
        </is>
      </c>
    </row>
    <row r="3510" ht="12" customHeight="1" s="545">
      <c r="B3510" t="n">
        <v>468</v>
      </c>
      <c r="C3510" t="inlineStr">
        <is>
          <t>Farm Office</t>
        </is>
      </c>
      <c r="D3510" t="inlineStr">
        <is>
          <t>Shed Office Structures</t>
        </is>
      </c>
    </row>
    <row r="3511" ht="12" customHeight="1" s="545">
      <c r="B3511" t="n">
        <v>473</v>
      </c>
      <c r="C3511" t="inlineStr">
        <is>
          <t>Equipment Building</t>
        </is>
      </c>
      <c r="D3511" t="inlineStr">
        <is>
          <t>Light Commercial Equipment (Shop) Buildings</t>
        </is>
      </c>
    </row>
    <row r="3512" ht="12" customHeight="1" s="545">
      <c r="B3512" t="n">
        <v>474</v>
      </c>
      <c r="C3512" t="inlineStr">
        <is>
          <t>Modular Office</t>
        </is>
      </c>
      <c r="D3512" t="inlineStr">
        <is>
          <t>Relocatable Offices</t>
        </is>
      </c>
    </row>
    <row r="3513" ht="12" customHeight="1" s="545">
      <c r="B3513" t="n">
        <v>480</v>
      </c>
      <c r="C3513" t="inlineStr">
        <is>
          <t>Vegetable Building</t>
        </is>
      </c>
      <c r="D3513" t="inlineStr">
        <is>
          <t>Vegetable Buildings – Environmental</t>
        </is>
      </c>
    </row>
    <row r="3514" ht="12" customHeight="1" s="545">
      <c r="B3514" t="n">
        <v>482</v>
      </c>
      <c r="C3514" t="inlineStr">
        <is>
          <t>Convention Center</t>
        </is>
      </c>
      <c r="D3514" t="inlineStr">
        <is>
          <t>Convention Centers</t>
        </is>
      </c>
    </row>
    <row r="3515" ht="12" customHeight="1" s="545">
      <c r="B3515" t="n">
        <v>483</v>
      </c>
      <c r="C3515" t="inlineStr">
        <is>
          <t>Fitness Center</t>
        </is>
      </c>
      <c r="D3515" t="inlineStr">
        <is>
          <t>Fitness Centers</t>
        </is>
      </c>
    </row>
    <row r="3516" ht="12" customHeight="1" s="545">
      <c r="B3516" t="n">
        <v>501</v>
      </c>
      <c r="C3516" t="inlineStr">
        <is>
          <t>Mini-Mart Convenience Stores</t>
        </is>
      </c>
      <c r="D3516" t="inlineStr">
        <is>
          <t>Mini-Mart Convenience Stores</t>
        </is>
      </c>
    </row>
    <row r="3517" ht="12" customHeight="1" s="545">
      <c r="B3517" t="n">
        <v>519</v>
      </c>
      <c r="C3517" t="inlineStr">
        <is>
          <t>Greenhouse Shade Shelters</t>
        </is>
      </c>
      <c r="D3517" t="inlineStr">
        <is>
          <t>Greenhouse Shade Shelters</t>
        </is>
      </c>
    </row>
    <row r="3518" ht="12" customHeight="1" s="545">
      <c r="B3518" t="n">
        <v>523</v>
      </c>
      <c r="C3518" t="inlineStr">
        <is>
          <t>Golf Cart Storage Bldgs</t>
        </is>
      </c>
      <c r="D3518" t="inlineStr">
        <is>
          <t>Golf Cart Storage Buildings</t>
        </is>
      </c>
    </row>
    <row r="3519" ht="12" customHeight="1" s="545">
      <c r="B3519" t="n">
        <v>525</v>
      </c>
      <c r="C3519" t="inlineStr">
        <is>
          <t>Mini Warehouse Hi-rise</t>
        </is>
      </c>
      <c r="D3519" t="inlineStr">
        <is>
          <t>Mini-Warehouses, High-Rise</t>
        </is>
      </c>
    </row>
    <row r="3520" ht="12" customHeight="1" s="545">
      <c r="B3520" t="n">
        <v>526</v>
      </c>
      <c r="C3520" t="inlineStr">
        <is>
          <t>Service Garage Sheds</t>
        </is>
      </c>
      <c r="D3520" t="inlineStr">
        <is>
          <t>Service Garage Sheds</t>
        </is>
      </c>
    </row>
    <row r="3521" ht="12" customHeight="1" s="545">
      <c r="B3521" t="n">
        <v>529</v>
      </c>
      <c r="C3521" t="inlineStr">
        <is>
          <t>Snack Bar</t>
        </is>
      </c>
      <c r="D3521" t="inlineStr">
        <is>
          <t>Snack Bars</t>
        </is>
      </c>
    </row>
    <row r="3522" ht="12" customHeight="1" s="545">
      <c r="B3522" t="n">
        <v>533</v>
      </c>
      <c r="C3522" t="inlineStr">
        <is>
          <t>Warehouse Food Store</t>
        </is>
      </c>
      <c r="D3522" t="inlineStr">
        <is>
          <t>Warehouse Food Stores</t>
        </is>
      </c>
    </row>
    <row r="3523" ht="12" customHeight="1" s="545">
      <c r="B3523" t="n">
        <v>534</v>
      </c>
      <c r="C3523" t="inlineStr">
        <is>
          <t>Warehouse Showroom Store</t>
        </is>
      </c>
      <c r="D3523" t="inlineStr">
        <is>
          <t>Warehouse Showroom Stores</t>
        </is>
      </c>
    </row>
    <row r="3524" ht="12" customHeight="1" s="545">
      <c r="B3524" t="n">
        <v>540</v>
      </c>
      <c r="C3524" t="inlineStr">
        <is>
          <t>Motel Guest Rooms</t>
        </is>
      </c>
      <c r="D3524" t="inlineStr">
        <is>
          <t>Motel Guest Rooms</t>
        </is>
      </c>
    </row>
    <row r="3525" ht="12" customHeight="1" s="545">
      <c r="B3525" t="n">
        <v>544</v>
      </c>
      <c r="C3525" t="inlineStr">
        <is>
          <t>Office-Apartment</t>
        </is>
      </c>
      <c r="D3525" t="inlineStr">
        <is>
          <t>Office-Apartments</t>
        </is>
      </c>
    </row>
    <row r="3526" ht="12" customHeight="1" s="545">
      <c r="B3526" t="n">
        <v>557</v>
      </c>
      <c r="C3526" t="inlineStr">
        <is>
          <t>Arch-Rib Quonset Utility</t>
        </is>
      </c>
      <c r="D3526" t="inlineStr">
        <is>
          <t>Arch-Rib (Quonset) Farm Utility Buildings</t>
        </is>
      </c>
    </row>
    <row r="3527" ht="12" customHeight="1" s="545">
      <c r="B3527" t="n">
        <v>558</v>
      </c>
      <c r="C3527" t="inlineStr">
        <is>
          <t>Arch-Rib Quonset Farm Implement</t>
        </is>
      </c>
      <c r="D3527" t="inlineStr">
        <is>
          <t>Arch-Rib (Quonset) Farm Implement Buildings</t>
        </is>
      </c>
    </row>
    <row r="3528" ht="12" customHeight="1" s="545">
      <c r="B3528" t="n">
        <v>573</v>
      </c>
      <c r="C3528" t="inlineStr">
        <is>
          <t>Arcade</t>
        </is>
      </c>
      <c r="D3528" t="inlineStr">
        <is>
          <t>Arcade Buildings</t>
        </is>
      </c>
    </row>
    <row r="3529" ht="12" customHeight="1" s="545">
      <c r="B3529" t="n">
        <v>580</v>
      </c>
      <c r="C3529" t="inlineStr">
        <is>
          <t>Truck Stop Restaurant</t>
        </is>
      </c>
      <c r="D3529" t="inlineStr">
        <is>
          <t>Truck Stop Restaurants</t>
        </is>
      </c>
    </row>
    <row r="3530" ht="12" customHeight="1" s="545">
      <c r="B3530" t="n">
        <v>582</v>
      </c>
      <c r="C3530" t="inlineStr">
        <is>
          <t>Branch Post Office</t>
        </is>
      </c>
      <c r="D3530" t="inlineStr">
        <is>
          <t>Branch Post Offices</t>
        </is>
      </c>
    </row>
    <row r="3531" ht="12" customHeight="1" s="545">
      <c r="B3531" t="n">
        <v>584</v>
      </c>
      <c r="C3531" t="inlineStr">
        <is>
          <t>Mega Warehouse</t>
        </is>
      </c>
      <c r="D3531" t="inlineStr">
        <is>
          <t>Mega (Storage/Distribution) Warehouses</t>
        </is>
      </c>
    </row>
    <row r="3532" ht="12" customHeight="1" s="545">
      <c r="B3532" t="n">
        <v>718</v>
      </c>
      <c r="C3532" t="inlineStr">
        <is>
          <t>Banquet Halls</t>
        </is>
      </c>
      <c r="D3532" t="inlineStr">
        <is>
          <t>Banquet Halls</t>
        </is>
      </c>
    </row>
    <row r="3533" ht="12" customHeight="1" s="545">
      <c r="B3533" t="n">
        <v>1104</v>
      </c>
      <c r="C3533" t="inlineStr">
        <is>
          <t>Light Commercial-Commodity Warehouse</t>
        </is>
      </c>
      <c r="D3533" t="inlineStr">
        <is>
          <t>Light Commercial – Commodity Warehouse</t>
        </is>
      </c>
    </row>
    <row r="3534" ht="12" customHeight="1" s="545">
      <c r="B3534" t="n">
        <v>1157</v>
      </c>
      <c r="C3534" t="inlineStr">
        <is>
          <t>Maintenance (Storage) Buildings</t>
        </is>
      </c>
      <c r="D3534" t="inlineStr">
        <is>
          <t>Maintenance (Storage) Buildings</t>
        </is>
      </c>
    </row>
    <row r="3535" ht="12" customHeight="1" s="545">
      <c r="B3535" t="n">
        <v>1332</v>
      </c>
      <c r="C3535" t="inlineStr">
        <is>
          <t>Hotels - Limited Service</t>
        </is>
      </c>
      <c r="D3535" t="inlineStr">
        <is>
          <t>Hotels, Limited Service</t>
        </is>
      </c>
    </row>
    <row r="3536" ht="12" customHeight="1" s="545">
      <c r="B3536" t="n">
        <v>1343</v>
      </c>
      <c r="C3536" t="inlineStr">
        <is>
          <t>Extended Stay Motels</t>
        </is>
      </c>
      <c r="D3536" t="inlineStr">
        <is>
          <t>Extended-Stay Motels</t>
        </is>
      </c>
    </row>
    <row r="3537" ht="12" customHeight="1" s="545">
      <c r="B3537" t="n">
        <v>1344</v>
      </c>
      <c r="C3537" t="inlineStr">
        <is>
          <t>Office Building - Condo</t>
        </is>
      </c>
      <c r="D3537" t="inlineStr">
        <is>
          <t>Office Buildings</t>
        </is>
      </c>
    </row>
    <row r="3538" ht="12" customHeight="1" s="545">
      <c r="B3538" t="n">
        <v>1353</v>
      </c>
      <c r="C3538" t="inlineStr">
        <is>
          <t>Retail Store - Condo</t>
        </is>
      </c>
      <c r="D3538" t="inlineStr">
        <is>
          <t>Retail Stores</t>
        </is>
      </c>
    </row>
    <row r="3539" ht="12" customHeight="1" s="545">
      <c r="B3539" t="n">
        <v>1458</v>
      </c>
      <c r="C3539" t="inlineStr">
        <is>
          <t>Warehouse Discount Store</t>
        </is>
      </c>
      <c r="D3539" t="inlineStr">
        <is>
          <t>Warehouse Discount Stores</t>
        </is>
      </c>
    </row>
    <row r="3540" ht="12" customHeight="1" s="545">
      <c r="B3540" t="n">
        <v>1467</v>
      </c>
      <c r="C3540" t="inlineStr">
        <is>
          <t>Boat Storage Buildings</t>
        </is>
      </c>
      <c r="D3540" t="inlineStr">
        <is>
          <t>Boat Storage Buildings</t>
        </is>
      </c>
    </row>
    <row r="3541" ht="12" customHeight="1" s="545">
      <c r="B3541" t="n">
        <v>1468</v>
      </c>
      <c r="C3541" t="inlineStr">
        <is>
          <t>Material Storage Sheds</t>
        </is>
      </c>
      <c r="D3541" t="inlineStr">
        <is>
          <t>Material Storage Sheds</t>
        </is>
      </c>
    </row>
    <row r="3542" ht="12" customHeight="1" s="545">
      <c r="B3542" t="n">
        <v>1471</v>
      </c>
      <c r="C3542" t="inlineStr">
        <is>
          <t>Light Commercial Utility</t>
        </is>
      </c>
      <c r="D3542" t="inlineStr">
        <is>
          <t>Light Commercial Utility Buildings</t>
        </is>
      </c>
    </row>
    <row r="3543" ht="12" customHeight="1" s="545">
      <c r="B3543" t="n">
        <v>1473</v>
      </c>
      <c r="C3543" t="inlineStr">
        <is>
          <t>Material Shelters</t>
        </is>
      </c>
      <c r="D3543" t="inlineStr">
        <is>
          <t>Material – Commodity Shelters</t>
        </is>
      </c>
    </row>
    <row r="3544" ht="12" customHeight="1" s="545">
      <c r="B3544" t="n">
        <v>1513</v>
      </c>
      <c r="C3544" t="inlineStr">
        <is>
          <t>Regional Discount Shopping Centers</t>
        </is>
      </c>
      <c r="D3544" t="inlineStr">
        <is>
          <t>Regional Discount Shopping Centers</t>
        </is>
      </c>
    </row>
    <row r="3545" ht="12" customHeight="1" s="545">
      <c r="B3545" t="n">
        <v>3441</v>
      </c>
      <c r="C3545" t="inlineStr">
        <is>
          <t>Office Conversion</t>
        </is>
      </c>
      <c r="D3545" t="inlineStr">
        <is>
          <t>Office Buildings</t>
        </is>
      </c>
    </row>
    <row r="3546" ht="12" customHeight="1" s="545">
      <c r="B3546" s="63" t="inlineStr">
        <is>
          <t>County codes with NO calculator-method table (Cost Approach will ask for manual selection/override):</t>
        </is>
      </c>
    </row>
    <row r="3547" ht="12" customHeight="1" s="545">
      <c r="B3547" t="n">
        <v>90</v>
      </c>
      <c r="C3547" t="inlineStr">
        <is>
          <t>Residential Out Structure</t>
        </is>
      </c>
      <c r="D3547" t="inlineStr">
        <is>
          <t>Residential out structure -- no commercial MVS table; price from MVS Sec.12/64 directly</t>
        </is>
      </c>
    </row>
    <row r="3548" ht="12" customHeight="1" s="545">
      <c r="B3548" t="n">
        <v>99</v>
      </c>
      <c r="C3548" t="inlineStr">
        <is>
          <t>Detached Garage</t>
        </is>
      </c>
      <c r="D3548" t="inlineStr">
        <is>
          <t>Detached garage -- MVS 12-35 residential garages are size-priced; see Reference 14</t>
        </is>
      </c>
    </row>
    <row r="3549" ht="12" customHeight="1" s="545">
      <c r="B3549" t="n">
        <v>140</v>
      </c>
      <c r="C3549" t="inlineStr">
        <is>
          <t>Parking Lot</t>
        </is>
      </c>
      <c r="D3549" t="inlineStr">
        <is>
          <t>Parking lot -- land/yard improvement (MVS Sec.66), no building cost table</t>
        </is>
      </c>
    </row>
    <row r="3550" ht="12" customHeight="1" s="545">
      <c r="B3550" t="n">
        <v>207</v>
      </c>
      <c r="C3550" t="inlineStr">
        <is>
          <t>Firing Range Buildings</t>
        </is>
      </c>
      <c r="D3550" t="inlineStr">
        <is>
          <t>Firing range -- MVS 15-31 Miscellaneous Structures; price manually</t>
        </is>
      </c>
    </row>
    <row r="3551" ht="12" customHeight="1" s="545">
      <c r="B3551" t="n">
        <v>208</v>
      </c>
      <c r="C3551" t="inlineStr">
        <is>
          <t>Golf Course *CODE</t>
        </is>
      </c>
      <c r="D3551" t="inlineStr">
        <is>
          <t>Golf course -- MVS Sec.67 recreation; land improvement</t>
        </is>
      </c>
    </row>
    <row r="3552" ht="12" customHeight="1" s="545">
      <c r="B3552" t="n">
        <v>211</v>
      </c>
      <c r="C3552" t="inlineStr">
        <is>
          <t>Industiral Interior Office Space</t>
        </is>
      </c>
      <c r="D3552" t="inlineStr">
        <is>
          <t>Industrial interior office space -- component add-on (MVS 14-35); see Reference 14</t>
        </is>
      </c>
    </row>
    <row r="3553" ht="12" customHeight="1" s="545">
      <c r="B3553" t="n">
        <v>217</v>
      </c>
      <c r="C3553" t="inlineStr">
        <is>
          <t>Miscellaneous OB</t>
        </is>
      </c>
      <c r="D3553" t="inlineStr">
        <is>
          <t>Miscellaneous OB -- no matching MVS occupancy; select manually</t>
        </is>
      </c>
    </row>
    <row r="3554" ht="12" customHeight="1" s="545">
      <c r="B3554" t="n">
        <v>408</v>
      </c>
      <c r="C3554" t="inlineStr">
        <is>
          <t>Service Station</t>
        </is>
      </c>
      <c r="D3554" t="inlineStr">
        <is>
          <t>Service station -- MVS Sec.64 prefabricated buildings; price manually</t>
        </is>
      </c>
    </row>
    <row r="3555" ht="12" customHeight="1" s="545">
      <c r="B3555" t="n">
        <v>415</v>
      </c>
      <c r="C3555" t="inlineStr">
        <is>
          <t>Utility Bldg Res</t>
        </is>
      </c>
      <c r="D3555" t="inlineStr">
        <is>
          <t>Residential utility building -- price from MVS Sec.12/17 directly</t>
        </is>
      </c>
    </row>
    <row r="3556" ht="12" customHeight="1" s="545">
      <c r="B3556" t="n">
        <v>434</v>
      </c>
      <c r="C3556" t="inlineStr">
        <is>
          <t>Car Wash - Self Service</t>
        </is>
      </c>
      <c r="D3556" t="inlineStr">
        <is>
          <t>Car wash (self service) -- MVS Sec.64 p.4; price manually</t>
        </is>
      </c>
    </row>
    <row r="3557" ht="12" customHeight="1" s="545">
      <c r="B3557" t="n">
        <v>435</v>
      </c>
      <c r="C3557" t="inlineStr">
        <is>
          <t>Car Wash - Drive thru</t>
        </is>
      </c>
      <c r="D3557" t="inlineStr">
        <is>
          <t>Car wash (drive-thru) -- MVS Sec.64 p.4; price manually</t>
        </is>
      </c>
    </row>
    <row r="3558" ht="12" customHeight="1" s="545">
      <c r="B3558" t="n">
        <v>436</v>
      </c>
      <c r="C3558" t="inlineStr">
        <is>
          <t>Car Wash - Automatic</t>
        </is>
      </c>
      <c r="D3558" t="inlineStr">
        <is>
          <t>Car wash (automatic) -- MVS Sec.64 p.4; price manually</t>
        </is>
      </c>
    </row>
    <row r="3559" ht="12" customHeight="1" s="545">
      <c r="B3559" t="n">
        <v>438</v>
      </c>
      <c r="C3559" t="inlineStr">
        <is>
          <t>Prefab Metal Building *CODE</t>
        </is>
      </c>
      <c r="D3559" t="inlineStr">
        <is>
          <t>Prefab metal building (*CODE flagged) -- pick the matching occupancy manually</t>
        </is>
      </c>
    </row>
    <row r="3560" ht="12" customHeight="1" s="545">
      <c r="B3560" t="n">
        <v>448</v>
      </c>
      <c r="C3560" t="inlineStr">
        <is>
          <t>Self Service Booth</t>
        </is>
      </c>
      <c r="D3560" t="inlineStr">
        <is>
          <t>Self service booth -- MVS Sec.64 food booths; price manually</t>
        </is>
      </c>
    </row>
    <row r="3561" ht="12" customHeight="1" s="545">
      <c r="B3561" t="n">
        <v>451</v>
      </c>
      <c r="C3561" t="inlineStr">
        <is>
          <t>Grain Elevator Concrete</t>
        </is>
      </c>
      <c r="D3561" t="inlineStr">
        <is>
          <t>Grain elevator (concrete) -- MVS 17-51 per-bushel schedule; see Reference 14</t>
        </is>
      </c>
    </row>
    <row r="3562" ht="12" customHeight="1" s="545">
      <c r="B3562" t="n">
        <v>452</v>
      </c>
      <c r="C3562" t="inlineStr">
        <is>
          <t>Grain Elevator Conc Annex</t>
        </is>
      </c>
      <c r="D3562" t="inlineStr">
        <is>
          <t>Grain elevator annex -- MVS 17-51; see Reference 14</t>
        </is>
      </c>
    </row>
    <row r="3563" ht="12" customHeight="1" s="545">
      <c r="B3563" t="n">
        <v>464</v>
      </c>
      <c r="C3563" t="inlineStr">
        <is>
          <t>Grain Elevator Low</t>
        </is>
      </c>
      <c r="D3563" t="inlineStr">
        <is>
          <t>Grain elevator (low) -- MVS 17-51; see Reference 14</t>
        </is>
      </c>
    </row>
    <row r="3564" ht="12" customHeight="1" s="545">
      <c r="B3564" t="n">
        <v>465</v>
      </c>
      <c r="C3564" t="inlineStr">
        <is>
          <t>Grain Elevator Average</t>
        </is>
      </c>
      <c r="D3564" t="inlineStr">
        <is>
          <t>Grain elevator (average) -- MVS 17-51; see Reference 14</t>
        </is>
      </c>
    </row>
    <row r="3565" ht="12" customHeight="1" s="545">
      <c r="B3565" t="n">
        <v>499</v>
      </c>
      <c r="C3565" t="inlineStr">
        <is>
          <t>Salvage</t>
        </is>
      </c>
      <c r="D3565" t="inlineStr">
        <is>
          <t>Salvage -- condition category, not an occupancy</t>
        </is>
      </c>
    </row>
    <row r="3566" ht="12" customHeight="1" s="545">
      <c r="B3566" t="n">
        <v>500</v>
      </c>
      <c r="C3566" t="inlineStr">
        <is>
          <t>R V Parks *CODE</t>
        </is>
      </c>
      <c r="D3566" t="inlineStr">
        <is>
          <t>RV park (*CODE flagged) -- MVS Sec.63; land improvement schedule</t>
        </is>
      </c>
    </row>
    <row r="3567" ht="12" customHeight="1" s="545">
      <c r="B3567" t="n">
        <v>531</v>
      </c>
      <c r="C3567" t="inlineStr">
        <is>
          <t>Mobile Home Parks *CODE</t>
        </is>
      </c>
      <c r="D3567" t="inlineStr">
        <is>
          <t>Mobile home park (*CODE flagged) -- MVS Sec.63; land improvement schedule</t>
        </is>
      </c>
    </row>
    <row r="3568" ht="12" customHeight="1" s="545">
      <c r="B3568" t="n">
        <v>1111</v>
      </c>
      <c r="C3568" t="inlineStr">
        <is>
          <t>Parking Lot</t>
        </is>
      </c>
      <c r="D3568" t="inlineStr">
        <is>
          <t>Parking lot -- land/yard improvement (MVS Sec.66)</t>
        </is>
      </c>
    </row>
    <row r="3569" ht="12" customHeight="1" s="545">
      <c r="B3569" t="n">
        <v>1112</v>
      </c>
      <c r="C3569" t="inlineStr">
        <is>
          <t>Parking Lot Income Producing</t>
        </is>
      </c>
      <c r="D3569" t="inlineStr">
        <is>
          <t>Parking lot (income producing) -- land/yard improvement (MVS Sec.66)</t>
        </is>
      </c>
    </row>
    <row r="3572" ht="12" customHeight="1" s="545">
      <c r="B3572" s="211" t="inlineStr">
        <is>
          <t>REFERENCE 5 -- Story Height Multiplier Tables (per MVS section). Sections 12 and 17 publish no story-height multiplier table -- multiplier 1.000 is used automatically.</t>
        </is>
      </c>
    </row>
    <row r="3573" ht="12" customHeight="1" s="545">
      <c r="B3573" s="63" t="inlineStr">
        <is>
          <t>Section 11 (base = 10 ft) -- MVS 11-36</t>
        </is>
      </c>
      <c r="C3573" s="212" t="inlineStr">
        <is>
          <t>Height (ft)</t>
        </is>
      </c>
      <c r="D3573" s="212" t="inlineStr">
        <is>
          <t>Multiplier</t>
        </is>
      </c>
    </row>
    <row r="3574" ht="12" customHeight="1" s="545">
      <c r="C3574" t="n">
        <v>7</v>
      </c>
      <c r="D3574" t="n">
        <v>0.922</v>
      </c>
    </row>
    <row r="3575" ht="12" customHeight="1" s="545">
      <c r="C3575" t="n">
        <v>8</v>
      </c>
      <c r="D3575" t="n">
        <v>0.947</v>
      </c>
    </row>
    <row r="3576" ht="12" customHeight="1" s="545">
      <c r="C3576" t="n">
        <v>9</v>
      </c>
      <c r="D3576" t="n">
        <v>0.973</v>
      </c>
    </row>
    <row r="3577" ht="12" customHeight="1" s="545">
      <c r="C3577" t="n">
        <v>10</v>
      </c>
      <c r="D3577" t="n">
        <v>1</v>
      </c>
    </row>
    <row r="3578" ht="12" customHeight="1" s="545">
      <c r="C3578" t="n">
        <v>11</v>
      </c>
      <c r="D3578" t="n">
        <v>1.027</v>
      </c>
    </row>
    <row r="3579" ht="12" customHeight="1" s="545">
      <c r="C3579" t="n">
        <v>12</v>
      </c>
      <c r="D3579" t="n">
        <v>1.055</v>
      </c>
    </row>
    <row r="3580" ht="12" customHeight="1" s="545">
      <c r="C3580" t="n">
        <v>13</v>
      </c>
      <c r="D3580" t="n">
        <v>1.084</v>
      </c>
    </row>
    <row r="3581" ht="12" customHeight="1" s="545">
      <c r="C3581" t="n">
        <v>14</v>
      </c>
      <c r="D3581" t="n">
        <v>1.114</v>
      </c>
    </row>
    <row r="3582" ht="12" customHeight="1" s="545">
      <c r="C3582" t="n">
        <v>15</v>
      </c>
      <c r="D3582" t="n">
        <v>1.144</v>
      </c>
    </row>
    <row r="3583" ht="12" customHeight="1" s="545">
      <c r="C3583" t="n">
        <v>16</v>
      </c>
      <c r="D3583" t="n">
        <v>1.175</v>
      </c>
    </row>
    <row r="3584" ht="12" customHeight="1" s="545">
      <c r="C3584" t="n">
        <v>17</v>
      </c>
      <c r="D3584" t="n">
        <v>1.207</v>
      </c>
    </row>
    <row r="3585" ht="12" customHeight="1" s="545">
      <c r="C3585" t="n">
        <v>18</v>
      </c>
      <c r="D3585" t="n">
        <v>1.24</v>
      </c>
    </row>
    <row r="3586" ht="12" customHeight="1" s="545">
      <c r="C3586" t="n">
        <v>19</v>
      </c>
      <c r="D3586" t="n">
        <v>1.274</v>
      </c>
    </row>
    <row r="3587" ht="12" customHeight="1" s="545">
      <c r="C3587" t="n">
        <v>20</v>
      </c>
      <c r="D3587" t="n">
        <v>1.309</v>
      </c>
    </row>
    <row r="3588" ht="12" customHeight="1" s="545">
      <c r="C3588" t="n">
        <v>22</v>
      </c>
      <c r="D3588" t="n">
        <v>1.381</v>
      </c>
    </row>
    <row r="3589" ht="12" customHeight="1" s="545">
      <c r="C3589" t="n">
        <v>24</v>
      </c>
      <c r="D3589" t="n">
        <v>1.458</v>
      </c>
    </row>
    <row r="3591" ht="12" customHeight="1" s="545">
      <c r="B3591" s="63" t="inlineStr">
        <is>
          <t>Section 13 (base = 12 ft) -- MVS 13-41</t>
        </is>
      </c>
      <c r="C3591" s="212" t="inlineStr">
        <is>
          <t>Height (ft)</t>
        </is>
      </c>
      <c r="D3591" s="212" t="inlineStr">
        <is>
          <t>Multiplier</t>
        </is>
      </c>
    </row>
    <row r="3592" ht="12" customHeight="1" s="545">
      <c r="C3592" t="n">
        <v>8</v>
      </c>
      <c r="D3592" t="n">
        <v>0.915</v>
      </c>
    </row>
    <row r="3593" ht="12" customHeight="1" s="545">
      <c r="C3593" t="n">
        <v>9</v>
      </c>
      <c r="D3593" t="n">
        <v>0.9360000000000001</v>
      </c>
    </row>
    <row r="3594" ht="12" customHeight="1" s="545">
      <c r="C3594" t="n">
        <v>10</v>
      </c>
      <c r="D3594" t="n">
        <v>0.957</v>
      </c>
    </row>
    <row r="3595" ht="12" customHeight="1" s="545">
      <c r="C3595" t="n">
        <v>11</v>
      </c>
      <c r="D3595" t="n">
        <v>0.979</v>
      </c>
    </row>
    <row r="3596" ht="12" customHeight="1" s="545">
      <c r="C3596" t="n">
        <v>12</v>
      </c>
      <c r="D3596" t="n">
        <v>1</v>
      </c>
    </row>
    <row r="3597" ht="12" customHeight="1" s="545">
      <c r="C3597" t="n">
        <v>13</v>
      </c>
      <c r="D3597" t="n">
        <v>1.021</v>
      </c>
    </row>
    <row r="3598" ht="12" customHeight="1" s="545">
      <c r="C3598" t="n">
        <v>14</v>
      </c>
      <c r="D3598" t="n">
        <v>1.042</v>
      </c>
    </row>
    <row r="3599" ht="12" customHeight="1" s="545">
      <c r="C3599" t="n">
        <v>15</v>
      </c>
      <c r="D3599" t="n">
        <v>1.064</v>
      </c>
    </row>
    <row r="3600" ht="12" customHeight="1" s="545">
      <c r="C3600" t="n">
        <v>16</v>
      </c>
      <c r="D3600" t="n">
        <v>1.085</v>
      </c>
    </row>
    <row r="3601" ht="12" customHeight="1" s="545">
      <c r="C3601" t="n">
        <v>18</v>
      </c>
      <c r="D3601" t="n">
        <v>1.127</v>
      </c>
    </row>
    <row r="3602" ht="12" customHeight="1" s="545">
      <c r="C3602" t="n">
        <v>20</v>
      </c>
      <c r="D3602" t="n">
        <v>1.17</v>
      </c>
    </row>
    <row r="3603" ht="12" customHeight="1" s="545">
      <c r="C3603" t="n">
        <v>22</v>
      </c>
      <c r="D3603" t="n">
        <v>1.213</v>
      </c>
    </row>
    <row r="3604" ht="12" customHeight="1" s="545">
      <c r="C3604" t="n">
        <v>24</v>
      </c>
      <c r="D3604" t="n">
        <v>1.255</v>
      </c>
    </row>
    <row r="3605" ht="12" customHeight="1" s="545">
      <c r="C3605" t="n">
        <v>26</v>
      </c>
      <c r="D3605" t="n">
        <v>1.298</v>
      </c>
    </row>
    <row r="3606" ht="12" customHeight="1" s="545">
      <c r="C3606" t="n">
        <v>28</v>
      </c>
      <c r="D3606" t="n">
        <v>1.34</v>
      </c>
    </row>
    <row r="3607" ht="12" customHeight="1" s="545">
      <c r="C3607" t="n">
        <v>30</v>
      </c>
      <c r="D3607" t="n">
        <v>1.383</v>
      </c>
    </row>
    <row r="3608" ht="12" customHeight="1" s="545">
      <c r="C3608" t="n">
        <v>32</v>
      </c>
      <c r="D3608" t="n">
        <v>1.425</v>
      </c>
    </row>
    <row r="3609" ht="12" customHeight="1" s="545">
      <c r="C3609" t="n">
        <v>34</v>
      </c>
      <c r="D3609" t="n">
        <v>1.468</v>
      </c>
    </row>
    <row r="3611" ht="12" customHeight="1" s="545">
      <c r="B3611" s="63" t="inlineStr">
        <is>
          <t>Section 14 (base = 14 ft) -- MVS 14-38</t>
        </is>
      </c>
      <c r="C3611" s="212" t="inlineStr">
        <is>
          <t>Height (ft)</t>
        </is>
      </c>
      <c r="D3611" s="212" t="inlineStr">
        <is>
          <t>Multiplier</t>
        </is>
      </c>
    </row>
    <row r="3612" ht="12" customHeight="1" s="545">
      <c r="C3612" t="n">
        <v>8</v>
      </c>
      <c r="D3612" t="n">
        <v>0.885</v>
      </c>
    </row>
    <row r="3613" ht="12" customHeight="1" s="545">
      <c r="C3613" t="n">
        <v>10</v>
      </c>
      <c r="D3613" t="n">
        <v>0.921</v>
      </c>
    </row>
    <row r="3614" ht="12" customHeight="1" s="545">
      <c r="C3614" t="n">
        <v>12</v>
      </c>
      <c r="D3614" t="n">
        <v>0.96</v>
      </c>
    </row>
    <row r="3615" ht="12" customHeight="1" s="545">
      <c r="C3615" t="n">
        <v>14</v>
      </c>
      <c r="D3615" t="n">
        <v>1</v>
      </c>
    </row>
    <row r="3616" ht="12" customHeight="1" s="545">
      <c r="C3616" t="n">
        <v>16</v>
      </c>
      <c r="D3616" t="n">
        <v>1.041</v>
      </c>
    </row>
    <row r="3617" ht="12" customHeight="1" s="545">
      <c r="C3617" t="n">
        <v>18</v>
      </c>
      <c r="D3617" t="n">
        <v>1.086</v>
      </c>
    </row>
    <row r="3618" ht="12" customHeight="1" s="545">
      <c r="C3618" t="n">
        <v>20</v>
      </c>
      <c r="D3618" t="n">
        <v>1.133</v>
      </c>
    </row>
    <row r="3619" ht="12" customHeight="1" s="545">
      <c r="C3619" t="n">
        <v>22</v>
      </c>
      <c r="D3619" t="n">
        <v>1.181</v>
      </c>
    </row>
    <row r="3620" ht="12" customHeight="1" s="545">
      <c r="C3620" t="n">
        <v>24</v>
      </c>
      <c r="D3620" t="n">
        <v>1.231</v>
      </c>
    </row>
    <row r="3621" ht="12" customHeight="1" s="545">
      <c r="C3621" t="n">
        <v>26</v>
      </c>
      <c r="D3621" t="n">
        <v>1.281</v>
      </c>
    </row>
    <row r="3622" ht="12" customHeight="1" s="545">
      <c r="C3622" t="n">
        <v>28</v>
      </c>
      <c r="D3622" t="n">
        <v>1.331</v>
      </c>
    </row>
    <row r="3623" ht="12" customHeight="1" s="545">
      <c r="C3623" t="n">
        <v>30</v>
      </c>
      <c r="D3623" t="n">
        <v>1.382</v>
      </c>
    </row>
    <row r="3624" ht="12" customHeight="1" s="545">
      <c r="C3624" t="n">
        <v>35</v>
      </c>
      <c r="D3624" t="n">
        <v>1.515</v>
      </c>
    </row>
    <row r="3625" ht="12" customHeight="1" s="545">
      <c r="C3625" t="n">
        <v>40</v>
      </c>
      <c r="D3625" t="n">
        <v>1.65</v>
      </c>
    </row>
    <row r="3626" ht="12" customHeight="1" s="545">
      <c r="C3626" t="n">
        <v>45</v>
      </c>
      <c r="D3626" t="n">
        <v>1.788</v>
      </c>
    </row>
    <row r="3627" ht="12" customHeight="1" s="545">
      <c r="C3627" t="n">
        <v>50</v>
      </c>
      <c r="D3627" t="n">
        <v>1.93</v>
      </c>
    </row>
    <row r="3628" ht="12" customHeight="1" s="545">
      <c r="C3628" t="n">
        <v>55</v>
      </c>
      <c r="D3628" t="n">
        <v>2.075</v>
      </c>
    </row>
    <row r="3629" ht="12" customHeight="1" s="545">
      <c r="C3629" t="n">
        <v>60</v>
      </c>
      <c r="D3629" t="n">
        <v>2.225</v>
      </c>
    </row>
    <row r="3630" ht="12" customHeight="1" s="545">
      <c r="C3630" t="n">
        <v>70</v>
      </c>
      <c r="D3630" t="n">
        <v>2.53</v>
      </c>
    </row>
    <row r="3631" ht="12" customHeight="1" s="545">
      <c r="C3631" t="n">
        <v>80</v>
      </c>
      <c r="D3631" t="n">
        <v>2.845</v>
      </c>
    </row>
    <row r="3632" ht="12" customHeight="1" s="545">
      <c r="C3632" t="n">
        <v>90</v>
      </c>
      <c r="D3632" t="n">
        <v>3.161</v>
      </c>
    </row>
    <row r="3633" ht="12" customHeight="1" s="545">
      <c r="C3633" t="n">
        <v>100</v>
      </c>
      <c r="D3633" t="n">
        <v>3.461</v>
      </c>
    </row>
    <row r="3634" ht="12" customHeight="1" s="545">
      <c r="C3634" t="n">
        <v>110</v>
      </c>
      <c r="D3634" t="n">
        <v>3.738</v>
      </c>
    </row>
    <row r="3635" ht="12" customHeight="1" s="545">
      <c r="C3635" t="n">
        <v>120</v>
      </c>
      <c r="D3635" t="n">
        <v>3.977</v>
      </c>
    </row>
    <row r="3637" ht="12" customHeight="1" s="545">
      <c r="B3637" s="63" t="inlineStr">
        <is>
          <t>Section 15 (base = 12 ft) -- MVS 15-38</t>
        </is>
      </c>
      <c r="C3637" s="212" t="inlineStr">
        <is>
          <t>Height (ft)</t>
        </is>
      </c>
      <c r="D3637" s="212" t="inlineStr">
        <is>
          <t>Multiplier</t>
        </is>
      </c>
    </row>
    <row r="3638" ht="12" customHeight="1" s="545">
      <c r="C3638" t="n">
        <v>8</v>
      </c>
      <c r="D3638" t="n">
        <v>0.9</v>
      </c>
    </row>
    <row r="3639" ht="12" customHeight="1" s="545">
      <c r="C3639" t="n">
        <v>9</v>
      </c>
      <c r="D3639" t="n">
        <v>0.928</v>
      </c>
    </row>
    <row r="3640" ht="12" customHeight="1" s="545">
      <c r="C3640" t="n">
        <v>10</v>
      </c>
      <c r="D3640" t="n">
        <v>0.953</v>
      </c>
    </row>
    <row r="3641" ht="12" customHeight="1" s="545">
      <c r="C3641" t="n">
        <v>11</v>
      </c>
      <c r="D3641" t="n">
        <v>0.977</v>
      </c>
    </row>
    <row r="3642" ht="12" customHeight="1" s="545">
      <c r="C3642" t="n">
        <v>12</v>
      </c>
      <c r="D3642" t="n">
        <v>1</v>
      </c>
    </row>
    <row r="3643" ht="12" customHeight="1" s="545">
      <c r="C3643" t="n">
        <v>13</v>
      </c>
      <c r="D3643" t="n">
        <v>1.023</v>
      </c>
    </row>
    <row r="3644" ht="12" customHeight="1" s="545">
      <c r="C3644" t="n">
        <v>14</v>
      </c>
      <c r="D3644" t="n">
        <v>1.046</v>
      </c>
    </row>
    <row r="3645" ht="12" customHeight="1" s="545">
      <c r="C3645" t="n">
        <v>15</v>
      </c>
      <c r="D3645" t="n">
        <v>1.069</v>
      </c>
    </row>
    <row r="3646" ht="12" customHeight="1" s="545">
      <c r="C3646" t="n">
        <v>16</v>
      </c>
      <c r="D3646" t="n">
        <v>1.092</v>
      </c>
    </row>
    <row r="3647" ht="12" customHeight="1" s="545">
      <c r="C3647" t="n">
        <v>18</v>
      </c>
      <c r="D3647" t="n">
        <v>1.138</v>
      </c>
    </row>
    <row r="3648" ht="12" customHeight="1" s="545">
      <c r="C3648" t="n">
        <v>20</v>
      </c>
      <c r="D3648" t="n">
        <v>1.184</v>
      </c>
    </row>
    <row r="3649" ht="12" customHeight="1" s="545">
      <c r="C3649" t="n">
        <v>24</v>
      </c>
      <c r="D3649" t="n">
        <v>1.276</v>
      </c>
    </row>
    <row r="3650" ht="12" customHeight="1" s="545">
      <c r="C3650" t="n">
        <v>28</v>
      </c>
      <c r="D3650" t="n">
        <v>1.367</v>
      </c>
    </row>
    <row r="3651" ht="12" customHeight="1" s="545">
      <c r="C3651" t="n">
        <v>32</v>
      </c>
      <c r="D3651" t="n">
        <v>1.459</v>
      </c>
    </row>
    <row r="3652" ht="12" customHeight="1" s="545">
      <c r="C3652" t="n">
        <v>36</v>
      </c>
      <c r="D3652" t="n">
        <v>1.552</v>
      </c>
    </row>
    <row r="3654" ht="12" customHeight="1" s="545">
      <c r="B3654" s="63" t="inlineStr">
        <is>
          <t>Section 16 (base = 16 ft) -- MVS 16-26</t>
        </is>
      </c>
      <c r="C3654" s="212" t="inlineStr">
        <is>
          <t>Height (ft)</t>
        </is>
      </c>
      <c r="D3654" s="212" t="inlineStr">
        <is>
          <t>Multiplier</t>
        </is>
      </c>
    </row>
    <row r="3655" ht="12" customHeight="1" s="545">
      <c r="C3655" t="n">
        <v>8</v>
      </c>
      <c r="D3655" t="n">
        <v>0.776</v>
      </c>
    </row>
    <row r="3656" ht="12" customHeight="1" s="545">
      <c r="C3656" t="n">
        <v>10</v>
      </c>
      <c r="D3656" t="n">
        <v>0.833</v>
      </c>
    </row>
    <row r="3657" ht="12" customHeight="1" s="545">
      <c r="C3657" t="n">
        <v>12</v>
      </c>
      <c r="D3657" t="n">
        <v>0.889</v>
      </c>
    </row>
    <row r="3658" ht="12" customHeight="1" s="545">
      <c r="C3658" t="n">
        <v>14</v>
      </c>
      <c r="D3658" t="n">
        <v>0.945</v>
      </c>
    </row>
    <row r="3659" ht="12" customHeight="1" s="545">
      <c r="C3659" t="n">
        <v>16</v>
      </c>
      <c r="D3659" t="n">
        <v>1</v>
      </c>
    </row>
    <row r="3660" ht="12" customHeight="1" s="545">
      <c r="C3660" t="n">
        <v>18</v>
      </c>
      <c r="D3660" t="n">
        <v>1.054</v>
      </c>
    </row>
    <row r="3661" ht="12" customHeight="1" s="545">
      <c r="C3661" t="n">
        <v>20</v>
      </c>
      <c r="D3661" t="n">
        <v>1.106</v>
      </c>
    </row>
    <row r="3662" ht="12" customHeight="1" s="545">
      <c r="C3662" t="n">
        <v>22</v>
      </c>
      <c r="D3662" t="n">
        <v>1.158</v>
      </c>
    </row>
    <row r="3663" ht="12" customHeight="1" s="545">
      <c r="C3663" t="n">
        <v>24</v>
      </c>
      <c r="D3663" t="n">
        <v>1.21</v>
      </c>
    </row>
    <row r="3664" ht="12" customHeight="1" s="545">
      <c r="C3664" t="n">
        <v>26</v>
      </c>
      <c r="D3664" t="n">
        <v>1.262</v>
      </c>
    </row>
    <row r="3665" ht="12" customHeight="1" s="545">
      <c r="C3665" t="n">
        <v>28</v>
      </c>
      <c r="D3665" t="n">
        <v>1.313</v>
      </c>
    </row>
    <row r="3666" ht="12" customHeight="1" s="545">
      <c r="C3666" t="n">
        <v>30</v>
      </c>
      <c r="D3666" t="n">
        <v>1.364</v>
      </c>
    </row>
    <row r="3667" ht="12" customHeight="1" s="545">
      <c r="C3667" t="n">
        <v>34</v>
      </c>
      <c r="D3667" t="n">
        <v>1.463</v>
      </c>
    </row>
    <row r="3668" ht="12" customHeight="1" s="545">
      <c r="C3668" t="n">
        <v>38</v>
      </c>
      <c r="D3668" t="n">
        <v>1.561</v>
      </c>
    </row>
    <row r="3669" ht="12" customHeight="1" s="545">
      <c r="C3669" t="n">
        <v>42</v>
      </c>
      <c r="D3669" t="n">
        <v>1.658</v>
      </c>
    </row>
    <row r="3670" ht="12" customHeight="1" s="545">
      <c r="C3670" t="n">
        <v>46</v>
      </c>
      <c r="D3670" t="n">
        <v>1.754</v>
      </c>
    </row>
    <row r="3671" ht="12" customHeight="1" s="545">
      <c r="C3671" t="n">
        <v>50</v>
      </c>
      <c r="D3671" t="n">
        <v>1.849</v>
      </c>
    </row>
    <row r="3672" ht="12" customHeight="1" s="545">
      <c r="C3672" t="n">
        <v>54</v>
      </c>
      <c r="D3672" t="n">
        <v>1.943</v>
      </c>
    </row>
    <row r="3673" ht="12" customHeight="1" s="545">
      <c r="C3673" t="n">
        <v>58</v>
      </c>
      <c r="D3673" t="n">
        <v>2.036</v>
      </c>
    </row>
    <row r="3674" ht="12" customHeight="1" s="545">
      <c r="C3674" t="n">
        <v>62</v>
      </c>
      <c r="D3674" t="n">
        <v>2.128</v>
      </c>
    </row>
    <row r="3675" ht="12" customHeight="1" s="545">
      <c r="C3675" t="n">
        <v>66</v>
      </c>
      <c r="D3675" t="n">
        <v>2.219</v>
      </c>
    </row>
    <row r="3676" ht="12" customHeight="1" s="545">
      <c r="C3676" t="n">
        <v>70</v>
      </c>
      <c r="D3676" t="n">
        <v>2.309</v>
      </c>
    </row>
    <row r="3677" ht="12" customHeight="1" s="545">
      <c r="C3677" t="n">
        <v>74</v>
      </c>
      <c r="D3677" t="n">
        <v>2.398</v>
      </c>
    </row>
    <row r="3678" ht="12" customHeight="1" s="545">
      <c r="C3678" t="n">
        <v>78</v>
      </c>
      <c r="D3678" t="n">
        <v>2.486</v>
      </c>
    </row>
    <row r="3679" ht="12" customHeight="1" s="545">
      <c r="C3679" t="n">
        <v>82</v>
      </c>
      <c r="D3679" t="n">
        <v>2.573</v>
      </c>
    </row>
    <row r="3680" ht="12" customHeight="1" s="545">
      <c r="C3680" t="n">
        <v>86</v>
      </c>
      <c r="D3680" t="n">
        <v>2.659</v>
      </c>
    </row>
    <row r="3681" ht="12" customHeight="1" s="545">
      <c r="C3681" t="n">
        <v>90</v>
      </c>
      <c r="D3681" t="n">
        <v>2.744</v>
      </c>
    </row>
    <row r="3682" ht="12" customHeight="1" s="545">
      <c r="C3682" t="n">
        <v>100</v>
      </c>
      <c r="D3682" t="n">
        <v>2.952</v>
      </c>
    </row>
    <row r="3683" ht="12" customHeight="1" s="545">
      <c r="C3683" t="n">
        <v>110</v>
      </c>
      <c r="D3683" t="n">
        <v>3.154</v>
      </c>
    </row>
    <row r="3684" ht="12" customHeight="1" s="545">
      <c r="C3684" t="n">
        <v>120</v>
      </c>
      <c r="D3684" t="n">
        <v>3.35</v>
      </c>
    </row>
    <row r="3686" ht="12" customHeight="1" s="545">
      <c r="B3686" s="63" t="inlineStr">
        <is>
          <t>Section 18 (base = 10 ft) -- MVS 18-37</t>
        </is>
      </c>
      <c r="C3686" s="212" t="inlineStr">
        <is>
          <t>Height (ft)</t>
        </is>
      </c>
      <c r="D3686" s="212" t="inlineStr">
        <is>
          <t>Multiplier</t>
        </is>
      </c>
    </row>
    <row r="3687" ht="12" customHeight="1" s="545">
      <c r="C3687" t="n">
        <v>8</v>
      </c>
      <c r="D3687" t="n">
        <v>0.963</v>
      </c>
    </row>
    <row r="3688" ht="12" customHeight="1" s="545">
      <c r="C3688" t="n">
        <v>9</v>
      </c>
      <c r="D3688" t="n">
        <v>0.981</v>
      </c>
    </row>
    <row r="3689" ht="12" customHeight="1" s="545">
      <c r="C3689" t="n">
        <v>10</v>
      </c>
      <c r="D3689" t="n">
        <v>1</v>
      </c>
    </row>
    <row r="3690" ht="12" customHeight="1" s="545">
      <c r="C3690" t="n">
        <v>11</v>
      </c>
      <c r="D3690" t="n">
        <v>1.018</v>
      </c>
    </row>
    <row r="3691" ht="12" customHeight="1" s="545">
      <c r="C3691" t="n">
        <v>12</v>
      </c>
      <c r="D3691" t="n">
        <v>1.037</v>
      </c>
    </row>
    <row r="3692" ht="12" customHeight="1" s="545">
      <c r="C3692" t="n">
        <v>13</v>
      </c>
      <c r="D3692" t="n">
        <v>1.055</v>
      </c>
    </row>
    <row r="3693" ht="12" customHeight="1" s="545">
      <c r="C3693" t="n">
        <v>14</v>
      </c>
      <c r="D3693" t="n">
        <v>1.073</v>
      </c>
    </row>
    <row r="3694" ht="12" customHeight="1" s="545">
      <c r="C3694" t="n">
        <v>15</v>
      </c>
      <c r="D3694" t="n">
        <v>1.092</v>
      </c>
    </row>
    <row r="3695" ht="12" customHeight="1" s="545">
      <c r="C3695" t="n">
        <v>16</v>
      </c>
      <c r="D3695" t="n">
        <v>1.11</v>
      </c>
    </row>
    <row r="3696" ht="12" customHeight="1" s="545">
      <c r="C3696" t="n">
        <v>18</v>
      </c>
      <c r="D3696" t="n">
        <v>1.147</v>
      </c>
    </row>
    <row r="3697" ht="12" customHeight="1" s="545">
      <c r="C3697" t="n">
        <v>20</v>
      </c>
      <c r="D3697" t="n">
        <v>1.183</v>
      </c>
    </row>
    <row r="3698" ht="12" customHeight="1" s="545">
      <c r="C3698" t="n">
        <v>22</v>
      </c>
      <c r="D3698" t="n">
        <v>1.22</v>
      </c>
    </row>
    <row r="3699" ht="12" customHeight="1" s="545">
      <c r="C3699" t="n">
        <v>24</v>
      </c>
      <c r="D3699" t="n">
        <v>1.257</v>
      </c>
    </row>
    <row r="3700" ht="12" customHeight="1" s="545">
      <c r="C3700" t="n">
        <v>30</v>
      </c>
      <c r="D3700" t="n">
        <v>1.367</v>
      </c>
    </row>
    <row r="3701" ht="12" customHeight="1" s="545">
      <c r="C3701" t="n">
        <v>36</v>
      </c>
      <c r="D3701" t="n">
        <v>1.476</v>
      </c>
    </row>
    <row r="3704" ht="12" customHeight="1" s="545">
      <c r="B3704" s="211" t="inlineStr">
        <is>
          <t>REFERENCE 6 -- Sprinkler Add-On Cost Tables ($/SF, wet systems by coverage; dry columns for reference). Section 17 publishes no sprinkler table -- 0 is used; price manually from MVS Sec.53 if sprinklered.</t>
        </is>
      </c>
    </row>
    <row r="3705" ht="12" customHeight="1" s="545">
      <c r="B3705" t="inlineStr">
        <is>
          <t>(quality header row, used by lookup formulas)</t>
        </is>
      </c>
      <c r="C3705" s="212" t="inlineStr">
        <is>
          <t>Low Cost</t>
        </is>
      </c>
      <c r="D3705" s="212" t="inlineStr">
        <is>
          <t>Average</t>
        </is>
      </c>
      <c r="E3705" s="212" t="inlineStr">
        <is>
          <t>Good</t>
        </is>
      </c>
      <c r="F3705" s="212" t="inlineStr">
        <is>
          <t>Excellent</t>
        </is>
      </c>
    </row>
    <row r="3706" ht="12" customHeight="1" s="545">
      <c r="B3706" s="63" t="inlineStr">
        <is>
          <t>Section 11 -- MVS 11-35</t>
        </is>
      </c>
      <c r="C3706" s="212" t="inlineStr">
        <is>
          <t>Coverage (SF)</t>
        </is>
      </c>
      <c r="D3706" s="212" t="inlineStr">
        <is>
          <t>Wet-Low</t>
        </is>
      </c>
      <c r="E3706" s="212" t="inlineStr">
        <is>
          <t>Wet-Avg</t>
        </is>
      </c>
      <c r="F3706" s="212" t="inlineStr">
        <is>
          <t>Wet-Good</t>
        </is>
      </c>
      <c r="G3706" s="212" t="inlineStr">
        <is>
          <t>Wet-Excl</t>
        </is>
      </c>
      <c r="H3706" s="212" t="inlineStr">
        <is>
          <t>Dry-Low</t>
        </is>
      </c>
      <c r="I3706" s="212" t="inlineStr">
        <is>
          <t>Dry-Avg</t>
        </is>
      </c>
      <c r="J3706" s="212" t="inlineStr">
        <is>
          <t>Dry-Good</t>
        </is>
      </c>
      <c r="K3706" s="212" t="inlineStr">
        <is>
          <t>Dry-Excl</t>
        </is>
      </c>
    </row>
    <row r="3707" ht="12" customHeight="1" s="545">
      <c r="C3707" t="n">
        <v>1500</v>
      </c>
      <c r="D3707" t="n">
        <v>5.81</v>
      </c>
      <c r="E3707" t="n">
        <v>6.91</v>
      </c>
      <c r="F3707" t="n">
        <v>8.220000000000001</v>
      </c>
      <c r="G3707" t="n">
        <v>9.77</v>
      </c>
      <c r="H3707" t="n">
        <v>7.55</v>
      </c>
      <c r="I3707" t="n">
        <v>8.98</v>
      </c>
      <c r="J3707" t="n">
        <v>10.7</v>
      </c>
      <c r="K3707" t="n">
        <v>12.7</v>
      </c>
    </row>
    <row r="3708" ht="12" customHeight="1" s="545">
      <c r="C3708" t="n">
        <v>3000</v>
      </c>
      <c r="D3708" t="n">
        <v>5.22</v>
      </c>
      <c r="E3708" t="n">
        <v>6.18</v>
      </c>
      <c r="F3708" t="n">
        <v>7.33</v>
      </c>
      <c r="G3708" t="n">
        <v>8.68</v>
      </c>
      <c r="H3708" t="n">
        <v>6.73</v>
      </c>
      <c r="I3708" t="n">
        <v>7.98</v>
      </c>
      <c r="J3708" t="n">
        <v>9.449999999999999</v>
      </c>
      <c r="K3708" t="n">
        <v>11.2</v>
      </c>
    </row>
    <row r="3709" ht="12" customHeight="1" s="545">
      <c r="C3709" t="n">
        <v>5000</v>
      </c>
      <c r="D3709" t="n">
        <v>4.83</v>
      </c>
      <c r="E3709" t="n">
        <v>5.7</v>
      </c>
      <c r="F3709" t="n">
        <v>6.72</v>
      </c>
      <c r="G3709" t="n">
        <v>7.92</v>
      </c>
      <c r="H3709" t="n">
        <v>6.18</v>
      </c>
      <c r="I3709" t="n">
        <v>7.29</v>
      </c>
      <c r="J3709" t="n">
        <v>8.6</v>
      </c>
      <c r="K3709" t="n">
        <v>10.15</v>
      </c>
    </row>
    <row r="3710" ht="12" customHeight="1" s="545">
      <c r="C3710" t="n">
        <v>10000</v>
      </c>
      <c r="D3710" t="n">
        <v>4.35</v>
      </c>
      <c r="E3710" t="n">
        <v>5.1</v>
      </c>
      <c r="F3710" t="n">
        <v>5.98</v>
      </c>
      <c r="G3710" t="n">
        <v>7.02</v>
      </c>
      <c r="H3710" t="n">
        <v>5.52</v>
      </c>
      <c r="I3710" t="n">
        <v>6.47</v>
      </c>
      <c r="J3710" t="n">
        <v>7.59</v>
      </c>
      <c r="K3710" t="n">
        <v>8.9</v>
      </c>
    </row>
    <row r="3711" ht="12" customHeight="1" s="545">
      <c r="C3711" t="n">
        <v>15000</v>
      </c>
      <c r="D3711" t="n">
        <v>4.09</v>
      </c>
      <c r="E3711" t="n">
        <v>4.78</v>
      </c>
      <c r="F3711" t="n">
        <v>5.59</v>
      </c>
      <c r="G3711" t="n">
        <v>6.54</v>
      </c>
      <c r="H3711" t="n">
        <v>5.17</v>
      </c>
      <c r="I3711" t="n">
        <v>6.05</v>
      </c>
      <c r="J3711" t="n">
        <v>7.08</v>
      </c>
      <c r="K3711" t="n">
        <v>8.279999999999999</v>
      </c>
    </row>
    <row r="3712" ht="12" customHeight="1" s="545">
      <c r="C3712" t="n">
        <v>20000</v>
      </c>
      <c r="D3712" t="n">
        <v>3.93</v>
      </c>
      <c r="E3712" t="n">
        <v>4.58</v>
      </c>
      <c r="F3712" t="n">
        <v>5.33</v>
      </c>
      <c r="G3712" t="n">
        <v>6.2</v>
      </c>
      <c r="H3712" t="n">
        <v>4.94</v>
      </c>
      <c r="I3712" t="n">
        <v>5.75</v>
      </c>
      <c r="J3712" t="n">
        <v>6.7</v>
      </c>
      <c r="K3712" t="n">
        <v>7.81</v>
      </c>
    </row>
    <row r="3713" ht="12" customHeight="1" s="545">
      <c r="C3713" t="n">
        <v>30000</v>
      </c>
      <c r="D3713" t="n">
        <v>3.64</v>
      </c>
      <c r="E3713" t="n">
        <v>4.24</v>
      </c>
      <c r="F3713" t="n">
        <v>4.94</v>
      </c>
      <c r="G3713" t="n">
        <v>5.76</v>
      </c>
      <c r="H3713" t="n">
        <v>4.59</v>
      </c>
      <c r="I3713" t="n">
        <v>5.35</v>
      </c>
      <c r="J3713" t="n">
        <v>6.23</v>
      </c>
      <c r="K3713" t="n">
        <v>7.26</v>
      </c>
    </row>
    <row r="3714" ht="12" customHeight="1" s="545">
      <c r="C3714" t="n">
        <v>40000</v>
      </c>
      <c r="D3714" t="n">
        <v>3.53</v>
      </c>
      <c r="E3714" t="n">
        <v>4.09</v>
      </c>
      <c r="F3714" t="n">
        <v>4.75</v>
      </c>
      <c r="G3714" t="n">
        <v>5.51</v>
      </c>
      <c r="H3714" t="n">
        <v>4.4</v>
      </c>
      <c r="I3714" t="n">
        <v>5.11</v>
      </c>
      <c r="J3714" t="n">
        <v>5.93</v>
      </c>
      <c r="K3714" t="n">
        <v>6.88</v>
      </c>
    </row>
    <row r="3715" ht="12" customHeight="1" s="545">
      <c r="C3715" t="n">
        <v>50000</v>
      </c>
      <c r="D3715" t="n">
        <v>3.41</v>
      </c>
      <c r="E3715" t="n">
        <v>3.95</v>
      </c>
      <c r="F3715" t="n">
        <v>4.58</v>
      </c>
      <c r="G3715" t="n">
        <v>5.31</v>
      </c>
      <c r="H3715" t="n">
        <v>4.27</v>
      </c>
      <c r="I3715" t="n">
        <v>4.94</v>
      </c>
      <c r="J3715" t="n">
        <v>5.71</v>
      </c>
      <c r="K3715" t="n">
        <v>6.6</v>
      </c>
    </row>
    <row r="3716" ht="12" customHeight="1" s="545">
      <c r="C3716" t="n">
        <v>75000</v>
      </c>
      <c r="D3716" t="n">
        <v>3.19</v>
      </c>
      <c r="E3716" t="n">
        <v>3.69</v>
      </c>
      <c r="F3716" t="n">
        <v>4.26</v>
      </c>
      <c r="G3716" t="n">
        <v>4.93</v>
      </c>
      <c r="H3716" t="n">
        <v>3.96</v>
      </c>
      <c r="I3716" t="n">
        <v>4.58</v>
      </c>
      <c r="J3716" t="n">
        <v>5.29</v>
      </c>
      <c r="K3716" t="n">
        <v>6.12</v>
      </c>
    </row>
    <row r="3717" ht="12" customHeight="1" s="545">
      <c r="C3717" t="n">
        <v>100000</v>
      </c>
      <c r="D3717" t="n">
        <v>3.04</v>
      </c>
      <c r="E3717" t="n">
        <v>3.51</v>
      </c>
      <c r="F3717" t="n">
        <v>4.05</v>
      </c>
      <c r="G3717" t="n">
        <v>4.67</v>
      </c>
      <c r="H3717" t="n">
        <v>3.78</v>
      </c>
      <c r="I3717" t="n">
        <v>4.36</v>
      </c>
      <c r="J3717" t="n">
        <v>5.03</v>
      </c>
      <c r="K3717" t="n">
        <v>5.8</v>
      </c>
    </row>
    <row r="3718" ht="12" customHeight="1" s="545">
      <c r="C3718" t="n">
        <v>125000</v>
      </c>
      <c r="D3718" t="n">
        <v>2.96</v>
      </c>
      <c r="E3718" t="n">
        <v>3.4</v>
      </c>
      <c r="F3718" t="n">
        <v>3.91</v>
      </c>
      <c r="G3718" t="n">
        <v>4.49</v>
      </c>
      <c r="H3718" t="n">
        <v>3.64</v>
      </c>
      <c r="I3718" t="n">
        <v>4.19</v>
      </c>
      <c r="J3718" t="n">
        <v>4.82</v>
      </c>
      <c r="K3718" t="n">
        <v>5.54</v>
      </c>
    </row>
    <row r="3719" ht="12" customHeight="1" s="545">
      <c r="C3719" t="n">
        <v>150000</v>
      </c>
      <c r="D3719" t="n">
        <v>2.87</v>
      </c>
      <c r="E3719" t="n">
        <v>3.3</v>
      </c>
      <c r="F3719" t="n">
        <v>3.79</v>
      </c>
      <c r="G3719" t="n">
        <v>4.35</v>
      </c>
      <c r="H3719" t="n">
        <v>3.53</v>
      </c>
      <c r="I3719" t="n">
        <v>4.06</v>
      </c>
      <c r="J3719" t="n">
        <v>4.66</v>
      </c>
      <c r="K3719" t="n">
        <v>5.36</v>
      </c>
    </row>
    <row r="3720" ht="12" customHeight="1" s="545">
      <c r="C3720" t="n">
        <v>200000</v>
      </c>
      <c r="D3720" t="n">
        <v>2.74</v>
      </c>
      <c r="E3720" t="n">
        <v>3.14</v>
      </c>
      <c r="F3720" t="n">
        <v>3.6</v>
      </c>
      <c r="G3720" t="n">
        <v>4.12</v>
      </c>
      <c r="H3720" t="n">
        <v>3.35</v>
      </c>
      <c r="I3720" t="n">
        <v>3.85</v>
      </c>
      <c r="J3720" t="n">
        <v>4.43</v>
      </c>
      <c r="K3720" t="n">
        <v>5.09</v>
      </c>
    </row>
    <row r="3721" ht="12" customHeight="1" s="545">
      <c r="C3721" t="n">
        <v>300000</v>
      </c>
      <c r="D3721" t="n">
        <v>2.59</v>
      </c>
      <c r="E3721" t="n">
        <v>2.97</v>
      </c>
      <c r="F3721" t="n">
        <v>3.4</v>
      </c>
      <c r="G3721" t="n">
        <v>3.9</v>
      </c>
      <c r="H3721" t="n">
        <v>3.19</v>
      </c>
      <c r="I3721" t="n">
        <v>3.64</v>
      </c>
      <c r="J3721" t="n">
        <v>4.15</v>
      </c>
      <c r="K3721" t="n">
        <v>4.73</v>
      </c>
    </row>
    <row r="3722" ht="12" customHeight="1" s="545">
      <c r="C3722" t="n">
        <v>400000</v>
      </c>
      <c r="D3722" t="n">
        <v>2.46</v>
      </c>
      <c r="E3722" t="n">
        <v>2.81</v>
      </c>
      <c r="F3722" t="n">
        <v>3.21</v>
      </c>
      <c r="G3722" t="n">
        <v>3.67</v>
      </c>
      <c r="H3722" t="n">
        <v>3.01</v>
      </c>
      <c r="I3722" t="n">
        <v>3.44</v>
      </c>
      <c r="J3722" t="n">
        <v>3.93</v>
      </c>
      <c r="K3722" t="n">
        <v>4.49</v>
      </c>
    </row>
    <row r="3723" ht="12" customHeight="1" s="545">
      <c r="C3723" t="n">
        <v>500000</v>
      </c>
      <c r="D3723" t="n">
        <v>2.38</v>
      </c>
      <c r="E3723" t="n">
        <v>2.71</v>
      </c>
      <c r="F3723" t="n">
        <v>3.1</v>
      </c>
      <c r="G3723" t="n">
        <v>3.53</v>
      </c>
      <c r="H3723" t="n">
        <v>2.9</v>
      </c>
      <c r="I3723" t="n">
        <v>3.31</v>
      </c>
      <c r="J3723" t="n">
        <v>3.77</v>
      </c>
      <c r="K3723" t="n">
        <v>4.3</v>
      </c>
    </row>
    <row r="3725" ht="12" customHeight="1" s="545">
      <c r="B3725" s="63" t="inlineStr">
        <is>
          <t>Section 12 -- MVS 12-39 (simple residential installs run 4.04-6.22/SF flat)</t>
        </is>
      </c>
      <c r="C3725" s="212" t="inlineStr">
        <is>
          <t>Coverage (SF)</t>
        </is>
      </c>
      <c r="D3725" s="212" t="inlineStr">
        <is>
          <t>Wet-Low</t>
        </is>
      </c>
      <c r="E3725" s="212" t="inlineStr">
        <is>
          <t>Wet-Avg</t>
        </is>
      </c>
      <c r="F3725" s="212" t="inlineStr">
        <is>
          <t>Wet-Good</t>
        </is>
      </c>
      <c r="G3725" s="212" t="inlineStr">
        <is>
          <t>Wet-Excl</t>
        </is>
      </c>
      <c r="H3725" s="212" t="inlineStr">
        <is>
          <t>Dry-Low</t>
        </is>
      </c>
      <c r="I3725" s="212" t="inlineStr">
        <is>
          <t>Dry-Avg</t>
        </is>
      </c>
      <c r="J3725" s="212" t="inlineStr">
        <is>
          <t>Dry-Good</t>
        </is>
      </c>
      <c r="K3725" s="212" t="inlineStr">
        <is>
          <t>Dry-Excl</t>
        </is>
      </c>
    </row>
    <row r="3726" ht="12" customHeight="1" s="545">
      <c r="C3726" t="n">
        <v>1500</v>
      </c>
      <c r="D3726" t="n">
        <v>5.02</v>
      </c>
      <c r="E3726" t="n">
        <v>5.94</v>
      </c>
      <c r="F3726" t="n">
        <v>7.04</v>
      </c>
      <c r="G3726" t="n">
        <v>8.33</v>
      </c>
      <c r="H3726" t="n">
        <v>6.47</v>
      </c>
      <c r="I3726" t="n">
        <v>7.65</v>
      </c>
      <c r="J3726" t="n">
        <v>9.050000000000001</v>
      </c>
      <c r="K3726" t="n">
        <v>10.7</v>
      </c>
    </row>
    <row r="3727" ht="12" customHeight="1" s="545">
      <c r="C3727" t="n">
        <v>3000</v>
      </c>
      <c r="D3727" t="n">
        <v>4.51</v>
      </c>
      <c r="E3727" t="n">
        <v>5.31</v>
      </c>
      <c r="F3727" t="n">
        <v>6.26</v>
      </c>
      <c r="G3727" t="n">
        <v>7.38</v>
      </c>
      <c r="H3727" t="n">
        <v>5.78</v>
      </c>
      <c r="I3727" t="n">
        <v>6.8</v>
      </c>
      <c r="J3727" t="n">
        <v>8</v>
      </c>
      <c r="K3727" t="n">
        <v>9.42</v>
      </c>
    </row>
    <row r="3728" ht="12" customHeight="1" s="545">
      <c r="C3728" t="n">
        <v>5000</v>
      </c>
      <c r="D3728" t="n">
        <v>4.21</v>
      </c>
      <c r="E3728" t="n">
        <v>4.93</v>
      </c>
      <c r="F3728" t="n">
        <v>5.78</v>
      </c>
      <c r="G3728" t="n">
        <v>6.77</v>
      </c>
      <c r="H3728" t="n">
        <v>5.34</v>
      </c>
      <c r="I3728" t="n">
        <v>6.25</v>
      </c>
      <c r="J3728" t="n">
        <v>7.31</v>
      </c>
      <c r="K3728" t="n">
        <v>8.550000000000001</v>
      </c>
    </row>
    <row r="3729" ht="12" customHeight="1" s="545">
      <c r="C3729" t="n">
        <v>10000</v>
      </c>
      <c r="D3729" t="n">
        <v>3.77</v>
      </c>
      <c r="E3729" t="n">
        <v>4.4</v>
      </c>
      <c r="F3729" t="n">
        <v>5.13</v>
      </c>
      <c r="G3729" t="n">
        <v>5.98</v>
      </c>
      <c r="H3729" t="n">
        <v>4.74</v>
      </c>
      <c r="I3729" t="n">
        <v>5.54</v>
      </c>
      <c r="J3729" t="n">
        <v>6.46</v>
      </c>
      <c r="K3729" t="n">
        <v>7.55</v>
      </c>
    </row>
    <row r="3730" ht="12" customHeight="1" s="545">
      <c r="C3730" t="n">
        <v>15000</v>
      </c>
      <c r="D3730" t="n">
        <v>3.55</v>
      </c>
      <c r="E3730" t="n">
        <v>4.13</v>
      </c>
      <c r="F3730" t="n">
        <v>4.8</v>
      </c>
      <c r="G3730" t="n">
        <v>5.58</v>
      </c>
      <c r="H3730" t="n">
        <v>4.45</v>
      </c>
      <c r="I3730" t="n">
        <v>5.18</v>
      </c>
      <c r="J3730" t="n">
        <v>6.02</v>
      </c>
      <c r="K3730" t="n">
        <v>7</v>
      </c>
    </row>
    <row r="3731" ht="12" customHeight="1" s="545">
      <c r="C3731" t="n">
        <v>20000</v>
      </c>
      <c r="D3731" t="n">
        <v>3.39</v>
      </c>
      <c r="E3731" t="n">
        <v>3.93</v>
      </c>
      <c r="F3731" t="n">
        <v>4.56</v>
      </c>
      <c r="G3731" t="n">
        <v>5.29</v>
      </c>
      <c r="H3731" t="n">
        <v>4.24</v>
      </c>
      <c r="I3731" t="n">
        <v>4.92</v>
      </c>
      <c r="J3731" t="n">
        <v>5.71</v>
      </c>
      <c r="K3731" t="n">
        <v>6.62</v>
      </c>
    </row>
    <row r="3732" ht="12" customHeight="1" s="545">
      <c r="C3732" t="n">
        <v>40000</v>
      </c>
      <c r="D3732" t="n">
        <v>3.08</v>
      </c>
      <c r="E3732" t="n">
        <v>3.55</v>
      </c>
      <c r="F3732" t="n">
        <v>4.09</v>
      </c>
      <c r="G3732" t="n">
        <v>4.71</v>
      </c>
      <c r="H3732" t="n">
        <v>3.81</v>
      </c>
      <c r="I3732" t="n">
        <v>4.39</v>
      </c>
      <c r="J3732" t="n">
        <v>5.07</v>
      </c>
      <c r="K3732" t="n">
        <v>5.84</v>
      </c>
    </row>
    <row r="3733" ht="12" customHeight="1" s="545">
      <c r="C3733" t="n">
        <v>50000</v>
      </c>
      <c r="D3733" t="n">
        <v>2.94</v>
      </c>
      <c r="E3733" t="n">
        <v>3.4</v>
      </c>
      <c r="F3733" t="n">
        <v>3.92</v>
      </c>
      <c r="G3733" t="n">
        <v>4.53</v>
      </c>
      <c r="H3733" t="n">
        <v>3.66</v>
      </c>
      <c r="I3733" t="n">
        <v>4.22</v>
      </c>
      <c r="J3733" t="n">
        <v>4.87</v>
      </c>
      <c r="K3733" t="n">
        <v>5.61</v>
      </c>
    </row>
    <row r="3734" ht="12" customHeight="1" s="545">
      <c r="C3734" t="n">
        <v>100000</v>
      </c>
      <c r="D3734" t="n">
        <v>2.65</v>
      </c>
      <c r="E3734" t="n">
        <v>3.04</v>
      </c>
      <c r="F3734" t="n">
        <v>3.49</v>
      </c>
      <c r="G3734" t="n">
        <v>4.01</v>
      </c>
      <c r="H3734" t="n">
        <v>3.26</v>
      </c>
      <c r="I3734" t="n">
        <v>3.74</v>
      </c>
      <c r="J3734" t="n">
        <v>4.3</v>
      </c>
      <c r="K3734" t="n">
        <v>4.94</v>
      </c>
    </row>
    <row r="3735" ht="12" customHeight="1" s="545">
      <c r="C3735" t="n">
        <v>150000</v>
      </c>
      <c r="D3735" t="n">
        <v>2.55</v>
      </c>
      <c r="E3735" t="n">
        <v>2.9</v>
      </c>
      <c r="F3735" t="n">
        <v>3.3</v>
      </c>
      <c r="G3735" t="n">
        <v>3.75</v>
      </c>
      <c r="H3735" t="n">
        <v>3.08</v>
      </c>
      <c r="I3735" t="n">
        <v>3.51</v>
      </c>
      <c r="J3735" t="n">
        <v>3.99</v>
      </c>
      <c r="K3735" t="n">
        <v>4.54</v>
      </c>
    </row>
    <row r="3736" ht="12" customHeight="1" s="545">
      <c r="C3736" t="n">
        <v>200000</v>
      </c>
      <c r="D3736" t="n">
        <v>2.41</v>
      </c>
      <c r="E3736" t="n">
        <v>2.74</v>
      </c>
      <c r="F3736" t="n">
        <v>3.12</v>
      </c>
      <c r="G3736" t="n">
        <v>3.55</v>
      </c>
      <c r="H3736" t="n">
        <v>2.91</v>
      </c>
      <c r="I3736" t="n">
        <v>3.31</v>
      </c>
      <c r="J3736" t="n">
        <v>3.78</v>
      </c>
      <c r="K3736" t="n">
        <v>4.3</v>
      </c>
    </row>
    <row r="3738" ht="12" customHeight="1" s="545">
      <c r="B3738" s="63" t="inlineStr">
        <is>
          <t>Section 13 -- MVS 13-40</t>
        </is>
      </c>
      <c r="C3738" s="212" t="inlineStr">
        <is>
          <t>Coverage (SF)</t>
        </is>
      </c>
      <c r="D3738" s="212" t="inlineStr">
        <is>
          <t>Wet-Low</t>
        </is>
      </c>
      <c r="E3738" s="212" t="inlineStr">
        <is>
          <t>Wet-Avg</t>
        </is>
      </c>
      <c r="F3738" s="212" t="inlineStr">
        <is>
          <t>Wet-Good</t>
        </is>
      </c>
      <c r="G3738" s="212" t="inlineStr">
        <is>
          <t>Wet-Excl</t>
        </is>
      </c>
      <c r="H3738" s="212" t="inlineStr">
        <is>
          <t>Dry-Low</t>
        </is>
      </c>
      <c r="I3738" s="212" t="inlineStr">
        <is>
          <t>Dry-Avg</t>
        </is>
      </c>
      <c r="J3738" s="212" t="inlineStr">
        <is>
          <t>Dry-Good</t>
        </is>
      </c>
      <c r="K3738" s="212" t="inlineStr">
        <is>
          <t>Dry-Excl</t>
        </is>
      </c>
    </row>
    <row r="3739" ht="12" customHeight="1" s="545">
      <c r="C3739" t="n">
        <v>1000</v>
      </c>
      <c r="D3739" t="n">
        <v>6.05</v>
      </c>
      <c r="E3739" t="n">
        <v>7.18</v>
      </c>
      <c r="F3739" t="n">
        <v>8.51</v>
      </c>
      <c r="G3739" t="n">
        <v>10.1</v>
      </c>
      <c r="H3739" t="n">
        <v>7.83</v>
      </c>
      <c r="I3739" t="n">
        <v>9.300000000000001</v>
      </c>
      <c r="J3739" t="n">
        <v>11.05</v>
      </c>
      <c r="K3739" t="n">
        <v>13.1</v>
      </c>
    </row>
    <row r="3740" ht="12" customHeight="1" s="545">
      <c r="C3740" t="n">
        <v>2000</v>
      </c>
      <c r="D3740" t="n">
        <v>5.46</v>
      </c>
      <c r="E3740" t="n">
        <v>6.43</v>
      </c>
      <c r="F3740" t="n">
        <v>7.57</v>
      </c>
      <c r="G3740" t="n">
        <v>8.92</v>
      </c>
      <c r="H3740" t="n">
        <v>6.99</v>
      </c>
      <c r="I3740" t="n">
        <v>8.24</v>
      </c>
      <c r="J3740" t="n">
        <v>9.710000000000001</v>
      </c>
      <c r="K3740" t="n">
        <v>11.45</v>
      </c>
    </row>
    <row r="3741" ht="12" customHeight="1" s="545">
      <c r="C3741" t="n">
        <v>3000</v>
      </c>
      <c r="D3741" t="n">
        <v>5.13</v>
      </c>
      <c r="E3741" t="n">
        <v>6.03</v>
      </c>
      <c r="F3741" t="n">
        <v>7.08</v>
      </c>
      <c r="G3741" t="n">
        <v>8.32</v>
      </c>
      <c r="H3741" t="n">
        <v>6.53</v>
      </c>
      <c r="I3741" t="n">
        <v>7.67</v>
      </c>
      <c r="J3741" t="n">
        <v>9.02</v>
      </c>
      <c r="K3741" t="n">
        <v>10.6</v>
      </c>
    </row>
    <row r="3742" ht="12" customHeight="1" s="545">
      <c r="C3742" t="n">
        <v>5000</v>
      </c>
      <c r="D3742" t="n">
        <v>4.73</v>
      </c>
      <c r="E3742" t="n">
        <v>5.54</v>
      </c>
      <c r="F3742" t="n">
        <v>6.5</v>
      </c>
      <c r="G3742" t="n">
        <v>7.62</v>
      </c>
      <c r="H3742" t="n">
        <v>6.02</v>
      </c>
      <c r="I3742" t="n">
        <v>7.05</v>
      </c>
      <c r="J3742" t="n">
        <v>8.26</v>
      </c>
      <c r="K3742" t="n">
        <v>9.67</v>
      </c>
    </row>
    <row r="3743" ht="12" customHeight="1" s="545">
      <c r="C3743" t="n">
        <v>10000</v>
      </c>
      <c r="D3743" t="n">
        <v>4.26</v>
      </c>
      <c r="E3743" t="n">
        <v>4.96</v>
      </c>
      <c r="F3743" t="n">
        <v>5.77</v>
      </c>
      <c r="G3743" t="n">
        <v>6.72</v>
      </c>
      <c r="H3743" t="n">
        <v>5.35</v>
      </c>
      <c r="I3743" t="n">
        <v>6.23</v>
      </c>
      <c r="J3743" t="n">
        <v>7.26</v>
      </c>
      <c r="K3743" t="n">
        <v>8.449999999999999</v>
      </c>
    </row>
    <row r="3744" ht="12" customHeight="1" s="545">
      <c r="C3744" t="n">
        <v>15000</v>
      </c>
      <c r="D3744" t="n">
        <v>3.99</v>
      </c>
      <c r="E3744" t="n">
        <v>4.64</v>
      </c>
      <c r="F3744" t="n">
        <v>5.39</v>
      </c>
      <c r="G3744" t="n">
        <v>6.26</v>
      </c>
      <c r="H3744" t="n">
        <v>5</v>
      </c>
      <c r="I3744" t="n">
        <v>5.81</v>
      </c>
      <c r="J3744" t="n">
        <v>6.74</v>
      </c>
      <c r="K3744" t="n">
        <v>7.83</v>
      </c>
    </row>
    <row r="3745" ht="12" customHeight="1" s="545">
      <c r="C3745" t="n">
        <v>20000</v>
      </c>
      <c r="D3745" t="n">
        <v>3.83</v>
      </c>
      <c r="E3745" t="n">
        <v>4.44</v>
      </c>
      <c r="F3745" t="n">
        <v>5.15</v>
      </c>
      <c r="G3745" t="n">
        <v>5.97</v>
      </c>
      <c r="H3745" t="n">
        <v>4.78</v>
      </c>
      <c r="I3745" t="n">
        <v>5.54</v>
      </c>
      <c r="J3745" t="n">
        <v>6.41</v>
      </c>
      <c r="K3745" t="n">
        <v>7.43</v>
      </c>
    </row>
    <row r="3746" ht="12" customHeight="1" s="545">
      <c r="C3746" t="n">
        <v>30000</v>
      </c>
      <c r="D3746" t="n">
        <v>3.6</v>
      </c>
      <c r="E3746" t="n">
        <v>4.16</v>
      </c>
      <c r="F3746" t="n">
        <v>4.8</v>
      </c>
      <c r="G3746" t="n">
        <v>5.54</v>
      </c>
      <c r="H3746" t="n">
        <v>4.48</v>
      </c>
      <c r="I3746" t="n">
        <v>5.17</v>
      </c>
      <c r="J3746" t="n">
        <v>5.97</v>
      </c>
      <c r="K3746" t="n">
        <v>6.89</v>
      </c>
    </row>
    <row r="3747" ht="12" customHeight="1" s="545">
      <c r="C3747" t="n">
        <v>50000</v>
      </c>
      <c r="D3747" t="n">
        <v>3.35</v>
      </c>
      <c r="E3747" t="n">
        <v>3.85</v>
      </c>
      <c r="F3747" t="n">
        <v>4.42</v>
      </c>
      <c r="G3747" t="n">
        <v>5.07</v>
      </c>
      <c r="H3747" t="n">
        <v>4.13</v>
      </c>
      <c r="I3747" t="n">
        <v>4.73</v>
      </c>
      <c r="J3747" t="n">
        <v>5.43</v>
      </c>
      <c r="K3747" t="n">
        <v>6.22</v>
      </c>
    </row>
    <row r="3748" ht="12" customHeight="1" s="545">
      <c r="C3748" t="n">
        <v>75000</v>
      </c>
      <c r="D3748" t="n">
        <v>3.11</v>
      </c>
      <c r="E3748" t="n">
        <v>3.57</v>
      </c>
      <c r="F3748" t="n">
        <v>4.1</v>
      </c>
      <c r="G3748" t="n">
        <v>4.7</v>
      </c>
      <c r="H3748" t="n">
        <v>3.83</v>
      </c>
      <c r="I3748" t="n">
        <v>4.39</v>
      </c>
      <c r="J3748" t="n">
        <v>5.03</v>
      </c>
      <c r="K3748" t="n">
        <v>5.76</v>
      </c>
    </row>
    <row r="3749" ht="12" customHeight="1" s="545">
      <c r="C3749" t="n">
        <v>100000</v>
      </c>
      <c r="D3749" t="n">
        <v>2.97</v>
      </c>
      <c r="E3749" t="n">
        <v>3.41</v>
      </c>
      <c r="F3749" t="n">
        <v>3.91</v>
      </c>
      <c r="G3749" t="n">
        <v>4.48</v>
      </c>
      <c r="H3749" t="n">
        <v>3.65</v>
      </c>
      <c r="I3749" t="n">
        <v>4.18</v>
      </c>
      <c r="J3749" t="n">
        <v>4.79</v>
      </c>
      <c r="K3749" t="n">
        <v>5.49</v>
      </c>
    </row>
    <row r="3750" ht="12" customHeight="1" s="545">
      <c r="C3750" t="n">
        <v>150000</v>
      </c>
      <c r="D3750" t="n">
        <v>2.79</v>
      </c>
      <c r="E3750" t="n">
        <v>3.2</v>
      </c>
      <c r="F3750" t="n">
        <v>3.66</v>
      </c>
      <c r="G3750" t="n">
        <v>4.19</v>
      </c>
      <c r="H3750" t="n">
        <v>3.43</v>
      </c>
      <c r="I3750" t="n">
        <v>3.92</v>
      </c>
      <c r="J3750" t="n">
        <v>4.49</v>
      </c>
      <c r="K3750" t="n">
        <v>5.13</v>
      </c>
    </row>
    <row r="3751" ht="12" customHeight="1" s="545">
      <c r="C3751" t="n">
        <v>200000</v>
      </c>
      <c r="D3751" t="n">
        <v>2.7</v>
      </c>
      <c r="E3751" t="n">
        <v>3.07</v>
      </c>
      <c r="F3751" t="n">
        <v>3.49</v>
      </c>
      <c r="G3751" t="n">
        <v>3.97</v>
      </c>
      <c r="H3751" t="n">
        <v>3.29</v>
      </c>
      <c r="I3751" t="n">
        <v>3.73</v>
      </c>
      <c r="J3751" t="n">
        <v>4.24</v>
      </c>
      <c r="K3751" t="n">
        <v>4.81</v>
      </c>
    </row>
    <row r="3752" ht="12" customHeight="1" s="545">
      <c r="C3752" t="n">
        <v>300000</v>
      </c>
      <c r="D3752" t="n">
        <v>2.52</v>
      </c>
      <c r="E3752" t="n">
        <v>2.86</v>
      </c>
      <c r="F3752" t="n">
        <v>3.24</v>
      </c>
      <c r="G3752" t="n">
        <v>3.68</v>
      </c>
      <c r="H3752" t="n">
        <v>3.05</v>
      </c>
      <c r="I3752" t="n">
        <v>3.46</v>
      </c>
      <c r="J3752" t="n">
        <v>3.93</v>
      </c>
      <c r="K3752" t="n">
        <v>4.46</v>
      </c>
    </row>
    <row r="3753" ht="12" customHeight="1" s="545">
      <c r="C3753" t="n">
        <v>400000</v>
      </c>
      <c r="D3753" t="n">
        <v>2.43</v>
      </c>
      <c r="E3753" t="n">
        <v>2.74</v>
      </c>
      <c r="F3753" t="n">
        <v>3.09</v>
      </c>
      <c r="G3753" t="n">
        <v>3.49</v>
      </c>
      <c r="H3753" t="n">
        <v>2.91</v>
      </c>
      <c r="I3753" t="n">
        <v>3.29</v>
      </c>
      <c r="J3753" t="n">
        <v>3.71</v>
      </c>
      <c r="K3753" t="n">
        <v>4.19</v>
      </c>
    </row>
    <row r="3754" ht="12" customHeight="1" s="545">
      <c r="C3754" t="n">
        <v>600000</v>
      </c>
      <c r="D3754" t="n">
        <v>2.27</v>
      </c>
      <c r="E3754" t="n">
        <v>2.56</v>
      </c>
      <c r="F3754" t="n">
        <v>2.9</v>
      </c>
      <c r="G3754" t="n">
        <v>3.27</v>
      </c>
      <c r="H3754" t="n">
        <v>2.72</v>
      </c>
      <c r="I3754" t="n">
        <v>3.07</v>
      </c>
      <c r="J3754" t="n">
        <v>3.46</v>
      </c>
      <c r="K3754" t="n">
        <v>3.91</v>
      </c>
    </row>
    <row r="3755" ht="12" customHeight="1" s="545">
      <c r="C3755" t="n">
        <v>800000</v>
      </c>
      <c r="D3755" t="n">
        <v>2.19</v>
      </c>
      <c r="E3755" t="n">
        <v>2.46</v>
      </c>
      <c r="F3755" t="n">
        <v>2.77</v>
      </c>
      <c r="G3755" t="n">
        <v>3.11</v>
      </c>
      <c r="H3755" t="n">
        <v>2.62</v>
      </c>
      <c r="I3755" t="n">
        <v>2.94</v>
      </c>
      <c r="J3755" t="n">
        <v>3.31</v>
      </c>
      <c r="K3755" t="n">
        <v>3.72</v>
      </c>
    </row>
    <row r="3756" ht="12" customHeight="1" s="545">
      <c r="C3756" t="n">
        <v>1000000</v>
      </c>
      <c r="D3756" t="n">
        <v>2.11</v>
      </c>
      <c r="E3756" t="n">
        <v>2.37</v>
      </c>
      <c r="F3756" t="n">
        <v>2.66</v>
      </c>
      <c r="G3756" t="n">
        <v>2.99</v>
      </c>
      <c r="H3756" t="n">
        <v>2.52</v>
      </c>
      <c r="I3756" t="n">
        <v>2.83</v>
      </c>
      <c r="J3756" t="n">
        <v>3.17</v>
      </c>
      <c r="K3756" t="n">
        <v>3.56</v>
      </c>
    </row>
    <row r="3758" ht="12" customHeight="1" s="545">
      <c r="B3758" s="63" t="inlineStr">
        <is>
          <t>Section 14 -- MVS 14-37</t>
        </is>
      </c>
      <c r="C3758" s="212" t="inlineStr">
        <is>
          <t>Coverage (SF)</t>
        </is>
      </c>
      <c r="D3758" s="212" t="inlineStr">
        <is>
          <t>Wet-Low</t>
        </is>
      </c>
      <c r="E3758" s="212" t="inlineStr">
        <is>
          <t>Wet-Avg</t>
        </is>
      </c>
      <c r="F3758" s="212" t="inlineStr">
        <is>
          <t>Wet-Good</t>
        </is>
      </c>
      <c r="G3758" s="212" t="inlineStr">
        <is>
          <t>Wet-Excl</t>
        </is>
      </c>
      <c r="H3758" s="212" t="inlineStr">
        <is>
          <t>Dry-Low</t>
        </is>
      </c>
      <c r="I3758" s="212" t="inlineStr">
        <is>
          <t>Dry-Avg</t>
        </is>
      </c>
      <c r="J3758" s="212" t="inlineStr">
        <is>
          <t>Dry-Good</t>
        </is>
      </c>
      <c r="K3758" s="212" t="inlineStr">
        <is>
          <t>Dry-Excl</t>
        </is>
      </c>
    </row>
    <row r="3759" ht="12" customHeight="1" s="545">
      <c r="C3759" t="n">
        <v>2500</v>
      </c>
      <c r="D3759" t="n">
        <v>4.64</v>
      </c>
      <c r="E3759" t="n">
        <v>5.62</v>
      </c>
      <c r="F3759" t="n">
        <v>6.8</v>
      </c>
      <c r="G3759" t="n">
        <v>8.24</v>
      </c>
      <c r="H3759" t="n">
        <v>6.17</v>
      </c>
      <c r="I3759" t="n">
        <v>7.47</v>
      </c>
      <c r="J3759" t="n">
        <v>9.039999999999999</v>
      </c>
      <c r="K3759" t="n">
        <v>10.95</v>
      </c>
    </row>
    <row r="3760" ht="12" customHeight="1" s="545">
      <c r="C3760" t="n">
        <v>5000</v>
      </c>
      <c r="D3760" t="n">
        <v>4.17</v>
      </c>
      <c r="E3760" t="n">
        <v>5.02</v>
      </c>
      <c r="F3760" t="n">
        <v>6.05</v>
      </c>
      <c r="G3760" t="n">
        <v>7.28</v>
      </c>
      <c r="H3760" t="n">
        <v>5.51</v>
      </c>
      <c r="I3760" t="n">
        <v>6.64</v>
      </c>
      <c r="J3760" t="n">
        <v>7.99</v>
      </c>
      <c r="K3760" t="n">
        <v>9.630000000000001</v>
      </c>
    </row>
    <row r="3761" ht="12" customHeight="1" s="545">
      <c r="C3761" t="n">
        <v>10000</v>
      </c>
      <c r="D3761" t="n">
        <v>3.77</v>
      </c>
      <c r="E3761" t="n">
        <v>4.52</v>
      </c>
      <c r="F3761" t="n">
        <v>5.41</v>
      </c>
      <c r="G3761" t="n">
        <v>6.48</v>
      </c>
      <c r="H3761" t="n">
        <v>4.95</v>
      </c>
      <c r="I3761" t="n">
        <v>5.93</v>
      </c>
      <c r="J3761" t="n">
        <v>7.09</v>
      </c>
      <c r="K3761" t="n">
        <v>8.49</v>
      </c>
    </row>
    <row r="3762" ht="12" customHeight="1" s="545">
      <c r="C3762" t="n">
        <v>15000</v>
      </c>
      <c r="D3762" t="n">
        <v>3.54</v>
      </c>
      <c r="E3762" t="n">
        <v>4.23</v>
      </c>
      <c r="F3762" t="n">
        <v>5.05</v>
      </c>
      <c r="G3762" t="n">
        <v>6.03</v>
      </c>
      <c r="H3762" t="n">
        <v>4.62</v>
      </c>
      <c r="I3762" t="n">
        <v>5.52</v>
      </c>
      <c r="J3762" t="n">
        <v>6.6</v>
      </c>
      <c r="K3762" t="n">
        <v>7.88</v>
      </c>
    </row>
    <row r="3763" ht="12" customHeight="1" s="545">
      <c r="C3763" t="n">
        <v>20000</v>
      </c>
      <c r="D3763" t="n">
        <v>3.37</v>
      </c>
      <c r="E3763" t="n">
        <v>4.02</v>
      </c>
      <c r="F3763" t="n">
        <v>4.78</v>
      </c>
      <c r="G3763" t="n">
        <v>5.7</v>
      </c>
      <c r="H3763" t="n">
        <v>4.37</v>
      </c>
      <c r="I3763" t="n">
        <v>5.21</v>
      </c>
      <c r="J3763" t="n">
        <v>6.22</v>
      </c>
      <c r="K3763" t="n">
        <v>7.42</v>
      </c>
    </row>
    <row r="3764" ht="12" customHeight="1" s="545">
      <c r="C3764" t="n">
        <v>30000</v>
      </c>
      <c r="D3764" t="n">
        <v>3.18</v>
      </c>
      <c r="E3764" t="n">
        <v>3.78</v>
      </c>
      <c r="F3764" t="n">
        <v>4.49</v>
      </c>
      <c r="G3764" t="n">
        <v>5.34</v>
      </c>
      <c r="H3764" t="n">
        <v>4.12</v>
      </c>
      <c r="I3764" t="n">
        <v>4.89</v>
      </c>
      <c r="J3764" t="n">
        <v>5.8</v>
      </c>
      <c r="K3764" t="n">
        <v>6.89</v>
      </c>
    </row>
    <row r="3765" ht="12" customHeight="1" s="545">
      <c r="C3765" t="n">
        <v>40000</v>
      </c>
      <c r="D3765" t="n">
        <v>3.04</v>
      </c>
      <c r="E3765" t="n">
        <v>3.6</v>
      </c>
      <c r="F3765" t="n">
        <v>4.27</v>
      </c>
      <c r="G3765" t="n">
        <v>5.06</v>
      </c>
      <c r="H3765" t="n">
        <v>3.93</v>
      </c>
      <c r="I3765" t="n">
        <v>4.65</v>
      </c>
      <c r="J3765" t="n">
        <v>5.51</v>
      </c>
      <c r="K3765" t="n">
        <v>6.53</v>
      </c>
    </row>
    <row r="3766" ht="12" customHeight="1" s="545">
      <c r="C3766" t="n">
        <v>50000</v>
      </c>
      <c r="D3766" t="n">
        <v>2.96</v>
      </c>
      <c r="E3766" t="n">
        <v>3.5</v>
      </c>
      <c r="F3766" t="n">
        <v>4.14</v>
      </c>
      <c r="G3766" t="n">
        <v>4.89</v>
      </c>
      <c r="H3766" t="n">
        <v>3.79</v>
      </c>
      <c r="I3766" t="n">
        <v>4.48</v>
      </c>
      <c r="J3766" t="n">
        <v>5.3</v>
      </c>
      <c r="K3766" t="n">
        <v>6.27</v>
      </c>
    </row>
    <row r="3767" ht="12" customHeight="1" s="545">
      <c r="C3767" t="n">
        <v>60000</v>
      </c>
      <c r="D3767" t="n">
        <v>2.87</v>
      </c>
      <c r="E3767" t="n">
        <v>3.39</v>
      </c>
      <c r="F3767" t="n">
        <v>3.99</v>
      </c>
      <c r="G3767" t="n">
        <v>4.71</v>
      </c>
      <c r="H3767" t="n">
        <v>3.67</v>
      </c>
      <c r="I3767" t="n">
        <v>4.33</v>
      </c>
      <c r="J3767" t="n">
        <v>5.11</v>
      </c>
      <c r="K3767" t="n">
        <v>6.03</v>
      </c>
    </row>
    <row r="3768" ht="12" customHeight="1" s="545">
      <c r="C3768" t="n">
        <v>80000</v>
      </c>
      <c r="D3768" t="n">
        <v>2.74</v>
      </c>
      <c r="E3768" t="n">
        <v>3.22</v>
      </c>
      <c r="F3768" t="n">
        <v>3.79</v>
      </c>
      <c r="G3768" t="n">
        <v>4.46</v>
      </c>
      <c r="H3768" t="n">
        <v>3.49</v>
      </c>
      <c r="I3768" t="n">
        <v>4.11</v>
      </c>
      <c r="J3768" t="n">
        <v>4.85</v>
      </c>
      <c r="K3768" t="n">
        <v>5.72</v>
      </c>
    </row>
    <row r="3769" ht="12" customHeight="1" s="545">
      <c r="C3769" t="n">
        <v>100000</v>
      </c>
      <c r="D3769" t="n">
        <v>2.66</v>
      </c>
      <c r="E3769" t="n">
        <v>3.13</v>
      </c>
      <c r="F3769" t="n">
        <v>3.68</v>
      </c>
      <c r="G3769" t="n">
        <v>4.32</v>
      </c>
      <c r="H3769" t="n">
        <v>3.4</v>
      </c>
      <c r="I3769" t="n">
        <v>3.99</v>
      </c>
      <c r="J3769" t="n">
        <v>4.69</v>
      </c>
      <c r="K3769" t="n">
        <v>5.51</v>
      </c>
    </row>
    <row r="3770" ht="12" customHeight="1" s="545">
      <c r="C3770" t="n">
        <v>125000</v>
      </c>
      <c r="D3770" t="n">
        <v>2.57</v>
      </c>
      <c r="E3770" t="n">
        <v>3.02</v>
      </c>
      <c r="F3770" t="n">
        <v>3.54</v>
      </c>
      <c r="G3770" t="n">
        <v>4.15</v>
      </c>
      <c r="H3770" t="n">
        <v>3.26</v>
      </c>
      <c r="I3770" t="n">
        <v>3.83</v>
      </c>
      <c r="J3770" t="n">
        <v>4.5</v>
      </c>
      <c r="K3770" t="n">
        <v>5.28</v>
      </c>
    </row>
    <row r="3771" ht="12" customHeight="1" s="545">
      <c r="C3771" t="n">
        <v>150000</v>
      </c>
      <c r="D3771" t="n">
        <v>2.49</v>
      </c>
      <c r="E3771" t="n">
        <v>2.92</v>
      </c>
      <c r="F3771" t="n">
        <v>3.43</v>
      </c>
      <c r="G3771" t="n">
        <v>4.03</v>
      </c>
      <c r="H3771" t="n">
        <v>3.16</v>
      </c>
      <c r="I3771" t="n">
        <v>3.71</v>
      </c>
      <c r="J3771" t="n">
        <v>4.35</v>
      </c>
      <c r="K3771" t="n">
        <v>5.11</v>
      </c>
    </row>
    <row r="3772" ht="12" customHeight="1" s="545">
      <c r="C3772" t="n">
        <v>200000</v>
      </c>
      <c r="D3772" t="n">
        <v>2.4</v>
      </c>
      <c r="E3772" t="n">
        <v>2.81</v>
      </c>
      <c r="F3772" t="n">
        <v>3.28</v>
      </c>
      <c r="G3772" t="n">
        <v>3.84</v>
      </c>
      <c r="H3772" t="n">
        <v>3.04</v>
      </c>
      <c r="I3772" t="n">
        <v>3.55</v>
      </c>
      <c r="J3772" t="n">
        <v>4.16</v>
      </c>
      <c r="K3772" t="n">
        <v>4.86</v>
      </c>
    </row>
    <row r="3773" ht="12" customHeight="1" s="545">
      <c r="C3773" t="n">
        <v>250000</v>
      </c>
      <c r="D3773" t="n">
        <v>2.32</v>
      </c>
      <c r="E3773" t="n">
        <v>2.71</v>
      </c>
      <c r="F3773" t="n">
        <v>3.16</v>
      </c>
      <c r="G3773" t="n">
        <v>3.68</v>
      </c>
      <c r="H3773" t="n">
        <v>2.91</v>
      </c>
      <c r="I3773" t="n">
        <v>3.4</v>
      </c>
      <c r="J3773" t="n">
        <v>3.97</v>
      </c>
      <c r="K3773" t="n">
        <v>4.64</v>
      </c>
    </row>
    <row r="3774" ht="12" customHeight="1" s="545">
      <c r="C3774" t="n">
        <v>300000</v>
      </c>
      <c r="D3774" t="n">
        <v>2.26</v>
      </c>
      <c r="E3774" t="n">
        <v>2.63</v>
      </c>
      <c r="F3774" t="n">
        <v>3.06</v>
      </c>
      <c r="G3774" t="n">
        <v>3.56</v>
      </c>
      <c r="H3774" t="n">
        <v>2.83</v>
      </c>
      <c r="I3774" t="n">
        <v>3.29</v>
      </c>
      <c r="J3774" t="n">
        <v>3.83</v>
      </c>
      <c r="K3774" t="n">
        <v>4.45</v>
      </c>
    </row>
    <row r="3775" ht="12" customHeight="1" s="545">
      <c r="C3775" t="n">
        <v>400000</v>
      </c>
      <c r="D3775" t="n">
        <v>2.18</v>
      </c>
      <c r="E3775" t="n">
        <v>2.53</v>
      </c>
      <c r="F3775" t="n">
        <v>2.93</v>
      </c>
      <c r="G3775" t="n">
        <v>3.4</v>
      </c>
      <c r="H3775" t="n">
        <v>2.73</v>
      </c>
      <c r="I3775" t="n">
        <v>3.16</v>
      </c>
      <c r="J3775" t="n">
        <v>3.66</v>
      </c>
      <c r="K3775" t="n">
        <v>4.23</v>
      </c>
    </row>
    <row r="3776" ht="12" customHeight="1" s="545">
      <c r="C3776" t="n">
        <v>600000</v>
      </c>
      <c r="D3776" t="n">
        <v>2.02</v>
      </c>
      <c r="E3776" t="n">
        <v>2.34</v>
      </c>
      <c r="F3776" t="n">
        <v>2.72</v>
      </c>
      <c r="G3776" t="n">
        <v>3.15</v>
      </c>
      <c r="H3776" t="n">
        <v>2.52</v>
      </c>
      <c r="I3776" t="n">
        <v>2.93</v>
      </c>
      <c r="J3776" t="n">
        <v>3.4</v>
      </c>
      <c r="K3776" t="n">
        <v>3.95</v>
      </c>
    </row>
    <row r="3777" ht="12" customHeight="1" s="545">
      <c r="C3777" t="n">
        <v>800000</v>
      </c>
      <c r="D3777" t="n">
        <v>1.94</v>
      </c>
      <c r="E3777" t="n">
        <v>2.25</v>
      </c>
      <c r="F3777" t="n">
        <v>2.61</v>
      </c>
      <c r="G3777" t="n">
        <v>3.02</v>
      </c>
      <c r="H3777" t="n">
        <v>2.43</v>
      </c>
      <c r="I3777" t="n">
        <v>2.81</v>
      </c>
      <c r="J3777" t="n">
        <v>3.25</v>
      </c>
      <c r="K3777" t="n">
        <v>3.76</v>
      </c>
    </row>
    <row r="3778" ht="12" customHeight="1" s="545">
      <c r="C3778" t="n">
        <v>1000000</v>
      </c>
      <c r="D3778" t="n">
        <v>1.86</v>
      </c>
      <c r="E3778" t="n">
        <v>2.15</v>
      </c>
      <c r="F3778" t="n">
        <v>2.49</v>
      </c>
      <c r="G3778" t="n">
        <v>2.88</v>
      </c>
      <c r="H3778" t="n">
        <v>2.32</v>
      </c>
      <c r="I3778" t="n">
        <v>2.68</v>
      </c>
      <c r="J3778" t="n">
        <v>3.1</v>
      </c>
      <c r="K3778" t="n">
        <v>3.59</v>
      </c>
    </row>
    <row r="3780" ht="12" customHeight="1" s="545">
      <c r="B3780" s="63" t="inlineStr">
        <is>
          <t>Section 15 -- MVS 15-37</t>
        </is>
      </c>
      <c r="C3780" s="212" t="inlineStr">
        <is>
          <t>Coverage (SF)</t>
        </is>
      </c>
      <c r="D3780" s="212" t="inlineStr">
        <is>
          <t>Wet-Low</t>
        </is>
      </c>
      <c r="E3780" s="212" t="inlineStr">
        <is>
          <t>Wet-Avg</t>
        </is>
      </c>
      <c r="F3780" s="212" t="inlineStr">
        <is>
          <t>Wet-Good</t>
        </is>
      </c>
      <c r="G3780" s="212" t="inlineStr">
        <is>
          <t>Wet-Excl</t>
        </is>
      </c>
      <c r="H3780" s="212" t="inlineStr">
        <is>
          <t>Dry-Low</t>
        </is>
      </c>
      <c r="I3780" s="212" t="inlineStr">
        <is>
          <t>Dry-Avg</t>
        </is>
      </c>
      <c r="J3780" s="212" t="inlineStr">
        <is>
          <t>Dry-Good</t>
        </is>
      </c>
      <c r="K3780" s="212" t="inlineStr">
        <is>
          <t>Dry-Excl</t>
        </is>
      </c>
    </row>
    <row r="3781" ht="12" customHeight="1" s="545">
      <c r="C3781" t="n">
        <v>1500</v>
      </c>
      <c r="D3781" t="n">
        <v>6.24</v>
      </c>
      <c r="E3781" t="n">
        <v>7.41</v>
      </c>
      <c r="F3781" t="n">
        <v>8.800000000000001</v>
      </c>
      <c r="G3781" t="n">
        <v>10.45</v>
      </c>
      <c r="H3781" t="n">
        <v>8.08</v>
      </c>
      <c r="I3781" t="n">
        <v>9.6</v>
      </c>
      <c r="J3781" t="n">
        <v>11.4</v>
      </c>
      <c r="K3781" t="n">
        <v>13.55</v>
      </c>
    </row>
    <row r="3782" ht="12" customHeight="1" s="545">
      <c r="C3782" t="n">
        <v>5000</v>
      </c>
      <c r="D3782" t="n">
        <v>5.17</v>
      </c>
      <c r="E3782" t="n">
        <v>6.09</v>
      </c>
      <c r="F3782" t="n">
        <v>7.16</v>
      </c>
      <c r="G3782" t="n">
        <v>8.43</v>
      </c>
      <c r="H3782" t="n">
        <v>6.58</v>
      </c>
      <c r="I3782" t="n">
        <v>7.75</v>
      </c>
      <c r="J3782" t="n">
        <v>9.130000000000001</v>
      </c>
      <c r="K3782" t="n">
        <v>10.75</v>
      </c>
    </row>
    <row r="3783" ht="12" customHeight="1" s="545">
      <c r="C3783" t="n">
        <v>10000</v>
      </c>
      <c r="D3783" t="n">
        <v>4.65</v>
      </c>
      <c r="E3783" t="n">
        <v>5.45</v>
      </c>
      <c r="F3783" t="n">
        <v>6.38</v>
      </c>
      <c r="G3783" t="n">
        <v>7.47</v>
      </c>
      <c r="H3783" t="n">
        <v>5.89</v>
      </c>
      <c r="I3783" t="n">
        <v>6.9</v>
      </c>
      <c r="J3783" t="n">
        <v>8.07</v>
      </c>
      <c r="K3783" t="n">
        <v>9.449999999999999</v>
      </c>
    </row>
    <row r="3784" ht="12" customHeight="1" s="545">
      <c r="C3784" t="n">
        <v>20000</v>
      </c>
      <c r="D3784" t="n">
        <v>4.14</v>
      </c>
      <c r="E3784" t="n">
        <v>4.83</v>
      </c>
      <c r="F3784" t="n">
        <v>5.64</v>
      </c>
      <c r="G3784" t="n">
        <v>6.58</v>
      </c>
      <c r="H3784" t="n">
        <v>5.23</v>
      </c>
      <c r="I3784" t="n">
        <v>6.1</v>
      </c>
      <c r="J3784" t="n">
        <v>7.12</v>
      </c>
      <c r="K3784" t="n">
        <v>8.300000000000001</v>
      </c>
    </row>
    <row r="3785" ht="12" customHeight="1" s="545">
      <c r="C3785" t="n">
        <v>50000</v>
      </c>
      <c r="D3785" t="n">
        <v>3.61</v>
      </c>
      <c r="E3785" t="n">
        <v>4.17</v>
      </c>
      <c r="F3785" t="n">
        <v>4.83</v>
      </c>
      <c r="G3785" t="n">
        <v>5.58</v>
      </c>
      <c r="H3785" t="n">
        <v>4.47</v>
      </c>
      <c r="I3785" t="n">
        <v>5.18</v>
      </c>
      <c r="J3785" t="n">
        <v>6</v>
      </c>
      <c r="K3785" t="n">
        <v>6.96</v>
      </c>
    </row>
    <row r="3786" ht="12" customHeight="1" s="545">
      <c r="C3786" t="n">
        <v>100000</v>
      </c>
      <c r="D3786" t="n">
        <v>3.26</v>
      </c>
      <c r="E3786" t="n">
        <v>3.75</v>
      </c>
      <c r="F3786" t="n">
        <v>4.31</v>
      </c>
      <c r="G3786" t="n">
        <v>4.95</v>
      </c>
      <c r="H3786" t="n">
        <v>4</v>
      </c>
      <c r="I3786" t="n">
        <v>4.61</v>
      </c>
      <c r="J3786" t="n">
        <v>5.31</v>
      </c>
      <c r="K3786" t="n">
        <v>6.11</v>
      </c>
    </row>
    <row r="3787" ht="12" customHeight="1" s="545">
      <c r="C3787" t="n">
        <v>250000</v>
      </c>
      <c r="D3787" t="n">
        <v>2.8</v>
      </c>
      <c r="E3787" t="n">
        <v>3.21</v>
      </c>
      <c r="F3787" t="n">
        <v>3.67</v>
      </c>
      <c r="G3787" t="n">
        <v>4.21</v>
      </c>
      <c r="H3787" t="n">
        <v>3.43</v>
      </c>
      <c r="I3787" t="n">
        <v>3.93</v>
      </c>
      <c r="J3787" t="n">
        <v>4.5</v>
      </c>
      <c r="K3787" t="n">
        <v>5.15</v>
      </c>
    </row>
    <row r="3788" ht="12" customHeight="1" s="545">
      <c r="C3788" t="n">
        <v>500000</v>
      </c>
      <c r="D3788" t="n">
        <v>2.52</v>
      </c>
      <c r="E3788" t="n">
        <v>2.87</v>
      </c>
      <c r="F3788" t="n">
        <v>3.27</v>
      </c>
      <c r="G3788" t="n">
        <v>3.72</v>
      </c>
      <c r="H3788" t="n">
        <v>3.06</v>
      </c>
      <c r="I3788" t="n">
        <v>3.48</v>
      </c>
      <c r="J3788" t="n">
        <v>3.95</v>
      </c>
      <c r="K3788" t="n">
        <v>4.49</v>
      </c>
    </row>
    <row r="3790" ht="12" customHeight="1" s="545">
      <c r="B3790" s="63" t="inlineStr">
        <is>
          <t>Section 16 -- MVS 16-25</t>
        </is>
      </c>
      <c r="C3790" s="212" t="inlineStr">
        <is>
          <t>Coverage (SF)</t>
        </is>
      </c>
      <c r="D3790" s="212" t="inlineStr">
        <is>
          <t>Wet-Low</t>
        </is>
      </c>
      <c r="E3790" s="212" t="inlineStr">
        <is>
          <t>Wet-Avg</t>
        </is>
      </c>
      <c r="F3790" s="212" t="inlineStr">
        <is>
          <t>Wet-Good</t>
        </is>
      </c>
      <c r="G3790" s="212" t="inlineStr">
        <is>
          <t>Wet-Excl</t>
        </is>
      </c>
      <c r="H3790" s="212" t="inlineStr">
        <is>
          <t>Dry-Low</t>
        </is>
      </c>
      <c r="I3790" s="212" t="inlineStr">
        <is>
          <t>Dry-Avg</t>
        </is>
      </c>
      <c r="J3790" s="212" t="inlineStr">
        <is>
          <t>Dry-Good</t>
        </is>
      </c>
      <c r="K3790" s="212" t="inlineStr">
        <is>
          <t>Dry-Excl</t>
        </is>
      </c>
    </row>
    <row r="3791" ht="12" customHeight="1" s="545">
      <c r="C3791" t="n">
        <v>3000</v>
      </c>
      <c r="D3791" t="n">
        <v>5.55</v>
      </c>
      <c r="E3791" t="n">
        <v>6.53</v>
      </c>
      <c r="F3791" t="n">
        <v>7.67</v>
      </c>
      <c r="G3791" t="n">
        <v>9.02</v>
      </c>
      <c r="H3791" t="n">
        <v>7.09</v>
      </c>
      <c r="I3791" t="n">
        <v>8.33</v>
      </c>
      <c r="J3791" t="n">
        <v>9.789999999999999</v>
      </c>
      <c r="K3791" t="n">
        <v>11.5</v>
      </c>
    </row>
    <row r="3792" ht="12" customHeight="1" s="545">
      <c r="C3792" t="n">
        <v>5000</v>
      </c>
      <c r="D3792" t="n">
        <v>5.15</v>
      </c>
      <c r="E3792" t="n">
        <v>6.02</v>
      </c>
      <c r="F3792" t="n">
        <v>7.05</v>
      </c>
      <c r="G3792" t="n">
        <v>8.24</v>
      </c>
      <c r="H3792" t="n">
        <v>6.51</v>
      </c>
      <c r="I3792" t="n">
        <v>7.61</v>
      </c>
      <c r="J3792" t="n">
        <v>8.9</v>
      </c>
      <c r="K3792" t="n">
        <v>10.4</v>
      </c>
    </row>
    <row r="3793" ht="12" customHeight="1" s="545">
      <c r="C3793" t="n">
        <v>10000</v>
      </c>
      <c r="D3793" t="n">
        <v>4.64</v>
      </c>
      <c r="E3793" t="n">
        <v>5.39</v>
      </c>
      <c r="F3793" t="n">
        <v>6.27</v>
      </c>
      <c r="G3793" t="n">
        <v>7.28</v>
      </c>
      <c r="H3793" t="n">
        <v>5.8</v>
      </c>
      <c r="I3793" t="n">
        <v>6.73</v>
      </c>
      <c r="J3793" t="n">
        <v>7.82</v>
      </c>
      <c r="K3793" t="n">
        <v>9.08</v>
      </c>
    </row>
    <row r="3794" ht="12" customHeight="1" s="545">
      <c r="C3794" t="n">
        <v>15000</v>
      </c>
      <c r="D3794" t="n">
        <v>4.33</v>
      </c>
      <c r="E3794" t="n">
        <v>5.03</v>
      </c>
      <c r="F3794" t="n">
        <v>5.84</v>
      </c>
      <c r="G3794" t="n">
        <v>6.78</v>
      </c>
      <c r="H3794" t="n">
        <v>5.41</v>
      </c>
      <c r="I3794" t="n">
        <v>6.28</v>
      </c>
      <c r="J3794" t="n">
        <v>7.3</v>
      </c>
      <c r="K3794" t="n">
        <v>8.48</v>
      </c>
    </row>
    <row r="3795" ht="12" customHeight="1" s="545">
      <c r="C3795" t="n">
        <v>20000</v>
      </c>
      <c r="D3795" t="n">
        <v>4.15</v>
      </c>
      <c r="E3795" t="n">
        <v>4.81</v>
      </c>
      <c r="F3795" t="n">
        <v>5.57</v>
      </c>
      <c r="G3795" t="n">
        <v>6.45</v>
      </c>
      <c r="H3795" t="n">
        <v>5.17</v>
      </c>
      <c r="I3795" t="n">
        <v>5.98</v>
      </c>
      <c r="J3795" t="n">
        <v>6.93</v>
      </c>
      <c r="K3795" t="n">
        <v>8.02</v>
      </c>
    </row>
    <row r="3796" ht="12" customHeight="1" s="545">
      <c r="C3796" t="n">
        <v>30000</v>
      </c>
      <c r="D3796" t="n">
        <v>3.88</v>
      </c>
      <c r="E3796" t="n">
        <v>4.49</v>
      </c>
      <c r="F3796" t="n">
        <v>5.19</v>
      </c>
      <c r="G3796" t="n">
        <v>6.01</v>
      </c>
      <c r="H3796" t="n">
        <v>4.83</v>
      </c>
      <c r="I3796" t="n">
        <v>5.59</v>
      </c>
      <c r="J3796" t="n">
        <v>6.46</v>
      </c>
      <c r="K3796" t="n">
        <v>7.47</v>
      </c>
    </row>
    <row r="3797" ht="12" customHeight="1" s="545">
      <c r="C3797" t="n">
        <v>40000</v>
      </c>
      <c r="D3797" t="n">
        <v>3.73</v>
      </c>
      <c r="E3797" t="n">
        <v>4.3</v>
      </c>
      <c r="F3797" t="n">
        <v>4.95</v>
      </c>
      <c r="G3797" t="n">
        <v>5.71</v>
      </c>
      <c r="H3797" t="n">
        <v>4.61</v>
      </c>
      <c r="I3797" t="n">
        <v>5.31</v>
      </c>
      <c r="J3797" t="n">
        <v>6.12</v>
      </c>
      <c r="K3797" t="n">
        <v>7.05</v>
      </c>
    </row>
    <row r="3798" ht="12" customHeight="1" s="545">
      <c r="C3798" t="n">
        <v>60000</v>
      </c>
      <c r="D3798" t="n">
        <v>3.52</v>
      </c>
      <c r="E3798" t="n">
        <v>4.03</v>
      </c>
      <c r="F3798" t="n">
        <v>4.62</v>
      </c>
      <c r="G3798" t="n">
        <v>5.29</v>
      </c>
      <c r="H3798" t="n">
        <v>4.31</v>
      </c>
      <c r="I3798" t="n">
        <v>4.95</v>
      </c>
      <c r="J3798" t="n">
        <v>5.67</v>
      </c>
      <c r="K3798" t="n">
        <v>6.51</v>
      </c>
    </row>
    <row r="3799" ht="12" customHeight="1" s="545">
      <c r="C3799" t="n">
        <v>80000</v>
      </c>
      <c r="D3799" t="n">
        <v>3.36</v>
      </c>
      <c r="E3799" t="n">
        <v>3.85</v>
      </c>
      <c r="F3799" t="n">
        <v>4.4</v>
      </c>
      <c r="G3799" t="n">
        <v>5.04</v>
      </c>
      <c r="H3799" t="n">
        <v>4.12</v>
      </c>
      <c r="I3799" t="n">
        <v>4.72</v>
      </c>
      <c r="J3799" t="n">
        <v>5.4</v>
      </c>
      <c r="K3799" t="n">
        <v>6.18</v>
      </c>
    </row>
    <row r="3800" ht="12" customHeight="1" s="545">
      <c r="C3800" t="n">
        <v>100000</v>
      </c>
      <c r="D3800" t="n">
        <v>3.23</v>
      </c>
      <c r="E3800" t="n">
        <v>3.69</v>
      </c>
      <c r="F3800" t="n">
        <v>4.22</v>
      </c>
      <c r="G3800" t="n">
        <v>4.83</v>
      </c>
      <c r="H3800" t="n">
        <v>3.96</v>
      </c>
      <c r="I3800" t="n">
        <v>4.53</v>
      </c>
      <c r="J3800" t="n">
        <v>5.17</v>
      </c>
      <c r="K3800" t="n">
        <v>5.91</v>
      </c>
    </row>
    <row r="3801" ht="12" customHeight="1" s="545">
      <c r="C3801" t="n">
        <v>125000</v>
      </c>
      <c r="D3801" t="n">
        <v>3.15</v>
      </c>
      <c r="E3801" t="n">
        <v>3.59</v>
      </c>
      <c r="F3801" t="n">
        <v>4.09</v>
      </c>
      <c r="G3801" t="n">
        <v>4.66</v>
      </c>
      <c r="H3801" t="n">
        <v>3.84</v>
      </c>
      <c r="I3801" t="n">
        <v>4.37</v>
      </c>
      <c r="J3801" t="n">
        <v>4.98</v>
      </c>
      <c r="K3801" t="n">
        <v>5.67</v>
      </c>
    </row>
    <row r="3802" ht="12" customHeight="1" s="545">
      <c r="C3802" t="n">
        <v>150000</v>
      </c>
      <c r="D3802" t="n">
        <v>3.03</v>
      </c>
      <c r="E3802" t="n">
        <v>3.45</v>
      </c>
      <c r="F3802" t="n">
        <v>3.93</v>
      </c>
      <c r="G3802" t="n">
        <v>4.47</v>
      </c>
      <c r="H3802" t="n">
        <v>3.68</v>
      </c>
      <c r="I3802" t="n">
        <v>4.19</v>
      </c>
      <c r="J3802" t="n">
        <v>4.78</v>
      </c>
      <c r="K3802" t="n">
        <v>5.45</v>
      </c>
    </row>
    <row r="3803" ht="12" customHeight="1" s="545">
      <c r="C3803" t="n">
        <v>200000</v>
      </c>
      <c r="D3803" t="n">
        <v>2.92</v>
      </c>
      <c r="E3803" t="n">
        <v>3.32</v>
      </c>
      <c r="F3803" t="n">
        <v>3.77</v>
      </c>
      <c r="G3803" t="n">
        <v>4.28</v>
      </c>
      <c r="H3803" t="n">
        <v>3.53</v>
      </c>
      <c r="I3803" t="n">
        <v>4.01</v>
      </c>
      <c r="J3803" t="n">
        <v>4.56</v>
      </c>
      <c r="K3803" t="n">
        <v>5.18</v>
      </c>
    </row>
    <row r="3804" ht="12" customHeight="1" s="545">
      <c r="C3804" t="n">
        <v>250000</v>
      </c>
      <c r="D3804" t="n">
        <v>2.81</v>
      </c>
      <c r="E3804" t="n">
        <v>3.19</v>
      </c>
      <c r="F3804" t="n">
        <v>3.63</v>
      </c>
      <c r="G3804" t="n">
        <v>4.12</v>
      </c>
      <c r="H3804" t="n">
        <v>3.39</v>
      </c>
      <c r="I3804" t="n">
        <v>3.85</v>
      </c>
      <c r="J3804" t="n">
        <v>4.38</v>
      </c>
      <c r="K3804" t="n">
        <v>4.98</v>
      </c>
    </row>
    <row r="3805" ht="12" customHeight="1" s="545">
      <c r="C3805" t="n">
        <v>300000</v>
      </c>
      <c r="D3805" t="n">
        <v>2.74</v>
      </c>
      <c r="E3805" t="n">
        <v>3.1</v>
      </c>
      <c r="F3805" t="n">
        <v>3.51</v>
      </c>
      <c r="G3805" t="n">
        <v>3.98</v>
      </c>
      <c r="H3805" t="n">
        <v>3.3</v>
      </c>
      <c r="I3805" t="n">
        <v>3.74</v>
      </c>
      <c r="J3805" t="n">
        <v>4.23</v>
      </c>
      <c r="K3805" t="n">
        <v>4.79</v>
      </c>
    </row>
    <row r="3806" ht="12" customHeight="1" s="545">
      <c r="C3806" t="n">
        <v>400000</v>
      </c>
      <c r="D3806" t="n">
        <v>2.62</v>
      </c>
      <c r="E3806" t="n">
        <v>2.96</v>
      </c>
      <c r="F3806" t="n">
        <v>3.35</v>
      </c>
      <c r="G3806" t="n">
        <v>3.79</v>
      </c>
      <c r="H3806" t="n">
        <v>3.15</v>
      </c>
      <c r="I3806" t="n">
        <v>3.57</v>
      </c>
      <c r="J3806" t="n">
        <v>4.04</v>
      </c>
      <c r="K3806" t="n">
        <v>4.57</v>
      </c>
    </row>
    <row r="3807" ht="12" customHeight="1" s="545">
      <c r="C3807" t="n">
        <v>500000</v>
      </c>
      <c r="D3807" t="n">
        <v>2.55</v>
      </c>
      <c r="E3807" t="n">
        <v>2.87</v>
      </c>
      <c r="F3807" t="n">
        <v>3.24</v>
      </c>
      <c r="G3807" t="n">
        <v>3.65</v>
      </c>
      <c r="H3807" t="n">
        <v>3.04</v>
      </c>
      <c r="I3807" t="n">
        <v>3.42</v>
      </c>
      <c r="J3807" t="n">
        <v>3.85</v>
      </c>
      <c r="K3807" t="n">
        <v>4.34</v>
      </c>
    </row>
    <row r="3809" ht="12" customHeight="1" s="545">
      <c r="B3809" s="63" t="inlineStr">
        <is>
          <t>Section 18 -- MVS 18-36</t>
        </is>
      </c>
      <c r="C3809" s="212" t="inlineStr">
        <is>
          <t>Coverage (SF)</t>
        </is>
      </c>
      <c r="D3809" s="212" t="inlineStr">
        <is>
          <t>Wet-Low</t>
        </is>
      </c>
      <c r="E3809" s="212" t="inlineStr">
        <is>
          <t>Wet-Avg</t>
        </is>
      </c>
      <c r="F3809" s="212" t="inlineStr">
        <is>
          <t>Wet-Good</t>
        </is>
      </c>
      <c r="G3809" s="212" t="inlineStr">
        <is>
          <t>Wet-Excl</t>
        </is>
      </c>
      <c r="H3809" s="212" t="inlineStr">
        <is>
          <t>Dry-Low</t>
        </is>
      </c>
      <c r="I3809" s="212" t="inlineStr">
        <is>
          <t>Dry-Avg</t>
        </is>
      </c>
      <c r="J3809" s="212" t="inlineStr">
        <is>
          <t>Dry-Good</t>
        </is>
      </c>
      <c r="K3809" s="212" t="inlineStr">
        <is>
          <t>Dry-Excl</t>
        </is>
      </c>
    </row>
    <row r="3810" ht="12" customHeight="1" s="545">
      <c r="C3810" t="n">
        <v>3000</v>
      </c>
      <c r="D3810" t="n">
        <v>5.58</v>
      </c>
      <c r="E3810" t="n">
        <v>6.58</v>
      </c>
      <c r="F3810" t="n">
        <v>7.76</v>
      </c>
      <c r="G3810" t="n">
        <v>9.15</v>
      </c>
      <c r="H3810" t="n">
        <v>7.16</v>
      </c>
      <c r="I3810" t="n">
        <v>8.43</v>
      </c>
      <c r="J3810" t="n">
        <v>9.93</v>
      </c>
      <c r="K3810" t="n">
        <v>11.7</v>
      </c>
    </row>
    <row r="3811" ht="12" customHeight="1" s="545">
      <c r="C3811" t="n">
        <v>5000</v>
      </c>
      <c r="D3811" t="n">
        <v>5.19</v>
      </c>
      <c r="E3811" t="n">
        <v>6.09</v>
      </c>
      <c r="F3811" t="n">
        <v>7.14</v>
      </c>
      <c r="G3811" t="n">
        <v>8.369999999999999</v>
      </c>
      <c r="H3811" t="n">
        <v>6.59</v>
      </c>
      <c r="I3811" t="n">
        <v>7.73</v>
      </c>
      <c r="J3811" t="n">
        <v>9.08</v>
      </c>
      <c r="K3811" t="n">
        <v>10.65</v>
      </c>
    </row>
    <row r="3812" ht="12" customHeight="1" s="545">
      <c r="C3812" t="n">
        <v>10000</v>
      </c>
      <c r="D3812" t="n">
        <v>4.67</v>
      </c>
      <c r="E3812" t="n">
        <v>5.45</v>
      </c>
      <c r="F3812" t="n">
        <v>6.35</v>
      </c>
      <c r="G3812" t="n">
        <v>7.41</v>
      </c>
      <c r="H3812" t="n">
        <v>5.87</v>
      </c>
      <c r="I3812" t="n">
        <v>6.85</v>
      </c>
      <c r="J3812" t="n">
        <v>7.98</v>
      </c>
      <c r="K3812" t="n">
        <v>9.31</v>
      </c>
    </row>
    <row r="3813" ht="12" customHeight="1" s="545">
      <c r="C3813" t="n">
        <v>15000</v>
      </c>
      <c r="D3813" t="n">
        <v>4.38</v>
      </c>
      <c r="E3813" t="n">
        <v>5.09</v>
      </c>
      <c r="F3813" t="n">
        <v>5.92</v>
      </c>
      <c r="G3813" t="n">
        <v>6.88</v>
      </c>
      <c r="H3813" t="n">
        <v>5.49</v>
      </c>
      <c r="I3813" t="n">
        <v>6.38</v>
      </c>
      <c r="J3813" t="n">
        <v>7.41</v>
      </c>
      <c r="K3813" t="n">
        <v>8.609999999999999</v>
      </c>
    </row>
    <row r="3814" ht="12" customHeight="1" s="545">
      <c r="C3814" t="n">
        <v>20000</v>
      </c>
      <c r="D3814" t="n">
        <v>4.16</v>
      </c>
      <c r="E3814" t="n">
        <v>4.83</v>
      </c>
      <c r="F3814" t="n">
        <v>5.61</v>
      </c>
      <c r="G3814" t="n">
        <v>6.51</v>
      </c>
      <c r="H3814" t="n">
        <v>5.2</v>
      </c>
      <c r="I3814" t="n">
        <v>6.04</v>
      </c>
      <c r="J3814" t="n">
        <v>7.02</v>
      </c>
      <c r="K3814" t="n">
        <v>8.15</v>
      </c>
    </row>
    <row r="3815" ht="12" customHeight="1" s="545">
      <c r="C3815" t="n">
        <v>30000</v>
      </c>
      <c r="D3815" t="n">
        <v>3.93</v>
      </c>
      <c r="E3815" t="n">
        <v>4.55</v>
      </c>
      <c r="F3815" t="n">
        <v>5.26</v>
      </c>
      <c r="G3815" t="n">
        <v>6.09</v>
      </c>
      <c r="H3815" t="n">
        <v>4.89</v>
      </c>
      <c r="I3815" t="n">
        <v>5.65</v>
      </c>
      <c r="J3815" t="n">
        <v>6.53</v>
      </c>
      <c r="K3815" t="n">
        <v>7.55</v>
      </c>
    </row>
    <row r="3816" ht="12" customHeight="1" s="545">
      <c r="C3816" t="n">
        <v>50000</v>
      </c>
      <c r="D3816" t="n">
        <v>3.64</v>
      </c>
      <c r="E3816" t="n">
        <v>4.19</v>
      </c>
      <c r="F3816" t="n">
        <v>4.82</v>
      </c>
      <c r="G3816" t="n">
        <v>5.55</v>
      </c>
      <c r="H3816" t="n">
        <v>4.49</v>
      </c>
      <c r="I3816" t="n">
        <v>5.17</v>
      </c>
      <c r="J3816" t="n">
        <v>5.96</v>
      </c>
      <c r="K3816" t="n">
        <v>6.86</v>
      </c>
    </row>
    <row r="3817" ht="12" customHeight="1" s="545">
      <c r="C3817" t="n">
        <v>75000</v>
      </c>
      <c r="D3817" t="n">
        <v>3.45</v>
      </c>
      <c r="E3817" t="n">
        <v>3.95</v>
      </c>
      <c r="F3817" t="n">
        <v>4.53</v>
      </c>
      <c r="G3817" t="n">
        <v>5.19</v>
      </c>
      <c r="H3817" t="n">
        <v>4.23</v>
      </c>
      <c r="I3817" t="n">
        <v>4.85</v>
      </c>
      <c r="J3817" t="n">
        <v>5.55</v>
      </c>
      <c r="K3817" t="n">
        <v>6.36</v>
      </c>
    </row>
    <row r="3818" ht="12" customHeight="1" s="545">
      <c r="C3818" t="n">
        <v>100000</v>
      </c>
      <c r="D3818" t="n">
        <v>3.3</v>
      </c>
      <c r="E3818" t="n">
        <v>3.76</v>
      </c>
      <c r="F3818" t="n">
        <v>4.3</v>
      </c>
      <c r="G3818" t="n">
        <v>4.9</v>
      </c>
      <c r="H3818" t="n">
        <v>4.02</v>
      </c>
      <c r="I3818" t="n">
        <v>4.59</v>
      </c>
      <c r="J3818" t="n">
        <v>5.24</v>
      </c>
      <c r="K3818" t="n">
        <v>5.99</v>
      </c>
    </row>
    <row r="3819" ht="12" customHeight="1" s="545">
      <c r="C3819" t="n">
        <v>125000</v>
      </c>
      <c r="D3819" t="n">
        <v>3.17</v>
      </c>
      <c r="E3819" t="n">
        <v>3.62</v>
      </c>
      <c r="F3819" t="n">
        <v>4.14</v>
      </c>
      <c r="G3819" t="n">
        <v>4.73</v>
      </c>
      <c r="H3819" t="n">
        <v>3.86</v>
      </c>
      <c r="I3819" t="n">
        <v>4.41</v>
      </c>
      <c r="J3819" t="n">
        <v>5.05</v>
      </c>
      <c r="K3819" t="n">
        <v>5.77</v>
      </c>
    </row>
    <row r="3820" ht="12" customHeight="1" s="545">
      <c r="C3820" t="n">
        <v>150000</v>
      </c>
      <c r="D3820" t="n">
        <v>3.11</v>
      </c>
      <c r="E3820" t="n">
        <v>3.54</v>
      </c>
      <c r="F3820" t="n">
        <v>4.02</v>
      </c>
      <c r="G3820" t="n">
        <v>4.57</v>
      </c>
      <c r="H3820" t="n">
        <v>3.77</v>
      </c>
      <c r="I3820" t="n">
        <v>4.29</v>
      </c>
      <c r="J3820" t="n">
        <v>4.88</v>
      </c>
      <c r="K3820" t="n">
        <v>5.55</v>
      </c>
    </row>
    <row r="3821" ht="12" customHeight="1" s="545">
      <c r="C3821" t="n">
        <v>200000</v>
      </c>
      <c r="D3821" t="n">
        <v>2.98</v>
      </c>
      <c r="E3821" t="n">
        <v>3.38</v>
      </c>
      <c r="F3821" t="n">
        <v>3.83</v>
      </c>
      <c r="G3821" t="n">
        <v>4.35</v>
      </c>
      <c r="H3821" t="n">
        <v>3.6</v>
      </c>
      <c r="I3821" t="n">
        <v>4.08</v>
      </c>
      <c r="J3821" t="n">
        <v>4.63</v>
      </c>
      <c r="K3821" t="n">
        <v>5.25</v>
      </c>
    </row>
    <row r="3822" ht="12" customHeight="1" s="545">
      <c r="C3822" t="n">
        <v>250000</v>
      </c>
      <c r="D3822" t="n">
        <v>2.87</v>
      </c>
      <c r="E3822" t="n">
        <v>3.25</v>
      </c>
      <c r="F3822" t="n">
        <v>3.69</v>
      </c>
      <c r="G3822" t="n">
        <v>4.18</v>
      </c>
      <c r="H3822" t="n">
        <v>3.47</v>
      </c>
      <c r="I3822" t="n">
        <v>3.93</v>
      </c>
      <c r="J3822" t="n">
        <v>4.46</v>
      </c>
      <c r="K3822" t="n">
        <v>5.05</v>
      </c>
    </row>
    <row r="3823" ht="12" customHeight="1" s="545">
      <c r="C3823" t="n">
        <v>300000</v>
      </c>
      <c r="D3823" t="n">
        <v>2.78</v>
      </c>
      <c r="E3823" t="n">
        <v>3.15</v>
      </c>
      <c r="F3823" t="n">
        <v>3.57</v>
      </c>
      <c r="G3823" t="n">
        <v>4.04</v>
      </c>
      <c r="H3823" t="n">
        <v>3.34</v>
      </c>
      <c r="I3823" t="n">
        <v>3.78</v>
      </c>
      <c r="J3823" t="n">
        <v>4.29</v>
      </c>
      <c r="K3823" t="n">
        <v>4.86</v>
      </c>
    </row>
    <row r="3824" ht="12" customHeight="1" s="545">
      <c r="C3824" t="n">
        <v>400000</v>
      </c>
      <c r="D3824" t="n">
        <v>2.67</v>
      </c>
      <c r="E3824" t="n">
        <v>3.01</v>
      </c>
      <c r="F3824" t="n">
        <v>3.4</v>
      </c>
      <c r="G3824" t="n">
        <v>3.83</v>
      </c>
      <c r="H3824" t="n">
        <v>3.19</v>
      </c>
      <c r="I3824" t="n">
        <v>3.61</v>
      </c>
      <c r="J3824" t="n">
        <v>4.08</v>
      </c>
      <c r="K3824" t="n">
        <v>4.61</v>
      </c>
    </row>
    <row r="3825" ht="12" customHeight="1" s="545">
      <c r="C3825" t="n">
        <v>500000</v>
      </c>
      <c r="D3825" t="n">
        <v>2.57</v>
      </c>
      <c r="E3825" t="n">
        <v>2.9</v>
      </c>
      <c r="F3825" t="n">
        <v>3.27</v>
      </c>
      <c r="G3825" t="n">
        <v>3.69</v>
      </c>
      <c r="H3825" t="n">
        <v>3.09</v>
      </c>
      <c r="I3825" t="n">
        <v>3.48</v>
      </c>
      <c r="J3825" t="n">
        <v>3.92</v>
      </c>
      <c r="K3825" t="n">
        <v>4.42</v>
      </c>
    </row>
    <row r="3828" ht="12" customHeight="1" s="545">
      <c r="B3828" s="211" t="inlineStr">
        <is>
          <t>REFERENCE 7 -- Elevator Lump-Sum + Per-Stop Cost Tables (per MVS section) -- for manual add/deduct</t>
        </is>
      </c>
    </row>
    <row r="3829" ht="12" customHeight="1" s="545">
      <c r="B3829" s="63" t="inlineStr">
        <is>
          <t>Section 11 -- MVS 11-35</t>
        </is>
      </c>
      <c r="C3829" s="212" t="inlineStr">
        <is>
          <t>Type</t>
        </is>
      </c>
      <c r="D3829" s="212" t="inlineStr">
        <is>
          <t>Low</t>
        </is>
      </c>
      <c r="E3829" s="212" t="inlineStr">
        <is>
          <t>Average</t>
        </is>
      </c>
      <c r="F3829" s="212" t="inlineStr">
        <is>
          <t>Good</t>
        </is>
      </c>
      <c r="G3829" s="212" t="inlineStr">
        <is>
          <t>Excellent</t>
        </is>
      </c>
    </row>
    <row r="3830" ht="12" customHeight="1" s="545">
      <c r="C3830" t="inlineStr">
        <is>
          <t>Passenger, 2-3 story (base)</t>
        </is>
      </c>
      <c r="D3830" t="n">
        <v>67500</v>
      </c>
      <c r="E3830" t="n">
        <v>79500</v>
      </c>
      <c r="F3830" t="n">
        <v>93750</v>
      </c>
      <c r="G3830" t="n">
        <v>110000</v>
      </c>
    </row>
    <row r="3831" ht="12" customHeight="1" s="545">
      <c r="C3831" t="inlineStr">
        <is>
          <t>Passenger, 4-7 story (base)</t>
        </is>
      </c>
      <c r="D3831" t="n">
        <v>117000</v>
      </c>
      <c r="E3831" t="n">
        <v>135000</v>
      </c>
      <c r="F3831" t="n">
        <v>154000</v>
      </c>
      <c r="G3831" t="n">
        <v>177000</v>
      </c>
    </row>
    <row r="3832" ht="12" customHeight="1" s="545">
      <c r="C3832" t="inlineStr">
        <is>
          <t>Passenger, 8-story+ (base)</t>
        </is>
      </c>
      <c r="D3832" t="n">
        <v>180000</v>
      </c>
      <c r="E3832" t="n">
        <v>228000</v>
      </c>
      <c r="F3832" t="n">
        <v>287000</v>
      </c>
      <c r="G3832" t="n">
        <v>363000</v>
      </c>
    </row>
    <row r="3833" ht="12" customHeight="1" s="545">
      <c r="C3833" t="inlineStr">
        <is>
          <t>Passenger, per stop</t>
        </is>
      </c>
      <c r="D3833" t="n">
        <v>9700</v>
      </c>
      <c r="E3833" t="n">
        <v>11100</v>
      </c>
      <c r="F3833" t="n">
        <v>12800</v>
      </c>
      <c r="G3833" t="n">
        <v>14700</v>
      </c>
    </row>
    <row r="3834" ht="12" customHeight="1" s="545">
      <c r="C3834" t="inlineStr">
        <is>
          <t>Freight, 2-3 story (base)</t>
        </is>
      </c>
      <c r="D3834" t="n">
        <v>51000</v>
      </c>
      <c r="E3834" t="n">
        <v>67500</v>
      </c>
      <c r="F3834" t="n">
        <v>89000</v>
      </c>
      <c r="G3834" t="n">
        <v>118000</v>
      </c>
    </row>
    <row r="3835" ht="12" customHeight="1" s="545">
      <c r="C3835" t="inlineStr">
        <is>
          <t>Freight, 4-story+ (base)</t>
        </is>
      </c>
      <c r="D3835" t="n">
        <v>100000</v>
      </c>
      <c r="E3835" t="n">
        <v>126000</v>
      </c>
      <c r="F3835" t="n">
        <v>160000</v>
      </c>
      <c r="G3835" t="n">
        <v>202000</v>
      </c>
    </row>
    <row r="3836" ht="12" customHeight="1" s="545">
      <c r="C3836" t="inlineStr">
        <is>
          <t>Freight, per stop (manual doors)</t>
        </is>
      </c>
      <c r="D3836" t="n">
        <v>12900</v>
      </c>
      <c r="E3836" t="n">
        <v>14100</v>
      </c>
      <c r="F3836" t="n">
        <v>15300</v>
      </c>
      <c r="G3836" t="n">
        <v>16700</v>
      </c>
    </row>
    <row r="3837" ht="12" customHeight="1" s="545">
      <c r="C3837" t="inlineStr">
        <is>
          <t>Freight, per stop (power doors)</t>
        </is>
      </c>
      <c r="D3837" t="n">
        <v>22400</v>
      </c>
      <c r="E3837" t="n">
        <v>24400</v>
      </c>
      <c r="F3837" t="n">
        <v>26600</v>
      </c>
      <c r="G3837" t="n">
        <v>29000</v>
      </c>
    </row>
    <row r="3838" ht="12" customHeight="1" s="545">
      <c r="C3838" t="inlineStr">
        <is>
          <t>Escalator, per stairway</t>
        </is>
      </c>
      <c r="D3838" t="n">
        <v>260000</v>
      </c>
      <c r="E3838" t="n">
        <v>276000</v>
      </c>
      <c r="F3838" t="n">
        <v>294000</v>
      </c>
      <c r="G3838" t="n">
        <v>312000</v>
      </c>
    </row>
    <row r="3839" ht="12" customHeight="1" s="545">
      <c r="C3839" t="inlineStr">
        <is>
          <t>Vertical wheelchair lift, each</t>
        </is>
      </c>
      <c r="D3839" t="n">
        <v>17200</v>
      </c>
      <c r="E3839" t="n">
        <v>22300</v>
      </c>
      <c r="F3839" t="n">
        <v>29000</v>
      </c>
      <c r="G3839" t="n">
        <v>37600</v>
      </c>
    </row>
    <row r="3841" ht="12" customHeight="1" s="545">
      <c r="B3841" s="63" t="inlineStr">
        <is>
          <t>Section 12 -- MVS 12-38</t>
        </is>
      </c>
      <c r="C3841" s="212" t="inlineStr">
        <is>
          <t>Type</t>
        </is>
      </c>
      <c r="D3841" s="212" t="inlineStr">
        <is>
          <t>Low</t>
        </is>
      </c>
      <c r="E3841" s="212" t="inlineStr">
        <is>
          <t>Average</t>
        </is>
      </c>
      <c r="F3841" s="212" t="inlineStr">
        <is>
          <t>Good</t>
        </is>
      </c>
      <c r="G3841" s="212" t="inlineStr">
        <is>
          <t>Excellent</t>
        </is>
      </c>
    </row>
    <row r="3842" ht="12" customHeight="1" s="545">
      <c r="C3842" t="inlineStr">
        <is>
          <t>Passenger, 2-3 story (base)</t>
        </is>
      </c>
      <c r="D3842" t="n">
        <v>61500</v>
      </c>
      <c r="E3842" t="n">
        <v>71750</v>
      </c>
      <c r="F3842" t="n">
        <v>84000</v>
      </c>
      <c r="G3842" t="n">
        <v>99000</v>
      </c>
    </row>
    <row r="3843" ht="12" customHeight="1" s="545">
      <c r="C3843" t="inlineStr">
        <is>
          <t>Passenger, per stop</t>
        </is>
      </c>
      <c r="D3843" t="n">
        <v>8550</v>
      </c>
      <c r="E3843" t="n">
        <v>9950</v>
      </c>
      <c r="F3843" t="n">
        <v>11700</v>
      </c>
      <c r="G3843" t="n">
        <v>13700</v>
      </c>
    </row>
    <row r="3844" ht="12" customHeight="1" s="545">
      <c r="C3844" t="inlineStr">
        <is>
          <t>Vertical wheelchair lift, each</t>
        </is>
      </c>
      <c r="D3844" t="n">
        <v>14800</v>
      </c>
      <c r="E3844" t="n">
        <v>19000</v>
      </c>
      <c r="F3844" t="n">
        <v>24500</v>
      </c>
      <c r="G3844" t="n">
        <v>31400</v>
      </c>
    </row>
    <row r="3846" ht="12" customHeight="1" s="545">
      <c r="B3846" s="63" t="inlineStr">
        <is>
          <t>Section 13 [Sec.14 schedule applies] -- MVS 13-39</t>
        </is>
      </c>
      <c r="C3846" s="212" t="inlineStr">
        <is>
          <t>Type</t>
        </is>
      </c>
      <c r="D3846" s="212" t="inlineStr">
        <is>
          <t>Low</t>
        </is>
      </c>
      <c r="E3846" s="212" t="inlineStr">
        <is>
          <t>Average</t>
        </is>
      </c>
      <c r="F3846" s="212" t="inlineStr">
        <is>
          <t>Good</t>
        </is>
      </c>
      <c r="G3846" s="212" t="inlineStr">
        <is>
          <t>Excellent</t>
        </is>
      </c>
    </row>
    <row r="3847" ht="12" customHeight="1" s="545">
      <c r="C3847" t="inlineStr">
        <is>
          <t>Passenger, 2-3 story (base) [see Sec.14 sched.]</t>
        </is>
      </c>
      <c r="D3847" t="n">
        <v>66250</v>
      </c>
      <c r="E3847" t="n">
        <v>78000</v>
      </c>
      <c r="F3847" t="n">
        <v>92000</v>
      </c>
      <c r="G3847" t="n">
        <v>108000</v>
      </c>
    </row>
    <row r="3848" ht="12" customHeight="1" s="545">
      <c r="C3848" t="inlineStr">
        <is>
          <t>Passenger, per stop [see Sec.14 sched.]</t>
        </is>
      </c>
      <c r="D3848" t="n">
        <v>9650</v>
      </c>
      <c r="E3848" t="n">
        <v>11100</v>
      </c>
      <c r="F3848" t="n">
        <v>12700</v>
      </c>
      <c r="G3848" t="n">
        <v>14600</v>
      </c>
    </row>
    <row r="3850" ht="12" customHeight="1" s="545">
      <c r="B3850" s="63" t="inlineStr">
        <is>
          <t>Section 14 -- MVS 14-36</t>
        </is>
      </c>
      <c r="C3850" s="212" t="inlineStr">
        <is>
          <t>Type</t>
        </is>
      </c>
      <c r="D3850" s="212" t="inlineStr">
        <is>
          <t>Low</t>
        </is>
      </c>
      <c r="E3850" s="212" t="inlineStr">
        <is>
          <t>Average</t>
        </is>
      </c>
      <c r="F3850" s="212" t="inlineStr">
        <is>
          <t>Good</t>
        </is>
      </c>
      <c r="G3850" s="212" t="inlineStr">
        <is>
          <t>Excellent</t>
        </is>
      </c>
    </row>
    <row r="3851" ht="12" customHeight="1" s="545">
      <c r="C3851" t="inlineStr">
        <is>
          <t>Passenger, 2-3 story (base)</t>
        </is>
      </c>
      <c r="D3851" t="n">
        <v>66250</v>
      </c>
      <c r="E3851" t="n">
        <v>78000</v>
      </c>
      <c r="F3851" t="n">
        <v>92000</v>
      </c>
      <c r="G3851" t="n">
        <v>108000</v>
      </c>
    </row>
    <row r="3852" ht="12" customHeight="1" s="545">
      <c r="C3852" t="inlineStr">
        <is>
          <t>Passenger, 4-story+ (base)</t>
        </is>
      </c>
      <c r="D3852" t="n">
        <v>116000</v>
      </c>
      <c r="E3852" t="n">
        <v>133000</v>
      </c>
      <c r="F3852" t="n">
        <v>152000</v>
      </c>
      <c r="G3852" t="n">
        <v>175000</v>
      </c>
    </row>
    <row r="3853" ht="12" customHeight="1" s="545">
      <c r="C3853" t="inlineStr">
        <is>
          <t>Passenger, per stop</t>
        </is>
      </c>
      <c r="D3853" t="n">
        <v>9650</v>
      </c>
      <c r="E3853" t="n">
        <v>11100</v>
      </c>
      <c r="F3853" t="n">
        <v>12700</v>
      </c>
      <c r="G3853" t="n">
        <v>14600</v>
      </c>
    </row>
    <row r="3854" ht="12" customHeight="1" s="545">
      <c r="C3854" t="inlineStr">
        <is>
          <t>Freight, 2-3 story (base)</t>
        </is>
      </c>
      <c r="D3854" t="n">
        <v>51250</v>
      </c>
      <c r="E3854" t="n">
        <v>67750</v>
      </c>
      <c r="F3854" t="n">
        <v>89500</v>
      </c>
      <c r="G3854" t="n">
        <v>118000</v>
      </c>
    </row>
    <row r="3855" ht="12" customHeight="1" s="545">
      <c r="C3855" t="inlineStr">
        <is>
          <t>Freight, 4-story+ (base)</t>
        </is>
      </c>
      <c r="D3855" t="n">
        <v>101000</v>
      </c>
      <c r="E3855" t="n">
        <v>127000</v>
      </c>
      <c r="F3855" t="n">
        <v>160000</v>
      </c>
      <c r="G3855" t="n">
        <v>203000</v>
      </c>
    </row>
    <row r="3856" ht="12" customHeight="1" s="545">
      <c r="C3856" t="inlineStr">
        <is>
          <t>Freight, per stop (manual doors)</t>
        </is>
      </c>
      <c r="D3856" t="n">
        <v>13000</v>
      </c>
      <c r="E3856" t="n">
        <v>14100</v>
      </c>
      <c r="F3856" t="n">
        <v>15400</v>
      </c>
      <c r="G3856" t="n">
        <v>16700</v>
      </c>
    </row>
    <row r="3857" ht="12" customHeight="1" s="545">
      <c r="C3857" t="inlineStr">
        <is>
          <t>Freight, per stop (power doors)</t>
        </is>
      </c>
      <c r="D3857" t="n">
        <v>22600</v>
      </c>
      <c r="E3857" t="n">
        <v>24600</v>
      </c>
      <c r="F3857" t="n">
        <v>26900</v>
      </c>
      <c r="G3857" t="n">
        <v>29300</v>
      </c>
    </row>
    <row r="3858" ht="12" customHeight="1" s="545">
      <c r="C3858" t="inlineStr">
        <is>
          <t>Escalator, per stairway</t>
        </is>
      </c>
      <c r="D3858" t="n">
        <v>270000</v>
      </c>
      <c r="E3858" t="n">
        <v>289000</v>
      </c>
      <c r="F3858" t="n">
        <v>309000</v>
      </c>
      <c r="G3858" t="n">
        <v>330000</v>
      </c>
    </row>
    <row r="3859" ht="12" customHeight="1" s="545">
      <c r="C3859" t="inlineStr">
        <is>
          <t>Vertical wheelchair lift, each</t>
        </is>
      </c>
      <c r="D3859" t="n">
        <v>17500</v>
      </c>
      <c r="E3859" t="n">
        <v>22200</v>
      </c>
      <c r="F3859" t="n">
        <v>28300</v>
      </c>
      <c r="G3859" t="n">
        <v>36000</v>
      </c>
    </row>
    <row r="3861" ht="12" customHeight="1" s="545">
      <c r="B3861" s="63" t="inlineStr">
        <is>
          <t>Section 15 -- MVS 15-36</t>
        </is>
      </c>
      <c r="C3861" s="212" t="inlineStr">
        <is>
          <t>Type</t>
        </is>
      </c>
      <c r="D3861" s="212" t="inlineStr">
        <is>
          <t>Low</t>
        </is>
      </c>
      <c r="E3861" s="212" t="inlineStr">
        <is>
          <t>Average</t>
        </is>
      </c>
      <c r="F3861" s="212" t="inlineStr">
        <is>
          <t>Good</t>
        </is>
      </c>
      <c r="G3861" s="212" t="inlineStr">
        <is>
          <t>Excellent</t>
        </is>
      </c>
    </row>
    <row r="3862" ht="12" customHeight="1" s="545">
      <c r="C3862" t="inlineStr">
        <is>
          <t>Passenger, 2-3 story (base)</t>
        </is>
      </c>
      <c r="D3862" t="n">
        <v>67500</v>
      </c>
      <c r="E3862" t="n">
        <v>80000</v>
      </c>
      <c r="F3862" t="n">
        <v>94250</v>
      </c>
      <c r="G3862" t="n">
        <v>111000</v>
      </c>
    </row>
    <row r="3863" ht="12" customHeight="1" s="545">
      <c r="C3863" t="inlineStr">
        <is>
          <t>Passenger, 4-7 story (base)</t>
        </is>
      </c>
      <c r="D3863" t="n">
        <v>117000</v>
      </c>
      <c r="E3863" t="n">
        <v>134000</v>
      </c>
      <c r="F3863" t="n">
        <v>154000</v>
      </c>
      <c r="G3863" t="n">
        <v>176000</v>
      </c>
    </row>
    <row r="3864" ht="12" customHeight="1" s="545">
      <c r="C3864" t="inlineStr">
        <is>
          <t>Passenger, 8-story+ (base)</t>
        </is>
      </c>
      <c r="D3864" t="n">
        <v>179000</v>
      </c>
      <c r="E3864" t="n">
        <v>227000</v>
      </c>
      <c r="F3864" t="n">
        <v>285000</v>
      </c>
      <c r="G3864" t="n">
        <v>362000</v>
      </c>
    </row>
    <row r="3865" ht="12" customHeight="1" s="545">
      <c r="C3865" t="inlineStr">
        <is>
          <t>Passenger, per stop</t>
        </is>
      </c>
      <c r="D3865" t="n">
        <v>9350</v>
      </c>
      <c r="E3865" t="n">
        <v>10800</v>
      </c>
      <c r="F3865" t="n">
        <v>12500</v>
      </c>
      <c r="G3865" t="n">
        <v>14300</v>
      </c>
    </row>
    <row r="3866" ht="12" customHeight="1" s="545">
      <c r="C3866" t="inlineStr">
        <is>
          <t>Freight, 2-3 story (base)</t>
        </is>
      </c>
      <c r="D3866" t="n">
        <v>49800</v>
      </c>
      <c r="E3866" t="n">
        <v>66000</v>
      </c>
      <c r="F3866" t="n">
        <v>87500</v>
      </c>
      <c r="G3866" t="n">
        <v>115000</v>
      </c>
    </row>
    <row r="3867" ht="12" customHeight="1" s="545">
      <c r="C3867" t="inlineStr">
        <is>
          <t>Freight, 4-story+ (base)</t>
        </is>
      </c>
      <c r="D3867" t="n">
        <v>97500</v>
      </c>
      <c r="E3867" t="n">
        <v>123000</v>
      </c>
      <c r="F3867" t="n">
        <v>157000</v>
      </c>
      <c r="G3867" t="n">
        <v>199000</v>
      </c>
    </row>
    <row r="3868" ht="12" customHeight="1" s="545">
      <c r="C3868" t="inlineStr">
        <is>
          <t>Freight, per stop (manual doors)</t>
        </is>
      </c>
      <c r="D3868" t="n">
        <v>12600</v>
      </c>
      <c r="E3868" t="n">
        <v>13700</v>
      </c>
      <c r="F3868" t="n">
        <v>15100</v>
      </c>
      <c r="G3868" t="n">
        <v>16400</v>
      </c>
    </row>
    <row r="3869" ht="12" customHeight="1" s="545">
      <c r="C3869" t="inlineStr">
        <is>
          <t>Freight, per stop (power doors)</t>
        </is>
      </c>
      <c r="D3869" t="n">
        <v>22000</v>
      </c>
      <c r="E3869" t="n">
        <v>23900</v>
      </c>
      <c r="F3869" t="n">
        <v>26200</v>
      </c>
      <c r="G3869" t="n">
        <v>28400</v>
      </c>
    </row>
    <row r="3870" ht="12" customHeight="1" s="545">
      <c r="C3870" t="inlineStr">
        <is>
          <t>Escalator, per stairway</t>
        </is>
      </c>
      <c r="D3870" t="n">
        <v>262000</v>
      </c>
      <c r="E3870" t="n">
        <v>278000</v>
      </c>
      <c r="F3870" t="n">
        <v>296000</v>
      </c>
      <c r="G3870" t="n">
        <v>315000</v>
      </c>
    </row>
    <row r="3871" ht="12" customHeight="1" s="545">
      <c r="C3871" t="inlineStr">
        <is>
          <t>Vertical wheelchair lift, each</t>
        </is>
      </c>
      <c r="D3871" t="n">
        <v>18100</v>
      </c>
      <c r="E3871" t="n">
        <v>23300</v>
      </c>
      <c r="F3871" t="n">
        <v>30300</v>
      </c>
      <c r="G3871" t="n">
        <v>39000</v>
      </c>
    </row>
    <row r="3873" ht="12" customHeight="1" s="545">
      <c r="B3873" s="63" t="inlineStr">
        <is>
          <t>Section 16 -- MVS 16-24</t>
        </is>
      </c>
      <c r="C3873" s="212" t="inlineStr">
        <is>
          <t>Type</t>
        </is>
      </c>
      <c r="D3873" s="212" t="inlineStr">
        <is>
          <t>Low</t>
        </is>
      </c>
      <c r="E3873" s="212" t="inlineStr">
        <is>
          <t>Average</t>
        </is>
      </c>
      <c r="F3873" s="212" t="inlineStr">
        <is>
          <t>Good</t>
        </is>
      </c>
      <c r="G3873" s="212" t="inlineStr">
        <is>
          <t>Excellent</t>
        </is>
      </c>
    </row>
    <row r="3874" ht="12" customHeight="1" s="545">
      <c r="C3874" t="inlineStr">
        <is>
          <t>Passenger, 2-3 story (base)</t>
        </is>
      </c>
      <c r="D3874" t="n">
        <v>64250</v>
      </c>
      <c r="E3874" t="n">
        <v>76000</v>
      </c>
      <c r="F3874" t="n">
        <v>89000</v>
      </c>
      <c r="G3874" t="n">
        <v>105000</v>
      </c>
    </row>
    <row r="3875" ht="12" customHeight="1" s="545">
      <c r="C3875" t="inlineStr">
        <is>
          <t>Passenger, 4-story+ (base)</t>
        </is>
      </c>
      <c r="D3875" t="n">
        <v>110000</v>
      </c>
      <c r="E3875" t="n">
        <v>127000</v>
      </c>
      <c r="F3875" t="n">
        <v>145000</v>
      </c>
      <c r="G3875" t="n">
        <v>167000</v>
      </c>
    </row>
    <row r="3876" ht="12" customHeight="1" s="545">
      <c r="C3876" t="inlineStr">
        <is>
          <t>Passenger, per stop</t>
        </is>
      </c>
      <c r="D3876" t="n">
        <v>8850</v>
      </c>
      <c r="E3876" t="n">
        <v>10200</v>
      </c>
      <c r="F3876" t="n">
        <v>11800</v>
      </c>
      <c r="G3876" t="n">
        <v>13500</v>
      </c>
    </row>
    <row r="3877" ht="12" customHeight="1" s="545">
      <c r="C3877" t="inlineStr">
        <is>
          <t>Freight, 2-3 story (base)</t>
        </is>
      </c>
      <c r="D3877" t="n">
        <v>46400</v>
      </c>
      <c r="E3877" t="n">
        <v>61250</v>
      </c>
      <c r="F3877" t="n">
        <v>81000</v>
      </c>
      <c r="G3877" t="n">
        <v>107000</v>
      </c>
    </row>
    <row r="3878" ht="12" customHeight="1" s="545">
      <c r="C3878" t="inlineStr">
        <is>
          <t>Freight, 4-story+ (base)</t>
        </is>
      </c>
      <c r="D3878" t="n">
        <v>91250</v>
      </c>
      <c r="E3878" t="n">
        <v>115000</v>
      </c>
      <c r="F3878" t="n">
        <v>145000</v>
      </c>
      <c r="G3878" t="n">
        <v>183000</v>
      </c>
    </row>
    <row r="3879" ht="12" customHeight="1" s="545">
      <c r="C3879" t="inlineStr">
        <is>
          <t>Freight, per stop (manual doors)</t>
        </is>
      </c>
      <c r="D3879" t="n">
        <v>11800</v>
      </c>
      <c r="E3879" t="n">
        <v>12800</v>
      </c>
      <c r="F3879" t="n">
        <v>13900</v>
      </c>
      <c r="G3879" t="n">
        <v>15200</v>
      </c>
    </row>
    <row r="3880" ht="12" customHeight="1" s="545">
      <c r="C3880" t="inlineStr">
        <is>
          <t>Freight, per stop (power doors)</t>
        </is>
      </c>
      <c r="D3880" t="n">
        <v>20400</v>
      </c>
      <c r="E3880" t="n">
        <v>22200</v>
      </c>
      <c r="F3880" t="n">
        <v>24300</v>
      </c>
      <c r="G3880" t="n">
        <v>26300</v>
      </c>
    </row>
    <row r="3881" ht="12" customHeight="1" s="545">
      <c r="C3881" t="inlineStr">
        <is>
          <t>Orchestra lifts</t>
        </is>
      </c>
      <c r="D3881" t="n">
        <v>155000</v>
      </c>
      <c r="E3881" t="n">
        <v>193000</v>
      </c>
      <c r="F3881" t="n">
        <v>243000</v>
      </c>
      <c r="G3881" t="n">
        <v>301000</v>
      </c>
    </row>
    <row r="3882" ht="12" customHeight="1" s="545">
      <c r="C3882" t="inlineStr">
        <is>
          <t>Escalator, per stairway</t>
        </is>
      </c>
      <c r="D3882" t="n">
        <v>256000</v>
      </c>
      <c r="E3882" t="n">
        <v>274000</v>
      </c>
      <c r="F3882" t="n">
        <v>293000</v>
      </c>
      <c r="G3882" t="n">
        <v>314000</v>
      </c>
    </row>
    <row r="3883" ht="12" customHeight="1" s="545">
      <c r="C3883" t="inlineStr">
        <is>
          <t>Vertical wheelchair lift, each</t>
        </is>
      </c>
      <c r="D3883" t="n">
        <v>17100</v>
      </c>
      <c r="E3883" t="n">
        <v>21600</v>
      </c>
      <c r="F3883" t="n">
        <v>27200</v>
      </c>
      <c r="G3883" t="n">
        <v>34400</v>
      </c>
    </row>
    <row r="3885" ht="12" customHeight="1" s="545">
      <c r="B3885" s="63" t="inlineStr">
        <is>
          <t>Section 18 -- MVS 18-35</t>
        </is>
      </c>
      <c r="C3885" s="212" t="inlineStr">
        <is>
          <t>Type</t>
        </is>
      </c>
      <c r="D3885" s="212" t="inlineStr">
        <is>
          <t>Low</t>
        </is>
      </c>
      <c r="E3885" s="212" t="inlineStr">
        <is>
          <t>Average</t>
        </is>
      </c>
      <c r="F3885" s="212" t="inlineStr">
        <is>
          <t>Good</t>
        </is>
      </c>
      <c r="G3885" s="212" t="inlineStr">
        <is>
          <t>Excellent</t>
        </is>
      </c>
    </row>
    <row r="3886" ht="12" customHeight="1" s="545">
      <c r="C3886" t="inlineStr">
        <is>
          <t>Passenger, 2-3 story (base)</t>
        </is>
      </c>
      <c r="D3886" t="n">
        <v>68750</v>
      </c>
      <c r="E3886" t="n">
        <v>81500</v>
      </c>
      <c r="F3886" t="n">
        <v>95500</v>
      </c>
      <c r="G3886" t="n">
        <v>113000</v>
      </c>
    </row>
    <row r="3887" ht="12" customHeight="1" s="545">
      <c r="C3887" t="inlineStr">
        <is>
          <t>Passenger, 4-7 story (base)</t>
        </is>
      </c>
      <c r="D3887" t="n">
        <v>119000</v>
      </c>
      <c r="E3887" t="n">
        <v>137000</v>
      </c>
      <c r="F3887" t="n">
        <v>158000</v>
      </c>
      <c r="G3887" t="n">
        <v>181000</v>
      </c>
    </row>
    <row r="3888" ht="12" customHeight="1" s="545">
      <c r="C3888" t="inlineStr">
        <is>
          <t>Passenger, 8-story+ (base)</t>
        </is>
      </c>
      <c r="D3888" t="n">
        <v>183000</v>
      </c>
      <c r="E3888" t="n">
        <v>228000</v>
      </c>
      <c r="F3888" t="n">
        <v>286000</v>
      </c>
      <c r="G3888" t="n">
        <v>361000</v>
      </c>
    </row>
    <row r="3889" ht="12" customHeight="1" s="545">
      <c r="C3889" t="inlineStr">
        <is>
          <t>Passenger, per stop</t>
        </is>
      </c>
      <c r="D3889" t="n">
        <v>9650</v>
      </c>
      <c r="E3889" t="n">
        <v>11000</v>
      </c>
      <c r="F3889" t="n">
        <v>12500</v>
      </c>
      <c r="G3889" t="n">
        <v>14300</v>
      </c>
    </row>
    <row r="3890" ht="12" customHeight="1" s="545">
      <c r="C3890" t="inlineStr">
        <is>
          <t>Freight, 2-3 story (base)</t>
        </is>
      </c>
      <c r="D3890" t="n">
        <v>49700</v>
      </c>
      <c r="E3890" t="n">
        <v>65500</v>
      </c>
      <c r="F3890" t="n">
        <v>86500</v>
      </c>
      <c r="G3890" t="n">
        <v>114000</v>
      </c>
    </row>
    <row r="3891" ht="12" customHeight="1" s="545">
      <c r="C3891" t="inlineStr">
        <is>
          <t>Freight, 4-story+ (base)</t>
        </is>
      </c>
      <c r="D3891" t="n">
        <v>97000</v>
      </c>
      <c r="E3891" t="n">
        <v>123000</v>
      </c>
      <c r="F3891" t="n">
        <v>157000</v>
      </c>
      <c r="G3891" t="n">
        <v>198000</v>
      </c>
    </row>
    <row r="3892" ht="12" customHeight="1" s="545">
      <c r="C3892" t="inlineStr">
        <is>
          <t>Freight, per stop (manual doors)</t>
        </is>
      </c>
      <c r="D3892" t="n">
        <v>12400</v>
      </c>
      <c r="E3892" t="n">
        <v>13600</v>
      </c>
      <c r="F3892" t="n">
        <v>14900</v>
      </c>
      <c r="G3892" t="n">
        <v>16300</v>
      </c>
    </row>
    <row r="3893" ht="12" customHeight="1" s="545">
      <c r="C3893" t="inlineStr">
        <is>
          <t>Freight, per stop (power doors)</t>
        </is>
      </c>
      <c r="D3893" t="n">
        <v>21900</v>
      </c>
      <c r="E3893" t="n">
        <v>24200</v>
      </c>
      <c r="F3893" t="n">
        <v>27000</v>
      </c>
      <c r="G3893" t="n">
        <v>29900</v>
      </c>
    </row>
    <row r="3894" ht="12" customHeight="1" s="545">
      <c r="C3894" t="inlineStr">
        <is>
          <t>Escalator, per stairway</t>
        </is>
      </c>
      <c r="D3894" t="n">
        <v>256000</v>
      </c>
      <c r="E3894" t="n">
        <v>271000</v>
      </c>
      <c r="F3894" t="n">
        <v>286000</v>
      </c>
      <c r="G3894" t="n">
        <v>305000</v>
      </c>
    </row>
    <row r="3895" ht="12" customHeight="1" s="545">
      <c r="C3895" t="inlineStr">
        <is>
          <t>Orchestra lifts</t>
        </is>
      </c>
      <c r="D3895" t="n">
        <v>169000</v>
      </c>
      <c r="E3895" t="n">
        <v>210000</v>
      </c>
      <c r="F3895" t="n">
        <v>260000</v>
      </c>
      <c r="G3895" t="n">
        <v>326000</v>
      </c>
    </row>
    <row r="3896" ht="12" customHeight="1" s="545">
      <c r="C3896" t="inlineStr">
        <is>
          <t>Vertical wheelchair lift, each</t>
        </is>
      </c>
      <c r="D3896" t="n">
        <v>18600</v>
      </c>
      <c r="E3896" t="n">
        <v>23200</v>
      </c>
      <c r="F3896" t="n">
        <v>28800</v>
      </c>
      <c r="G3896" t="n">
        <v>36100</v>
      </c>
    </row>
    <row r="3898" ht="12" customHeight="1" s="545">
      <c r="B3898" s="211" t="inlineStr">
        <is>
          <t>REFERENCE 8 -- Current Cost Multipliers, by Region x Class x Calculator Section (MVS Sec.99 p.3, Jan 2025 insert). Colorado assumed WESTERN region.</t>
        </is>
      </c>
    </row>
    <row r="3899" ht="12" customHeight="1" s="545">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ht="12" customHeight="1" s="545">
      <c r="B3900" t="inlineStr">
        <is>
          <t>EASTERN</t>
        </is>
      </c>
      <c r="C3900" t="inlineStr">
        <is>
          <t>A</t>
        </is>
      </c>
      <c r="D3900" t="n">
        <v>1.04</v>
      </c>
      <c r="E3900" t="n">
        <v>1.04</v>
      </c>
      <c r="F3900" t="n">
        <v>1.04</v>
      </c>
      <c r="G3900" t="n">
        <v>1.02</v>
      </c>
      <c r="H3900" t="n">
        <v>1.04</v>
      </c>
      <c r="I3900" t="n">
        <v>1.06</v>
      </c>
      <c r="J3900" t="n">
        <v>1.08</v>
      </c>
      <c r="K3900" t="n">
        <v>1.1</v>
      </c>
    </row>
    <row r="3901" ht="12" customHeight="1" s="545">
      <c r="B3901" t="inlineStr">
        <is>
          <t>EASTERN</t>
        </is>
      </c>
      <c r="C3901" t="inlineStr">
        <is>
          <t>B</t>
        </is>
      </c>
      <c r="D3901" t="n">
        <v>1.04</v>
      </c>
      <c r="E3901" t="n">
        <v>1.05</v>
      </c>
      <c r="F3901" t="n">
        <v>1.02</v>
      </c>
      <c r="G3901" t="n">
        <v>1.04</v>
      </c>
      <c r="H3901" t="n">
        <v>1.01</v>
      </c>
      <c r="I3901" t="n">
        <v>1.02</v>
      </c>
      <c r="J3901" t="n">
        <v>1.05</v>
      </c>
      <c r="K3901" t="n">
        <v>1.07</v>
      </c>
    </row>
    <row r="3902" ht="12" customHeight="1" s="545">
      <c r="B3902" t="inlineStr">
        <is>
          <t>EASTERN</t>
        </is>
      </c>
      <c r="C3902" t="inlineStr">
        <is>
          <t>C</t>
        </is>
      </c>
      <c r="D3902" t="n">
        <v>1.02</v>
      </c>
      <c r="E3902" t="n">
        <v>1.01</v>
      </c>
      <c r="F3902" t="n">
        <v>1.03</v>
      </c>
      <c r="G3902" t="n">
        <v>1.03</v>
      </c>
      <c r="H3902" t="n">
        <v>1.04</v>
      </c>
      <c r="I3902" t="n">
        <v>1.05</v>
      </c>
      <c r="J3902" t="n">
        <v>1.06</v>
      </c>
      <c r="K3902" t="n">
        <v>1.01</v>
      </c>
    </row>
    <row r="3903" ht="12" customHeight="1" s="545">
      <c r="B3903" t="inlineStr">
        <is>
          <t>EASTERN</t>
        </is>
      </c>
      <c r="C3903" t="inlineStr">
        <is>
          <t>D</t>
        </is>
      </c>
      <c r="D3903" t="n">
        <v>1.01</v>
      </c>
      <c r="E3903" t="n">
        <v>1.02</v>
      </c>
      <c r="F3903" t="n">
        <v>1.02</v>
      </c>
      <c r="G3903" t="n">
        <v>1.01</v>
      </c>
      <c r="H3903" t="n">
        <v>1.01</v>
      </c>
      <c r="I3903" t="n">
        <v>1.02</v>
      </c>
      <c r="J3903" t="n">
        <v>1</v>
      </c>
      <c r="K3903" t="n">
        <v>0.99</v>
      </c>
    </row>
    <row r="3904" ht="12" customHeight="1" s="545">
      <c r="B3904" t="inlineStr">
        <is>
          <t>EASTERN</t>
        </is>
      </c>
      <c r="C3904" t="inlineStr">
        <is>
          <t>S</t>
        </is>
      </c>
      <c r="D3904" t="n">
        <v>1.07</v>
      </c>
      <c r="E3904" t="n">
        <v>1.06</v>
      </c>
      <c r="F3904" t="n">
        <v>1.04</v>
      </c>
      <c r="G3904" t="n">
        <v>1.03</v>
      </c>
      <c r="H3904" t="n">
        <v>1.05</v>
      </c>
      <c r="I3904" t="n">
        <v>1.02</v>
      </c>
      <c r="J3904" t="n">
        <v>1.01</v>
      </c>
      <c r="K3904" t="n">
        <v>1.05</v>
      </c>
    </row>
    <row r="3905" ht="12" customHeight="1" s="545">
      <c r="B3905" t="inlineStr">
        <is>
          <t>CENTRAL</t>
        </is>
      </c>
      <c r="C3905" t="inlineStr">
        <is>
          <t>A</t>
        </is>
      </c>
      <c r="D3905" t="n">
        <v>0.99</v>
      </c>
      <c r="E3905" t="n">
        <v>0.98</v>
      </c>
      <c r="F3905" t="n">
        <v>0.98</v>
      </c>
      <c r="G3905" t="n">
        <v>1</v>
      </c>
      <c r="H3905" t="n">
        <v>1</v>
      </c>
      <c r="I3905" t="n">
        <v>1.02</v>
      </c>
      <c r="J3905" t="n">
        <v>1.02</v>
      </c>
      <c r="K3905" t="n">
        <v>1.02</v>
      </c>
    </row>
    <row r="3906" ht="12" customHeight="1" s="545">
      <c r="B3906" t="inlineStr">
        <is>
          <t>CENTRAL</t>
        </is>
      </c>
      <c r="C3906" t="inlineStr">
        <is>
          <t>B</t>
        </is>
      </c>
      <c r="D3906" t="n">
        <v>0.98</v>
      </c>
      <c r="E3906" t="n">
        <v>0.99</v>
      </c>
      <c r="F3906" t="n">
        <v>0.98</v>
      </c>
      <c r="G3906" t="n">
        <v>0.99</v>
      </c>
      <c r="H3906" t="n">
        <v>1.01</v>
      </c>
      <c r="I3906" t="n">
        <v>0.99</v>
      </c>
      <c r="J3906" t="n">
        <v>0.98</v>
      </c>
      <c r="K3906" t="n">
        <v>0.99</v>
      </c>
    </row>
    <row r="3907" ht="12" customHeight="1" s="545">
      <c r="B3907" t="inlineStr">
        <is>
          <t>CENTRAL</t>
        </is>
      </c>
      <c r="C3907" t="inlineStr">
        <is>
          <t>C</t>
        </is>
      </c>
      <c r="D3907" t="n">
        <v>0.99</v>
      </c>
      <c r="E3907" t="n">
        <v>0.99</v>
      </c>
      <c r="F3907" t="n">
        <v>1</v>
      </c>
      <c r="G3907" t="n">
        <v>0.99</v>
      </c>
      <c r="H3907" t="n">
        <v>1</v>
      </c>
      <c r="I3907" t="n">
        <v>0.98</v>
      </c>
      <c r="J3907" t="n">
        <v>0.99</v>
      </c>
      <c r="K3907" t="n">
        <v>0.98</v>
      </c>
    </row>
    <row r="3908" ht="12" customHeight="1" s="545">
      <c r="B3908" t="inlineStr">
        <is>
          <t>CENTRAL</t>
        </is>
      </c>
      <c r="C3908" t="inlineStr">
        <is>
          <t>D</t>
        </is>
      </c>
      <c r="D3908" t="n">
        <v>0.97</v>
      </c>
      <c r="E3908" t="n">
        <v>0.99</v>
      </c>
      <c r="F3908" t="n">
        <v>0.99</v>
      </c>
      <c r="G3908" t="n">
        <v>0.99</v>
      </c>
      <c r="H3908" t="n">
        <v>1.02</v>
      </c>
      <c r="I3908" t="n">
        <v>1.02</v>
      </c>
      <c r="J3908" t="n">
        <v>0.97</v>
      </c>
      <c r="K3908" t="n">
        <v>0.97</v>
      </c>
    </row>
    <row r="3909" ht="12" customHeight="1" s="545">
      <c r="B3909" t="inlineStr">
        <is>
          <t>CENTRAL</t>
        </is>
      </c>
      <c r="C3909" t="inlineStr">
        <is>
          <t>S</t>
        </is>
      </c>
      <c r="D3909" t="n">
        <v>0.95</v>
      </c>
      <c r="E3909" t="n">
        <v>0.98</v>
      </c>
      <c r="F3909" t="n">
        <v>0.95</v>
      </c>
      <c r="G3909" t="n">
        <v>0.99</v>
      </c>
      <c r="H3909" t="n">
        <v>0.99</v>
      </c>
      <c r="I3909" t="n">
        <v>0.97</v>
      </c>
      <c r="J3909" t="n">
        <v>1</v>
      </c>
      <c r="K3909" t="n">
        <v>0.97</v>
      </c>
    </row>
    <row r="3910" ht="12" customHeight="1" s="545">
      <c r="B3910" t="inlineStr">
        <is>
          <t>WESTERN</t>
        </is>
      </c>
      <c r="C3910" t="inlineStr">
        <is>
          <t>A</t>
        </is>
      </c>
      <c r="D3910" t="n">
        <v>0.99</v>
      </c>
      <c r="E3910" t="n">
        <v>1.03</v>
      </c>
      <c r="F3910" t="n">
        <v>1.05</v>
      </c>
      <c r="G3910" t="n">
        <v>1.07</v>
      </c>
      <c r="H3910" t="n">
        <v>1.06</v>
      </c>
      <c r="I3910" t="n">
        <v>1.05</v>
      </c>
      <c r="J3910" t="n">
        <v>1.05</v>
      </c>
      <c r="K3910" t="n">
        <v>1.01</v>
      </c>
    </row>
    <row r="3911" ht="12" customHeight="1" s="545">
      <c r="B3911" t="inlineStr">
        <is>
          <t>WESTERN</t>
        </is>
      </c>
      <c r="C3911" t="inlineStr">
        <is>
          <t>B</t>
        </is>
      </c>
      <c r="D3911" t="n">
        <v>0.99</v>
      </c>
      <c r="E3911" t="n">
        <v>1</v>
      </c>
      <c r="F3911" t="n">
        <v>1.06</v>
      </c>
      <c r="G3911" t="n">
        <v>1.04</v>
      </c>
      <c r="H3911" t="n">
        <v>1.05</v>
      </c>
      <c r="I3911" t="n">
        <v>1.06</v>
      </c>
      <c r="J3911" t="n">
        <v>1.05</v>
      </c>
      <c r="K3911" t="n">
        <v>1.02</v>
      </c>
    </row>
    <row r="3912" ht="12" customHeight="1" s="545">
      <c r="B3912" t="inlineStr">
        <is>
          <t>WESTERN</t>
        </is>
      </c>
      <c r="C3912" t="inlineStr">
        <is>
          <t>C</t>
        </is>
      </c>
      <c r="D3912" t="n">
        <v>1</v>
      </c>
      <c r="E3912" t="n">
        <v>1.03</v>
      </c>
      <c r="F3912" t="n">
        <v>1.02</v>
      </c>
      <c r="G3912" t="n">
        <v>1.06</v>
      </c>
      <c r="H3912" t="n">
        <v>1.04</v>
      </c>
      <c r="I3912" t="n">
        <v>1.05</v>
      </c>
      <c r="J3912" t="n">
        <v>1.03</v>
      </c>
      <c r="K3912" t="n">
        <v>1.04</v>
      </c>
    </row>
    <row r="3913" ht="12" customHeight="1" s="545">
      <c r="B3913" t="inlineStr">
        <is>
          <t>WESTERN</t>
        </is>
      </c>
      <c r="C3913" t="inlineStr">
        <is>
          <t>D</t>
        </is>
      </c>
      <c r="D3913" t="n">
        <v>1.03</v>
      </c>
      <c r="E3913" t="n">
        <v>1.02</v>
      </c>
      <c r="F3913" t="n">
        <v>1.03</v>
      </c>
      <c r="G3913" t="n">
        <v>1.05</v>
      </c>
      <c r="H3913" t="n">
        <v>1.02</v>
      </c>
      <c r="I3913" t="n">
        <v>1.01</v>
      </c>
      <c r="J3913" t="n">
        <v>1.05</v>
      </c>
      <c r="K3913" t="n">
        <v>1.01</v>
      </c>
    </row>
    <row r="3914" ht="12" customHeight="1" s="545">
      <c r="B3914" t="inlineStr">
        <is>
          <t>WESTERN</t>
        </is>
      </c>
      <c r="C3914" t="inlineStr">
        <is>
          <t>S</t>
        </is>
      </c>
      <c r="D3914" t="n">
        <v>1</v>
      </c>
      <c r="E3914" t="n">
        <v>1</v>
      </c>
      <c r="F3914" t="n">
        <v>1.05</v>
      </c>
      <c r="G3914" t="n">
        <v>1.04</v>
      </c>
      <c r="H3914" t="n">
        <v>1.02</v>
      </c>
      <c r="I3914" t="n">
        <v>1.07</v>
      </c>
      <c r="J3914" t="n">
        <v>1.04</v>
      </c>
      <c r="K3914" t="n">
        <v>0.98</v>
      </c>
    </row>
    <row r="3916" ht="12" customHeight="1" s="545">
      <c r="B3916" s="211" t="inlineStr">
        <is>
          <t>REFERENCE 9 -- Local Area Multipliers, Colorado (MVS Sec.99 p.7, Jan 2025 insert)</t>
        </is>
      </c>
    </row>
    <row r="3917" ht="12" customHeight="1" s="545">
      <c r="B3917" t="inlineStr">
        <is>
          <t>City / Area</t>
        </is>
      </c>
      <c r="C3917" t="inlineStr">
        <is>
          <t>Class A</t>
        </is>
      </c>
      <c r="D3917" t="inlineStr">
        <is>
          <t>Class B</t>
        </is>
      </c>
      <c r="E3917" t="inlineStr">
        <is>
          <t>Class C</t>
        </is>
      </c>
      <c r="F3917" t="inlineStr">
        <is>
          <t>Class D</t>
        </is>
      </c>
      <c r="G3917" t="inlineStr">
        <is>
          <t>Class S</t>
        </is>
      </c>
    </row>
    <row r="3918" ht="12" customHeight="1" s="545">
      <c r="B3918" t="inlineStr">
        <is>
          <t>Colorado (statewide average)</t>
        </is>
      </c>
      <c r="C3918" t="n">
        <v>1</v>
      </c>
      <c r="D3918" t="n">
        <v>1.02</v>
      </c>
      <c r="E3918" t="n">
        <v>1.02</v>
      </c>
      <c r="F3918" t="n">
        <v>1.01</v>
      </c>
      <c r="G3918" t="n">
        <v>1.02</v>
      </c>
    </row>
    <row r="3919" ht="12" customHeight="1" s="545">
      <c r="B3919" t="inlineStr">
        <is>
          <t>Aspen</t>
        </is>
      </c>
      <c r="C3919" t="n">
        <v>1.08</v>
      </c>
      <c r="D3919" t="n">
        <v>1.13</v>
      </c>
      <c r="E3919" t="n">
        <v>1.11</v>
      </c>
      <c r="F3919" t="n">
        <v>1.11</v>
      </c>
      <c r="G3919" t="n">
        <v>1.1</v>
      </c>
    </row>
    <row r="3920" ht="12" customHeight="1" s="545">
      <c r="B3920" t="inlineStr">
        <is>
          <t>Boulder</t>
        </is>
      </c>
      <c r="C3920" t="n">
        <v>0.98</v>
      </c>
      <c r="D3920" t="n">
        <v>0.98</v>
      </c>
      <c r="E3920" t="n">
        <v>0.98</v>
      </c>
      <c r="F3920" t="n">
        <v>0.97</v>
      </c>
      <c r="G3920" t="n">
        <v>0.99</v>
      </c>
    </row>
    <row r="3921" ht="12" customHeight="1" s="545">
      <c r="B3921" t="inlineStr">
        <is>
          <t>Colorado Springs</t>
        </is>
      </c>
      <c r="C3921" t="n">
        <v>0.98</v>
      </c>
      <c r="D3921" t="n">
        <v>0.99</v>
      </c>
      <c r="E3921" t="n">
        <v>0.96</v>
      </c>
      <c r="F3921" t="n">
        <v>0.98</v>
      </c>
      <c r="G3921" t="n">
        <v>1</v>
      </c>
    </row>
    <row r="3922" ht="12" customHeight="1" s="545">
      <c r="B3922" t="inlineStr">
        <is>
          <t>Costilla County</t>
        </is>
      </c>
      <c r="C3922" t="n">
        <v>0.86</v>
      </c>
      <c r="D3922" t="n">
        <v>0.88</v>
      </c>
      <c r="E3922" t="n">
        <v>0.88</v>
      </c>
      <c r="F3922" t="n">
        <v>0.87</v>
      </c>
      <c r="G3922" t="n">
        <v>0.89</v>
      </c>
    </row>
    <row r="3923" ht="12" customHeight="1" s="545">
      <c r="B3923" t="inlineStr">
        <is>
          <t>Denver</t>
        </is>
      </c>
      <c r="C3923" t="n">
        <v>1.01</v>
      </c>
      <c r="D3923" t="n">
        <v>1</v>
      </c>
      <c r="E3923" t="n">
        <v>1</v>
      </c>
      <c r="F3923" t="n">
        <v>1</v>
      </c>
      <c r="G3923" t="n">
        <v>1.03</v>
      </c>
    </row>
    <row r="3924" ht="12" customHeight="1" s="545">
      <c r="B3924" t="inlineStr">
        <is>
          <t>Durango</t>
        </is>
      </c>
      <c r="C3924" t="n">
        <v>0.9</v>
      </c>
      <c r="D3924" t="n">
        <v>0.92</v>
      </c>
      <c r="E3924" t="n">
        <v>0.93</v>
      </c>
      <c r="F3924" t="n">
        <v>0.91</v>
      </c>
      <c r="G3924" t="n">
        <v>0.9399999999999999</v>
      </c>
    </row>
    <row r="3925" ht="12" customHeight="1" s="545">
      <c r="B3925" t="inlineStr">
        <is>
          <t>Eagle County (excl. resort areas)</t>
        </is>
      </c>
      <c r="C3925" t="n">
        <v>0.9399999999999999</v>
      </c>
      <c r="D3925" t="n">
        <v>0.95</v>
      </c>
      <c r="E3925" t="n">
        <v>0.9399999999999999</v>
      </c>
      <c r="F3925" t="n">
        <v>0.9399999999999999</v>
      </c>
      <c r="G3925" t="n">
        <v>0.95</v>
      </c>
    </row>
    <row r="3926" ht="12" customHeight="1" s="545">
      <c r="B3926" t="inlineStr">
        <is>
          <t>Fort Collins</t>
        </is>
      </c>
      <c r="C3926" t="n">
        <v>0.98</v>
      </c>
      <c r="D3926" t="n">
        <v>1</v>
      </c>
      <c r="E3926" t="n">
        <v>1.01</v>
      </c>
      <c r="F3926" t="n">
        <v>0.99</v>
      </c>
      <c r="G3926" t="n">
        <v>1.01</v>
      </c>
    </row>
    <row r="3927" ht="12" customHeight="1" s="545">
      <c r="B3927" t="inlineStr">
        <is>
          <t>Grand Junction</t>
        </is>
      </c>
      <c r="C3927" t="n">
        <v>0.98</v>
      </c>
      <c r="D3927" t="n">
        <v>0.99</v>
      </c>
      <c r="E3927" t="n">
        <v>1</v>
      </c>
      <c r="F3927" t="n">
        <v>1</v>
      </c>
      <c r="G3927" t="n">
        <v>1.02</v>
      </c>
    </row>
    <row r="3928" ht="12" customHeight="1" s="545">
      <c r="B3928" t="inlineStr">
        <is>
          <t>Greeley</t>
        </is>
      </c>
      <c r="C3928" t="n">
        <v>0.98</v>
      </c>
      <c r="D3928" t="n">
        <v>1</v>
      </c>
      <c r="E3928" t="n">
        <v>1.01</v>
      </c>
      <c r="F3928" t="n">
        <v>0.99</v>
      </c>
      <c r="G3928" t="n">
        <v>0.99</v>
      </c>
    </row>
    <row r="3929" ht="12" customHeight="1" s="545">
      <c r="B3929" t="inlineStr">
        <is>
          <t>Gunnison County</t>
        </is>
      </c>
      <c r="C3929" t="n">
        <v>0.93</v>
      </c>
      <c r="D3929" t="n">
        <v>0.99</v>
      </c>
      <c r="E3929" t="n">
        <v>0.97</v>
      </c>
      <c r="F3929" t="n">
        <v>0.96</v>
      </c>
      <c r="G3929" t="n">
        <v>0.97</v>
      </c>
    </row>
    <row r="3930" ht="12" customHeight="1" s="545">
      <c r="B3930" t="inlineStr">
        <is>
          <t>Kit Carson County</t>
        </is>
      </c>
      <c r="C3930" t="n">
        <v>0.89</v>
      </c>
      <c r="D3930" t="n">
        <v>0.89</v>
      </c>
      <c r="E3930" t="n">
        <v>0.9</v>
      </c>
      <c r="F3930" t="n">
        <v>0.89</v>
      </c>
      <c r="G3930" t="n">
        <v>0.91</v>
      </c>
    </row>
    <row r="3931" ht="12" customHeight="1" s="545">
      <c r="B3931" t="inlineStr">
        <is>
          <t>Logan County</t>
        </is>
      </c>
      <c r="C3931" t="n">
        <v>0.91</v>
      </c>
      <c r="D3931" t="n">
        <v>0.91</v>
      </c>
      <c r="E3931" t="n">
        <v>0.92</v>
      </c>
      <c r="F3931" t="n">
        <v>0.9</v>
      </c>
      <c r="G3931" t="n">
        <v>0.92</v>
      </c>
    </row>
    <row r="3932" ht="12" customHeight="1" s="545">
      <c r="B3932" t="inlineStr">
        <is>
          <t>Longmont</t>
        </is>
      </c>
      <c r="C3932" t="n">
        <v>0.97</v>
      </c>
      <c r="D3932" t="n">
        <v>0.97</v>
      </c>
      <c r="E3932" t="n">
        <v>1</v>
      </c>
      <c r="F3932" t="n">
        <v>0.98</v>
      </c>
      <c r="G3932" t="n">
        <v>1</v>
      </c>
    </row>
    <row r="3933" ht="12" customHeight="1" s="545">
      <c r="B3933" t="inlineStr">
        <is>
          <t>Loveland</t>
        </is>
      </c>
      <c r="C3933" t="n">
        <v>0.96</v>
      </c>
      <c r="D3933" t="n">
        <v>0.98</v>
      </c>
      <c r="E3933" t="n">
        <v>1.01</v>
      </c>
      <c r="F3933" t="n">
        <v>0.99</v>
      </c>
      <c r="G3933" t="n">
        <v>0.99</v>
      </c>
    </row>
    <row r="3934" ht="12" customHeight="1" s="545">
      <c r="B3934" t="inlineStr">
        <is>
          <t>Moffat County</t>
        </is>
      </c>
      <c r="C3934" t="n">
        <v>0.9</v>
      </c>
      <c r="D3934" t="n">
        <v>0.93</v>
      </c>
      <c r="E3934" t="n">
        <v>0.91</v>
      </c>
      <c r="F3934" t="n">
        <v>0.92</v>
      </c>
      <c r="G3934" t="n">
        <v>0.93</v>
      </c>
    </row>
    <row r="3935" ht="12" customHeight="1" s="545">
      <c r="B3935" t="inlineStr">
        <is>
          <t>Montrose County</t>
        </is>
      </c>
      <c r="C3935" t="n">
        <v>0.9</v>
      </c>
      <c r="D3935" t="n">
        <v>0.92</v>
      </c>
      <c r="E3935" t="n">
        <v>0.93</v>
      </c>
      <c r="F3935" t="n">
        <v>0.9</v>
      </c>
      <c r="G3935" t="n">
        <v>0.92</v>
      </c>
    </row>
    <row r="3936" ht="12" customHeight="1" s="545">
      <c r="B3936" t="inlineStr">
        <is>
          <t>Prowers County</t>
        </is>
      </c>
      <c r="C3936" t="n">
        <v>0.9</v>
      </c>
      <c r="D3936" t="n">
        <v>0.92</v>
      </c>
      <c r="E3936" t="n">
        <v>0.91</v>
      </c>
      <c r="F3936" t="n">
        <v>0.91</v>
      </c>
      <c r="G3936" t="n">
        <v>0.91</v>
      </c>
    </row>
    <row r="3937" ht="12" customHeight="1" s="545">
      <c r="B3937" t="inlineStr">
        <is>
          <t>Pueblo</t>
        </is>
      </c>
      <c r="C3937" t="n">
        <v>0.95</v>
      </c>
      <c r="D3937" t="n">
        <v>0.95</v>
      </c>
      <c r="E3937" t="n">
        <v>0.95</v>
      </c>
      <c r="F3937" t="n">
        <v>0.95</v>
      </c>
      <c r="G3937" t="n">
        <v>0.95</v>
      </c>
    </row>
    <row r="3938" ht="12" customHeight="1" s="545">
      <c r="B3938" t="inlineStr">
        <is>
          <t>Steamboat Springs</t>
        </is>
      </c>
      <c r="C3938" t="n">
        <v>1.15</v>
      </c>
      <c r="D3938" t="n">
        <v>1.17</v>
      </c>
      <c r="E3938" t="n">
        <v>1.16</v>
      </c>
      <c r="F3938" t="n">
        <v>1.14</v>
      </c>
      <c r="G3938" t="n">
        <v>1.14</v>
      </c>
    </row>
    <row r="3939" ht="12" customHeight="1" s="545">
      <c r="B3939" t="inlineStr">
        <is>
          <t>Vail</t>
        </is>
      </c>
      <c r="C3939" t="n">
        <v>1.13</v>
      </c>
      <c r="D3939" t="n">
        <v>1.16</v>
      </c>
      <c r="E3939" t="n">
        <v>1.14</v>
      </c>
      <c r="F3939" t="n">
        <v>1.13</v>
      </c>
      <c r="G3939" t="n">
        <v>1.13</v>
      </c>
    </row>
    <row r="3941" ht="12" customHeight="1" s="545">
      <c r="B3941" s="211" t="inlineStr">
        <is>
          <t>REFERENCE 10 -- Section 98 Denver-Specific Quarterly Cost Index (for De-Trend to Appraisal Date; Jan 2025 = 1.000)</t>
        </is>
      </c>
    </row>
    <row r="3942" ht="12" customHeight="1" s="545">
      <c r="B3942" t="inlineStr">
        <is>
          <t>Do NOT combine with the Local Area Multiplier above -- Sec.98's district/city index is already geographically resolved to Denver (MVS explicit warning, Sec.98 p.1/p.5).</t>
        </is>
      </c>
    </row>
    <row r="3943" ht="12" customHeight="1" s="545">
      <c r="B3943" t="inlineStr">
        <is>
          <t>Quarter</t>
        </is>
      </c>
      <c r="C3943" t="inlineStr">
        <is>
          <t>Class A</t>
        </is>
      </c>
      <c r="D3943" t="inlineStr">
        <is>
          <t>Class B</t>
        </is>
      </c>
      <c r="E3943" t="inlineStr">
        <is>
          <t>Class C</t>
        </is>
      </c>
      <c r="F3943" t="inlineStr">
        <is>
          <t>Class D</t>
        </is>
      </c>
      <c r="G3943" t="inlineStr">
        <is>
          <t>Class S</t>
        </is>
      </c>
    </row>
    <row r="3944" ht="12" customHeight="1" s="545">
      <c r="B3944" t="inlineStr">
        <is>
          <t>Jan 2025</t>
        </is>
      </c>
      <c r="C3944" t="n">
        <v>1</v>
      </c>
      <c r="D3944" t="n">
        <v>1</v>
      </c>
      <c r="E3944" t="n">
        <v>1</v>
      </c>
      <c r="F3944" t="n">
        <v>1</v>
      </c>
      <c r="G3944" t="n">
        <v>1</v>
      </c>
    </row>
    <row r="3945" ht="12" customHeight="1" s="545">
      <c r="B3945" t="inlineStr">
        <is>
          <t>Oct 2024</t>
        </is>
      </c>
      <c r="C3945" t="n">
        <v>1.016</v>
      </c>
      <c r="D3945" t="n">
        <v>1.008</v>
      </c>
      <c r="E3945" t="n">
        <v>0.999</v>
      </c>
      <c r="F3945" t="n">
        <v>1.006</v>
      </c>
      <c r="G3945" t="n">
        <v>1.01</v>
      </c>
    </row>
    <row r="3946" ht="12" customHeight="1" s="545">
      <c r="B3946" t="inlineStr">
        <is>
          <t>Jul 2024</t>
        </is>
      </c>
      <c r="C3946" t="n">
        <v>1.017</v>
      </c>
      <c r="D3946" t="n">
        <v>1.014</v>
      </c>
      <c r="E3946" t="n">
        <v>1.004</v>
      </c>
      <c r="F3946" t="n">
        <v>1.008</v>
      </c>
      <c r="G3946" t="n">
        <v>1.014</v>
      </c>
    </row>
    <row r="3947" ht="12" customHeight="1" s="545">
      <c r="B3947" t="inlineStr">
        <is>
          <t>Apr 2024</t>
        </is>
      </c>
      <c r="C3947" t="n">
        <v>1.034</v>
      </c>
      <c r="D3947" t="n">
        <v>1.027</v>
      </c>
      <c r="E3947" t="n">
        <v>1.012</v>
      </c>
      <c r="F3947" t="n">
        <v>1.016</v>
      </c>
      <c r="G3947" t="n">
        <v>1.024</v>
      </c>
    </row>
    <row r="3948" ht="12" customHeight="1" s="545">
      <c r="B3948" t="inlineStr">
        <is>
          <t>Jan 2024</t>
        </is>
      </c>
      <c r="C3948" t="n">
        <v>1.037</v>
      </c>
      <c r="D3948" t="n">
        <v>1.027</v>
      </c>
      <c r="E3948" t="n">
        <v>1.02</v>
      </c>
      <c r="F3948" t="n">
        <v>1.015</v>
      </c>
      <c r="G3948" t="n">
        <v>1.026</v>
      </c>
    </row>
    <row r="3949" ht="12" customHeight="1" s="545">
      <c r="B3949" t="inlineStr">
        <is>
          <t>Oct 2023</t>
        </is>
      </c>
      <c r="C3949" t="n">
        <v>1.046</v>
      </c>
      <c r="D3949" t="n">
        <v>1.025</v>
      </c>
      <c r="E3949" t="n">
        <v>1.021</v>
      </c>
      <c r="F3949" t="n">
        <v>1.015</v>
      </c>
      <c r="G3949" t="n">
        <v>1.029</v>
      </c>
    </row>
    <row r="3950" ht="12" customHeight="1" s="545">
      <c r="B3950" t="inlineStr">
        <is>
          <t>Jul 2023</t>
        </is>
      </c>
      <c r="C3950" t="n">
        <v>1.064</v>
      </c>
      <c r="D3950" t="n">
        <v>1.029</v>
      </c>
      <c r="E3950" t="n">
        <v>1.022</v>
      </c>
      <c r="F3950" t="n">
        <v>1.014</v>
      </c>
      <c r="G3950" t="n">
        <v>1.034</v>
      </c>
    </row>
    <row r="3951" ht="12" customHeight="1" s="545">
      <c r="B3951" t="inlineStr">
        <is>
          <t>Apr 2023</t>
        </is>
      </c>
      <c r="C3951" t="n">
        <v>1.078</v>
      </c>
      <c r="D3951" t="n">
        <v>1.034</v>
      </c>
      <c r="E3951" t="n">
        <v>1.017</v>
      </c>
      <c r="F3951" t="n">
        <v>1.007</v>
      </c>
      <c r="G3951" t="n">
        <v>1.03</v>
      </c>
    </row>
    <row r="3952" ht="12" customHeight="1" s="545">
      <c r="B3952" t="inlineStr">
        <is>
          <t>Jan 2023</t>
        </is>
      </c>
      <c r="C3952" t="n">
        <v>1.076</v>
      </c>
      <c r="D3952" t="n">
        <v>1.033</v>
      </c>
      <c r="E3952" t="n">
        <v>1.011</v>
      </c>
      <c r="F3952" t="n">
        <v>0.998</v>
      </c>
      <c r="G3952" t="n">
        <v>1.023</v>
      </c>
    </row>
    <row r="3953" ht="12" customHeight="1" s="545">
      <c r="B3953" t="inlineStr">
        <is>
          <t>Oct 2022</t>
        </is>
      </c>
      <c r="C3953" t="n">
        <v>1.077</v>
      </c>
      <c r="D3953" t="n">
        <v>1.032</v>
      </c>
      <c r="E3953" t="n">
        <v>1.005</v>
      </c>
      <c r="F3953" t="n">
        <v>0.987</v>
      </c>
      <c r="G3953" t="n">
        <v>1.005</v>
      </c>
    </row>
    <row r="3954" ht="12" customHeight="1" s="545">
      <c r="B3954" t="inlineStr">
        <is>
          <t>Jul 2022</t>
        </is>
      </c>
      <c r="C3954" t="n">
        <v>1.091</v>
      </c>
      <c r="D3954" t="n">
        <v>1.046</v>
      </c>
      <c r="E3954" t="n">
        <v>1.011</v>
      </c>
      <c r="F3954" t="n">
        <v>0.985</v>
      </c>
      <c r="G3954" t="n">
        <v>1.006</v>
      </c>
    </row>
    <row r="3955" ht="12" customHeight="1" s="545">
      <c r="B3955" t="inlineStr">
        <is>
          <t>Apr 2022</t>
        </is>
      </c>
      <c r="C3955" t="n">
        <v>1.156</v>
      </c>
      <c r="D3955" t="n">
        <v>1.134</v>
      </c>
      <c r="E3955" t="n">
        <v>1.103</v>
      </c>
      <c r="F3955" t="n">
        <v>1.089</v>
      </c>
      <c r="G3955" t="n">
        <v>1.108</v>
      </c>
    </row>
    <row r="3956" ht="12" customHeight="1" s="545">
      <c r="B3956" t="inlineStr">
        <is>
          <t>Jan 2022</t>
        </is>
      </c>
      <c r="C3956" t="n">
        <v>1.229</v>
      </c>
      <c r="D3956" t="n">
        <v>1.179</v>
      </c>
      <c r="E3956" t="n">
        <v>1.148</v>
      </c>
      <c r="F3956" t="n">
        <v>1.123</v>
      </c>
      <c r="G3956" t="n">
        <v>1.158</v>
      </c>
    </row>
    <row r="3958" ht="12" customHeight="1" s="545">
      <c r="B3958" s="211"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ht="12" customHeight="1" s="545">
      <c r="B3959" s="212" t="inlineStr">
        <is>
          <t>Occupancy Name</t>
        </is>
      </c>
      <c r="C3959" s="212" t="inlineStr">
        <is>
          <t>Quality</t>
        </is>
      </c>
      <c r="D3959" s="212" t="inlineStr">
        <is>
          <t>Class A</t>
        </is>
      </c>
      <c r="E3959" s="212" t="inlineStr">
        <is>
          <t>Class B</t>
        </is>
      </c>
      <c r="F3959" s="212" t="inlineStr">
        <is>
          <t>Class C</t>
        </is>
      </c>
      <c r="G3959" s="212" t="inlineStr">
        <is>
          <t>Class D</t>
        </is>
      </c>
      <c r="H3959" s="212" t="inlineStr">
        <is>
          <t>Class S</t>
        </is>
      </c>
      <c r="I3959" s="212" t="inlineStr">
        <is>
          <t>Key</t>
        </is>
      </c>
      <c r="J3959" s="212" t="inlineStr">
        <is>
          <t>MVS bucket used</t>
        </is>
      </c>
    </row>
    <row r="3960" ht="12" customHeight="1" s="545">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ht="12" customHeight="1" s="545">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ht="12" customHeight="1" s="545">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ht="12" customHeight="1" s="545">
      <c r="B3963" t="inlineStr">
        <is>
          <t>Dormitories</t>
        </is>
      </c>
      <c r="C3963" t="inlineStr">
        <is>
          <t>Excellent</t>
        </is>
      </c>
      <c r="D3963" t="n">
        <v>60</v>
      </c>
      <c r="E3963" t="n">
        <v>60</v>
      </c>
      <c r="F3963" t="n">
        <v>55</v>
      </c>
      <c r="G3963" t="n">
        <v>50</v>
      </c>
      <c r="I3963">
        <f>B3963&amp;"|"&amp;C3963</f>
        <v/>
      </c>
      <c r="J3963" t="inlineStr">
        <is>
          <t>Dormitories, good and excellent</t>
        </is>
      </c>
    </row>
    <row r="3964" ht="12" customHeight="1" s="545">
      <c r="B3964" t="inlineStr">
        <is>
          <t>Dormitories</t>
        </is>
      </c>
      <c r="C3964" t="inlineStr">
        <is>
          <t>Very Good</t>
        </is>
      </c>
      <c r="D3964" t="n">
        <v>60</v>
      </c>
      <c r="E3964" t="n">
        <v>60</v>
      </c>
      <c r="F3964" t="n">
        <v>55</v>
      </c>
      <c r="G3964" t="n">
        <v>50</v>
      </c>
      <c r="I3964">
        <f>B3964&amp;"|"&amp;C3964</f>
        <v/>
      </c>
      <c r="J3964" t="inlineStr">
        <is>
          <t>Dormitories, good and excellent</t>
        </is>
      </c>
    </row>
    <row r="3965" ht="12" customHeight="1" s="545">
      <c r="B3965" t="inlineStr">
        <is>
          <t>Dormitories</t>
        </is>
      </c>
      <c r="C3965" t="inlineStr">
        <is>
          <t>Good</t>
        </is>
      </c>
      <c r="D3965" t="n">
        <v>60</v>
      </c>
      <c r="E3965" t="n">
        <v>60</v>
      </c>
      <c r="F3965" t="n">
        <v>55</v>
      </c>
      <c r="G3965" t="n">
        <v>50</v>
      </c>
      <c r="I3965">
        <f>B3965&amp;"|"&amp;C3965</f>
        <v/>
      </c>
      <c r="J3965" t="inlineStr">
        <is>
          <t>Dormitories, good and excellent</t>
        </is>
      </c>
    </row>
    <row r="3966" ht="12" customHeight="1" s="545">
      <c r="B3966" t="inlineStr">
        <is>
          <t>Dormitories</t>
        </is>
      </c>
      <c r="C3966" t="inlineStr">
        <is>
          <t>Average</t>
        </is>
      </c>
      <c r="D3966" t="n">
        <v>50</v>
      </c>
      <c r="E3966" t="n">
        <v>50</v>
      </c>
      <c r="F3966" t="n">
        <v>45</v>
      </c>
      <c r="G3966" t="n">
        <v>40</v>
      </c>
      <c r="H3966" t="n">
        <v>40</v>
      </c>
      <c r="I3966">
        <f>B3966&amp;"|"&amp;C3966</f>
        <v/>
      </c>
      <c r="J3966" t="inlineStr">
        <is>
          <t>low cost and average</t>
        </is>
      </c>
    </row>
    <row r="3967" ht="12" customHeight="1" s="545">
      <c r="B3967" t="inlineStr">
        <is>
          <t>Dormitories</t>
        </is>
      </c>
      <c r="C3967" t="inlineStr">
        <is>
          <t>Low Cost</t>
        </is>
      </c>
      <c r="D3967" t="n">
        <v>50</v>
      </c>
      <c r="E3967" t="n">
        <v>50</v>
      </c>
      <c r="F3967" t="n">
        <v>45</v>
      </c>
      <c r="G3967" t="n">
        <v>40</v>
      </c>
      <c r="H3967" t="n">
        <v>40</v>
      </c>
      <c r="I3967">
        <f>B3967&amp;"|"&amp;C3967</f>
        <v/>
      </c>
      <c r="J3967" t="inlineStr">
        <is>
          <t>low cost and average</t>
        </is>
      </c>
    </row>
    <row r="3968" ht="12" customHeight="1" s="545">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ht="12" customHeight="1" s="545">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ht="12" customHeight="1" s="545">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ht="12" customHeight="1" s="545">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ht="12" customHeight="1" s="545">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ht="12" customHeight="1" s="545">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ht="12" customHeight="1" s="545">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ht="12" customHeight="1" s="54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ht="12" customHeight="1" s="545">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ht="12" customHeight="1" s="545">
      <c r="B3977" t="inlineStr">
        <is>
          <t>City Clubs</t>
        </is>
      </c>
      <c r="C3977" t="inlineStr">
        <is>
          <t>Good</t>
        </is>
      </c>
      <c r="D3977" t="n">
        <v>60</v>
      </c>
      <c r="E3977" t="n">
        <v>60</v>
      </c>
      <c r="F3977" t="n">
        <v>50</v>
      </c>
      <c r="I3977">
        <f>B3977&amp;"|"&amp;C3977</f>
        <v/>
      </c>
      <c r="J3977" t="inlineStr">
        <is>
          <t>City clubs, good</t>
        </is>
      </c>
    </row>
    <row r="3978" ht="12" customHeight="1" s="545">
      <c r="B3978" t="inlineStr">
        <is>
          <t>City Clubs</t>
        </is>
      </c>
      <c r="C3978" t="inlineStr">
        <is>
          <t>Average</t>
        </is>
      </c>
      <c r="D3978" t="n">
        <v>50</v>
      </c>
      <c r="E3978" t="n">
        <v>50</v>
      </c>
      <c r="F3978" t="n">
        <v>45</v>
      </c>
      <c r="I3978">
        <f>B3978&amp;"|"&amp;C3978</f>
        <v/>
      </c>
      <c r="J3978" t="inlineStr">
        <is>
          <t>average</t>
        </is>
      </c>
    </row>
    <row r="3979" ht="12" customHeight="1" s="545">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ht="12" customHeight="1" s="545">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ht="12" customHeight="1" s="545">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ht="12" customHeight="1" s="545">
      <c r="B3982" t="inlineStr">
        <is>
          <t>Hotels, Limited Service</t>
        </is>
      </c>
      <c r="C3982" t="inlineStr">
        <is>
          <t>Excellent</t>
        </is>
      </c>
      <c r="D3982" t="n">
        <v>60</v>
      </c>
      <c r="E3982" t="n">
        <v>60</v>
      </c>
      <c r="F3982" t="n">
        <v>50</v>
      </c>
      <c r="I3982">
        <f>B3982&amp;"|"&amp;C3982</f>
        <v/>
      </c>
      <c r="J3982" t="inlineStr">
        <is>
          <t>limited service, excellent</t>
        </is>
      </c>
    </row>
    <row r="3983" ht="12" customHeight="1" s="545">
      <c r="B3983" t="inlineStr">
        <is>
          <t>Hotels, Limited Service</t>
        </is>
      </c>
      <c r="C3983" t="inlineStr">
        <is>
          <t>Good</t>
        </is>
      </c>
      <c r="D3983" t="n">
        <v>55</v>
      </c>
      <c r="E3983" t="n">
        <v>55</v>
      </c>
      <c r="F3983" t="n">
        <v>50</v>
      </c>
      <c r="G3983" t="n">
        <v>45</v>
      </c>
      <c r="I3983">
        <f>B3983&amp;"|"&amp;C3983</f>
        <v/>
      </c>
      <c r="J3983" t="inlineStr">
        <is>
          <t>good</t>
        </is>
      </c>
    </row>
    <row r="3984" ht="12" customHeight="1" s="545">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ht="12" customHeight="1" s="54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ht="12" customHeight="1" s="545">
      <c r="B3986" t="inlineStr">
        <is>
          <t>Shell Hotels: Limited Service Buildings</t>
        </is>
      </c>
      <c r="C3986" t="inlineStr">
        <is>
          <t>Excellent</t>
        </is>
      </c>
      <c r="D3986" t="n">
        <v>60</v>
      </c>
      <c r="E3986" t="n">
        <v>60</v>
      </c>
      <c r="F3986" t="n">
        <v>50</v>
      </c>
      <c r="I3986">
        <f>B3986&amp;"|"&amp;C3986</f>
        <v/>
      </c>
      <c r="J3986" t="inlineStr">
        <is>
          <t>limited service, excellent</t>
        </is>
      </c>
    </row>
    <row r="3987" ht="12" customHeight="1" s="545">
      <c r="B3987" t="inlineStr">
        <is>
          <t>Shell Hotels: Limited Service Buildings</t>
        </is>
      </c>
      <c r="C3987" t="inlineStr">
        <is>
          <t>Good</t>
        </is>
      </c>
      <c r="D3987" t="n">
        <v>55</v>
      </c>
      <c r="E3987" t="n">
        <v>55</v>
      </c>
      <c r="F3987" t="n">
        <v>50</v>
      </c>
      <c r="G3987" t="n">
        <v>45</v>
      </c>
      <c r="I3987">
        <f>B3987&amp;"|"&amp;C3987</f>
        <v/>
      </c>
      <c r="J3987" t="inlineStr">
        <is>
          <t>good</t>
        </is>
      </c>
    </row>
    <row r="3988" ht="12" customHeight="1" s="545">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ht="12" customHeight="1" s="545">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ht="12" customHeight="1" s="545">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ht="12" customHeight="1" s="545">
      <c r="B3991" t="inlineStr">
        <is>
          <t>Hotels, Full Service</t>
        </is>
      </c>
      <c r="C3991" t="inlineStr">
        <is>
          <t>Good</t>
        </is>
      </c>
      <c r="D3991" t="n">
        <v>60</v>
      </c>
      <c r="E3991" t="n">
        <v>60</v>
      </c>
      <c r="F3991" t="n">
        <v>50</v>
      </c>
      <c r="G3991" t="n">
        <v>45</v>
      </c>
      <c r="I3991">
        <f>B3991&amp;"|"&amp;C3991</f>
        <v/>
      </c>
      <c r="J3991" t="inlineStr">
        <is>
          <t>Hotels, full service, good and excellent</t>
        </is>
      </c>
    </row>
    <row r="3992" ht="12" customHeight="1" s="545">
      <c r="B3992" t="inlineStr">
        <is>
          <t>Hotels, Full Service</t>
        </is>
      </c>
      <c r="C3992" t="inlineStr">
        <is>
          <t>Average</t>
        </is>
      </c>
      <c r="D3992" t="n">
        <v>55</v>
      </c>
      <c r="E3992" t="n">
        <v>55</v>
      </c>
      <c r="F3992" t="n">
        <v>50</v>
      </c>
      <c r="G3992" t="n">
        <v>45</v>
      </c>
      <c r="I3992">
        <f>B3992&amp;"|"&amp;C3992</f>
        <v/>
      </c>
      <c r="J3992" t="inlineStr">
        <is>
          <t>average</t>
        </is>
      </c>
    </row>
    <row r="3993" ht="12" customHeight="1" s="545">
      <c r="B3993" t="inlineStr">
        <is>
          <t>Hotels, Full Service</t>
        </is>
      </c>
      <c r="C3993" t="inlineStr">
        <is>
          <t>Low Cost</t>
        </is>
      </c>
      <c r="D3993" t="n">
        <v>50</v>
      </c>
      <c r="E3993" t="n">
        <v>50</v>
      </c>
      <c r="F3993" t="n">
        <v>45</v>
      </c>
      <c r="G3993" t="n">
        <v>40</v>
      </c>
      <c r="I3993">
        <f>B3993&amp;"|"&amp;C3993</f>
        <v/>
      </c>
      <c r="J3993" t="inlineStr">
        <is>
          <t>low cost</t>
        </is>
      </c>
    </row>
    <row r="3994" ht="12" customHeight="1" s="545">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ht="12" customHeight="1" s="54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ht="12" customHeight="1" s="545">
      <c r="B3996" t="inlineStr">
        <is>
          <t>Shell Hotels: Full Service Buildings</t>
        </is>
      </c>
      <c r="C3996" t="inlineStr">
        <is>
          <t>Average</t>
        </is>
      </c>
      <c r="D3996" t="n">
        <v>55</v>
      </c>
      <c r="E3996" t="n">
        <v>55</v>
      </c>
      <c r="F3996" t="n">
        <v>50</v>
      </c>
      <c r="G3996" t="n">
        <v>45</v>
      </c>
      <c r="I3996">
        <f>B3996&amp;"|"&amp;C3996</f>
        <v/>
      </c>
      <c r="J3996" t="inlineStr">
        <is>
          <t>average</t>
        </is>
      </c>
    </row>
    <row r="3997" ht="12" customHeight="1" s="545">
      <c r="B3997" t="inlineStr">
        <is>
          <t>Shell Hotels: Full Service Buildings</t>
        </is>
      </c>
      <c r="C3997" t="inlineStr">
        <is>
          <t>Low Cost</t>
        </is>
      </c>
      <c r="D3997" t="n">
        <v>50</v>
      </c>
      <c r="E3997" t="n">
        <v>50</v>
      </c>
      <c r="F3997" t="n">
        <v>45</v>
      </c>
      <c r="G3997" t="n">
        <v>40</v>
      </c>
      <c r="I3997">
        <f>B3997&amp;"|"&amp;C3997</f>
        <v/>
      </c>
      <c r="J3997" t="inlineStr">
        <is>
          <t>low cost</t>
        </is>
      </c>
    </row>
    <row r="3998" ht="12" customHeight="1" s="545">
      <c r="B3998" t="inlineStr">
        <is>
          <t>Rooming Houses</t>
        </is>
      </c>
      <c r="C3998" t="inlineStr">
        <is>
          <t>Good</t>
        </is>
      </c>
      <c r="F3998" t="n">
        <v>55</v>
      </c>
      <c r="G3998" t="n">
        <v>50</v>
      </c>
      <c r="I3998">
        <f>B3998&amp;"|"&amp;C3998</f>
        <v/>
      </c>
      <c r="J3998" t="inlineStr">
        <is>
          <t>Rooming houses, good</t>
        </is>
      </c>
    </row>
    <row r="3999" ht="12" customHeight="1" s="545">
      <c r="B3999" t="inlineStr">
        <is>
          <t>Rooming Houses</t>
        </is>
      </c>
      <c r="C3999" t="inlineStr">
        <is>
          <t>Average</t>
        </is>
      </c>
      <c r="F3999" t="n">
        <v>50</v>
      </c>
      <c r="G3999" t="n">
        <v>45</v>
      </c>
      <c r="I3999">
        <f>B3999&amp;"|"&amp;C3999</f>
        <v/>
      </c>
      <c r="J3999" t="inlineStr">
        <is>
          <t>average</t>
        </is>
      </c>
    </row>
    <row r="4000" ht="12" customHeight="1" s="545">
      <c r="B4000" t="inlineStr">
        <is>
          <t>Rooming Houses</t>
        </is>
      </c>
      <c r="C4000" t="inlineStr">
        <is>
          <t>Fair</t>
        </is>
      </c>
      <c r="F4000" t="n">
        <v>45</v>
      </c>
      <c r="G4000" t="n">
        <v>40</v>
      </c>
      <c r="I4000">
        <f>B4000&amp;"|"&amp;C4000</f>
        <v/>
      </c>
      <c r="J4000" t="inlineStr">
        <is>
          <t>low cost and fair</t>
        </is>
      </c>
    </row>
    <row r="4001" ht="12" customHeight="1" s="545">
      <c r="B4001" t="inlineStr">
        <is>
          <t>Rooming Houses</t>
        </is>
      </c>
      <c r="C4001" t="inlineStr">
        <is>
          <t>Low Cost</t>
        </is>
      </c>
      <c r="F4001" t="n">
        <v>45</v>
      </c>
      <c r="G4001" t="n">
        <v>40</v>
      </c>
      <c r="I4001">
        <f>B4001&amp;"|"&amp;C4001</f>
        <v/>
      </c>
      <c r="J4001" t="inlineStr">
        <is>
          <t>low cost and fair</t>
        </is>
      </c>
    </row>
    <row r="4002" ht="12" customHeight="1" s="545">
      <c r="B4002" t="inlineStr">
        <is>
          <t>Rectories</t>
        </is>
      </c>
      <c r="C4002" t="inlineStr">
        <is>
          <t>Excellent</t>
        </is>
      </c>
      <c r="F4002" t="n">
        <v>55</v>
      </c>
      <c r="G4002" t="n">
        <v>50</v>
      </c>
      <c r="I4002">
        <f>B4002&amp;"|"&amp;C4002</f>
        <v/>
      </c>
      <c r="J4002" t="inlineStr">
        <is>
          <t>Rectories, good and excellent</t>
        </is>
      </c>
    </row>
    <row r="4003" ht="12" customHeight="1" s="545">
      <c r="B4003" t="inlineStr">
        <is>
          <t>Rectories</t>
        </is>
      </c>
      <c r="C4003" t="inlineStr">
        <is>
          <t>Good</t>
        </is>
      </c>
      <c r="F4003" t="n">
        <v>55</v>
      </c>
      <c r="G4003" t="n">
        <v>50</v>
      </c>
      <c r="I4003">
        <f>B4003&amp;"|"&amp;C4003</f>
        <v/>
      </c>
      <c r="J4003" t="inlineStr">
        <is>
          <t>Rectories, good and excellent</t>
        </is>
      </c>
    </row>
    <row r="4004" ht="12" customHeight="1" s="545">
      <c r="B4004" t="inlineStr">
        <is>
          <t>Rectories</t>
        </is>
      </c>
      <c r="C4004" t="inlineStr">
        <is>
          <t>Average</t>
        </is>
      </c>
      <c r="F4004" t="n">
        <v>50</v>
      </c>
      <c r="G4004" t="n">
        <v>45</v>
      </c>
      <c r="I4004">
        <f>B4004&amp;"|"&amp;C4004</f>
        <v/>
      </c>
      <c r="J4004" t="inlineStr">
        <is>
          <t>average</t>
        </is>
      </c>
    </row>
    <row r="4005" ht="12" customHeight="1" s="545">
      <c r="B4005" t="inlineStr">
        <is>
          <t>Rectories</t>
        </is>
      </c>
      <c r="C4005" t="inlineStr">
        <is>
          <t>Low Cost</t>
        </is>
      </c>
      <c r="F4005" t="n">
        <v>45</v>
      </c>
      <c r="G4005" t="n">
        <v>40</v>
      </c>
      <c r="I4005">
        <f>B4005&amp;"|"&amp;C4005</f>
        <v/>
      </c>
      <c r="J4005" t="inlineStr">
        <is>
          <t>low cost</t>
        </is>
      </c>
    </row>
    <row r="4006" ht="12" customHeight="1" s="545">
      <c r="B4006" t="inlineStr">
        <is>
          <t>Fraternity Housing</t>
        </is>
      </c>
      <c r="C4006" t="inlineStr">
        <is>
          <t>Excellent</t>
        </is>
      </c>
      <c r="F4006" t="n">
        <v>55</v>
      </c>
      <c r="G4006" t="n">
        <v>50</v>
      </c>
      <c r="I4006">
        <f>B4006&amp;"|"&amp;C4006</f>
        <v/>
      </c>
      <c r="J4006" t="inlineStr">
        <is>
          <t>Fraternity houses, good and excellent</t>
        </is>
      </c>
    </row>
    <row r="4007" ht="12" customHeight="1" s="545">
      <c r="B4007" t="inlineStr">
        <is>
          <t>Fraternity Housing</t>
        </is>
      </c>
      <c r="C4007" t="inlineStr">
        <is>
          <t>Good</t>
        </is>
      </c>
      <c r="F4007" t="n">
        <v>55</v>
      </c>
      <c r="G4007" t="n">
        <v>50</v>
      </c>
      <c r="I4007">
        <f>B4007&amp;"|"&amp;C4007</f>
        <v/>
      </c>
      <c r="J4007" t="inlineStr">
        <is>
          <t>Fraternity houses, good and excellent</t>
        </is>
      </c>
    </row>
    <row r="4008" ht="12" customHeight="1" s="545">
      <c r="B4008" t="inlineStr">
        <is>
          <t>Fraternity Housing</t>
        </is>
      </c>
      <c r="C4008" t="inlineStr">
        <is>
          <t>Average</t>
        </is>
      </c>
      <c r="F4008" t="n">
        <v>50</v>
      </c>
      <c r="G4008" t="n">
        <v>45</v>
      </c>
      <c r="I4008">
        <f>B4008&amp;"|"&amp;C4008</f>
        <v/>
      </c>
      <c r="J4008" t="inlineStr">
        <is>
          <t>average</t>
        </is>
      </c>
    </row>
    <row r="4009" ht="12" customHeight="1" s="545">
      <c r="B4009" t="inlineStr">
        <is>
          <t>Group Care Homes</t>
        </is>
      </c>
      <c r="C4009" t="inlineStr">
        <is>
          <t>Excellent</t>
        </is>
      </c>
      <c r="F4009" t="n">
        <v>55</v>
      </c>
      <c r="G4009" t="n">
        <v>50</v>
      </c>
      <c r="I4009">
        <f>B4009&amp;"|"&amp;C4009</f>
        <v/>
      </c>
      <c r="J4009" t="inlineStr">
        <is>
          <t>Group care homes, good, very good and excellent</t>
        </is>
      </c>
    </row>
    <row r="4010" ht="12" customHeight="1" s="545">
      <c r="B4010" t="inlineStr">
        <is>
          <t>Group Care Homes</t>
        </is>
      </c>
      <c r="C4010" t="inlineStr">
        <is>
          <t>Very Good</t>
        </is>
      </c>
      <c r="F4010" t="n">
        <v>55</v>
      </c>
      <c r="G4010" t="n">
        <v>50</v>
      </c>
      <c r="I4010">
        <f>B4010&amp;"|"&amp;C4010</f>
        <v/>
      </c>
      <c r="J4010" t="inlineStr">
        <is>
          <t>Group care homes, good, very good and excellent</t>
        </is>
      </c>
    </row>
    <row r="4011" ht="12" customHeight="1" s="545">
      <c r="B4011" t="inlineStr">
        <is>
          <t>Group Care Homes</t>
        </is>
      </c>
      <c r="C4011" t="inlineStr">
        <is>
          <t>Good</t>
        </is>
      </c>
      <c r="F4011" t="n">
        <v>55</v>
      </c>
      <c r="G4011" t="n">
        <v>50</v>
      </c>
      <c r="I4011">
        <f>B4011&amp;"|"&amp;C4011</f>
        <v/>
      </c>
      <c r="J4011" t="inlineStr">
        <is>
          <t>Group care homes, good, very good and excellent</t>
        </is>
      </c>
    </row>
    <row r="4012" ht="12" customHeight="1" s="545">
      <c r="B4012" t="inlineStr">
        <is>
          <t>Group Care Homes</t>
        </is>
      </c>
      <c r="C4012" t="inlineStr">
        <is>
          <t>Average</t>
        </is>
      </c>
      <c r="F4012" t="n">
        <v>50</v>
      </c>
      <c r="G4012" t="n">
        <v>45</v>
      </c>
      <c r="I4012">
        <f>B4012&amp;"|"&amp;C4012</f>
        <v/>
      </c>
      <c r="J4012" t="inlineStr">
        <is>
          <t>average</t>
        </is>
      </c>
    </row>
    <row r="4013" ht="12" customHeight="1" s="545">
      <c r="B4013" t="inlineStr">
        <is>
          <t>Group Care Homes</t>
        </is>
      </c>
      <c r="C4013" t="inlineStr">
        <is>
          <t>Low Cost</t>
        </is>
      </c>
      <c r="F4013" t="n">
        <v>45</v>
      </c>
      <c r="G4013" t="n">
        <v>40</v>
      </c>
      <c r="I4013">
        <f>B4013&amp;"|"&amp;C4013</f>
        <v/>
      </c>
      <c r="J4013" t="inlineStr">
        <is>
          <t>low cost</t>
        </is>
      </c>
    </row>
    <row r="4014" ht="12" customHeight="1" s="545">
      <c r="B4014" t="inlineStr">
        <is>
          <t>Recreational (Pool) Enclosures</t>
        </is>
      </c>
      <c r="C4014" t="inlineStr">
        <is>
          <t>Good</t>
        </is>
      </c>
      <c r="F4014" t="n">
        <v>45</v>
      </c>
      <c r="G4014" t="n">
        <v>40</v>
      </c>
      <c r="H4014" t="n">
        <v>40</v>
      </c>
      <c r="I4014">
        <f>B4014&amp;"|"&amp;C4014</f>
        <v/>
      </c>
      <c r="J4014" t="inlineStr">
        <is>
          <t>Recreational (pool) enclosures, good</t>
        </is>
      </c>
    </row>
    <row r="4015" ht="12" customHeight="1" s="545">
      <c r="B4015" t="inlineStr">
        <is>
          <t>Recreational (Pool) Enclosures</t>
        </is>
      </c>
      <c r="C4015" t="inlineStr">
        <is>
          <t>Average</t>
        </is>
      </c>
      <c r="F4015" t="n">
        <v>40</v>
      </c>
      <c r="G4015" t="n">
        <v>35</v>
      </c>
      <c r="H4015" t="n">
        <v>35</v>
      </c>
      <c r="I4015">
        <f>B4015&amp;"|"&amp;C4015</f>
        <v/>
      </c>
      <c r="J4015" t="inlineStr">
        <is>
          <t>average</t>
        </is>
      </c>
    </row>
    <row r="4016" ht="12" customHeight="1" s="545">
      <c r="B4016" t="inlineStr">
        <is>
          <t>Recreational (Pool) Enclosures</t>
        </is>
      </c>
      <c r="C4016" t="inlineStr">
        <is>
          <t>Low Cost</t>
        </is>
      </c>
      <c r="F4016" t="n">
        <v>35</v>
      </c>
      <c r="G4016" t="n">
        <v>25</v>
      </c>
      <c r="H4016" t="n">
        <v>20</v>
      </c>
      <c r="I4016">
        <f>B4016&amp;"|"&amp;C4016</f>
        <v/>
      </c>
      <c r="J4016" t="inlineStr">
        <is>
          <t>low cost</t>
        </is>
      </c>
    </row>
    <row r="4017" ht="12" customHeight="1" s="545">
      <c r="B4017" t="inlineStr">
        <is>
          <t>Recreational (Pool) Enclosures</t>
        </is>
      </c>
      <c r="C4017" t="inlineStr">
        <is>
          <t>Cheap</t>
        </is>
      </c>
      <c r="H4017" t="n">
        <v>10</v>
      </c>
      <c r="I4017">
        <f>B4017&amp;"|"&amp;C4017</f>
        <v/>
      </c>
      <c r="J4017" t="inlineStr">
        <is>
          <t>cheap</t>
        </is>
      </c>
    </row>
    <row r="4018" ht="12" customHeight="1" s="545">
      <c r="B4018" t="inlineStr">
        <is>
          <t>Clubhouses</t>
        </is>
      </c>
      <c r="C4018" t="inlineStr">
        <is>
          <t>Excellent</t>
        </is>
      </c>
      <c r="F4018" t="n">
        <v>45</v>
      </c>
      <c r="G4018" t="n">
        <v>40</v>
      </c>
      <c r="H4018" t="n">
        <v>40</v>
      </c>
      <c r="I4018">
        <f>B4018&amp;"|"&amp;C4018</f>
        <v/>
      </c>
      <c r="J4018" t="inlineStr">
        <is>
          <t>Clubhouses and senior centers, good and excellent</t>
        </is>
      </c>
    </row>
    <row r="4019" ht="12" customHeight="1" s="545">
      <c r="B4019" t="inlineStr">
        <is>
          <t>Clubhouses</t>
        </is>
      </c>
      <c r="C4019" t="inlineStr">
        <is>
          <t>Good</t>
        </is>
      </c>
      <c r="F4019" t="n">
        <v>45</v>
      </c>
      <c r="G4019" t="n">
        <v>40</v>
      </c>
      <c r="H4019" t="n">
        <v>40</v>
      </c>
      <c r="I4019">
        <f>B4019&amp;"|"&amp;C4019</f>
        <v/>
      </c>
      <c r="J4019" t="inlineStr">
        <is>
          <t>Clubhouses and senior centers, good and excellent</t>
        </is>
      </c>
    </row>
    <row r="4020" ht="12" customHeight="1" s="545">
      <c r="B4020" t="inlineStr">
        <is>
          <t>Clubhouses</t>
        </is>
      </c>
      <c r="C4020" t="inlineStr">
        <is>
          <t>Average</t>
        </is>
      </c>
      <c r="F4020" t="n">
        <v>40</v>
      </c>
      <c r="G4020" t="n">
        <v>35</v>
      </c>
      <c r="H4020" t="n">
        <v>35</v>
      </c>
      <c r="I4020">
        <f>B4020&amp;"|"&amp;C4020</f>
        <v/>
      </c>
      <c r="J4020" t="inlineStr">
        <is>
          <t>low cost and average</t>
        </is>
      </c>
    </row>
    <row r="4021" ht="12" customHeight="1" s="545">
      <c r="B4021" t="inlineStr">
        <is>
          <t>Clubhouses</t>
        </is>
      </c>
      <c r="C4021" t="inlineStr">
        <is>
          <t>Low Cost</t>
        </is>
      </c>
      <c r="F4021" t="n">
        <v>40</v>
      </c>
      <c r="G4021" t="n">
        <v>35</v>
      </c>
      <c r="H4021" t="n">
        <v>35</v>
      </c>
      <c r="I4021">
        <f>B4021&amp;"|"&amp;C4021</f>
        <v/>
      </c>
      <c r="J4021" t="inlineStr">
        <is>
          <t>low cost and average</t>
        </is>
      </c>
    </row>
    <row r="4022" ht="12" customHeight="1" s="545">
      <c r="B4022" t="inlineStr">
        <is>
          <t>Senior (Clubhouse) Centers</t>
        </is>
      </c>
      <c r="C4022" t="inlineStr">
        <is>
          <t>Excellent</t>
        </is>
      </c>
      <c r="F4022" t="n">
        <v>45</v>
      </c>
      <c r="G4022" t="n">
        <v>40</v>
      </c>
      <c r="H4022" t="n">
        <v>40</v>
      </c>
      <c r="I4022">
        <f>B4022&amp;"|"&amp;C4022</f>
        <v/>
      </c>
      <c r="J4022" t="inlineStr">
        <is>
          <t>Clubhouses and senior centers, good and excellent</t>
        </is>
      </c>
    </row>
    <row r="4023" ht="12" customHeight="1" s="545">
      <c r="B4023" t="inlineStr">
        <is>
          <t>Senior (Clubhouse) Centers</t>
        </is>
      </c>
      <c r="C4023" t="inlineStr">
        <is>
          <t>Good</t>
        </is>
      </c>
      <c r="F4023" t="n">
        <v>45</v>
      </c>
      <c r="G4023" t="n">
        <v>40</v>
      </c>
      <c r="H4023" t="n">
        <v>40</v>
      </c>
      <c r="I4023">
        <f>B4023&amp;"|"&amp;C4023</f>
        <v/>
      </c>
      <c r="J4023" t="inlineStr">
        <is>
          <t>Clubhouses and senior centers, good and excellent</t>
        </is>
      </c>
    </row>
    <row r="4024" ht="12" customHeight="1" s="545">
      <c r="B4024" t="inlineStr">
        <is>
          <t>Senior (Clubhouse) Centers</t>
        </is>
      </c>
      <c r="C4024" t="inlineStr">
        <is>
          <t>Average</t>
        </is>
      </c>
      <c r="F4024" t="n">
        <v>40</v>
      </c>
      <c r="G4024" t="n">
        <v>35</v>
      </c>
      <c r="H4024" t="n">
        <v>35</v>
      </c>
      <c r="I4024">
        <f>B4024&amp;"|"&amp;C4024</f>
        <v/>
      </c>
      <c r="J4024" t="inlineStr">
        <is>
          <t>low cost and average</t>
        </is>
      </c>
    </row>
    <row r="4025" ht="12" customHeight="1" s="545">
      <c r="B4025" t="inlineStr">
        <is>
          <t>Senior (Clubhouse) Centers</t>
        </is>
      </c>
      <c r="C4025" t="inlineStr">
        <is>
          <t>Low Cost</t>
        </is>
      </c>
      <c r="F4025" t="n">
        <v>40</v>
      </c>
      <c r="G4025" t="n">
        <v>35</v>
      </c>
      <c r="H4025" t="n">
        <v>35</v>
      </c>
      <c r="I4025">
        <f>B4025&amp;"|"&amp;C4025</f>
        <v/>
      </c>
      <c r="J4025" t="inlineStr">
        <is>
          <t>low cost and average</t>
        </is>
      </c>
    </row>
    <row r="4026" ht="12" customHeight="1" s="545">
      <c r="B4026" t="inlineStr">
        <is>
          <t>Country Clubs</t>
        </is>
      </c>
      <c r="C4026" t="inlineStr">
        <is>
          <t>Excellent</t>
        </is>
      </c>
      <c r="F4026" t="n">
        <v>50</v>
      </c>
      <c r="G4026" t="n">
        <v>45</v>
      </c>
      <c r="I4026">
        <f>B4026&amp;"|"&amp;C4026</f>
        <v/>
      </c>
      <c r="J4026" t="inlineStr">
        <is>
          <t>Country clubs, good and excellent</t>
        </is>
      </c>
    </row>
    <row r="4027" ht="12" customHeight="1" s="545">
      <c r="B4027" t="inlineStr">
        <is>
          <t>Country Clubs</t>
        </is>
      </c>
      <c r="C4027" t="inlineStr">
        <is>
          <t>Good</t>
        </is>
      </c>
      <c r="F4027" t="n">
        <v>50</v>
      </c>
      <c r="G4027" t="n">
        <v>45</v>
      </c>
      <c r="I4027">
        <f>B4027&amp;"|"&amp;C4027</f>
        <v/>
      </c>
      <c r="J4027" t="inlineStr">
        <is>
          <t>Country clubs, good and excellent</t>
        </is>
      </c>
    </row>
    <row r="4028" ht="12" customHeight="1" s="545">
      <c r="B4028" t="inlineStr">
        <is>
          <t>Country Clubs</t>
        </is>
      </c>
      <c r="C4028" t="inlineStr">
        <is>
          <t>Average</t>
        </is>
      </c>
      <c r="F4028" t="n">
        <v>45</v>
      </c>
      <c r="G4028" t="n">
        <v>40</v>
      </c>
      <c r="H4028" t="n">
        <v>40</v>
      </c>
      <c r="I4028">
        <f>B4028&amp;"|"&amp;C4028</f>
        <v/>
      </c>
      <c r="J4028" t="inlineStr">
        <is>
          <t>low cost and average</t>
        </is>
      </c>
    </row>
    <row r="4029" ht="12" customHeight="1" s="545">
      <c r="B4029" t="inlineStr">
        <is>
          <t>Country Clubs</t>
        </is>
      </c>
      <c r="C4029" t="inlineStr">
        <is>
          <t>Low Cost</t>
        </is>
      </c>
      <c r="F4029" t="n">
        <v>45</v>
      </c>
      <c r="G4029" t="n">
        <v>40</v>
      </c>
      <c r="H4029" t="n">
        <v>40</v>
      </c>
      <c r="I4029">
        <f>B4029&amp;"|"&amp;C4029</f>
        <v/>
      </c>
      <c r="J4029" t="inlineStr">
        <is>
          <t>low cost and average</t>
        </is>
      </c>
    </row>
    <row r="4030" ht="12" customHeight="1" s="545">
      <c r="B4030" t="inlineStr">
        <is>
          <t>Health Clubs (Spas)</t>
        </is>
      </c>
      <c r="C4030" t="inlineStr">
        <is>
          <t>Good</t>
        </is>
      </c>
      <c r="F4030" t="n">
        <v>45</v>
      </c>
      <c r="G4030" t="n">
        <v>40</v>
      </c>
      <c r="H4030" t="n">
        <v>40</v>
      </c>
      <c r="I4030">
        <f>B4030&amp;"|"&amp;C4030</f>
        <v/>
      </c>
      <c r="J4030" t="inlineStr">
        <is>
          <t>Health clubs and spas, good and excellent</t>
        </is>
      </c>
    </row>
    <row r="4031" ht="12" customHeight="1" s="545">
      <c r="B4031" t="inlineStr">
        <is>
          <t>Health Clubs (Spas)</t>
        </is>
      </c>
      <c r="C4031" t="inlineStr">
        <is>
          <t>Average</t>
        </is>
      </c>
      <c r="F4031" t="n">
        <v>40</v>
      </c>
      <c r="G4031" t="n">
        <v>35</v>
      </c>
      <c r="H4031" t="n">
        <v>35</v>
      </c>
      <c r="I4031">
        <f>B4031&amp;"|"&amp;C4031</f>
        <v/>
      </c>
      <c r="J4031" t="inlineStr">
        <is>
          <t>low cost and average</t>
        </is>
      </c>
    </row>
    <row r="4032" ht="12" customHeight="1" s="545">
      <c r="B4032" t="inlineStr">
        <is>
          <t>Health Clubs (Spas)</t>
        </is>
      </c>
      <c r="C4032" t="inlineStr">
        <is>
          <t>Low Cost</t>
        </is>
      </c>
      <c r="F4032" t="n">
        <v>40</v>
      </c>
      <c r="G4032" t="n">
        <v>35</v>
      </c>
      <c r="H4032" t="n">
        <v>35</v>
      </c>
      <c r="I4032">
        <f>B4032&amp;"|"&amp;C4032</f>
        <v/>
      </c>
      <c r="J4032" t="inlineStr">
        <is>
          <t>low cost and average</t>
        </is>
      </c>
    </row>
    <row r="4033" ht="12" customHeight="1" s="545">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ht="12" customHeight="1" s="545">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ht="12" customHeight="1" s="545">
      <c r="B4035" t="inlineStr">
        <is>
          <t>Mortuaries / Funeral Homes</t>
        </is>
      </c>
      <c r="C4035" t="inlineStr">
        <is>
          <t>Excellent</t>
        </is>
      </c>
      <c r="F4035" t="n">
        <v>50</v>
      </c>
      <c r="G4035" t="n">
        <v>50</v>
      </c>
      <c r="I4035">
        <f>B4035&amp;"|"&amp;C4035</f>
        <v/>
      </c>
      <c r="J4035" t="inlineStr">
        <is>
          <t>Mortuaries, excellent</t>
        </is>
      </c>
    </row>
    <row r="4036" ht="12" customHeight="1" s="545">
      <c r="B4036" t="inlineStr">
        <is>
          <t>Mortuaries / Funeral Homes</t>
        </is>
      </c>
      <c r="C4036" t="inlineStr">
        <is>
          <t>Low Cost</t>
        </is>
      </c>
      <c r="F4036" t="n">
        <v>40</v>
      </c>
      <c r="G4036" t="n">
        <v>35</v>
      </c>
      <c r="H4036" t="n">
        <v>35</v>
      </c>
      <c r="I4036">
        <f>B4036&amp;"|"&amp;C4036</f>
        <v/>
      </c>
      <c r="J4036" t="inlineStr">
        <is>
          <t>low cost</t>
        </is>
      </c>
    </row>
    <row r="4037" ht="12" customHeight="1" s="545">
      <c r="B4037" t="inlineStr">
        <is>
          <t>High-Rise Row (Town) Houses</t>
        </is>
      </c>
      <c r="C4037" t="inlineStr">
        <is>
          <t>Excellent</t>
        </is>
      </c>
      <c r="F4037" t="n">
        <v>60</v>
      </c>
      <c r="G4037" t="n">
        <v>55</v>
      </c>
      <c r="I4037">
        <f>B4037&amp;"|"&amp;C4037</f>
        <v/>
      </c>
      <c r="J4037" t="inlineStr">
        <is>
          <t>Row houses, high-rise, good and excellent</t>
        </is>
      </c>
    </row>
    <row r="4038" ht="12" customHeight="1" s="545">
      <c r="B4038" t="inlineStr">
        <is>
          <t>High-Rise Row (Town) Houses</t>
        </is>
      </c>
      <c r="C4038" t="inlineStr">
        <is>
          <t>Good</t>
        </is>
      </c>
      <c r="F4038" t="n">
        <v>60</v>
      </c>
      <c r="G4038" t="n">
        <v>55</v>
      </c>
      <c r="I4038">
        <f>B4038&amp;"|"&amp;C4038</f>
        <v/>
      </c>
      <c r="J4038" t="inlineStr">
        <is>
          <t>Row houses, high-rise, good and excellent</t>
        </is>
      </c>
    </row>
    <row r="4039" ht="12" customHeight="1" s="545">
      <c r="B4039" t="inlineStr">
        <is>
          <t>High-Rise Row (Town) Houses</t>
        </is>
      </c>
      <c r="C4039" t="inlineStr">
        <is>
          <t>Average</t>
        </is>
      </c>
      <c r="F4039" t="n">
        <v>55</v>
      </c>
      <c r="G4039" t="n">
        <v>50</v>
      </c>
      <c r="I4039">
        <f>B4039&amp;"|"&amp;C4039</f>
        <v/>
      </c>
      <c r="J4039" t="inlineStr">
        <is>
          <t>low cost and average</t>
        </is>
      </c>
    </row>
    <row r="4040" ht="12" customHeight="1" s="545">
      <c r="B4040" t="inlineStr">
        <is>
          <t>Motels</t>
        </is>
      </c>
      <c r="C4040" t="inlineStr">
        <is>
          <t>Excellent</t>
        </is>
      </c>
      <c r="F4040" t="n">
        <v>45</v>
      </c>
      <c r="G4040" t="n">
        <v>40</v>
      </c>
      <c r="I4040">
        <f>B4040&amp;"|"&amp;C4040</f>
        <v/>
      </c>
      <c r="J4040" t="inlineStr">
        <is>
          <t>Motels and extended-stay motels, good and excellent</t>
        </is>
      </c>
    </row>
    <row r="4041" ht="12" customHeight="1" s="545">
      <c r="B4041" t="inlineStr">
        <is>
          <t>Motels</t>
        </is>
      </c>
      <c r="C4041" t="inlineStr">
        <is>
          <t>Good</t>
        </is>
      </c>
      <c r="F4041" t="n">
        <v>45</v>
      </c>
      <c r="G4041" t="n">
        <v>40</v>
      </c>
      <c r="I4041">
        <f>B4041&amp;"|"&amp;C4041</f>
        <v/>
      </c>
      <c r="J4041" t="inlineStr">
        <is>
          <t>Motels and extended-stay motels, good and excellent</t>
        </is>
      </c>
    </row>
    <row r="4042" ht="12" customHeight="1" s="545">
      <c r="B4042" t="inlineStr">
        <is>
          <t>Motels</t>
        </is>
      </c>
      <c r="C4042" t="inlineStr">
        <is>
          <t>Average</t>
        </is>
      </c>
      <c r="F4042" t="n">
        <v>40</v>
      </c>
      <c r="G4042" t="n">
        <v>35</v>
      </c>
      <c r="H4042" t="n">
        <v>35</v>
      </c>
      <c r="I4042">
        <f>B4042&amp;"|"&amp;C4042</f>
        <v/>
      </c>
      <c r="J4042" t="inlineStr">
        <is>
          <t>average</t>
        </is>
      </c>
    </row>
    <row r="4043" ht="12" customHeight="1" s="545">
      <c r="B4043" t="inlineStr">
        <is>
          <t>Motels</t>
        </is>
      </c>
      <c r="C4043" t="inlineStr">
        <is>
          <t>Fair</t>
        </is>
      </c>
      <c r="F4043" t="n">
        <v>35</v>
      </c>
      <c r="G4043" t="n">
        <v>30</v>
      </c>
      <c r="I4043">
        <f>B4043&amp;"|"&amp;C4043</f>
        <v/>
      </c>
      <c r="J4043" t="inlineStr">
        <is>
          <t>fair, low cost and cheap</t>
        </is>
      </c>
    </row>
    <row r="4044" ht="12" customHeight="1" s="545">
      <c r="B4044" t="inlineStr">
        <is>
          <t>Motels</t>
        </is>
      </c>
      <c r="C4044" t="inlineStr">
        <is>
          <t>Low Cost</t>
        </is>
      </c>
      <c r="F4044" t="n">
        <v>35</v>
      </c>
      <c r="G4044" t="n">
        <v>30</v>
      </c>
      <c r="I4044">
        <f>B4044&amp;"|"&amp;C4044</f>
        <v/>
      </c>
      <c r="J4044" t="inlineStr">
        <is>
          <t>fair, low cost and cheap</t>
        </is>
      </c>
    </row>
    <row r="4045" ht="12" customHeight="1" s="545">
      <c r="B4045" t="inlineStr">
        <is>
          <t>Motels</t>
        </is>
      </c>
      <c r="C4045" t="inlineStr">
        <is>
          <t>Cheap</t>
        </is>
      </c>
      <c r="F4045" t="n">
        <v>35</v>
      </c>
      <c r="G4045" t="n">
        <v>30</v>
      </c>
      <c r="I4045">
        <f>B4045&amp;"|"&amp;C4045</f>
        <v/>
      </c>
      <c r="J4045" t="inlineStr">
        <is>
          <t>fair, low cost and cheap</t>
        </is>
      </c>
    </row>
    <row r="4046" ht="12" customHeight="1" s="545">
      <c r="B4046" t="inlineStr">
        <is>
          <t>Shell Motels</t>
        </is>
      </c>
      <c r="C4046" t="inlineStr">
        <is>
          <t>Excellent</t>
        </is>
      </c>
      <c r="F4046" t="n">
        <v>45</v>
      </c>
      <c r="G4046" t="n">
        <v>40</v>
      </c>
      <c r="I4046">
        <f>B4046&amp;"|"&amp;C4046</f>
        <v/>
      </c>
      <c r="J4046" t="inlineStr">
        <is>
          <t>Motels and extended-stay motels, good and excellent</t>
        </is>
      </c>
    </row>
    <row r="4047" ht="12" customHeight="1" s="545">
      <c r="B4047" t="inlineStr">
        <is>
          <t>Shell Motels</t>
        </is>
      </c>
      <c r="C4047" t="inlineStr">
        <is>
          <t>Good</t>
        </is>
      </c>
      <c r="F4047" t="n">
        <v>45</v>
      </c>
      <c r="G4047" t="n">
        <v>40</v>
      </c>
      <c r="I4047">
        <f>B4047&amp;"|"&amp;C4047</f>
        <v/>
      </c>
      <c r="J4047" t="inlineStr">
        <is>
          <t>Motels and extended-stay motels, good and excellent</t>
        </is>
      </c>
    </row>
    <row r="4048" ht="12" customHeight="1" s="545">
      <c r="B4048" t="inlineStr">
        <is>
          <t>Shell Motels</t>
        </is>
      </c>
      <c r="C4048" t="inlineStr">
        <is>
          <t>Average</t>
        </is>
      </c>
      <c r="F4048" t="n">
        <v>40</v>
      </c>
      <c r="G4048" t="n">
        <v>35</v>
      </c>
      <c r="H4048" t="n">
        <v>35</v>
      </c>
      <c r="I4048">
        <f>B4048&amp;"|"&amp;C4048</f>
        <v/>
      </c>
      <c r="J4048" t="inlineStr">
        <is>
          <t>average</t>
        </is>
      </c>
    </row>
    <row r="4049" ht="12" customHeight="1" s="545">
      <c r="B4049" t="inlineStr">
        <is>
          <t>Shell Motels</t>
        </is>
      </c>
      <c r="C4049" t="inlineStr">
        <is>
          <t>Fair</t>
        </is>
      </c>
      <c r="F4049" t="n">
        <v>35</v>
      </c>
      <c r="G4049" t="n">
        <v>30</v>
      </c>
      <c r="I4049">
        <f>B4049&amp;"|"&amp;C4049</f>
        <v/>
      </c>
      <c r="J4049" t="inlineStr">
        <is>
          <t>fair, low cost and cheap</t>
        </is>
      </c>
    </row>
    <row r="4050" ht="12" customHeight="1" s="545">
      <c r="B4050" t="inlineStr">
        <is>
          <t>Shell Motels</t>
        </is>
      </c>
      <c r="C4050" t="inlineStr">
        <is>
          <t>Low Cost</t>
        </is>
      </c>
      <c r="F4050" t="n">
        <v>35</v>
      </c>
      <c r="G4050" t="n">
        <v>30</v>
      </c>
      <c r="I4050">
        <f>B4050&amp;"|"&amp;C4050</f>
        <v/>
      </c>
      <c r="J4050" t="inlineStr">
        <is>
          <t>fair, low cost and cheap</t>
        </is>
      </c>
    </row>
    <row r="4051" ht="12" customHeight="1" s="545">
      <c r="B4051" t="inlineStr">
        <is>
          <t>Shell Motels</t>
        </is>
      </c>
      <c r="C4051" t="inlineStr">
        <is>
          <t>Cheap</t>
        </is>
      </c>
      <c r="F4051" t="n">
        <v>35</v>
      </c>
      <c r="G4051" t="n">
        <v>30</v>
      </c>
      <c r="I4051">
        <f>B4051&amp;"|"&amp;C4051</f>
        <v/>
      </c>
      <c r="J4051" t="inlineStr">
        <is>
          <t>fair, low cost and cheap</t>
        </is>
      </c>
    </row>
    <row r="4052" ht="12" customHeight="1" s="545">
      <c r="B4052" t="inlineStr">
        <is>
          <t>Extended-Stay Motels</t>
        </is>
      </c>
      <c r="C4052" t="inlineStr">
        <is>
          <t>Excellent</t>
        </is>
      </c>
      <c r="F4052" t="n">
        <v>45</v>
      </c>
      <c r="G4052" t="n">
        <v>40</v>
      </c>
      <c r="I4052">
        <f>B4052&amp;"|"&amp;C4052</f>
        <v/>
      </c>
      <c r="J4052" t="inlineStr">
        <is>
          <t>Motels and extended-stay motels, good and excellent</t>
        </is>
      </c>
    </row>
    <row r="4053" ht="12" customHeight="1" s="545">
      <c r="B4053" t="inlineStr">
        <is>
          <t>Extended-Stay Motels</t>
        </is>
      </c>
      <c r="C4053" t="inlineStr">
        <is>
          <t>Good</t>
        </is>
      </c>
      <c r="F4053" t="n">
        <v>45</v>
      </c>
      <c r="G4053" t="n">
        <v>40</v>
      </c>
      <c r="I4053">
        <f>B4053&amp;"|"&amp;C4053</f>
        <v/>
      </c>
      <c r="J4053" t="inlineStr">
        <is>
          <t>Motels and extended-stay motels, good and excellent</t>
        </is>
      </c>
    </row>
    <row r="4054" ht="12" customHeight="1" s="545">
      <c r="B4054" t="inlineStr">
        <is>
          <t>Extended-Stay Motels</t>
        </is>
      </c>
      <c r="C4054" t="inlineStr">
        <is>
          <t>Average</t>
        </is>
      </c>
      <c r="F4054" t="n">
        <v>40</v>
      </c>
      <c r="G4054" t="n">
        <v>35</v>
      </c>
      <c r="H4054" t="n">
        <v>35</v>
      </c>
      <c r="I4054">
        <f>B4054&amp;"|"&amp;C4054</f>
        <v/>
      </c>
      <c r="J4054" t="inlineStr">
        <is>
          <t>average</t>
        </is>
      </c>
    </row>
    <row r="4055" ht="12" customHeight="1" s="545">
      <c r="B4055" t="inlineStr">
        <is>
          <t>Extended-Stay Motels</t>
        </is>
      </c>
      <c r="C4055" t="inlineStr">
        <is>
          <t>Fair</t>
        </is>
      </c>
      <c r="F4055" t="n">
        <v>35</v>
      </c>
      <c r="G4055" t="n">
        <v>30</v>
      </c>
      <c r="I4055">
        <f>B4055&amp;"|"&amp;C4055</f>
        <v/>
      </c>
      <c r="J4055" t="inlineStr">
        <is>
          <t>fair, low cost and cheap</t>
        </is>
      </c>
    </row>
    <row r="4056" ht="12" customHeight="1" s="545">
      <c r="B4056" t="inlineStr">
        <is>
          <t>Extended-Stay Motels</t>
        </is>
      </c>
      <c r="C4056" t="inlineStr">
        <is>
          <t>Low Cost</t>
        </is>
      </c>
      <c r="F4056" t="n">
        <v>35</v>
      </c>
      <c r="G4056" t="n">
        <v>30</v>
      </c>
      <c r="I4056">
        <f>B4056&amp;"|"&amp;C4056</f>
        <v/>
      </c>
      <c r="J4056" t="inlineStr">
        <is>
          <t>fair, low cost and cheap</t>
        </is>
      </c>
    </row>
    <row r="4057" ht="12" customHeight="1" s="545">
      <c r="B4057" t="inlineStr">
        <is>
          <t>Shell Extended Stay - Motels</t>
        </is>
      </c>
      <c r="C4057" t="inlineStr">
        <is>
          <t>Excellent</t>
        </is>
      </c>
      <c r="F4057" t="n">
        <v>45</v>
      </c>
      <c r="G4057" t="n">
        <v>40</v>
      </c>
      <c r="I4057">
        <f>B4057&amp;"|"&amp;C4057</f>
        <v/>
      </c>
      <c r="J4057" t="inlineStr">
        <is>
          <t>Motels and extended-stay motels, good and excellent</t>
        </is>
      </c>
    </row>
    <row r="4058" ht="12" customHeight="1" s="545">
      <c r="B4058" t="inlineStr">
        <is>
          <t>Shell Extended Stay - Motels</t>
        </is>
      </c>
      <c r="C4058" t="inlineStr">
        <is>
          <t>Good</t>
        </is>
      </c>
      <c r="F4058" t="n">
        <v>45</v>
      </c>
      <c r="G4058" t="n">
        <v>40</v>
      </c>
      <c r="I4058">
        <f>B4058&amp;"|"&amp;C4058</f>
        <v/>
      </c>
      <c r="J4058" t="inlineStr">
        <is>
          <t>Motels and extended-stay motels, good and excellent</t>
        </is>
      </c>
    </row>
    <row r="4059" ht="12" customHeight="1" s="545">
      <c r="B4059" t="inlineStr">
        <is>
          <t>Shell Extended Stay - Motels</t>
        </is>
      </c>
      <c r="C4059" t="inlineStr">
        <is>
          <t>Average</t>
        </is>
      </c>
      <c r="F4059" t="n">
        <v>40</v>
      </c>
      <c r="G4059" t="n">
        <v>35</v>
      </c>
      <c r="H4059" t="n">
        <v>35</v>
      </c>
      <c r="I4059">
        <f>B4059&amp;"|"&amp;C4059</f>
        <v/>
      </c>
      <c r="J4059" t="inlineStr">
        <is>
          <t>average</t>
        </is>
      </c>
    </row>
    <row r="4060" ht="12" customHeight="1" s="545">
      <c r="B4060" t="inlineStr">
        <is>
          <t>Shell Extended Stay - Motels</t>
        </is>
      </c>
      <c r="C4060" t="inlineStr">
        <is>
          <t>Fair</t>
        </is>
      </c>
      <c r="F4060" t="n">
        <v>35</v>
      </c>
      <c r="G4060" t="n">
        <v>30</v>
      </c>
      <c r="I4060">
        <f>B4060&amp;"|"&amp;C4060</f>
        <v/>
      </c>
      <c r="J4060" t="inlineStr">
        <is>
          <t>fair, low cost and cheap</t>
        </is>
      </c>
    </row>
    <row r="4061" ht="12" customHeight="1" s="545">
      <c r="B4061" t="inlineStr">
        <is>
          <t>Shell Extended Stay - Motels</t>
        </is>
      </c>
      <c r="C4061" t="inlineStr">
        <is>
          <t>Low Cost</t>
        </is>
      </c>
      <c r="F4061" t="n">
        <v>35</v>
      </c>
      <c r="G4061" t="n">
        <v>30</v>
      </c>
      <c r="I4061">
        <f>B4061&amp;"|"&amp;C4061</f>
        <v/>
      </c>
      <c r="J4061" t="inlineStr">
        <is>
          <t>fair, low cost and cheap</t>
        </is>
      </c>
    </row>
    <row r="4062" ht="12" customHeight="1" s="545">
      <c r="B4062" t="inlineStr">
        <is>
          <t>Office-Apartments</t>
        </is>
      </c>
      <c r="C4062" t="inlineStr">
        <is>
          <t>Excellent</t>
        </is>
      </c>
      <c r="F4062" t="n">
        <v>45</v>
      </c>
      <c r="G4062" t="n">
        <v>40</v>
      </c>
      <c r="I4062">
        <f>B4062&amp;"|"&amp;C4062</f>
        <v/>
      </c>
      <c r="J4062" t="inlineStr">
        <is>
          <t>Office apartments, good and excellent</t>
        </is>
      </c>
    </row>
    <row r="4063" ht="12" customHeight="1" s="545">
      <c r="B4063" t="inlineStr">
        <is>
          <t>Office-Apartments</t>
        </is>
      </c>
      <c r="C4063" t="inlineStr">
        <is>
          <t>Good</t>
        </is>
      </c>
      <c r="F4063" t="n">
        <v>45</v>
      </c>
      <c r="G4063" t="n">
        <v>40</v>
      </c>
      <c r="I4063">
        <f>B4063&amp;"|"&amp;C4063</f>
        <v/>
      </c>
      <c r="J4063" t="inlineStr">
        <is>
          <t>Office apartments, good and excellent</t>
        </is>
      </c>
    </row>
    <row r="4064" ht="12" customHeight="1" s="545">
      <c r="B4064" t="inlineStr">
        <is>
          <t>Office-Apartments</t>
        </is>
      </c>
      <c r="C4064" t="inlineStr">
        <is>
          <t>Average</t>
        </is>
      </c>
      <c r="F4064" t="n">
        <v>40</v>
      </c>
      <c r="G4064" t="n">
        <v>35</v>
      </c>
      <c r="H4064" t="n">
        <v>35</v>
      </c>
      <c r="I4064">
        <f>B4064&amp;"|"&amp;C4064</f>
        <v/>
      </c>
      <c r="J4064" t="inlineStr">
        <is>
          <t>average</t>
        </is>
      </c>
    </row>
    <row r="4065" ht="12" customHeight="1" s="545">
      <c r="B4065" t="inlineStr">
        <is>
          <t>Office-Apartments</t>
        </is>
      </c>
      <c r="C4065" t="inlineStr">
        <is>
          <t>Low Cost</t>
        </is>
      </c>
      <c r="F4065" t="n">
        <v>35</v>
      </c>
      <c r="G4065" t="n">
        <v>30</v>
      </c>
      <c r="I4065">
        <f>B4065&amp;"|"&amp;C4065</f>
        <v/>
      </c>
      <c r="J4065" t="inlineStr">
        <is>
          <t>low cost</t>
        </is>
      </c>
    </row>
    <row r="4066" ht="12" customHeight="1" s="545">
      <c r="B4066" t="inlineStr">
        <is>
          <t>Office-Apartments</t>
        </is>
      </c>
      <c r="C4066" t="inlineStr">
        <is>
          <t>Cheap</t>
        </is>
      </c>
      <c r="F4066" t="n">
        <v>35</v>
      </c>
      <c r="G4066" t="n">
        <v>30</v>
      </c>
      <c r="I4066">
        <f>B4066&amp;"|"&amp;C4066</f>
        <v/>
      </c>
      <c r="J4066" t="inlineStr">
        <is>
          <t>cheap</t>
        </is>
      </c>
    </row>
    <row r="4067" ht="12" customHeight="1" s="545">
      <c r="B4067" t="inlineStr">
        <is>
          <t>Motel Guest Rooms</t>
        </is>
      </c>
      <c r="C4067" t="inlineStr">
        <is>
          <t>Excellent</t>
        </is>
      </c>
      <c r="F4067" t="n">
        <v>45</v>
      </c>
      <c r="G4067" t="n">
        <v>40</v>
      </c>
      <c r="I4067">
        <f>B4067&amp;"|"&amp;C4067</f>
        <v/>
      </c>
      <c r="J4067" t="inlineStr">
        <is>
          <t>Motels and extended-stay motels, good and excellent</t>
        </is>
      </c>
    </row>
    <row r="4068" ht="12" customHeight="1" s="545">
      <c r="B4068" t="inlineStr">
        <is>
          <t>Motel Guest Rooms</t>
        </is>
      </c>
      <c r="C4068" t="inlineStr">
        <is>
          <t>Good</t>
        </is>
      </c>
      <c r="F4068" t="n">
        <v>45</v>
      </c>
      <c r="G4068" t="n">
        <v>40</v>
      </c>
      <c r="I4068">
        <f>B4068&amp;"|"&amp;C4068</f>
        <v/>
      </c>
      <c r="J4068" t="inlineStr">
        <is>
          <t>Motels and extended-stay motels, good and excellent</t>
        </is>
      </c>
    </row>
    <row r="4069" ht="12" customHeight="1" s="545">
      <c r="B4069" t="inlineStr">
        <is>
          <t>Motel Guest Rooms</t>
        </is>
      </c>
      <c r="C4069" t="inlineStr">
        <is>
          <t>Average</t>
        </is>
      </c>
      <c r="F4069" t="n">
        <v>40</v>
      </c>
      <c r="G4069" t="n">
        <v>35</v>
      </c>
      <c r="H4069" t="n">
        <v>35</v>
      </c>
      <c r="I4069">
        <f>B4069&amp;"|"&amp;C4069</f>
        <v/>
      </c>
      <c r="J4069" t="inlineStr">
        <is>
          <t>average</t>
        </is>
      </c>
    </row>
    <row r="4070" ht="12" customHeight="1" s="545">
      <c r="B4070" t="inlineStr">
        <is>
          <t>Motel Guest Rooms</t>
        </is>
      </c>
      <c r="C4070" t="inlineStr">
        <is>
          <t>Low Cost</t>
        </is>
      </c>
      <c r="F4070" t="n">
        <v>35</v>
      </c>
      <c r="G4070" t="n">
        <v>30</v>
      </c>
      <c r="I4070">
        <f>B4070&amp;"|"&amp;C4070</f>
        <v/>
      </c>
      <c r="J4070" t="inlineStr">
        <is>
          <t>fair, low cost and cheap</t>
        </is>
      </c>
    </row>
    <row r="4071" ht="12" customHeight="1" s="545">
      <c r="B4071" t="inlineStr">
        <is>
          <t>Motel Guest Rooms</t>
        </is>
      </c>
      <c r="C4071" t="inlineStr">
        <is>
          <t>Cheap</t>
        </is>
      </c>
      <c r="F4071" t="n">
        <v>35</v>
      </c>
      <c r="G4071" t="n">
        <v>30</v>
      </c>
      <c r="I4071">
        <f>B4071&amp;"|"&amp;C4071</f>
        <v/>
      </c>
      <c r="J4071" t="inlineStr">
        <is>
          <t>fair, low cost and cheap</t>
        </is>
      </c>
    </row>
    <row r="4072" ht="12" customHeight="1" s="545">
      <c r="B4072" t="inlineStr">
        <is>
          <t>Lodges</t>
        </is>
      </c>
      <c r="C4072" t="inlineStr">
        <is>
          <t>Excellent</t>
        </is>
      </c>
      <c r="F4072" t="n">
        <v>50</v>
      </c>
      <c r="G4072" t="n">
        <v>45</v>
      </c>
      <c r="I4072">
        <f>B4072&amp;"|"&amp;C4072</f>
        <v/>
      </c>
      <c r="J4072" t="inlineStr">
        <is>
          <t>Lodges, very good and excellent</t>
        </is>
      </c>
    </row>
    <row r="4073" ht="12" customHeight="1" s="545">
      <c r="B4073" t="inlineStr">
        <is>
          <t>Lodges</t>
        </is>
      </c>
      <c r="C4073" t="inlineStr">
        <is>
          <t>Very Good</t>
        </is>
      </c>
      <c r="F4073" t="n">
        <v>50</v>
      </c>
      <c r="G4073" t="n">
        <v>45</v>
      </c>
      <c r="I4073">
        <f>B4073&amp;"|"&amp;C4073</f>
        <v/>
      </c>
      <c r="J4073" t="inlineStr">
        <is>
          <t>Lodges, very good and excellent</t>
        </is>
      </c>
    </row>
    <row r="4074" ht="12" customHeight="1" s="545">
      <c r="B4074" t="inlineStr">
        <is>
          <t>Lodges</t>
        </is>
      </c>
      <c r="C4074" t="inlineStr">
        <is>
          <t>Good</t>
        </is>
      </c>
      <c r="F4074" t="n">
        <v>45</v>
      </c>
      <c r="G4074" t="n">
        <v>40</v>
      </c>
      <c r="I4074">
        <f>B4074&amp;"|"&amp;C4074</f>
        <v/>
      </c>
      <c r="J4074" t="inlineStr">
        <is>
          <t>good</t>
        </is>
      </c>
    </row>
    <row r="4075" ht="12" customHeight="1" s="545">
      <c r="B4075" t="inlineStr">
        <is>
          <t>Lodges</t>
        </is>
      </c>
      <c r="C4075" t="inlineStr">
        <is>
          <t>Average</t>
        </is>
      </c>
      <c r="F4075" t="n">
        <v>40</v>
      </c>
      <c r="G4075" t="n">
        <v>35</v>
      </c>
      <c r="I4075">
        <f>B4075&amp;"|"&amp;C4075</f>
        <v/>
      </c>
      <c r="J4075" t="inlineStr">
        <is>
          <t>average</t>
        </is>
      </c>
    </row>
    <row r="4076" ht="12" customHeight="1" s="545">
      <c r="B4076" t="inlineStr">
        <is>
          <t>Lodges</t>
        </is>
      </c>
      <c r="C4076" t="inlineStr">
        <is>
          <t>Fair</t>
        </is>
      </c>
      <c r="F4076" t="n">
        <v>35</v>
      </c>
      <c r="G4076" t="n">
        <v>30</v>
      </c>
      <c r="I4076">
        <f>B4076&amp;"|"&amp;C4076</f>
        <v/>
      </c>
      <c r="J4076" t="inlineStr">
        <is>
          <t>low cost and fair</t>
        </is>
      </c>
    </row>
    <row r="4077" ht="12" customHeight="1" s="545">
      <c r="B4077" t="inlineStr">
        <is>
          <t>Lodges</t>
        </is>
      </c>
      <c r="C4077" t="inlineStr">
        <is>
          <t>Low Cost</t>
        </is>
      </c>
      <c r="F4077" t="n">
        <v>35</v>
      </c>
      <c r="G4077" t="n">
        <v>30</v>
      </c>
      <c r="I4077">
        <f>B4077&amp;"|"&amp;C4077</f>
        <v/>
      </c>
      <c r="J4077" t="inlineStr">
        <is>
          <t>low cost and fair</t>
        </is>
      </c>
    </row>
    <row r="4078" ht="12" customHeight="1" s="545">
      <c r="B4078" t="inlineStr">
        <is>
          <t>Lodges</t>
        </is>
      </c>
      <c r="C4078" t="inlineStr">
        <is>
          <t>Cheap</t>
        </is>
      </c>
      <c r="F4078" t="n">
        <v>35</v>
      </c>
      <c r="G4078" t="n">
        <v>30</v>
      </c>
      <c r="I4078">
        <f>B4078&amp;"|"&amp;C4078</f>
        <v/>
      </c>
      <c r="J4078" t="inlineStr">
        <is>
          <t>cheap</t>
        </is>
      </c>
    </row>
    <row r="4079" ht="12" customHeight="1" s="545">
      <c r="B4079" t="inlineStr">
        <is>
          <t>Guest Cottages</t>
        </is>
      </c>
      <c r="C4079" t="inlineStr">
        <is>
          <t>Excellent</t>
        </is>
      </c>
      <c r="F4079" t="n">
        <v>50</v>
      </c>
      <c r="G4079" t="n">
        <v>45</v>
      </c>
      <c r="I4079">
        <f>B4079&amp;"|"&amp;C4079</f>
        <v/>
      </c>
      <c r="J4079" t="inlineStr">
        <is>
          <t>Guest cottages, excellent</t>
        </is>
      </c>
    </row>
    <row r="4080" ht="12" customHeight="1" s="545">
      <c r="B4080" t="inlineStr">
        <is>
          <t>Guest Cottages</t>
        </is>
      </c>
      <c r="C4080" t="inlineStr">
        <is>
          <t>Good</t>
        </is>
      </c>
      <c r="F4080" t="n">
        <v>45</v>
      </c>
      <c r="G4080" t="n">
        <v>40</v>
      </c>
      <c r="I4080">
        <f>B4080&amp;"|"&amp;C4080</f>
        <v/>
      </c>
      <c r="J4080" t="inlineStr">
        <is>
          <t>good</t>
        </is>
      </c>
    </row>
    <row r="4081" ht="12" customHeight="1" s="545">
      <c r="B4081" t="inlineStr">
        <is>
          <t>Guest Cottages</t>
        </is>
      </c>
      <c r="C4081" t="inlineStr">
        <is>
          <t>Average</t>
        </is>
      </c>
      <c r="F4081" t="n">
        <v>40</v>
      </c>
      <c r="G4081" t="n">
        <v>35</v>
      </c>
      <c r="I4081">
        <f>B4081&amp;"|"&amp;C4081</f>
        <v/>
      </c>
      <c r="J4081" t="inlineStr">
        <is>
          <t>average</t>
        </is>
      </c>
    </row>
    <row r="4082" ht="12" customHeight="1" s="545">
      <c r="B4082" t="inlineStr">
        <is>
          <t>Guest Cottages</t>
        </is>
      </c>
      <c r="C4082" t="inlineStr">
        <is>
          <t>Fair</t>
        </is>
      </c>
      <c r="F4082" t="n">
        <v>35</v>
      </c>
      <c r="G4082" t="n">
        <v>30</v>
      </c>
      <c r="I4082">
        <f>B4082&amp;"|"&amp;C4082</f>
        <v/>
      </c>
      <c r="J4082" t="inlineStr">
        <is>
          <t>low cost and fair</t>
        </is>
      </c>
    </row>
    <row r="4083" ht="12" customHeight="1" s="545">
      <c r="B4083" t="inlineStr">
        <is>
          <t>Guest Cottages</t>
        </is>
      </c>
      <c r="C4083" t="inlineStr">
        <is>
          <t>Low Cost</t>
        </is>
      </c>
      <c r="F4083" t="n">
        <v>35</v>
      </c>
      <c r="G4083" t="n">
        <v>30</v>
      </c>
      <c r="I4083">
        <f>B4083&amp;"|"&amp;C4083</f>
        <v/>
      </c>
      <c r="J4083" t="inlineStr">
        <is>
          <t>low cost and fair</t>
        </is>
      </c>
    </row>
    <row r="4084" ht="12" customHeight="1" s="545">
      <c r="B4084" t="inlineStr">
        <is>
          <t>Guest Cottages</t>
        </is>
      </c>
      <c r="C4084" t="inlineStr">
        <is>
          <t>Cheap</t>
        </is>
      </c>
      <c r="G4084" t="n">
        <v>25</v>
      </c>
      <c r="I4084">
        <f>B4084&amp;"|"&amp;C4084</f>
        <v/>
      </c>
      <c r="J4084" t="inlineStr">
        <is>
          <t>cheap</t>
        </is>
      </c>
    </row>
    <row r="4085" ht="12" customHeight="1" s="545">
      <c r="B4085" t="inlineStr">
        <is>
          <t>Bed and Breakfast Inns</t>
        </is>
      </c>
      <c r="C4085" t="inlineStr">
        <is>
          <t>Excellent</t>
        </is>
      </c>
      <c r="F4085" t="n">
        <v>65</v>
      </c>
      <c r="G4085" t="n">
        <v>60</v>
      </c>
      <c r="I4085">
        <f>B4085&amp;"|"&amp;C4085</f>
        <v/>
      </c>
      <c r="J4085" t="inlineStr">
        <is>
          <t>Bed and breakfast inns, excellent</t>
        </is>
      </c>
    </row>
    <row r="4086" ht="12" customHeight="1" s="545">
      <c r="B4086" t="inlineStr">
        <is>
          <t>Bed and Breakfast Inns</t>
        </is>
      </c>
      <c r="C4086" t="inlineStr">
        <is>
          <t>Good</t>
        </is>
      </c>
      <c r="F4086" t="n">
        <v>60</v>
      </c>
      <c r="G4086" t="n">
        <v>55</v>
      </c>
      <c r="I4086">
        <f>B4086&amp;"|"&amp;C4086</f>
        <v/>
      </c>
      <c r="J4086" t="inlineStr">
        <is>
          <t>good</t>
        </is>
      </c>
    </row>
    <row r="4087" ht="12" customHeight="1" s="545">
      <c r="B4087" t="inlineStr">
        <is>
          <t>Bed and Breakfast Inns</t>
        </is>
      </c>
      <c r="C4087" t="inlineStr">
        <is>
          <t>Average</t>
        </is>
      </c>
      <c r="F4087" t="n">
        <v>55</v>
      </c>
      <c r="G4087" t="n">
        <v>50</v>
      </c>
      <c r="I4087">
        <f>B4087&amp;"|"&amp;C4087</f>
        <v/>
      </c>
      <c r="J4087" t="inlineStr">
        <is>
          <t>average</t>
        </is>
      </c>
    </row>
    <row r="4088" ht="12" customHeight="1" s="545">
      <c r="B4088" t="inlineStr">
        <is>
          <t>Bed and Breakfast Inns</t>
        </is>
      </c>
      <c r="C4088" t="inlineStr">
        <is>
          <t>Low Cost</t>
        </is>
      </c>
      <c r="F4088" t="n">
        <v>50</v>
      </c>
      <c r="G4088" t="n">
        <v>45</v>
      </c>
      <c r="I4088">
        <f>B4088&amp;"|"&amp;C4088</f>
        <v/>
      </c>
      <c r="J4088" t="inlineStr">
        <is>
          <t>low cost</t>
        </is>
      </c>
    </row>
    <row r="4089" ht="12" customHeight="1" s="545">
      <c r="B4089" t="inlineStr">
        <is>
          <t>Multiple Residences</t>
        </is>
      </c>
      <c r="C4089" t="inlineStr">
        <is>
          <t>Excellent</t>
        </is>
      </c>
      <c r="F4089" t="n">
        <v>60</v>
      </c>
      <c r="G4089" t="n">
        <v>55</v>
      </c>
      <c r="I4089">
        <f>B4089&amp;"|"&amp;C4089</f>
        <v/>
      </c>
      <c r="J4089" t="inlineStr">
        <is>
          <t>Multiple residences, excellent</t>
        </is>
      </c>
    </row>
    <row r="4090" ht="12" customHeight="1" s="545">
      <c r="B4090" t="inlineStr">
        <is>
          <t>Multiple Residences</t>
        </is>
      </c>
      <c r="C4090" t="inlineStr">
        <is>
          <t>Good</t>
        </is>
      </c>
      <c r="F4090" t="n">
        <v>55</v>
      </c>
      <c r="G4090" t="n">
        <v>50</v>
      </c>
      <c r="H4090" t="n">
        <v>50</v>
      </c>
      <c r="I4090">
        <f>B4090&amp;"|"&amp;C4090</f>
        <v/>
      </c>
      <c r="J4090" t="inlineStr">
        <is>
          <t>good</t>
        </is>
      </c>
    </row>
    <row r="4091" ht="12" customHeight="1" s="545">
      <c r="B4091" t="inlineStr">
        <is>
          <t>Multiple Residences</t>
        </is>
      </c>
      <c r="C4091" t="inlineStr">
        <is>
          <t>Average</t>
        </is>
      </c>
      <c r="F4091" t="n">
        <v>55</v>
      </c>
      <c r="G4091" t="n">
        <v>50</v>
      </c>
      <c r="H4091" t="n">
        <v>50</v>
      </c>
      <c r="I4091">
        <f>B4091&amp;"|"&amp;C4091</f>
        <v/>
      </c>
      <c r="J4091" t="inlineStr">
        <is>
          <t>average</t>
        </is>
      </c>
    </row>
    <row r="4092" ht="12" customHeight="1" s="545">
      <c r="B4092" t="inlineStr">
        <is>
          <t>Multiple Residences</t>
        </is>
      </c>
      <c r="C4092" t="inlineStr">
        <is>
          <t>Fair</t>
        </is>
      </c>
      <c r="F4092" t="n">
        <v>50</v>
      </c>
      <c r="G4092" t="n">
        <v>45</v>
      </c>
      <c r="I4092">
        <f>B4092&amp;"|"&amp;C4092</f>
        <v/>
      </c>
      <c r="J4092" t="inlineStr">
        <is>
          <t>low cost and fair</t>
        </is>
      </c>
    </row>
    <row r="4093" ht="12" customHeight="1" s="545">
      <c r="B4093" t="inlineStr">
        <is>
          <t>Multiple Residences</t>
        </is>
      </c>
      <c r="C4093" t="inlineStr">
        <is>
          <t>Low Cost</t>
        </is>
      </c>
      <c r="F4093" t="n">
        <v>50</v>
      </c>
      <c r="G4093" t="n">
        <v>45</v>
      </c>
      <c r="I4093">
        <f>B4093&amp;"|"&amp;C4093</f>
        <v/>
      </c>
      <c r="J4093" t="inlineStr">
        <is>
          <t>low cost and fair</t>
        </is>
      </c>
    </row>
    <row r="4094" ht="12" customHeight="1" s="545">
      <c r="B4094" t="inlineStr">
        <is>
          <t>Shell Multiple Residence Buildings</t>
        </is>
      </c>
      <c r="C4094" t="inlineStr">
        <is>
          <t>Excellent</t>
        </is>
      </c>
      <c r="F4094" t="n">
        <v>60</v>
      </c>
      <c r="G4094" t="n">
        <v>55</v>
      </c>
      <c r="I4094">
        <f>B4094&amp;"|"&amp;C4094</f>
        <v/>
      </c>
      <c r="J4094" t="inlineStr">
        <is>
          <t>Multiple residences, excellent</t>
        </is>
      </c>
    </row>
    <row r="4095" ht="12" customHeight="1" s="545">
      <c r="B4095" t="inlineStr">
        <is>
          <t>Shell Multiple Residence Buildings</t>
        </is>
      </c>
      <c r="C4095" t="inlineStr">
        <is>
          <t>Good</t>
        </is>
      </c>
      <c r="F4095" t="n">
        <v>55</v>
      </c>
      <c r="G4095" t="n">
        <v>50</v>
      </c>
      <c r="H4095" t="n">
        <v>50</v>
      </c>
      <c r="I4095">
        <f>B4095&amp;"|"&amp;C4095</f>
        <v/>
      </c>
      <c r="J4095" t="inlineStr">
        <is>
          <t>good</t>
        </is>
      </c>
    </row>
    <row r="4096" ht="12" customHeight="1" s="545">
      <c r="B4096" t="inlineStr">
        <is>
          <t>Shell Multiple Residence Buildings</t>
        </is>
      </c>
      <c r="C4096" t="inlineStr">
        <is>
          <t>Average</t>
        </is>
      </c>
      <c r="F4096" t="n">
        <v>55</v>
      </c>
      <c r="G4096" t="n">
        <v>50</v>
      </c>
      <c r="H4096" t="n">
        <v>50</v>
      </c>
      <c r="I4096">
        <f>B4096&amp;"|"&amp;C4096</f>
        <v/>
      </c>
      <c r="J4096" t="inlineStr">
        <is>
          <t>average</t>
        </is>
      </c>
    </row>
    <row r="4097" ht="12" customHeight="1" s="545">
      <c r="B4097" t="inlineStr">
        <is>
          <t>Shell Multiple Residence Buildings</t>
        </is>
      </c>
      <c r="C4097" t="inlineStr">
        <is>
          <t>Fair</t>
        </is>
      </c>
      <c r="F4097" t="n">
        <v>50</v>
      </c>
      <c r="G4097" t="n">
        <v>45</v>
      </c>
      <c r="I4097">
        <f>B4097&amp;"|"&amp;C4097</f>
        <v/>
      </c>
      <c r="J4097" t="inlineStr">
        <is>
          <t>low cost and fair</t>
        </is>
      </c>
    </row>
    <row r="4098" ht="12" customHeight="1" s="545">
      <c r="B4098" t="inlineStr">
        <is>
          <t>Multiple Residences – Senior Citizen</t>
        </is>
      </c>
      <c r="C4098" t="inlineStr">
        <is>
          <t>Excellent</t>
        </is>
      </c>
      <c r="F4098" t="n">
        <v>60</v>
      </c>
      <c r="G4098" t="n">
        <v>55</v>
      </c>
      <c r="I4098">
        <f>B4098&amp;"|"&amp;C4098</f>
        <v/>
      </c>
      <c r="J4098" t="inlineStr">
        <is>
          <t>Multiple residences, excellent</t>
        </is>
      </c>
    </row>
    <row r="4099" ht="12" customHeight="1" s="545">
      <c r="B4099" t="inlineStr">
        <is>
          <t>Multiple Residences – Senior Citizen</t>
        </is>
      </c>
      <c r="C4099" t="inlineStr">
        <is>
          <t>Good</t>
        </is>
      </c>
      <c r="F4099" t="n">
        <v>55</v>
      </c>
      <c r="G4099" t="n">
        <v>50</v>
      </c>
      <c r="H4099" t="n">
        <v>50</v>
      </c>
      <c r="I4099">
        <f>B4099&amp;"|"&amp;C4099</f>
        <v/>
      </c>
      <c r="J4099" t="inlineStr">
        <is>
          <t>good</t>
        </is>
      </c>
    </row>
    <row r="4100" ht="12" customHeight="1" s="545">
      <c r="B4100" t="inlineStr">
        <is>
          <t>Multiple Residences – Senior Citizen</t>
        </is>
      </c>
      <c r="C4100" t="inlineStr">
        <is>
          <t>Average</t>
        </is>
      </c>
      <c r="F4100" t="n">
        <v>55</v>
      </c>
      <c r="G4100" t="n">
        <v>50</v>
      </c>
      <c r="H4100" t="n">
        <v>50</v>
      </c>
      <c r="I4100">
        <f>B4100&amp;"|"&amp;C4100</f>
        <v/>
      </c>
      <c r="J4100" t="inlineStr">
        <is>
          <t>average</t>
        </is>
      </c>
    </row>
    <row r="4101" ht="12" customHeight="1" s="545">
      <c r="B4101" t="inlineStr">
        <is>
          <t>Multiple Residences – Senior Citizen</t>
        </is>
      </c>
      <c r="C4101" t="inlineStr">
        <is>
          <t>Fair</t>
        </is>
      </c>
      <c r="F4101" t="n">
        <v>50</v>
      </c>
      <c r="G4101" t="n">
        <v>45</v>
      </c>
      <c r="I4101">
        <f>B4101&amp;"|"&amp;C4101</f>
        <v/>
      </c>
      <c r="J4101" t="inlineStr">
        <is>
          <t>low cost and fair</t>
        </is>
      </c>
    </row>
    <row r="4102" ht="12" customHeight="1" s="545">
      <c r="B4102" t="inlineStr">
        <is>
          <t>Multiple Residences – Senior Citizen</t>
        </is>
      </c>
      <c r="C4102" t="inlineStr">
        <is>
          <t>Low Cost</t>
        </is>
      </c>
      <c r="F4102" t="n">
        <v>50</v>
      </c>
      <c r="G4102" t="n">
        <v>45</v>
      </c>
      <c r="I4102">
        <f>B4102&amp;"|"&amp;C4102</f>
        <v/>
      </c>
      <c r="J4102" t="inlineStr">
        <is>
          <t>low cost and fair</t>
        </is>
      </c>
    </row>
    <row r="4103" ht="12" customHeight="1" s="545">
      <c r="B4103" t="inlineStr">
        <is>
          <t>Shell Multiple Residences - Senior Citizen</t>
        </is>
      </c>
      <c r="C4103" t="inlineStr">
        <is>
          <t>Excellent</t>
        </is>
      </c>
      <c r="F4103" t="n">
        <v>60</v>
      </c>
      <c r="G4103" t="n">
        <v>55</v>
      </c>
      <c r="I4103">
        <f>B4103&amp;"|"&amp;C4103</f>
        <v/>
      </c>
      <c r="J4103" t="inlineStr">
        <is>
          <t>Multiple residences, excellent</t>
        </is>
      </c>
    </row>
    <row r="4104" ht="12" customHeight="1" s="545">
      <c r="B4104" t="inlineStr">
        <is>
          <t>Shell Multiple Residences - Senior Citizen</t>
        </is>
      </c>
      <c r="C4104" t="inlineStr">
        <is>
          <t>Good</t>
        </is>
      </c>
      <c r="F4104" t="n">
        <v>55</v>
      </c>
      <c r="G4104" t="n">
        <v>50</v>
      </c>
      <c r="H4104" t="n">
        <v>50</v>
      </c>
      <c r="I4104">
        <f>B4104&amp;"|"&amp;C4104</f>
        <v/>
      </c>
      <c r="J4104" t="inlineStr">
        <is>
          <t>good</t>
        </is>
      </c>
    </row>
    <row r="4105" ht="12" customHeight="1" s="545">
      <c r="B4105" t="inlineStr">
        <is>
          <t>Shell Multiple Residences - Senior Citizen</t>
        </is>
      </c>
      <c r="C4105" t="inlineStr">
        <is>
          <t>Average</t>
        </is>
      </c>
      <c r="F4105" t="n">
        <v>55</v>
      </c>
      <c r="G4105" t="n">
        <v>50</v>
      </c>
      <c r="H4105" t="n">
        <v>50</v>
      </c>
      <c r="I4105">
        <f>B4105&amp;"|"&amp;C4105</f>
        <v/>
      </c>
      <c r="J4105" t="inlineStr">
        <is>
          <t>average</t>
        </is>
      </c>
    </row>
    <row r="4106" ht="12" customHeight="1" s="545">
      <c r="B4106" t="inlineStr">
        <is>
          <t>Shell Multiple Residences - Senior Citizen</t>
        </is>
      </c>
      <c r="C4106" t="inlineStr">
        <is>
          <t>Fair</t>
        </is>
      </c>
      <c r="F4106" t="n">
        <v>50</v>
      </c>
      <c r="G4106" t="n">
        <v>45</v>
      </c>
      <c r="I4106">
        <f>B4106&amp;"|"&amp;C4106</f>
        <v/>
      </c>
      <c r="J4106" t="inlineStr">
        <is>
          <t>low cost and fair</t>
        </is>
      </c>
    </row>
    <row r="4107" ht="12" customHeight="1" s="545">
      <c r="B4107" t="inlineStr">
        <is>
          <t>Shell Multiple Residences - Senior Citizen</t>
        </is>
      </c>
      <c r="C4107" t="inlineStr">
        <is>
          <t>Low Cost</t>
        </is>
      </c>
      <c r="F4107" t="n">
        <v>50</v>
      </c>
      <c r="G4107" t="n">
        <v>45</v>
      </c>
      <c r="I4107">
        <f>B4107&amp;"|"&amp;C4107</f>
        <v/>
      </c>
      <c r="J4107" t="inlineStr">
        <is>
          <t>low cost and fair</t>
        </is>
      </c>
    </row>
    <row r="4108" ht="12" customHeight="1" s="545">
      <c r="B4108" t="inlineStr">
        <is>
          <t>Multiple Residences – Elderly Assisted Living</t>
        </is>
      </c>
      <c r="C4108" t="inlineStr">
        <is>
          <t>Excellent</t>
        </is>
      </c>
      <c r="F4108" t="n">
        <v>60</v>
      </c>
      <c r="G4108" t="n">
        <v>55</v>
      </c>
      <c r="I4108">
        <f>B4108&amp;"|"&amp;C4108</f>
        <v/>
      </c>
      <c r="J4108" t="inlineStr">
        <is>
          <t>Assisted living/retirement complexes, excellent</t>
        </is>
      </c>
    </row>
    <row r="4109" ht="12" customHeight="1" s="545">
      <c r="B4109" t="inlineStr">
        <is>
          <t>Multiple Residences – Elderly Assisted Living</t>
        </is>
      </c>
      <c r="C4109" t="inlineStr">
        <is>
          <t>Good</t>
        </is>
      </c>
      <c r="F4109" t="n">
        <v>55</v>
      </c>
      <c r="G4109" t="n">
        <v>50</v>
      </c>
      <c r="H4109" t="n">
        <v>50</v>
      </c>
      <c r="I4109">
        <f>B4109&amp;"|"&amp;C4109</f>
        <v/>
      </c>
      <c r="J4109" t="inlineStr">
        <is>
          <t>average and good</t>
        </is>
      </c>
    </row>
    <row r="4110" ht="12" customHeight="1" s="545">
      <c r="B4110" t="inlineStr">
        <is>
          <t>Multiple Residences – Elderly Assisted Living</t>
        </is>
      </c>
      <c r="C4110" t="inlineStr">
        <is>
          <t>Average</t>
        </is>
      </c>
      <c r="F4110" t="n">
        <v>55</v>
      </c>
      <c r="G4110" t="n">
        <v>50</v>
      </c>
      <c r="H4110" t="n">
        <v>50</v>
      </c>
      <c r="I4110">
        <f>B4110&amp;"|"&amp;C4110</f>
        <v/>
      </c>
      <c r="J4110" t="inlineStr">
        <is>
          <t>average and good</t>
        </is>
      </c>
    </row>
    <row r="4111" ht="12" customHeight="1" s="545">
      <c r="B4111" t="inlineStr">
        <is>
          <t>Multiple Residences – Elderly Assisted Living</t>
        </is>
      </c>
      <c r="C4111" t="inlineStr">
        <is>
          <t>Fair</t>
        </is>
      </c>
      <c r="F4111" t="n">
        <v>50</v>
      </c>
      <c r="G4111" t="n">
        <v>45</v>
      </c>
      <c r="H4111" t="n">
        <v>45</v>
      </c>
      <c r="I4111">
        <f>B4111&amp;"|"&amp;C4111</f>
        <v/>
      </c>
      <c r="J4111" t="inlineStr">
        <is>
          <t>low cost and fair</t>
        </is>
      </c>
    </row>
    <row r="4112" ht="12" customHeight="1" s="545">
      <c r="B4112" t="inlineStr">
        <is>
          <t>Multiple Residences – Elderly Assisted Living</t>
        </is>
      </c>
      <c r="C4112" t="inlineStr">
        <is>
          <t>Low Cost</t>
        </is>
      </c>
      <c r="F4112" t="n">
        <v>50</v>
      </c>
      <c r="G4112" t="n">
        <v>45</v>
      </c>
      <c r="H4112" t="n">
        <v>45</v>
      </c>
      <c r="I4112">
        <f>B4112&amp;"|"&amp;C4112</f>
        <v/>
      </c>
      <c r="J4112" t="inlineStr">
        <is>
          <t>low cost and fair</t>
        </is>
      </c>
    </row>
    <row r="4113" ht="12" customHeight="1" s="545">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ht="12" customHeight="1" s="545">
      <c r="B4114" t="inlineStr">
        <is>
          <t>Shell Multiple Residences - Elderly Assisted Living</t>
        </is>
      </c>
      <c r="C4114" t="inlineStr">
        <is>
          <t>Good</t>
        </is>
      </c>
      <c r="F4114" t="n">
        <v>55</v>
      </c>
      <c r="G4114" t="n">
        <v>50</v>
      </c>
      <c r="H4114" t="n">
        <v>50</v>
      </c>
      <c r="I4114">
        <f>B4114&amp;"|"&amp;C4114</f>
        <v/>
      </c>
      <c r="J4114" t="inlineStr">
        <is>
          <t>average and good</t>
        </is>
      </c>
    </row>
    <row r="4115" ht="12" customHeight="1" s="545">
      <c r="B4115" t="inlineStr">
        <is>
          <t>Shell Multiple Residences - Elderly Assisted Living</t>
        </is>
      </c>
      <c r="C4115" t="inlineStr">
        <is>
          <t>Average</t>
        </is>
      </c>
      <c r="F4115" t="n">
        <v>55</v>
      </c>
      <c r="G4115" t="n">
        <v>50</v>
      </c>
      <c r="H4115" t="n">
        <v>50</v>
      </c>
      <c r="I4115">
        <f>B4115&amp;"|"&amp;C4115</f>
        <v/>
      </c>
      <c r="J4115" t="inlineStr">
        <is>
          <t>average and good</t>
        </is>
      </c>
    </row>
    <row r="4116" ht="12" customHeight="1" s="545">
      <c r="B4116" t="inlineStr">
        <is>
          <t>Shell Multiple Residences - Elderly Assisted Living</t>
        </is>
      </c>
      <c r="C4116" t="inlineStr">
        <is>
          <t>Fair</t>
        </is>
      </c>
      <c r="F4116" t="n">
        <v>50</v>
      </c>
      <c r="G4116" t="n">
        <v>45</v>
      </c>
      <c r="H4116" t="n">
        <v>45</v>
      </c>
      <c r="I4116">
        <f>B4116&amp;"|"&amp;C4116</f>
        <v/>
      </c>
      <c r="J4116" t="inlineStr">
        <is>
          <t>low cost and fair</t>
        </is>
      </c>
    </row>
    <row r="4117" ht="12" customHeight="1" s="545">
      <c r="B4117" t="inlineStr">
        <is>
          <t>Shell Multiple Residences - Elderly Assisted Living</t>
        </is>
      </c>
      <c r="C4117" t="inlineStr">
        <is>
          <t>Low Cost</t>
        </is>
      </c>
      <c r="F4117" t="n">
        <v>50</v>
      </c>
      <c r="G4117" t="n">
        <v>45</v>
      </c>
      <c r="H4117" t="n">
        <v>45</v>
      </c>
      <c r="I4117">
        <f>B4117&amp;"|"&amp;C4117</f>
        <v/>
      </c>
      <c r="J4117" t="inlineStr">
        <is>
          <t>low cost and fair</t>
        </is>
      </c>
    </row>
    <row r="4118" ht="12" customHeight="1" s="545">
      <c r="B4118" t="inlineStr">
        <is>
          <t>Multiple Residences – Retirement Community Complex</t>
        </is>
      </c>
      <c r="C4118" t="inlineStr">
        <is>
          <t>Good</t>
        </is>
      </c>
      <c r="F4118" t="n">
        <v>55</v>
      </c>
      <c r="G4118" t="n">
        <v>50</v>
      </c>
      <c r="H4118" t="n">
        <v>50</v>
      </c>
      <c r="I4118">
        <f>B4118&amp;"|"&amp;C4118</f>
        <v/>
      </c>
      <c r="J4118" t="inlineStr">
        <is>
          <t>average and good</t>
        </is>
      </c>
    </row>
    <row r="4119" ht="12" customHeight="1" s="545">
      <c r="B4119" t="inlineStr">
        <is>
          <t>Multiple Residences – Retirement Community Complex</t>
        </is>
      </c>
      <c r="C4119" t="inlineStr">
        <is>
          <t>Average</t>
        </is>
      </c>
      <c r="F4119" t="n">
        <v>55</v>
      </c>
      <c r="G4119" t="n">
        <v>50</v>
      </c>
      <c r="H4119" t="n">
        <v>50</v>
      </c>
      <c r="I4119">
        <f>B4119&amp;"|"&amp;C4119</f>
        <v/>
      </c>
      <c r="J4119" t="inlineStr">
        <is>
          <t>average and good</t>
        </is>
      </c>
    </row>
    <row r="4120" ht="12" customHeight="1" s="545">
      <c r="B4120" t="inlineStr">
        <is>
          <t>Multiple Residences – Retirement Community Complex</t>
        </is>
      </c>
      <c r="C4120" t="inlineStr">
        <is>
          <t>Fair</t>
        </is>
      </c>
      <c r="F4120" t="n">
        <v>50</v>
      </c>
      <c r="G4120" t="n">
        <v>45</v>
      </c>
      <c r="H4120" t="n">
        <v>45</v>
      </c>
      <c r="I4120">
        <f>B4120&amp;"|"&amp;C4120</f>
        <v/>
      </c>
      <c r="J4120" t="inlineStr">
        <is>
          <t>low cost and fair</t>
        </is>
      </c>
    </row>
    <row r="4121" ht="12" customHeight="1" s="545">
      <c r="B4121" t="inlineStr">
        <is>
          <t>Multiple Residences – Retirement Community Complex</t>
        </is>
      </c>
      <c r="C4121" t="inlineStr">
        <is>
          <t>Low Cost</t>
        </is>
      </c>
      <c r="F4121" t="n">
        <v>50</v>
      </c>
      <c r="G4121" t="n">
        <v>45</v>
      </c>
      <c r="H4121" t="n">
        <v>45</v>
      </c>
      <c r="I4121">
        <f>B4121&amp;"|"&amp;C4121</f>
        <v/>
      </c>
      <c r="J4121" t="inlineStr">
        <is>
          <t>low cost and fair</t>
        </is>
      </c>
    </row>
    <row r="4122" ht="12" customHeight="1" s="545">
      <c r="B4122" t="inlineStr">
        <is>
          <t>Shell Multiple Residences - Retirement Community Complex</t>
        </is>
      </c>
      <c r="C4122" t="inlineStr">
        <is>
          <t>Good</t>
        </is>
      </c>
      <c r="F4122" t="n">
        <v>55</v>
      </c>
      <c r="G4122" t="n">
        <v>50</v>
      </c>
      <c r="H4122" t="n">
        <v>50</v>
      </c>
      <c r="I4122">
        <f>B4122&amp;"|"&amp;C4122</f>
        <v/>
      </c>
      <c r="J4122" t="inlineStr">
        <is>
          <t>average and good</t>
        </is>
      </c>
    </row>
    <row r="4123" ht="12" customHeight="1" s="545">
      <c r="B4123" t="inlineStr">
        <is>
          <t>Shell Multiple Residences - Retirement Community Complex</t>
        </is>
      </c>
      <c r="C4123" t="inlineStr">
        <is>
          <t>Average</t>
        </is>
      </c>
      <c r="F4123" t="n">
        <v>55</v>
      </c>
      <c r="G4123" t="n">
        <v>50</v>
      </c>
      <c r="H4123" t="n">
        <v>50</v>
      </c>
      <c r="I4123">
        <f>B4123&amp;"|"&amp;C4123</f>
        <v/>
      </c>
      <c r="J4123" t="inlineStr">
        <is>
          <t>average and good</t>
        </is>
      </c>
    </row>
    <row r="4124" ht="12" customHeight="1" s="545">
      <c r="B4124" t="inlineStr">
        <is>
          <t>Shell Multiple Residences - Retirement Community Complex</t>
        </is>
      </c>
      <c r="C4124" t="inlineStr">
        <is>
          <t>Fair</t>
        </is>
      </c>
      <c r="F4124" t="n">
        <v>50</v>
      </c>
      <c r="G4124" t="n">
        <v>45</v>
      </c>
      <c r="H4124" t="n">
        <v>45</v>
      </c>
      <c r="I4124">
        <f>B4124&amp;"|"&amp;C4124</f>
        <v/>
      </c>
      <c r="J4124" t="inlineStr">
        <is>
          <t>low cost and fair</t>
        </is>
      </c>
    </row>
    <row r="4125" ht="12" customHeight="1" s="545">
      <c r="B4125" t="inlineStr">
        <is>
          <t>Shell Multiple Residences - Retirement Community Complex</t>
        </is>
      </c>
      <c r="C4125" t="inlineStr">
        <is>
          <t>Low Cost</t>
        </is>
      </c>
      <c r="F4125" t="n">
        <v>50</v>
      </c>
      <c r="G4125" t="n">
        <v>45</v>
      </c>
      <c r="H4125" t="n">
        <v>45</v>
      </c>
      <c r="I4125">
        <f>B4125&amp;"|"&amp;C4125</f>
        <v/>
      </c>
      <c r="J4125" t="inlineStr">
        <is>
          <t>low cost and fair</t>
        </is>
      </c>
    </row>
    <row r="4126" ht="12" customHeight="1" s="545">
      <c r="B4126" t="inlineStr">
        <is>
          <t>Single-Family Residences</t>
        </is>
      </c>
      <c r="C4126" t="inlineStr">
        <is>
          <t>Excellent</t>
        </is>
      </c>
      <c r="F4126" t="n">
        <v>65</v>
      </c>
      <c r="G4126" t="n">
        <v>60</v>
      </c>
      <c r="I4126">
        <f>B4126&amp;"|"&amp;C4126</f>
        <v/>
      </c>
      <c r="J4126" t="inlineStr">
        <is>
          <t>Single-family and guest houses, excellent and high value</t>
        </is>
      </c>
    </row>
    <row r="4127" ht="12" customHeight="1" s="545">
      <c r="B4127" t="inlineStr">
        <is>
          <t>Single-Family Residences</t>
        </is>
      </c>
      <c r="C4127" t="inlineStr">
        <is>
          <t>Very Good</t>
        </is>
      </c>
      <c r="F4127" t="n">
        <v>60</v>
      </c>
      <c r="G4127" t="n">
        <v>55</v>
      </c>
      <c r="H4127" t="n">
        <v>55</v>
      </c>
      <c r="I4127">
        <f>B4127&amp;"|"&amp;C4127</f>
        <v/>
      </c>
      <c r="J4127" t="inlineStr">
        <is>
          <t>average, good and very good</t>
        </is>
      </c>
    </row>
    <row r="4128" ht="12" customHeight="1" s="545">
      <c r="B4128" t="inlineStr">
        <is>
          <t>Single-Family Residences</t>
        </is>
      </c>
      <c r="C4128" t="inlineStr">
        <is>
          <t>Good</t>
        </is>
      </c>
      <c r="F4128" t="n">
        <v>60</v>
      </c>
      <c r="G4128" t="n">
        <v>55</v>
      </c>
      <c r="H4128" t="n">
        <v>55</v>
      </c>
      <c r="I4128">
        <f>B4128&amp;"|"&amp;C4128</f>
        <v/>
      </c>
      <c r="J4128" t="inlineStr">
        <is>
          <t>average, good and very good</t>
        </is>
      </c>
    </row>
    <row r="4129" ht="12" customHeight="1" s="545">
      <c r="B4129" t="inlineStr">
        <is>
          <t>Single-Family Residences</t>
        </is>
      </c>
      <c r="C4129" t="inlineStr">
        <is>
          <t>Average</t>
        </is>
      </c>
      <c r="F4129" t="n">
        <v>60</v>
      </c>
      <c r="G4129" t="n">
        <v>55</v>
      </c>
      <c r="H4129" t="n">
        <v>55</v>
      </c>
      <c r="I4129">
        <f>B4129&amp;"|"&amp;C4129</f>
        <v/>
      </c>
      <c r="J4129" t="inlineStr">
        <is>
          <t>average, good and very good</t>
        </is>
      </c>
    </row>
    <row r="4130" ht="12" customHeight="1" s="545">
      <c r="B4130" t="inlineStr">
        <is>
          <t>Single-Family Residences</t>
        </is>
      </c>
      <c r="C4130" t="inlineStr">
        <is>
          <t>Fair</t>
        </is>
      </c>
      <c r="F4130" t="n">
        <v>55</v>
      </c>
      <c r="G4130" t="n">
        <v>50</v>
      </c>
      <c r="I4130">
        <f>B4130&amp;"|"&amp;C4130</f>
        <v/>
      </c>
      <c r="J4130" t="inlineStr">
        <is>
          <t>fair quality</t>
        </is>
      </c>
    </row>
    <row r="4131" ht="12" customHeight="1" s="545">
      <c r="B4131" t="inlineStr">
        <is>
          <t>Single-Family Residences</t>
        </is>
      </c>
      <c r="C4131" t="inlineStr">
        <is>
          <t>Low Cost</t>
        </is>
      </c>
      <c r="F4131" t="n">
        <v>50</v>
      </c>
      <c r="G4131" t="n">
        <v>45</v>
      </c>
      <c r="I4131">
        <f>B4131&amp;"|"&amp;C4131</f>
        <v/>
      </c>
      <c r="J4131" t="inlineStr">
        <is>
          <t>low cost</t>
        </is>
      </c>
    </row>
    <row r="4132" ht="12" customHeight="1" s="545">
      <c r="B4132" t="inlineStr">
        <is>
          <t>Single-Family Residences</t>
        </is>
      </c>
      <c r="C4132" t="inlineStr">
        <is>
          <t>Cheap</t>
        </is>
      </c>
      <c r="F4132" t="n">
        <v>35</v>
      </c>
      <c r="G4132" t="n">
        <v>30</v>
      </c>
      <c r="I4132">
        <f>B4132&amp;"|"&amp;C4132</f>
        <v/>
      </c>
      <c r="J4132" t="inlineStr">
        <is>
          <t>substandard</t>
        </is>
      </c>
    </row>
    <row r="4133" ht="12" customHeight="1" s="545">
      <c r="B4133" t="inlineStr">
        <is>
          <t>Guest Houses</t>
        </is>
      </c>
      <c r="C4133" t="inlineStr">
        <is>
          <t>Excellent</t>
        </is>
      </c>
      <c r="F4133" t="n">
        <v>65</v>
      </c>
      <c r="G4133" t="n">
        <v>60</v>
      </c>
      <c r="I4133">
        <f>B4133&amp;"|"&amp;C4133</f>
        <v/>
      </c>
      <c r="J4133" t="inlineStr">
        <is>
          <t>Single-family and guest houses, excellent and high value</t>
        </is>
      </c>
    </row>
    <row r="4134" ht="12" customHeight="1" s="545">
      <c r="B4134" t="inlineStr">
        <is>
          <t>Guest Houses</t>
        </is>
      </c>
      <c r="C4134" t="inlineStr">
        <is>
          <t>Very Good</t>
        </is>
      </c>
      <c r="F4134" t="n">
        <v>60</v>
      </c>
      <c r="G4134" t="n">
        <v>55</v>
      </c>
      <c r="H4134" t="n">
        <v>55</v>
      </c>
      <c r="I4134">
        <f>B4134&amp;"|"&amp;C4134</f>
        <v/>
      </c>
      <c r="J4134" t="inlineStr">
        <is>
          <t>average, good and very good</t>
        </is>
      </c>
    </row>
    <row r="4135" ht="12" customHeight="1" s="545">
      <c r="B4135" t="inlineStr">
        <is>
          <t>Guest Houses</t>
        </is>
      </c>
      <c r="C4135" t="inlineStr">
        <is>
          <t>Good</t>
        </is>
      </c>
      <c r="F4135" t="n">
        <v>60</v>
      </c>
      <c r="G4135" t="n">
        <v>55</v>
      </c>
      <c r="H4135" t="n">
        <v>55</v>
      </c>
      <c r="I4135">
        <f>B4135&amp;"|"&amp;C4135</f>
        <v/>
      </c>
      <c r="J4135" t="inlineStr">
        <is>
          <t>average, good and very good</t>
        </is>
      </c>
    </row>
    <row r="4136" ht="12" customHeight="1" s="545">
      <c r="B4136" t="inlineStr">
        <is>
          <t>Guest Houses</t>
        </is>
      </c>
      <c r="C4136" t="inlineStr">
        <is>
          <t>Average</t>
        </is>
      </c>
      <c r="F4136" t="n">
        <v>60</v>
      </c>
      <c r="G4136" t="n">
        <v>55</v>
      </c>
      <c r="H4136" t="n">
        <v>55</v>
      </c>
      <c r="I4136">
        <f>B4136&amp;"|"&amp;C4136</f>
        <v/>
      </c>
      <c r="J4136" t="inlineStr">
        <is>
          <t>average, good and very good</t>
        </is>
      </c>
    </row>
    <row r="4137" ht="12" customHeight="1" s="545">
      <c r="B4137" t="inlineStr">
        <is>
          <t>Guest Houses</t>
        </is>
      </c>
      <c r="C4137" t="inlineStr">
        <is>
          <t>Low Cost</t>
        </is>
      </c>
      <c r="F4137" t="n">
        <v>50</v>
      </c>
      <c r="G4137" t="n">
        <v>45</v>
      </c>
      <c r="I4137">
        <f>B4137&amp;"|"&amp;C4137</f>
        <v/>
      </c>
      <c r="J4137" t="inlineStr">
        <is>
          <t>low cost</t>
        </is>
      </c>
    </row>
    <row r="4138" ht="12" customHeight="1" s="545">
      <c r="B4138" t="inlineStr">
        <is>
          <t>Guest Houses</t>
        </is>
      </c>
      <c r="C4138" t="inlineStr">
        <is>
          <t>Cheap</t>
        </is>
      </c>
      <c r="F4138" t="n">
        <v>35</v>
      </c>
      <c r="G4138" t="n">
        <v>30</v>
      </c>
      <c r="I4138">
        <f>B4138&amp;"|"&amp;C4138</f>
        <v/>
      </c>
      <c r="J4138" t="inlineStr">
        <is>
          <t>substandard</t>
        </is>
      </c>
    </row>
    <row r="4139" ht="12" customHeight="1" s="545">
      <c r="B4139" t="inlineStr">
        <is>
          <t>Log Homes</t>
        </is>
      </c>
      <c r="C4139" t="inlineStr">
        <is>
          <t>Excellent</t>
        </is>
      </c>
      <c r="G4139" t="n">
        <v>55</v>
      </c>
      <c r="I4139">
        <f>B4139&amp;"|"&amp;C4139</f>
        <v/>
      </c>
      <c r="J4139" t="inlineStr">
        <is>
          <t>Log homes, excellent</t>
        </is>
      </c>
    </row>
    <row r="4140" ht="12" customHeight="1" s="545">
      <c r="B4140" t="inlineStr">
        <is>
          <t>Log Homes</t>
        </is>
      </c>
      <c r="C4140" t="inlineStr">
        <is>
          <t>Good</t>
        </is>
      </c>
      <c r="G4140" t="n">
        <v>50</v>
      </c>
      <c r="I4140">
        <f>B4140&amp;"|"&amp;C4140</f>
        <v/>
      </c>
      <c r="J4140" t="inlineStr">
        <is>
          <t>average and good</t>
        </is>
      </c>
    </row>
    <row r="4141" ht="12" customHeight="1" s="545">
      <c r="B4141" t="inlineStr">
        <is>
          <t>Log Homes</t>
        </is>
      </c>
      <c r="C4141" t="inlineStr">
        <is>
          <t>Average</t>
        </is>
      </c>
      <c r="G4141" t="n">
        <v>50</v>
      </c>
      <c r="I4141">
        <f>B4141&amp;"|"&amp;C4141</f>
        <v/>
      </c>
      <c r="J4141" t="inlineStr">
        <is>
          <t>average and good</t>
        </is>
      </c>
    </row>
    <row r="4142" ht="12" customHeight="1" s="545">
      <c r="B4142" t="inlineStr">
        <is>
          <t>Log Homes</t>
        </is>
      </c>
      <c r="C4142" t="inlineStr">
        <is>
          <t>Low Cost</t>
        </is>
      </c>
      <c r="G4142" t="n">
        <v>45</v>
      </c>
      <c r="I4142">
        <f>B4142&amp;"|"&amp;C4142</f>
        <v/>
      </c>
      <c r="J4142" t="inlineStr">
        <is>
          <t>low cost</t>
        </is>
      </c>
    </row>
    <row r="4143" ht="12" customHeight="1" s="545">
      <c r="B4143" t="inlineStr">
        <is>
          <t>Town Houses</t>
        </is>
      </c>
      <c r="C4143" t="inlineStr">
        <is>
          <t>Excellent</t>
        </is>
      </c>
      <c r="F4143" t="n">
        <v>60</v>
      </c>
      <c r="G4143" t="n">
        <v>55</v>
      </c>
      <c r="I4143">
        <f>B4143&amp;"|"&amp;C4143</f>
        <v/>
      </c>
      <c r="J4143" t="inlineStr">
        <is>
          <t>Town and row houses, excellent</t>
        </is>
      </c>
    </row>
    <row r="4144" ht="12" customHeight="1" s="545">
      <c r="B4144" t="inlineStr">
        <is>
          <t>Town Houses</t>
        </is>
      </c>
      <c r="C4144" t="inlineStr">
        <is>
          <t>Good</t>
        </is>
      </c>
      <c r="F4144" t="n">
        <v>55</v>
      </c>
      <c r="G4144" t="n">
        <v>50</v>
      </c>
      <c r="H4144" t="n">
        <v>50</v>
      </c>
      <c r="I4144">
        <f>B4144&amp;"|"&amp;C4144</f>
        <v/>
      </c>
      <c r="J4144" t="inlineStr">
        <is>
          <t>good</t>
        </is>
      </c>
    </row>
    <row r="4145" ht="12" customHeight="1" s="545">
      <c r="B4145" t="inlineStr">
        <is>
          <t>Town Houses</t>
        </is>
      </c>
      <c r="C4145" t="inlineStr">
        <is>
          <t>Average</t>
        </is>
      </c>
      <c r="F4145" t="n">
        <v>55</v>
      </c>
      <c r="G4145" t="n">
        <v>50</v>
      </c>
      <c r="H4145" t="n">
        <v>50</v>
      </c>
      <c r="I4145">
        <f>B4145&amp;"|"&amp;C4145</f>
        <v/>
      </c>
      <c r="J4145" t="inlineStr">
        <is>
          <t>average</t>
        </is>
      </c>
    </row>
    <row r="4146" ht="12" customHeight="1" s="545">
      <c r="B4146" t="inlineStr">
        <is>
          <t>Town Houses</t>
        </is>
      </c>
      <c r="C4146" t="inlineStr">
        <is>
          <t>Fair</t>
        </is>
      </c>
      <c r="F4146" t="n">
        <v>50</v>
      </c>
      <c r="G4146" t="n">
        <v>45</v>
      </c>
      <c r="I4146">
        <f>B4146&amp;"|"&amp;C4146</f>
        <v/>
      </c>
      <c r="J4146" t="inlineStr">
        <is>
          <t>low cost and fair</t>
        </is>
      </c>
    </row>
    <row r="4147" ht="12" customHeight="1" s="545">
      <c r="B4147" t="inlineStr">
        <is>
          <t>Town Houses</t>
        </is>
      </c>
      <c r="C4147" t="inlineStr">
        <is>
          <t>Low Cost</t>
        </is>
      </c>
      <c r="F4147" t="n">
        <v>50</v>
      </c>
      <c r="G4147" t="n">
        <v>45</v>
      </c>
      <c r="I4147">
        <f>B4147&amp;"|"&amp;C4147</f>
        <v/>
      </c>
      <c r="J4147" t="inlineStr">
        <is>
          <t>low cost and fair</t>
        </is>
      </c>
    </row>
    <row r="4148" ht="12" customHeight="1" s="545">
      <c r="B4148" t="inlineStr">
        <is>
          <t>Senior Citizen Town Houses</t>
        </is>
      </c>
      <c r="C4148" t="inlineStr">
        <is>
          <t>Excellent</t>
        </is>
      </c>
      <c r="F4148" t="n">
        <v>60</v>
      </c>
      <c r="G4148" t="n">
        <v>55</v>
      </c>
      <c r="I4148">
        <f>B4148&amp;"|"&amp;C4148</f>
        <v/>
      </c>
      <c r="J4148" t="inlineStr">
        <is>
          <t>Town and row houses, excellent</t>
        </is>
      </c>
    </row>
    <row r="4149" ht="12" customHeight="1" s="545">
      <c r="B4149" t="inlineStr">
        <is>
          <t>Senior Citizen Town Houses</t>
        </is>
      </c>
      <c r="C4149" t="inlineStr">
        <is>
          <t>Good</t>
        </is>
      </c>
      <c r="F4149" t="n">
        <v>55</v>
      </c>
      <c r="G4149" t="n">
        <v>50</v>
      </c>
      <c r="H4149" t="n">
        <v>50</v>
      </c>
      <c r="I4149">
        <f>B4149&amp;"|"&amp;C4149</f>
        <v/>
      </c>
      <c r="J4149" t="inlineStr">
        <is>
          <t>good</t>
        </is>
      </c>
    </row>
    <row r="4150" ht="12" customHeight="1" s="545">
      <c r="B4150" t="inlineStr">
        <is>
          <t>Senior Citizen Town Houses</t>
        </is>
      </c>
      <c r="C4150" t="inlineStr">
        <is>
          <t>Average</t>
        </is>
      </c>
      <c r="F4150" t="n">
        <v>55</v>
      </c>
      <c r="G4150" t="n">
        <v>50</v>
      </c>
      <c r="H4150" t="n">
        <v>50</v>
      </c>
      <c r="I4150">
        <f>B4150&amp;"|"&amp;C4150</f>
        <v/>
      </c>
      <c r="J4150" t="inlineStr">
        <is>
          <t>average</t>
        </is>
      </c>
    </row>
    <row r="4151" ht="12" customHeight="1" s="545">
      <c r="B4151" t="inlineStr">
        <is>
          <t>Senior Citizen Town Houses</t>
        </is>
      </c>
      <c r="C4151" t="inlineStr">
        <is>
          <t>Fair</t>
        </is>
      </c>
      <c r="F4151" t="n">
        <v>50</v>
      </c>
      <c r="G4151" t="n">
        <v>45</v>
      </c>
      <c r="I4151">
        <f>B4151&amp;"|"&amp;C4151</f>
        <v/>
      </c>
      <c r="J4151" t="inlineStr">
        <is>
          <t>low cost and fair</t>
        </is>
      </c>
    </row>
    <row r="4152" ht="12" customHeight="1" s="545">
      <c r="B4152" t="inlineStr">
        <is>
          <t>Urban Row (Town) Houses</t>
        </is>
      </c>
      <c r="C4152" t="inlineStr">
        <is>
          <t>Excellent</t>
        </is>
      </c>
      <c r="F4152" t="n">
        <v>60</v>
      </c>
      <c r="G4152" t="n">
        <v>55</v>
      </c>
      <c r="I4152">
        <f>B4152&amp;"|"&amp;C4152</f>
        <v/>
      </c>
      <c r="J4152" t="inlineStr">
        <is>
          <t>Town and row houses, excellent</t>
        </is>
      </c>
    </row>
    <row r="4153" ht="12" customHeight="1" s="545">
      <c r="B4153" t="inlineStr">
        <is>
          <t>Urban Row (Town) Houses</t>
        </is>
      </c>
      <c r="C4153" t="inlineStr">
        <is>
          <t>Good</t>
        </is>
      </c>
      <c r="F4153" t="n">
        <v>55</v>
      </c>
      <c r="G4153" t="n">
        <v>50</v>
      </c>
      <c r="H4153" t="n">
        <v>50</v>
      </c>
      <c r="I4153">
        <f>B4153&amp;"|"&amp;C4153</f>
        <v/>
      </c>
      <c r="J4153" t="inlineStr">
        <is>
          <t>good</t>
        </is>
      </c>
    </row>
    <row r="4154" ht="12" customHeight="1" s="545">
      <c r="B4154" t="inlineStr">
        <is>
          <t>Urban Row (Town) Houses</t>
        </is>
      </c>
      <c r="C4154" t="inlineStr">
        <is>
          <t>Average</t>
        </is>
      </c>
      <c r="F4154" t="n">
        <v>55</v>
      </c>
      <c r="G4154" t="n">
        <v>50</v>
      </c>
      <c r="H4154" t="n">
        <v>50</v>
      </c>
      <c r="I4154">
        <f>B4154&amp;"|"&amp;C4154</f>
        <v/>
      </c>
      <c r="J4154" t="inlineStr">
        <is>
          <t>average</t>
        </is>
      </c>
    </row>
    <row r="4155" ht="12" customHeight="1" s="545">
      <c r="B4155" t="inlineStr">
        <is>
          <t>Urban Row (Town) Houses</t>
        </is>
      </c>
      <c r="C4155" t="inlineStr">
        <is>
          <t>Fair</t>
        </is>
      </c>
      <c r="F4155" t="n">
        <v>50</v>
      </c>
      <c r="G4155" t="n">
        <v>45</v>
      </c>
      <c r="I4155">
        <f>B4155&amp;"|"&amp;C4155</f>
        <v/>
      </c>
      <c r="J4155" t="inlineStr">
        <is>
          <t>low cost and fair</t>
        </is>
      </c>
    </row>
    <row r="4156" ht="12" customHeight="1" s="545">
      <c r="B4156" t="inlineStr">
        <is>
          <t>Shell Town House Buildings</t>
        </is>
      </c>
      <c r="C4156" t="inlineStr">
        <is>
          <t>Excellent</t>
        </is>
      </c>
      <c r="F4156" t="n">
        <v>60</v>
      </c>
      <c r="G4156" t="n">
        <v>55</v>
      </c>
      <c r="I4156">
        <f>B4156&amp;"|"&amp;C4156</f>
        <v/>
      </c>
      <c r="J4156" t="inlineStr">
        <is>
          <t>Town and row houses, excellent</t>
        </is>
      </c>
    </row>
    <row r="4157" ht="12" customHeight="1" s="545">
      <c r="B4157" t="inlineStr">
        <is>
          <t>Shell Town House Buildings</t>
        </is>
      </c>
      <c r="C4157" t="inlineStr">
        <is>
          <t>Good</t>
        </is>
      </c>
      <c r="F4157" t="n">
        <v>55</v>
      </c>
      <c r="G4157" t="n">
        <v>50</v>
      </c>
      <c r="H4157" t="n">
        <v>50</v>
      </c>
      <c r="I4157">
        <f>B4157&amp;"|"&amp;C4157</f>
        <v/>
      </c>
      <c r="J4157" t="inlineStr">
        <is>
          <t>good</t>
        </is>
      </c>
    </row>
    <row r="4158" ht="12" customHeight="1" s="545">
      <c r="B4158" t="inlineStr">
        <is>
          <t>Shell Town House Buildings</t>
        </is>
      </c>
      <c r="C4158" t="inlineStr">
        <is>
          <t>Average</t>
        </is>
      </c>
      <c r="F4158" t="n">
        <v>55</v>
      </c>
      <c r="G4158" t="n">
        <v>50</v>
      </c>
      <c r="H4158" t="n">
        <v>50</v>
      </c>
      <c r="I4158">
        <f>B4158&amp;"|"&amp;C4158</f>
        <v/>
      </c>
      <c r="J4158" t="inlineStr">
        <is>
          <t>average</t>
        </is>
      </c>
    </row>
    <row r="4159" ht="12" customHeight="1" s="545">
      <c r="B4159" t="inlineStr">
        <is>
          <t>Shell Town House Buildings</t>
        </is>
      </c>
      <c r="C4159" t="inlineStr">
        <is>
          <t>Fair</t>
        </is>
      </c>
      <c r="F4159" t="n">
        <v>50</v>
      </c>
      <c r="G4159" t="n">
        <v>45</v>
      </c>
      <c r="I4159">
        <f>B4159&amp;"|"&amp;C4159</f>
        <v/>
      </c>
      <c r="J4159" t="inlineStr">
        <is>
          <t>low cost and fair</t>
        </is>
      </c>
    </row>
    <row r="4160" ht="12" customHeight="1" s="545">
      <c r="B4160" t="inlineStr">
        <is>
          <t>Bars/Taverns</t>
        </is>
      </c>
      <c r="C4160" t="inlineStr">
        <is>
          <t>Average</t>
        </is>
      </c>
      <c r="D4160" t="n">
        <v>45</v>
      </c>
      <c r="E4160" t="n">
        <v>45</v>
      </c>
      <c r="F4160" t="n">
        <v>40</v>
      </c>
      <c r="G4160" t="n">
        <v>40</v>
      </c>
      <c r="H4160" t="n">
        <v>40</v>
      </c>
      <c r="I4160">
        <f>B4160&amp;"|"&amp;C4160</f>
        <v/>
      </c>
      <c r="J4160" t="inlineStr">
        <is>
          <t>average</t>
        </is>
      </c>
    </row>
    <row r="4161" ht="12" customHeight="1" s="545">
      <c r="B4161" t="inlineStr">
        <is>
          <t>Bars/Taverns</t>
        </is>
      </c>
      <c r="C4161" t="inlineStr">
        <is>
          <t>Good</t>
        </is>
      </c>
      <c r="F4161" t="n">
        <v>45</v>
      </c>
      <c r="G4161" t="n">
        <v>40</v>
      </c>
      <c r="I4161">
        <f>B4161&amp;"|"&amp;C4161</f>
        <v/>
      </c>
      <c r="J4161" t="inlineStr">
        <is>
          <t>Bars and taverns, good</t>
        </is>
      </c>
    </row>
    <row r="4162" ht="12" customHeight="1" s="545">
      <c r="B4162" t="inlineStr">
        <is>
          <t>Bars/Taverns</t>
        </is>
      </c>
      <c r="C4162" t="inlineStr">
        <is>
          <t>Low Cost</t>
        </is>
      </c>
      <c r="F4162" t="n">
        <v>40</v>
      </c>
      <c r="G4162" t="n">
        <v>35</v>
      </c>
      <c r="H4162" t="n">
        <v>35</v>
      </c>
      <c r="I4162">
        <f>B4162&amp;"|"&amp;C4162</f>
        <v/>
      </c>
      <c r="J4162" t="inlineStr">
        <is>
          <t>low cost</t>
        </is>
      </c>
    </row>
    <row r="4163" ht="12" customHeight="1" s="545">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ht="12" customHeight="1" s="545">
      <c r="B4164" t="inlineStr">
        <is>
          <t>Cocktail Lounges</t>
        </is>
      </c>
      <c r="C4164" t="inlineStr">
        <is>
          <t>Average</t>
        </is>
      </c>
      <c r="D4164" t="n">
        <v>40</v>
      </c>
      <c r="E4164" t="n">
        <v>40</v>
      </c>
      <c r="F4164" t="n">
        <v>40</v>
      </c>
      <c r="G4164" t="n">
        <v>35</v>
      </c>
      <c r="H4164" t="n">
        <v>35</v>
      </c>
      <c r="I4164">
        <f>B4164&amp;"|"&amp;C4164</f>
        <v/>
      </c>
      <c r="J4164" t="inlineStr">
        <is>
          <t>average</t>
        </is>
      </c>
    </row>
    <row r="4165" ht="12" customHeight="1" s="54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ht="12" customHeight="1" s="545">
      <c r="B4166" t="inlineStr">
        <is>
          <t>Cocktail Lounges</t>
        </is>
      </c>
      <c r="C4166" t="inlineStr">
        <is>
          <t>Low Cost</t>
        </is>
      </c>
      <c r="F4166" t="n">
        <v>35</v>
      </c>
      <c r="G4166" t="n">
        <v>35</v>
      </c>
      <c r="H4166" t="n">
        <v>35</v>
      </c>
      <c r="I4166">
        <f>B4166&amp;"|"&amp;C4166</f>
        <v/>
      </c>
      <c r="J4166" t="inlineStr">
        <is>
          <t>low cost</t>
        </is>
      </c>
    </row>
    <row r="4167" ht="12" customHeight="1" s="545">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ht="12" customHeight="1" s="545">
      <c r="B4168" t="inlineStr">
        <is>
          <t>Restaurants</t>
        </is>
      </c>
      <c r="C4168" t="inlineStr">
        <is>
          <t>Good</t>
        </is>
      </c>
      <c r="D4168" t="n">
        <v>40</v>
      </c>
      <c r="E4168" t="n">
        <v>40</v>
      </c>
      <c r="F4168" t="n">
        <v>35</v>
      </c>
      <c r="G4168" t="n">
        <v>35</v>
      </c>
      <c r="H4168" t="n">
        <v>35</v>
      </c>
      <c r="I4168">
        <f>B4168&amp;"|"&amp;C4168</f>
        <v/>
      </c>
      <c r="J4168" t="inlineStr">
        <is>
          <t>average and good</t>
        </is>
      </c>
    </row>
    <row r="4169" ht="12" customHeight="1" s="545">
      <c r="B4169" t="inlineStr">
        <is>
          <t>Restaurants</t>
        </is>
      </c>
      <c r="C4169" t="inlineStr">
        <is>
          <t>Average</t>
        </is>
      </c>
      <c r="D4169" t="n">
        <v>40</v>
      </c>
      <c r="E4169" t="n">
        <v>40</v>
      </c>
      <c r="F4169" t="n">
        <v>35</v>
      </c>
      <c r="G4169" t="n">
        <v>35</v>
      </c>
      <c r="H4169" t="n">
        <v>35</v>
      </c>
      <c r="I4169">
        <f>B4169&amp;"|"&amp;C4169</f>
        <v/>
      </c>
      <c r="J4169" t="inlineStr">
        <is>
          <t>average and good</t>
        </is>
      </c>
    </row>
    <row r="4170" ht="12" customHeight="1" s="545">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ht="12" customHeight="1" s="545">
      <c r="B4171" t="inlineStr">
        <is>
          <t>Restaurants</t>
        </is>
      </c>
      <c r="C4171" t="inlineStr">
        <is>
          <t>Low Cost</t>
        </is>
      </c>
      <c r="F4171" t="n">
        <v>30</v>
      </c>
      <c r="G4171" t="n">
        <v>30</v>
      </c>
      <c r="H4171" t="n">
        <v>30</v>
      </c>
      <c r="I4171">
        <f>B4171&amp;"|"&amp;C4171</f>
        <v/>
      </c>
      <c r="J4171" t="inlineStr">
        <is>
          <t>low cost</t>
        </is>
      </c>
    </row>
    <row r="4172" ht="12" customHeight="1" s="545">
      <c r="B4172" t="inlineStr">
        <is>
          <t>Restaurants – Cafeterias</t>
        </is>
      </c>
      <c r="C4172" t="inlineStr">
        <is>
          <t>Good</t>
        </is>
      </c>
      <c r="D4172" t="n">
        <v>45</v>
      </c>
      <c r="E4172" t="n">
        <v>45</v>
      </c>
      <c r="F4172" t="n">
        <v>35</v>
      </c>
      <c r="G4172" t="n">
        <v>35</v>
      </c>
      <c r="H4172" t="n">
        <v>35</v>
      </c>
      <c r="I4172">
        <f>B4172&amp;"|"&amp;C4172</f>
        <v/>
      </c>
      <c r="J4172" t="inlineStr">
        <is>
          <t>good</t>
        </is>
      </c>
    </row>
    <row r="4173" ht="12" customHeight="1" s="545">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ht="12" customHeight="1" s="545">
      <c r="B4174" t="inlineStr">
        <is>
          <t>Restaurants – Cafeterias</t>
        </is>
      </c>
      <c r="C4174" t="inlineStr">
        <is>
          <t>Excellent</t>
        </is>
      </c>
      <c r="F4174" t="n">
        <v>45</v>
      </c>
      <c r="G4174" t="n">
        <v>40</v>
      </c>
      <c r="I4174">
        <f>B4174&amp;"|"&amp;C4174</f>
        <v/>
      </c>
      <c r="J4174" t="inlineStr">
        <is>
          <t>Cafeterias, excellent</t>
        </is>
      </c>
    </row>
    <row r="4175" ht="12" customHeight="1" s="54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ht="12" customHeight="1" s="545">
      <c r="B4176" t="inlineStr">
        <is>
          <t>Truck Stop Restaurants</t>
        </is>
      </c>
      <c r="C4176" t="inlineStr">
        <is>
          <t>Excellent</t>
        </is>
      </c>
      <c r="F4176" t="n">
        <v>35</v>
      </c>
      <c r="G4176" t="n">
        <v>35</v>
      </c>
      <c r="H4176" t="n">
        <v>35</v>
      </c>
      <c r="I4176">
        <f>B4176&amp;"|"&amp;C4176</f>
        <v/>
      </c>
      <c r="J4176" t="inlineStr">
        <is>
          <t>Truck stop restaurants, good</t>
        </is>
      </c>
    </row>
    <row r="4177" ht="12" customHeight="1" s="545">
      <c r="B4177" t="inlineStr">
        <is>
          <t>Truck Stop Restaurants</t>
        </is>
      </c>
      <c r="C4177" t="inlineStr">
        <is>
          <t>Good</t>
        </is>
      </c>
      <c r="F4177" t="n">
        <v>35</v>
      </c>
      <c r="G4177" t="n">
        <v>35</v>
      </c>
      <c r="H4177" t="n">
        <v>35</v>
      </c>
      <c r="I4177">
        <f>B4177&amp;"|"&amp;C4177</f>
        <v/>
      </c>
      <c r="J4177" t="inlineStr">
        <is>
          <t>Truck stop restaurants, good</t>
        </is>
      </c>
    </row>
    <row r="4178" ht="12" customHeight="1" s="545">
      <c r="B4178" t="inlineStr">
        <is>
          <t>Truck Stop Restaurants</t>
        </is>
      </c>
      <c r="C4178" t="inlineStr">
        <is>
          <t>Average</t>
        </is>
      </c>
      <c r="F4178" t="n">
        <v>30</v>
      </c>
      <c r="G4178" t="n">
        <v>30</v>
      </c>
      <c r="H4178" t="n">
        <v>30</v>
      </c>
      <c r="I4178">
        <f>B4178&amp;"|"&amp;C4178</f>
        <v/>
      </c>
      <c r="J4178" t="inlineStr">
        <is>
          <t>average</t>
        </is>
      </c>
    </row>
    <row r="4179" ht="12" customHeight="1" s="545">
      <c r="B4179" t="inlineStr">
        <is>
          <t>Dining Atriums/Play Rooms</t>
        </is>
      </c>
      <c r="C4179" t="inlineStr">
        <is>
          <t>Good</t>
        </is>
      </c>
      <c r="F4179" t="n">
        <v>35</v>
      </c>
      <c r="G4179" t="n">
        <v>35</v>
      </c>
      <c r="H4179" t="n">
        <v>35</v>
      </c>
      <c r="I4179">
        <f>B4179&amp;"|"&amp;C4179</f>
        <v/>
      </c>
      <c r="J4179" t="inlineStr">
        <is>
          <t>Dining atriums and playrooms, good to excellent</t>
        </is>
      </c>
    </row>
    <row r="4180" ht="12" customHeight="1" s="545">
      <c r="B4180" t="inlineStr">
        <is>
          <t>Dining Atriums/Play Rooms</t>
        </is>
      </c>
      <c r="C4180" t="inlineStr">
        <is>
          <t>Average</t>
        </is>
      </c>
      <c r="F4180" t="n">
        <v>30</v>
      </c>
      <c r="G4180" t="n">
        <v>30</v>
      </c>
      <c r="H4180" t="n">
        <v>30</v>
      </c>
      <c r="I4180">
        <f>B4180&amp;"|"&amp;C4180</f>
        <v/>
      </c>
      <c r="J4180" t="inlineStr">
        <is>
          <t>low cost and average</t>
        </is>
      </c>
    </row>
    <row r="4181" ht="12" customHeight="1" s="545">
      <c r="B4181" t="inlineStr">
        <is>
          <t>Dining Atriums/Play Rooms</t>
        </is>
      </c>
      <c r="C4181" t="inlineStr">
        <is>
          <t>Low Cost</t>
        </is>
      </c>
      <c r="F4181" t="n">
        <v>30</v>
      </c>
      <c r="G4181" t="n">
        <v>30</v>
      </c>
      <c r="H4181" t="n">
        <v>30</v>
      </c>
      <c r="I4181">
        <f>B4181&amp;"|"&amp;C4181</f>
        <v/>
      </c>
      <c r="J4181" t="inlineStr">
        <is>
          <t>low cost and average</t>
        </is>
      </c>
    </row>
    <row r="4182" ht="12" customHeight="1" s="545">
      <c r="B4182" t="inlineStr">
        <is>
          <t>Dining Atriums/Play Rooms</t>
        </is>
      </c>
      <c r="C4182" t="inlineStr">
        <is>
          <t>Excellent</t>
        </is>
      </c>
      <c r="F4182" t="n">
        <v>35</v>
      </c>
      <c r="G4182" t="n">
        <v>35</v>
      </c>
      <c r="H4182" t="n">
        <v>35</v>
      </c>
      <c r="I4182">
        <f>B4182&amp;"|"&amp;C4182</f>
        <v/>
      </c>
      <c r="J4182" t="inlineStr">
        <is>
          <t>Dining atriums and playrooms, good to excellent</t>
        </is>
      </c>
    </row>
    <row r="4183" ht="12" customHeight="1" s="545">
      <c r="B4183" t="inlineStr">
        <is>
          <t>Dining Atriums/Play Rooms</t>
        </is>
      </c>
      <c r="C4183" t="inlineStr">
        <is>
          <t>Very Good</t>
        </is>
      </c>
      <c r="F4183" t="n">
        <v>35</v>
      </c>
      <c r="G4183" t="n">
        <v>35</v>
      </c>
      <c r="H4183" t="n">
        <v>35</v>
      </c>
      <c r="I4183">
        <f>B4183&amp;"|"&amp;C4183</f>
        <v/>
      </c>
      <c r="J4183" t="inlineStr">
        <is>
          <t>Dining atriums and playrooms, good to excellent</t>
        </is>
      </c>
    </row>
    <row r="4184" ht="12" customHeight="1" s="545">
      <c r="B4184" t="inlineStr">
        <is>
          <t>Dining Atriums/Play Rooms</t>
        </is>
      </c>
      <c r="C4184" t="inlineStr">
        <is>
          <t>Cheap</t>
        </is>
      </c>
      <c r="H4184" t="n">
        <v>10</v>
      </c>
      <c r="I4184">
        <f>B4184&amp;"|"&amp;C4184</f>
        <v/>
      </c>
      <c r="J4184" t="inlineStr">
        <is>
          <t>cheap</t>
        </is>
      </c>
    </row>
    <row r="4185" ht="12" customHeight="1" s="54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ht="12" customHeight="1" s="545">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ht="12" customHeight="1" s="545">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ht="12" customHeight="1" s="545">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ht="12" customHeight="1" s="545">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ht="12" customHeight="1" s="545">
      <c r="B4190" t="inlineStr">
        <is>
          <t>Snack Bars</t>
        </is>
      </c>
      <c r="C4190" t="inlineStr">
        <is>
          <t>Excellent</t>
        </is>
      </c>
      <c r="F4190" t="n">
        <v>35</v>
      </c>
      <c r="G4190" t="n">
        <v>35</v>
      </c>
      <c r="I4190">
        <f>B4190&amp;"|"&amp;C4190</f>
        <v/>
      </c>
      <c r="J4190" t="inlineStr">
        <is>
          <t>Snack bars, excellent</t>
        </is>
      </c>
    </row>
    <row r="4191" ht="12" customHeight="1" s="545">
      <c r="B4191" t="inlineStr">
        <is>
          <t>Snack Bars</t>
        </is>
      </c>
      <c r="C4191" t="inlineStr">
        <is>
          <t>Good</t>
        </is>
      </c>
      <c r="F4191" t="n">
        <v>35</v>
      </c>
      <c r="G4191" t="n">
        <v>30</v>
      </c>
      <c r="I4191">
        <f>B4191&amp;"|"&amp;C4191</f>
        <v/>
      </c>
      <c r="J4191" t="inlineStr">
        <is>
          <t>good</t>
        </is>
      </c>
    </row>
    <row r="4192" ht="12" customHeight="1" s="545">
      <c r="B4192" t="inlineStr">
        <is>
          <t>Snack Bars</t>
        </is>
      </c>
      <c r="C4192" t="inlineStr">
        <is>
          <t>Average</t>
        </is>
      </c>
      <c r="F4192" t="n">
        <v>30</v>
      </c>
      <c r="G4192" t="n">
        <v>25</v>
      </c>
      <c r="H4192" t="n">
        <v>25</v>
      </c>
      <c r="I4192">
        <f>B4192&amp;"|"&amp;C4192</f>
        <v/>
      </c>
      <c r="J4192" t="inlineStr">
        <is>
          <t>average</t>
        </is>
      </c>
    </row>
    <row r="4193" ht="12" customHeight="1" s="545">
      <c r="B4193" t="inlineStr">
        <is>
          <t>Snack Bars</t>
        </is>
      </c>
      <c r="C4193" t="inlineStr">
        <is>
          <t>Low Cost</t>
        </is>
      </c>
      <c r="F4193" t="n">
        <v>25</v>
      </c>
      <c r="G4193" t="n">
        <v>20</v>
      </c>
      <c r="H4193" t="n">
        <v>20</v>
      </c>
      <c r="I4193">
        <f>B4193&amp;"|"&amp;C4193</f>
        <v/>
      </c>
      <c r="J4193" t="inlineStr">
        <is>
          <t>low cost</t>
        </is>
      </c>
    </row>
    <row r="4194" ht="12" customHeight="1" s="545">
      <c r="B4194" t="inlineStr">
        <is>
          <t>Snack Bars</t>
        </is>
      </c>
      <c r="C4194" t="inlineStr">
        <is>
          <t>Cheap</t>
        </is>
      </c>
      <c r="F4194" t="n">
        <v>20</v>
      </c>
      <c r="G4194" t="n">
        <v>15</v>
      </c>
      <c r="H4194" t="n">
        <v>15</v>
      </c>
      <c r="I4194">
        <f>B4194&amp;"|"&amp;C4194</f>
        <v/>
      </c>
      <c r="J4194" t="inlineStr">
        <is>
          <t>cheap</t>
        </is>
      </c>
    </row>
    <row r="4195" ht="12" customHeight="1" s="545">
      <c r="B4195" t="inlineStr">
        <is>
          <t>Banquet Halls</t>
        </is>
      </c>
      <c r="C4195" t="inlineStr">
        <is>
          <t>Excellent</t>
        </is>
      </c>
      <c r="F4195" t="n">
        <v>50</v>
      </c>
      <c r="G4195" t="n">
        <v>45</v>
      </c>
      <c r="I4195">
        <f>B4195&amp;"|"&amp;C4195</f>
        <v/>
      </c>
      <c r="J4195" t="inlineStr">
        <is>
          <t>Banquet halls, excellent</t>
        </is>
      </c>
    </row>
    <row r="4196" ht="12" customHeight="1" s="545">
      <c r="B4196" t="inlineStr">
        <is>
          <t>Banquet Halls</t>
        </is>
      </c>
      <c r="C4196" t="inlineStr">
        <is>
          <t>Good</t>
        </is>
      </c>
      <c r="F4196" t="n">
        <v>45</v>
      </c>
      <c r="G4196" t="n">
        <v>40</v>
      </c>
      <c r="H4196" t="n">
        <v>40</v>
      </c>
      <c r="I4196">
        <f>B4196&amp;"|"&amp;C4196</f>
        <v/>
      </c>
      <c r="J4196" t="inlineStr">
        <is>
          <t>good</t>
        </is>
      </c>
    </row>
    <row r="4197" ht="12" customHeight="1" s="545">
      <c r="B4197" t="inlineStr">
        <is>
          <t>Banquet Halls</t>
        </is>
      </c>
      <c r="C4197" t="inlineStr">
        <is>
          <t>Average</t>
        </is>
      </c>
      <c r="F4197" t="n">
        <v>40</v>
      </c>
      <c r="G4197" t="n">
        <v>35</v>
      </c>
      <c r="H4197" t="n">
        <v>35</v>
      </c>
      <c r="I4197">
        <f>B4197&amp;"|"&amp;C4197</f>
        <v/>
      </c>
      <c r="J4197" t="inlineStr">
        <is>
          <t>average</t>
        </is>
      </c>
    </row>
    <row r="4198" ht="12" customHeight="1" s="545">
      <c r="B4198" t="inlineStr">
        <is>
          <t>Banquet Halls</t>
        </is>
      </c>
      <c r="C4198" t="inlineStr">
        <is>
          <t>Low Cost</t>
        </is>
      </c>
      <c r="F4198" t="n">
        <v>35</v>
      </c>
      <c r="G4198" t="n">
        <v>30</v>
      </c>
      <c r="H4198" t="n">
        <v>30</v>
      </c>
      <c r="I4198">
        <f>B4198&amp;"|"&amp;C4198</f>
        <v/>
      </c>
      <c r="J4198" t="inlineStr">
        <is>
          <t>low cost</t>
        </is>
      </c>
    </row>
    <row r="4199" ht="12" customHeight="1" s="545">
      <c r="B4199" t="inlineStr">
        <is>
          <t>Modular Restaurants – Diners</t>
        </is>
      </c>
      <c r="C4199" t="inlineStr">
        <is>
          <t>Excellent</t>
        </is>
      </c>
      <c r="H4199" t="n">
        <v>35</v>
      </c>
      <c r="I4199">
        <f>B4199&amp;"|"&amp;C4199</f>
        <v/>
      </c>
      <c r="J4199" t="inlineStr">
        <is>
          <t>Modular, resturants excellent</t>
        </is>
      </c>
    </row>
    <row r="4200" ht="12" customHeight="1" s="545">
      <c r="B4200" t="inlineStr">
        <is>
          <t>Modular Restaurants – Diners</t>
        </is>
      </c>
      <c r="C4200" t="inlineStr">
        <is>
          <t>Good</t>
        </is>
      </c>
      <c r="H4200" t="n">
        <v>30</v>
      </c>
      <c r="I4200">
        <f>B4200&amp;"|"&amp;C4200</f>
        <v/>
      </c>
      <c r="J4200" t="inlineStr">
        <is>
          <t>low cost, average and good</t>
        </is>
      </c>
    </row>
    <row r="4201" ht="12" customHeight="1" s="545">
      <c r="B4201" t="inlineStr">
        <is>
          <t>Modular Restaurants – Diners</t>
        </is>
      </c>
      <c r="C4201" t="inlineStr">
        <is>
          <t>Average</t>
        </is>
      </c>
      <c r="H4201" t="n">
        <v>30</v>
      </c>
      <c r="I4201">
        <f>B4201&amp;"|"&amp;C4201</f>
        <v/>
      </c>
      <c r="J4201" t="inlineStr">
        <is>
          <t>low cost, average and good</t>
        </is>
      </c>
    </row>
    <row r="4202" ht="12" customHeight="1" s="545">
      <c r="B4202" t="inlineStr">
        <is>
          <t>Modular Restaurants – Diners</t>
        </is>
      </c>
      <c r="C4202" t="inlineStr">
        <is>
          <t>Low Cost</t>
        </is>
      </c>
      <c r="H4202" t="n">
        <v>30</v>
      </c>
      <c r="I4202">
        <f>B4202&amp;"|"&amp;C4202</f>
        <v/>
      </c>
      <c r="J4202" t="inlineStr">
        <is>
          <t>low cost, average and good</t>
        </is>
      </c>
    </row>
    <row r="4203" ht="12" customHeight="1" s="545">
      <c r="B4203" t="inlineStr">
        <is>
          <t>Supermarkets</t>
        </is>
      </c>
      <c r="C4203" t="inlineStr">
        <is>
          <t>Good</t>
        </is>
      </c>
      <c r="D4203" t="n">
        <v>40</v>
      </c>
      <c r="E4203" t="n">
        <v>40</v>
      </c>
      <c r="F4203" t="n">
        <v>40</v>
      </c>
      <c r="G4203" t="n">
        <v>35</v>
      </c>
      <c r="H4203" t="n">
        <v>35</v>
      </c>
      <c r="I4203">
        <f>B4203&amp;"|"&amp;C4203</f>
        <v/>
      </c>
      <c r="J4203" t="inlineStr">
        <is>
          <t>average and good</t>
        </is>
      </c>
    </row>
    <row r="4204" ht="12" customHeight="1" s="545">
      <c r="B4204" t="inlineStr">
        <is>
          <t>Supermarkets</t>
        </is>
      </c>
      <c r="C4204" t="inlineStr">
        <is>
          <t>Average</t>
        </is>
      </c>
      <c r="D4204" t="n">
        <v>40</v>
      </c>
      <c r="E4204" t="n">
        <v>40</v>
      </c>
      <c r="F4204" t="n">
        <v>40</v>
      </c>
      <c r="G4204" t="n">
        <v>35</v>
      </c>
      <c r="H4204" t="n">
        <v>35</v>
      </c>
      <c r="I4204">
        <f>B4204&amp;"|"&amp;C4204</f>
        <v/>
      </c>
      <c r="J4204" t="inlineStr">
        <is>
          <t>average and good</t>
        </is>
      </c>
    </row>
    <row r="4205" ht="12" customHeight="1" s="545">
      <c r="B4205" t="inlineStr">
        <is>
          <t>Supermarkets</t>
        </is>
      </c>
      <c r="C4205" t="inlineStr">
        <is>
          <t>Excellent</t>
        </is>
      </c>
      <c r="F4205" t="n">
        <v>45</v>
      </c>
      <c r="G4205" t="n">
        <v>40</v>
      </c>
      <c r="H4205" t="n">
        <v>40</v>
      </c>
      <c r="I4205">
        <f>B4205&amp;"|"&amp;C4205</f>
        <v/>
      </c>
      <c r="J4205" t="inlineStr">
        <is>
          <t>Markets and supermarkets, excellent</t>
        </is>
      </c>
    </row>
    <row r="4206" ht="12" customHeight="1" s="545">
      <c r="B4206" t="inlineStr">
        <is>
          <t>Supermarkets</t>
        </is>
      </c>
      <c r="C4206" t="inlineStr">
        <is>
          <t>Low Cost</t>
        </is>
      </c>
      <c r="F4206" t="n">
        <v>35</v>
      </c>
      <c r="G4206" t="n">
        <v>30</v>
      </c>
      <c r="H4206" t="n">
        <v>30</v>
      </c>
      <c r="I4206">
        <f>B4206&amp;"|"&amp;C4206</f>
        <v/>
      </c>
      <c r="J4206" t="inlineStr">
        <is>
          <t>low cost</t>
        </is>
      </c>
    </row>
    <row r="4207" ht="12" customHeight="1" s="545">
      <c r="B4207" t="inlineStr">
        <is>
          <t>Drug Stores</t>
        </is>
      </c>
      <c r="C4207" t="inlineStr">
        <is>
          <t>Average</t>
        </is>
      </c>
      <c r="D4207" t="n">
        <v>45</v>
      </c>
      <c r="E4207" t="n">
        <v>45</v>
      </c>
      <c r="F4207" t="n">
        <v>40</v>
      </c>
      <c r="G4207" t="n">
        <v>35</v>
      </c>
      <c r="I4207">
        <f>B4207&amp;"|"&amp;C4207</f>
        <v/>
      </c>
      <c r="J4207" t="inlineStr">
        <is>
          <t>average and good</t>
        </is>
      </c>
    </row>
    <row r="4208" ht="12" customHeight="1" s="545">
      <c r="B4208" t="inlineStr">
        <is>
          <t>Drug Stores</t>
        </is>
      </c>
      <c r="C4208" t="inlineStr">
        <is>
          <t>Excellent</t>
        </is>
      </c>
      <c r="F4208" t="n">
        <v>45</v>
      </c>
      <c r="G4208" t="n">
        <v>40</v>
      </c>
      <c r="I4208">
        <f>B4208&amp;"|"&amp;C4208</f>
        <v/>
      </c>
      <c r="J4208" t="inlineStr">
        <is>
          <t>Drug stores, excellent</t>
        </is>
      </c>
    </row>
    <row r="4209" ht="12" customHeight="1" s="545">
      <c r="B4209" t="inlineStr">
        <is>
          <t>Drug Stores</t>
        </is>
      </c>
      <c r="C4209" t="inlineStr">
        <is>
          <t>Good</t>
        </is>
      </c>
      <c r="D4209" t="n">
        <v>45</v>
      </c>
      <c r="E4209" t="n">
        <v>45</v>
      </c>
      <c r="F4209" t="n">
        <v>40</v>
      </c>
      <c r="G4209" t="n">
        <v>35</v>
      </c>
      <c r="I4209">
        <f>B4209&amp;"|"&amp;C4209</f>
        <v/>
      </c>
      <c r="J4209" t="inlineStr">
        <is>
          <t>average and good</t>
        </is>
      </c>
    </row>
    <row r="4210" ht="12" customHeight="1" s="545">
      <c r="B4210" t="inlineStr">
        <is>
          <t>Drug Stores</t>
        </is>
      </c>
      <c r="C4210" t="inlineStr">
        <is>
          <t>Low Cost</t>
        </is>
      </c>
      <c r="F4210" t="n">
        <v>35</v>
      </c>
      <c r="G4210" t="n">
        <v>30</v>
      </c>
      <c r="H4210" t="n">
        <v>30</v>
      </c>
      <c r="I4210">
        <f>B4210&amp;"|"&amp;C4210</f>
        <v/>
      </c>
      <c r="J4210" t="inlineStr">
        <is>
          <t>low cost</t>
        </is>
      </c>
    </row>
    <row r="4211" ht="12" customHeight="1" s="545">
      <c r="B4211" t="inlineStr">
        <is>
          <t>Markets</t>
        </is>
      </c>
      <c r="C4211" t="inlineStr">
        <is>
          <t>Average</t>
        </is>
      </c>
      <c r="D4211" t="n">
        <v>40</v>
      </c>
      <c r="E4211" t="n">
        <v>40</v>
      </c>
      <c r="F4211" t="n">
        <v>40</v>
      </c>
      <c r="G4211" t="n">
        <v>35</v>
      </c>
      <c r="H4211" t="n">
        <v>35</v>
      </c>
      <c r="I4211">
        <f>B4211&amp;"|"&amp;C4211</f>
        <v/>
      </c>
      <c r="J4211" t="inlineStr">
        <is>
          <t>average and good</t>
        </is>
      </c>
    </row>
    <row r="4212" ht="12" customHeight="1" s="545">
      <c r="B4212" t="inlineStr">
        <is>
          <t>Markets</t>
        </is>
      </c>
      <c r="C4212" t="inlineStr">
        <is>
          <t>Excellent</t>
        </is>
      </c>
      <c r="F4212" t="n">
        <v>45</v>
      </c>
      <c r="G4212" t="n">
        <v>40</v>
      </c>
      <c r="H4212" t="n">
        <v>40</v>
      </c>
      <c r="I4212">
        <f>B4212&amp;"|"&amp;C4212</f>
        <v/>
      </c>
      <c r="J4212" t="inlineStr">
        <is>
          <t>Markets and supermarkets, excellent</t>
        </is>
      </c>
    </row>
    <row r="4213" ht="12" customHeight="1" s="545">
      <c r="B4213" t="inlineStr">
        <is>
          <t>Markets</t>
        </is>
      </c>
      <c r="C4213" t="inlineStr">
        <is>
          <t>Good</t>
        </is>
      </c>
      <c r="D4213" t="n">
        <v>40</v>
      </c>
      <c r="E4213" t="n">
        <v>40</v>
      </c>
      <c r="F4213" t="n">
        <v>40</v>
      </c>
      <c r="G4213" t="n">
        <v>35</v>
      </c>
      <c r="H4213" t="n">
        <v>35</v>
      </c>
      <c r="I4213">
        <f>B4213&amp;"|"&amp;C4213</f>
        <v/>
      </c>
      <c r="J4213" t="inlineStr">
        <is>
          <t>average and good</t>
        </is>
      </c>
    </row>
    <row r="4214" ht="12" customHeight="1" s="545">
      <c r="B4214" t="inlineStr">
        <is>
          <t>Markets</t>
        </is>
      </c>
      <c r="C4214" t="inlineStr">
        <is>
          <t>Low Cost</t>
        </is>
      </c>
      <c r="F4214" t="n">
        <v>35</v>
      </c>
      <c r="G4214" t="n">
        <v>30</v>
      </c>
      <c r="H4214" t="n">
        <v>30</v>
      </c>
      <c r="I4214">
        <f>B4214&amp;"|"&amp;C4214</f>
        <v/>
      </c>
      <c r="J4214" t="inlineStr">
        <is>
          <t>low cost</t>
        </is>
      </c>
    </row>
    <row r="4215" ht="12" customHeight="1" s="545">
      <c r="B4215" t="inlineStr">
        <is>
          <t>Florist Shops</t>
        </is>
      </c>
      <c r="C4215" t="inlineStr">
        <is>
          <t>Average</t>
        </is>
      </c>
      <c r="D4215" t="n">
        <v>50</v>
      </c>
      <c r="E4215" t="n">
        <v>50</v>
      </c>
      <c r="F4215" t="n">
        <v>40</v>
      </c>
      <c r="G4215" t="n">
        <v>35</v>
      </c>
      <c r="H4215" t="n">
        <v>35</v>
      </c>
      <c r="I4215">
        <f>B4215&amp;"|"&amp;C4215</f>
        <v/>
      </c>
      <c r="J4215" t="inlineStr">
        <is>
          <t>average and good</t>
        </is>
      </c>
    </row>
    <row r="4216" ht="12" customHeight="1" s="545">
      <c r="B4216" t="inlineStr">
        <is>
          <t>Florist Shops</t>
        </is>
      </c>
      <c r="C4216" t="inlineStr">
        <is>
          <t>Excellent</t>
        </is>
      </c>
      <c r="F4216" t="n">
        <v>45</v>
      </c>
      <c r="G4216" t="n">
        <v>40</v>
      </c>
      <c r="H4216" t="n">
        <v>40</v>
      </c>
      <c r="I4216">
        <f>B4216&amp;"|"&amp;C4216</f>
        <v/>
      </c>
      <c r="J4216" t="inlineStr">
        <is>
          <t>Florist shops, excellent</t>
        </is>
      </c>
    </row>
    <row r="4217" ht="12" customHeight="1" s="545">
      <c r="B4217" t="inlineStr">
        <is>
          <t>Florist Shops</t>
        </is>
      </c>
      <c r="C4217" t="inlineStr">
        <is>
          <t>Good</t>
        </is>
      </c>
      <c r="D4217" t="n">
        <v>50</v>
      </c>
      <c r="E4217" t="n">
        <v>50</v>
      </c>
      <c r="F4217" t="n">
        <v>40</v>
      </c>
      <c r="G4217" t="n">
        <v>35</v>
      </c>
      <c r="H4217" t="n">
        <v>35</v>
      </c>
      <c r="I4217">
        <f>B4217&amp;"|"&amp;C4217</f>
        <v/>
      </c>
      <c r="J4217" t="inlineStr">
        <is>
          <t>average and good</t>
        </is>
      </c>
    </row>
    <row r="4218" ht="12" customHeight="1" s="545">
      <c r="B4218" t="inlineStr">
        <is>
          <t>Florist Shops</t>
        </is>
      </c>
      <c r="C4218" t="inlineStr">
        <is>
          <t>Low Cost</t>
        </is>
      </c>
      <c r="F4218" t="n">
        <v>35</v>
      </c>
      <c r="G4218" t="n">
        <v>30</v>
      </c>
      <c r="H4218" t="n">
        <v>30</v>
      </c>
      <c r="I4218">
        <f>B4218&amp;"|"&amp;C4218</f>
        <v/>
      </c>
      <c r="J4218" t="inlineStr">
        <is>
          <t>low cost</t>
        </is>
      </c>
    </row>
    <row r="4219" ht="12" customHeight="1" s="545">
      <c r="B4219" t="inlineStr">
        <is>
          <t>Convenience Stores</t>
        </is>
      </c>
      <c r="C4219" t="inlineStr">
        <is>
          <t>Average</t>
        </is>
      </c>
      <c r="D4219" t="n">
        <v>45</v>
      </c>
      <c r="E4219" t="n">
        <v>45</v>
      </c>
      <c r="F4219" t="n">
        <v>40</v>
      </c>
      <c r="G4219" t="n">
        <v>35</v>
      </c>
      <c r="H4219" t="n">
        <v>35</v>
      </c>
      <c r="I4219">
        <f>B4219&amp;"|"&amp;C4219</f>
        <v/>
      </c>
      <c r="J4219" t="inlineStr">
        <is>
          <t>average and good</t>
        </is>
      </c>
    </row>
    <row r="4220" ht="12" customHeight="1" s="545">
      <c r="B4220" t="inlineStr">
        <is>
          <t>Convenience Stores</t>
        </is>
      </c>
      <c r="C4220" t="inlineStr">
        <is>
          <t>Excellent</t>
        </is>
      </c>
      <c r="F4220" t="n">
        <v>45</v>
      </c>
      <c r="G4220" t="n">
        <v>40</v>
      </c>
      <c r="H4220" t="n">
        <v>40</v>
      </c>
      <c r="I4220">
        <f>B4220&amp;"|"&amp;C4220</f>
        <v/>
      </c>
      <c r="J4220" t="inlineStr">
        <is>
          <t>Convenience stores, excellent</t>
        </is>
      </c>
    </row>
    <row r="4221" ht="12" customHeight="1" s="545">
      <c r="B4221" t="inlineStr">
        <is>
          <t>Convenience Stores</t>
        </is>
      </c>
      <c r="C4221" t="inlineStr">
        <is>
          <t>Good</t>
        </is>
      </c>
      <c r="D4221" t="n">
        <v>45</v>
      </c>
      <c r="E4221" t="n">
        <v>45</v>
      </c>
      <c r="F4221" t="n">
        <v>40</v>
      </c>
      <c r="G4221" t="n">
        <v>35</v>
      </c>
      <c r="H4221" t="n">
        <v>35</v>
      </c>
      <c r="I4221">
        <f>B4221&amp;"|"&amp;C4221</f>
        <v/>
      </c>
      <c r="J4221" t="inlineStr">
        <is>
          <t>average and good</t>
        </is>
      </c>
    </row>
    <row r="4222" ht="12" customHeight="1" s="545">
      <c r="B4222" t="inlineStr">
        <is>
          <t>Convenience Stores</t>
        </is>
      </c>
      <c r="C4222" t="inlineStr">
        <is>
          <t>Low Cost</t>
        </is>
      </c>
      <c r="F4222" t="n">
        <v>35</v>
      </c>
      <c r="G4222" t="n">
        <v>30</v>
      </c>
      <c r="H4222" t="n">
        <v>30</v>
      </c>
      <c r="I4222">
        <f>B4222&amp;"|"&amp;C4222</f>
        <v/>
      </c>
      <c r="J4222" t="inlineStr">
        <is>
          <t>low cost</t>
        </is>
      </c>
    </row>
    <row r="4223" ht="12" customHeight="1" s="545">
      <c r="B4223" t="inlineStr">
        <is>
          <t>Mini-Mart Convenience Stores</t>
        </is>
      </c>
      <c r="C4223" t="inlineStr">
        <is>
          <t>Excellent</t>
        </is>
      </c>
      <c r="F4223" t="n">
        <v>40</v>
      </c>
      <c r="G4223" t="n">
        <v>35</v>
      </c>
      <c r="H4223" t="n">
        <v>30</v>
      </c>
      <c r="I4223">
        <f>B4223&amp;"|"&amp;C4223</f>
        <v/>
      </c>
      <c r="J4223" t="inlineStr">
        <is>
          <t>Mini-marts, good and excellent</t>
        </is>
      </c>
    </row>
    <row r="4224" ht="12" customHeight="1" s="545">
      <c r="B4224" t="inlineStr">
        <is>
          <t>Mini-Mart Convenience Stores</t>
        </is>
      </c>
      <c r="C4224" t="inlineStr">
        <is>
          <t>Good</t>
        </is>
      </c>
      <c r="F4224" t="n">
        <v>40</v>
      </c>
      <c r="G4224" t="n">
        <v>35</v>
      </c>
      <c r="H4224" t="n">
        <v>30</v>
      </c>
      <c r="I4224">
        <f>B4224&amp;"|"&amp;C4224</f>
        <v/>
      </c>
      <c r="J4224" t="inlineStr">
        <is>
          <t>Mini-marts, good and excellent</t>
        </is>
      </c>
    </row>
    <row r="4225" ht="12" customHeight="1" s="545">
      <c r="B4225" t="inlineStr">
        <is>
          <t>Mini-Mart Convenience Stores</t>
        </is>
      </c>
      <c r="C4225" t="inlineStr">
        <is>
          <t>Average</t>
        </is>
      </c>
      <c r="F4225" t="n">
        <v>35</v>
      </c>
      <c r="G4225" t="n">
        <v>30</v>
      </c>
      <c r="H4225" t="n">
        <v>25</v>
      </c>
      <c r="I4225">
        <f>B4225&amp;"|"&amp;C4225</f>
        <v/>
      </c>
      <c r="J4225" t="inlineStr">
        <is>
          <t>low cost and average</t>
        </is>
      </c>
    </row>
    <row r="4226" ht="12" customHeight="1" s="545">
      <c r="B4226" t="inlineStr">
        <is>
          <t>Mini-Mart Convenience Stores</t>
        </is>
      </c>
      <c r="C4226" t="inlineStr">
        <is>
          <t>Low Cost</t>
        </is>
      </c>
      <c r="F4226" t="n">
        <v>35</v>
      </c>
      <c r="G4226" t="n">
        <v>30</v>
      </c>
      <c r="H4226" t="n">
        <v>25</v>
      </c>
      <c r="I4226">
        <f>B4226&amp;"|"&amp;C4226</f>
        <v/>
      </c>
      <c r="J4226" t="inlineStr">
        <is>
          <t>low cost and average</t>
        </is>
      </c>
    </row>
    <row r="4227" ht="12" customHeight="1" s="545">
      <c r="B4227" t="inlineStr">
        <is>
          <t>Roadside Markets</t>
        </is>
      </c>
      <c r="C4227" t="inlineStr">
        <is>
          <t>Excellent</t>
        </is>
      </c>
      <c r="F4227" t="n">
        <v>40</v>
      </c>
      <c r="G4227" t="n">
        <v>35</v>
      </c>
      <c r="H4227" t="n">
        <v>35</v>
      </c>
      <c r="I4227">
        <f>B4227&amp;"|"&amp;C4227</f>
        <v/>
      </c>
      <c r="J4227" t="inlineStr">
        <is>
          <t>Roadside markets, excellent</t>
        </is>
      </c>
    </row>
    <row r="4228" ht="12" customHeight="1" s="545">
      <c r="B4228" t="inlineStr">
        <is>
          <t>Roadside Markets</t>
        </is>
      </c>
      <c r="C4228" t="inlineStr">
        <is>
          <t>Good</t>
        </is>
      </c>
      <c r="F4228" t="n">
        <v>35</v>
      </c>
      <c r="G4228" t="n">
        <v>30</v>
      </c>
      <c r="H4228" t="n">
        <v>30</v>
      </c>
      <c r="I4228">
        <f>B4228&amp;"|"&amp;C4228</f>
        <v/>
      </c>
      <c r="J4228" t="inlineStr">
        <is>
          <t>good</t>
        </is>
      </c>
    </row>
    <row r="4229" ht="12" customHeight="1" s="545">
      <c r="B4229" t="inlineStr">
        <is>
          <t>Roadside Markets</t>
        </is>
      </c>
      <c r="C4229" t="inlineStr">
        <is>
          <t>Average</t>
        </is>
      </c>
      <c r="F4229" t="n">
        <v>30</v>
      </c>
      <c r="G4229" t="n">
        <v>25</v>
      </c>
      <c r="H4229" t="n">
        <v>25</v>
      </c>
      <c r="I4229">
        <f>B4229&amp;"|"&amp;C4229</f>
        <v/>
      </c>
      <c r="J4229" t="inlineStr">
        <is>
          <t>average</t>
        </is>
      </c>
    </row>
    <row r="4230" ht="12" customHeight="1" s="545">
      <c r="B4230" t="inlineStr">
        <is>
          <t>Roadside Markets</t>
        </is>
      </c>
      <c r="C4230" t="inlineStr">
        <is>
          <t>Low Cost</t>
        </is>
      </c>
      <c r="G4230" t="n">
        <v>20</v>
      </c>
      <c r="H4230" t="n">
        <v>20</v>
      </c>
      <c r="I4230">
        <f>B4230&amp;"|"&amp;C4230</f>
        <v/>
      </c>
      <c r="J4230" t="inlineStr">
        <is>
          <t>low cost</t>
        </is>
      </c>
    </row>
    <row r="4231" ht="12" customHeight="1" s="545">
      <c r="B4231" t="inlineStr">
        <is>
          <t>Roadside Markets</t>
        </is>
      </c>
      <c r="C4231" t="inlineStr">
        <is>
          <t>Cheap</t>
        </is>
      </c>
      <c r="G4231" t="n">
        <v>15</v>
      </c>
      <c r="I4231">
        <f>B4231&amp;"|"&amp;C4231</f>
        <v/>
      </c>
      <c r="J4231" t="inlineStr">
        <is>
          <t>cheap</t>
        </is>
      </c>
    </row>
    <row r="4232" ht="12" customHeight="1" s="545">
      <c r="B4232" t="inlineStr">
        <is>
          <t>Luxury Boutiques</t>
        </is>
      </c>
      <c r="C4232" t="inlineStr">
        <is>
          <t>Good</t>
        </is>
      </c>
      <c r="D4232" t="n">
        <v>60</v>
      </c>
      <c r="E4232" t="n">
        <v>60</v>
      </c>
      <c r="F4232" t="n">
        <v>55</v>
      </c>
      <c r="G4232" t="n">
        <v>50</v>
      </c>
      <c r="I4232">
        <f>B4232&amp;"|"&amp;C4232</f>
        <v/>
      </c>
      <c r="J4232" t="inlineStr">
        <is>
          <t>Luxury boutiques, good</t>
        </is>
      </c>
    </row>
    <row r="4233" ht="12" customHeight="1" s="545">
      <c r="B4233" t="inlineStr">
        <is>
          <t>Luxury Boutiques</t>
        </is>
      </c>
      <c r="C4233" t="inlineStr">
        <is>
          <t>Average</t>
        </is>
      </c>
      <c r="D4233" t="n">
        <v>55</v>
      </c>
      <c r="E4233" t="n">
        <v>55</v>
      </c>
      <c r="F4233" t="n">
        <v>50</v>
      </c>
      <c r="G4233" t="n">
        <v>45</v>
      </c>
      <c r="I4233">
        <f>B4233&amp;"|"&amp;C4233</f>
        <v/>
      </c>
      <c r="J4233" t="inlineStr">
        <is>
          <t>low cost and average</t>
        </is>
      </c>
    </row>
    <row r="4234" ht="12" customHeight="1" s="545">
      <c r="B4234" t="inlineStr">
        <is>
          <t>Luxury Boutiques</t>
        </is>
      </c>
      <c r="C4234" t="inlineStr">
        <is>
          <t>Low Cost</t>
        </is>
      </c>
      <c r="D4234" t="n">
        <v>55</v>
      </c>
      <c r="E4234" t="n">
        <v>55</v>
      </c>
      <c r="F4234" t="n">
        <v>50</v>
      </c>
      <c r="G4234" t="n">
        <v>45</v>
      </c>
      <c r="I4234">
        <f>B4234&amp;"|"&amp;C4234</f>
        <v/>
      </c>
      <c r="J4234" t="inlineStr">
        <is>
          <t>low cost and average</t>
        </is>
      </c>
    </row>
    <row r="4235" ht="12" customHeight="1" s="545">
      <c r="B4235" t="inlineStr">
        <is>
          <t>Winery (Tasting – Display) Shops</t>
        </is>
      </c>
      <c r="C4235" t="inlineStr">
        <is>
          <t>Excellent</t>
        </is>
      </c>
      <c r="F4235" t="n">
        <v>50</v>
      </c>
      <c r="G4235" t="n">
        <v>45</v>
      </c>
      <c r="I4235">
        <f>B4235&amp;"|"&amp;C4235</f>
        <v/>
      </c>
      <c r="J4235" t="inlineStr">
        <is>
          <t>Winery shops, excellent</t>
        </is>
      </c>
    </row>
    <row r="4236" ht="12" customHeight="1" s="545">
      <c r="B4236" t="inlineStr">
        <is>
          <t>Winery (Tasting – Display) Shops</t>
        </is>
      </c>
      <c r="C4236" t="inlineStr">
        <is>
          <t>Good</t>
        </is>
      </c>
      <c r="F4236" t="n">
        <v>45</v>
      </c>
      <c r="G4236" t="n">
        <v>40</v>
      </c>
      <c r="I4236">
        <f>B4236&amp;"|"&amp;C4236</f>
        <v/>
      </c>
      <c r="J4236" t="inlineStr">
        <is>
          <t>good</t>
        </is>
      </c>
    </row>
    <row r="4237" ht="12" customHeight="1" s="545">
      <c r="B4237" t="inlineStr">
        <is>
          <t>Winery (Tasting – Display) Shops</t>
        </is>
      </c>
      <c r="C4237" t="inlineStr">
        <is>
          <t>Average</t>
        </is>
      </c>
      <c r="F4237" t="n">
        <v>40</v>
      </c>
      <c r="G4237" t="n">
        <v>35</v>
      </c>
      <c r="H4237" t="n">
        <v>35</v>
      </c>
      <c r="I4237">
        <f>B4237&amp;"|"&amp;C4237</f>
        <v/>
      </c>
      <c r="J4237" t="inlineStr">
        <is>
          <t>average</t>
        </is>
      </c>
    </row>
    <row r="4238" ht="12" customHeight="1" s="545">
      <c r="B4238" t="inlineStr">
        <is>
          <t>Winery (Tasting – Display) Shops</t>
        </is>
      </c>
      <c r="C4238" t="inlineStr">
        <is>
          <t>Low Cost</t>
        </is>
      </c>
      <c r="F4238" t="n">
        <v>35</v>
      </c>
      <c r="G4238" t="n">
        <v>30</v>
      </c>
      <c r="H4238" t="n">
        <v>30</v>
      </c>
      <c r="I4238">
        <f>B4238&amp;"|"&amp;C4238</f>
        <v/>
      </c>
      <c r="J4238" t="inlineStr">
        <is>
          <t>low cost</t>
        </is>
      </c>
    </row>
    <row r="4239" ht="12" customHeight="1" s="545">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ht="12" customHeight="1" s="545">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ht="12" customHeight="1" s="545">
      <c r="B4241" t="inlineStr">
        <is>
          <t>Laundromats</t>
        </is>
      </c>
      <c r="C4241" t="inlineStr">
        <is>
          <t>Average</t>
        </is>
      </c>
      <c r="F4241" t="n">
        <v>35</v>
      </c>
      <c r="G4241" t="n">
        <v>30</v>
      </c>
      <c r="H4241" t="n">
        <v>30</v>
      </c>
      <c r="I4241">
        <f>B4241&amp;"|"&amp;C4241</f>
        <v/>
      </c>
      <c r="J4241" t="inlineStr">
        <is>
          <t>Laundromats, average</t>
        </is>
      </c>
    </row>
    <row r="4242" ht="12" customHeight="1" s="545">
      <c r="B4242" t="inlineStr">
        <is>
          <t>Laundry/Dry Cleaning</t>
        </is>
      </c>
      <c r="C4242" t="inlineStr">
        <is>
          <t>Good</t>
        </is>
      </c>
      <c r="F4242" t="n">
        <v>45</v>
      </c>
      <c r="G4242" t="n">
        <v>40</v>
      </c>
      <c r="H4242" t="n">
        <v>40</v>
      </c>
      <c r="I4242">
        <f>B4242&amp;"|"&amp;C4242</f>
        <v/>
      </c>
      <c r="J4242" t="inlineStr">
        <is>
          <t>Laundry/dry cleaning, good</t>
        </is>
      </c>
    </row>
    <row r="4243" ht="12" customHeight="1" s="545">
      <c r="B4243" t="inlineStr">
        <is>
          <t>Laundry/Dry Cleaning</t>
        </is>
      </c>
      <c r="C4243" t="inlineStr">
        <is>
          <t>Average</t>
        </is>
      </c>
      <c r="F4243" t="n">
        <v>40</v>
      </c>
      <c r="G4243" t="n">
        <v>35</v>
      </c>
      <c r="H4243" t="n">
        <v>35</v>
      </c>
      <c r="I4243">
        <f>B4243&amp;"|"&amp;C4243</f>
        <v/>
      </c>
      <c r="J4243" t="inlineStr">
        <is>
          <t>average</t>
        </is>
      </c>
    </row>
    <row r="4244" ht="12" customHeight="1" s="545">
      <c r="B4244" t="inlineStr">
        <is>
          <t>Dairy Sales</t>
        </is>
      </c>
      <c r="C4244" t="inlineStr">
        <is>
          <t>Average</t>
        </is>
      </c>
      <c r="F4244" t="n">
        <v>35</v>
      </c>
      <c r="G4244" t="n">
        <v>30</v>
      </c>
      <c r="H4244" t="n">
        <v>30</v>
      </c>
      <c r="I4244">
        <f>B4244&amp;"|"&amp;C4244</f>
        <v/>
      </c>
      <c r="J4244" t="inlineStr">
        <is>
          <t>Dairy sales buildings, average</t>
        </is>
      </c>
    </row>
    <row r="4245" ht="12" customHeight="1" s="5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ht="12" customHeight="1" s="545">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ht="12" customHeight="1" s="545">
      <c r="B4247" t="inlineStr">
        <is>
          <t>Retail Stores</t>
        </is>
      </c>
      <c r="C4247" t="inlineStr">
        <is>
          <t>Average</t>
        </is>
      </c>
      <c r="D4247" t="n">
        <v>50</v>
      </c>
      <c r="E4247" t="n">
        <v>50</v>
      </c>
      <c r="F4247" t="n">
        <v>45</v>
      </c>
      <c r="G4247" t="n">
        <v>40</v>
      </c>
      <c r="H4247" t="n">
        <v>40</v>
      </c>
      <c r="I4247">
        <f>B4247&amp;"|"&amp;C4247</f>
        <v/>
      </c>
      <c r="J4247" t="inlineStr">
        <is>
          <t>average</t>
        </is>
      </c>
    </row>
    <row r="4248" ht="12" customHeight="1" s="545">
      <c r="B4248" t="inlineStr">
        <is>
          <t>Retail Stores</t>
        </is>
      </c>
      <c r="C4248" t="inlineStr">
        <is>
          <t>Low Cost</t>
        </is>
      </c>
      <c r="D4248" t="n">
        <v>45</v>
      </c>
      <c r="E4248" t="n">
        <v>45</v>
      </c>
      <c r="F4248" t="n">
        <v>40</v>
      </c>
      <c r="G4248" t="n">
        <v>40</v>
      </c>
      <c r="H4248" t="n">
        <v>40</v>
      </c>
      <c r="I4248">
        <f>B4248&amp;"|"&amp;C4248</f>
        <v/>
      </c>
      <c r="J4248" t="inlineStr">
        <is>
          <t>low cost</t>
        </is>
      </c>
    </row>
    <row r="4249" ht="12" customHeight="1" s="545">
      <c r="B4249" t="inlineStr">
        <is>
          <t>Department Stores</t>
        </is>
      </c>
      <c r="C4249" t="inlineStr">
        <is>
          <t>Excellent</t>
        </is>
      </c>
      <c r="D4249" t="n">
        <v>55</v>
      </c>
      <c r="E4249" t="n">
        <v>55</v>
      </c>
      <c r="F4249" t="n">
        <v>50</v>
      </c>
      <c r="I4249">
        <f>B4249&amp;"|"&amp;C4249</f>
        <v/>
      </c>
      <c r="J4249" t="inlineStr">
        <is>
          <t>Department stores, good and excellent</t>
        </is>
      </c>
    </row>
    <row r="4250" ht="12" customHeight="1" s="545">
      <c r="B4250" t="inlineStr">
        <is>
          <t>Department Stores</t>
        </is>
      </c>
      <c r="C4250" t="inlineStr">
        <is>
          <t>Good</t>
        </is>
      </c>
      <c r="D4250" t="n">
        <v>55</v>
      </c>
      <c r="E4250" t="n">
        <v>55</v>
      </c>
      <c r="F4250" t="n">
        <v>50</v>
      </c>
      <c r="I4250">
        <f>B4250&amp;"|"&amp;C4250</f>
        <v/>
      </c>
      <c r="J4250" t="inlineStr">
        <is>
          <t>Department stores, good and excellent</t>
        </is>
      </c>
    </row>
    <row r="4251" ht="12" customHeight="1" s="545">
      <c r="B4251" t="inlineStr">
        <is>
          <t>Department Stores</t>
        </is>
      </c>
      <c r="C4251" t="inlineStr">
        <is>
          <t>Average</t>
        </is>
      </c>
      <c r="D4251" t="n">
        <v>50</v>
      </c>
      <c r="E4251" t="n">
        <v>50</v>
      </c>
      <c r="F4251" t="n">
        <v>45</v>
      </c>
      <c r="I4251">
        <f>B4251&amp;"|"&amp;C4251</f>
        <v/>
      </c>
      <c r="J4251" t="inlineStr">
        <is>
          <t>low cost and average</t>
        </is>
      </c>
    </row>
    <row r="4252" ht="12" customHeight="1" s="545">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ht="12" customHeight="1" s="545">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ht="12" customHeight="1" s="545">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ht="12" customHeight="1" s="545">
      <c r="B4255" t="inlineStr">
        <is>
          <t>Discount Stores</t>
        </is>
      </c>
      <c r="C4255" t="inlineStr">
        <is>
          <t>Average</t>
        </is>
      </c>
      <c r="D4255" t="n">
        <v>40</v>
      </c>
      <c r="E4255" t="n">
        <v>40</v>
      </c>
      <c r="F4255" t="n">
        <v>35</v>
      </c>
      <c r="G4255" t="n">
        <v>30</v>
      </c>
      <c r="H4255" t="n">
        <v>30</v>
      </c>
      <c r="I4255">
        <f>B4255&amp;"|"&amp;C4255</f>
        <v/>
      </c>
      <c r="J4255" t="inlineStr">
        <is>
          <t>low cost and average</t>
        </is>
      </c>
    </row>
    <row r="4256" ht="12" customHeight="1" s="545">
      <c r="B4256" t="inlineStr">
        <is>
          <t>Discount Stores</t>
        </is>
      </c>
      <c r="C4256" t="inlineStr">
        <is>
          <t>Good</t>
        </is>
      </c>
      <c r="F4256" t="n">
        <v>40</v>
      </c>
      <c r="G4256" t="n">
        <v>35</v>
      </c>
      <c r="H4256" t="n">
        <v>35</v>
      </c>
      <c r="I4256">
        <f>B4256&amp;"|"&amp;C4256</f>
        <v/>
      </c>
      <c r="J4256" t="inlineStr">
        <is>
          <t>Discount stores, good</t>
        </is>
      </c>
    </row>
    <row r="4257" ht="12" customHeight="1" s="545">
      <c r="B4257" t="inlineStr">
        <is>
          <t>Discount Stores</t>
        </is>
      </c>
      <c r="C4257" t="inlineStr">
        <is>
          <t>Low Cost</t>
        </is>
      </c>
      <c r="D4257" t="n">
        <v>40</v>
      </c>
      <c r="E4257" t="n">
        <v>40</v>
      </c>
      <c r="F4257" t="n">
        <v>35</v>
      </c>
      <c r="G4257" t="n">
        <v>30</v>
      </c>
      <c r="H4257" t="n">
        <v>30</v>
      </c>
      <c r="I4257">
        <f>B4257&amp;"|"&amp;C4257</f>
        <v/>
      </c>
      <c r="J4257" t="inlineStr">
        <is>
          <t>low cost and average</t>
        </is>
      </c>
    </row>
    <row r="4258" ht="12" customHeight="1" s="545">
      <c r="B4258" t="inlineStr">
        <is>
          <t>Warehouse Discount Stores</t>
        </is>
      </c>
      <c r="C4258" t="inlineStr">
        <is>
          <t>Good</t>
        </is>
      </c>
      <c r="F4258" t="n">
        <v>35</v>
      </c>
      <c r="G4258" t="n">
        <v>30</v>
      </c>
      <c r="H4258" t="n">
        <v>30</v>
      </c>
      <c r="I4258">
        <f>B4258&amp;"|"&amp;C4258</f>
        <v/>
      </c>
      <c r="J4258" t="inlineStr">
        <is>
          <t>Warehouse discount stores, good</t>
        </is>
      </c>
    </row>
    <row r="4259" ht="12" customHeight="1" s="545">
      <c r="B4259" t="inlineStr">
        <is>
          <t>Warehouse Discount Stores</t>
        </is>
      </c>
      <c r="C4259" t="inlineStr">
        <is>
          <t>Average</t>
        </is>
      </c>
      <c r="F4259" t="n">
        <v>30</v>
      </c>
      <c r="G4259" t="n">
        <v>30</v>
      </c>
      <c r="H4259" t="n">
        <v>30</v>
      </c>
      <c r="I4259">
        <f>B4259&amp;"|"&amp;C4259</f>
        <v/>
      </c>
      <c r="J4259" t="inlineStr">
        <is>
          <t>low cost and average</t>
        </is>
      </c>
    </row>
    <row r="4260" ht="12" customHeight="1" s="545">
      <c r="B4260" t="inlineStr">
        <is>
          <t>Warehouse Discount Stores</t>
        </is>
      </c>
      <c r="C4260" t="inlineStr">
        <is>
          <t>Low Cost</t>
        </is>
      </c>
      <c r="F4260" t="n">
        <v>30</v>
      </c>
      <c r="G4260" t="n">
        <v>30</v>
      </c>
      <c r="H4260" t="n">
        <v>30</v>
      </c>
      <c r="I4260">
        <f>B4260&amp;"|"&amp;C4260</f>
        <v/>
      </c>
      <c r="J4260" t="inlineStr">
        <is>
          <t>low cost and average</t>
        </is>
      </c>
    </row>
    <row r="4261" ht="12" customHeight="1" s="545">
      <c r="B4261" t="inlineStr">
        <is>
          <t>Warehouse Showroom Stores</t>
        </is>
      </c>
      <c r="C4261" t="inlineStr">
        <is>
          <t>Good</t>
        </is>
      </c>
      <c r="F4261" t="n">
        <v>40</v>
      </c>
      <c r="G4261" t="n">
        <v>35</v>
      </c>
      <c r="H4261" t="n">
        <v>35</v>
      </c>
      <c r="I4261">
        <f>B4261&amp;"|"&amp;C4261</f>
        <v/>
      </c>
      <c r="J4261" t="inlineStr">
        <is>
          <t>showroom, good</t>
        </is>
      </c>
    </row>
    <row r="4262" ht="12" customHeight="1" s="545">
      <c r="B4262" t="inlineStr">
        <is>
          <t>Warehouse Showroom Stores</t>
        </is>
      </c>
      <c r="C4262" t="inlineStr">
        <is>
          <t>Average</t>
        </is>
      </c>
      <c r="F4262" t="n">
        <v>35</v>
      </c>
      <c r="G4262" t="n">
        <v>30</v>
      </c>
      <c r="H4262" t="n">
        <v>30</v>
      </c>
      <c r="I4262">
        <f>B4262&amp;"|"&amp;C4262</f>
        <v/>
      </c>
      <c r="J4262" t="inlineStr">
        <is>
          <t>low cost and average</t>
        </is>
      </c>
    </row>
    <row r="4263" ht="12" customHeight="1" s="545">
      <c r="B4263" t="inlineStr">
        <is>
          <t>Warehouse Showroom Stores</t>
        </is>
      </c>
      <c r="C4263" t="inlineStr">
        <is>
          <t>Low Cost</t>
        </is>
      </c>
      <c r="F4263" t="n">
        <v>35</v>
      </c>
      <c r="G4263" t="n">
        <v>30</v>
      </c>
      <c r="H4263" t="n">
        <v>30</v>
      </c>
      <c r="I4263">
        <f>B4263&amp;"|"&amp;C4263</f>
        <v/>
      </c>
      <c r="J4263" t="inlineStr">
        <is>
          <t>low cost and average</t>
        </is>
      </c>
    </row>
    <row r="4264" ht="12" customHeight="1" s="545">
      <c r="B4264" t="inlineStr">
        <is>
          <t>Warehouse Food Stores</t>
        </is>
      </c>
      <c r="C4264" t="inlineStr">
        <is>
          <t>Good</t>
        </is>
      </c>
      <c r="F4264" t="n">
        <v>40</v>
      </c>
      <c r="G4264" t="n">
        <v>35</v>
      </c>
      <c r="H4264" t="n">
        <v>35</v>
      </c>
      <c r="I4264">
        <f>B4264&amp;"|"&amp;C4264</f>
        <v/>
      </c>
      <c r="J4264" t="inlineStr">
        <is>
          <t>food, good</t>
        </is>
      </c>
    </row>
    <row r="4265" ht="12" customHeight="1" s="545">
      <c r="B4265" t="inlineStr">
        <is>
          <t>Warehouse Food Stores</t>
        </is>
      </c>
      <c r="C4265" t="inlineStr">
        <is>
          <t>Average</t>
        </is>
      </c>
      <c r="F4265" t="n">
        <v>35</v>
      </c>
      <c r="G4265" t="n">
        <v>30</v>
      </c>
      <c r="H4265" t="n">
        <v>30</v>
      </c>
      <c r="I4265">
        <f>B4265&amp;"|"&amp;C4265</f>
        <v/>
      </c>
      <c r="J4265" t="inlineStr">
        <is>
          <t>average</t>
        </is>
      </c>
    </row>
    <row r="4266" ht="12" customHeight="1" s="545">
      <c r="B4266" t="inlineStr">
        <is>
          <t>Warehouse Food Stores</t>
        </is>
      </c>
      <c r="C4266" t="inlineStr">
        <is>
          <t>Low Cost</t>
        </is>
      </c>
      <c r="F4266" t="n">
        <v>30</v>
      </c>
      <c r="G4266" t="n">
        <v>30</v>
      </c>
      <c r="H4266" t="n">
        <v>30</v>
      </c>
      <c r="I4266">
        <f>B4266&amp;"|"&amp;C4266</f>
        <v/>
      </c>
      <c r="J4266" t="inlineStr">
        <is>
          <t>low cost</t>
        </is>
      </c>
    </row>
    <row r="4267" ht="12" customHeight="1" s="545">
      <c r="B4267" t="inlineStr">
        <is>
          <t>Mega Warehouse Stores</t>
        </is>
      </c>
      <c r="C4267" t="inlineStr">
        <is>
          <t>Good</t>
        </is>
      </c>
      <c r="F4267" t="n">
        <v>35</v>
      </c>
      <c r="H4267" t="n">
        <v>30</v>
      </c>
      <c r="I4267">
        <f>B4267&amp;"|"&amp;C4267</f>
        <v/>
      </c>
      <c r="J4267" t="inlineStr">
        <is>
          <t>mega discount, average and good</t>
        </is>
      </c>
    </row>
    <row r="4268" ht="12" customHeight="1" s="545">
      <c r="B4268" t="inlineStr">
        <is>
          <t>Mega Warehouse Stores</t>
        </is>
      </c>
      <c r="C4268" t="inlineStr">
        <is>
          <t>Average</t>
        </is>
      </c>
      <c r="F4268" t="n">
        <v>35</v>
      </c>
      <c r="H4268" t="n">
        <v>30</v>
      </c>
      <c r="I4268">
        <f>B4268&amp;"|"&amp;C4268</f>
        <v/>
      </c>
      <c r="J4268" t="inlineStr">
        <is>
          <t>mega discount, average and good</t>
        </is>
      </c>
    </row>
    <row r="4269" ht="12" customHeight="1" s="545">
      <c r="B4269" t="inlineStr">
        <is>
          <t>Mega Warehouse Stores</t>
        </is>
      </c>
      <c r="C4269" t="inlineStr">
        <is>
          <t>Low Cost</t>
        </is>
      </c>
      <c r="F4269" t="n">
        <v>30</v>
      </c>
      <c r="H4269" t="n">
        <v>30</v>
      </c>
      <c r="I4269">
        <f>B4269&amp;"|"&amp;C4269</f>
        <v/>
      </c>
      <c r="J4269" t="inlineStr">
        <is>
          <t>low cost</t>
        </is>
      </c>
    </row>
    <row r="4270" ht="12" customHeight="1" s="545">
      <c r="B4270" t="inlineStr">
        <is>
          <t>Neighborhood Shopping Centers</t>
        </is>
      </c>
      <c r="C4270" t="inlineStr">
        <is>
          <t>Good</t>
        </is>
      </c>
      <c r="F4270" t="n">
        <v>45</v>
      </c>
      <c r="G4270" t="n">
        <v>40</v>
      </c>
      <c r="I4270">
        <f>B4270&amp;"|"&amp;C4270</f>
        <v/>
      </c>
      <c r="J4270" t="inlineStr">
        <is>
          <t>Shopping centers, neighborhood, good</t>
        </is>
      </c>
    </row>
    <row r="4271" ht="12" customHeight="1" s="545">
      <c r="B4271" t="inlineStr">
        <is>
          <t>Neighborhood Shopping Centers</t>
        </is>
      </c>
      <c r="C4271" t="inlineStr">
        <is>
          <t>Average</t>
        </is>
      </c>
      <c r="F4271" t="n">
        <v>40</v>
      </c>
      <c r="G4271" t="n">
        <v>35</v>
      </c>
      <c r="H4271" t="n">
        <v>35</v>
      </c>
      <c r="I4271">
        <f>B4271&amp;"|"&amp;C4271</f>
        <v/>
      </c>
      <c r="J4271" t="inlineStr">
        <is>
          <t>average</t>
        </is>
      </c>
    </row>
    <row r="4272" ht="12" customHeight="1" s="545">
      <c r="B4272" t="inlineStr">
        <is>
          <t>Neighborhood Shopping Centers</t>
        </is>
      </c>
      <c r="C4272" t="inlineStr">
        <is>
          <t>Low Cost</t>
        </is>
      </c>
      <c r="F4272" t="n">
        <v>35</v>
      </c>
      <c r="G4272" t="n">
        <v>30</v>
      </c>
      <c r="H4272" t="n">
        <v>30</v>
      </c>
      <c r="I4272">
        <f>B4272&amp;"|"&amp;C4272</f>
        <v/>
      </c>
      <c r="J4272" t="inlineStr">
        <is>
          <t>low cost</t>
        </is>
      </c>
    </row>
    <row r="4273" ht="12" customHeight="1" s="545">
      <c r="B4273" t="inlineStr">
        <is>
          <t>Mixed Retail Centers with Residential Units</t>
        </is>
      </c>
      <c r="C4273" t="inlineStr">
        <is>
          <t>Good</t>
        </is>
      </c>
      <c r="F4273" t="n">
        <v>50</v>
      </c>
      <c r="G4273" t="n">
        <v>45</v>
      </c>
      <c r="I4273">
        <f>B4273&amp;"|"&amp;C4273</f>
        <v/>
      </c>
      <c r="J4273" t="inlineStr">
        <is>
          <t>mixed retail centers with office/residential units, good</t>
        </is>
      </c>
    </row>
    <row r="4274" ht="12" customHeight="1" s="545">
      <c r="B4274" t="inlineStr">
        <is>
          <t>Mixed Retail Centers with Residential Units</t>
        </is>
      </c>
      <c r="C4274" t="inlineStr">
        <is>
          <t>Average</t>
        </is>
      </c>
      <c r="F4274" t="n">
        <v>45</v>
      </c>
      <c r="G4274" t="n">
        <v>40</v>
      </c>
      <c r="I4274">
        <f>B4274&amp;"|"&amp;C4274</f>
        <v/>
      </c>
      <c r="J4274" t="inlineStr">
        <is>
          <t>low cost and average</t>
        </is>
      </c>
    </row>
    <row r="4275" ht="12" customHeight="1" s="545">
      <c r="B4275" t="inlineStr">
        <is>
          <t>Mixed Retail Centers with Residential Units</t>
        </is>
      </c>
      <c r="C4275" t="inlineStr">
        <is>
          <t>Low Cost</t>
        </is>
      </c>
      <c r="F4275" t="n">
        <v>45</v>
      </c>
      <c r="G4275" t="n">
        <v>40</v>
      </c>
      <c r="I4275">
        <f>B4275&amp;"|"&amp;C4275</f>
        <v/>
      </c>
      <c r="J4275" t="inlineStr">
        <is>
          <t>low cost and average</t>
        </is>
      </c>
    </row>
    <row r="4276" ht="12" customHeight="1" s="545">
      <c r="B4276" t="inlineStr">
        <is>
          <t>Mixed Retail Centers with Office Units</t>
        </is>
      </c>
      <c r="C4276" t="inlineStr">
        <is>
          <t>Good</t>
        </is>
      </c>
      <c r="F4276" t="n">
        <v>50</v>
      </c>
      <c r="G4276" t="n">
        <v>45</v>
      </c>
      <c r="I4276">
        <f>B4276&amp;"|"&amp;C4276</f>
        <v/>
      </c>
      <c r="J4276" t="inlineStr">
        <is>
          <t>mixed retail centers with office/residential units, good</t>
        </is>
      </c>
    </row>
    <row r="4277" ht="12" customHeight="1" s="545">
      <c r="B4277" t="inlineStr">
        <is>
          <t>Mixed Retail Centers with Office Units</t>
        </is>
      </c>
      <c r="C4277" t="inlineStr">
        <is>
          <t>Average</t>
        </is>
      </c>
      <c r="F4277" t="n">
        <v>45</v>
      </c>
      <c r="G4277" t="n">
        <v>40</v>
      </c>
      <c r="I4277">
        <f>B4277&amp;"|"&amp;C4277</f>
        <v/>
      </c>
      <c r="J4277" t="inlineStr">
        <is>
          <t>low cost and average</t>
        </is>
      </c>
    </row>
    <row r="4278" ht="12" customHeight="1" s="545">
      <c r="B4278" t="inlineStr">
        <is>
          <t>Mixed Retail Centers with Office Units</t>
        </is>
      </c>
      <c r="C4278" t="inlineStr">
        <is>
          <t>Low Cost</t>
        </is>
      </c>
      <c r="F4278" t="n">
        <v>45</v>
      </c>
      <c r="G4278" t="n">
        <v>40</v>
      </c>
      <c r="I4278">
        <f>B4278&amp;"|"&amp;C4278</f>
        <v/>
      </c>
      <c r="J4278" t="inlineStr">
        <is>
          <t>low cost and average</t>
        </is>
      </c>
    </row>
    <row r="4279" ht="12" customHeight="1" s="545">
      <c r="B4279" t="inlineStr">
        <is>
          <t>Community Shopping Centers</t>
        </is>
      </c>
      <c r="C4279" t="inlineStr">
        <is>
          <t>Excellent</t>
        </is>
      </c>
      <c r="F4279" t="n">
        <v>50</v>
      </c>
      <c r="G4279" t="n">
        <v>45</v>
      </c>
      <c r="H4279" t="n">
        <v>45</v>
      </c>
      <c r="I4279">
        <f>B4279&amp;"|"&amp;C4279</f>
        <v/>
      </c>
      <c r="J4279" t="inlineStr">
        <is>
          <t>community, good and excellent</t>
        </is>
      </c>
    </row>
    <row r="4280" ht="12" customHeight="1" s="545">
      <c r="B4280" t="inlineStr">
        <is>
          <t>Community Shopping Centers</t>
        </is>
      </c>
      <c r="C4280" t="inlineStr">
        <is>
          <t>Good</t>
        </is>
      </c>
      <c r="F4280" t="n">
        <v>50</v>
      </c>
      <c r="G4280" t="n">
        <v>45</v>
      </c>
      <c r="H4280" t="n">
        <v>45</v>
      </c>
      <c r="I4280">
        <f>B4280&amp;"|"&amp;C4280</f>
        <v/>
      </c>
      <c r="J4280" t="inlineStr">
        <is>
          <t>community, good and excellent</t>
        </is>
      </c>
    </row>
    <row r="4281" ht="12" customHeight="1" s="545">
      <c r="B4281" t="inlineStr">
        <is>
          <t>Community Shopping Centers</t>
        </is>
      </c>
      <c r="C4281" t="inlineStr">
        <is>
          <t>Average</t>
        </is>
      </c>
      <c r="F4281" t="n">
        <v>45</v>
      </c>
      <c r="G4281" t="n">
        <v>40</v>
      </c>
      <c r="H4281" t="n">
        <v>40</v>
      </c>
      <c r="I4281">
        <f>B4281&amp;"|"&amp;C4281</f>
        <v/>
      </c>
      <c r="J4281" t="inlineStr">
        <is>
          <t>average</t>
        </is>
      </c>
    </row>
    <row r="4282" ht="12" customHeight="1" s="545">
      <c r="B4282" t="inlineStr">
        <is>
          <t>Community Shopping Centers</t>
        </is>
      </c>
      <c r="C4282" t="inlineStr">
        <is>
          <t>Low Cost</t>
        </is>
      </c>
      <c r="F4282" t="n">
        <v>45</v>
      </c>
      <c r="G4282" t="n">
        <v>40</v>
      </c>
      <c r="H4282" t="n">
        <v>40</v>
      </c>
      <c r="I4282">
        <f>B4282&amp;"|"&amp;C4282</f>
        <v/>
      </c>
      <c r="J4282" t="inlineStr">
        <is>
          <t>average</t>
        </is>
      </c>
    </row>
    <row r="4283" ht="12" customHeight="1" s="545">
      <c r="B4283" t="inlineStr">
        <is>
          <t>Regional Discount Shopping Centers</t>
        </is>
      </c>
      <c r="C4283" t="inlineStr">
        <is>
          <t>Good</t>
        </is>
      </c>
      <c r="D4283" t="n">
        <v>50</v>
      </c>
      <c r="E4283" t="n">
        <v>50</v>
      </c>
      <c r="F4283" t="n">
        <v>50</v>
      </c>
      <c r="G4283" t="n">
        <v>45</v>
      </c>
      <c r="I4283">
        <f>B4283&amp;"|"&amp;C4283</f>
        <v/>
      </c>
      <c r="J4283" t="inlineStr">
        <is>
          <t>regional discount, good</t>
        </is>
      </c>
    </row>
    <row r="4284" ht="12" customHeight="1" s="545">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ht="12" customHeight="1" s="54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ht="12" customHeight="1" s="545">
      <c r="B4286" t="inlineStr">
        <is>
          <t>Regional Shopping Centers</t>
        </is>
      </c>
      <c r="C4286" t="inlineStr">
        <is>
          <t>Excellent</t>
        </is>
      </c>
      <c r="D4286" t="n">
        <v>55</v>
      </c>
      <c r="E4286" t="n">
        <v>55</v>
      </c>
      <c r="F4286" t="n">
        <v>55</v>
      </c>
      <c r="G4286" t="n">
        <v>50</v>
      </c>
      <c r="I4286">
        <f>B4286&amp;"|"&amp;C4286</f>
        <v/>
      </c>
      <c r="J4286" t="inlineStr">
        <is>
          <t>regional, good and excellent</t>
        </is>
      </c>
    </row>
    <row r="4287" ht="12" customHeight="1" s="545">
      <c r="B4287" t="inlineStr">
        <is>
          <t>Regional Shopping Centers</t>
        </is>
      </c>
      <c r="C4287" t="inlineStr">
        <is>
          <t>Good</t>
        </is>
      </c>
      <c r="D4287" t="n">
        <v>55</v>
      </c>
      <c r="E4287" t="n">
        <v>55</v>
      </c>
      <c r="F4287" t="n">
        <v>55</v>
      </c>
      <c r="G4287" t="n">
        <v>50</v>
      </c>
      <c r="I4287">
        <f>B4287&amp;"|"&amp;C4287</f>
        <v/>
      </c>
      <c r="J4287" t="inlineStr">
        <is>
          <t>regional, good and excellent</t>
        </is>
      </c>
    </row>
    <row r="4288" ht="12" customHeight="1" s="545">
      <c r="B4288" t="inlineStr">
        <is>
          <t>Regional Shopping Centers</t>
        </is>
      </c>
      <c r="C4288" t="inlineStr">
        <is>
          <t>Average</t>
        </is>
      </c>
      <c r="F4288" t="n">
        <v>50</v>
      </c>
      <c r="G4288" t="n">
        <v>45</v>
      </c>
      <c r="H4288" t="n">
        <v>45</v>
      </c>
      <c r="I4288">
        <f>B4288&amp;"|"&amp;C4288</f>
        <v/>
      </c>
      <c r="J4288" t="inlineStr">
        <is>
          <t>average</t>
        </is>
      </c>
    </row>
    <row r="4289" ht="12" customHeight="1" s="545">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ht="12" customHeight="1" s="545">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ht="12" customHeight="1" s="545">
      <c r="B4291" t="inlineStr">
        <is>
          <t>Regional Shopping Center Shell Buildings</t>
        </is>
      </c>
      <c r="C4291" t="inlineStr">
        <is>
          <t>Average</t>
        </is>
      </c>
      <c r="F4291" t="n">
        <v>50</v>
      </c>
      <c r="G4291" t="n">
        <v>45</v>
      </c>
      <c r="H4291" t="n">
        <v>45</v>
      </c>
      <c r="I4291">
        <f>B4291&amp;"|"&amp;C4291</f>
        <v/>
      </c>
      <c r="J4291" t="inlineStr">
        <is>
          <t>average</t>
        </is>
      </c>
    </row>
    <row r="4292" ht="12" customHeight="1" s="545">
      <c r="B4292" t="inlineStr">
        <is>
          <t>Community Shopping Center Shell Buildings</t>
        </is>
      </c>
      <c r="C4292" t="inlineStr">
        <is>
          <t>Excellent</t>
        </is>
      </c>
      <c r="F4292" t="n">
        <v>50</v>
      </c>
      <c r="G4292" t="n">
        <v>45</v>
      </c>
      <c r="H4292" t="n">
        <v>45</v>
      </c>
      <c r="I4292">
        <f>B4292&amp;"|"&amp;C4292</f>
        <v/>
      </c>
      <c r="J4292" t="inlineStr">
        <is>
          <t>community, good and excellent</t>
        </is>
      </c>
    </row>
    <row r="4293" ht="12" customHeight="1" s="545">
      <c r="B4293" t="inlineStr">
        <is>
          <t>Community Shopping Center Shell Buildings</t>
        </is>
      </c>
      <c r="C4293" t="inlineStr">
        <is>
          <t>Good</t>
        </is>
      </c>
      <c r="F4293" t="n">
        <v>50</v>
      </c>
      <c r="G4293" t="n">
        <v>45</v>
      </c>
      <c r="H4293" t="n">
        <v>45</v>
      </c>
      <c r="I4293">
        <f>B4293&amp;"|"&amp;C4293</f>
        <v/>
      </c>
      <c r="J4293" t="inlineStr">
        <is>
          <t>community, good and excellent</t>
        </is>
      </c>
    </row>
    <row r="4294" ht="12" customHeight="1" s="545">
      <c r="B4294" t="inlineStr">
        <is>
          <t>Community Shopping Center Shell Buildings</t>
        </is>
      </c>
      <c r="C4294" t="inlineStr">
        <is>
          <t>Average</t>
        </is>
      </c>
      <c r="F4294" t="n">
        <v>45</v>
      </c>
      <c r="G4294" t="n">
        <v>40</v>
      </c>
      <c r="H4294" t="n">
        <v>40</v>
      </c>
      <c r="I4294">
        <f>B4294&amp;"|"&amp;C4294</f>
        <v/>
      </c>
      <c r="J4294" t="inlineStr">
        <is>
          <t>average</t>
        </is>
      </c>
    </row>
    <row r="4295" ht="12" customHeight="1" s="545">
      <c r="B4295" t="inlineStr">
        <is>
          <t>Neighborhood Shopping Center Shell Buildings</t>
        </is>
      </c>
      <c r="C4295" t="inlineStr">
        <is>
          <t>Good</t>
        </is>
      </c>
      <c r="F4295" t="n">
        <v>45</v>
      </c>
      <c r="G4295" t="n">
        <v>40</v>
      </c>
      <c r="I4295">
        <f>B4295&amp;"|"&amp;C4295</f>
        <v/>
      </c>
      <c r="J4295" t="inlineStr">
        <is>
          <t>Shopping centers, neighborhood, good</t>
        </is>
      </c>
    </row>
    <row r="4296" ht="12" customHeight="1" s="545">
      <c r="B4296" t="inlineStr">
        <is>
          <t>Neighborhood Shopping Center Shell Buildings</t>
        </is>
      </c>
      <c r="C4296" t="inlineStr">
        <is>
          <t>Average</t>
        </is>
      </c>
      <c r="F4296" t="n">
        <v>40</v>
      </c>
      <c r="G4296" t="n">
        <v>35</v>
      </c>
      <c r="H4296" t="n">
        <v>35</v>
      </c>
      <c r="I4296">
        <f>B4296&amp;"|"&amp;C4296</f>
        <v/>
      </c>
      <c r="J4296" t="inlineStr">
        <is>
          <t>average</t>
        </is>
      </c>
    </row>
    <row r="4297" ht="12" customHeight="1" s="545">
      <c r="B4297" t="inlineStr">
        <is>
          <t>Neighborhood Shopping Center Shell Buildings</t>
        </is>
      </c>
      <c r="C4297" t="inlineStr">
        <is>
          <t>Low Cost</t>
        </is>
      </c>
      <c r="F4297" t="n">
        <v>35</v>
      </c>
      <c r="G4297" t="n">
        <v>30</v>
      </c>
      <c r="H4297" t="n">
        <v>30</v>
      </c>
      <c r="I4297">
        <f>B4297&amp;"|"&amp;C4297</f>
        <v/>
      </c>
      <c r="J4297" t="inlineStr">
        <is>
          <t>low cost</t>
        </is>
      </c>
    </row>
    <row r="4298" ht="12" customHeight="1" s="545">
      <c r="B4298" t="inlineStr">
        <is>
          <t>Neighborhood Shopping Center Shell Buildings</t>
        </is>
      </c>
      <c r="C4298" t="inlineStr">
        <is>
          <t>Cheap</t>
        </is>
      </c>
      <c r="F4298" t="n">
        <v>35</v>
      </c>
      <c r="G4298" t="n">
        <v>30</v>
      </c>
      <c r="H4298" t="n">
        <v>30</v>
      </c>
      <c r="I4298">
        <f>B4298&amp;"|"&amp;C4298</f>
        <v/>
      </c>
      <c r="J4298" t="inlineStr">
        <is>
          <t>low cost</t>
        </is>
      </c>
    </row>
    <row r="4299" ht="12" customHeight="1" s="545">
      <c r="B4299" t="inlineStr">
        <is>
          <t>Lofts</t>
        </is>
      </c>
      <c r="C4299" t="inlineStr">
        <is>
          <t>Excellent</t>
        </is>
      </c>
      <c r="D4299" t="n">
        <v>60</v>
      </c>
      <c r="E4299" t="n">
        <v>60</v>
      </c>
      <c r="I4299">
        <f>B4299&amp;"|"&amp;C4299</f>
        <v/>
      </c>
      <c r="J4299" t="inlineStr">
        <is>
          <t>Lofts, excellent</t>
        </is>
      </c>
    </row>
    <row r="4300" ht="12" customHeight="1" s="545">
      <c r="B4300" t="inlineStr">
        <is>
          <t>Lofts</t>
        </is>
      </c>
      <c r="C4300" t="inlineStr">
        <is>
          <t>Good</t>
        </is>
      </c>
      <c r="D4300" t="n">
        <v>55</v>
      </c>
      <c r="E4300" t="n">
        <v>55</v>
      </c>
      <c r="F4300" t="n">
        <v>50</v>
      </c>
      <c r="G4300" t="n">
        <v>40</v>
      </c>
      <c r="H4300" t="n">
        <v>40</v>
      </c>
      <c r="I4300">
        <f>B4300&amp;"|"&amp;C4300</f>
        <v/>
      </c>
      <c r="J4300" t="inlineStr">
        <is>
          <t>average and good</t>
        </is>
      </c>
    </row>
    <row r="4301" ht="12" customHeight="1" s="545">
      <c r="B4301" t="inlineStr">
        <is>
          <t>Lofts</t>
        </is>
      </c>
      <c r="C4301" t="inlineStr">
        <is>
          <t>Average</t>
        </is>
      </c>
      <c r="D4301" t="n">
        <v>55</v>
      </c>
      <c r="E4301" t="n">
        <v>55</v>
      </c>
      <c r="F4301" t="n">
        <v>50</v>
      </c>
      <c r="G4301" t="n">
        <v>40</v>
      </c>
      <c r="H4301" t="n">
        <v>40</v>
      </c>
      <c r="I4301">
        <f>B4301&amp;"|"&amp;C4301</f>
        <v/>
      </c>
      <c r="J4301" t="inlineStr">
        <is>
          <t>average and good</t>
        </is>
      </c>
    </row>
    <row r="4302" ht="12" customHeight="1" s="545">
      <c r="B4302" t="inlineStr">
        <is>
          <t>Lofts</t>
        </is>
      </c>
      <c r="C4302" t="inlineStr">
        <is>
          <t>Low Cost</t>
        </is>
      </c>
      <c r="D4302" t="n">
        <v>50</v>
      </c>
      <c r="E4302" t="n">
        <v>50</v>
      </c>
      <c r="F4302" t="n">
        <v>40</v>
      </c>
      <c r="G4302" t="n">
        <v>35</v>
      </c>
      <c r="I4302">
        <f>B4302&amp;"|"&amp;C4302</f>
        <v/>
      </c>
      <c r="J4302" t="inlineStr">
        <is>
          <t>low cost</t>
        </is>
      </c>
    </row>
    <row r="4303" ht="12" customHeight="1" s="545">
      <c r="B4303" t="inlineStr">
        <is>
          <t>Industrial Flex (Mall) Buildings</t>
        </is>
      </c>
      <c r="C4303" t="inlineStr">
        <is>
          <t>Good</t>
        </is>
      </c>
      <c r="F4303" t="n">
        <v>50</v>
      </c>
      <c r="G4303" t="n">
        <v>40</v>
      </c>
      <c r="H4303" t="n">
        <v>40</v>
      </c>
      <c r="I4303">
        <f>B4303&amp;"|"&amp;C4303</f>
        <v/>
      </c>
      <c r="J4303" t="inlineStr">
        <is>
          <t>Industrial flex-mall buildings, average and good</t>
        </is>
      </c>
    </row>
    <row r="4304" ht="12" customHeight="1" s="545">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ht="12" customHeight="1" s="545">
      <c r="B4305" t="inlineStr">
        <is>
          <t>Industrial Flex (Mall) Buildings</t>
        </is>
      </c>
      <c r="C4305" t="inlineStr">
        <is>
          <t>Low Cost</t>
        </is>
      </c>
      <c r="F4305" t="n">
        <v>40</v>
      </c>
      <c r="G4305" t="n">
        <v>35</v>
      </c>
      <c r="H4305" t="n">
        <v>35</v>
      </c>
      <c r="I4305">
        <f>B4305&amp;"|"&amp;C4305</f>
        <v/>
      </c>
      <c r="J4305" t="inlineStr">
        <is>
          <t>low cost</t>
        </is>
      </c>
    </row>
    <row r="4306" ht="12" customHeight="1" s="545">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ht="12" customHeight="1" s="545">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ht="12" customHeight="1" s="545">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ht="12" customHeight="1" s="545">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ht="12" customHeight="1" s="545">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ht="12" customHeight="1" s="545">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ht="12" customHeight="1" s="545">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ht="12" customHeight="1" s="545">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ht="12" customHeight="1" s="545">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ht="12" customHeight="1" s="54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ht="12" customHeight="1" s="545">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ht="12" customHeight="1" s="545">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ht="12" customHeight="1" s="545">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ht="12" customHeight="1" s="545">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ht="12" customHeight="1" s="545">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ht="12" customHeight="1" s="545">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ht="12" customHeight="1" s="545">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ht="12" customHeight="1" s="545">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ht="12" customHeight="1" s="545">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ht="12" customHeight="1" s="54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ht="12" customHeight="1" s="545">
      <c r="B4326" t="inlineStr">
        <is>
          <t>Broadcasting Facilities</t>
        </is>
      </c>
      <c r="C4326" t="inlineStr">
        <is>
          <t>Average</t>
        </is>
      </c>
      <c r="D4326" t="n">
        <v>50</v>
      </c>
      <c r="E4326" t="n">
        <v>50</v>
      </c>
      <c r="F4326" t="n">
        <v>45</v>
      </c>
      <c r="G4326" t="n">
        <v>40</v>
      </c>
      <c r="H4326" t="n">
        <v>40</v>
      </c>
      <c r="I4326">
        <f>B4326&amp;"|"&amp;C4326</f>
        <v/>
      </c>
      <c r="J4326" t="inlineStr">
        <is>
          <t>average</t>
        </is>
      </c>
    </row>
    <row r="4327" ht="12" customHeight="1" s="545">
      <c r="B4327" t="inlineStr">
        <is>
          <t>Broadcasting Facilities</t>
        </is>
      </c>
      <c r="C4327" t="inlineStr">
        <is>
          <t>Low Cost</t>
        </is>
      </c>
      <c r="D4327" t="n">
        <v>45</v>
      </c>
      <c r="E4327" t="n">
        <v>45</v>
      </c>
      <c r="F4327" t="n">
        <v>40</v>
      </c>
      <c r="G4327" t="n">
        <v>35</v>
      </c>
      <c r="H4327" t="n">
        <v>35</v>
      </c>
      <c r="I4327">
        <f>B4327&amp;"|"&amp;C4327</f>
        <v/>
      </c>
      <c r="J4327" t="inlineStr">
        <is>
          <t>low cost</t>
        </is>
      </c>
    </row>
    <row r="4328" ht="12" customHeight="1" s="545">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ht="12" customHeight="1" s="545">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ht="12" customHeight="1" s="545">
      <c r="B4330" t="inlineStr">
        <is>
          <t>Passenger Terminals</t>
        </is>
      </c>
      <c r="C4330" t="inlineStr">
        <is>
          <t>Good</t>
        </is>
      </c>
      <c r="D4330" t="n">
        <v>40</v>
      </c>
      <c r="E4330" t="n">
        <v>40</v>
      </c>
      <c r="F4330" t="n">
        <v>35</v>
      </c>
      <c r="G4330" t="n">
        <v>35</v>
      </c>
      <c r="H4330" t="n">
        <v>35</v>
      </c>
      <c r="I4330">
        <f>B4330&amp;"|"&amp;C4330</f>
        <v/>
      </c>
      <c r="J4330" t="inlineStr">
        <is>
          <t>average and good</t>
        </is>
      </c>
    </row>
    <row r="4331" ht="12" customHeight="1" s="545">
      <c r="B4331" t="inlineStr">
        <is>
          <t>Passenger Terminals</t>
        </is>
      </c>
      <c r="C4331" t="inlineStr">
        <is>
          <t>Average</t>
        </is>
      </c>
      <c r="D4331" t="n">
        <v>40</v>
      </c>
      <c r="E4331" t="n">
        <v>40</v>
      </c>
      <c r="F4331" t="n">
        <v>35</v>
      </c>
      <c r="G4331" t="n">
        <v>35</v>
      </c>
      <c r="H4331" t="n">
        <v>35</v>
      </c>
      <c r="I4331">
        <f>B4331&amp;"|"&amp;C4331</f>
        <v/>
      </c>
      <c r="J4331" t="inlineStr">
        <is>
          <t>average and good</t>
        </is>
      </c>
    </row>
    <row r="4332" ht="12" customHeight="1" s="545">
      <c r="B4332" t="inlineStr">
        <is>
          <t>Passenger Terminals</t>
        </is>
      </c>
      <c r="C4332" t="inlineStr">
        <is>
          <t>Low Cost</t>
        </is>
      </c>
      <c r="D4332" t="n">
        <v>35</v>
      </c>
      <c r="E4332" t="n">
        <v>35</v>
      </c>
      <c r="F4332" t="n">
        <v>30</v>
      </c>
      <c r="G4332" t="n">
        <v>30</v>
      </c>
      <c r="H4332" t="n">
        <v>30</v>
      </c>
      <c r="I4332">
        <f>B4332&amp;"|"&amp;C4332</f>
        <v/>
      </c>
      <c r="J4332" t="inlineStr">
        <is>
          <t>low cost and fair</t>
        </is>
      </c>
    </row>
    <row r="4333" ht="12" customHeight="1" s="545">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ht="12" customHeight="1" s="545">
      <c r="B4334" t="inlineStr">
        <is>
          <t>Passenger Terminals</t>
        </is>
      </c>
      <c r="C4334" t="inlineStr">
        <is>
          <t>Fair</t>
        </is>
      </c>
      <c r="D4334" t="n">
        <v>35</v>
      </c>
      <c r="E4334" t="n">
        <v>35</v>
      </c>
      <c r="F4334" t="n">
        <v>30</v>
      </c>
      <c r="G4334" t="n">
        <v>30</v>
      </c>
      <c r="H4334" t="n">
        <v>30</v>
      </c>
      <c r="I4334">
        <f>B4334&amp;"|"&amp;C4334</f>
        <v/>
      </c>
      <c r="J4334" t="inlineStr">
        <is>
          <t>low cost and fair</t>
        </is>
      </c>
    </row>
    <row r="4335" ht="12" customHeight="1" s="54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ht="12" customHeight="1" s="545">
      <c r="B4336" t="inlineStr">
        <is>
          <t>Main Post Offices</t>
        </is>
      </c>
      <c r="C4336" t="inlineStr">
        <is>
          <t>Average</t>
        </is>
      </c>
      <c r="D4336" t="n">
        <v>55</v>
      </c>
      <c r="E4336" t="n">
        <v>55</v>
      </c>
      <c r="F4336" t="n">
        <v>50</v>
      </c>
      <c r="G4336" t="n">
        <v>45</v>
      </c>
      <c r="H4336" t="n">
        <v>45</v>
      </c>
      <c r="I4336">
        <f>B4336&amp;"|"&amp;C4336</f>
        <v/>
      </c>
      <c r="J4336" t="inlineStr">
        <is>
          <t>low cost and average</t>
        </is>
      </c>
    </row>
    <row r="4337" ht="12" customHeight="1" s="545">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ht="12" customHeight="1" s="545">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ht="12" customHeight="1" s="545">
      <c r="B4339" t="inlineStr">
        <is>
          <t>Mail - Processing Facilities</t>
        </is>
      </c>
      <c r="C4339" t="inlineStr">
        <is>
          <t>Average</t>
        </is>
      </c>
      <c r="D4339" t="n">
        <v>50</v>
      </c>
      <c r="E4339" t="n">
        <v>50</v>
      </c>
      <c r="F4339" t="n">
        <v>45</v>
      </c>
      <c r="H4339" t="n">
        <v>40</v>
      </c>
      <c r="I4339">
        <f>B4339&amp;"|"&amp;C4339</f>
        <v/>
      </c>
      <c r="J4339" t="inlineStr">
        <is>
          <t>average</t>
        </is>
      </c>
    </row>
    <row r="4340" ht="12" customHeight="1" s="545">
      <c r="B4340" t="inlineStr">
        <is>
          <t>Mail - Processing Facilities</t>
        </is>
      </c>
      <c r="C4340" t="inlineStr">
        <is>
          <t>Good</t>
        </is>
      </c>
      <c r="F4340" t="n">
        <v>50</v>
      </c>
      <c r="H4340" t="n">
        <v>45</v>
      </c>
      <c r="I4340">
        <f>B4340&amp;"|"&amp;C4340</f>
        <v/>
      </c>
      <c r="J4340" t="inlineStr">
        <is>
          <t>mail processing facilities, good</t>
        </is>
      </c>
    </row>
    <row r="4341" ht="12" customHeight="1" s="545">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ht="12" customHeight="1" s="545">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ht="12" customHeight="1" s="545">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ht="12" customHeight="1" s="545">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ht="12" customHeight="1" s="545">
      <c r="B4345" t="inlineStr">
        <is>
          <t>Armories</t>
        </is>
      </c>
      <c r="C4345" t="inlineStr">
        <is>
          <t>Excellent</t>
        </is>
      </c>
      <c r="F4345" t="n">
        <v>55</v>
      </c>
      <c r="G4345" t="n">
        <v>50</v>
      </c>
      <c r="I4345">
        <f>B4345&amp;"|"&amp;C4345</f>
        <v/>
      </c>
      <c r="J4345" t="inlineStr">
        <is>
          <t>Armories, good and excellent</t>
        </is>
      </c>
    </row>
    <row r="4346" ht="12" customHeight="1" s="545">
      <c r="B4346" t="inlineStr">
        <is>
          <t>Armories</t>
        </is>
      </c>
      <c r="C4346" t="inlineStr">
        <is>
          <t>Good</t>
        </is>
      </c>
      <c r="F4346" t="n">
        <v>55</v>
      </c>
      <c r="G4346" t="n">
        <v>50</v>
      </c>
      <c r="I4346">
        <f>B4346&amp;"|"&amp;C4346</f>
        <v/>
      </c>
      <c r="J4346" t="inlineStr">
        <is>
          <t>Armories, good and excellent</t>
        </is>
      </c>
    </row>
    <row r="4347" ht="12" customHeight="1" s="545">
      <c r="B4347" t="inlineStr">
        <is>
          <t>Armories</t>
        </is>
      </c>
      <c r="C4347" t="inlineStr">
        <is>
          <t>Average</t>
        </is>
      </c>
      <c r="F4347" t="n">
        <v>50</v>
      </c>
      <c r="G4347" t="n">
        <v>40</v>
      </c>
      <c r="H4347" t="n">
        <v>40</v>
      </c>
      <c r="I4347">
        <f>B4347&amp;"|"&amp;C4347</f>
        <v/>
      </c>
      <c r="J4347" t="inlineStr">
        <is>
          <t>average</t>
        </is>
      </c>
    </row>
    <row r="4348" ht="12" customHeight="1" s="545">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ht="12" customHeight="1" s="545">
      <c r="B4349" t="inlineStr">
        <is>
          <t>Distribution Warehouses</t>
        </is>
      </c>
      <c r="C4349" t="inlineStr">
        <is>
          <t>Average</t>
        </is>
      </c>
      <c r="D4349" t="n">
        <v>50</v>
      </c>
      <c r="E4349" t="n">
        <v>50</v>
      </c>
      <c r="F4349" t="n">
        <v>45</v>
      </c>
      <c r="G4349" t="n">
        <v>40</v>
      </c>
      <c r="H4349" t="n">
        <v>40</v>
      </c>
      <c r="I4349">
        <f>B4349&amp;"|"&amp;C4349</f>
        <v/>
      </c>
      <c r="J4349" t="inlineStr">
        <is>
          <t>average</t>
        </is>
      </c>
    </row>
    <row r="4350" ht="12" customHeight="1" s="545">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ht="12" customHeight="1" s="545">
      <c r="B4351" t="inlineStr">
        <is>
          <t>Distribution Warehouses</t>
        </is>
      </c>
      <c r="C4351" t="inlineStr">
        <is>
          <t>Low Cost</t>
        </is>
      </c>
      <c r="F4351" t="n">
        <v>40</v>
      </c>
      <c r="G4351" t="n">
        <v>35</v>
      </c>
      <c r="H4351" t="n">
        <v>35</v>
      </c>
      <c r="I4351">
        <f>B4351&amp;"|"&amp;C4351</f>
        <v/>
      </c>
      <c r="J4351" t="inlineStr">
        <is>
          <t>low cost</t>
        </is>
      </c>
    </row>
    <row r="4352" ht="12" customHeight="1" s="545">
      <c r="B4352" t="inlineStr">
        <is>
          <t>Transit Warehouses</t>
        </is>
      </c>
      <c r="C4352" t="inlineStr">
        <is>
          <t>Good</t>
        </is>
      </c>
      <c r="F4352" t="n">
        <v>45</v>
      </c>
      <c r="G4352" t="n">
        <v>40</v>
      </c>
      <c r="H4352" t="n">
        <v>40</v>
      </c>
      <c r="I4352">
        <f>B4352&amp;"|"&amp;C4352</f>
        <v/>
      </c>
      <c r="J4352" t="inlineStr">
        <is>
          <t>Transit warehouses, average and good</t>
        </is>
      </c>
    </row>
    <row r="4353" ht="12" customHeight="1" s="545">
      <c r="B4353" t="inlineStr">
        <is>
          <t>Transit Warehouses</t>
        </is>
      </c>
      <c r="C4353" t="inlineStr">
        <is>
          <t>Average</t>
        </is>
      </c>
      <c r="F4353" t="n">
        <v>45</v>
      </c>
      <c r="G4353" t="n">
        <v>40</v>
      </c>
      <c r="H4353" t="n">
        <v>40</v>
      </c>
      <c r="I4353">
        <f>B4353&amp;"|"&amp;C4353</f>
        <v/>
      </c>
      <c r="J4353" t="inlineStr">
        <is>
          <t>Transit warehouses, average and good</t>
        </is>
      </c>
    </row>
    <row r="4354" ht="12" customHeight="1" s="545">
      <c r="B4354" t="inlineStr">
        <is>
          <t>Cold Storage Facilities</t>
        </is>
      </c>
      <c r="C4354" t="inlineStr">
        <is>
          <t>Good</t>
        </is>
      </c>
      <c r="D4354" t="n">
        <v>50</v>
      </c>
      <c r="E4354" t="n">
        <v>50</v>
      </c>
      <c r="F4354" t="n">
        <v>45</v>
      </c>
      <c r="G4354" t="n">
        <v>40</v>
      </c>
      <c r="H4354" t="n">
        <v>40</v>
      </c>
      <c r="I4354">
        <f>B4354&amp;"|"&amp;C4354</f>
        <v/>
      </c>
      <c r="J4354" t="inlineStr">
        <is>
          <t>average and good</t>
        </is>
      </c>
    </row>
    <row r="4355" ht="12" customHeight="1" s="54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ht="12" customHeight="1" s="545">
      <c r="B4356" t="inlineStr">
        <is>
          <t>Cold Storage Facilities</t>
        </is>
      </c>
      <c r="C4356" t="inlineStr">
        <is>
          <t>Excellent</t>
        </is>
      </c>
      <c r="F4356" t="n">
        <v>50</v>
      </c>
      <c r="H4356" t="n">
        <v>45</v>
      </c>
      <c r="I4356">
        <f>B4356&amp;"|"&amp;C4356</f>
        <v/>
      </c>
      <c r="J4356" t="inlineStr">
        <is>
          <t>Cold storage facilities, excellent</t>
        </is>
      </c>
    </row>
    <row r="4357" ht="12" customHeight="1" s="545">
      <c r="B4357" t="inlineStr">
        <is>
          <t>Cold Storage Facilities</t>
        </is>
      </c>
      <c r="C4357" t="inlineStr">
        <is>
          <t>Fair</t>
        </is>
      </c>
      <c r="F4357" t="n">
        <v>40</v>
      </c>
      <c r="G4357" t="n">
        <v>35</v>
      </c>
      <c r="H4357" t="n">
        <v>35</v>
      </c>
      <c r="I4357">
        <f>B4357&amp;"|"&amp;C4357</f>
        <v/>
      </c>
      <c r="J4357" t="inlineStr">
        <is>
          <t>low cost and fair</t>
        </is>
      </c>
    </row>
    <row r="4358" ht="12" customHeight="1" s="545">
      <c r="B4358" t="inlineStr">
        <is>
          <t>Cold Storage Facilities</t>
        </is>
      </c>
      <c r="C4358" t="inlineStr">
        <is>
          <t>Low Cost</t>
        </is>
      </c>
      <c r="F4358" t="n">
        <v>40</v>
      </c>
      <c r="G4358" t="n">
        <v>35</v>
      </c>
      <c r="H4358" t="n">
        <v>35</v>
      </c>
      <c r="I4358">
        <f>B4358&amp;"|"&amp;C4358</f>
        <v/>
      </c>
      <c r="J4358" t="inlineStr">
        <is>
          <t>low cost and fair</t>
        </is>
      </c>
    </row>
    <row r="4359" ht="12" customHeight="1" s="545">
      <c r="B4359" t="inlineStr">
        <is>
          <t>Creameries</t>
        </is>
      </c>
      <c r="C4359" t="inlineStr">
        <is>
          <t>Average</t>
        </is>
      </c>
      <c r="D4359" t="n">
        <v>45</v>
      </c>
      <c r="E4359" t="n">
        <v>45</v>
      </c>
      <c r="F4359" t="n">
        <v>35</v>
      </c>
      <c r="G4359" t="n">
        <v>30</v>
      </c>
      <c r="H4359" t="n">
        <v>30</v>
      </c>
      <c r="I4359">
        <f>B4359&amp;"|"&amp;C4359</f>
        <v/>
      </c>
      <c r="J4359" t="inlineStr">
        <is>
          <t>average</t>
        </is>
      </c>
    </row>
    <row r="4360" ht="12" customHeight="1" s="545">
      <c r="B4360" t="inlineStr">
        <is>
          <t>Creameries</t>
        </is>
      </c>
      <c r="C4360" t="inlineStr">
        <is>
          <t>Good</t>
        </is>
      </c>
      <c r="F4360" t="n">
        <v>45</v>
      </c>
      <c r="G4360" t="n">
        <v>45</v>
      </c>
      <c r="H4360" t="n">
        <v>45</v>
      </c>
      <c r="I4360">
        <f>B4360&amp;"|"&amp;C4360</f>
        <v/>
      </c>
      <c r="J4360" t="inlineStr">
        <is>
          <t>Creameries, good</t>
        </is>
      </c>
    </row>
    <row r="4361" ht="12" customHeight="1" s="545">
      <c r="B4361" t="inlineStr">
        <is>
          <t>Creameries</t>
        </is>
      </c>
      <c r="C4361" t="inlineStr">
        <is>
          <t>Low Cost</t>
        </is>
      </c>
      <c r="F4361" t="n">
        <v>25</v>
      </c>
      <c r="G4361" t="n">
        <v>20</v>
      </c>
      <c r="H4361" t="n">
        <v>20</v>
      </c>
      <c r="I4361">
        <f>B4361&amp;"|"&amp;C4361</f>
        <v/>
      </c>
      <c r="J4361" t="inlineStr">
        <is>
          <t>low cost</t>
        </is>
      </c>
    </row>
    <row r="4362" ht="12" customHeight="1" s="545">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ht="12" customHeight="1" s="545">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ht="12" customHeight="1" s="545">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ht="12" customHeight="1" s="54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ht="12" customHeight="1" s="545">
      <c r="B4366" t="inlineStr">
        <is>
          <t>Storage Warehouses</t>
        </is>
      </c>
      <c r="C4366" t="inlineStr">
        <is>
          <t>Good</t>
        </is>
      </c>
      <c r="D4366" t="n">
        <v>50</v>
      </c>
      <c r="E4366" t="n">
        <v>50</v>
      </c>
      <c r="F4366" t="n">
        <v>45</v>
      </c>
      <c r="G4366" t="n">
        <v>40</v>
      </c>
      <c r="H4366" t="n">
        <v>40</v>
      </c>
      <c r="I4366">
        <f>B4366&amp;"|"&amp;C4366</f>
        <v/>
      </c>
      <c r="J4366" t="inlineStr">
        <is>
          <t>average and good</t>
        </is>
      </c>
    </row>
    <row r="4367" ht="12" customHeight="1" s="545">
      <c r="B4367" t="inlineStr">
        <is>
          <t>Storage Warehouses</t>
        </is>
      </c>
      <c r="C4367" t="inlineStr">
        <is>
          <t>Average</t>
        </is>
      </c>
      <c r="D4367" t="n">
        <v>50</v>
      </c>
      <c r="E4367" t="n">
        <v>50</v>
      </c>
      <c r="F4367" t="n">
        <v>45</v>
      </c>
      <c r="G4367" t="n">
        <v>40</v>
      </c>
      <c r="H4367" t="n">
        <v>40</v>
      </c>
      <c r="I4367">
        <f>B4367&amp;"|"&amp;C4367</f>
        <v/>
      </c>
      <c r="J4367" t="inlineStr">
        <is>
          <t>average and good</t>
        </is>
      </c>
    </row>
    <row r="4368" ht="12" customHeight="1" s="545">
      <c r="B4368" t="inlineStr">
        <is>
          <t>Storage Warehouses</t>
        </is>
      </c>
      <c r="C4368" t="inlineStr">
        <is>
          <t>Low Cost</t>
        </is>
      </c>
      <c r="D4368" t="n">
        <v>45</v>
      </c>
      <c r="E4368" t="n">
        <v>45</v>
      </c>
      <c r="F4368" t="n">
        <v>40</v>
      </c>
      <c r="G4368" t="n">
        <v>35</v>
      </c>
      <c r="H4368" t="n">
        <v>35</v>
      </c>
      <c r="I4368">
        <f>B4368&amp;"|"&amp;C4368</f>
        <v/>
      </c>
      <c r="J4368" t="inlineStr">
        <is>
          <t>cheap and low cost</t>
        </is>
      </c>
    </row>
    <row r="4369" ht="12" customHeight="1" s="545">
      <c r="B4369" t="inlineStr">
        <is>
          <t>Storage Warehouses</t>
        </is>
      </c>
      <c r="C4369" t="inlineStr">
        <is>
          <t>Excellent</t>
        </is>
      </c>
      <c r="F4369" t="n">
        <v>50</v>
      </c>
      <c r="H4369" t="n">
        <v>45</v>
      </c>
      <c r="I4369">
        <f>B4369&amp;"|"&amp;C4369</f>
        <v/>
      </c>
      <c r="J4369" t="inlineStr">
        <is>
          <t>Storage and mega storage, excellent</t>
        </is>
      </c>
    </row>
    <row r="4370" ht="12" customHeight="1" s="545">
      <c r="B4370" t="inlineStr">
        <is>
          <t>Mini-Warehouses / Self-Storage</t>
        </is>
      </c>
      <c r="C4370" t="inlineStr">
        <is>
          <t>Good</t>
        </is>
      </c>
      <c r="F4370" t="n">
        <v>45</v>
      </c>
      <c r="G4370" t="n">
        <v>40</v>
      </c>
      <c r="H4370" t="n">
        <v>40</v>
      </c>
      <c r="I4370">
        <f>B4370&amp;"|"&amp;C4370</f>
        <v/>
      </c>
      <c r="J4370" t="inlineStr">
        <is>
          <t>Mini-warehouses, low and high rise, good</t>
        </is>
      </c>
    </row>
    <row r="4371" ht="12" customHeight="1" s="545">
      <c r="B4371" t="inlineStr">
        <is>
          <t>Mini-Warehouses / Self-Storage</t>
        </is>
      </c>
      <c r="C4371" t="inlineStr">
        <is>
          <t>Average</t>
        </is>
      </c>
      <c r="D4371" t="n">
        <v>45</v>
      </c>
      <c r="E4371" t="n">
        <v>45</v>
      </c>
      <c r="F4371" t="n">
        <v>40</v>
      </c>
      <c r="G4371" t="n">
        <v>35</v>
      </c>
      <c r="H4371" t="n">
        <v>35</v>
      </c>
      <c r="I4371">
        <f>B4371&amp;"|"&amp;C4371</f>
        <v/>
      </c>
      <c r="J4371" t="inlineStr">
        <is>
          <t>average</t>
        </is>
      </c>
    </row>
    <row r="4372" ht="12" customHeight="1" s="545">
      <c r="B4372" t="inlineStr">
        <is>
          <t>Mini-Warehouses / Self-Storage</t>
        </is>
      </c>
      <c r="C4372" t="inlineStr">
        <is>
          <t>Low Cost</t>
        </is>
      </c>
      <c r="F4372" t="n">
        <v>35</v>
      </c>
      <c r="G4372" t="n">
        <v>30</v>
      </c>
      <c r="H4372" t="n">
        <v>30</v>
      </c>
      <c r="I4372">
        <f>B4372&amp;"|"&amp;C4372</f>
        <v/>
      </c>
      <c r="J4372" t="inlineStr">
        <is>
          <t>low cost</t>
        </is>
      </c>
    </row>
    <row r="4373" ht="12" customHeight="1" s="545">
      <c r="B4373" t="inlineStr">
        <is>
          <t>Mini-Warehouses / Self-Storage</t>
        </is>
      </c>
      <c r="C4373" t="inlineStr">
        <is>
          <t>Cheap</t>
        </is>
      </c>
      <c r="F4373" t="n">
        <v>35</v>
      </c>
      <c r="G4373" t="n">
        <v>30</v>
      </c>
      <c r="H4373" t="n">
        <v>30</v>
      </c>
      <c r="I4373">
        <f>B4373&amp;"|"&amp;C4373</f>
        <v/>
      </c>
      <c r="J4373" t="inlineStr">
        <is>
          <t>low cost</t>
        </is>
      </c>
    </row>
    <row r="4374" ht="12" customHeight="1" s="545">
      <c r="B4374" t="inlineStr">
        <is>
          <t>Mini-Warehouses, High-Rise</t>
        </is>
      </c>
      <c r="C4374" t="inlineStr">
        <is>
          <t>Average</t>
        </is>
      </c>
      <c r="D4374" t="n">
        <v>45</v>
      </c>
      <c r="E4374" t="n">
        <v>45</v>
      </c>
      <c r="F4374" t="n">
        <v>40</v>
      </c>
      <c r="G4374" t="n">
        <v>35</v>
      </c>
      <c r="H4374" t="n">
        <v>35</v>
      </c>
      <c r="I4374">
        <f>B4374&amp;"|"&amp;C4374</f>
        <v/>
      </c>
      <c r="J4374" t="inlineStr">
        <is>
          <t>average</t>
        </is>
      </c>
    </row>
    <row r="4375" ht="12" customHeight="1" s="545">
      <c r="B4375" t="inlineStr">
        <is>
          <t>Mini-Warehouses, High-Rise</t>
        </is>
      </c>
      <c r="C4375" t="inlineStr">
        <is>
          <t>Good</t>
        </is>
      </c>
      <c r="F4375" t="n">
        <v>45</v>
      </c>
      <c r="G4375" t="n">
        <v>40</v>
      </c>
      <c r="H4375" t="n">
        <v>40</v>
      </c>
      <c r="I4375">
        <f>B4375&amp;"|"&amp;C4375</f>
        <v/>
      </c>
      <c r="J4375" t="inlineStr">
        <is>
          <t>Mini-warehouses, low and high rise, good</t>
        </is>
      </c>
    </row>
    <row r="4376" ht="12" customHeight="1" s="545">
      <c r="B4376" t="inlineStr">
        <is>
          <t>Maintenance Hangars</t>
        </is>
      </c>
      <c r="C4376" t="inlineStr">
        <is>
          <t>Excellent</t>
        </is>
      </c>
      <c r="F4376" t="n">
        <v>45</v>
      </c>
      <c r="H4376" t="n">
        <v>40</v>
      </c>
      <c r="I4376">
        <f>B4376&amp;"|"&amp;C4376</f>
        <v/>
      </c>
      <c r="J4376" t="inlineStr">
        <is>
          <t>Hangars, maintenance, excellent</t>
        </is>
      </c>
    </row>
    <row r="4377" ht="12" customHeight="1" s="545">
      <c r="B4377" t="inlineStr">
        <is>
          <t>Maintenance Hangars</t>
        </is>
      </c>
      <c r="C4377" t="inlineStr">
        <is>
          <t>Good</t>
        </is>
      </c>
      <c r="F4377" t="n">
        <v>40</v>
      </c>
      <c r="H4377" t="n">
        <v>40</v>
      </c>
      <c r="I4377">
        <f>B4377&amp;"|"&amp;C4377</f>
        <v/>
      </c>
      <c r="J4377" t="inlineStr">
        <is>
          <t>good</t>
        </is>
      </c>
    </row>
    <row r="4378" ht="12" customHeight="1" s="545">
      <c r="B4378" t="inlineStr">
        <is>
          <t>Maintenance Hangars</t>
        </is>
      </c>
      <c r="C4378" t="inlineStr">
        <is>
          <t>Average</t>
        </is>
      </c>
      <c r="F4378" t="n">
        <v>40</v>
      </c>
      <c r="G4378" t="n">
        <v>35</v>
      </c>
      <c r="H4378" t="n">
        <v>35</v>
      </c>
      <c r="I4378">
        <f>B4378&amp;"|"&amp;C4378</f>
        <v/>
      </c>
      <c r="J4378" t="inlineStr">
        <is>
          <t>average</t>
        </is>
      </c>
    </row>
    <row r="4379" ht="12" customHeight="1" s="545">
      <c r="B4379" t="inlineStr">
        <is>
          <t>Maintenance Hangars</t>
        </is>
      </c>
      <c r="C4379" t="inlineStr">
        <is>
          <t>Low Cost</t>
        </is>
      </c>
      <c r="F4379" t="n">
        <v>35</v>
      </c>
      <c r="G4379" t="n">
        <v>30</v>
      </c>
      <c r="H4379" t="n">
        <v>30</v>
      </c>
      <c r="I4379">
        <f>B4379&amp;"|"&amp;C4379</f>
        <v/>
      </c>
      <c r="J4379" t="inlineStr">
        <is>
          <t>low cost</t>
        </is>
      </c>
    </row>
    <row r="4380" ht="12" customHeight="1" s="545">
      <c r="B4380" t="inlineStr">
        <is>
          <t>Storage Hangars</t>
        </is>
      </c>
      <c r="C4380" t="inlineStr">
        <is>
          <t>Excellent</t>
        </is>
      </c>
      <c r="F4380" t="n">
        <v>40</v>
      </c>
      <c r="H4380" t="n">
        <v>40</v>
      </c>
      <c r="I4380">
        <f>B4380&amp;"|"&amp;C4380</f>
        <v/>
      </c>
      <c r="J4380" t="inlineStr">
        <is>
          <t>Storage, excellent</t>
        </is>
      </c>
    </row>
    <row r="4381" ht="12" customHeight="1" s="545">
      <c r="B4381" t="inlineStr">
        <is>
          <t>Storage Hangars</t>
        </is>
      </c>
      <c r="C4381" t="inlineStr">
        <is>
          <t>Good</t>
        </is>
      </c>
      <c r="F4381" t="n">
        <v>40</v>
      </c>
      <c r="H4381" t="n">
        <v>35</v>
      </c>
      <c r="I4381">
        <f>B4381&amp;"|"&amp;C4381</f>
        <v/>
      </c>
      <c r="J4381" t="inlineStr">
        <is>
          <t>good</t>
        </is>
      </c>
    </row>
    <row r="4382" ht="12" customHeight="1" s="545">
      <c r="B4382" t="inlineStr">
        <is>
          <t>Storage Hangars</t>
        </is>
      </c>
      <c r="C4382" t="inlineStr">
        <is>
          <t>Average</t>
        </is>
      </c>
      <c r="F4382" t="n">
        <v>35</v>
      </c>
      <c r="G4382" t="n">
        <v>30</v>
      </c>
      <c r="H4382" t="n">
        <v>30</v>
      </c>
      <c r="I4382">
        <f>B4382&amp;"|"&amp;C4382</f>
        <v/>
      </c>
      <c r="J4382" t="inlineStr">
        <is>
          <t>average</t>
        </is>
      </c>
    </row>
    <row r="4383" ht="12" customHeight="1" s="545">
      <c r="B4383" t="inlineStr">
        <is>
          <t>Storage Hangars</t>
        </is>
      </c>
      <c r="C4383" t="inlineStr">
        <is>
          <t>Low Cost</t>
        </is>
      </c>
      <c r="F4383" t="n">
        <v>30</v>
      </c>
      <c r="G4383" t="n">
        <v>30</v>
      </c>
      <c r="H4383" t="n">
        <v>30</v>
      </c>
      <c r="I4383">
        <f>B4383&amp;"|"&amp;C4383</f>
        <v/>
      </c>
      <c r="J4383" t="inlineStr">
        <is>
          <t>low cost</t>
        </is>
      </c>
    </row>
    <row r="4384" ht="12" customHeight="1" s="545">
      <c r="B4384" t="inlineStr">
        <is>
          <t>Storage Hangars</t>
        </is>
      </c>
      <c r="C4384" t="inlineStr">
        <is>
          <t>Cheap</t>
        </is>
      </c>
      <c r="G4384" t="n">
        <v>20</v>
      </c>
      <c r="H4384" t="n">
        <v>20</v>
      </c>
      <c r="I4384">
        <f>B4384&amp;"|"&amp;C4384</f>
        <v/>
      </c>
      <c r="J4384" t="inlineStr">
        <is>
          <t>cheap</t>
        </is>
      </c>
    </row>
    <row r="4385" ht="12" customHeight="1" s="545">
      <c r="B4385" t="inlineStr">
        <is>
          <t>T-Hangars</t>
        </is>
      </c>
      <c r="C4385" t="inlineStr">
        <is>
          <t>Average</t>
        </is>
      </c>
      <c r="F4385" t="n">
        <v>30</v>
      </c>
      <c r="H4385" t="n">
        <v>30</v>
      </c>
      <c r="I4385">
        <f>B4385&amp;"|"&amp;C4385</f>
        <v/>
      </c>
      <c r="J4385" t="inlineStr">
        <is>
          <t>T-hangars, average</t>
        </is>
      </c>
    </row>
    <row r="4386" ht="12" customHeight="1" s="545">
      <c r="B4386" t="inlineStr">
        <is>
          <t>T-Hangars</t>
        </is>
      </c>
      <c r="C4386" t="inlineStr">
        <is>
          <t>Low Cost</t>
        </is>
      </c>
      <c r="G4386" t="n">
        <v>20</v>
      </c>
      <c r="H4386" t="n">
        <v>20</v>
      </c>
      <c r="I4386">
        <f>B4386&amp;"|"&amp;C4386</f>
        <v/>
      </c>
      <c r="J4386" t="inlineStr">
        <is>
          <t>low cost</t>
        </is>
      </c>
    </row>
    <row r="4387" ht="12" customHeight="1" s="545">
      <c r="B4387" t="inlineStr">
        <is>
          <t>Complete Auto Dealerships</t>
        </is>
      </c>
      <c r="C4387" t="inlineStr">
        <is>
          <t>Average</t>
        </is>
      </c>
      <c r="D4387" t="n">
        <v>45</v>
      </c>
      <c r="E4387" t="n">
        <v>45</v>
      </c>
      <c r="F4387" t="n">
        <v>40</v>
      </c>
      <c r="G4387" t="n">
        <v>35</v>
      </c>
      <c r="H4387" t="n">
        <v>35</v>
      </c>
      <c r="I4387">
        <f>B4387&amp;"|"&amp;C4387</f>
        <v/>
      </c>
      <c r="J4387" t="inlineStr">
        <is>
          <t>average</t>
        </is>
      </c>
    </row>
    <row r="4388" ht="12" customHeight="1" s="545">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ht="12" customHeight="1" s="545">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ht="12" customHeight="1" s="545">
      <c r="B4390" t="inlineStr">
        <is>
          <t>Complete Auto Dealerships</t>
        </is>
      </c>
      <c r="C4390" t="inlineStr">
        <is>
          <t>Low Cost</t>
        </is>
      </c>
      <c r="F4390" t="n">
        <v>35</v>
      </c>
      <c r="G4390" t="n">
        <v>30</v>
      </c>
      <c r="H4390" t="n">
        <v>30</v>
      </c>
      <c r="I4390">
        <f>B4390&amp;"|"&amp;C4390</f>
        <v/>
      </c>
      <c r="J4390" t="inlineStr">
        <is>
          <t>low cost</t>
        </is>
      </c>
    </row>
    <row r="4391" ht="12" customHeight="1" s="545">
      <c r="B4391" t="inlineStr">
        <is>
          <t>Automotive Service Centers</t>
        </is>
      </c>
      <c r="C4391" t="inlineStr">
        <is>
          <t>Good</t>
        </is>
      </c>
      <c r="F4391" t="n">
        <v>45</v>
      </c>
      <c r="G4391" t="n">
        <v>40</v>
      </c>
      <c r="H4391" t="n">
        <v>40</v>
      </c>
      <c r="I4391">
        <f>B4391&amp;"|"&amp;C4391</f>
        <v/>
      </c>
      <c r="J4391" t="inlineStr">
        <is>
          <t>Automotive service centers, good</t>
        </is>
      </c>
    </row>
    <row r="4392" ht="12" customHeight="1" s="545">
      <c r="B4392" t="inlineStr">
        <is>
          <t>Automotive Service Centers</t>
        </is>
      </c>
      <c r="C4392" t="inlineStr">
        <is>
          <t>Average</t>
        </is>
      </c>
      <c r="F4392" t="n">
        <v>40</v>
      </c>
      <c r="G4392" t="n">
        <v>35</v>
      </c>
      <c r="H4392" t="n">
        <v>35</v>
      </c>
      <c r="I4392">
        <f>B4392&amp;"|"&amp;C4392</f>
        <v/>
      </c>
      <c r="J4392" t="inlineStr">
        <is>
          <t>average</t>
        </is>
      </c>
    </row>
    <row r="4393" ht="12" customHeight="1" s="545">
      <c r="B4393" t="inlineStr">
        <is>
          <t>Automotive Service Centers</t>
        </is>
      </c>
      <c r="C4393" t="inlineStr">
        <is>
          <t>Low Cost</t>
        </is>
      </c>
      <c r="F4393" t="n">
        <v>35</v>
      </c>
      <c r="G4393" t="n">
        <v>30</v>
      </c>
      <c r="H4393" t="n">
        <v>30</v>
      </c>
      <c r="I4393">
        <f>B4393&amp;"|"&amp;C4393</f>
        <v/>
      </c>
      <c r="J4393" t="inlineStr">
        <is>
          <t>low cost</t>
        </is>
      </c>
    </row>
    <row r="4394" ht="12" customHeight="1" s="545">
      <c r="B4394" t="inlineStr">
        <is>
          <t>Showrooms</t>
        </is>
      </c>
      <c r="C4394" t="inlineStr">
        <is>
          <t>Average</t>
        </is>
      </c>
      <c r="D4394" t="n">
        <v>45</v>
      </c>
      <c r="E4394" t="n">
        <v>45</v>
      </c>
      <c r="F4394" t="n">
        <v>40</v>
      </c>
      <c r="G4394" t="n">
        <v>35</v>
      </c>
      <c r="H4394" t="n">
        <v>35</v>
      </c>
      <c r="I4394">
        <f>B4394&amp;"|"&amp;C4394</f>
        <v/>
      </c>
      <c r="J4394" t="inlineStr">
        <is>
          <t>average</t>
        </is>
      </c>
    </row>
    <row r="4395" ht="12" customHeight="1" s="54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ht="12" customHeight="1" s="545">
      <c r="B4396" t="inlineStr">
        <is>
          <t>Showrooms</t>
        </is>
      </c>
      <c r="C4396" t="inlineStr">
        <is>
          <t>Good</t>
        </is>
      </c>
      <c r="D4396" t="n">
        <v>50</v>
      </c>
      <c r="E4396" t="n">
        <v>50</v>
      </c>
      <c r="F4396" t="n">
        <v>45</v>
      </c>
      <c r="G4396" t="n">
        <v>40</v>
      </c>
      <c r="H4396" t="n">
        <v>40</v>
      </c>
      <c r="I4396">
        <f>B4396&amp;"|"&amp;C4396</f>
        <v/>
      </c>
      <c r="J4396" t="inlineStr">
        <is>
          <t>Showrooms, good and excellent</t>
        </is>
      </c>
    </row>
    <row r="4397" ht="12" customHeight="1" s="545">
      <c r="B4397" t="inlineStr">
        <is>
          <t>Showrooms</t>
        </is>
      </c>
      <c r="C4397" t="inlineStr">
        <is>
          <t>Low Cost</t>
        </is>
      </c>
      <c r="F4397" t="n">
        <v>35</v>
      </c>
      <c r="G4397" t="n">
        <v>30</v>
      </c>
      <c r="H4397" t="n">
        <v>30</v>
      </c>
      <c r="I4397">
        <f>B4397&amp;"|"&amp;C4397</f>
        <v/>
      </c>
      <c r="J4397" t="inlineStr">
        <is>
          <t>low cost</t>
        </is>
      </c>
    </row>
    <row r="4398" ht="12" customHeight="1" s="545">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ht="12" customHeight="1" s="545">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ht="12" customHeight="1" s="545">
      <c r="B4400" t="inlineStr">
        <is>
          <t>Service Garages (Commercial/Repair)</t>
        </is>
      </c>
      <c r="C4400" t="inlineStr">
        <is>
          <t>Good</t>
        </is>
      </c>
      <c r="F4400" t="n">
        <v>40</v>
      </c>
      <c r="G4400" t="n">
        <v>35</v>
      </c>
      <c r="H4400" t="n">
        <v>35</v>
      </c>
      <c r="I4400">
        <f>B4400&amp;"|"&amp;C4400</f>
        <v/>
      </c>
      <c r="J4400" t="inlineStr">
        <is>
          <t>Service and repair garages, good and excellent</t>
        </is>
      </c>
    </row>
    <row r="4401" ht="12" customHeight="1" s="545">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ht="12" customHeight="1" s="545">
      <c r="B4402" t="inlineStr">
        <is>
          <t>Service Garage Sheds</t>
        </is>
      </c>
      <c r="C4402" t="inlineStr">
        <is>
          <t>Good</t>
        </is>
      </c>
      <c r="F4402" t="n">
        <v>35</v>
      </c>
      <c r="G4402" t="n">
        <v>30</v>
      </c>
      <c r="H4402" t="n">
        <v>30</v>
      </c>
      <c r="I4402">
        <f>B4402&amp;"|"&amp;C4402</f>
        <v/>
      </c>
      <c r="J4402" t="inlineStr">
        <is>
          <t>Service garage sheds, good</t>
        </is>
      </c>
    </row>
    <row r="4403" ht="12" customHeight="1" s="545">
      <c r="B4403" t="inlineStr">
        <is>
          <t>Service Garage Sheds</t>
        </is>
      </c>
      <c r="C4403" t="inlineStr">
        <is>
          <t>Average</t>
        </is>
      </c>
      <c r="F4403" t="n">
        <v>30</v>
      </c>
      <c r="G4403" t="n">
        <v>25</v>
      </c>
      <c r="H4403" t="n">
        <v>25</v>
      </c>
      <c r="I4403">
        <f>B4403&amp;"|"&amp;C4403</f>
        <v/>
      </c>
      <c r="J4403" t="inlineStr">
        <is>
          <t>low cost and average</t>
        </is>
      </c>
    </row>
    <row r="4404" ht="12" customHeight="1" s="545">
      <c r="B4404" t="inlineStr">
        <is>
          <t>Service Garage Sheds</t>
        </is>
      </c>
      <c r="C4404" t="inlineStr">
        <is>
          <t>Low Cost</t>
        </is>
      </c>
      <c r="F4404" t="n">
        <v>30</v>
      </c>
      <c r="G4404" t="n">
        <v>25</v>
      </c>
      <c r="H4404" t="n">
        <v>25</v>
      </c>
      <c r="I4404">
        <f>B4404&amp;"|"&amp;C4404</f>
        <v/>
      </c>
      <c r="J4404" t="inlineStr">
        <is>
          <t>low cost and average</t>
        </is>
      </c>
    </row>
    <row r="4405" ht="12" customHeight="1" s="545">
      <c r="B4405" t="inlineStr">
        <is>
          <t>Municipal Service Garages</t>
        </is>
      </c>
      <c r="C4405" t="inlineStr">
        <is>
          <t>Excellent</t>
        </is>
      </c>
      <c r="F4405" t="n">
        <v>45</v>
      </c>
      <c r="H4405" t="n">
        <v>40</v>
      </c>
      <c r="I4405">
        <f>B4405&amp;"|"&amp;C4405</f>
        <v/>
      </c>
      <c r="J4405" t="inlineStr">
        <is>
          <t>Garages, municipal service, excellent</t>
        </is>
      </c>
    </row>
    <row r="4406" ht="12" customHeight="1" s="545">
      <c r="B4406" t="inlineStr">
        <is>
          <t>Municipal Service Garages</t>
        </is>
      </c>
      <c r="C4406" t="inlineStr">
        <is>
          <t>Good</t>
        </is>
      </c>
      <c r="F4406" t="n">
        <v>40</v>
      </c>
      <c r="G4406" t="n">
        <v>35</v>
      </c>
      <c r="H4406" t="n">
        <v>35</v>
      </c>
      <c r="I4406">
        <f>B4406&amp;"|"&amp;C4406</f>
        <v/>
      </c>
      <c r="J4406" t="inlineStr">
        <is>
          <t>average and good</t>
        </is>
      </c>
    </row>
    <row r="4407" ht="12" customHeight="1" s="545">
      <c r="B4407" t="inlineStr">
        <is>
          <t>Municipal Service Garages</t>
        </is>
      </c>
      <c r="C4407" t="inlineStr">
        <is>
          <t>Average</t>
        </is>
      </c>
      <c r="F4407" t="n">
        <v>40</v>
      </c>
      <c r="G4407" t="n">
        <v>35</v>
      </c>
      <c r="H4407" t="n">
        <v>35</v>
      </c>
      <c r="I4407">
        <f>B4407&amp;"|"&amp;C4407</f>
        <v/>
      </c>
      <c r="J4407" t="inlineStr">
        <is>
          <t>average and good</t>
        </is>
      </c>
    </row>
    <row r="4408" ht="12" customHeight="1" s="545">
      <c r="B4408" t="inlineStr">
        <is>
          <t>Mini-Lube Garages</t>
        </is>
      </c>
      <c r="C4408" t="inlineStr">
        <is>
          <t>Excellent</t>
        </is>
      </c>
      <c r="F4408" t="n">
        <v>40</v>
      </c>
      <c r="G4408" t="n">
        <v>35</v>
      </c>
      <c r="H4408" t="n">
        <v>35</v>
      </c>
      <c r="I4408">
        <f>B4408&amp;"|"&amp;C4408</f>
        <v/>
      </c>
      <c r="J4408" t="inlineStr">
        <is>
          <t>Mini-lube garages, good and excellent</t>
        </is>
      </c>
    </row>
    <row r="4409" ht="12" customHeight="1" s="545">
      <c r="B4409" t="inlineStr">
        <is>
          <t>Mini-Lube Garages</t>
        </is>
      </c>
      <c r="C4409" t="inlineStr">
        <is>
          <t>Good</t>
        </is>
      </c>
      <c r="F4409" t="n">
        <v>40</v>
      </c>
      <c r="G4409" t="n">
        <v>35</v>
      </c>
      <c r="H4409" t="n">
        <v>35</v>
      </c>
      <c r="I4409">
        <f>B4409&amp;"|"&amp;C4409</f>
        <v/>
      </c>
      <c r="J4409" t="inlineStr">
        <is>
          <t>Mini-lube garages, good and excellent</t>
        </is>
      </c>
    </row>
    <row r="4410" ht="12" customHeight="1" s="545">
      <c r="B4410" t="inlineStr">
        <is>
          <t>Mini-Lube Garages</t>
        </is>
      </c>
      <c r="C4410" t="inlineStr">
        <is>
          <t>Average</t>
        </is>
      </c>
      <c r="F4410" t="n">
        <v>35</v>
      </c>
      <c r="G4410" t="n">
        <v>30</v>
      </c>
      <c r="H4410" t="n">
        <v>30</v>
      </c>
      <c r="I4410">
        <f>B4410&amp;"|"&amp;C4410</f>
        <v/>
      </c>
      <c r="J4410" t="inlineStr">
        <is>
          <t>low cost and average</t>
        </is>
      </c>
    </row>
    <row r="4411" ht="12" customHeight="1" s="545">
      <c r="B4411" t="inlineStr">
        <is>
          <t>Mini-Lube Garages</t>
        </is>
      </c>
      <c r="C4411" t="inlineStr">
        <is>
          <t>Low Cost</t>
        </is>
      </c>
      <c r="F4411" t="n">
        <v>35</v>
      </c>
      <c r="G4411" t="n">
        <v>30</v>
      </c>
      <c r="H4411" t="n">
        <v>30</v>
      </c>
      <c r="I4411">
        <f>B4411&amp;"|"&amp;C4411</f>
        <v/>
      </c>
      <c r="J4411" t="inlineStr">
        <is>
          <t>low cost and average</t>
        </is>
      </c>
    </row>
    <row r="4412" ht="12" customHeight="1" s="545">
      <c r="B4412" t="inlineStr">
        <is>
          <t>Parking (Parkade) Structures</t>
        </is>
      </c>
      <c r="C4412" t="inlineStr">
        <is>
          <t>Good</t>
        </is>
      </c>
      <c r="D4412" t="n">
        <v>45</v>
      </c>
      <c r="E4412" t="n">
        <v>45</v>
      </c>
      <c r="I4412">
        <f>B4412&amp;"|"&amp;C4412</f>
        <v/>
      </c>
      <c r="J4412" t="inlineStr">
        <is>
          <t>Parking structures/parkades, good</t>
        </is>
      </c>
    </row>
    <row r="4413" ht="12" customHeight="1" s="545">
      <c r="B4413" t="inlineStr">
        <is>
          <t>Parking (Parkade) Structures</t>
        </is>
      </c>
      <c r="C4413" t="inlineStr">
        <is>
          <t>Average</t>
        </is>
      </c>
      <c r="D4413" t="n">
        <v>40</v>
      </c>
      <c r="E4413" t="n">
        <v>40</v>
      </c>
      <c r="H4413" t="n">
        <v>35</v>
      </c>
      <c r="I4413">
        <f>B4413&amp;"|"&amp;C4413</f>
        <v/>
      </c>
      <c r="J4413" t="inlineStr">
        <is>
          <t>low cost and average</t>
        </is>
      </c>
    </row>
    <row r="4414" ht="12" customHeight="1" s="545">
      <c r="B4414" t="inlineStr">
        <is>
          <t>Parking (Parkade) Structures</t>
        </is>
      </c>
      <c r="C4414" t="inlineStr">
        <is>
          <t>Low Cost</t>
        </is>
      </c>
      <c r="D4414" t="n">
        <v>40</v>
      </c>
      <c r="E4414" t="n">
        <v>40</v>
      </c>
      <c r="H4414" t="n">
        <v>35</v>
      </c>
      <c r="I4414">
        <f>B4414&amp;"|"&amp;C4414</f>
        <v/>
      </c>
      <c r="J4414" t="inlineStr">
        <is>
          <t>low cost and average</t>
        </is>
      </c>
    </row>
    <row r="4415" ht="12" customHeight="1" s="545">
      <c r="B4415" t="inlineStr">
        <is>
          <t>Parking (Parkade) Structures</t>
        </is>
      </c>
      <c r="C4415" t="inlineStr">
        <is>
          <t>Cheap</t>
        </is>
      </c>
      <c r="H4415" t="n">
        <v>30</v>
      </c>
      <c r="I4415">
        <f>B4415&amp;"|"&amp;C4415</f>
        <v/>
      </c>
      <c r="J4415" t="inlineStr">
        <is>
          <t>cheap</t>
        </is>
      </c>
    </row>
    <row r="4416" ht="12" customHeight="1" s="545">
      <c r="B4416" t="inlineStr">
        <is>
          <t>Storage Garages</t>
        </is>
      </c>
      <c r="C4416" t="inlineStr">
        <is>
          <t>Average</t>
        </is>
      </c>
      <c r="D4416" t="n">
        <v>45</v>
      </c>
      <c r="E4416" t="n">
        <v>45</v>
      </c>
      <c r="F4416" t="n">
        <v>40</v>
      </c>
      <c r="G4416" t="n">
        <v>35</v>
      </c>
      <c r="H4416" t="n">
        <v>35</v>
      </c>
      <c r="I4416">
        <f>B4416&amp;"|"&amp;C4416</f>
        <v/>
      </c>
      <c r="J4416" t="inlineStr">
        <is>
          <t>Storage, average</t>
        </is>
      </c>
    </row>
    <row r="4417" ht="12" customHeight="1" s="545">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ht="12" customHeight="1" s="545">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ht="12" customHeight="1" s="545">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ht="12" customHeight="1" s="545">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ht="12" customHeight="1" s="545">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ht="12" customHeight="1" s="545">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ht="12" customHeight="1" s="545">
      <c r="B4423" t="inlineStr">
        <is>
          <t>Office Buildings</t>
        </is>
      </c>
      <c r="C4423" t="inlineStr">
        <is>
          <t>Average</t>
        </is>
      </c>
      <c r="D4423" t="n">
        <v>55</v>
      </c>
      <c r="E4423" t="n">
        <v>55</v>
      </c>
      <c r="F4423" t="n">
        <v>50</v>
      </c>
      <c r="G4423" t="n">
        <v>45</v>
      </c>
      <c r="H4423" t="n">
        <v>45</v>
      </c>
      <c r="I4423">
        <f>B4423&amp;"|"&amp;C4423</f>
        <v/>
      </c>
      <c r="J4423" t="inlineStr">
        <is>
          <t>average</t>
        </is>
      </c>
    </row>
    <row r="4424" ht="12" customHeight="1" s="545">
      <c r="B4424" t="inlineStr">
        <is>
          <t>Office Buildings</t>
        </is>
      </c>
      <c r="C4424" t="inlineStr">
        <is>
          <t>Low Cost</t>
        </is>
      </c>
      <c r="D4424" t="n">
        <v>50</v>
      </c>
      <c r="E4424" t="n">
        <v>50</v>
      </c>
      <c r="F4424" t="n">
        <v>45</v>
      </c>
      <c r="G4424" t="n">
        <v>40</v>
      </c>
      <c r="H4424" t="n">
        <v>40</v>
      </c>
      <c r="I4424">
        <f>B4424&amp;"|"&amp;C4424</f>
        <v/>
      </c>
      <c r="J4424" t="inlineStr">
        <is>
          <t>low cost</t>
        </is>
      </c>
    </row>
    <row r="4425" ht="12" customHeight="1" s="54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ht="12" customHeight="1" s="545">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ht="12" customHeight="1" s="545">
      <c r="B4427" t="inlineStr">
        <is>
          <t>Atriums/Vestibules</t>
        </is>
      </c>
      <c r="C4427" t="inlineStr">
        <is>
          <t>Average</t>
        </is>
      </c>
      <c r="D4427" t="n">
        <v>55</v>
      </c>
      <c r="E4427" t="n">
        <v>55</v>
      </c>
      <c r="F4427" t="n">
        <v>50</v>
      </c>
      <c r="G4427" t="n">
        <v>45</v>
      </c>
      <c r="H4427" t="n">
        <v>45</v>
      </c>
      <c r="I4427">
        <f>B4427&amp;"|"&amp;C4427</f>
        <v/>
      </c>
      <c r="J4427" t="inlineStr">
        <is>
          <t>average</t>
        </is>
      </c>
    </row>
    <row r="4428" ht="12" customHeight="1" s="545">
      <c r="B4428" t="inlineStr">
        <is>
          <t>Atriums/Vestibules</t>
        </is>
      </c>
      <c r="C4428" t="inlineStr">
        <is>
          <t>Low Cost</t>
        </is>
      </c>
      <c r="D4428" t="n">
        <v>55</v>
      </c>
      <c r="E4428" t="n">
        <v>55</v>
      </c>
      <c r="F4428" t="n">
        <v>50</v>
      </c>
      <c r="G4428" t="n">
        <v>45</v>
      </c>
      <c r="H4428" t="n">
        <v>45</v>
      </c>
      <c r="I4428">
        <f>B4428&amp;"|"&amp;C4428</f>
        <v/>
      </c>
      <c r="J4428" t="inlineStr">
        <is>
          <t>average</t>
        </is>
      </c>
    </row>
    <row r="4429" ht="12" customHeight="1" s="545">
      <c r="B4429" t="inlineStr">
        <is>
          <t>Atriums/Vestibules</t>
        </is>
      </c>
      <c r="C4429" t="inlineStr">
        <is>
          <t>Cheap</t>
        </is>
      </c>
      <c r="D4429" t="n">
        <v>55</v>
      </c>
      <c r="E4429" t="n">
        <v>55</v>
      </c>
      <c r="F4429" t="n">
        <v>50</v>
      </c>
      <c r="G4429" t="n">
        <v>45</v>
      </c>
      <c r="H4429" t="n">
        <v>45</v>
      </c>
      <c r="I4429">
        <f>B4429&amp;"|"&amp;C4429</f>
        <v/>
      </c>
      <c r="J4429" t="inlineStr">
        <is>
          <t>average</t>
        </is>
      </c>
    </row>
    <row r="4430" ht="12" customHeight="1" s="545">
      <c r="B4430" t="inlineStr">
        <is>
          <t>Parking Levels (Intermediate/Under Building)</t>
        </is>
      </c>
      <c r="C4430" t="inlineStr">
        <is>
          <t>Excellent</t>
        </is>
      </c>
      <c r="D4430" t="n">
        <v>60</v>
      </c>
      <c r="E4430" t="n">
        <v>60</v>
      </c>
      <c r="I4430">
        <f>B4430&amp;"|"&amp;C4430</f>
        <v/>
      </c>
      <c r="J4430" t="inlineStr">
        <is>
          <t>Parking levels, excellent</t>
        </is>
      </c>
    </row>
    <row r="4431" ht="12" customHeight="1" s="545">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ht="12" customHeight="1" s="545">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ht="12" customHeight="1" s="545">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ht="12" customHeight="1" s="545">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ht="12" customHeight="1" s="54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ht="12" customHeight="1" s="545">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ht="12" customHeight="1" s="545">
      <c r="B4437" t="inlineStr">
        <is>
          <t>Mechanical Penthouses</t>
        </is>
      </c>
      <c r="C4437" t="inlineStr">
        <is>
          <t>Average</t>
        </is>
      </c>
      <c r="D4437" t="n">
        <v>55</v>
      </c>
      <c r="E4437" t="n">
        <v>55</v>
      </c>
      <c r="F4437" t="n">
        <v>50</v>
      </c>
      <c r="G4437" t="n">
        <v>45</v>
      </c>
      <c r="H4437" t="n">
        <v>45</v>
      </c>
      <c r="I4437">
        <f>B4437&amp;"|"&amp;C4437</f>
        <v/>
      </c>
      <c r="J4437" t="inlineStr">
        <is>
          <t>average</t>
        </is>
      </c>
    </row>
    <row r="4438" ht="12" customHeight="1" s="545">
      <c r="B4438" t="inlineStr">
        <is>
          <t>Mechanical Penthouses</t>
        </is>
      </c>
      <c r="C4438" t="inlineStr">
        <is>
          <t>Low Cost</t>
        </is>
      </c>
      <c r="D4438" t="n">
        <v>50</v>
      </c>
      <c r="E4438" t="n">
        <v>50</v>
      </c>
      <c r="F4438" t="n">
        <v>45</v>
      </c>
      <c r="G4438" t="n">
        <v>40</v>
      </c>
      <c r="H4438" t="n">
        <v>40</v>
      </c>
      <c r="I4438">
        <f>B4438&amp;"|"&amp;C4438</f>
        <v/>
      </c>
      <c r="J4438" t="inlineStr">
        <is>
          <t>low cost</t>
        </is>
      </c>
    </row>
    <row r="4439" ht="12" customHeight="1" s="545">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ht="12" customHeight="1" s="545">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ht="12" customHeight="1" s="545">
      <c r="B4441" t="inlineStr">
        <is>
          <t>Banks – Central Offices</t>
        </is>
      </c>
      <c r="C4441" t="inlineStr">
        <is>
          <t>Average</t>
        </is>
      </c>
      <c r="D4441" t="n">
        <v>55</v>
      </c>
      <c r="E4441" t="n">
        <v>55</v>
      </c>
      <c r="F4441" t="n">
        <v>50</v>
      </c>
      <c r="G4441" t="n">
        <v>45</v>
      </c>
      <c r="H4441" t="n">
        <v>45</v>
      </c>
      <c r="I4441">
        <f>B4441&amp;"|"&amp;C4441</f>
        <v/>
      </c>
      <c r="J4441" t="inlineStr">
        <is>
          <t>average</t>
        </is>
      </c>
    </row>
    <row r="4442" ht="12" customHeight="1" s="545">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ht="12" customHeight="1" s="545">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ht="12" customHeight="1" s="545">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ht="12" customHeight="1" s="5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ht="12" customHeight="1" s="545">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ht="12" customHeight="1" s="545">
      <c r="B4447" t="inlineStr">
        <is>
          <t>Banks, Branch</t>
        </is>
      </c>
      <c r="C4447" t="inlineStr">
        <is>
          <t>Average</t>
        </is>
      </c>
      <c r="D4447" t="n">
        <v>55</v>
      </c>
      <c r="E4447" t="n">
        <v>55</v>
      </c>
      <c r="F4447" t="n">
        <v>50</v>
      </c>
      <c r="G4447" t="n">
        <v>45</v>
      </c>
      <c r="H4447" t="n">
        <v>45</v>
      </c>
      <c r="I4447">
        <f>B4447&amp;"|"&amp;C4447</f>
        <v/>
      </c>
      <c r="J4447" t="inlineStr">
        <is>
          <t>average</t>
        </is>
      </c>
    </row>
    <row r="4448" ht="12" customHeight="1" s="545">
      <c r="B4448" t="inlineStr">
        <is>
          <t>Banks, Branch</t>
        </is>
      </c>
      <c r="C4448" t="inlineStr">
        <is>
          <t>Low Cost</t>
        </is>
      </c>
      <c r="D4448" t="n">
        <v>50</v>
      </c>
      <c r="E4448" t="n">
        <v>50</v>
      </c>
      <c r="F4448" t="n">
        <v>45</v>
      </c>
      <c r="G4448" t="n">
        <v>40</v>
      </c>
      <c r="H4448" t="n">
        <v>40</v>
      </c>
      <c r="I4448">
        <f>B4448&amp;"|"&amp;C4448</f>
        <v/>
      </c>
      <c r="J4448" t="inlineStr">
        <is>
          <t>low cost</t>
        </is>
      </c>
    </row>
    <row r="4449" ht="12" customHeight="1" s="545">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ht="12" customHeight="1" s="545">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ht="12" customHeight="1" s="545">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ht="12" customHeight="1" s="545">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ht="12" customHeight="1" s="545">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ht="12" customHeight="1" s="545">
      <c r="B4454" t="inlineStr">
        <is>
          <t>Dental Clinics</t>
        </is>
      </c>
      <c r="C4454" t="inlineStr">
        <is>
          <t>Excellent</t>
        </is>
      </c>
      <c r="F4454" t="n">
        <v>45</v>
      </c>
      <c r="G4454" t="n">
        <v>40</v>
      </c>
      <c r="H4454" t="n">
        <v>40</v>
      </c>
      <c r="I4454">
        <f>B4454&amp;"|"&amp;C4454</f>
        <v/>
      </c>
      <c r="J4454" t="inlineStr">
        <is>
          <t>Dental clinics, good and excellent</t>
        </is>
      </c>
    </row>
    <row r="4455" ht="12" customHeight="1" s="545">
      <c r="B4455" t="inlineStr">
        <is>
          <t>Dental Clinics</t>
        </is>
      </c>
      <c r="C4455" t="inlineStr">
        <is>
          <t>Good</t>
        </is>
      </c>
      <c r="F4455" t="n">
        <v>45</v>
      </c>
      <c r="G4455" t="n">
        <v>40</v>
      </c>
      <c r="H4455" t="n">
        <v>40</v>
      </c>
      <c r="I4455">
        <f>B4455&amp;"|"&amp;C4455</f>
        <v/>
      </c>
      <c r="J4455" t="inlineStr">
        <is>
          <t>Dental clinics, good and excellent</t>
        </is>
      </c>
    </row>
    <row r="4456" ht="12" customHeight="1" s="545">
      <c r="B4456" t="inlineStr">
        <is>
          <t>Dental Clinics</t>
        </is>
      </c>
      <c r="C4456" t="inlineStr">
        <is>
          <t>Average</t>
        </is>
      </c>
      <c r="F4456" t="n">
        <v>40</v>
      </c>
      <c r="G4456" t="n">
        <v>35</v>
      </c>
      <c r="H4456" t="n">
        <v>35</v>
      </c>
      <c r="I4456">
        <f>B4456&amp;"|"&amp;C4456</f>
        <v/>
      </c>
      <c r="J4456" t="inlineStr">
        <is>
          <t>low cost and average</t>
        </is>
      </c>
    </row>
    <row r="4457" ht="12" customHeight="1" s="545">
      <c r="B4457" t="inlineStr">
        <is>
          <t>Dental Clinics</t>
        </is>
      </c>
      <c r="C4457" t="inlineStr">
        <is>
          <t>Low Cost</t>
        </is>
      </c>
      <c r="F4457" t="n">
        <v>40</v>
      </c>
      <c r="G4457" t="n">
        <v>35</v>
      </c>
      <c r="H4457" t="n">
        <v>35</v>
      </c>
      <c r="I4457">
        <f>B4457&amp;"|"&amp;C4457</f>
        <v/>
      </c>
      <c r="J4457" t="inlineStr">
        <is>
          <t>low cost and average</t>
        </is>
      </c>
    </row>
    <row r="4458" ht="12" customHeight="1" s="545">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ht="12" customHeight="1" s="545">
      <c r="B4459" t="inlineStr">
        <is>
          <t>Urgent Care Clinics</t>
        </is>
      </c>
      <c r="C4459" t="inlineStr">
        <is>
          <t>Average</t>
        </is>
      </c>
      <c r="D4459" t="n">
        <v>45</v>
      </c>
      <c r="E4459" t="n">
        <v>45</v>
      </c>
      <c r="F4459" t="n">
        <v>35</v>
      </c>
      <c r="G4459" t="n">
        <v>30</v>
      </c>
      <c r="H4459" t="n">
        <v>30</v>
      </c>
      <c r="I4459">
        <f>B4459&amp;"|"&amp;C4459</f>
        <v/>
      </c>
      <c r="J4459" t="inlineStr">
        <is>
          <t>average</t>
        </is>
      </c>
    </row>
    <row r="4460" ht="12" customHeight="1" s="545">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ht="12" customHeight="1" s="545">
      <c r="B4461" t="inlineStr">
        <is>
          <t>General Hospitals</t>
        </is>
      </c>
      <c r="C4461" t="inlineStr">
        <is>
          <t>Excellent</t>
        </is>
      </c>
      <c r="D4461" t="n">
        <v>50</v>
      </c>
      <c r="E4461" t="n">
        <v>50</v>
      </c>
      <c r="F4461" t="n">
        <v>45</v>
      </c>
      <c r="G4461" t="n">
        <v>40</v>
      </c>
      <c r="I4461">
        <f>B4461&amp;"|"&amp;C4461</f>
        <v/>
      </c>
      <c r="J4461" t="inlineStr">
        <is>
          <t>General hospitals, good and excellent</t>
        </is>
      </c>
    </row>
    <row r="4462" ht="12" customHeight="1" s="545">
      <c r="B4462" t="inlineStr">
        <is>
          <t>General Hospitals</t>
        </is>
      </c>
      <c r="C4462" t="inlineStr">
        <is>
          <t>Good</t>
        </is>
      </c>
      <c r="D4462" t="n">
        <v>50</v>
      </c>
      <c r="E4462" t="n">
        <v>50</v>
      </c>
      <c r="F4462" t="n">
        <v>45</v>
      </c>
      <c r="G4462" t="n">
        <v>40</v>
      </c>
      <c r="I4462">
        <f>B4462&amp;"|"&amp;C4462</f>
        <v/>
      </c>
      <c r="J4462" t="inlineStr">
        <is>
          <t>General hospitals, good and excellent</t>
        </is>
      </c>
    </row>
    <row r="4463" ht="12" customHeight="1" s="545">
      <c r="B4463" t="inlineStr">
        <is>
          <t>General Hospitals</t>
        </is>
      </c>
      <c r="C4463" t="inlineStr">
        <is>
          <t>Average</t>
        </is>
      </c>
      <c r="D4463" t="n">
        <v>45</v>
      </c>
      <c r="E4463" t="n">
        <v>45</v>
      </c>
      <c r="F4463" t="n">
        <v>40</v>
      </c>
      <c r="G4463" t="n">
        <v>35</v>
      </c>
      <c r="H4463" t="n">
        <v>35</v>
      </c>
      <c r="I4463">
        <f>B4463&amp;"|"&amp;C4463</f>
        <v/>
      </c>
      <c r="J4463" t="inlineStr">
        <is>
          <t>low cost and average</t>
        </is>
      </c>
    </row>
    <row r="4464" ht="12" customHeight="1" s="545">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ht="12" customHeight="1" s="54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ht="12" customHeight="1" s="545">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ht="12" customHeight="1" s="545">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ht="12" customHeight="1" s="545">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ht="12" customHeight="1" s="545">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ht="12" customHeight="1" s="545">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ht="12" customHeight="1" s="545">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ht="12" customHeight="1" s="545">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ht="12" customHeight="1" s="545">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ht="12" customHeight="1" s="545">
      <c r="B4474" t="inlineStr">
        <is>
          <t>Kennels</t>
        </is>
      </c>
      <c r="C4474" t="inlineStr">
        <is>
          <t>Excellent</t>
        </is>
      </c>
      <c r="F4474" t="n">
        <v>45</v>
      </c>
      <c r="G4474" t="n">
        <v>40</v>
      </c>
      <c r="I4474">
        <f>B4474&amp;"|"&amp;C4474</f>
        <v/>
      </c>
      <c r="J4474" t="inlineStr">
        <is>
          <t>Kennels, very good and excellent</t>
        </is>
      </c>
    </row>
    <row r="4475" ht="12" customHeight="1" s="545">
      <c r="B4475" t="inlineStr">
        <is>
          <t>Kennels</t>
        </is>
      </c>
      <c r="C4475" t="inlineStr">
        <is>
          <t>Very Good</t>
        </is>
      </c>
      <c r="F4475" t="n">
        <v>45</v>
      </c>
      <c r="G4475" t="n">
        <v>40</v>
      </c>
      <c r="I4475">
        <f>B4475&amp;"|"&amp;C4475</f>
        <v/>
      </c>
      <c r="J4475" t="inlineStr">
        <is>
          <t>Kennels, very good and excellent</t>
        </is>
      </c>
    </row>
    <row r="4476" ht="12" customHeight="1" s="545">
      <c r="B4476" t="inlineStr">
        <is>
          <t>Kennels</t>
        </is>
      </c>
      <c r="C4476" t="inlineStr">
        <is>
          <t>Good</t>
        </is>
      </c>
      <c r="F4476" t="n">
        <v>40</v>
      </c>
      <c r="G4476" t="n">
        <v>35</v>
      </c>
      <c r="H4476" t="n">
        <v>35</v>
      </c>
      <c r="I4476">
        <f>B4476&amp;"|"&amp;C4476</f>
        <v/>
      </c>
      <c r="J4476" t="inlineStr">
        <is>
          <t>average and good</t>
        </is>
      </c>
    </row>
    <row r="4477" ht="12" customHeight="1" s="545">
      <c r="B4477" t="inlineStr">
        <is>
          <t>Kennels</t>
        </is>
      </c>
      <c r="C4477" t="inlineStr">
        <is>
          <t>Average</t>
        </is>
      </c>
      <c r="F4477" t="n">
        <v>40</v>
      </c>
      <c r="G4477" t="n">
        <v>35</v>
      </c>
      <c r="H4477" t="n">
        <v>35</v>
      </c>
      <c r="I4477">
        <f>B4477&amp;"|"&amp;C4477</f>
        <v/>
      </c>
      <c r="J4477" t="inlineStr">
        <is>
          <t>average and good</t>
        </is>
      </c>
    </row>
    <row r="4478" ht="12" customHeight="1" s="545">
      <c r="B4478" t="inlineStr">
        <is>
          <t>Kennels</t>
        </is>
      </c>
      <c r="C4478" t="inlineStr">
        <is>
          <t>Low Cost</t>
        </is>
      </c>
      <c r="F4478" t="n">
        <v>35</v>
      </c>
      <c r="G4478" t="n">
        <v>30</v>
      </c>
      <c r="H4478" t="n">
        <v>30</v>
      </c>
      <c r="I4478">
        <f>B4478&amp;"|"&amp;C4478</f>
        <v/>
      </c>
      <c r="J4478" t="inlineStr">
        <is>
          <t>low cost</t>
        </is>
      </c>
    </row>
    <row r="4479" ht="12" customHeight="1" s="545">
      <c r="B4479" t="inlineStr">
        <is>
          <t>Kennels</t>
        </is>
      </c>
      <c r="C4479" t="inlineStr">
        <is>
          <t>Cheap</t>
        </is>
      </c>
      <c r="F4479" t="n">
        <v>25</v>
      </c>
      <c r="G4479" t="n">
        <v>20</v>
      </c>
      <c r="H4479" t="n">
        <v>20</v>
      </c>
      <c r="I4479">
        <f>B4479&amp;"|"&amp;C4479</f>
        <v/>
      </c>
      <c r="J4479" t="inlineStr">
        <is>
          <t>cheap</t>
        </is>
      </c>
    </row>
    <row r="4480" ht="12" customHeight="1" s="545">
      <c r="B4480" t="inlineStr">
        <is>
          <t>Veterinary Hospitals</t>
        </is>
      </c>
      <c r="C4480" t="inlineStr">
        <is>
          <t>Average</t>
        </is>
      </c>
      <c r="D4480" t="n">
        <v>45</v>
      </c>
      <c r="E4480" t="n">
        <v>45</v>
      </c>
      <c r="F4480" t="n">
        <v>40</v>
      </c>
      <c r="G4480" t="n">
        <v>35</v>
      </c>
      <c r="H4480" t="n">
        <v>35</v>
      </c>
      <c r="I4480">
        <f>B4480&amp;"|"&amp;C4480</f>
        <v/>
      </c>
      <c r="J4480" t="inlineStr">
        <is>
          <t>average and good</t>
        </is>
      </c>
    </row>
    <row r="4481" ht="12" customHeight="1" s="545">
      <c r="B4481" t="inlineStr">
        <is>
          <t>Veterinary Hospitals</t>
        </is>
      </c>
      <c r="C4481" t="inlineStr">
        <is>
          <t>Excellent</t>
        </is>
      </c>
      <c r="F4481" t="n">
        <v>45</v>
      </c>
      <c r="G4481" t="n">
        <v>40</v>
      </c>
      <c r="I4481">
        <f>B4481&amp;"|"&amp;C4481</f>
        <v/>
      </c>
      <c r="J4481" t="inlineStr">
        <is>
          <t>Veterinary hospitals, excellent</t>
        </is>
      </c>
    </row>
    <row r="4482" ht="12" customHeight="1" s="545">
      <c r="B4482" t="inlineStr">
        <is>
          <t>Veterinary Hospitals</t>
        </is>
      </c>
      <c r="C4482" t="inlineStr">
        <is>
          <t>Good</t>
        </is>
      </c>
      <c r="D4482" t="n">
        <v>45</v>
      </c>
      <c r="E4482" t="n">
        <v>45</v>
      </c>
      <c r="F4482" t="n">
        <v>40</v>
      </c>
      <c r="G4482" t="n">
        <v>35</v>
      </c>
      <c r="H4482" t="n">
        <v>35</v>
      </c>
      <c r="I4482">
        <f>B4482&amp;"|"&amp;C4482</f>
        <v/>
      </c>
      <c r="J4482" t="inlineStr">
        <is>
          <t>average and good</t>
        </is>
      </c>
    </row>
    <row r="4483" ht="12" customHeight="1" s="545">
      <c r="B4483" t="inlineStr">
        <is>
          <t>Veterinary Hospitals</t>
        </is>
      </c>
      <c r="C4483" t="inlineStr">
        <is>
          <t>Low Cost</t>
        </is>
      </c>
      <c r="F4483" t="n">
        <v>35</v>
      </c>
      <c r="G4483" t="n">
        <v>30</v>
      </c>
      <c r="H4483" t="n">
        <v>30</v>
      </c>
      <c r="I4483">
        <f>B4483&amp;"|"&amp;C4483</f>
        <v/>
      </c>
      <c r="J4483" t="inlineStr">
        <is>
          <t>low cost</t>
        </is>
      </c>
    </row>
    <row r="4484" ht="12" customHeight="1" s="545">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ht="12" customHeight="1" s="54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ht="12" customHeight="1" s="545">
      <c r="B4486" t="inlineStr">
        <is>
          <t>Fire Stations – Volunteer</t>
        </is>
      </c>
      <c r="C4486" t="inlineStr">
        <is>
          <t>Good</t>
        </is>
      </c>
      <c r="F4486" t="n">
        <v>40</v>
      </c>
      <c r="G4486" t="n">
        <v>35</v>
      </c>
      <c r="H4486" t="n">
        <v>35</v>
      </c>
      <c r="I4486">
        <f>B4486&amp;"|"&amp;C4486</f>
        <v/>
      </c>
      <c r="J4486" t="inlineStr">
        <is>
          <t>volunteer, good</t>
        </is>
      </c>
    </row>
    <row r="4487" ht="12" customHeight="1" s="545">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ht="12" customHeight="1" s="545">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ht="12" customHeight="1" s="545">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ht="12" customHeight="1" s="545">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ht="12" customHeight="1" s="545">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ht="12" customHeight="1" s="545">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ht="12" customHeight="1" s="545">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ht="12" customHeight="1" s="545">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ht="12" customHeight="1" s="54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ht="12" customHeight="1" s="545">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ht="12" customHeight="1" s="545">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ht="12" customHeight="1" s="545">
      <c r="B4498" t="inlineStr">
        <is>
          <t>Governmental – Community Service Buildings</t>
        </is>
      </c>
      <c r="C4498" t="inlineStr">
        <is>
          <t>Excellent</t>
        </is>
      </c>
      <c r="F4498" t="n">
        <v>55</v>
      </c>
      <c r="G4498" t="n">
        <v>50</v>
      </c>
      <c r="I4498">
        <f>B4498&amp;"|"&amp;C4498</f>
        <v/>
      </c>
      <c r="J4498" t="inlineStr">
        <is>
          <t>Community service buildings, excellent</t>
        </is>
      </c>
    </row>
    <row r="4499" ht="12" customHeight="1" s="545">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ht="12" customHeight="1" s="545">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ht="12" customHeight="1" s="545">
      <c r="B4501" t="inlineStr">
        <is>
          <t>Public Libraries</t>
        </is>
      </c>
      <c r="C4501" t="inlineStr">
        <is>
          <t>Average</t>
        </is>
      </c>
      <c r="D4501" t="n">
        <v>55</v>
      </c>
      <c r="E4501" t="n">
        <v>55</v>
      </c>
      <c r="F4501" t="n">
        <v>50</v>
      </c>
      <c r="G4501" t="n">
        <v>45</v>
      </c>
      <c r="H4501" t="n">
        <v>45</v>
      </c>
      <c r="I4501">
        <f>B4501&amp;"|"&amp;C4501</f>
        <v/>
      </c>
      <c r="J4501" t="inlineStr">
        <is>
          <t>average</t>
        </is>
      </c>
    </row>
    <row r="4502" ht="12" customHeight="1" s="545">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ht="12" customHeight="1" s="545">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ht="12" customHeight="1" s="545">
      <c r="B4504" t="inlineStr">
        <is>
          <t>Public Libraries</t>
        </is>
      </c>
      <c r="C4504" t="inlineStr">
        <is>
          <t>Low Cost</t>
        </is>
      </c>
      <c r="F4504" t="n">
        <v>45</v>
      </c>
      <c r="G4504" t="n">
        <v>40</v>
      </c>
      <c r="H4504" t="n">
        <v>40</v>
      </c>
      <c r="I4504">
        <f>B4504&amp;"|"&amp;C4504</f>
        <v/>
      </c>
      <c r="J4504" t="inlineStr">
        <is>
          <t>low cost</t>
        </is>
      </c>
    </row>
    <row r="4505" ht="12" customHeight="1" s="54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ht="12" customHeight="1" s="545">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ht="12" customHeight="1" s="545">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ht="12" customHeight="1" s="545">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ht="12" customHeight="1" s="545">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ht="12" customHeight="1" s="545">
      <c r="B4510" t="inlineStr">
        <is>
          <t>Jails – Police Stations</t>
        </is>
      </c>
      <c r="C4510" t="inlineStr">
        <is>
          <t>Good</t>
        </is>
      </c>
      <c r="D4510" t="n">
        <v>55</v>
      </c>
      <c r="E4510" t="n">
        <v>55</v>
      </c>
      <c r="F4510" t="n">
        <v>50</v>
      </c>
      <c r="G4510" t="n">
        <v>45</v>
      </c>
      <c r="I4510">
        <f>B4510&amp;"|"&amp;C4510</f>
        <v/>
      </c>
      <c r="J4510" t="inlineStr">
        <is>
          <t>Police stations, good and excellent</t>
        </is>
      </c>
    </row>
    <row r="4511" ht="12" customHeight="1" s="545">
      <c r="B4511" t="inlineStr">
        <is>
          <t>Jails – Police Stations</t>
        </is>
      </c>
      <c r="C4511" t="inlineStr">
        <is>
          <t>Average</t>
        </is>
      </c>
      <c r="D4511" t="n">
        <v>50</v>
      </c>
      <c r="E4511" t="n">
        <v>50</v>
      </c>
      <c r="F4511" t="n">
        <v>45</v>
      </c>
      <c r="G4511" t="n">
        <v>40</v>
      </c>
      <c r="I4511">
        <f>B4511&amp;"|"&amp;C4511</f>
        <v/>
      </c>
      <c r="J4511" t="inlineStr">
        <is>
          <t>average</t>
        </is>
      </c>
    </row>
    <row r="4512" ht="12" customHeight="1" s="545">
      <c r="B4512" t="inlineStr">
        <is>
          <t>Jails – Police Stations</t>
        </is>
      </c>
      <c r="C4512" t="inlineStr">
        <is>
          <t>Low Cost</t>
        </is>
      </c>
      <c r="D4512" t="n">
        <v>45</v>
      </c>
      <c r="E4512" t="n">
        <v>45</v>
      </c>
      <c r="F4512" t="n">
        <v>40</v>
      </c>
      <c r="I4512">
        <f>B4512&amp;"|"&amp;C4512</f>
        <v/>
      </c>
      <c r="J4512" t="inlineStr">
        <is>
          <t>low cost</t>
        </is>
      </c>
    </row>
    <row r="4513" ht="12" customHeight="1" s="545">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ht="12" customHeight="1" s="545">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ht="12" customHeight="1" s="545">
      <c r="B4515" t="inlineStr">
        <is>
          <t>Shell Office Buildings</t>
        </is>
      </c>
      <c r="C4515" t="inlineStr">
        <is>
          <t>Average</t>
        </is>
      </c>
      <c r="D4515" t="n">
        <v>55</v>
      </c>
      <c r="E4515" t="n">
        <v>55</v>
      </c>
      <c r="F4515" t="n">
        <v>50</v>
      </c>
      <c r="G4515" t="n">
        <v>45</v>
      </c>
      <c r="H4515" t="n">
        <v>45</v>
      </c>
      <c r="I4515">
        <f>B4515&amp;"|"&amp;C4515</f>
        <v/>
      </c>
      <c r="J4515" t="inlineStr">
        <is>
          <t>average</t>
        </is>
      </c>
    </row>
    <row r="4516" ht="12" customHeight="1" s="545">
      <c r="B4516" t="inlineStr">
        <is>
          <t>Shell Office Buildings</t>
        </is>
      </c>
      <c r="C4516" t="inlineStr">
        <is>
          <t>Low Cost</t>
        </is>
      </c>
      <c r="D4516" t="n">
        <v>50</v>
      </c>
      <c r="E4516" t="n">
        <v>50</v>
      </c>
      <c r="F4516" t="n">
        <v>45</v>
      </c>
      <c r="G4516" t="n">
        <v>40</v>
      </c>
      <c r="H4516" t="n">
        <v>40</v>
      </c>
      <c r="I4516">
        <f>B4516&amp;"|"&amp;C4516</f>
        <v/>
      </c>
      <c r="J4516" t="inlineStr">
        <is>
          <t>low cost</t>
        </is>
      </c>
    </row>
    <row r="4517" ht="12" customHeight="1" s="545">
      <c r="B4517" t="inlineStr">
        <is>
          <t>Churches with Sunday Schools</t>
        </is>
      </c>
      <c r="C4517" t="inlineStr">
        <is>
          <t>Good</t>
        </is>
      </c>
      <c r="D4517" t="n">
        <v>60</v>
      </c>
      <c r="E4517" t="n">
        <v>60</v>
      </c>
      <c r="F4517" t="n">
        <v>50</v>
      </c>
      <c r="G4517" t="n">
        <v>45</v>
      </c>
      <c r="H4517" t="n">
        <v>45</v>
      </c>
      <c r="I4517">
        <f>B4517&amp;"|"&amp;C4517</f>
        <v/>
      </c>
      <c r="J4517" t="inlineStr">
        <is>
          <t>good</t>
        </is>
      </c>
    </row>
    <row r="4518" ht="12" customHeight="1" s="545">
      <c r="B4518" t="inlineStr">
        <is>
          <t>Churches with Sunday Schools</t>
        </is>
      </c>
      <c r="C4518" t="inlineStr">
        <is>
          <t>Average</t>
        </is>
      </c>
      <c r="D4518" t="n">
        <v>50</v>
      </c>
      <c r="E4518" t="n">
        <v>50</v>
      </c>
      <c r="F4518" t="n">
        <v>45</v>
      </c>
      <c r="G4518" t="n">
        <v>40</v>
      </c>
      <c r="H4518" t="n">
        <v>40</v>
      </c>
      <c r="I4518">
        <f>B4518&amp;"|"&amp;C4518</f>
        <v/>
      </c>
      <c r="J4518" t="inlineStr">
        <is>
          <t>average</t>
        </is>
      </c>
    </row>
    <row r="4519" ht="12" customHeight="1" s="545">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ht="12" customHeight="1" s="545">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ht="12" customHeight="1" s="545">
      <c r="B4521" t="inlineStr">
        <is>
          <t>Churches – Sanctuaries (Chapels)</t>
        </is>
      </c>
      <c r="C4521" t="inlineStr">
        <is>
          <t>Good</t>
        </is>
      </c>
      <c r="D4521" t="n">
        <v>60</v>
      </c>
      <c r="E4521" t="n">
        <v>60</v>
      </c>
      <c r="F4521" t="n">
        <v>50</v>
      </c>
      <c r="G4521" t="n">
        <v>45</v>
      </c>
      <c r="H4521" t="n">
        <v>45</v>
      </c>
      <c r="I4521">
        <f>B4521&amp;"|"&amp;C4521</f>
        <v/>
      </c>
      <c r="J4521" t="inlineStr">
        <is>
          <t>good</t>
        </is>
      </c>
    </row>
    <row r="4522" ht="12" customHeight="1" s="545">
      <c r="B4522" t="inlineStr">
        <is>
          <t>Churches – Sanctuaries (Chapels)</t>
        </is>
      </c>
      <c r="C4522" t="inlineStr">
        <is>
          <t>Average</t>
        </is>
      </c>
      <c r="D4522" t="n">
        <v>50</v>
      </c>
      <c r="E4522" t="n">
        <v>50</v>
      </c>
      <c r="F4522" t="n">
        <v>45</v>
      </c>
      <c r="G4522" t="n">
        <v>40</v>
      </c>
      <c r="H4522" t="n">
        <v>40</v>
      </c>
      <c r="I4522">
        <f>B4522&amp;"|"&amp;C4522</f>
        <v/>
      </c>
      <c r="J4522" t="inlineStr">
        <is>
          <t>average</t>
        </is>
      </c>
    </row>
    <row r="4523" ht="12" customHeight="1" s="545">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ht="12" customHeight="1" s="545">
      <c r="B4524" t="inlineStr">
        <is>
          <t>Fellowship Halls</t>
        </is>
      </c>
      <c r="C4524" t="inlineStr">
        <is>
          <t>Average</t>
        </is>
      </c>
      <c r="D4524" t="n">
        <v>45</v>
      </c>
      <c r="E4524" t="n">
        <v>45</v>
      </c>
      <c r="F4524" t="n">
        <v>40</v>
      </c>
      <c r="G4524" t="n">
        <v>35</v>
      </c>
      <c r="H4524" t="n">
        <v>35</v>
      </c>
      <c r="I4524">
        <f>B4524&amp;"|"&amp;C4524</f>
        <v/>
      </c>
      <c r="J4524" t="inlineStr">
        <is>
          <t>low cost and average</t>
        </is>
      </c>
    </row>
    <row r="4525" ht="12" customHeight="1" s="54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ht="12" customHeight="1" s="545">
      <c r="B4526" t="inlineStr">
        <is>
          <t>Fellowship Halls</t>
        </is>
      </c>
      <c r="C4526" t="inlineStr">
        <is>
          <t>Cheap</t>
        </is>
      </c>
      <c r="G4526" t="n">
        <v>30</v>
      </c>
      <c r="H4526" t="n">
        <v>30</v>
      </c>
      <c r="I4526">
        <f>B4526&amp;"|"&amp;C4526</f>
        <v/>
      </c>
      <c r="J4526" t="inlineStr">
        <is>
          <t>cheap</t>
        </is>
      </c>
    </row>
    <row r="4527" ht="12" customHeight="1" s="545">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ht="12" customHeight="1" s="545">
      <c r="B4528" t="inlineStr">
        <is>
          <t>Foyers / Narthexes</t>
        </is>
      </c>
      <c r="C4528" t="inlineStr">
        <is>
          <t>Good</t>
        </is>
      </c>
      <c r="D4528" t="n">
        <v>60</v>
      </c>
      <c r="E4528" t="n">
        <v>60</v>
      </c>
      <c r="F4528" t="n">
        <v>50</v>
      </c>
      <c r="G4528" t="n">
        <v>45</v>
      </c>
      <c r="H4528" t="n">
        <v>45</v>
      </c>
      <c r="I4528">
        <f>B4528&amp;"|"&amp;C4528</f>
        <v/>
      </c>
      <c r="J4528" t="inlineStr">
        <is>
          <t>good</t>
        </is>
      </c>
    </row>
    <row r="4529" ht="12" customHeight="1" s="545">
      <c r="B4529" t="inlineStr">
        <is>
          <t>Foyers / Narthexes</t>
        </is>
      </c>
      <c r="C4529" t="inlineStr">
        <is>
          <t>Average</t>
        </is>
      </c>
      <c r="D4529" t="n">
        <v>50</v>
      </c>
      <c r="E4529" t="n">
        <v>50</v>
      </c>
      <c r="F4529" t="n">
        <v>45</v>
      </c>
      <c r="G4529" t="n">
        <v>40</v>
      </c>
      <c r="H4529" t="n">
        <v>40</v>
      </c>
      <c r="I4529">
        <f>B4529&amp;"|"&amp;C4529</f>
        <v/>
      </c>
      <c r="J4529" t="inlineStr">
        <is>
          <t>average</t>
        </is>
      </c>
    </row>
    <row r="4530" ht="12" customHeight="1" s="545">
      <c r="B4530" t="inlineStr">
        <is>
          <t>Church Educational Wings</t>
        </is>
      </c>
      <c r="C4530" t="inlineStr">
        <is>
          <t>Good</t>
        </is>
      </c>
      <c r="D4530" t="n">
        <v>60</v>
      </c>
      <c r="E4530" t="n">
        <v>60</v>
      </c>
      <c r="F4530" t="n">
        <v>50</v>
      </c>
      <c r="G4530" t="n">
        <v>45</v>
      </c>
      <c r="H4530" t="n">
        <v>45</v>
      </c>
      <c r="I4530">
        <f>B4530&amp;"|"&amp;C4530</f>
        <v/>
      </c>
      <c r="J4530" t="inlineStr">
        <is>
          <t>good</t>
        </is>
      </c>
    </row>
    <row r="4531" ht="12" customHeight="1" s="545">
      <c r="B4531" t="inlineStr">
        <is>
          <t>Church Educational Wings</t>
        </is>
      </c>
      <c r="C4531" t="inlineStr">
        <is>
          <t>Average</t>
        </is>
      </c>
      <c r="D4531" t="n">
        <v>50</v>
      </c>
      <c r="E4531" t="n">
        <v>50</v>
      </c>
      <c r="F4531" t="n">
        <v>45</v>
      </c>
      <c r="G4531" t="n">
        <v>40</v>
      </c>
      <c r="H4531" t="n">
        <v>40</v>
      </c>
      <c r="I4531">
        <f>B4531&amp;"|"&amp;C4531</f>
        <v/>
      </c>
      <c r="J4531" t="inlineStr">
        <is>
          <t>average</t>
        </is>
      </c>
    </row>
    <row r="4532" ht="12" customHeight="1" s="545">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ht="12" customHeight="1" s="545">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ht="12" customHeight="1" s="545">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ht="12" customHeight="1" s="545">
      <c r="B4535" t="inlineStr">
        <is>
          <t>Theaters: Live-Stage</t>
        </is>
      </c>
      <c r="C4535" t="inlineStr">
        <is>
          <t>Average</t>
        </is>
      </c>
      <c r="D4535" t="n">
        <v>45</v>
      </c>
      <c r="E4535" t="n">
        <v>45</v>
      </c>
      <c r="F4535" t="n">
        <v>45</v>
      </c>
      <c r="G4535" t="n">
        <v>40</v>
      </c>
      <c r="H4535" t="n">
        <v>40</v>
      </c>
      <c r="I4535">
        <f>B4535&amp;"|"&amp;C4535</f>
        <v/>
      </c>
      <c r="J4535" t="inlineStr">
        <is>
          <t>fair and average</t>
        </is>
      </c>
    </row>
    <row r="4536" ht="12" customHeight="1" s="545">
      <c r="B4536" t="inlineStr">
        <is>
          <t>Theaters: Cinema</t>
        </is>
      </c>
      <c r="C4536" t="inlineStr">
        <is>
          <t>Good</t>
        </is>
      </c>
      <c r="D4536" t="n">
        <v>45</v>
      </c>
      <c r="E4536" t="n">
        <v>45</v>
      </c>
      <c r="F4536" t="n">
        <v>40</v>
      </c>
      <c r="G4536" t="n">
        <v>35</v>
      </c>
      <c r="H4536" t="n">
        <v>35</v>
      </c>
      <c r="I4536">
        <f>B4536&amp;"|"&amp;C4536</f>
        <v/>
      </c>
      <c r="J4536" t="inlineStr">
        <is>
          <t>average and good</t>
        </is>
      </c>
    </row>
    <row r="4537" ht="12" customHeight="1" s="545">
      <c r="B4537" t="inlineStr">
        <is>
          <t>Theaters: Cinema</t>
        </is>
      </c>
      <c r="C4537" t="inlineStr">
        <is>
          <t>Average</t>
        </is>
      </c>
      <c r="D4537" t="n">
        <v>45</v>
      </c>
      <c r="E4537" t="n">
        <v>45</v>
      </c>
      <c r="F4537" t="n">
        <v>40</v>
      </c>
      <c r="G4537" t="n">
        <v>35</v>
      </c>
      <c r="H4537" t="n">
        <v>35</v>
      </c>
      <c r="I4537">
        <f>B4537&amp;"|"&amp;C4537</f>
        <v/>
      </c>
      <c r="J4537" t="inlineStr">
        <is>
          <t>average and good</t>
        </is>
      </c>
    </row>
    <row r="4538" ht="12" customHeight="1" s="545">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ht="12" customHeight="1" s="545">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ht="12" customHeight="1" s="545">
      <c r="B4540" t="inlineStr">
        <is>
          <t>Theaters: Cinema</t>
        </is>
      </c>
      <c r="C4540" t="inlineStr">
        <is>
          <t>Fair</t>
        </is>
      </c>
      <c r="F4540" t="n">
        <v>35</v>
      </c>
      <c r="G4540" t="n">
        <v>30</v>
      </c>
      <c r="H4540" t="n">
        <v>30</v>
      </c>
      <c r="I4540">
        <f>B4540&amp;"|"&amp;C4540</f>
        <v/>
      </c>
      <c r="J4540" t="inlineStr">
        <is>
          <t>low cost and fair</t>
        </is>
      </c>
    </row>
    <row r="4541" ht="12" customHeight="1" s="545">
      <c r="B4541" t="inlineStr">
        <is>
          <t>Auditoriums</t>
        </is>
      </c>
      <c r="C4541" t="inlineStr">
        <is>
          <t>Excellent</t>
        </is>
      </c>
      <c r="D4541" t="n">
        <v>55</v>
      </c>
      <c r="E4541" t="n">
        <v>55</v>
      </c>
      <c r="F4541" t="n">
        <v>50</v>
      </c>
      <c r="G4541" t="n">
        <v>45</v>
      </c>
      <c r="I4541">
        <f>B4541&amp;"|"&amp;C4541</f>
        <v/>
      </c>
      <c r="J4541" t="inlineStr">
        <is>
          <t>Auditoriums, excellent</t>
        </is>
      </c>
    </row>
    <row r="4542" ht="12" customHeight="1" s="545">
      <c r="B4542" t="inlineStr">
        <is>
          <t>Auditoriums</t>
        </is>
      </c>
      <c r="C4542" t="inlineStr">
        <is>
          <t>Good</t>
        </is>
      </c>
      <c r="D4542" t="n">
        <v>50</v>
      </c>
      <c r="E4542" t="n">
        <v>50</v>
      </c>
      <c r="F4542" t="n">
        <v>45</v>
      </c>
      <c r="G4542" t="n">
        <v>40</v>
      </c>
      <c r="H4542" t="n">
        <v>40</v>
      </c>
      <c r="I4542">
        <f>B4542&amp;"|"&amp;C4542</f>
        <v/>
      </c>
      <c r="J4542" t="inlineStr">
        <is>
          <t>average and good</t>
        </is>
      </c>
    </row>
    <row r="4543" ht="12" customHeight="1" s="545">
      <c r="B4543" t="inlineStr">
        <is>
          <t>Auditoriums</t>
        </is>
      </c>
      <c r="C4543" t="inlineStr">
        <is>
          <t>Average</t>
        </is>
      </c>
      <c r="D4543" t="n">
        <v>50</v>
      </c>
      <c r="E4543" t="n">
        <v>50</v>
      </c>
      <c r="F4543" t="n">
        <v>45</v>
      </c>
      <c r="G4543" t="n">
        <v>40</v>
      </c>
      <c r="H4543" t="n">
        <v>40</v>
      </c>
      <c r="I4543">
        <f>B4543&amp;"|"&amp;C4543</f>
        <v/>
      </c>
      <c r="J4543" t="inlineStr">
        <is>
          <t>average and good</t>
        </is>
      </c>
    </row>
    <row r="4544" ht="12" customHeight="1" s="545">
      <c r="B4544" t="inlineStr">
        <is>
          <t>Fraternal Buildings</t>
        </is>
      </c>
      <c r="C4544" t="inlineStr">
        <is>
          <t>Average</t>
        </is>
      </c>
      <c r="D4544" t="n">
        <v>45</v>
      </c>
      <c r="E4544" t="n">
        <v>45</v>
      </c>
      <c r="F4544" t="n">
        <v>40</v>
      </c>
      <c r="G4544" t="n">
        <v>35</v>
      </c>
      <c r="H4544" t="n">
        <v>35</v>
      </c>
      <c r="I4544">
        <f>B4544&amp;"|"&amp;C4544</f>
        <v/>
      </c>
      <c r="J4544" t="inlineStr">
        <is>
          <t>average</t>
        </is>
      </c>
    </row>
    <row r="4545" ht="12" customHeight="1" s="545">
      <c r="B4545" t="inlineStr">
        <is>
          <t>Fraternal Buildings</t>
        </is>
      </c>
      <c r="C4545" t="inlineStr">
        <is>
          <t>Excellent</t>
        </is>
      </c>
      <c r="D4545" t="n">
        <v>55</v>
      </c>
      <c r="E4545" t="n">
        <v>55</v>
      </c>
      <c r="F4545" t="n">
        <v>50</v>
      </c>
      <c r="G4545" t="n">
        <v>45</v>
      </c>
      <c r="I4545">
        <f>B4545&amp;"|"&amp;C4545</f>
        <v/>
      </c>
      <c r="J4545" t="inlineStr">
        <is>
          <t>Fraternal buildings, excellent</t>
        </is>
      </c>
    </row>
    <row r="4546" ht="12" customHeight="1" s="545">
      <c r="B4546" t="inlineStr">
        <is>
          <t>Fraternal Buildings</t>
        </is>
      </c>
      <c r="C4546" t="inlineStr">
        <is>
          <t>Good</t>
        </is>
      </c>
      <c r="D4546" t="n">
        <v>50</v>
      </c>
      <c r="E4546" t="n">
        <v>50</v>
      </c>
      <c r="F4546" t="n">
        <v>45</v>
      </c>
      <c r="G4546" t="n">
        <v>40</v>
      </c>
      <c r="I4546">
        <f>B4546&amp;"|"&amp;C4546</f>
        <v/>
      </c>
      <c r="J4546" t="inlineStr">
        <is>
          <t>good</t>
        </is>
      </c>
    </row>
    <row r="4547" ht="12" customHeight="1" s="545">
      <c r="B4547" t="inlineStr">
        <is>
          <t>Visitor Centers</t>
        </is>
      </c>
      <c r="C4547" t="inlineStr">
        <is>
          <t>Good</t>
        </is>
      </c>
      <c r="D4547" t="n">
        <v>55</v>
      </c>
      <c r="E4547" t="n">
        <v>55</v>
      </c>
      <c r="F4547" t="n">
        <v>50</v>
      </c>
      <c r="G4547" t="n">
        <v>45</v>
      </c>
      <c r="I4547">
        <f>B4547&amp;"|"&amp;C4547</f>
        <v/>
      </c>
      <c r="J4547" t="inlineStr">
        <is>
          <t>Visitor centers, good and excellent</t>
        </is>
      </c>
    </row>
    <row r="4548" ht="12" customHeight="1" s="545">
      <c r="B4548" t="inlineStr">
        <is>
          <t>Visitor Centers</t>
        </is>
      </c>
      <c r="C4548" t="inlineStr">
        <is>
          <t>Average</t>
        </is>
      </c>
      <c r="D4548" t="n">
        <v>50</v>
      </c>
      <c r="E4548" t="n">
        <v>50</v>
      </c>
      <c r="F4548" t="n">
        <v>45</v>
      </c>
      <c r="G4548" t="n">
        <v>40</v>
      </c>
      <c r="H4548" t="n">
        <v>40</v>
      </c>
      <c r="I4548">
        <f>B4548&amp;"|"&amp;C4548</f>
        <v/>
      </c>
      <c r="J4548" t="inlineStr">
        <is>
          <t>average</t>
        </is>
      </c>
    </row>
    <row r="4549" ht="12" customHeight="1" s="545">
      <c r="B4549" t="inlineStr">
        <is>
          <t>Visitor Centers</t>
        </is>
      </c>
      <c r="C4549" t="inlineStr">
        <is>
          <t>Excellent</t>
        </is>
      </c>
      <c r="D4549" t="n">
        <v>55</v>
      </c>
      <c r="E4549" t="n">
        <v>55</v>
      </c>
      <c r="F4549" t="n">
        <v>50</v>
      </c>
      <c r="G4549" t="n">
        <v>45</v>
      </c>
      <c r="I4549">
        <f>B4549&amp;"|"&amp;C4549</f>
        <v/>
      </c>
      <c r="J4549" t="inlineStr">
        <is>
          <t>Visitor centers, good and excellent</t>
        </is>
      </c>
    </row>
    <row r="4550" ht="12" customHeight="1" s="545">
      <c r="B4550" t="inlineStr">
        <is>
          <t>Convention Centers</t>
        </is>
      </c>
      <c r="C4550" t="inlineStr">
        <is>
          <t>Good</t>
        </is>
      </c>
      <c r="D4550" t="n">
        <v>55</v>
      </c>
      <c r="E4550" t="n">
        <v>55</v>
      </c>
      <c r="F4550" t="n">
        <v>50</v>
      </c>
      <c r="G4550" t="n">
        <v>45</v>
      </c>
      <c r="I4550">
        <f>B4550&amp;"|"&amp;C4550</f>
        <v/>
      </c>
      <c r="J4550" t="inlineStr">
        <is>
          <t>Convention centers, good and excellent</t>
        </is>
      </c>
    </row>
    <row r="4551" ht="12" customHeight="1" s="545">
      <c r="B4551" t="inlineStr">
        <is>
          <t>Convention Centers</t>
        </is>
      </c>
      <c r="C4551" t="inlineStr">
        <is>
          <t>Average</t>
        </is>
      </c>
      <c r="D4551" t="n">
        <v>50</v>
      </c>
      <c r="E4551" t="n">
        <v>50</v>
      </c>
      <c r="F4551" t="n">
        <v>45</v>
      </c>
      <c r="G4551" t="n">
        <v>40</v>
      </c>
      <c r="H4551" t="n">
        <v>40</v>
      </c>
      <c r="I4551">
        <f>B4551&amp;"|"&amp;C4551</f>
        <v/>
      </c>
      <c r="J4551" t="inlineStr">
        <is>
          <t>average</t>
        </is>
      </c>
    </row>
    <row r="4552" ht="12" customHeight="1" s="545">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ht="12" customHeight="1" s="545">
      <c r="B4553" t="inlineStr">
        <is>
          <t>Casinos</t>
        </is>
      </c>
      <c r="C4553" t="inlineStr">
        <is>
          <t>Excellent</t>
        </is>
      </c>
      <c r="F4553" t="n">
        <v>50</v>
      </c>
      <c r="I4553">
        <f>B4553&amp;"|"&amp;C4553</f>
        <v/>
      </c>
      <c r="J4553" t="inlineStr">
        <is>
          <t>Casinos, very good</t>
        </is>
      </c>
    </row>
    <row r="4554" ht="12" customHeight="1" s="545">
      <c r="B4554" t="inlineStr">
        <is>
          <t>Casinos</t>
        </is>
      </c>
      <c r="C4554" t="inlineStr">
        <is>
          <t>Very Good</t>
        </is>
      </c>
      <c r="F4554" t="n">
        <v>50</v>
      </c>
      <c r="I4554">
        <f>B4554&amp;"|"&amp;C4554</f>
        <v/>
      </c>
      <c r="J4554" t="inlineStr">
        <is>
          <t>Casinos, very good</t>
        </is>
      </c>
    </row>
    <row r="4555" ht="12" customHeight="1" s="545">
      <c r="B4555" t="inlineStr">
        <is>
          <t>Casinos</t>
        </is>
      </c>
      <c r="C4555" t="inlineStr">
        <is>
          <t>Good</t>
        </is>
      </c>
      <c r="F4555" t="n">
        <v>45</v>
      </c>
      <c r="G4555" t="n">
        <v>40</v>
      </c>
      <c r="I4555">
        <f>B4555&amp;"|"&amp;C4555</f>
        <v/>
      </c>
      <c r="J4555" t="inlineStr">
        <is>
          <t>good</t>
        </is>
      </c>
    </row>
    <row r="4556" ht="12" customHeight="1" s="545">
      <c r="B4556" t="inlineStr">
        <is>
          <t>Casinos</t>
        </is>
      </c>
      <c r="C4556" t="inlineStr">
        <is>
          <t>Average</t>
        </is>
      </c>
      <c r="F4556" t="n">
        <v>40</v>
      </c>
      <c r="G4556" t="n">
        <v>35</v>
      </c>
      <c r="H4556" t="n">
        <v>35</v>
      </c>
      <c r="I4556">
        <f>B4556&amp;"|"&amp;C4556</f>
        <v/>
      </c>
      <c r="J4556" t="inlineStr">
        <is>
          <t>average</t>
        </is>
      </c>
    </row>
    <row r="4557" ht="12" customHeight="1" s="545">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ht="12" customHeight="1" s="545">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ht="12" customHeight="1" s="545">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ht="12" customHeight="1" s="545">
      <c r="B4560" t="inlineStr">
        <is>
          <t>Arcade Buildings</t>
        </is>
      </c>
      <c r="C4560" t="inlineStr">
        <is>
          <t>Excellent</t>
        </is>
      </c>
      <c r="F4560" t="n">
        <v>45</v>
      </c>
      <c r="G4560" t="n">
        <v>40</v>
      </c>
      <c r="I4560">
        <f>B4560&amp;"|"&amp;C4560</f>
        <v/>
      </c>
      <c r="J4560" t="inlineStr">
        <is>
          <t>Arcade buildings, good and excellent</t>
        </is>
      </c>
    </row>
    <row r="4561" ht="12" customHeight="1" s="545">
      <c r="B4561" t="inlineStr">
        <is>
          <t>Arcade Buildings</t>
        </is>
      </c>
      <c r="C4561" t="inlineStr">
        <is>
          <t>Good</t>
        </is>
      </c>
      <c r="F4561" t="n">
        <v>45</v>
      </c>
      <c r="G4561" t="n">
        <v>40</v>
      </c>
      <c r="I4561">
        <f>B4561&amp;"|"&amp;C4561</f>
        <v/>
      </c>
      <c r="J4561" t="inlineStr">
        <is>
          <t>Arcade buildings, good and excellent</t>
        </is>
      </c>
    </row>
    <row r="4562" ht="12" customHeight="1" s="545">
      <c r="B4562" t="inlineStr">
        <is>
          <t>Arcade Buildings</t>
        </is>
      </c>
      <c r="C4562" t="inlineStr">
        <is>
          <t>Average</t>
        </is>
      </c>
      <c r="F4562" t="n">
        <v>40</v>
      </c>
      <c r="G4562" t="n">
        <v>35</v>
      </c>
      <c r="H4562" t="n">
        <v>35</v>
      </c>
      <c r="I4562">
        <f>B4562&amp;"|"&amp;C4562</f>
        <v/>
      </c>
      <c r="J4562" t="inlineStr">
        <is>
          <t>average</t>
        </is>
      </c>
    </row>
    <row r="4563" ht="12" customHeight="1" s="545">
      <c r="B4563" t="inlineStr">
        <is>
          <t>Museums</t>
        </is>
      </c>
      <c r="C4563" t="inlineStr">
        <is>
          <t>Good</t>
        </is>
      </c>
      <c r="D4563" t="n">
        <v>60</v>
      </c>
      <c r="E4563" t="n">
        <v>60</v>
      </c>
      <c r="F4563" t="n">
        <v>55</v>
      </c>
      <c r="G4563" t="n">
        <v>50</v>
      </c>
      <c r="I4563">
        <f>B4563&amp;"|"&amp;C4563</f>
        <v/>
      </c>
      <c r="J4563" t="inlineStr">
        <is>
          <t>Museums, good and excellent</t>
        </is>
      </c>
    </row>
    <row r="4564" ht="12" customHeight="1" s="545">
      <c r="B4564" t="inlineStr">
        <is>
          <t>Museums</t>
        </is>
      </c>
      <c r="C4564" t="inlineStr">
        <is>
          <t>Average</t>
        </is>
      </c>
      <c r="D4564" t="n">
        <v>55</v>
      </c>
      <c r="E4564" t="n">
        <v>55</v>
      </c>
      <c r="F4564" t="n">
        <v>50</v>
      </c>
      <c r="G4564" t="n">
        <v>45</v>
      </c>
      <c r="I4564">
        <f>B4564&amp;"|"&amp;C4564</f>
        <v/>
      </c>
      <c r="J4564" t="inlineStr">
        <is>
          <t>average</t>
        </is>
      </c>
    </row>
    <row r="4565" ht="12" customHeight="1" s="545">
      <c r="B4565" t="inlineStr">
        <is>
          <t>Museums</t>
        </is>
      </c>
      <c r="C4565" t="inlineStr">
        <is>
          <t>Excellent</t>
        </is>
      </c>
      <c r="D4565" t="n">
        <v>60</v>
      </c>
      <c r="E4565" t="n">
        <v>60</v>
      </c>
      <c r="F4565" t="n">
        <v>55</v>
      </c>
      <c r="G4565" t="n">
        <v>50</v>
      </c>
      <c r="I4565">
        <f>B4565&amp;"|"&amp;C4565</f>
        <v/>
      </c>
      <c r="J4565" t="inlineStr">
        <is>
          <t>Museums, good and excellent</t>
        </is>
      </c>
    </row>
    <row r="4566" ht="12" customHeight="1" s="545">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ht="12" customHeight="1" s="545">
      <c r="B4567" t="inlineStr">
        <is>
          <t>Ice Skating Rinks</t>
        </is>
      </c>
      <c r="C4567" t="inlineStr">
        <is>
          <t>Average</t>
        </is>
      </c>
      <c r="D4567" t="n">
        <v>45</v>
      </c>
      <c r="E4567" t="n">
        <v>45</v>
      </c>
      <c r="F4567" t="n">
        <v>40</v>
      </c>
      <c r="G4567" t="n">
        <v>35</v>
      </c>
      <c r="H4567" t="n">
        <v>35</v>
      </c>
      <c r="I4567">
        <f>B4567&amp;"|"&amp;C4567</f>
        <v/>
      </c>
      <c r="J4567" t="inlineStr">
        <is>
          <t>average</t>
        </is>
      </c>
    </row>
    <row r="4568" ht="12" customHeight="1" s="545">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ht="12" customHeight="1" s="545">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ht="12" customHeight="1" s="545">
      <c r="B4570" t="inlineStr">
        <is>
          <t>Roller Skating Rinks</t>
        </is>
      </c>
      <c r="C4570" t="inlineStr">
        <is>
          <t>Average</t>
        </is>
      </c>
      <c r="D4570" t="n">
        <v>45</v>
      </c>
      <c r="E4570" t="n">
        <v>45</v>
      </c>
      <c r="F4570" t="n">
        <v>40</v>
      </c>
      <c r="G4570" t="n">
        <v>35</v>
      </c>
      <c r="H4570" t="n">
        <v>35</v>
      </c>
      <c r="I4570">
        <f>B4570&amp;"|"&amp;C4570</f>
        <v/>
      </c>
      <c r="J4570" t="inlineStr">
        <is>
          <t>average</t>
        </is>
      </c>
    </row>
    <row r="4571" ht="12" customHeight="1" s="545">
      <c r="B4571" t="inlineStr">
        <is>
          <t>Handball/Racquetball Clubs</t>
        </is>
      </c>
      <c r="C4571" t="inlineStr">
        <is>
          <t>Good</t>
        </is>
      </c>
      <c r="F4571" t="n">
        <v>45</v>
      </c>
      <c r="G4571" t="n">
        <v>40</v>
      </c>
      <c r="H4571" t="n">
        <v>40</v>
      </c>
      <c r="I4571">
        <f>B4571&amp;"|"&amp;C4571</f>
        <v/>
      </c>
      <c r="J4571" t="inlineStr">
        <is>
          <t>Handball/racquetball clubs, good</t>
        </is>
      </c>
    </row>
    <row r="4572" ht="12" customHeight="1" s="545">
      <c r="B4572" t="inlineStr">
        <is>
          <t>Handball/Racquetball Clubs</t>
        </is>
      </c>
      <c r="C4572" t="inlineStr">
        <is>
          <t>Average</t>
        </is>
      </c>
      <c r="F4572" t="n">
        <v>40</v>
      </c>
      <c r="G4572" t="n">
        <v>35</v>
      </c>
      <c r="H4572" t="n">
        <v>35</v>
      </c>
      <c r="I4572">
        <f>B4572&amp;"|"&amp;C4572</f>
        <v/>
      </c>
      <c r="J4572" t="inlineStr">
        <is>
          <t>average</t>
        </is>
      </c>
    </row>
    <row r="4573" ht="12" customHeight="1" s="545">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ht="12" customHeight="1" s="545">
      <c r="B4574" t="inlineStr">
        <is>
          <t>Fitness Centers</t>
        </is>
      </c>
      <c r="C4574" t="inlineStr">
        <is>
          <t>Average</t>
        </is>
      </c>
      <c r="D4574" t="n">
        <v>45</v>
      </c>
      <c r="E4574" t="n">
        <v>45</v>
      </c>
      <c r="F4574" t="n">
        <v>40</v>
      </c>
      <c r="G4574" t="n">
        <v>35</v>
      </c>
      <c r="H4574" t="n">
        <v>35</v>
      </c>
      <c r="I4574">
        <f>B4574&amp;"|"&amp;C4574</f>
        <v/>
      </c>
      <c r="J4574" t="inlineStr">
        <is>
          <t>average</t>
        </is>
      </c>
    </row>
    <row r="4575" ht="12" customHeight="1" s="54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ht="12" customHeight="1" s="545">
      <c r="B4576" t="inlineStr">
        <is>
          <t>Bowling Centers</t>
        </is>
      </c>
      <c r="C4576" t="inlineStr">
        <is>
          <t>Excellent</t>
        </is>
      </c>
      <c r="F4576" t="n">
        <v>40</v>
      </c>
      <c r="G4576" t="n">
        <v>35</v>
      </c>
      <c r="H4576" t="n">
        <v>35</v>
      </c>
      <c r="I4576">
        <f>B4576&amp;"|"&amp;C4576</f>
        <v/>
      </c>
      <c r="J4576" t="inlineStr">
        <is>
          <t>Bowling centers, good and excellent</t>
        </is>
      </c>
    </row>
    <row r="4577" ht="12" customHeight="1" s="545">
      <c r="B4577" t="inlineStr">
        <is>
          <t>Bowling Centers</t>
        </is>
      </c>
      <c r="C4577" t="inlineStr">
        <is>
          <t>Good</t>
        </is>
      </c>
      <c r="F4577" t="n">
        <v>40</v>
      </c>
      <c r="G4577" t="n">
        <v>35</v>
      </c>
      <c r="H4577" t="n">
        <v>35</v>
      </c>
      <c r="I4577">
        <f>B4577&amp;"|"&amp;C4577</f>
        <v/>
      </c>
      <c r="J4577" t="inlineStr">
        <is>
          <t>Bowling centers, good and excellent</t>
        </is>
      </c>
    </row>
    <row r="4578" ht="12" customHeight="1" s="545">
      <c r="B4578" t="inlineStr">
        <is>
          <t>Bowling Centers</t>
        </is>
      </c>
      <c r="C4578" t="inlineStr">
        <is>
          <t>Average</t>
        </is>
      </c>
      <c r="F4578" t="n">
        <v>35</v>
      </c>
      <c r="G4578" t="n">
        <v>30</v>
      </c>
      <c r="H4578" t="n">
        <v>30</v>
      </c>
      <c r="I4578">
        <f>B4578&amp;"|"&amp;C4578</f>
        <v/>
      </c>
      <c r="J4578" t="inlineStr">
        <is>
          <t>low cost and average</t>
        </is>
      </c>
    </row>
    <row r="4579" ht="12" customHeight="1" s="545">
      <c r="B4579" t="inlineStr">
        <is>
          <t>Indoor Tennis Clubs</t>
        </is>
      </c>
      <c r="C4579" t="inlineStr">
        <is>
          <t>Good</t>
        </is>
      </c>
      <c r="F4579" t="n">
        <v>45</v>
      </c>
      <c r="G4579" t="n">
        <v>40</v>
      </c>
      <c r="H4579" t="n">
        <v>40</v>
      </c>
      <c r="I4579">
        <f>B4579&amp;"|"&amp;C4579</f>
        <v/>
      </c>
      <c r="J4579" t="inlineStr">
        <is>
          <t>Indoor tennis clubs, good</t>
        </is>
      </c>
    </row>
    <row r="4580" ht="12" customHeight="1" s="545">
      <c r="B4580" t="inlineStr">
        <is>
          <t>Indoor Tennis Clubs</t>
        </is>
      </c>
      <c r="C4580" t="inlineStr">
        <is>
          <t>Average</t>
        </is>
      </c>
      <c r="F4580" t="n">
        <v>40</v>
      </c>
      <c r="G4580" t="n">
        <v>35</v>
      </c>
      <c r="H4580" t="n">
        <v>35</v>
      </c>
      <c r="I4580">
        <f>B4580&amp;"|"&amp;C4580</f>
        <v/>
      </c>
      <c r="J4580" t="inlineStr">
        <is>
          <t>average</t>
        </is>
      </c>
    </row>
    <row r="4581" ht="12" customHeight="1" s="545">
      <c r="B4581" t="inlineStr">
        <is>
          <t>Pavilions</t>
        </is>
      </c>
      <c r="C4581" t="inlineStr">
        <is>
          <t>Excellent</t>
        </is>
      </c>
      <c r="F4581" t="n">
        <v>50</v>
      </c>
      <c r="G4581" t="n">
        <v>45</v>
      </c>
      <c r="I4581">
        <f>B4581&amp;"|"&amp;C4581</f>
        <v/>
      </c>
      <c r="J4581" t="inlineStr">
        <is>
          <t>Pavillions, excellent</t>
        </is>
      </c>
    </row>
    <row r="4582" ht="12" customHeight="1" s="545">
      <c r="B4582" t="inlineStr">
        <is>
          <t>Pavilions</t>
        </is>
      </c>
      <c r="C4582" t="inlineStr">
        <is>
          <t>Very Good</t>
        </is>
      </c>
      <c r="F4582" t="n">
        <v>45</v>
      </c>
      <c r="G4582" t="n">
        <v>40</v>
      </c>
      <c r="I4582">
        <f>B4582&amp;"|"&amp;C4582</f>
        <v/>
      </c>
      <c r="J4582" t="inlineStr">
        <is>
          <t>very good</t>
        </is>
      </c>
    </row>
    <row r="4583" ht="12" customHeight="1" s="545">
      <c r="B4583" t="inlineStr">
        <is>
          <t>Pavilions</t>
        </is>
      </c>
      <c r="C4583" t="inlineStr">
        <is>
          <t>Good</t>
        </is>
      </c>
      <c r="F4583" t="n">
        <v>40</v>
      </c>
      <c r="G4583" t="n">
        <v>35</v>
      </c>
      <c r="I4583">
        <f>B4583&amp;"|"&amp;C4583</f>
        <v/>
      </c>
      <c r="J4583" t="inlineStr">
        <is>
          <t>good</t>
        </is>
      </c>
    </row>
    <row r="4584" ht="12" customHeight="1" s="545">
      <c r="B4584" t="inlineStr">
        <is>
          <t>Pavilions</t>
        </is>
      </c>
      <c r="C4584" t="inlineStr">
        <is>
          <t>Average</t>
        </is>
      </c>
      <c r="F4584" t="n">
        <v>35</v>
      </c>
      <c r="G4584" t="n">
        <v>30</v>
      </c>
      <c r="H4584" t="n">
        <v>30</v>
      </c>
      <c r="I4584">
        <f>B4584&amp;"|"&amp;C4584</f>
        <v/>
      </c>
      <c r="J4584" t="inlineStr">
        <is>
          <t>fair and averge</t>
        </is>
      </c>
    </row>
    <row r="4585" ht="12" customHeight="1" s="545">
      <c r="B4585" t="inlineStr">
        <is>
          <t>Pavilions</t>
        </is>
      </c>
      <c r="C4585" t="inlineStr">
        <is>
          <t>Fair</t>
        </is>
      </c>
      <c r="F4585" t="n">
        <v>35</v>
      </c>
      <c r="G4585" t="n">
        <v>30</v>
      </c>
      <c r="H4585" t="n">
        <v>30</v>
      </c>
      <c r="I4585">
        <f>B4585&amp;"|"&amp;C4585</f>
        <v/>
      </c>
      <c r="J4585" t="inlineStr">
        <is>
          <t>fair and averge</t>
        </is>
      </c>
    </row>
    <row r="4586" ht="12" customHeight="1" s="545">
      <c r="B4586" t="inlineStr">
        <is>
          <t>Pavilions</t>
        </is>
      </c>
      <c r="C4586" t="inlineStr">
        <is>
          <t>Cheap</t>
        </is>
      </c>
      <c r="F4586" t="n">
        <v>25</v>
      </c>
      <c r="G4586" t="n">
        <v>20</v>
      </c>
      <c r="H4586" t="n">
        <v>20</v>
      </c>
      <c r="I4586">
        <f>B4586&amp;"|"&amp;C4586</f>
        <v/>
      </c>
      <c r="J4586" t="inlineStr">
        <is>
          <t>cheap</t>
        </is>
      </c>
    </row>
    <row r="4587" ht="12" customHeight="1" s="545">
      <c r="B4587" t="inlineStr">
        <is>
          <t>Light Commercial – Commodity Warehouse</t>
        </is>
      </c>
      <c r="C4587" t="inlineStr">
        <is>
          <t>Good</t>
        </is>
      </c>
      <c r="F4587" t="n">
        <v>35</v>
      </c>
      <c r="G4587" t="n">
        <v>30</v>
      </c>
      <c r="H4587" t="n">
        <v>30</v>
      </c>
      <c r="I4587">
        <f>B4587&amp;"|"&amp;C4587</f>
        <v/>
      </c>
      <c r="J4587" t="inlineStr">
        <is>
          <t>Commodity warehouse, light commercial, good</t>
        </is>
      </c>
    </row>
    <row r="4588" ht="12" customHeight="1" s="545">
      <c r="B4588" t="inlineStr">
        <is>
          <t>Light Commercial – Commodity Warehouse</t>
        </is>
      </c>
      <c r="C4588" t="inlineStr">
        <is>
          <t>Average</t>
        </is>
      </c>
      <c r="F4588" t="n">
        <v>30</v>
      </c>
      <c r="G4588" t="n">
        <v>25</v>
      </c>
      <c r="H4588" t="n">
        <v>25</v>
      </c>
      <c r="I4588">
        <f>B4588&amp;"|"&amp;C4588</f>
        <v/>
      </c>
      <c r="J4588" t="inlineStr">
        <is>
          <t>average</t>
        </is>
      </c>
    </row>
    <row r="4589" ht="12" customHeight="1" s="545">
      <c r="B4589" t="inlineStr">
        <is>
          <t>Light Commercial – Commodity Warehouse</t>
        </is>
      </c>
      <c r="C4589" t="inlineStr">
        <is>
          <t>Low Cost</t>
        </is>
      </c>
      <c r="G4589" t="n">
        <v>20</v>
      </c>
      <c r="H4589" t="n">
        <v>20</v>
      </c>
      <c r="I4589">
        <f>B4589&amp;"|"&amp;C4589</f>
        <v/>
      </c>
      <c r="J4589" t="inlineStr">
        <is>
          <t>low cost</t>
        </is>
      </c>
    </row>
    <row r="4590" ht="12" customHeight="1" s="545">
      <c r="B4590" t="inlineStr">
        <is>
          <t>Light Commercial – Manufacturing Utility Buildings</t>
        </is>
      </c>
      <c r="C4590" t="inlineStr">
        <is>
          <t>Good</t>
        </is>
      </c>
      <c r="G4590" t="n">
        <v>30</v>
      </c>
      <c r="H4590" t="n">
        <v>35</v>
      </c>
      <c r="I4590">
        <f>B4590&amp;"|"&amp;C4590</f>
        <v/>
      </c>
      <c r="J4590" t="inlineStr">
        <is>
          <t>Manufacturing, light commerical utility, good</t>
        </is>
      </c>
    </row>
    <row r="4591" ht="12" customHeight="1" s="545">
      <c r="B4591" t="inlineStr">
        <is>
          <t>Light Commercial – Manufacturing Utility Buildings</t>
        </is>
      </c>
      <c r="C4591" t="inlineStr">
        <is>
          <t>Average</t>
        </is>
      </c>
      <c r="G4591" t="n">
        <v>25</v>
      </c>
      <c r="H4591" t="n">
        <v>30</v>
      </c>
      <c r="I4591">
        <f>B4591&amp;"|"&amp;C4591</f>
        <v/>
      </c>
      <c r="J4591" t="inlineStr">
        <is>
          <t>average</t>
        </is>
      </c>
    </row>
    <row r="4592" ht="12" customHeight="1" s="545">
      <c r="B4592" t="inlineStr">
        <is>
          <t>Light Commercial – Manufacturing Utility Buildings</t>
        </is>
      </c>
      <c r="C4592" t="inlineStr">
        <is>
          <t>Low Cost</t>
        </is>
      </c>
      <c r="G4592" t="n">
        <v>20</v>
      </c>
      <c r="H4592" t="n">
        <v>25</v>
      </c>
      <c r="I4592">
        <f>B4592&amp;"|"&amp;C4592</f>
        <v/>
      </c>
      <c r="J4592" t="inlineStr">
        <is>
          <t>low cost</t>
        </is>
      </c>
    </row>
    <row r="4593" ht="12" customHeight="1" s="545">
      <c r="B4593" t="inlineStr">
        <is>
          <t>Material – Commodity Shelters</t>
        </is>
      </c>
      <c r="C4593" t="inlineStr">
        <is>
          <t>Good</t>
        </is>
      </c>
      <c r="G4593" t="n">
        <v>25</v>
      </c>
      <c r="H4593" t="n">
        <v>30</v>
      </c>
      <c r="I4593">
        <f>B4593&amp;"|"&amp;C4593</f>
        <v/>
      </c>
      <c r="J4593" t="inlineStr">
        <is>
          <t>Material shelters, good</t>
        </is>
      </c>
    </row>
    <row r="4594" ht="12" customHeight="1" s="545">
      <c r="B4594" t="inlineStr">
        <is>
          <t>Material – Commodity Shelters</t>
        </is>
      </c>
      <c r="C4594" t="inlineStr">
        <is>
          <t>Low Cost</t>
        </is>
      </c>
      <c r="G4594" t="n">
        <v>15</v>
      </c>
      <c r="H4594" t="n">
        <v>15</v>
      </c>
      <c r="I4594">
        <f>B4594&amp;"|"&amp;C4594</f>
        <v/>
      </c>
      <c r="J4594" t="inlineStr">
        <is>
          <t>low cost</t>
        </is>
      </c>
    </row>
    <row r="4595" ht="12" customHeight="1" s="545">
      <c r="B4595" t="inlineStr">
        <is>
          <t>Material – Commodity Shelters</t>
        </is>
      </c>
      <c r="C4595" t="inlineStr">
        <is>
          <t>Very Good</t>
        </is>
      </c>
      <c r="G4595" t="n">
        <v>25</v>
      </c>
      <c r="H4595" t="n">
        <v>30</v>
      </c>
      <c r="I4595">
        <f>B4595&amp;"|"&amp;C4595</f>
        <v/>
      </c>
      <c r="J4595" t="inlineStr">
        <is>
          <t>Material shelters, good</t>
        </is>
      </c>
    </row>
    <row r="4596" ht="12" customHeight="1" s="545">
      <c r="B4596" t="inlineStr">
        <is>
          <t>Material – Commodity Shelters</t>
        </is>
      </c>
      <c r="C4596" t="inlineStr">
        <is>
          <t>Average</t>
        </is>
      </c>
      <c r="G4596" t="n">
        <v>20</v>
      </c>
      <c r="H4596" t="n">
        <v>20</v>
      </c>
      <c r="I4596">
        <f>B4596&amp;"|"&amp;C4596</f>
        <v/>
      </c>
      <c r="J4596" t="inlineStr">
        <is>
          <t>average</t>
        </is>
      </c>
    </row>
    <row r="4597" ht="12" customHeight="1" s="545">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ht="12" customHeight="1" s="545">
      <c r="B4598" t="inlineStr">
        <is>
          <t>Light Commercial Utility Buildings</t>
        </is>
      </c>
      <c r="C4598" t="inlineStr">
        <is>
          <t>Average</t>
        </is>
      </c>
      <c r="F4598" t="n">
        <v>30</v>
      </c>
      <c r="G4598" t="n">
        <v>25</v>
      </c>
      <c r="H4598" t="n">
        <v>25</v>
      </c>
      <c r="I4598">
        <f>B4598&amp;"|"&amp;C4598</f>
        <v/>
      </c>
      <c r="J4598" t="inlineStr">
        <is>
          <t>average</t>
        </is>
      </c>
    </row>
    <row r="4599" ht="12" customHeight="1" s="545">
      <c r="B4599" t="inlineStr">
        <is>
          <t>Light Commercial Utility Buildings</t>
        </is>
      </c>
      <c r="C4599" t="inlineStr">
        <is>
          <t>Low Cost</t>
        </is>
      </c>
      <c r="G4599" t="n">
        <v>20</v>
      </c>
      <c r="H4599" t="n">
        <v>20</v>
      </c>
      <c r="I4599">
        <f>B4599&amp;"|"&amp;C4599</f>
        <v/>
      </c>
      <c r="J4599" t="inlineStr">
        <is>
          <t>low cost</t>
        </is>
      </c>
    </row>
    <row r="4600" ht="12" customHeight="1" s="545">
      <c r="B4600" t="inlineStr">
        <is>
          <t>Toolshed Buildings</t>
        </is>
      </c>
      <c r="C4600" t="inlineStr">
        <is>
          <t>Good</t>
        </is>
      </c>
      <c r="F4600" t="n">
        <v>25</v>
      </c>
      <c r="G4600" t="n">
        <v>20</v>
      </c>
      <c r="I4600">
        <f>B4600&amp;"|"&amp;C4600</f>
        <v/>
      </c>
      <c r="J4600" t="inlineStr">
        <is>
          <t>Toolshed buildings, good</t>
        </is>
      </c>
    </row>
    <row r="4601" ht="12" customHeight="1" s="545">
      <c r="B4601" t="inlineStr">
        <is>
          <t>Toolshed Buildings</t>
        </is>
      </c>
      <c r="C4601" t="inlineStr">
        <is>
          <t>Average</t>
        </is>
      </c>
      <c r="G4601" t="n">
        <v>15</v>
      </c>
      <c r="I4601">
        <f>B4601&amp;"|"&amp;C4601</f>
        <v/>
      </c>
      <c r="J4601" t="inlineStr">
        <is>
          <t>average</t>
        </is>
      </c>
    </row>
    <row r="4602" ht="12" customHeight="1" s="545">
      <c r="B4602" t="inlineStr">
        <is>
          <t>Toolshed Buildings</t>
        </is>
      </c>
      <c r="C4602" t="inlineStr">
        <is>
          <t>Low Cost</t>
        </is>
      </c>
      <c r="G4602" t="n">
        <v>10</v>
      </c>
      <c r="I4602">
        <f>B4602&amp;"|"&amp;C4602</f>
        <v/>
      </c>
      <c r="J4602" t="inlineStr">
        <is>
          <t>low cost</t>
        </is>
      </c>
    </row>
    <row r="4603" ht="12" customHeight="1" s="545">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ht="12" customHeight="1" s="545">
      <c r="B4604" t="inlineStr">
        <is>
          <t>Light Commercial Arch-Rib (Quonset) Buildings</t>
        </is>
      </c>
      <c r="C4604" t="inlineStr">
        <is>
          <t>Average</t>
        </is>
      </c>
      <c r="F4604" t="n">
        <v>30</v>
      </c>
      <c r="G4604" t="n">
        <v>25</v>
      </c>
      <c r="H4604" t="n">
        <v>25</v>
      </c>
      <c r="I4604">
        <f>B4604&amp;"|"&amp;C4604</f>
        <v/>
      </c>
      <c r="J4604" t="inlineStr">
        <is>
          <t>average</t>
        </is>
      </c>
    </row>
    <row r="4605" ht="12" customHeight="1" s="545">
      <c r="B4605" t="inlineStr">
        <is>
          <t>Light Commercial Arch-Rib (Quonset) Buildings</t>
        </is>
      </c>
      <c r="C4605" t="inlineStr">
        <is>
          <t>Low Cost</t>
        </is>
      </c>
      <c r="G4605" t="n">
        <v>20</v>
      </c>
      <c r="H4605" t="n">
        <v>20</v>
      </c>
      <c r="I4605">
        <f>B4605&amp;"|"&amp;C4605</f>
        <v/>
      </c>
      <c r="J4605" t="inlineStr">
        <is>
          <t>low cost</t>
        </is>
      </c>
    </row>
    <row r="4606" ht="12" customHeight="1" s="545">
      <c r="B4606" t="inlineStr">
        <is>
          <t>Light Commercial Equipment (Shop) Buildings</t>
        </is>
      </c>
      <c r="C4606" t="inlineStr">
        <is>
          <t>Good</t>
        </is>
      </c>
      <c r="F4606" t="n">
        <v>35</v>
      </c>
      <c r="G4606" t="n">
        <v>30</v>
      </c>
      <c r="H4606" t="n">
        <v>30</v>
      </c>
      <c r="I4606">
        <f>B4606&amp;"|"&amp;C4606</f>
        <v/>
      </c>
      <c r="J4606" t="inlineStr">
        <is>
          <t>Equipment shop buildings, good</t>
        </is>
      </c>
    </row>
    <row r="4607" ht="12" customHeight="1" s="545">
      <c r="B4607" t="inlineStr">
        <is>
          <t>Light Commercial Equipment (Shop) Buildings</t>
        </is>
      </c>
      <c r="C4607" t="inlineStr">
        <is>
          <t>Average</t>
        </is>
      </c>
      <c r="F4607" t="n">
        <v>30</v>
      </c>
      <c r="G4607" t="n">
        <v>25</v>
      </c>
      <c r="H4607" t="n">
        <v>25</v>
      </c>
      <c r="I4607">
        <f>B4607&amp;"|"&amp;C4607</f>
        <v/>
      </c>
      <c r="J4607" t="inlineStr">
        <is>
          <t>average</t>
        </is>
      </c>
    </row>
    <row r="4608" ht="12" customHeight="1" s="545">
      <c r="B4608" t="inlineStr">
        <is>
          <t>Light Commercial Equipment Sheds</t>
        </is>
      </c>
      <c r="C4608" t="inlineStr">
        <is>
          <t>Good</t>
        </is>
      </c>
      <c r="F4608" t="n">
        <v>30</v>
      </c>
      <c r="G4608" t="n">
        <v>25</v>
      </c>
      <c r="H4608" t="n">
        <v>25</v>
      </c>
      <c r="I4608">
        <f>B4608&amp;"|"&amp;C4608</f>
        <v/>
      </c>
      <c r="J4608" t="inlineStr">
        <is>
          <t>Equipment sheds, good</t>
        </is>
      </c>
    </row>
    <row r="4609" ht="12" customHeight="1" s="545">
      <c r="B4609" t="inlineStr">
        <is>
          <t>Light Commercial Equipment Sheds</t>
        </is>
      </c>
      <c r="C4609" t="inlineStr">
        <is>
          <t>Average</t>
        </is>
      </c>
      <c r="F4609" t="n">
        <v>25</v>
      </c>
      <c r="G4609" t="n">
        <v>20</v>
      </c>
      <c r="H4609" t="n">
        <v>20</v>
      </c>
      <c r="I4609">
        <f>B4609&amp;"|"&amp;C4609</f>
        <v/>
      </c>
      <c r="J4609" t="inlineStr">
        <is>
          <t>average</t>
        </is>
      </c>
    </row>
    <row r="4610" ht="12" customHeight="1" s="545">
      <c r="B4610" t="inlineStr">
        <is>
          <t>Shed Office Structures</t>
        </is>
      </c>
      <c r="C4610" t="inlineStr">
        <is>
          <t>Good</t>
        </is>
      </c>
      <c r="F4610" t="n">
        <v>40</v>
      </c>
      <c r="G4610" t="n">
        <v>35</v>
      </c>
      <c r="H4610" t="n">
        <v>35</v>
      </c>
      <c r="I4610">
        <f>B4610&amp;"|"&amp;C4610</f>
        <v/>
      </c>
      <c r="J4610" t="inlineStr">
        <is>
          <t>Shed office structures, good</t>
        </is>
      </c>
    </row>
    <row r="4611" ht="12" customHeight="1" s="545">
      <c r="B4611" t="inlineStr">
        <is>
          <t>Shed Office Structures</t>
        </is>
      </c>
      <c r="C4611" t="inlineStr">
        <is>
          <t>Average</t>
        </is>
      </c>
      <c r="F4611" t="n">
        <v>35</v>
      </c>
      <c r="G4611" t="n">
        <v>30</v>
      </c>
      <c r="H4611" t="n">
        <v>30</v>
      </c>
      <c r="I4611">
        <f>B4611&amp;"|"&amp;C4611</f>
        <v/>
      </c>
      <c r="J4611" t="inlineStr">
        <is>
          <t>average</t>
        </is>
      </c>
    </row>
    <row r="4612" ht="12" customHeight="1" s="545">
      <c r="B4612" t="inlineStr">
        <is>
          <t>Shed Office Structures</t>
        </is>
      </c>
      <c r="C4612" t="inlineStr">
        <is>
          <t>Low Cost</t>
        </is>
      </c>
      <c r="G4612" t="n">
        <v>25</v>
      </c>
      <c r="H4612" t="n">
        <v>25</v>
      </c>
      <c r="I4612">
        <f>B4612&amp;"|"&amp;C4612</f>
        <v/>
      </c>
      <c r="J4612" t="inlineStr">
        <is>
          <t>low cost</t>
        </is>
      </c>
    </row>
    <row r="4613" ht="12" customHeight="1" s="545">
      <c r="B4613" t="inlineStr">
        <is>
          <t>Golf Cart Storage Buildings</t>
        </is>
      </c>
      <c r="C4613" t="inlineStr">
        <is>
          <t>Excellent</t>
        </is>
      </c>
      <c r="G4613" t="n">
        <v>35</v>
      </c>
      <c r="H4613" t="n">
        <v>30</v>
      </c>
      <c r="I4613">
        <f>B4613&amp;"|"&amp;C4613</f>
        <v/>
      </c>
      <c r="J4613" t="inlineStr">
        <is>
          <t>Golf cart storage buildings, good</t>
        </is>
      </c>
    </row>
    <row r="4614" ht="12" customHeight="1" s="545">
      <c r="B4614" t="inlineStr">
        <is>
          <t>Golf Cart Storage Buildings</t>
        </is>
      </c>
      <c r="C4614" t="inlineStr">
        <is>
          <t>Good</t>
        </is>
      </c>
      <c r="G4614" t="n">
        <v>35</v>
      </c>
      <c r="H4614" t="n">
        <v>30</v>
      </c>
      <c r="I4614">
        <f>B4614&amp;"|"&amp;C4614</f>
        <v/>
      </c>
      <c r="J4614" t="inlineStr">
        <is>
          <t>Golf cart storage buildings, good</t>
        </is>
      </c>
    </row>
    <row r="4615" ht="12" customHeight="1" s="545">
      <c r="B4615" t="inlineStr">
        <is>
          <t>Golf Cart Storage Buildings</t>
        </is>
      </c>
      <c r="C4615" t="inlineStr">
        <is>
          <t>Average</t>
        </is>
      </c>
      <c r="G4615" t="n">
        <v>30</v>
      </c>
      <c r="H4615" t="n">
        <v>25</v>
      </c>
      <c r="I4615">
        <f>B4615&amp;"|"&amp;C4615</f>
        <v/>
      </c>
      <c r="J4615" t="inlineStr">
        <is>
          <t>average</t>
        </is>
      </c>
    </row>
    <row r="4616" ht="12" customHeight="1" s="545">
      <c r="B4616" t="inlineStr">
        <is>
          <t>Golf Starter (Guard House) Booths</t>
        </is>
      </c>
      <c r="C4616" t="inlineStr">
        <is>
          <t>Excellent</t>
        </is>
      </c>
      <c r="F4616" t="n">
        <v>40</v>
      </c>
      <c r="G4616" t="n">
        <v>35</v>
      </c>
      <c r="I4616">
        <f>B4616&amp;"|"&amp;C4616</f>
        <v/>
      </c>
      <c r="J4616" t="inlineStr">
        <is>
          <t>Golf starter booths, excellent</t>
        </is>
      </c>
    </row>
    <row r="4617" ht="12" customHeight="1" s="545">
      <c r="B4617" t="inlineStr">
        <is>
          <t>Golf Starter (Guard House) Booths</t>
        </is>
      </c>
      <c r="C4617" t="inlineStr">
        <is>
          <t>Good</t>
        </is>
      </c>
      <c r="F4617" t="n">
        <v>35</v>
      </c>
      <c r="G4617" t="n">
        <v>30</v>
      </c>
      <c r="H4617" t="n">
        <v>25</v>
      </c>
      <c r="I4617">
        <f>B4617&amp;"|"&amp;C4617</f>
        <v/>
      </c>
      <c r="J4617" t="inlineStr">
        <is>
          <t>good</t>
        </is>
      </c>
    </row>
    <row r="4618" ht="12" customHeight="1" s="545">
      <c r="B4618" t="inlineStr">
        <is>
          <t>Golf Starter (Guard House) Booths</t>
        </is>
      </c>
      <c r="C4618" t="inlineStr">
        <is>
          <t>Average</t>
        </is>
      </c>
      <c r="F4618" t="n">
        <v>25</v>
      </c>
      <c r="G4618" t="n">
        <v>20</v>
      </c>
      <c r="H4618" t="n">
        <v>20</v>
      </c>
      <c r="I4618">
        <f>B4618&amp;"|"&amp;C4618</f>
        <v/>
      </c>
      <c r="J4618" t="inlineStr">
        <is>
          <t>average</t>
        </is>
      </c>
    </row>
    <row r="4619" ht="12" customHeight="1" s="545">
      <c r="B4619" t="inlineStr">
        <is>
          <t>Golf Starter (Guard House) Booths</t>
        </is>
      </c>
      <c r="C4619" t="inlineStr">
        <is>
          <t>Low Cost</t>
        </is>
      </c>
      <c r="G4619" t="n">
        <v>15</v>
      </c>
      <c r="H4619" t="n">
        <v>10</v>
      </c>
      <c r="I4619">
        <f>B4619&amp;"|"&amp;C4619</f>
        <v/>
      </c>
      <c r="J4619" t="inlineStr">
        <is>
          <t>low cost</t>
        </is>
      </c>
    </row>
    <row r="4620" ht="12" customHeight="1" s="545">
      <c r="B4620" t="inlineStr">
        <is>
          <t>Material Storage Buildings</t>
        </is>
      </c>
      <c r="C4620" t="inlineStr">
        <is>
          <t>Very Good</t>
        </is>
      </c>
      <c r="F4620" t="n">
        <v>30</v>
      </c>
      <c r="G4620" t="n">
        <v>25</v>
      </c>
      <c r="H4620" t="n">
        <v>25</v>
      </c>
      <c r="I4620">
        <f>B4620&amp;"|"&amp;C4620</f>
        <v/>
      </c>
      <c r="J4620" t="inlineStr">
        <is>
          <t>Material storage buildings, good</t>
        </is>
      </c>
    </row>
    <row r="4621" ht="12" customHeight="1" s="545">
      <c r="B4621" t="inlineStr">
        <is>
          <t>Material Storage Buildings</t>
        </is>
      </c>
      <c r="C4621" t="inlineStr">
        <is>
          <t>Good</t>
        </is>
      </c>
      <c r="F4621" t="n">
        <v>30</v>
      </c>
      <c r="G4621" t="n">
        <v>25</v>
      </c>
      <c r="H4621" t="n">
        <v>25</v>
      </c>
      <c r="I4621">
        <f>B4621&amp;"|"&amp;C4621</f>
        <v/>
      </c>
      <c r="J4621" t="inlineStr">
        <is>
          <t>Material storage buildings, good</t>
        </is>
      </c>
    </row>
    <row r="4622" ht="12" customHeight="1" s="545">
      <c r="B4622" t="inlineStr">
        <is>
          <t>Material Storage Buildings</t>
        </is>
      </c>
      <c r="C4622" t="inlineStr">
        <is>
          <t>Average</t>
        </is>
      </c>
      <c r="F4622" t="n">
        <v>25</v>
      </c>
      <c r="G4622" t="n">
        <v>20</v>
      </c>
      <c r="H4622" t="n">
        <v>20</v>
      </c>
      <c r="I4622">
        <f>B4622&amp;"|"&amp;C4622</f>
        <v/>
      </c>
      <c r="J4622" t="inlineStr">
        <is>
          <t>average</t>
        </is>
      </c>
    </row>
    <row r="4623" ht="12" customHeight="1" s="545">
      <c r="B4623" t="inlineStr">
        <is>
          <t>Material Storage Sheds</t>
        </is>
      </c>
      <c r="C4623" t="inlineStr">
        <is>
          <t>Average</t>
        </is>
      </c>
      <c r="F4623" t="n">
        <v>25</v>
      </c>
      <c r="G4623" t="n">
        <v>20</v>
      </c>
      <c r="H4623" t="n">
        <v>20</v>
      </c>
      <c r="I4623">
        <f>B4623&amp;"|"&amp;C4623</f>
        <v/>
      </c>
      <c r="J4623" t="inlineStr">
        <is>
          <t>Material storage sheds, average</t>
        </is>
      </c>
    </row>
    <row r="4624" ht="12" customHeight="1" s="545">
      <c r="B4624" t="inlineStr">
        <is>
          <t>Material Storage Sheds</t>
        </is>
      </c>
      <c r="C4624" t="inlineStr">
        <is>
          <t>Low Cost</t>
        </is>
      </c>
      <c r="F4624" t="n">
        <v>20</v>
      </c>
      <c r="G4624" t="n">
        <v>15</v>
      </c>
      <c r="H4624" t="n">
        <v>15</v>
      </c>
      <c r="I4624">
        <f>B4624&amp;"|"&amp;C4624</f>
        <v/>
      </c>
      <c r="J4624" t="inlineStr">
        <is>
          <t>low cost</t>
        </is>
      </c>
    </row>
    <row r="4625" ht="12" customHeight="1" s="545">
      <c r="B4625" t="inlineStr">
        <is>
          <t>Bulk Oil Storage</t>
        </is>
      </c>
      <c r="C4625" t="inlineStr">
        <is>
          <t>Average</t>
        </is>
      </c>
      <c r="G4625" t="n">
        <v>30</v>
      </c>
      <c r="H4625" t="n">
        <v>30</v>
      </c>
      <c r="I4625">
        <f>B4625&amp;"|"&amp;C4625</f>
        <v/>
      </c>
      <c r="J4625" t="inlineStr">
        <is>
          <t>Bulk oil storage, average</t>
        </is>
      </c>
    </row>
    <row r="4626" ht="12" customHeight="1" s="545">
      <c r="B4626" t="inlineStr">
        <is>
          <t>Lumber Storage Buildings</t>
        </is>
      </c>
      <c r="C4626" t="inlineStr">
        <is>
          <t>Good</t>
        </is>
      </c>
      <c r="G4626" t="n">
        <v>25</v>
      </c>
      <c r="H4626" t="n">
        <v>25</v>
      </c>
      <c r="I4626">
        <f>B4626&amp;"|"&amp;C4626</f>
        <v/>
      </c>
      <c r="J4626" t="inlineStr">
        <is>
          <t>Lumber storage buildings, good</t>
        </is>
      </c>
    </row>
    <row r="4627" ht="12" customHeight="1" s="545">
      <c r="B4627" t="inlineStr">
        <is>
          <t>Lumber Storage Buildings</t>
        </is>
      </c>
      <c r="C4627" t="inlineStr">
        <is>
          <t>Average</t>
        </is>
      </c>
      <c r="G4627" t="n">
        <v>20</v>
      </c>
      <c r="H4627" t="n">
        <v>20</v>
      </c>
      <c r="I4627">
        <f>B4627&amp;"|"&amp;C4627</f>
        <v/>
      </c>
      <c r="J4627" t="inlineStr">
        <is>
          <t>average</t>
        </is>
      </c>
    </row>
    <row r="4628" ht="12" customHeight="1" s="545">
      <c r="B4628" t="inlineStr">
        <is>
          <t>Lumber Storage Buildings</t>
        </is>
      </c>
      <c r="C4628" t="inlineStr">
        <is>
          <t>Low Cost</t>
        </is>
      </c>
      <c r="G4628" t="n">
        <v>15</v>
      </c>
      <c r="H4628" t="n">
        <v>15</v>
      </c>
      <c r="I4628">
        <f>B4628&amp;"|"&amp;C4628</f>
        <v/>
      </c>
      <c r="J4628" t="inlineStr">
        <is>
          <t>low cost</t>
        </is>
      </c>
    </row>
    <row r="4629" ht="12" customHeight="1" s="545">
      <c r="B4629" t="inlineStr">
        <is>
          <t>Lumber Storage Sheds</t>
        </is>
      </c>
      <c r="C4629" t="inlineStr">
        <is>
          <t>Good</t>
        </is>
      </c>
      <c r="G4629" t="n">
        <v>25</v>
      </c>
      <c r="H4629" t="n">
        <v>20</v>
      </c>
      <c r="I4629">
        <f>B4629&amp;"|"&amp;C4629</f>
        <v/>
      </c>
      <c r="J4629" t="inlineStr">
        <is>
          <t>Lumber storage sheds, good</t>
        </is>
      </c>
    </row>
    <row r="4630" ht="12" customHeight="1" s="545">
      <c r="B4630" t="inlineStr">
        <is>
          <t>Lumber Storage Sheds</t>
        </is>
      </c>
      <c r="C4630" t="inlineStr">
        <is>
          <t>Average</t>
        </is>
      </c>
      <c r="G4630" t="n">
        <v>15</v>
      </c>
      <c r="H4630" t="n">
        <v>15</v>
      </c>
      <c r="I4630">
        <f>B4630&amp;"|"&amp;C4630</f>
        <v/>
      </c>
      <c r="J4630" t="inlineStr">
        <is>
          <t>low cost and average</t>
        </is>
      </c>
    </row>
    <row r="4631" ht="12" customHeight="1" s="545">
      <c r="B4631" t="inlineStr">
        <is>
          <t>Lumber Storage Sheds</t>
        </is>
      </c>
      <c r="C4631" t="inlineStr">
        <is>
          <t>Low Cost</t>
        </is>
      </c>
      <c r="G4631" t="n">
        <v>15</v>
      </c>
      <c r="H4631" t="n">
        <v>15</v>
      </c>
      <c r="I4631">
        <f>B4631&amp;"|"&amp;C4631</f>
        <v/>
      </c>
      <c r="J4631" t="inlineStr">
        <is>
          <t>low cost and average</t>
        </is>
      </c>
    </row>
    <row r="4632" ht="12" customHeight="1" s="545">
      <c r="B4632" t="inlineStr">
        <is>
          <t>Boat Storage Buildings</t>
        </is>
      </c>
      <c r="C4632" t="inlineStr">
        <is>
          <t>Average</t>
        </is>
      </c>
      <c r="G4632" t="n">
        <v>25</v>
      </c>
      <c r="H4632" t="n">
        <v>25</v>
      </c>
      <c r="I4632">
        <f>B4632&amp;"|"&amp;C4632</f>
        <v/>
      </c>
      <c r="J4632" t="inlineStr">
        <is>
          <t>average</t>
        </is>
      </c>
    </row>
    <row r="4633" ht="12" customHeight="1" s="545">
      <c r="B4633" t="inlineStr">
        <is>
          <t>Boat Storage Buildings</t>
        </is>
      </c>
      <c r="C4633" t="inlineStr">
        <is>
          <t>Low Cost</t>
        </is>
      </c>
      <c r="G4633" t="n">
        <v>20</v>
      </c>
      <c r="H4633" t="n">
        <v>20</v>
      </c>
      <c r="I4633">
        <f>B4633&amp;"|"&amp;C4633</f>
        <v/>
      </c>
      <c r="J4633" t="inlineStr">
        <is>
          <t>low cost</t>
        </is>
      </c>
    </row>
    <row r="4634" ht="12" customHeight="1" s="545">
      <c r="B4634" t="inlineStr">
        <is>
          <t>Boat Storage Buildings</t>
        </is>
      </c>
      <c r="C4634" t="inlineStr">
        <is>
          <t>Good</t>
        </is>
      </c>
      <c r="H4634" t="n">
        <v>30</v>
      </c>
      <c r="I4634">
        <f>B4634&amp;"|"&amp;C4634</f>
        <v/>
      </c>
      <c r="J4634" t="inlineStr">
        <is>
          <t>Boat storage buildings, good</t>
        </is>
      </c>
    </row>
    <row r="4635" ht="12" customHeight="1" s="545">
      <c r="B4635" t="inlineStr">
        <is>
          <t>Boat Storage Sheds</t>
        </is>
      </c>
      <c r="C4635" t="inlineStr">
        <is>
          <t>Good</t>
        </is>
      </c>
      <c r="G4635" t="n">
        <v>20</v>
      </c>
      <c r="H4635" t="n">
        <v>20</v>
      </c>
      <c r="I4635">
        <f>B4635&amp;"|"&amp;C4635</f>
        <v/>
      </c>
      <c r="J4635" t="inlineStr">
        <is>
          <t>Boat storage sheds, good</t>
        </is>
      </c>
    </row>
    <row r="4636" ht="12" customHeight="1" s="545">
      <c r="B4636" t="inlineStr">
        <is>
          <t>Boat Storage Sheds</t>
        </is>
      </c>
      <c r="C4636" t="inlineStr">
        <is>
          <t>Average</t>
        </is>
      </c>
      <c r="G4636" t="n">
        <v>15</v>
      </c>
      <c r="H4636" t="n">
        <v>15</v>
      </c>
      <c r="I4636">
        <f>B4636&amp;"|"&amp;C4636</f>
        <v/>
      </c>
      <c r="J4636" t="inlineStr">
        <is>
          <t>low cost and average</t>
        </is>
      </c>
    </row>
    <row r="4637" ht="12" customHeight="1" s="545">
      <c r="B4637" t="inlineStr">
        <is>
          <t>Boat Storage Sheds</t>
        </is>
      </c>
      <c r="C4637" t="inlineStr">
        <is>
          <t>Low Cost</t>
        </is>
      </c>
      <c r="G4637" t="n">
        <v>15</v>
      </c>
      <c r="H4637" t="n">
        <v>15</v>
      </c>
      <c r="I4637">
        <f>B4637&amp;"|"&amp;C4637</f>
        <v/>
      </c>
      <c r="J4637" t="inlineStr">
        <is>
          <t>low cost and average</t>
        </is>
      </c>
    </row>
    <row r="4638" ht="12" customHeight="1" s="545">
      <c r="B4638" t="inlineStr">
        <is>
          <t>Bag Fertilizer Storage</t>
        </is>
      </c>
      <c r="C4638" t="inlineStr">
        <is>
          <t>Average</t>
        </is>
      </c>
      <c r="G4638" t="n">
        <v>30</v>
      </c>
      <c r="H4638" t="n">
        <v>30</v>
      </c>
      <c r="I4638">
        <f>B4638&amp;"|"&amp;C4638</f>
        <v/>
      </c>
      <c r="J4638" t="inlineStr">
        <is>
          <t>Bag fertilizer storage, average</t>
        </is>
      </c>
    </row>
    <row r="4639" ht="12" customHeight="1" s="545">
      <c r="B4639" t="inlineStr">
        <is>
          <t>Bulk Fertilizer Storage</t>
        </is>
      </c>
      <c r="C4639" t="inlineStr">
        <is>
          <t>Average</t>
        </is>
      </c>
      <c r="F4639" t="n">
        <v>35</v>
      </c>
      <c r="G4639" t="n">
        <v>30</v>
      </c>
      <c r="H4639" t="n">
        <v>30</v>
      </c>
      <c r="I4639">
        <f>B4639&amp;"|"&amp;C4639</f>
        <v/>
      </c>
      <c r="J4639" t="inlineStr">
        <is>
          <t>Bulk fertilizer storage, average</t>
        </is>
      </c>
    </row>
    <row r="4640" ht="12" customHeight="1" s="545">
      <c r="B4640" t="inlineStr">
        <is>
          <t>Tobacco Barns – Flue Curing</t>
        </is>
      </c>
      <c r="C4640" t="inlineStr">
        <is>
          <t>Average</t>
        </is>
      </c>
      <c r="F4640" t="n">
        <v>25</v>
      </c>
      <c r="G4640" t="n">
        <v>20</v>
      </c>
      <c r="H4640" t="n">
        <v>20</v>
      </c>
      <c r="I4640">
        <f>B4640&amp;"|"&amp;C4640</f>
        <v/>
      </c>
      <c r="J4640" t="inlineStr">
        <is>
          <t>Tobacco barns, flue curing, average</t>
        </is>
      </c>
    </row>
    <row r="4641" ht="12" customHeight="1" s="545">
      <c r="B4641" t="inlineStr">
        <is>
          <t>Tobacco Barns – Air Curing</t>
        </is>
      </c>
      <c r="C4641" t="inlineStr">
        <is>
          <t>Average</t>
        </is>
      </c>
      <c r="G4641" t="n">
        <v>25</v>
      </c>
      <c r="I4641">
        <f>B4641&amp;"|"&amp;C4641</f>
        <v/>
      </c>
      <c r="J4641" t="inlineStr">
        <is>
          <t>air curing, average</t>
        </is>
      </c>
    </row>
    <row r="4642" ht="12" customHeight="1" s="545">
      <c r="B4642" t="inlineStr">
        <is>
          <t>Tobacco Barns – Air Curing</t>
        </is>
      </c>
      <c r="C4642" t="inlineStr">
        <is>
          <t>Low Cost</t>
        </is>
      </c>
      <c r="G4642" t="n">
        <v>20</v>
      </c>
      <c r="I4642">
        <f>B4642&amp;"|"&amp;C4642</f>
        <v/>
      </c>
      <c r="J4642" t="inlineStr">
        <is>
          <t>low cost</t>
        </is>
      </c>
    </row>
    <row r="4643" ht="12" customHeight="1" s="545">
      <c r="B4643" t="inlineStr">
        <is>
          <t>Dehydrator Shed Buildings</t>
        </is>
      </c>
      <c r="C4643" t="inlineStr">
        <is>
          <t>Average</t>
        </is>
      </c>
      <c r="F4643" t="n">
        <v>35</v>
      </c>
      <c r="I4643">
        <f>B4643&amp;"|"&amp;C4643</f>
        <v/>
      </c>
      <c r="J4643" t="inlineStr">
        <is>
          <t>Dehydrator buildings, average</t>
        </is>
      </c>
    </row>
    <row r="4644" ht="12" customHeight="1" s="545">
      <c r="B4644" t="inlineStr">
        <is>
          <t>Farm Cold Storage Buildings</t>
        </is>
      </c>
      <c r="C4644" t="inlineStr">
        <is>
          <t>Good</t>
        </is>
      </c>
      <c r="F4644" t="n">
        <v>40</v>
      </c>
      <c r="G4644" t="n">
        <v>35</v>
      </c>
      <c r="H4644" t="n">
        <v>35</v>
      </c>
      <c r="I4644">
        <f>B4644&amp;"|"&amp;C4644</f>
        <v/>
      </c>
      <c r="J4644" t="inlineStr">
        <is>
          <t>Cold storage buildings, good</t>
        </is>
      </c>
    </row>
    <row r="4645" ht="12" customHeight="1" s="545">
      <c r="B4645" t="inlineStr">
        <is>
          <t>Farm Cold Storage Buildings</t>
        </is>
      </c>
      <c r="C4645" t="inlineStr">
        <is>
          <t>Average</t>
        </is>
      </c>
      <c r="F4645" t="n">
        <v>35</v>
      </c>
      <c r="G4645" t="n">
        <v>30</v>
      </c>
      <c r="H4645" t="n">
        <v>30</v>
      </c>
      <c r="I4645">
        <f>B4645&amp;"|"&amp;C4645</f>
        <v/>
      </c>
      <c r="J4645" t="inlineStr">
        <is>
          <t>average</t>
        </is>
      </c>
    </row>
    <row r="4646" ht="12" customHeight="1" s="545">
      <c r="B4646" t="inlineStr">
        <is>
          <t>Farm Cold Storage Buildings</t>
        </is>
      </c>
      <c r="C4646" t="inlineStr">
        <is>
          <t>Low Cost</t>
        </is>
      </c>
      <c r="F4646" t="n">
        <v>30</v>
      </c>
      <c r="G4646" t="n">
        <v>25</v>
      </c>
      <c r="H4646" t="n">
        <v>25</v>
      </c>
      <c r="I4646">
        <f>B4646&amp;"|"&amp;C4646</f>
        <v/>
      </c>
      <c r="J4646" t="inlineStr">
        <is>
          <t>low cost</t>
        </is>
      </c>
    </row>
    <row r="4647" ht="12" customHeight="1" s="545">
      <c r="B4647" t="inlineStr">
        <is>
          <t>Fruit Packing Barns</t>
        </is>
      </c>
      <c r="C4647" t="inlineStr">
        <is>
          <t>Average</t>
        </is>
      </c>
      <c r="F4647" t="n">
        <v>30</v>
      </c>
      <c r="G4647" t="n">
        <v>25</v>
      </c>
      <c r="H4647" t="n">
        <v>25</v>
      </c>
      <c r="I4647">
        <f>B4647&amp;"|"&amp;C4647</f>
        <v/>
      </c>
      <c r="J4647" t="inlineStr">
        <is>
          <t>Fruit-packing barns, average</t>
        </is>
      </c>
    </row>
    <row r="4648" ht="12" customHeight="1" s="545">
      <c r="B4648" t="inlineStr">
        <is>
          <t>Potato Storage Buildings</t>
        </is>
      </c>
      <c r="C4648" t="inlineStr">
        <is>
          <t>Good</t>
        </is>
      </c>
      <c r="F4648" t="n">
        <v>30</v>
      </c>
      <c r="G4648" t="n">
        <v>25</v>
      </c>
      <c r="H4648" t="n">
        <v>25</v>
      </c>
      <c r="I4648">
        <f>B4648&amp;"|"&amp;C4648</f>
        <v/>
      </c>
      <c r="J4648" t="inlineStr">
        <is>
          <t>Potato storage buildings, good</t>
        </is>
      </c>
    </row>
    <row r="4649" ht="12" customHeight="1" s="545">
      <c r="B4649" t="inlineStr">
        <is>
          <t>Potato Storage Buildings</t>
        </is>
      </c>
      <c r="C4649" t="inlineStr">
        <is>
          <t>Average</t>
        </is>
      </c>
      <c r="F4649" t="n">
        <v>25</v>
      </c>
      <c r="G4649" t="n">
        <v>20</v>
      </c>
      <c r="H4649" t="n">
        <v>20</v>
      </c>
      <c r="I4649">
        <f>B4649&amp;"|"&amp;C4649</f>
        <v/>
      </c>
      <c r="J4649" t="inlineStr">
        <is>
          <t>average</t>
        </is>
      </c>
    </row>
    <row r="4650" ht="12" customHeight="1" s="545">
      <c r="B4650" t="inlineStr">
        <is>
          <t>Potato Storage Buildings</t>
        </is>
      </c>
      <c r="C4650" t="inlineStr">
        <is>
          <t>Low Cost</t>
        </is>
      </c>
      <c r="F4650" t="n">
        <v>20</v>
      </c>
      <c r="G4650" t="n">
        <v>15</v>
      </c>
      <c r="H4650" t="n">
        <v>15</v>
      </c>
      <c r="I4650">
        <f>B4650&amp;"|"&amp;C4650</f>
        <v/>
      </c>
      <c r="J4650" t="inlineStr">
        <is>
          <t>cheap and low cost</t>
        </is>
      </c>
    </row>
    <row r="4651" ht="12" customHeight="1" s="545">
      <c r="B4651" t="inlineStr">
        <is>
          <t>Potato Storage Buildings</t>
        </is>
      </c>
      <c r="C4651" t="inlineStr">
        <is>
          <t>Cheap</t>
        </is>
      </c>
      <c r="F4651" t="n">
        <v>20</v>
      </c>
      <c r="G4651" t="n">
        <v>15</v>
      </c>
      <c r="H4651" t="n">
        <v>15</v>
      </c>
      <c r="I4651">
        <f>B4651&amp;"|"&amp;C4651</f>
        <v/>
      </c>
      <c r="J4651" t="inlineStr">
        <is>
          <t>cheap and low cost</t>
        </is>
      </c>
    </row>
    <row r="4652" ht="12" customHeight="1" s="545">
      <c r="B4652" t="inlineStr">
        <is>
          <t>Vegetable Buildings – Environmental</t>
        </is>
      </c>
      <c r="C4652" t="inlineStr">
        <is>
          <t>Good</t>
        </is>
      </c>
      <c r="H4652" t="n">
        <v>35</v>
      </c>
      <c r="I4652">
        <f>B4652&amp;"|"&amp;C4652</f>
        <v/>
      </c>
      <c r="J4652" t="inlineStr">
        <is>
          <t>Vegetable storage buildings, good</t>
        </is>
      </c>
    </row>
    <row r="4653" ht="12" customHeight="1" s="545">
      <c r="B4653" t="inlineStr">
        <is>
          <t>Vegetable Buildings – Environmental</t>
        </is>
      </c>
      <c r="C4653" t="inlineStr">
        <is>
          <t>Fair</t>
        </is>
      </c>
      <c r="H4653" t="n">
        <v>30</v>
      </c>
      <c r="I4653">
        <f>B4653&amp;"|"&amp;C4653</f>
        <v/>
      </c>
      <c r="J4653" t="inlineStr">
        <is>
          <t>low cost and fair</t>
        </is>
      </c>
    </row>
    <row r="4654" ht="12" customHeight="1" s="545">
      <c r="B4654" t="inlineStr">
        <is>
          <t>Vegetable Buildings – Environmental</t>
        </is>
      </c>
      <c r="C4654" t="inlineStr">
        <is>
          <t>Low Cost</t>
        </is>
      </c>
      <c r="H4654" t="n">
        <v>30</v>
      </c>
      <c r="I4654">
        <f>B4654&amp;"|"&amp;C4654</f>
        <v/>
      </c>
      <c r="J4654" t="inlineStr">
        <is>
          <t>low cost and fair</t>
        </is>
      </c>
    </row>
    <row r="4655" ht="12" customHeight="1" s="545">
      <c r="B4655" t="inlineStr">
        <is>
          <t>Controlled Atmosphere Buildings</t>
        </is>
      </c>
      <c r="C4655" t="inlineStr">
        <is>
          <t>Average</t>
        </is>
      </c>
      <c r="F4655" t="n">
        <v>35</v>
      </c>
      <c r="G4655" t="n">
        <v>30</v>
      </c>
      <c r="H4655" t="n">
        <v>30</v>
      </c>
      <c r="I4655">
        <f>B4655&amp;"|"&amp;C4655</f>
        <v/>
      </c>
      <c r="J4655" t="inlineStr">
        <is>
          <t>Controlled atmosphere storage, average</t>
        </is>
      </c>
    </row>
    <row r="4656" ht="12" customHeight="1" s="545">
      <c r="B4656" t="inlineStr">
        <is>
          <t>Greenhouse – Straight-Wall Structures</t>
        </is>
      </c>
      <c r="C4656" t="inlineStr">
        <is>
          <t>Average</t>
        </is>
      </c>
      <c r="G4656" t="n">
        <v>20</v>
      </c>
      <c r="H4656" t="n">
        <v>25</v>
      </c>
      <c r="I4656">
        <f>B4656&amp;"|"&amp;C4656</f>
        <v/>
      </c>
      <c r="J4656" t="inlineStr">
        <is>
          <t>average</t>
        </is>
      </c>
    </row>
    <row r="4657" ht="12" customHeight="1" s="545">
      <c r="B4657" t="inlineStr">
        <is>
          <t>Greenhouse – Straight-Wall Structures</t>
        </is>
      </c>
      <c r="C4657" t="inlineStr">
        <is>
          <t>Fair</t>
        </is>
      </c>
      <c r="G4657" t="n">
        <v>15</v>
      </c>
      <c r="H4657" t="n">
        <v>20</v>
      </c>
      <c r="I4657">
        <f>B4657&amp;"|"&amp;C4657</f>
        <v/>
      </c>
      <c r="J4657" t="inlineStr">
        <is>
          <t>fair</t>
        </is>
      </c>
    </row>
    <row r="4658" ht="12" customHeight="1" s="545">
      <c r="B4658" t="inlineStr">
        <is>
          <t>Greenhouse – Straight-Wall Structures</t>
        </is>
      </c>
      <c r="C4658" t="inlineStr">
        <is>
          <t>Low Cost</t>
        </is>
      </c>
      <c r="G4658" t="n">
        <v>10</v>
      </c>
      <c r="H4658" t="n">
        <v>15</v>
      </c>
      <c r="I4658">
        <f>B4658&amp;"|"&amp;C4658</f>
        <v/>
      </c>
      <c r="J4658" t="inlineStr">
        <is>
          <t>cheap and low cost</t>
        </is>
      </c>
    </row>
    <row r="4659" ht="12" customHeight="1" s="545">
      <c r="B4659" t="inlineStr">
        <is>
          <t>Greenhouse – Straight-Wall Structures</t>
        </is>
      </c>
      <c r="C4659" t="inlineStr">
        <is>
          <t>Cheap</t>
        </is>
      </c>
      <c r="G4659" t="n">
        <v>10</v>
      </c>
      <c r="H4659" t="n">
        <v>15</v>
      </c>
      <c r="I4659">
        <f>B4659&amp;"|"&amp;C4659</f>
        <v/>
      </c>
      <c r="J4659" t="inlineStr">
        <is>
          <t>cheap and low cost</t>
        </is>
      </c>
    </row>
    <row r="4660" ht="12" customHeight="1" s="545">
      <c r="B4660" t="inlineStr">
        <is>
          <t>Greenhouse – Straight-Wall Structures</t>
        </is>
      </c>
      <c r="C4660" t="inlineStr">
        <is>
          <t>Excellent</t>
        </is>
      </c>
      <c r="H4660" t="n">
        <v>40</v>
      </c>
      <c r="I4660">
        <f>B4660&amp;"|"&amp;C4660</f>
        <v/>
      </c>
      <c r="J4660" t="inlineStr">
        <is>
          <t>Greenhouses, straight wall, very good and excellent</t>
        </is>
      </c>
    </row>
    <row r="4661" ht="12" customHeight="1" s="545">
      <c r="B4661" t="inlineStr">
        <is>
          <t>Greenhouse – Straight-Wall Structures</t>
        </is>
      </c>
      <c r="C4661" t="inlineStr">
        <is>
          <t>Very Good</t>
        </is>
      </c>
      <c r="H4661" t="n">
        <v>40</v>
      </c>
      <c r="I4661">
        <f>B4661&amp;"|"&amp;C4661</f>
        <v/>
      </c>
      <c r="J4661" t="inlineStr">
        <is>
          <t>Greenhouses, straight wall, very good and excellent</t>
        </is>
      </c>
    </row>
    <row r="4662" ht="12" customHeight="1" s="545">
      <c r="B4662" t="inlineStr">
        <is>
          <t>Greenhouse – Straight-Wall Structures</t>
        </is>
      </c>
      <c r="C4662" t="inlineStr">
        <is>
          <t>Good</t>
        </is>
      </c>
      <c r="H4662" t="n">
        <v>35</v>
      </c>
      <c r="I4662">
        <f>B4662&amp;"|"&amp;C4662</f>
        <v/>
      </c>
      <c r="J4662" t="inlineStr">
        <is>
          <t>good</t>
        </is>
      </c>
    </row>
    <row r="4663" ht="12" customHeight="1" s="545">
      <c r="B4663" t="inlineStr">
        <is>
          <t>Greenhouse – Hoop (Arch-Rib/Quonset) Structures</t>
        </is>
      </c>
      <c r="C4663" t="inlineStr">
        <is>
          <t>Low Cost</t>
        </is>
      </c>
      <c r="G4663" t="n">
        <v>10</v>
      </c>
      <c r="H4663" t="n">
        <v>10</v>
      </c>
      <c r="I4663">
        <f>B4663&amp;"|"&amp;C4663</f>
        <v/>
      </c>
      <c r="J4663" t="inlineStr">
        <is>
          <t>cheap and low cost</t>
        </is>
      </c>
    </row>
    <row r="4664" ht="12" customHeight="1" s="545">
      <c r="B4664" t="inlineStr">
        <is>
          <t>Greenhouse – Hoop (Arch-Rib/Quonset) Structures</t>
        </is>
      </c>
      <c r="C4664" t="inlineStr">
        <is>
          <t>Very Good</t>
        </is>
      </c>
      <c r="H4664" t="n">
        <v>35</v>
      </c>
      <c r="I4664">
        <f>B4664&amp;"|"&amp;C4664</f>
        <v/>
      </c>
      <c r="J4664" t="inlineStr">
        <is>
          <t>hoop structures, very good</t>
        </is>
      </c>
    </row>
    <row r="4665" ht="12" customHeight="1" s="545">
      <c r="B4665" t="inlineStr">
        <is>
          <t>Greenhouse – Hoop (Arch-Rib/Quonset) Structures</t>
        </is>
      </c>
      <c r="C4665" t="inlineStr">
        <is>
          <t>Good</t>
        </is>
      </c>
      <c r="H4665" t="n">
        <v>30</v>
      </c>
      <c r="I4665">
        <f>B4665&amp;"|"&amp;C4665</f>
        <v/>
      </c>
      <c r="J4665" t="inlineStr">
        <is>
          <t>good</t>
        </is>
      </c>
    </row>
    <row r="4666" ht="12" customHeight="1" s="545">
      <c r="B4666" t="inlineStr">
        <is>
          <t>Greenhouse – Hoop (Arch-Rib/Quonset) Structures</t>
        </is>
      </c>
      <c r="C4666" t="inlineStr">
        <is>
          <t>Average</t>
        </is>
      </c>
      <c r="H4666" t="n">
        <v>20</v>
      </c>
      <c r="I4666">
        <f>B4666&amp;"|"&amp;C4666</f>
        <v/>
      </c>
      <c r="J4666" t="inlineStr">
        <is>
          <t>average</t>
        </is>
      </c>
    </row>
    <row r="4667" ht="12" customHeight="1" s="545">
      <c r="B4667" t="inlineStr">
        <is>
          <t>Greenhouse – Hoop (Arch-Rib/Quonset) Structures</t>
        </is>
      </c>
      <c r="C4667" t="inlineStr">
        <is>
          <t>Fair</t>
        </is>
      </c>
      <c r="H4667" t="n">
        <v>15</v>
      </c>
      <c r="I4667">
        <f>B4667&amp;"|"&amp;C4667</f>
        <v/>
      </c>
      <c r="J4667" t="inlineStr">
        <is>
          <t>fair</t>
        </is>
      </c>
    </row>
    <row r="4668" ht="12" customHeight="1" s="545">
      <c r="B4668" t="inlineStr">
        <is>
          <t>Greenhouse – Hoop (Arch-Rib/Quonset) Structures</t>
        </is>
      </c>
      <c r="C4668" t="inlineStr">
        <is>
          <t>Cheap</t>
        </is>
      </c>
      <c r="G4668" t="n">
        <v>10</v>
      </c>
      <c r="H4668" t="n">
        <v>10</v>
      </c>
      <c r="I4668">
        <f>B4668&amp;"|"&amp;C4668</f>
        <v/>
      </c>
      <c r="J4668" t="inlineStr">
        <is>
          <t>cheap and low cost</t>
        </is>
      </c>
    </row>
    <row r="4669" ht="12" customHeight="1" s="545">
      <c r="B4669" t="inlineStr">
        <is>
          <t>Greenhouse Shade Shelters</t>
        </is>
      </c>
      <c r="C4669" t="inlineStr">
        <is>
          <t>Average</t>
        </is>
      </c>
      <c r="G4669" t="n">
        <v>10</v>
      </c>
      <c r="H4669" t="n">
        <v>10</v>
      </c>
      <c r="I4669">
        <f>B4669&amp;"|"&amp;C4669</f>
        <v/>
      </c>
      <c r="J4669" t="inlineStr">
        <is>
          <t>shade shelters, low cost and average</t>
        </is>
      </c>
    </row>
    <row r="4670" ht="12" customHeight="1" s="545">
      <c r="B4670" t="inlineStr">
        <is>
          <t>Greenhouse Shade Shelters</t>
        </is>
      </c>
      <c r="C4670" t="inlineStr">
        <is>
          <t>Low Cost</t>
        </is>
      </c>
      <c r="G4670" t="n">
        <v>10</v>
      </c>
      <c r="H4670" t="n">
        <v>10</v>
      </c>
      <c r="I4670">
        <f>B4670&amp;"|"&amp;C4670</f>
        <v/>
      </c>
      <c r="J4670" t="inlineStr">
        <is>
          <t>shade shelters, low cost and average</t>
        </is>
      </c>
    </row>
    <row r="4671" ht="12" customHeight="1" s="545">
      <c r="B4671" t="inlineStr">
        <is>
          <t>Lath Shade Houses</t>
        </is>
      </c>
      <c r="C4671" t="inlineStr">
        <is>
          <t>Average</t>
        </is>
      </c>
      <c r="G4671" t="n">
        <v>20</v>
      </c>
      <c r="H4671" t="n">
        <v>25</v>
      </c>
      <c r="I4671">
        <f>B4671&amp;"|"&amp;C4671</f>
        <v/>
      </c>
      <c r="J4671" t="inlineStr">
        <is>
          <t>Lath shade houses, average</t>
        </is>
      </c>
    </row>
    <row r="4672" ht="12" customHeight="1" s="545">
      <c r="B4672" t="inlineStr">
        <is>
          <t>Flathouse Storage Buildings</t>
        </is>
      </c>
      <c r="C4672" t="inlineStr">
        <is>
          <t>Good</t>
        </is>
      </c>
      <c r="F4672" t="n">
        <v>45</v>
      </c>
      <c r="G4672" t="n">
        <v>40</v>
      </c>
      <c r="H4672" t="n">
        <v>40</v>
      </c>
      <c r="I4672">
        <f>B4672&amp;"|"&amp;C4672</f>
        <v/>
      </c>
      <c r="J4672" t="inlineStr">
        <is>
          <t>Flathouse storage buildings, good</t>
        </is>
      </c>
    </row>
    <row r="4673" ht="12" customHeight="1" s="545">
      <c r="B4673" t="inlineStr">
        <is>
          <t>Flathouse Storage Buildings</t>
        </is>
      </c>
      <c r="C4673" t="inlineStr">
        <is>
          <t>Average</t>
        </is>
      </c>
      <c r="F4673" t="n">
        <v>35</v>
      </c>
      <c r="G4673" t="n">
        <v>30</v>
      </c>
      <c r="H4673" t="n">
        <v>30</v>
      </c>
      <c r="I4673">
        <f>B4673&amp;"|"&amp;C4673</f>
        <v/>
      </c>
      <c r="J4673" t="inlineStr">
        <is>
          <t>average</t>
        </is>
      </c>
    </row>
    <row r="4674" ht="12" customHeight="1" s="545">
      <c r="B4674" t="inlineStr">
        <is>
          <t>Feed Handling and Mixing Shed Building</t>
        </is>
      </c>
      <c r="C4674" t="inlineStr">
        <is>
          <t>Average</t>
        </is>
      </c>
      <c r="G4674" t="n">
        <v>20</v>
      </c>
      <c r="H4674" t="n">
        <v>20</v>
      </c>
      <c r="I4674">
        <f>B4674&amp;"|"&amp;C4674</f>
        <v/>
      </c>
      <c r="J4674" t="inlineStr">
        <is>
          <t>Feed handling and mixing, average</t>
        </is>
      </c>
    </row>
    <row r="4675" ht="12" customHeight="1" s="545">
      <c r="B4675" t="inlineStr">
        <is>
          <t>Cotton Gins</t>
        </is>
      </c>
      <c r="C4675" t="inlineStr">
        <is>
          <t>Average</t>
        </is>
      </c>
      <c r="H4675" t="n">
        <v>30</v>
      </c>
      <c r="I4675">
        <f>B4675&amp;"|"&amp;C4675</f>
        <v/>
      </c>
      <c r="J4675" t="inlineStr">
        <is>
          <t>Cotton gin buildings, average</t>
        </is>
      </c>
    </row>
    <row r="4676" ht="12" customHeight="1" s="545">
      <c r="B4676" t="inlineStr">
        <is>
          <t>Cotton Gins</t>
        </is>
      </c>
      <c r="C4676" t="inlineStr">
        <is>
          <t>Low Cost</t>
        </is>
      </c>
      <c r="H4676" t="n">
        <v>25</v>
      </c>
      <c r="I4676">
        <f>B4676&amp;"|"&amp;C4676</f>
        <v/>
      </c>
      <c r="J4676" t="inlineStr">
        <is>
          <t>low cost</t>
        </is>
      </c>
    </row>
    <row r="4677" ht="12" customHeight="1" s="545">
      <c r="B4677" t="inlineStr">
        <is>
          <t>Seed Processing Storage</t>
        </is>
      </c>
      <c r="C4677" t="inlineStr">
        <is>
          <t>Average</t>
        </is>
      </c>
      <c r="G4677" t="n">
        <v>30</v>
      </c>
      <c r="H4677" t="n">
        <v>30</v>
      </c>
      <c r="I4677">
        <f>B4677&amp;"|"&amp;C4677</f>
        <v/>
      </c>
      <c r="J4677" t="inlineStr">
        <is>
          <t>Seed processing storage, average</t>
        </is>
      </c>
    </row>
    <row r="4678" ht="12" customHeight="1" s="545">
      <c r="B4678" t="inlineStr">
        <is>
          <t>Secure Storage Modular Shed Buildings</t>
        </is>
      </c>
      <c r="C4678" t="inlineStr">
        <is>
          <t>Good</t>
        </is>
      </c>
      <c r="F4678" t="n">
        <v>25</v>
      </c>
      <c r="H4678" t="n">
        <v>20</v>
      </c>
      <c r="I4678">
        <f>B4678&amp;"|"&amp;C4678</f>
        <v/>
      </c>
      <c r="J4678" t="inlineStr">
        <is>
          <t>secure storage, average and good</t>
        </is>
      </c>
    </row>
    <row r="4679" ht="12" customHeight="1" s="545">
      <c r="B4679" t="inlineStr">
        <is>
          <t>Secure Storage Modular Shed Buildings</t>
        </is>
      </c>
      <c r="C4679" t="inlineStr">
        <is>
          <t>Average</t>
        </is>
      </c>
      <c r="F4679" t="n">
        <v>25</v>
      </c>
      <c r="H4679" t="n">
        <v>20</v>
      </c>
      <c r="I4679">
        <f>B4679&amp;"|"&amp;C4679</f>
        <v/>
      </c>
      <c r="J4679" t="inlineStr">
        <is>
          <t>secure storage, average and good</t>
        </is>
      </c>
    </row>
    <row r="4680" ht="12" customHeight="1" s="545">
      <c r="B4680" t="inlineStr">
        <is>
          <t>Secure Storage Modular Shed Buildings</t>
        </is>
      </c>
      <c r="C4680" t="inlineStr">
        <is>
          <t>Low Cost</t>
        </is>
      </c>
      <c r="H4680" t="n">
        <v>15</v>
      </c>
      <c r="I4680">
        <f>B4680&amp;"|"&amp;C4680</f>
        <v/>
      </c>
      <c r="J4680" t="inlineStr">
        <is>
          <t>low cost</t>
        </is>
      </c>
    </row>
    <row r="4681" ht="12" customHeight="1" s="545">
      <c r="B4681" t="inlineStr">
        <is>
          <t>Prefabricated Storage Shed Buildings</t>
        </is>
      </c>
      <c r="C4681" t="inlineStr">
        <is>
          <t>Excellent</t>
        </is>
      </c>
      <c r="G4681" t="n">
        <v>20</v>
      </c>
      <c r="H4681" t="n">
        <v>20</v>
      </c>
      <c r="I4681">
        <f>B4681&amp;"|"&amp;C4681</f>
        <v/>
      </c>
      <c r="J4681" t="inlineStr">
        <is>
          <t>Prefabricated storage sheds, good and excellent</t>
        </is>
      </c>
    </row>
    <row r="4682" ht="12" customHeight="1" s="545">
      <c r="B4682" t="inlineStr">
        <is>
          <t>Prefabricated Storage Shed Buildings</t>
        </is>
      </c>
      <c r="C4682" t="inlineStr">
        <is>
          <t>Good</t>
        </is>
      </c>
      <c r="G4682" t="n">
        <v>20</v>
      </c>
      <c r="H4682" t="n">
        <v>20</v>
      </c>
      <c r="I4682">
        <f>B4682&amp;"|"&amp;C4682</f>
        <v/>
      </c>
      <c r="J4682" t="inlineStr">
        <is>
          <t>Prefabricated storage sheds, good and excellent</t>
        </is>
      </c>
    </row>
    <row r="4683" ht="12" customHeight="1" s="545">
      <c r="B4683" t="inlineStr">
        <is>
          <t>Prefabricated Storage Shed Buildings</t>
        </is>
      </c>
      <c r="C4683" t="inlineStr">
        <is>
          <t>Average</t>
        </is>
      </c>
      <c r="G4683" t="n">
        <v>15</v>
      </c>
      <c r="H4683" t="n">
        <v>15</v>
      </c>
      <c r="I4683">
        <f>B4683&amp;"|"&amp;C4683</f>
        <v/>
      </c>
      <c r="J4683" t="inlineStr">
        <is>
          <t>average</t>
        </is>
      </c>
    </row>
    <row r="4684" ht="12" customHeight="1" s="545">
      <c r="B4684" t="inlineStr">
        <is>
          <t>Prefabricated Storage Shed Buildings</t>
        </is>
      </c>
      <c r="C4684" t="inlineStr">
        <is>
          <t>Low Cost</t>
        </is>
      </c>
      <c r="G4684" t="n">
        <v>10</v>
      </c>
      <c r="H4684" t="n">
        <v>10</v>
      </c>
      <c r="I4684">
        <f>B4684&amp;"|"&amp;C4684</f>
        <v/>
      </c>
      <c r="J4684" t="inlineStr">
        <is>
          <t>low cost</t>
        </is>
      </c>
    </row>
    <row r="4685" ht="12" customHeight="1" s="545">
      <c r="B4685" t="inlineStr">
        <is>
          <t>Corn Crib Bins</t>
        </is>
      </c>
      <c r="C4685" t="inlineStr">
        <is>
          <t>Excellent</t>
        </is>
      </c>
      <c r="G4685" t="n">
        <v>15</v>
      </c>
      <c r="I4685">
        <f>B4685&amp;"|"&amp;C4685</f>
        <v/>
      </c>
      <c r="J4685" t="inlineStr">
        <is>
          <t>Corncrib bins, good and excellent</t>
        </is>
      </c>
    </row>
    <row r="4686" ht="12" customHeight="1" s="545">
      <c r="B4686" t="inlineStr">
        <is>
          <t>Corn Crib Bins</t>
        </is>
      </c>
      <c r="C4686" t="inlineStr">
        <is>
          <t>Good</t>
        </is>
      </c>
      <c r="G4686" t="n">
        <v>15</v>
      </c>
      <c r="I4686">
        <f>B4686&amp;"|"&amp;C4686</f>
        <v/>
      </c>
      <c r="J4686" t="inlineStr">
        <is>
          <t>Corncrib bins, good and excellent</t>
        </is>
      </c>
    </row>
    <row r="4687" ht="12" customHeight="1" s="545">
      <c r="B4687" t="inlineStr">
        <is>
          <t>Corn Crib Bins</t>
        </is>
      </c>
      <c r="C4687" t="inlineStr">
        <is>
          <t>Average</t>
        </is>
      </c>
      <c r="G4687" t="n">
        <v>10</v>
      </c>
      <c r="I4687">
        <f>B4687&amp;"|"&amp;C4687</f>
        <v/>
      </c>
      <c r="J4687" t="inlineStr">
        <is>
          <t>low cost and average</t>
        </is>
      </c>
    </row>
    <row r="4688" ht="12" customHeight="1" s="545">
      <c r="B4688" t="inlineStr">
        <is>
          <t>Corn Crib Bins</t>
        </is>
      </c>
      <c r="C4688" t="inlineStr">
        <is>
          <t>Low Cost</t>
        </is>
      </c>
      <c r="G4688" t="n">
        <v>10</v>
      </c>
      <c r="I4688">
        <f>B4688&amp;"|"&amp;C4688</f>
        <v/>
      </c>
      <c r="J4688" t="inlineStr">
        <is>
          <t>low cost and average</t>
        </is>
      </c>
    </row>
    <row r="4689" ht="12" customHeight="1" s="545">
      <c r="B4689" t="inlineStr">
        <is>
          <t>Farm Utility Buildings</t>
        </is>
      </c>
      <c r="C4689" t="inlineStr">
        <is>
          <t>Good</t>
        </is>
      </c>
      <c r="F4689" t="n">
        <v>25</v>
      </c>
      <c r="G4689" t="n">
        <v>20</v>
      </c>
      <c r="H4689" t="n">
        <v>20</v>
      </c>
      <c r="I4689">
        <f>B4689&amp;"|"&amp;C4689</f>
        <v/>
      </c>
      <c r="J4689" t="inlineStr">
        <is>
          <t>good</t>
        </is>
      </c>
    </row>
    <row r="4690" ht="12" customHeight="1" s="545">
      <c r="B4690" t="inlineStr">
        <is>
          <t>Farm Utility Buildings</t>
        </is>
      </c>
      <c r="C4690" t="inlineStr">
        <is>
          <t>Average</t>
        </is>
      </c>
      <c r="F4690" t="n">
        <v>20</v>
      </c>
      <c r="G4690" t="n">
        <v>15</v>
      </c>
      <c r="H4690" t="n">
        <v>15</v>
      </c>
      <c r="I4690">
        <f>B4690&amp;"|"&amp;C4690</f>
        <v/>
      </c>
      <c r="J4690" t="inlineStr">
        <is>
          <t>low cost and average</t>
        </is>
      </c>
    </row>
    <row r="4691" ht="12" customHeight="1" s="545">
      <c r="B4691" t="inlineStr">
        <is>
          <t>Farm Utility Buildings</t>
        </is>
      </c>
      <c r="C4691" t="inlineStr">
        <is>
          <t>Low Cost</t>
        </is>
      </c>
      <c r="F4691" t="n">
        <v>20</v>
      </c>
      <c r="G4691" t="n">
        <v>15</v>
      </c>
      <c r="H4691" t="n">
        <v>15</v>
      </c>
      <c r="I4691">
        <f>B4691&amp;"|"&amp;C4691</f>
        <v/>
      </c>
      <c r="J4691" t="inlineStr">
        <is>
          <t>low cost and average</t>
        </is>
      </c>
    </row>
    <row r="4692" ht="12" customHeight="1" s="545">
      <c r="B4692" t="inlineStr">
        <is>
          <t>Arch-Rib (Quonset) Farm Utility Buildings</t>
        </is>
      </c>
      <c r="C4692" t="inlineStr">
        <is>
          <t>Good</t>
        </is>
      </c>
      <c r="G4692" t="n">
        <v>25</v>
      </c>
      <c r="H4692" t="n">
        <v>25</v>
      </c>
      <c r="I4692">
        <f>B4692&amp;"|"&amp;C4692</f>
        <v/>
      </c>
      <c r="J4692" t="inlineStr">
        <is>
          <t>Utility/arch-rib buildings, good</t>
        </is>
      </c>
    </row>
    <row r="4693" ht="12" customHeight="1" s="545">
      <c r="B4693" t="inlineStr">
        <is>
          <t>Arch-Rib (Quonset) Farm Utility Buildings</t>
        </is>
      </c>
      <c r="C4693" t="inlineStr">
        <is>
          <t>Average</t>
        </is>
      </c>
      <c r="G4693" t="n">
        <v>20</v>
      </c>
      <c r="H4693" t="n">
        <v>20</v>
      </c>
      <c r="I4693">
        <f>B4693&amp;"|"&amp;C4693</f>
        <v/>
      </c>
      <c r="J4693" t="inlineStr">
        <is>
          <t>average</t>
        </is>
      </c>
    </row>
    <row r="4694" ht="12" customHeight="1" s="545">
      <c r="B4694" t="inlineStr">
        <is>
          <t>Arch-Rib (Quonset) Farm Utility Buildings</t>
        </is>
      </c>
      <c r="C4694" t="inlineStr">
        <is>
          <t>Low Cost</t>
        </is>
      </c>
      <c r="G4694" t="n">
        <v>15</v>
      </c>
      <c r="H4694" t="n">
        <v>15</v>
      </c>
      <c r="I4694">
        <f>B4694&amp;"|"&amp;C4694</f>
        <v/>
      </c>
      <c r="J4694" t="inlineStr">
        <is>
          <t>low cost</t>
        </is>
      </c>
    </row>
    <row r="4695" ht="12" customHeight="1" s="545">
      <c r="B4695" t="inlineStr">
        <is>
          <t>Farm Utility/Grain Storage (Granary) Buildings</t>
        </is>
      </c>
      <c r="C4695" t="inlineStr">
        <is>
          <t>Very Good</t>
        </is>
      </c>
      <c r="G4695" t="n">
        <v>25</v>
      </c>
      <c r="I4695">
        <f>B4695&amp;"|"&amp;C4695</f>
        <v/>
      </c>
      <c r="J4695" t="inlineStr">
        <is>
          <t>Utility buildings, farm/grain storage, very good</t>
        </is>
      </c>
    </row>
    <row r="4696" ht="12" customHeight="1" s="545">
      <c r="B4696" t="inlineStr">
        <is>
          <t>Farm Utility/Grain Storage (Granary) Buildings</t>
        </is>
      </c>
      <c r="C4696" t="inlineStr">
        <is>
          <t>Good</t>
        </is>
      </c>
      <c r="F4696" t="n">
        <v>25</v>
      </c>
      <c r="G4696" t="n">
        <v>20</v>
      </c>
      <c r="H4696" t="n">
        <v>20</v>
      </c>
      <c r="I4696">
        <f>B4696&amp;"|"&amp;C4696</f>
        <v/>
      </c>
      <c r="J4696" t="inlineStr">
        <is>
          <t>good</t>
        </is>
      </c>
    </row>
    <row r="4697" ht="12" customHeight="1" s="545">
      <c r="B4697" t="inlineStr">
        <is>
          <t>Farm Utility Storage Sheds</t>
        </is>
      </c>
      <c r="C4697" t="inlineStr">
        <is>
          <t>Low Cost</t>
        </is>
      </c>
      <c r="F4697" t="n">
        <v>15</v>
      </c>
      <c r="G4697" t="n">
        <v>10</v>
      </c>
      <c r="H4697" t="n">
        <v>10</v>
      </c>
      <c r="I4697">
        <f>B4697&amp;"|"&amp;C4697</f>
        <v/>
      </c>
      <c r="J4697" t="inlineStr">
        <is>
          <t>low cost</t>
        </is>
      </c>
    </row>
    <row r="4698" ht="12" customHeight="1" s="545">
      <c r="B4698" t="inlineStr">
        <is>
          <t>Farm Utility Storage Sheds</t>
        </is>
      </c>
      <c r="C4698" t="inlineStr">
        <is>
          <t>Good</t>
        </is>
      </c>
      <c r="G4698" t="n">
        <v>20</v>
      </c>
      <c r="I4698">
        <f>B4698&amp;"|"&amp;C4698</f>
        <v/>
      </c>
      <c r="J4698" t="inlineStr">
        <is>
          <t>Utility storage/loafing sheds, good</t>
        </is>
      </c>
    </row>
    <row r="4699" ht="12" customHeight="1" s="545">
      <c r="B4699" t="inlineStr">
        <is>
          <t>Farm Utility Storage Sheds</t>
        </is>
      </c>
      <c r="C4699" t="inlineStr">
        <is>
          <t>Average</t>
        </is>
      </c>
      <c r="G4699" t="n">
        <v>15</v>
      </c>
      <c r="I4699">
        <f>B4699&amp;"|"&amp;C4699</f>
        <v/>
      </c>
      <c r="J4699" t="inlineStr">
        <is>
          <t>average</t>
        </is>
      </c>
    </row>
    <row r="4700" ht="12" customHeight="1" s="545">
      <c r="B4700" t="inlineStr">
        <is>
          <t>Farm Utility Lean-Tos</t>
        </is>
      </c>
      <c r="C4700" t="inlineStr">
        <is>
          <t>Good</t>
        </is>
      </c>
      <c r="G4700" t="n">
        <v>20</v>
      </c>
      <c r="H4700" t="n">
        <v>20</v>
      </c>
      <c r="I4700">
        <f>B4700&amp;"|"&amp;C4700</f>
        <v/>
      </c>
      <c r="J4700" t="inlineStr">
        <is>
          <t>farm utility, good</t>
        </is>
      </c>
    </row>
    <row r="4701" ht="12" customHeight="1" s="545">
      <c r="B4701" t="inlineStr">
        <is>
          <t>Farm Utility Lean-Tos</t>
        </is>
      </c>
      <c r="C4701" t="inlineStr">
        <is>
          <t>Average</t>
        </is>
      </c>
      <c r="G4701" t="n">
        <v>15</v>
      </c>
      <c r="H4701" t="n">
        <v>15</v>
      </c>
      <c r="I4701">
        <f>B4701&amp;"|"&amp;C4701</f>
        <v/>
      </c>
      <c r="J4701" t="inlineStr">
        <is>
          <t>low cost and average</t>
        </is>
      </c>
    </row>
    <row r="4702" ht="12" customHeight="1" s="545">
      <c r="B4702" t="inlineStr">
        <is>
          <t>Farm Utility Lean-Tos</t>
        </is>
      </c>
      <c r="C4702" t="inlineStr">
        <is>
          <t>Low Cost</t>
        </is>
      </c>
      <c r="G4702" t="n">
        <v>15</v>
      </c>
      <c r="H4702" t="n">
        <v>15</v>
      </c>
      <c r="I4702">
        <f>B4702&amp;"|"&amp;C4702</f>
        <v/>
      </c>
      <c r="J4702" t="inlineStr">
        <is>
          <t>low cost and average</t>
        </is>
      </c>
    </row>
    <row r="4703" ht="12" customHeight="1" s="545">
      <c r="B4703" t="inlineStr">
        <is>
          <t>Farm Commodity Storage Sheds</t>
        </is>
      </c>
      <c r="C4703" t="inlineStr">
        <is>
          <t>Average</t>
        </is>
      </c>
      <c r="F4703" t="n">
        <v>25</v>
      </c>
      <c r="G4703" t="n">
        <v>20</v>
      </c>
      <c r="H4703" t="n">
        <v>20</v>
      </c>
      <c r="I4703">
        <f>B4703&amp;"|"&amp;C4703</f>
        <v/>
      </c>
      <c r="J4703" t="inlineStr">
        <is>
          <t>Commodity storage sheds, average</t>
        </is>
      </c>
    </row>
    <row r="4704" ht="12" customHeight="1" s="545">
      <c r="B4704" t="inlineStr">
        <is>
          <t>Corn Crib Buildings – Spaced Boards</t>
        </is>
      </c>
      <c r="C4704" t="inlineStr">
        <is>
          <t>Good</t>
        </is>
      </c>
      <c r="G4704" t="n">
        <v>20</v>
      </c>
      <c r="I4704">
        <f>B4704&amp;"|"&amp;C4704</f>
        <v/>
      </c>
      <c r="J4704" t="inlineStr">
        <is>
          <t>Corncrib buildings, spaced board, average and good</t>
        </is>
      </c>
    </row>
    <row r="4705" ht="12" customHeight="1" s="545">
      <c r="B4705" t="inlineStr">
        <is>
          <t>Corn Crib Buildings – Spaced Boards</t>
        </is>
      </c>
      <c r="C4705" t="inlineStr">
        <is>
          <t>Average</t>
        </is>
      </c>
      <c r="G4705" t="n">
        <v>20</v>
      </c>
      <c r="I4705">
        <f>B4705&amp;"|"&amp;C4705</f>
        <v/>
      </c>
      <c r="J4705" t="inlineStr">
        <is>
          <t>Corncrib buildings, spaced board, average and good</t>
        </is>
      </c>
    </row>
    <row r="4706" ht="12" customHeight="1" s="545">
      <c r="B4706" t="inlineStr">
        <is>
          <t>Corn Crib Buildings – Wire Mesh</t>
        </is>
      </c>
      <c r="C4706" t="inlineStr">
        <is>
          <t>Good</t>
        </is>
      </c>
      <c r="G4706" t="n">
        <v>20</v>
      </c>
      <c r="I4706">
        <f>B4706&amp;"|"&amp;C4706</f>
        <v/>
      </c>
      <c r="J4706" t="inlineStr">
        <is>
          <t>wire mesh, good</t>
        </is>
      </c>
    </row>
    <row r="4707" ht="12" customHeight="1" s="545">
      <c r="B4707" t="inlineStr">
        <is>
          <t>Corn Crib Buildings – Wire Mesh</t>
        </is>
      </c>
      <c r="C4707" t="inlineStr">
        <is>
          <t>Average</t>
        </is>
      </c>
      <c r="G4707" t="n">
        <v>15</v>
      </c>
      <c r="I4707">
        <f>B4707&amp;"|"&amp;C4707</f>
        <v/>
      </c>
      <c r="J4707" t="inlineStr">
        <is>
          <t>average</t>
        </is>
      </c>
    </row>
    <row r="4708" ht="12" customHeight="1" s="545">
      <c r="B4708" t="inlineStr">
        <is>
          <t>Farm Implement (Equipment Shop) Buildings</t>
        </is>
      </c>
      <c r="C4708" t="inlineStr">
        <is>
          <t>Good</t>
        </is>
      </c>
      <c r="F4708" t="n">
        <v>30</v>
      </c>
      <c r="G4708" t="n">
        <v>25</v>
      </c>
      <c r="H4708" t="n">
        <v>25</v>
      </c>
      <c r="I4708">
        <f>B4708&amp;"|"&amp;C4708</f>
        <v/>
      </c>
      <c r="J4708" t="inlineStr">
        <is>
          <t>implement/equipment buildings, good</t>
        </is>
      </c>
    </row>
    <row r="4709" ht="12" customHeight="1" s="545">
      <c r="B4709" t="inlineStr">
        <is>
          <t>Farm Implement (Equipment Shop) Buildings</t>
        </is>
      </c>
      <c r="C4709" t="inlineStr">
        <is>
          <t>Average</t>
        </is>
      </c>
      <c r="F4709" t="n">
        <v>25</v>
      </c>
      <c r="G4709" t="n">
        <v>20</v>
      </c>
      <c r="H4709" t="n">
        <v>20</v>
      </c>
      <c r="I4709">
        <f>B4709&amp;"|"&amp;C4709</f>
        <v/>
      </c>
      <c r="J4709" t="inlineStr">
        <is>
          <t>low cost and average</t>
        </is>
      </c>
    </row>
    <row r="4710" ht="12" customHeight="1" s="545">
      <c r="B4710" t="inlineStr">
        <is>
          <t>Farm Implement (Equipment Shop) Buildings</t>
        </is>
      </c>
      <c r="C4710" t="inlineStr">
        <is>
          <t>Low Cost</t>
        </is>
      </c>
      <c r="F4710" t="n">
        <v>25</v>
      </c>
      <c r="G4710" t="n">
        <v>20</v>
      </c>
      <c r="H4710" t="n">
        <v>20</v>
      </c>
      <c r="I4710">
        <f>B4710&amp;"|"&amp;C4710</f>
        <v/>
      </c>
      <c r="J4710" t="inlineStr">
        <is>
          <t>low cost and average</t>
        </is>
      </c>
    </row>
    <row r="4711" ht="12" customHeight="1" s="545">
      <c r="B4711" t="inlineStr">
        <is>
          <t>Arch-Rib (Quonset) Farm Implement Buildings</t>
        </is>
      </c>
      <c r="C4711" t="inlineStr">
        <is>
          <t>Good</t>
        </is>
      </c>
      <c r="G4711" t="n">
        <v>30</v>
      </c>
      <c r="H4711" t="n">
        <v>30</v>
      </c>
      <c r="I4711">
        <f>B4711&amp;"|"&amp;C4711</f>
        <v/>
      </c>
      <c r="J4711" t="inlineStr">
        <is>
          <t>Implement, arch-rib buildings, good</t>
        </is>
      </c>
    </row>
    <row r="4712" ht="12" customHeight="1" s="545">
      <c r="B4712" t="inlineStr">
        <is>
          <t>Arch-Rib (Quonset) Farm Implement Buildings</t>
        </is>
      </c>
      <c r="C4712" t="inlineStr">
        <is>
          <t>Average</t>
        </is>
      </c>
      <c r="G4712" t="n">
        <v>25</v>
      </c>
      <c r="H4712" t="n">
        <v>25</v>
      </c>
      <c r="I4712">
        <f>B4712&amp;"|"&amp;C4712</f>
        <v/>
      </c>
      <c r="J4712" t="inlineStr">
        <is>
          <t>average</t>
        </is>
      </c>
    </row>
    <row r="4713" ht="12" customHeight="1" s="545">
      <c r="B4713" t="inlineStr">
        <is>
          <t>Arch-Rib (Quonset) Farm Implement Buildings</t>
        </is>
      </c>
      <c r="C4713" t="inlineStr">
        <is>
          <t>Low Cost</t>
        </is>
      </c>
      <c r="G4713" t="n">
        <v>20</v>
      </c>
      <c r="H4713" t="n">
        <v>20</v>
      </c>
      <c r="I4713">
        <f>B4713&amp;"|"&amp;C4713</f>
        <v/>
      </c>
      <c r="J4713" t="inlineStr">
        <is>
          <t>low cost</t>
        </is>
      </c>
    </row>
    <row r="4714" ht="12" customHeight="1" s="545">
      <c r="B4714" t="inlineStr">
        <is>
          <t>Arch-Rib (Quonset) Farm Implement Buildings</t>
        </is>
      </c>
      <c r="C4714" t="inlineStr">
        <is>
          <t>Cheap</t>
        </is>
      </c>
      <c r="G4714" t="n">
        <v>20</v>
      </c>
      <c r="H4714" t="n">
        <v>20</v>
      </c>
      <c r="I4714">
        <f>B4714&amp;"|"&amp;C4714</f>
        <v/>
      </c>
      <c r="J4714" t="inlineStr">
        <is>
          <t>low cost</t>
        </is>
      </c>
    </row>
    <row r="4715" ht="12" customHeight="1" s="545">
      <c r="B4715" t="inlineStr">
        <is>
          <t>Farm Implement – Equipment Sheds</t>
        </is>
      </c>
      <c r="C4715" t="inlineStr">
        <is>
          <t>Average</t>
        </is>
      </c>
      <c r="F4715" t="n">
        <v>25</v>
      </c>
      <c r="G4715" t="n">
        <v>20</v>
      </c>
      <c r="H4715" t="n">
        <v>20</v>
      </c>
      <c r="I4715">
        <f>B4715&amp;"|"&amp;C4715</f>
        <v/>
      </c>
      <c r="J4715" t="inlineStr">
        <is>
          <t>implement/equipment sheds, average</t>
        </is>
      </c>
    </row>
    <row r="4716" ht="12" customHeight="1" s="545">
      <c r="B4716" t="inlineStr">
        <is>
          <t>Farm Implement – Equipment Sheds</t>
        </is>
      </c>
      <c r="C4716" t="inlineStr">
        <is>
          <t>Low Cost</t>
        </is>
      </c>
      <c r="F4716" t="n">
        <v>20</v>
      </c>
      <c r="G4716" t="n">
        <v>15</v>
      </c>
      <c r="H4716" t="n">
        <v>15</v>
      </c>
      <c r="I4716">
        <f>B4716&amp;"|"&amp;C4716</f>
        <v/>
      </c>
      <c r="J4716" t="inlineStr">
        <is>
          <t>low cost</t>
        </is>
      </c>
    </row>
    <row r="4717" ht="12" customHeight="1" s="545">
      <c r="B4717" t="inlineStr">
        <is>
          <t>Barns – General Purpose</t>
        </is>
      </c>
      <c r="C4717" t="inlineStr">
        <is>
          <t>Good</t>
        </is>
      </c>
      <c r="F4717" t="n">
        <v>35</v>
      </c>
      <c r="G4717" t="n">
        <v>30</v>
      </c>
      <c r="H4717" t="n">
        <v>30</v>
      </c>
      <c r="I4717">
        <f>B4717&amp;"|"&amp;C4717</f>
        <v/>
      </c>
      <c r="J4717" t="inlineStr">
        <is>
          <t>general purpose, good</t>
        </is>
      </c>
    </row>
    <row r="4718" ht="12" customHeight="1" s="545">
      <c r="B4718" t="inlineStr">
        <is>
          <t>Barns – General Purpose</t>
        </is>
      </c>
      <c r="C4718" t="inlineStr">
        <is>
          <t>Average</t>
        </is>
      </c>
      <c r="F4718" t="n">
        <v>30</v>
      </c>
      <c r="G4718" t="n">
        <v>25</v>
      </c>
      <c r="H4718" t="n">
        <v>25</v>
      </c>
      <c r="I4718">
        <f>B4718&amp;"|"&amp;C4718</f>
        <v/>
      </c>
      <c r="J4718" t="inlineStr">
        <is>
          <t>average</t>
        </is>
      </c>
    </row>
    <row r="4719" ht="12" customHeight="1" s="545">
      <c r="B4719" t="inlineStr">
        <is>
          <t>Barns – General Purpose</t>
        </is>
      </c>
      <c r="C4719" t="inlineStr">
        <is>
          <t>Low Cost</t>
        </is>
      </c>
      <c r="F4719" t="n">
        <v>20</v>
      </c>
      <c r="G4719" t="n">
        <v>15</v>
      </c>
      <c r="H4719" t="n">
        <v>15</v>
      </c>
      <c r="I4719">
        <f>B4719&amp;"|"&amp;C4719</f>
        <v/>
      </c>
      <c r="J4719" t="inlineStr">
        <is>
          <t>low cost</t>
        </is>
      </c>
    </row>
    <row r="4720" ht="12" customHeight="1" s="545">
      <c r="B4720" t="inlineStr">
        <is>
          <t>Bank Barns (Two-Story) – General Purpose</t>
        </is>
      </c>
      <c r="C4720" t="inlineStr">
        <is>
          <t>Good</t>
        </is>
      </c>
      <c r="F4720" t="n">
        <v>35</v>
      </c>
      <c r="G4720" t="n">
        <v>30</v>
      </c>
      <c r="H4720" t="n">
        <v>30</v>
      </c>
      <c r="I4720">
        <f>B4720&amp;"|"&amp;C4720</f>
        <v/>
      </c>
      <c r="J4720" t="inlineStr">
        <is>
          <t>general purpose, good</t>
        </is>
      </c>
    </row>
    <row r="4721" ht="12" customHeight="1" s="545">
      <c r="B4721" t="inlineStr">
        <is>
          <t>Bank Barns (Two-Story) – General Purpose</t>
        </is>
      </c>
      <c r="C4721" t="inlineStr">
        <is>
          <t>Average</t>
        </is>
      </c>
      <c r="F4721" t="n">
        <v>30</v>
      </c>
      <c r="G4721" t="n">
        <v>25</v>
      </c>
      <c r="H4721" t="n">
        <v>25</v>
      </c>
      <c r="I4721">
        <f>B4721&amp;"|"&amp;C4721</f>
        <v/>
      </c>
      <c r="J4721" t="inlineStr">
        <is>
          <t>average</t>
        </is>
      </c>
    </row>
    <row r="4722" ht="12" customHeight="1" s="545">
      <c r="B4722" t="inlineStr">
        <is>
          <t>Bank Barns (Two-Story) – General Purpose</t>
        </is>
      </c>
      <c r="C4722" t="inlineStr">
        <is>
          <t>Low Cost</t>
        </is>
      </c>
      <c r="F4722" t="n">
        <v>20</v>
      </c>
      <c r="G4722" t="n">
        <v>15</v>
      </c>
      <c r="H4722" t="n">
        <v>15</v>
      </c>
      <c r="I4722">
        <f>B4722&amp;"|"&amp;C4722</f>
        <v/>
      </c>
      <c r="J4722" t="inlineStr">
        <is>
          <t>low cost</t>
        </is>
      </c>
    </row>
    <row r="4723" ht="12" customHeight="1" s="545">
      <c r="B4723" t="inlineStr">
        <is>
          <t>Barns – Special Purpose</t>
        </is>
      </c>
      <c r="C4723" t="inlineStr">
        <is>
          <t>Excellent</t>
        </is>
      </c>
      <c r="F4723" t="n">
        <v>40</v>
      </c>
      <c r="G4723" t="n">
        <v>35</v>
      </c>
      <c r="I4723">
        <f>B4723&amp;"|"&amp;C4723</f>
        <v/>
      </c>
      <c r="J4723" t="inlineStr">
        <is>
          <t>special purpose, excellent</t>
        </is>
      </c>
    </row>
    <row r="4724" ht="12" customHeight="1" s="545">
      <c r="B4724" t="inlineStr">
        <is>
          <t>Barns – Special Purpose</t>
        </is>
      </c>
      <c r="C4724" t="inlineStr">
        <is>
          <t>Good</t>
        </is>
      </c>
      <c r="F4724" t="n">
        <v>35</v>
      </c>
      <c r="G4724" t="n">
        <v>30</v>
      </c>
      <c r="I4724">
        <f>B4724&amp;"|"&amp;C4724</f>
        <v/>
      </c>
      <c r="J4724" t="inlineStr">
        <is>
          <t>good</t>
        </is>
      </c>
    </row>
    <row r="4725" ht="12" customHeight="1" s="545">
      <c r="B4725" t="inlineStr">
        <is>
          <t>Barns – Special Purpose</t>
        </is>
      </c>
      <c r="C4725" t="inlineStr">
        <is>
          <t>Average</t>
        </is>
      </c>
      <c r="F4725" t="n">
        <v>30</v>
      </c>
      <c r="G4725" t="n">
        <v>25</v>
      </c>
      <c r="I4725">
        <f>B4725&amp;"|"&amp;C4725</f>
        <v/>
      </c>
      <c r="J4725" t="inlineStr">
        <is>
          <t>low cost and average</t>
        </is>
      </c>
    </row>
    <row r="4726" ht="12" customHeight="1" s="545">
      <c r="B4726" t="inlineStr">
        <is>
          <t>Barns – Special Purpose</t>
        </is>
      </c>
      <c r="C4726" t="inlineStr">
        <is>
          <t>Low Cost</t>
        </is>
      </c>
      <c r="F4726" t="n">
        <v>30</v>
      </c>
      <c r="G4726" t="n">
        <v>25</v>
      </c>
      <c r="I4726">
        <f>B4726&amp;"|"&amp;C4726</f>
        <v/>
      </c>
      <c r="J4726" t="inlineStr">
        <is>
          <t>low cost and average</t>
        </is>
      </c>
    </row>
    <row r="4727" ht="12" customHeight="1" s="545">
      <c r="B4727" t="inlineStr">
        <is>
          <t>Bank Barns (Two-Story) – Special Purpose</t>
        </is>
      </c>
      <c r="C4727" t="inlineStr">
        <is>
          <t>Excellent</t>
        </is>
      </c>
      <c r="F4727" t="n">
        <v>40</v>
      </c>
      <c r="G4727" t="n">
        <v>35</v>
      </c>
      <c r="I4727">
        <f>B4727&amp;"|"&amp;C4727</f>
        <v/>
      </c>
      <c r="J4727" t="inlineStr">
        <is>
          <t>special purpose, excellent</t>
        </is>
      </c>
    </row>
    <row r="4728" ht="12" customHeight="1" s="545">
      <c r="B4728" t="inlineStr">
        <is>
          <t>Bank Barns (Two-Story) – Special Purpose</t>
        </is>
      </c>
      <c r="C4728" t="inlineStr">
        <is>
          <t>Good</t>
        </is>
      </c>
      <c r="F4728" t="n">
        <v>35</v>
      </c>
      <c r="G4728" t="n">
        <v>30</v>
      </c>
      <c r="I4728">
        <f>B4728&amp;"|"&amp;C4728</f>
        <v/>
      </c>
      <c r="J4728" t="inlineStr">
        <is>
          <t>good</t>
        </is>
      </c>
    </row>
    <row r="4729" ht="12" customHeight="1" s="545">
      <c r="B4729" t="inlineStr">
        <is>
          <t>Bank Barns (Two-Story) – Special Purpose</t>
        </is>
      </c>
      <c r="C4729" t="inlineStr">
        <is>
          <t>Average</t>
        </is>
      </c>
      <c r="F4729" t="n">
        <v>30</v>
      </c>
      <c r="G4729" t="n">
        <v>25</v>
      </c>
      <c r="I4729">
        <f>B4729&amp;"|"&amp;C4729</f>
        <v/>
      </c>
      <c r="J4729" t="inlineStr">
        <is>
          <t>low cost and average</t>
        </is>
      </c>
    </row>
    <row r="4730" ht="12" customHeight="1" s="545">
      <c r="B4730" t="inlineStr">
        <is>
          <t>Bank Barns (Two-Story) – Special Purpose</t>
        </is>
      </c>
      <c r="C4730" t="inlineStr">
        <is>
          <t>Low Cost</t>
        </is>
      </c>
      <c r="F4730" t="n">
        <v>30</v>
      </c>
      <c r="G4730" t="n">
        <v>25</v>
      </c>
      <c r="I4730">
        <f>B4730&amp;"|"&amp;C4730</f>
        <v/>
      </c>
      <c r="J4730" t="inlineStr">
        <is>
          <t>low cost and average</t>
        </is>
      </c>
    </row>
    <row r="4731" ht="12" customHeight="1" s="545">
      <c r="B4731" t="inlineStr">
        <is>
          <t>Free-Stall Barns</t>
        </is>
      </c>
      <c r="C4731" t="inlineStr">
        <is>
          <t>Excellent</t>
        </is>
      </c>
      <c r="G4731" t="n">
        <v>30</v>
      </c>
      <c r="H4731" t="n">
        <v>30</v>
      </c>
      <c r="I4731">
        <f>B4731&amp;"|"&amp;C4731</f>
        <v/>
      </c>
      <c r="J4731" t="inlineStr">
        <is>
          <t>Barns, freestall and confinement, good and excellent</t>
        </is>
      </c>
    </row>
    <row r="4732" ht="12" customHeight="1" s="545">
      <c r="B4732" t="inlineStr">
        <is>
          <t>Free-Stall Barns</t>
        </is>
      </c>
      <c r="C4732" t="inlineStr">
        <is>
          <t>Good</t>
        </is>
      </c>
      <c r="G4732" t="n">
        <v>30</v>
      </c>
      <c r="H4732" t="n">
        <v>30</v>
      </c>
      <c r="I4732">
        <f>B4732&amp;"|"&amp;C4732</f>
        <v/>
      </c>
      <c r="J4732" t="inlineStr">
        <is>
          <t>Barns, freestall and confinement, good and excellent</t>
        </is>
      </c>
    </row>
    <row r="4733" ht="12" customHeight="1" s="545">
      <c r="B4733" t="inlineStr">
        <is>
          <t>Free-Stall Barns</t>
        </is>
      </c>
      <c r="C4733" t="inlineStr">
        <is>
          <t>Average</t>
        </is>
      </c>
      <c r="G4733" t="n">
        <v>25</v>
      </c>
      <c r="H4733" t="n">
        <v>25</v>
      </c>
      <c r="I4733">
        <f>B4733&amp;"|"&amp;C4733</f>
        <v/>
      </c>
      <c r="J4733" t="inlineStr">
        <is>
          <t>average</t>
        </is>
      </c>
    </row>
    <row r="4734" ht="12" customHeight="1" s="545">
      <c r="B4734" t="inlineStr">
        <is>
          <t>Free-Stall Barns</t>
        </is>
      </c>
      <c r="C4734" t="inlineStr">
        <is>
          <t>Low Cost</t>
        </is>
      </c>
      <c r="G4734" t="n">
        <v>15</v>
      </c>
      <c r="H4734" t="n">
        <v>15</v>
      </c>
      <c r="I4734">
        <f>B4734&amp;"|"&amp;C4734</f>
        <v/>
      </c>
      <c r="J4734" t="inlineStr">
        <is>
          <t>cheap and low cost</t>
        </is>
      </c>
    </row>
    <row r="4735" ht="12" customHeight="1" s="545">
      <c r="B4735" t="inlineStr">
        <is>
          <t>Free-Stall Barns</t>
        </is>
      </c>
      <c r="C4735" t="inlineStr">
        <is>
          <t>Cheap</t>
        </is>
      </c>
      <c r="G4735" t="n">
        <v>15</v>
      </c>
      <c r="H4735" t="n">
        <v>15</v>
      </c>
      <c r="I4735">
        <f>B4735&amp;"|"&amp;C4735</f>
        <v/>
      </c>
      <c r="J4735" t="inlineStr">
        <is>
          <t>cheap and low cost</t>
        </is>
      </c>
    </row>
    <row r="4736" ht="12" customHeight="1" s="545">
      <c r="B4736" t="inlineStr">
        <is>
          <t>Confinement Barns</t>
        </is>
      </c>
      <c r="C4736" t="inlineStr">
        <is>
          <t>Average</t>
        </is>
      </c>
      <c r="G4736" t="n">
        <v>25</v>
      </c>
      <c r="H4736" t="n">
        <v>25</v>
      </c>
      <c r="I4736">
        <f>B4736&amp;"|"&amp;C4736</f>
        <v/>
      </c>
      <c r="J4736" t="inlineStr">
        <is>
          <t>average</t>
        </is>
      </c>
    </row>
    <row r="4737" ht="12" customHeight="1" s="545">
      <c r="B4737" t="inlineStr">
        <is>
          <t>Confinement Barns</t>
        </is>
      </c>
      <c r="C4737" t="inlineStr">
        <is>
          <t>Low Cost</t>
        </is>
      </c>
      <c r="G4737" t="n">
        <v>15</v>
      </c>
      <c r="H4737" t="n">
        <v>15</v>
      </c>
      <c r="I4737">
        <f>B4737&amp;"|"&amp;C4737</f>
        <v/>
      </c>
      <c r="J4737" t="inlineStr">
        <is>
          <t>cheap and low cost</t>
        </is>
      </c>
    </row>
    <row r="4738" ht="12" customHeight="1" s="545">
      <c r="B4738" t="inlineStr">
        <is>
          <t>Feeder Barns – Sheds</t>
        </is>
      </c>
      <c r="C4738" t="inlineStr">
        <is>
          <t>Good</t>
        </is>
      </c>
      <c r="G4738" t="n">
        <v>20</v>
      </c>
      <c r="H4738" t="n">
        <v>20</v>
      </c>
      <c r="I4738">
        <f>B4738&amp;"|"&amp;C4738</f>
        <v/>
      </c>
      <c r="J4738" t="inlineStr">
        <is>
          <t>Feeder barns/loafing sheds, good</t>
        </is>
      </c>
    </row>
    <row r="4739" ht="12" customHeight="1" s="545">
      <c r="B4739" t="inlineStr">
        <is>
          <t>Feeder Barns – Sheds</t>
        </is>
      </c>
      <c r="C4739" t="inlineStr">
        <is>
          <t>Average</t>
        </is>
      </c>
      <c r="G4739" t="n">
        <v>15</v>
      </c>
      <c r="H4739" t="n">
        <v>15</v>
      </c>
      <c r="I4739">
        <f>B4739&amp;"|"&amp;C4739</f>
        <v/>
      </c>
      <c r="J4739" t="inlineStr">
        <is>
          <t>low cost and average</t>
        </is>
      </c>
    </row>
    <row r="4740" ht="12" customHeight="1" s="545">
      <c r="B4740" t="inlineStr">
        <is>
          <t>Feeder Barns – Sheds</t>
        </is>
      </c>
      <c r="C4740" t="inlineStr">
        <is>
          <t>Low Cost</t>
        </is>
      </c>
      <c r="G4740" t="n">
        <v>15</v>
      </c>
      <c r="H4740" t="n">
        <v>15</v>
      </c>
      <c r="I4740">
        <f>B4740&amp;"|"&amp;C4740</f>
        <v/>
      </c>
      <c r="J4740" t="inlineStr">
        <is>
          <t>low cost and average</t>
        </is>
      </c>
    </row>
    <row r="4741" ht="12" customHeight="1" s="545">
      <c r="B4741" t="inlineStr">
        <is>
          <t>Loafing Sheds</t>
        </is>
      </c>
      <c r="C4741" t="inlineStr">
        <is>
          <t>Good</t>
        </is>
      </c>
      <c r="G4741" t="n">
        <v>20</v>
      </c>
      <c r="H4741" t="n">
        <v>20</v>
      </c>
      <c r="I4741">
        <f>B4741&amp;"|"&amp;C4741</f>
        <v/>
      </c>
      <c r="J4741" t="inlineStr">
        <is>
          <t>Feeder barns/loafing sheds, good</t>
        </is>
      </c>
    </row>
    <row r="4742" ht="12" customHeight="1" s="545">
      <c r="B4742" t="inlineStr">
        <is>
          <t>Loafing Sheds</t>
        </is>
      </c>
      <c r="C4742" t="inlineStr">
        <is>
          <t>Average</t>
        </is>
      </c>
      <c r="G4742" t="n">
        <v>15</v>
      </c>
      <c r="H4742" t="n">
        <v>15</v>
      </c>
      <c r="I4742">
        <f>B4742&amp;"|"&amp;C4742</f>
        <v/>
      </c>
      <c r="J4742" t="inlineStr">
        <is>
          <t>low cost and average</t>
        </is>
      </c>
    </row>
    <row r="4743" ht="12" customHeight="1" s="545">
      <c r="B4743" t="inlineStr">
        <is>
          <t>Loafing Sheds</t>
        </is>
      </c>
      <c r="C4743" t="inlineStr">
        <is>
          <t>Low Cost</t>
        </is>
      </c>
      <c r="G4743" t="n">
        <v>15</v>
      </c>
      <c r="H4743" t="n">
        <v>15</v>
      </c>
      <c r="I4743">
        <f>B4743&amp;"|"&amp;C4743</f>
        <v/>
      </c>
      <c r="J4743" t="inlineStr">
        <is>
          <t>low cost and average</t>
        </is>
      </c>
    </row>
    <row r="4744" ht="12" customHeight="1" s="545">
      <c r="B4744" t="inlineStr">
        <is>
          <t>Farm Utility Shelters (Open Hay Sheds)</t>
        </is>
      </c>
      <c r="C4744" t="inlineStr">
        <is>
          <t>Good</t>
        </is>
      </c>
      <c r="G4744" t="n">
        <v>20</v>
      </c>
      <c r="H4744" t="n">
        <v>20</v>
      </c>
      <c r="I4744">
        <f>B4744&amp;"|"&amp;C4744</f>
        <v/>
      </c>
      <c r="J4744" t="inlineStr">
        <is>
          <t>Hay sheds/shelters, good</t>
        </is>
      </c>
    </row>
    <row r="4745" ht="12" customHeight="1" s="545">
      <c r="B4745" t="inlineStr">
        <is>
          <t>Farm Utility Shelters (Open Hay Sheds)</t>
        </is>
      </c>
      <c r="C4745" t="inlineStr">
        <is>
          <t>Average</t>
        </is>
      </c>
      <c r="G4745" t="n">
        <v>15</v>
      </c>
      <c r="H4745" t="n">
        <v>15</v>
      </c>
      <c r="I4745">
        <f>B4745&amp;"|"&amp;C4745</f>
        <v/>
      </c>
      <c r="J4745" t="inlineStr">
        <is>
          <t>average</t>
        </is>
      </c>
    </row>
    <row r="4746" ht="12" customHeight="1" s="545">
      <c r="B4746" t="inlineStr">
        <is>
          <t>Calving Barns – Sheds</t>
        </is>
      </c>
      <c r="C4746" t="inlineStr">
        <is>
          <t>Good</t>
        </is>
      </c>
      <c r="G4746" t="n">
        <v>20</v>
      </c>
      <c r="H4746" t="n">
        <v>20</v>
      </c>
      <c r="I4746">
        <f>B4746&amp;"|"&amp;C4746</f>
        <v/>
      </c>
      <c r="J4746" t="inlineStr">
        <is>
          <t>Calving barn shed, good</t>
        </is>
      </c>
    </row>
    <row r="4747" ht="12" customHeight="1" s="545">
      <c r="B4747" t="inlineStr">
        <is>
          <t>Calving Barns – Sheds</t>
        </is>
      </c>
      <c r="C4747" t="inlineStr">
        <is>
          <t>Average</t>
        </is>
      </c>
      <c r="G4747" t="n">
        <v>15</v>
      </c>
      <c r="H4747" t="n">
        <v>15</v>
      </c>
      <c r="I4747">
        <f>B4747&amp;"|"&amp;C4747</f>
        <v/>
      </c>
      <c r="J4747" t="inlineStr">
        <is>
          <t>low cost and average</t>
        </is>
      </c>
    </row>
    <row r="4748" ht="12" customHeight="1" s="545">
      <c r="B4748" t="inlineStr">
        <is>
          <t>Calving Barns – Sheds</t>
        </is>
      </c>
      <c r="C4748" t="inlineStr">
        <is>
          <t>Low Cost</t>
        </is>
      </c>
      <c r="G4748" t="n">
        <v>15</v>
      </c>
      <c r="H4748" t="n">
        <v>15</v>
      </c>
      <c r="I4748">
        <f>B4748&amp;"|"&amp;C4748</f>
        <v/>
      </c>
      <c r="J4748" t="inlineStr">
        <is>
          <t>low cost and average</t>
        </is>
      </c>
    </row>
    <row r="4749" ht="12" customHeight="1" s="545">
      <c r="B4749" t="inlineStr">
        <is>
          <t>Arena Shelters</t>
        </is>
      </c>
      <c r="C4749" t="inlineStr">
        <is>
          <t>Low Cost</t>
        </is>
      </c>
      <c r="G4749" t="n">
        <v>15</v>
      </c>
      <c r="H4749" t="n">
        <v>15</v>
      </c>
      <c r="I4749">
        <f>B4749&amp;"|"&amp;C4749</f>
        <v/>
      </c>
      <c r="J4749" t="inlineStr">
        <is>
          <t>low cost</t>
        </is>
      </c>
    </row>
    <row r="4750" ht="12" customHeight="1" s="545">
      <c r="B4750" t="inlineStr">
        <is>
          <t>Arena Shelters</t>
        </is>
      </c>
      <c r="C4750" t="inlineStr">
        <is>
          <t>Good</t>
        </is>
      </c>
      <c r="H4750" t="n">
        <v>25</v>
      </c>
      <c r="I4750">
        <f>B4750&amp;"|"&amp;C4750</f>
        <v/>
      </c>
      <c r="J4750" t="inlineStr">
        <is>
          <t>Arena shelters, good</t>
        </is>
      </c>
    </row>
    <row r="4751" ht="12" customHeight="1" s="545">
      <c r="B4751" t="inlineStr">
        <is>
          <t>Arena Shelters</t>
        </is>
      </c>
      <c r="C4751" t="inlineStr">
        <is>
          <t>Average</t>
        </is>
      </c>
      <c r="H4751" t="n">
        <v>20</v>
      </c>
      <c r="I4751">
        <f>B4751&amp;"|"&amp;C4751</f>
        <v/>
      </c>
      <c r="J4751" t="inlineStr">
        <is>
          <t>average</t>
        </is>
      </c>
    </row>
    <row r="4752" ht="12" customHeight="1" s="545">
      <c r="B4752" t="inlineStr">
        <is>
          <t>Farm Sun Shelters</t>
        </is>
      </c>
      <c r="C4752" t="inlineStr">
        <is>
          <t>Average</t>
        </is>
      </c>
      <c r="G4752" t="n">
        <v>10</v>
      </c>
      <c r="I4752">
        <f>B4752&amp;"|"&amp;C4752</f>
        <v/>
      </c>
      <c r="J4752" t="inlineStr">
        <is>
          <t>low cost and average</t>
        </is>
      </c>
    </row>
    <row r="4753" ht="12" customHeight="1" s="545">
      <c r="B4753" t="inlineStr">
        <is>
          <t>Farm Sun Shelters</t>
        </is>
      </c>
      <c r="C4753" t="inlineStr">
        <is>
          <t>Low Cost</t>
        </is>
      </c>
      <c r="G4753" t="n">
        <v>10</v>
      </c>
      <c r="I4753">
        <f>B4753&amp;"|"&amp;C4753</f>
        <v/>
      </c>
      <c r="J4753" t="inlineStr">
        <is>
          <t>low cost and average</t>
        </is>
      </c>
    </row>
    <row r="4754" ht="12" customHeight="1" s="545">
      <c r="B4754" t="inlineStr">
        <is>
          <t>Arenas</t>
        </is>
      </c>
      <c r="C4754" t="inlineStr">
        <is>
          <t>Excellent</t>
        </is>
      </c>
      <c r="F4754" t="n">
        <v>40</v>
      </c>
      <c r="G4754" t="n">
        <v>35</v>
      </c>
      <c r="H4754" t="n">
        <v>35</v>
      </c>
      <c r="I4754">
        <f>B4754&amp;"|"&amp;C4754</f>
        <v/>
      </c>
      <c r="J4754" t="inlineStr">
        <is>
          <t>Arenas, excellent</t>
        </is>
      </c>
    </row>
    <row r="4755" ht="12" customHeight="1" s="545">
      <c r="B4755" t="inlineStr">
        <is>
          <t>Arenas</t>
        </is>
      </c>
      <c r="C4755" t="inlineStr">
        <is>
          <t>Good</t>
        </is>
      </c>
      <c r="F4755" t="n">
        <v>35</v>
      </c>
      <c r="G4755" t="n">
        <v>30</v>
      </c>
      <c r="H4755" t="n">
        <v>30</v>
      </c>
      <c r="I4755">
        <f>B4755&amp;"|"&amp;C4755</f>
        <v/>
      </c>
      <c r="J4755" t="inlineStr">
        <is>
          <t>good</t>
        </is>
      </c>
    </row>
    <row r="4756" ht="12" customHeight="1" s="545">
      <c r="B4756" t="inlineStr">
        <is>
          <t>Arenas</t>
        </is>
      </c>
      <c r="C4756" t="inlineStr">
        <is>
          <t>Average</t>
        </is>
      </c>
      <c r="F4756" t="n">
        <v>30</v>
      </c>
      <c r="G4756" t="n">
        <v>25</v>
      </c>
      <c r="H4756" t="n">
        <v>25</v>
      </c>
      <c r="I4756">
        <f>B4756&amp;"|"&amp;C4756</f>
        <v/>
      </c>
      <c r="J4756" t="inlineStr">
        <is>
          <t>average</t>
        </is>
      </c>
    </row>
    <row r="4757" ht="12" customHeight="1" s="545">
      <c r="B4757" t="inlineStr">
        <is>
          <t>Arenas</t>
        </is>
      </c>
      <c r="C4757" t="inlineStr">
        <is>
          <t>Low Cost</t>
        </is>
      </c>
      <c r="F4757" t="n">
        <v>20</v>
      </c>
      <c r="G4757" t="n">
        <v>15</v>
      </c>
      <c r="H4757" t="n">
        <v>15</v>
      </c>
      <c r="I4757">
        <f>B4757&amp;"|"&amp;C4757</f>
        <v/>
      </c>
      <c r="J4757" t="inlineStr">
        <is>
          <t>cheap and low cost</t>
        </is>
      </c>
    </row>
    <row r="4758" ht="12" customHeight="1" s="545">
      <c r="B4758" t="inlineStr">
        <is>
          <t>Arenas</t>
        </is>
      </c>
      <c r="C4758" t="inlineStr">
        <is>
          <t>Cheap</t>
        </is>
      </c>
      <c r="F4758" t="n">
        <v>20</v>
      </c>
      <c r="G4758" t="n">
        <v>15</v>
      </c>
      <c r="H4758" t="n">
        <v>15</v>
      </c>
      <c r="I4758">
        <f>B4758&amp;"|"&amp;C4758</f>
        <v/>
      </c>
      <c r="J4758" t="inlineStr">
        <is>
          <t>cheap and low cost</t>
        </is>
      </c>
    </row>
    <row r="4759" ht="12" customHeight="1" s="545">
      <c r="B4759" t="inlineStr">
        <is>
          <t>Equestrian Lean-Tos</t>
        </is>
      </c>
      <c r="C4759" t="inlineStr">
        <is>
          <t>Average</t>
        </is>
      </c>
      <c r="G4759" t="n">
        <v>25</v>
      </c>
      <c r="H4759" t="n">
        <v>25</v>
      </c>
      <c r="I4759">
        <f>B4759&amp;"|"&amp;C4759</f>
        <v/>
      </c>
      <c r="J4759" t="inlineStr">
        <is>
          <t>Lean-tos, equestrian, average</t>
        </is>
      </c>
    </row>
    <row r="4760" ht="12" customHeight="1" s="545">
      <c r="B4760" t="inlineStr">
        <is>
          <t>Equestrian Lean-Tos</t>
        </is>
      </c>
      <c r="C4760" t="inlineStr">
        <is>
          <t>Low Cost</t>
        </is>
      </c>
      <c r="G4760" t="n">
        <v>15</v>
      </c>
      <c r="H4760" t="n">
        <v>15</v>
      </c>
      <c r="I4760">
        <f>B4760&amp;"|"&amp;C4760</f>
        <v/>
      </c>
      <c r="J4760" t="inlineStr">
        <is>
          <t>low cost</t>
        </is>
      </c>
    </row>
    <row r="4761" ht="12" customHeight="1" s="545">
      <c r="B4761" t="inlineStr">
        <is>
          <t>Stables</t>
        </is>
      </c>
      <c r="C4761" t="inlineStr">
        <is>
          <t>Good</t>
        </is>
      </c>
      <c r="F4761" t="n">
        <v>35</v>
      </c>
      <c r="G4761" t="n">
        <v>30</v>
      </c>
      <c r="H4761" t="n">
        <v>30</v>
      </c>
      <c r="I4761">
        <f>B4761&amp;"|"&amp;C4761</f>
        <v/>
      </c>
      <c r="J4761" t="inlineStr">
        <is>
          <t>Stables, good</t>
        </is>
      </c>
    </row>
    <row r="4762" ht="12" customHeight="1" s="545">
      <c r="B4762" t="inlineStr">
        <is>
          <t>Stables</t>
        </is>
      </c>
      <c r="C4762" t="inlineStr">
        <is>
          <t>Average</t>
        </is>
      </c>
      <c r="F4762" t="n">
        <v>30</v>
      </c>
      <c r="G4762" t="n">
        <v>25</v>
      </c>
      <c r="H4762" t="n">
        <v>25</v>
      </c>
      <c r="I4762">
        <f>B4762&amp;"|"&amp;C4762</f>
        <v/>
      </c>
      <c r="J4762" t="inlineStr">
        <is>
          <t>average</t>
        </is>
      </c>
    </row>
    <row r="4763" ht="12" customHeight="1" s="545">
      <c r="B4763" t="inlineStr">
        <is>
          <t>Stables</t>
        </is>
      </c>
      <c r="C4763" t="inlineStr">
        <is>
          <t>Low Cost</t>
        </is>
      </c>
      <c r="F4763" t="n">
        <v>20</v>
      </c>
      <c r="G4763" t="n">
        <v>15</v>
      </c>
      <c r="H4763" t="n">
        <v>15</v>
      </c>
      <c r="I4763">
        <f>B4763&amp;"|"&amp;C4763</f>
        <v/>
      </c>
      <c r="J4763" t="inlineStr">
        <is>
          <t>low cost</t>
        </is>
      </c>
    </row>
    <row r="4764" ht="12" customHeight="1" s="545">
      <c r="B4764" t="inlineStr">
        <is>
          <t>Stables</t>
        </is>
      </c>
      <c r="C4764" t="inlineStr">
        <is>
          <t>Cheap</t>
        </is>
      </c>
      <c r="F4764" t="n">
        <v>20</v>
      </c>
      <c r="G4764" t="n">
        <v>15</v>
      </c>
      <c r="H4764" t="n">
        <v>15</v>
      </c>
      <c r="I4764">
        <f>B4764&amp;"|"&amp;C4764</f>
        <v/>
      </c>
      <c r="J4764" t="inlineStr">
        <is>
          <t>low cost</t>
        </is>
      </c>
    </row>
    <row r="4765" ht="12" customHeight="1" s="545">
      <c r="B4765" t="inlineStr">
        <is>
          <t>High-Value (Estate) Stables – Horse Barns</t>
        </is>
      </c>
      <c r="C4765" t="inlineStr">
        <is>
          <t>Excellent</t>
        </is>
      </c>
      <c r="F4765" t="n">
        <v>50</v>
      </c>
      <c r="G4765" t="n">
        <v>45</v>
      </c>
      <c r="I4765">
        <f>B4765&amp;"|"&amp;C4765</f>
        <v/>
      </c>
      <c r="J4765" t="inlineStr">
        <is>
          <t>high-value estate stables, excellent</t>
        </is>
      </c>
    </row>
    <row r="4766" ht="12" customHeight="1" s="545">
      <c r="B4766" t="inlineStr">
        <is>
          <t>High-Value (Estate) Stables – Horse Barns</t>
        </is>
      </c>
      <c r="C4766" t="inlineStr">
        <is>
          <t>Good</t>
        </is>
      </c>
      <c r="F4766" t="n">
        <v>45</v>
      </c>
      <c r="G4766" t="n">
        <v>40</v>
      </c>
      <c r="I4766">
        <f>B4766&amp;"|"&amp;C4766</f>
        <v/>
      </c>
      <c r="J4766" t="inlineStr">
        <is>
          <t>good</t>
        </is>
      </c>
    </row>
    <row r="4767" ht="12" customHeight="1" s="545">
      <c r="B4767" t="inlineStr">
        <is>
          <t>High-Value (Estate) Stables – Horse Barns</t>
        </is>
      </c>
      <c r="C4767" t="inlineStr">
        <is>
          <t>Average</t>
        </is>
      </c>
      <c r="F4767" t="n">
        <v>40</v>
      </c>
      <c r="G4767" t="n">
        <v>35</v>
      </c>
      <c r="H4767" t="n">
        <v>35</v>
      </c>
      <c r="I4767">
        <f>B4767&amp;"|"&amp;C4767</f>
        <v/>
      </c>
      <c r="J4767" t="inlineStr">
        <is>
          <t>low-cost and average</t>
        </is>
      </c>
    </row>
    <row r="4768" ht="12" customHeight="1" s="545">
      <c r="B4768" t="inlineStr">
        <is>
          <t>High-Value (Estate) Stables – Horse Barns</t>
        </is>
      </c>
      <c r="C4768" t="inlineStr">
        <is>
          <t>Low Cost</t>
        </is>
      </c>
      <c r="F4768" t="n">
        <v>40</v>
      </c>
      <c r="G4768" t="n">
        <v>35</v>
      </c>
      <c r="H4768" t="n">
        <v>35</v>
      </c>
      <c r="I4768">
        <f>B4768&amp;"|"&amp;C4768</f>
        <v/>
      </c>
      <c r="J4768" t="inlineStr">
        <is>
          <t>low-cost and average</t>
        </is>
      </c>
    </row>
    <row r="4769" ht="12" customHeight="1" s="545">
      <c r="B4769" t="inlineStr">
        <is>
          <t>Dairies (Milking Parlors)</t>
        </is>
      </c>
      <c r="C4769" t="inlineStr">
        <is>
          <t>Excellent</t>
        </is>
      </c>
      <c r="F4769" t="n">
        <v>35</v>
      </c>
      <c r="G4769" t="n">
        <v>30</v>
      </c>
      <c r="H4769" t="n">
        <v>30</v>
      </c>
      <c r="I4769">
        <f>B4769&amp;"|"&amp;C4769</f>
        <v/>
      </c>
      <c r="J4769" t="inlineStr">
        <is>
          <t>Dairies/milking parlors, good and excellent</t>
        </is>
      </c>
    </row>
    <row r="4770" ht="12" customHeight="1" s="545">
      <c r="B4770" t="inlineStr">
        <is>
          <t>Dairies (Milking Parlors)</t>
        </is>
      </c>
      <c r="C4770" t="inlineStr">
        <is>
          <t>Good</t>
        </is>
      </c>
      <c r="F4770" t="n">
        <v>35</v>
      </c>
      <c r="G4770" t="n">
        <v>30</v>
      </c>
      <c r="H4770" t="n">
        <v>30</v>
      </c>
      <c r="I4770">
        <f>B4770&amp;"|"&amp;C4770</f>
        <v/>
      </c>
      <c r="J4770" t="inlineStr">
        <is>
          <t>Dairies/milking parlors, good and excellent</t>
        </is>
      </c>
    </row>
    <row r="4771" ht="12" customHeight="1" s="545">
      <c r="B4771" t="inlineStr">
        <is>
          <t>Dairies (Milking Parlors)</t>
        </is>
      </c>
      <c r="C4771" t="inlineStr">
        <is>
          <t>Average</t>
        </is>
      </c>
      <c r="F4771" t="n">
        <v>30</v>
      </c>
      <c r="G4771" t="n">
        <v>25</v>
      </c>
      <c r="H4771" t="n">
        <v>25</v>
      </c>
      <c r="I4771">
        <f>B4771&amp;"|"&amp;C4771</f>
        <v/>
      </c>
      <c r="J4771" t="inlineStr">
        <is>
          <t>average</t>
        </is>
      </c>
    </row>
    <row r="4772" ht="12" customHeight="1" s="545">
      <c r="B4772" t="inlineStr">
        <is>
          <t>Dairies (Milking Parlors)</t>
        </is>
      </c>
      <c r="C4772" t="inlineStr">
        <is>
          <t>Low Cost</t>
        </is>
      </c>
      <c r="F4772" t="n">
        <v>20</v>
      </c>
      <c r="G4772" t="n">
        <v>15</v>
      </c>
      <c r="H4772" t="n">
        <v>15</v>
      </c>
      <c r="I4772">
        <f>B4772&amp;"|"&amp;C4772</f>
        <v/>
      </c>
      <c r="J4772" t="inlineStr">
        <is>
          <t>low cost</t>
        </is>
      </c>
    </row>
    <row r="4773" ht="12" customHeight="1" s="545">
      <c r="B4773" t="inlineStr">
        <is>
          <t>Milkhouses</t>
        </is>
      </c>
      <c r="C4773" t="inlineStr">
        <is>
          <t>Good</t>
        </is>
      </c>
      <c r="F4773" t="n">
        <v>35</v>
      </c>
      <c r="G4773" t="n">
        <v>30</v>
      </c>
      <c r="I4773">
        <f>B4773&amp;"|"&amp;C4773</f>
        <v/>
      </c>
      <c r="J4773" t="inlineStr">
        <is>
          <t>Milkhouses and sheds, good</t>
        </is>
      </c>
    </row>
    <row r="4774" ht="12" customHeight="1" s="545">
      <c r="B4774" t="inlineStr">
        <is>
          <t>Milkhouses</t>
        </is>
      </c>
      <c r="C4774" t="inlineStr">
        <is>
          <t>Average</t>
        </is>
      </c>
      <c r="F4774" t="n">
        <v>30</v>
      </c>
      <c r="G4774" t="n">
        <v>25</v>
      </c>
      <c r="I4774">
        <f>B4774&amp;"|"&amp;C4774</f>
        <v/>
      </c>
      <c r="J4774" t="inlineStr">
        <is>
          <t>average</t>
        </is>
      </c>
    </row>
    <row r="4775" ht="12" customHeight="1" s="545">
      <c r="B4775" t="inlineStr">
        <is>
          <t>Milkhouse Sheds</t>
        </is>
      </c>
      <c r="C4775" t="inlineStr">
        <is>
          <t>Good</t>
        </is>
      </c>
      <c r="F4775" t="n">
        <v>35</v>
      </c>
      <c r="G4775" t="n">
        <v>30</v>
      </c>
      <c r="I4775">
        <f>B4775&amp;"|"&amp;C4775</f>
        <v/>
      </c>
      <c r="J4775" t="inlineStr">
        <is>
          <t>Milkhouses and sheds, good</t>
        </is>
      </c>
    </row>
    <row r="4776" ht="12" customHeight="1" s="545">
      <c r="B4776" t="inlineStr">
        <is>
          <t>Milkhouse Sheds</t>
        </is>
      </c>
      <c r="C4776" t="inlineStr">
        <is>
          <t>Average</t>
        </is>
      </c>
      <c r="F4776" t="n">
        <v>30</v>
      </c>
      <c r="G4776" t="n">
        <v>25</v>
      </c>
      <c r="I4776">
        <f>B4776&amp;"|"&amp;C4776</f>
        <v/>
      </c>
      <c r="J4776" t="inlineStr">
        <is>
          <t>average</t>
        </is>
      </c>
    </row>
    <row r="4777" ht="12" customHeight="1" s="545">
      <c r="B4777" t="inlineStr">
        <is>
          <t>Hog Barns – Nursery</t>
        </is>
      </c>
      <c r="C4777" t="inlineStr">
        <is>
          <t>Good</t>
        </is>
      </c>
      <c r="F4777" t="n">
        <v>35</v>
      </c>
      <c r="G4777" t="n">
        <v>30</v>
      </c>
      <c r="H4777" t="n">
        <v>30</v>
      </c>
      <c r="I4777">
        <f>B4777&amp;"|"&amp;C4777</f>
        <v/>
      </c>
      <c r="J4777" t="inlineStr">
        <is>
          <t>nursery, good</t>
        </is>
      </c>
    </row>
    <row r="4778" ht="12" customHeight="1" s="545">
      <c r="B4778" t="inlineStr">
        <is>
          <t>Hog Barns – Nursery</t>
        </is>
      </c>
      <c r="C4778" t="inlineStr">
        <is>
          <t>Average</t>
        </is>
      </c>
      <c r="F4778" t="n">
        <v>30</v>
      </c>
      <c r="G4778" t="n">
        <v>25</v>
      </c>
      <c r="H4778" t="n">
        <v>25</v>
      </c>
      <c r="I4778">
        <f>B4778&amp;"|"&amp;C4778</f>
        <v/>
      </c>
      <c r="J4778" t="inlineStr">
        <is>
          <t>average</t>
        </is>
      </c>
    </row>
    <row r="4779" ht="12" customHeight="1" s="545">
      <c r="B4779" t="inlineStr">
        <is>
          <t>Hog Barns – Breeding/Gestation</t>
        </is>
      </c>
      <c r="C4779" t="inlineStr">
        <is>
          <t>Good</t>
        </is>
      </c>
      <c r="F4779" t="n">
        <v>35</v>
      </c>
      <c r="G4779" t="n">
        <v>30</v>
      </c>
      <c r="H4779" t="n">
        <v>30</v>
      </c>
      <c r="I4779">
        <f>B4779&amp;"|"&amp;C4779</f>
        <v/>
      </c>
      <c r="J4779" t="inlineStr">
        <is>
          <t>Hog barns, breeding, farrowing, good and excellent</t>
        </is>
      </c>
    </row>
    <row r="4780" ht="12" customHeight="1" s="545">
      <c r="B4780" t="inlineStr">
        <is>
          <t>Hog Barns – Breeding/Gestation</t>
        </is>
      </c>
      <c r="C4780" t="inlineStr">
        <is>
          <t>Average</t>
        </is>
      </c>
      <c r="F4780" t="n">
        <v>30</v>
      </c>
      <c r="G4780" t="n">
        <v>25</v>
      </c>
      <c r="H4780" t="n">
        <v>25</v>
      </c>
      <c r="I4780">
        <f>B4780&amp;"|"&amp;C4780</f>
        <v/>
      </c>
      <c r="J4780" t="inlineStr">
        <is>
          <t>average</t>
        </is>
      </c>
    </row>
    <row r="4781" ht="12" customHeight="1" s="545">
      <c r="B4781" t="inlineStr">
        <is>
          <t>Hog Barns – Breeding/Gestation</t>
        </is>
      </c>
      <c r="C4781" t="inlineStr">
        <is>
          <t>Low Cost</t>
        </is>
      </c>
      <c r="F4781" t="n">
        <v>20</v>
      </c>
      <c r="G4781" t="n">
        <v>15</v>
      </c>
      <c r="H4781" t="n">
        <v>15</v>
      </c>
      <c r="I4781">
        <f>B4781&amp;"|"&amp;C4781</f>
        <v/>
      </c>
      <c r="J4781" t="inlineStr">
        <is>
          <t>cheap and low cost</t>
        </is>
      </c>
    </row>
    <row r="4782" ht="12" customHeight="1" s="545">
      <c r="B4782" t="inlineStr">
        <is>
          <t>Hog Barns – Breeding/Gestation</t>
        </is>
      </c>
      <c r="C4782" t="inlineStr">
        <is>
          <t>Cheap</t>
        </is>
      </c>
      <c r="F4782" t="n">
        <v>20</v>
      </c>
      <c r="G4782" t="n">
        <v>15</v>
      </c>
      <c r="H4782" t="n">
        <v>15</v>
      </c>
      <c r="I4782">
        <f>B4782&amp;"|"&amp;C4782</f>
        <v/>
      </c>
      <c r="J4782" t="inlineStr">
        <is>
          <t>cheap and low cost</t>
        </is>
      </c>
    </row>
    <row r="4783" ht="12" customHeight="1" s="545">
      <c r="B4783" t="inlineStr">
        <is>
          <t>Hog Barns – Farrowing</t>
        </is>
      </c>
      <c r="C4783" t="inlineStr">
        <is>
          <t>Good</t>
        </is>
      </c>
      <c r="F4783" t="n">
        <v>35</v>
      </c>
      <c r="G4783" t="n">
        <v>30</v>
      </c>
      <c r="H4783" t="n">
        <v>30</v>
      </c>
      <c r="I4783">
        <f>B4783&amp;"|"&amp;C4783</f>
        <v/>
      </c>
      <c r="J4783" t="inlineStr">
        <is>
          <t>Hog barns, breeding, farrowing, good and excellent</t>
        </is>
      </c>
    </row>
    <row r="4784" ht="12" customHeight="1" s="545">
      <c r="B4784" t="inlineStr">
        <is>
          <t>Hog Barns – Farrowing</t>
        </is>
      </c>
      <c r="C4784" t="inlineStr">
        <is>
          <t>Average</t>
        </is>
      </c>
      <c r="F4784" t="n">
        <v>30</v>
      </c>
      <c r="G4784" t="n">
        <v>25</v>
      </c>
      <c r="H4784" t="n">
        <v>25</v>
      </c>
      <c r="I4784">
        <f>B4784&amp;"|"&amp;C4784</f>
        <v/>
      </c>
      <c r="J4784" t="inlineStr">
        <is>
          <t>average</t>
        </is>
      </c>
    </row>
    <row r="4785" ht="12" customHeight="1" s="545">
      <c r="B4785" t="inlineStr">
        <is>
          <t>Hog Barns – Farrowing</t>
        </is>
      </c>
      <c r="C4785" t="inlineStr">
        <is>
          <t>Low Cost</t>
        </is>
      </c>
      <c r="F4785" t="n">
        <v>20</v>
      </c>
      <c r="G4785" t="n">
        <v>15</v>
      </c>
      <c r="H4785" t="n">
        <v>15</v>
      </c>
      <c r="I4785">
        <f>B4785&amp;"|"&amp;C4785</f>
        <v/>
      </c>
      <c r="J4785" t="inlineStr">
        <is>
          <t>cheap and low cost</t>
        </is>
      </c>
    </row>
    <row r="4786" ht="12" customHeight="1" s="545">
      <c r="B4786" t="inlineStr">
        <is>
          <t>Hog Barns – Farrowing</t>
        </is>
      </c>
      <c r="C4786" t="inlineStr">
        <is>
          <t>Cheap</t>
        </is>
      </c>
      <c r="F4786" t="n">
        <v>20</v>
      </c>
      <c r="G4786" t="n">
        <v>15</v>
      </c>
      <c r="H4786" t="n">
        <v>15</v>
      </c>
      <c r="I4786">
        <f>B4786&amp;"|"&amp;C4786</f>
        <v/>
      </c>
      <c r="J4786" t="inlineStr">
        <is>
          <t>cheap and low cost</t>
        </is>
      </c>
    </row>
    <row r="4787" ht="12" customHeight="1" s="545">
      <c r="B4787" t="inlineStr">
        <is>
          <t>Hog Barns – Finishing</t>
        </is>
      </c>
      <c r="C4787" t="inlineStr">
        <is>
          <t>Average</t>
        </is>
      </c>
      <c r="F4787" t="n">
        <v>25</v>
      </c>
      <c r="G4787" t="n">
        <v>20</v>
      </c>
      <c r="H4787" t="n">
        <v>20</v>
      </c>
      <c r="I4787">
        <f>B4787&amp;"|"&amp;C4787</f>
        <v/>
      </c>
      <c r="J4787" t="inlineStr">
        <is>
          <t>finishing, average</t>
        </is>
      </c>
    </row>
    <row r="4788" ht="12" customHeight="1" s="545">
      <c r="B4788" t="inlineStr">
        <is>
          <t>Hog Barns – Finishing</t>
        </is>
      </c>
      <c r="C4788" t="inlineStr">
        <is>
          <t>Low Cost</t>
        </is>
      </c>
      <c r="F4788" t="n">
        <v>20</v>
      </c>
      <c r="G4788" t="n">
        <v>15</v>
      </c>
      <c r="H4788" t="n">
        <v>15</v>
      </c>
      <c r="I4788">
        <f>B4788&amp;"|"&amp;C4788</f>
        <v/>
      </c>
      <c r="J4788" t="inlineStr">
        <is>
          <t>cheap and low cost</t>
        </is>
      </c>
    </row>
    <row r="4789" ht="12" customHeight="1" s="545">
      <c r="B4789" t="inlineStr">
        <is>
          <t>Hog Barns – Finishing</t>
        </is>
      </c>
      <c r="C4789" t="inlineStr">
        <is>
          <t>Cheap</t>
        </is>
      </c>
      <c r="F4789" t="n">
        <v>20</v>
      </c>
      <c r="G4789" t="n">
        <v>15</v>
      </c>
      <c r="H4789" t="n">
        <v>15</v>
      </c>
      <c r="I4789">
        <f>B4789&amp;"|"&amp;C4789</f>
        <v/>
      </c>
      <c r="J4789" t="inlineStr">
        <is>
          <t>cheap and low cost</t>
        </is>
      </c>
    </row>
    <row r="4790" ht="12" customHeight="1" s="545">
      <c r="B4790" t="inlineStr">
        <is>
          <t>Modified Hog Sheds</t>
        </is>
      </c>
      <c r="C4790" t="inlineStr">
        <is>
          <t>Average</t>
        </is>
      </c>
      <c r="F4790" t="n">
        <v>25</v>
      </c>
      <c r="G4790" t="n">
        <v>20</v>
      </c>
      <c r="H4790" t="n">
        <v>20</v>
      </c>
      <c r="I4790">
        <f>B4790&amp;"|"&amp;C4790</f>
        <v/>
      </c>
      <c r="J4790" t="inlineStr">
        <is>
          <t>Hog sheds and modified sheds, average</t>
        </is>
      </c>
    </row>
    <row r="4791" ht="12" customHeight="1" s="545">
      <c r="B4791" t="inlineStr">
        <is>
          <t>Modified Hog Sheds</t>
        </is>
      </c>
      <c r="C4791" t="inlineStr">
        <is>
          <t>Low Cost</t>
        </is>
      </c>
      <c r="F4791" t="n">
        <v>20</v>
      </c>
      <c r="G4791" t="n">
        <v>15</v>
      </c>
      <c r="H4791" t="n">
        <v>15</v>
      </c>
      <c r="I4791">
        <f>B4791&amp;"|"&amp;C4791</f>
        <v/>
      </c>
      <c r="J4791" t="inlineStr">
        <is>
          <t>cheap and low cost</t>
        </is>
      </c>
    </row>
    <row r="4792" ht="12" customHeight="1" s="545">
      <c r="B4792" t="inlineStr">
        <is>
          <t>Hog Sheds</t>
        </is>
      </c>
      <c r="C4792" t="inlineStr">
        <is>
          <t>Average</t>
        </is>
      </c>
      <c r="F4792" t="n">
        <v>25</v>
      </c>
      <c r="G4792" t="n">
        <v>20</v>
      </c>
      <c r="H4792" t="n">
        <v>20</v>
      </c>
      <c r="I4792">
        <f>B4792&amp;"|"&amp;C4792</f>
        <v/>
      </c>
      <c r="J4792" t="inlineStr">
        <is>
          <t>Hog sheds and modified sheds, average</t>
        </is>
      </c>
    </row>
    <row r="4793" ht="12" customHeight="1" s="545">
      <c r="B4793" t="inlineStr">
        <is>
          <t>Hog Sheds</t>
        </is>
      </c>
      <c r="C4793" t="inlineStr">
        <is>
          <t>Low Cost</t>
        </is>
      </c>
      <c r="F4793" t="n">
        <v>20</v>
      </c>
      <c r="G4793" t="n">
        <v>15</v>
      </c>
      <c r="H4793" t="n">
        <v>15</v>
      </c>
      <c r="I4793">
        <f>B4793&amp;"|"&amp;C4793</f>
        <v/>
      </c>
      <c r="J4793" t="inlineStr">
        <is>
          <t>cheap and low cost</t>
        </is>
      </c>
    </row>
    <row r="4794" ht="12" customHeight="1" s="545">
      <c r="B4794" t="inlineStr">
        <is>
          <t>Hog Sheds</t>
        </is>
      </c>
      <c r="C4794" t="inlineStr">
        <is>
          <t>Cheap</t>
        </is>
      </c>
      <c r="F4794" t="n">
        <v>20</v>
      </c>
      <c r="G4794" t="n">
        <v>15</v>
      </c>
      <c r="H4794" t="n">
        <v>15</v>
      </c>
      <c r="I4794">
        <f>B4794&amp;"|"&amp;C4794</f>
        <v/>
      </c>
      <c r="J4794" t="inlineStr">
        <is>
          <t>cheap and low cost</t>
        </is>
      </c>
    </row>
    <row r="4795" ht="12" customHeight="1" s="545">
      <c r="B4795" t="inlineStr">
        <is>
          <t>Sheep Barns</t>
        </is>
      </c>
      <c r="C4795" t="inlineStr">
        <is>
          <t>Good</t>
        </is>
      </c>
      <c r="G4795" t="n">
        <v>25</v>
      </c>
      <c r="H4795" t="n">
        <v>25</v>
      </c>
      <c r="I4795">
        <f>B4795&amp;"|"&amp;C4795</f>
        <v/>
      </c>
      <c r="J4795" t="inlineStr">
        <is>
          <t>Sheep barns, average and good</t>
        </is>
      </c>
    </row>
    <row r="4796" ht="12" customHeight="1" s="545">
      <c r="B4796" t="inlineStr">
        <is>
          <t>Sheep Barns</t>
        </is>
      </c>
      <c r="C4796" t="inlineStr">
        <is>
          <t>Average</t>
        </is>
      </c>
      <c r="G4796" t="n">
        <v>25</v>
      </c>
      <c r="H4796" t="n">
        <v>25</v>
      </c>
      <c r="I4796">
        <f>B4796&amp;"|"&amp;C4796</f>
        <v/>
      </c>
      <c r="J4796" t="inlineStr">
        <is>
          <t>Sheep barns, average and good</t>
        </is>
      </c>
    </row>
    <row r="4797" ht="12" customHeight="1" s="545">
      <c r="B4797" t="inlineStr">
        <is>
          <t>Sheep Sheds</t>
        </is>
      </c>
      <c r="C4797" t="inlineStr">
        <is>
          <t>Good</t>
        </is>
      </c>
      <c r="G4797" t="n">
        <v>25</v>
      </c>
      <c r="H4797" t="n">
        <v>25</v>
      </c>
      <c r="I4797">
        <f>B4797&amp;"|"&amp;C4797</f>
        <v/>
      </c>
      <c r="J4797" t="inlineStr">
        <is>
          <t>sheds, good</t>
        </is>
      </c>
    </row>
    <row r="4798" ht="12" customHeight="1" s="545">
      <c r="B4798" t="inlineStr">
        <is>
          <t>Sheep Sheds</t>
        </is>
      </c>
      <c r="C4798" t="inlineStr">
        <is>
          <t>Average</t>
        </is>
      </c>
      <c r="G4798" t="n">
        <v>20</v>
      </c>
      <c r="H4798" t="n">
        <v>20</v>
      </c>
      <c r="I4798">
        <f>B4798&amp;"|"&amp;C4798</f>
        <v/>
      </c>
      <c r="J4798" t="inlineStr">
        <is>
          <t>average</t>
        </is>
      </c>
    </row>
    <row r="4799" ht="12" customHeight="1" s="545">
      <c r="B4799" t="inlineStr">
        <is>
          <t>Sheep Sheds</t>
        </is>
      </c>
      <c r="C4799" t="inlineStr">
        <is>
          <t>Low Cost</t>
        </is>
      </c>
      <c r="G4799" t="n">
        <v>15</v>
      </c>
      <c r="H4799" t="n">
        <v>15</v>
      </c>
      <c r="I4799">
        <f>B4799&amp;"|"&amp;C4799</f>
        <v/>
      </c>
      <c r="J4799" t="inlineStr">
        <is>
          <t>cheap and low cost</t>
        </is>
      </c>
    </row>
    <row r="4800" ht="12" customHeight="1" s="545">
      <c r="B4800" t="inlineStr">
        <is>
          <t>Sheep Sheds</t>
        </is>
      </c>
      <c r="C4800" t="inlineStr">
        <is>
          <t>Cheap</t>
        </is>
      </c>
      <c r="G4800" t="n">
        <v>15</v>
      </c>
      <c r="H4800" t="n">
        <v>15</v>
      </c>
      <c r="I4800">
        <f>B4800&amp;"|"&amp;C4800</f>
        <v/>
      </c>
      <c r="J4800" t="inlineStr">
        <is>
          <t>cheap and low cost</t>
        </is>
      </c>
    </row>
    <row r="4801" ht="12" customHeight="1" s="545">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ht="12" customHeight="1" s="545">
      <c r="B4802" t="inlineStr">
        <is>
          <t>Poultry Floor Operation – Breeder Houses</t>
        </is>
      </c>
      <c r="C4802" t="inlineStr">
        <is>
          <t>Average</t>
        </is>
      </c>
      <c r="F4802" t="n">
        <v>20</v>
      </c>
      <c r="G4802" t="n">
        <v>15</v>
      </c>
      <c r="H4802" t="n">
        <v>15</v>
      </c>
      <c r="I4802">
        <f>B4802&amp;"|"&amp;C4802</f>
        <v/>
      </c>
      <c r="J4802" t="inlineStr">
        <is>
          <t>average</t>
        </is>
      </c>
    </row>
    <row r="4803" ht="12" customHeight="1" s="545">
      <c r="B4803" t="inlineStr">
        <is>
          <t>Poultry Floor Operation – Breeder Houses</t>
        </is>
      </c>
      <c r="C4803" t="inlineStr">
        <is>
          <t>Fair</t>
        </is>
      </c>
      <c r="G4803" t="n">
        <v>15</v>
      </c>
      <c r="H4803" t="n">
        <v>15</v>
      </c>
      <c r="I4803">
        <f>B4803&amp;"|"&amp;C4803</f>
        <v/>
      </c>
      <c r="J4803" t="inlineStr">
        <is>
          <t>cheap, low cost and fair</t>
        </is>
      </c>
    </row>
    <row r="4804" ht="12" customHeight="1" s="545">
      <c r="B4804" t="inlineStr">
        <is>
          <t>Poultry Floor Operation – Breeder Houses</t>
        </is>
      </c>
      <c r="C4804" t="inlineStr">
        <is>
          <t>Low Cost</t>
        </is>
      </c>
      <c r="G4804" t="n">
        <v>15</v>
      </c>
      <c r="H4804" t="n">
        <v>15</v>
      </c>
      <c r="I4804">
        <f>B4804&amp;"|"&amp;C4804</f>
        <v/>
      </c>
      <c r="J4804" t="inlineStr">
        <is>
          <t>cheap, low cost and fair</t>
        </is>
      </c>
    </row>
    <row r="4805" ht="12" customHeight="1" s="545">
      <c r="B4805" t="inlineStr">
        <is>
          <t>Poultry Floor Operation – Breeder Houses</t>
        </is>
      </c>
      <c r="C4805" t="inlineStr">
        <is>
          <t>Cheap</t>
        </is>
      </c>
      <c r="G4805" t="n">
        <v>15</v>
      </c>
      <c r="H4805" t="n">
        <v>15</v>
      </c>
      <c r="I4805">
        <f>B4805&amp;"|"&amp;C4805</f>
        <v/>
      </c>
      <c r="J4805" t="inlineStr">
        <is>
          <t>cheap, low cost and fair</t>
        </is>
      </c>
    </row>
    <row r="4806" ht="12" customHeight="1" s="545">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ht="12" customHeight="1" s="545">
      <c r="B4807" t="inlineStr">
        <is>
          <t>Poultry Floor Operation – Broiler Houses</t>
        </is>
      </c>
      <c r="C4807" t="inlineStr">
        <is>
          <t>Average</t>
        </is>
      </c>
      <c r="F4807" t="n">
        <v>20</v>
      </c>
      <c r="G4807" t="n">
        <v>15</v>
      </c>
      <c r="H4807" t="n">
        <v>15</v>
      </c>
      <c r="I4807">
        <f>B4807&amp;"|"&amp;C4807</f>
        <v/>
      </c>
      <c r="J4807" t="inlineStr">
        <is>
          <t>average</t>
        </is>
      </c>
    </row>
    <row r="4808" ht="12" customHeight="1" s="545">
      <c r="B4808" t="inlineStr">
        <is>
          <t>Poultry Floor Operation – Broiler Houses</t>
        </is>
      </c>
      <c r="C4808" t="inlineStr">
        <is>
          <t>Fair</t>
        </is>
      </c>
      <c r="G4808" t="n">
        <v>15</v>
      </c>
      <c r="H4808" t="n">
        <v>15</v>
      </c>
      <c r="I4808">
        <f>B4808&amp;"|"&amp;C4808</f>
        <v/>
      </c>
      <c r="J4808" t="inlineStr">
        <is>
          <t>cheap, low cost and fair</t>
        </is>
      </c>
    </row>
    <row r="4809" ht="12" customHeight="1" s="545">
      <c r="B4809" t="inlineStr">
        <is>
          <t>Poultry Floor Operation – Broiler Houses</t>
        </is>
      </c>
      <c r="C4809" t="inlineStr">
        <is>
          <t>Low Cost</t>
        </is>
      </c>
      <c r="G4809" t="n">
        <v>15</v>
      </c>
      <c r="H4809" t="n">
        <v>15</v>
      </c>
      <c r="I4809">
        <f>B4809&amp;"|"&amp;C4809</f>
        <v/>
      </c>
      <c r="J4809" t="inlineStr">
        <is>
          <t>cheap, low cost and fair</t>
        </is>
      </c>
    </row>
    <row r="4810" ht="12" customHeight="1" s="545">
      <c r="B4810" t="inlineStr">
        <is>
          <t>Poultry Floor Operation – Broiler Houses</t>
        </is>
      </c>
      <c r="C4810" t="inlineStr">
        <is>
          <t>Cheap</t>
        </is>
      </c>
      <c r="G4810" t="n">
        <v>15</v>
      </c>
      <c r="H4810" t="n">
        <v>15</v>
      </c>
      <c r="I4810">
        <f>B4810&amp;"|"&amp;C4810</f>
        <v/>
      </c>
      <c r="J4810" t="inlineStr">
        <is>
          <t>cheap, low cost and fair</t>
        </is>
      </c>
    </row>
    <row r="4811" ht="12" customHeight="1" s="545">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ht="12" customHeight="1" s="545">
      <c r="B4812" t="inlineStr">
        <is>
          <t>Poultry Cage Operation – Enclosed Houses</t>
        </is>
      </c>
      <c r="C4812" t="inlineStr">
        <is>
          <t>Average</t>
        </is>
      </c>
      <c r="F4812" t="n">
        <v>25</v>
      </c>
      <c r="G4812" t="n">
        <v>20</v>
      </c>
      <c r="H4812" t="n">
        <v>20</v>
      </c>
      <c r="I4812">
        <f>B4812&amp;"|"&amp;C4812</f>
        <v/>
      </c>
      <c r="J4812" t="inlineStr">
        <is>
          <t>average</t>
        </is>
      </c>
    </row>
    <row r="4813" ht="12" customHeight="1" s="545">
      <c r="B4813" t="inlineStr">
        <is>
          <t>Poultry Cage Operation – Enclosed Houses</t>
        </is>
      </c>
      <c r="C4813" t="inlineStr">
        <is>
          <t>Low Cost</t>
        </is>
      </c>
      <c r="F4813" t="n">
        <v>20</v>
      </c>
      <c r="G4813" t="n">
        <v>15</v>
      </c>
      <c r="H4813" t="n">
        <v>15</v>
      </c>
      <c r="I4813">
        <f>B4813&amp;"|"&amp;C4813</f>
        <v/>
      </c>
      <c r="J4813" t="inlineStr">
        <is>
          <t>cheap and low cost</t>
        </is>
      </c>
    </row>
    <row r="4814" ht="12" customHeight="1" s="545">
      <c r="B4814" t="inlineStr">
        <is>
          <t>Poultry Cage Operation – Enclosed Houses</t>
        </is>
      </c>
      <c r="C4814" t="inlineStr">
        <is>
          <t>Cheap</t>
        </is>
      </c>
      <c r="F4814" t="n">
        <v>20</v>
      </c>
      <c r="G4814" t="n">
        <v>15</v>
      </c>
      <c r="H4814" t="n">
        <v>15</v>
      </c>
      <c r="I4814">
        <f>B4814&amp;"|"&amp;C4814</f>
        <v/>
      </c>
      <c r="J4814" t="inlineStr">
        <is>
          <t>cheap and low cost</t>
        </is>
      </c>
    </row>
    <row r="4815" ht="12" customHeight="1" s="545">
      <c r="B4815" t="inlineStr">
        <is>
          <t>Poultry Cage Operation – Screened Houses</t>
        </is>
      </c>
      <c r="C4815" t="inlineStr">
        <is>
          <t>Average</t>
        </is>
      </c>
      <c r="F4815" t="n">
        <v>25</v>
      </c>
      <c r="G4815" t="n">
        <v>20</v>
      </c>
      <c r="H4815" t="n">
        <v>20</v>
      </c>
      <c r="I4815">
        <f>B4815&amp;"|"&amp;C4815</f>
        <v/>
      </c>
      <c r="J4815" t="inlineStr">
        <is>
          <t>average</t>
        </is>
      </c>
    </row>
    <row r="4816" ht="12" customHeight="1" s="545">
      <c r="B4816" t="inlineStr">
        <is>
          <t>Poultry Cage Operation – Screened Houses</t>
        </is>
      </c>
      <c r="C4816" t="inlineStr">
        <is>
          <t>Fair</t>
        </is>
      </c>
      <c r="F4816" t="n">
        <v>20</v>
      </c>
      <c r="G4816" t="n">
        <v>15</v>
      </c>
      <c r="H4816" t="n">
        <v>15</v>
      </c>
      <c r="I4816">
        <f>B4816&amp;"|"&amp;C4816</f>
        <v/>
      </c>
      <c r="J4816" t="inlineStr">
        <is>
          <t>cheap and low cost</t>
        </is>
      </c>
    </row>
    <row r="4817" ht="12" customHeight="1" s="545">
      <c r="B4817" t="inlineStr">
        <is>
          <t>Poultry Cage Operation – Screened Houses</t>
        </is>
      </c>
      <c r="C4817" t="inlineStr">
        <is>
          <t>Low Cost</t>
        </is>
      </c>
      <c r="F4817" t="n">
        <v>20</v>
      </c>
      <c r="G4817" t="n">
        <v>15</v>
      </c>
      <c r="H4817" t="n">
        <v>15</v>
      </c>
      <c r="I4817">
        <f>B4817&amp;"|"&amp;C4817</f>
        <v/>
      </c>
      <c r="J4817" t="inlineStr">
        <is>
          <t>cheap and low cost</t>
        </is>
      </c>
    </row>
    <row r="4818" ht="12" customHeight="1" s="545">
      <c r="B4818" t="inlineStr">
        <is>
          <t>Poultry Cage Operation – Screened Houses</t>
        </is>
      </c>
      <c r="C4818" t="inlineStr">
        <is>
          <t>Cheap</t>
        </is>
      </c>
      <c r="F4818" t="n">
        <v>20</v>
      </c>
      <c r="G4818" t="n">
        <v>15</v>
      </c>
      <c r="H4818" t="n">
        <v>15</v>
      </c>
      <c r="I4818">
        <f>B4818&amp;"|"&amp;C4818</f>
        <v/>
      </c>
      <c r="J4818" t="inlineStr">
        <is>
          <t>cheap and low cost</t>
        </is>
      </c>
    </row>
    <row r="4819" ht="12" customHeight="1" s="545">
      <c r="B4819" t="inlineStr">
        <is>
          <t>Farm Labor Housing – Dormitories</t>
        </is>
      </c>
      <c r="C4819" t="inlineStr">
        <is>
          <t>Good</t>
        </is>
      </c>
      <c r="F4819" t="n">
        <v>30</v>
      </c>
      <c r="G4819" t="n">
        <v>25</v>
      </c>
      <c r="H4819" t="n">
        <v>25</v>
      </c>
      <c r="I4819">
        <f>B4819&amp;"|"&amp;C4819</f>
        <v/>
      </c>
      <c r="J4819" t="inlineStr">
        <is>
          <t>Labor dormitories, good</t>
        </is>
      </c>
    </row>
    <row r="4820" ht="12" customHeight="1" s="545">
      <c r="B4820" t="inlineStr">
        <is>
          <t>Farm Labor Housing – Dormitories</t>
        </is>
      </c>
      <c r="C4820" t="inlineStr">
        <is>
          <t>Average</t>
        </is>
      </c>
      <c r="F4820" t="n">
        <v>25</v>
      </c>
      <c r="G4820" t="n">
        <v>20</v>
      </c>
      <c r="H4820" t="n">
        <v>20</v>
      </c>
      <c r="I4820">
        <f>B4820&amp;"|"&amp;C4820</f>
        <v/>
      </c>
      <c r="J4820" t="inlineStr">
        <is>
          <t>average</t>
        </is>
      </c>
    </row>
    <row r="4821" ht="12" customHeight="1" s="545">
      <c r="B4821" t="inlineStr">
        <is>
          <t>Farm Labor Housing – Dormitories</t>
        </is>
      </c>
      <c r="C4821" t="inlineStr">
        <is>
          <t>Low Cost</t>
        </is>
      </c>
      <c r="F4821" t="n">
        <v>20</v>
      </c>
      <c r="G4821" t="n">
        <v>15</v>
      </c>
      <c r="I4821">
        <f>B4821&amp;"|"&amp;C4821</f>
        <v/>
      </c>
      <c r="J4821" t="inlineStr">
        <is>
          <t>low cost</t>
        </is>
      </c>
    </row>
    <row r="4822" ht="12" customHeight="1" s="545">
      <c r="B4822" t="inlineStr">
        <is>
          <t>Transient Labor Cabins</t>
        </is>
      </c>
      <c r="C4822" t="inlineStr">
        <is>
          <t>Average</t>
        </is>
      </c>
      <c r="G4822" t="n">
        <v>15</v>
      </c>
      <c r="I4822">
        <f>B4822&amp;"|"&amp;C4822</f>
        <v/>
      </c>
      <c r="J4822" t="inlineStr">
        <is>
          <t>Transient labor cabins, average</t>
        </is>
      </c>
    </row>
    <row r="4823" ht="12" customHeight="1" s="545">
      <c r="B4823" t="inlineStr">
        <is>
          <t>Hunting Shelters</t>
        </is>
      </c>
      <c r="C4823" t="inlineStr">
        <is>
          <t>Good</t>
        </is>
      </c>
      <c r="G4823" t="n">
        <v>15</v>
      </c>
      <c r="I4823">
        <f>B4823&amp;"|"&amp;C4823</f>
        <v/>
      </c>
      <c r="J4823" t="inlineStr">
        <is>
          <t>Hunting shelters, good</t>
        </is>
      </c>
    </row>
    <row r="4824" ht="12" customHeight="1" s="545">
      <c r="B4824" t="inlineStr">
        <is>
          <t>Hunting Shelters</t>
        </is>
      </c>
      <c r="C4824" t="inlineStr">
        <is>
          <t>Average</t>
        </is>
      </c>
      <c r="G4824" t="n">
        <v>10</v>
      </c>
      <c r="I4824">
        <f>B4824&amp;"|"&amp;C4824</f>
        <v/>
      </c>
      <c r="J4824" t="inlineStr">
        <is>
          <t>cheap, low cost and average</t>
        </is>
      </c>
    </row>
    <row r="4825" ht="12" customHeight="1" s="545">
      <c r="B4825" t="inlineStr">
        <is>
          <t>Hunting Shelters</t>
        </is>
      </c>
      <c r="C4825" t="inlineStr">
        <is>
          <t>Low Cost</t>
        </is>
      </c>
      <c r="G4825" t="n">
        <v>10</v>
      </c>
      <c r="I4825">
        <f>B4825&amp;"|"&amp;C4825</f>
        <v/>
      </c>
      <c r="J4825" t="inlineStr">
        <is>
          <t>cheap, low cost and average</t>
        </is>
      </c>
    </row>
    <row r="4826" ht="12" customHeight="1" s="545">
      <c r="B4826" t="inlineStr">
        <is>
          <t>Hunting Shelters</t>
        </is>
      </c>
      <c r="C4826" t="inlineStr">
        <is>
          <t>Cheap</t>
        </is>
      </c>
      <c r="G4826" t="n">
        <v>10</v>
      </c>
      <c r="I4826">
        <f>B4826&amp;"|"&amp;C4826</f>
        <v/>
      </c>
      <c r="J4826" t="inlineStr">
        <is>
          <t>cheap, low cost and average</t>
        </is>
      </c>
    </row>
    <row r="4827" ht="12" customHeight="1" s="545">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ht="12" customHeight="1" s="545">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ht="12" customHeight="1" s="545">
      <c r="B4829" t="inlineStr">
        <is>
          <t>High Schools</t>
        </is>
      </c>
      <c r="C4829" t="inlineStr">
        <is>
          <t>Average</t>
        </is>
      </c>
      <c r="D4829" t="n">
        <v>45</v>
      </c>
      <c r="E4829" t="n">
        <v>45</v>
      </c>
      <c r="F4829" t="n">
        <v>45</v>
      </c>
      <c r="G4829" t="n">
        <v>40</v>
      </c>
      <c r="H4829" t="n">
        <v>40</v>
      </c>
      <c r="I4829">
        <f>B4829&amp;"|"&amp;C4829</f>
        <v/>
      </c>
      <c r="J4829" t="inlineStr">
        <is>
          <t>average</t>
        </is>
      </c>
    </row>
    <row r="4830" ht="12" customHeight="1" s="545">
      <c r="B4830" t="inlineStr">
        <is>
          <t>High Schools</t>
        </is>
      </c>
      <c r="C4830" t="inlineStr">
        <is>
          <t>Low Cost</t>
        </is>
      </c>
      <c r="F4830" t="n">
        <v>40</v>
      </c>
      <c r="G4830" t="n">
        <v>35</v>
      </c>
      <c r="H4830" t="n">
        <v>35</v>
      </c>
      <c r="I4830">
        <f>B4830&amp;"|"&amp;C4830</f>
        <v/>
      </c>
      <c r="J4830" t="inlineStr">
        <is>
          <t>low cost</t>
        </is>
      </c>
    </row>
    <row r="4831" ht="12" customHeight="1" s="545">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ht="12" customHeight="1" s="545">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ht="12" customHeight="1" s="545">
      <c r="B4833" t="inlineStr">
        <is>
          <t>Middle (Junior High) Schools</t>
        </is>
      </c>
      <c r="C4833" t="inlineStr">
        <is>
          <t>Average</t>
        </is>
      </c>
      <c r="D4833" t="n">
        <v>45</v>
      </c>
      <c r="E4833" t="n">
        <v>45</v>
      </c>
      <c r="F4833" t="n">
        <v>45</v>
      </c>
      <c r="G4833" t="n">
        <v>40</v>
      </c>
      <c r="H4833" t="n">
        <v>40</v>
      </c>
      <c r="I4833">
        <f>B4833&amp;"|"&amp;C4833</f>
        <v/>
      </c>
      <c r="J4833" t="inlineStr">
        <is>
          <t>average</t>
        </is>
      </c>
    </row>
    <row r="4834" ht="12" customHeight="1" s="545">
      <c r="B4834" t="inlineStr">
        <is>
          <t>Middle (Junior High) Schools</t>
        </is>
      </c>
      <c r="C4834" t="inlineStr">
        <is>
          <t>Low Cost</t>
        </is>
      </c>
      <c r="F4834" t="n">
        <v>40</v>
      </c>
      <c r="G4834" t="n">
        <v>35</v>
      </c>
      <c r="H4834" t="n">
        <v>35</v>
      </c>
      <c r="I4834">
        <f>B4834&amp;"|"&amp;C4834</f>
        <v/>
      </c>
      <c r="J4834" t="inlineStr">
        <is>
          <t>low cost</t>
        </is>
      </c>
    </row>
    <row r="4835" ht="12" customHeight="1" s="54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ht="12" customHeight="1" s="545">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ht="12" customHeight="1" s="545">
      <c r="B4837" t="inlineStr">
        <is>
          <t>Elementary Schools</t>
        </is>
      </c>
      <c r="C4837" t="inlineStr">
        <is>
          <t>Average</t>
        </is>
      </c>
      <c r="D4837" t="n">
        <v>45</v>
      </c>
      <c r="E4837" t="n">
        <v>45</v>
      </c>
      <c r="F4837" t="n">
        <v>45</v>
      </c>
      <c r="G4837" t="n">
        <v>40</v>
      </c>
      <c r="H4837" t="n">
        <v>40</v>
      </c>
      <c r="I4837">
        <f>B4837&amp;"|"&amp;C4837</f>
        <v/>
      </c>
      <c r="J4837" t="inlineStr">
        <is>
          <t>average</t>
        </is>
      </c>
    </row>
    <row r="4838" ht="12" customHeight="1" s="545">
      <c r="B4838" t="inlineStr">
        <is>
          <t>Elementary Schools</t>
        </is>
      </c>
      <c r="C4838" t="inlineStr">
        <is>
          <t>Low Cost</t>
        </is>
      </c>
      <c r="F4838" t="n">
        <v>40</v>
      </c>
      <c r="G4838" t="n">
        <v>35</v>
      </c>
      <c r="H4838" t="n">
        <v>35</v>
      </c>
      <c r="I4838">
        <f>B4838&amp;"|"&amp;C4838</f>
        <v/>
      </c>
      <c r="J4838" t="inlineStr">
        <is>
          <t>low cost</t>
        </is>
      </c>
    </row>
    <row r="4839" ht="12" customHeight="1" s="545">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ht="12" customHeight="1" s="545">
      <c r="B4840" t="inlineStr">
        <is>
          <t>Vocational Schools</t>
        </is>
      </c>
      <c r="C4840" t="inlineStr">
        <is>
          <t>Average</t>
        </is>
      </c>
      <c r="D4840" t="n">
        <v>45</v>
      </c>
      <c r="E4840" t="n">
        <v>45</v>
      </c>
      <c r="F4840" t="n">
        <v>45</v>
      </c>
      <c r="G4840" t="n">
        <v>40</v>
      </c>
      <c r="H4840" t="n">
        <v>40</v>
      </c>
      <c r="I4840">
        <f>B4840&amp;"|"&amp;C4840</f>
        <v/>
      </c>
      <c r="J4840" t="inlineStr">
        <is>
          <t>average</t>
        </is>
      </c>
    </row>
    <row r="4841" ht="12" customHeight="1" s="545">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ht="12" customHeight="1" s="545">
      <c r="B4842" t="inlineStr">
        <is>
          <t>Vocational Schools</t>
        </is>
      </c>
      <c r="C4842" t="inlineStr">
        <is>
          <t>Low Cost</t>
        </is>
      </c>
      <c r="F4842" t="n">
        <v>40</v>
      </c>
      <c r="G4842" t="n">
        <v>35</v>
      </c>
      <c r="H4842" t="n">
        <v>35</v>
      </c>
      <c r="I4842">
        <f>B4842&amp;"|"&amp;C4842</f>
        <v/>
      </c>
      <c r="J4842" t="inlineStr">
        <is>
          <t>low cost</t>
        </is>
      </c>
    </row>
    <row r="4843" ht="12" customHeight="1" s="545">
      <c r="B4843" t="inlineStr">
        <is>
          <t>Alternative (High) Schools</t>
        </is>
      </c>
      <c r="C4843" t="inlineStr">
        <is>
          <t>Average</t>
        </is>
      </c>
      <c r="D4843" t="n">
        <v>45</v>
      </c>
      <c r="E4843" t="n">
        <v>45</v>
      </c>
      <c r="F4843" t="n">
        <v>45</v>
      </c>
      <c r="G4843" t="n">
        <v>40</v>
      </c>
      <c r="H4843" t="n">
        <v>40</v>
      </c>
      <c r="I4843">
        <f>B4843&amp;"|"&amp;C4843</f>
        <v/>
      </c>
      <c r="J4843" t="inlineStr">
        <is>
          <t>average</t>
        </is>
      </c>
    </row>
    <row r="4844" ht="12" customHeight="1" s="545">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ht="12" customHeight="1" s="5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ht="12" customHeight="1" s="545">
      <c r="B4846" t="inlineStr">
        <is>
          <t>Day Care Centers</t>
        </is>
      </c>
      <c r="C4846" t="inlineStr">
        <is>
          <t>Average</t>
        </is>
      </c>
      <c r="D4846" t="n">
        <v>45</v>
      </c>
      <c r="E4846" t="n">
        <v>45</v>
      </c>
      <c r="F4846" t="n">
        <v>40</v>
      </c>
      <c r="G4846" t="n">
        <v>35</v>
      </c>
      <c r="H4846" t="n">
        <v>35</v>
      </c>
      <c r="I4846">
        <f>B4846&amp;"|"&amp;C4846</f>
        <v/>
      </c>
      <c r="J4846" t="inlineStr">
        <is>
          <t>low cost and average</t>
        </is>
      </c>
    </row>
    <row r="4847" ht="12" customHeight="1" s="545">
      <c r="B4847" t="inlineStr">
        <is>
          <t>Day Care Centers</t>
        </is>
      </c>
      <c r="C4847" t="inlineStr">
        <is>
          <t>Excellent</t>
        </is>
      </c>
      <c r="F4847" t="n">
        <v>45</v>
      </c>
      <c r="G4847" t="n">
        <v>40</v>
      </c>
      <c r="I4847">
        <f>B4847&amp;"|"&amp;C4847</f>
        <v/>
      </c>
      <c r="J4847" t="inlineStr">
        <is>
          <t>Daycare centers, good and excellent</t>
        </is>
      </c>
    </row>
    <row r="4848" ht="12" customHeight="1" s="545">
      <c r="B4848" t="inlineStr">
        <is>
          <t>Day Care Centers</t>
        </is>
      </c>
      <c r="C4848" t="inlineStr">
        <is>
          <t>Good</t>
        </is>
      </c>
      <c r="F4848" t="n">
        <v>45</v>
      </c>
      <c r="G4848" t="n">
        <v>40</v>
      </c>
      <c r="I4848">
        <f>B4848&amp;"|"&amp;C4848</f>
        <v/>
      </c>
      <c r="J4848" t="inlineStr">
        <is>
          <t>Daycare centers, good and excellent</t>
        </is>
      </c>
    </row>
    <row r="4849" ht="12" customHeight="1" s="545">
      <c r="B4849" t="inlineStr">
        <is>
          <t>Day Care Centers</t>
        </is>
      </c>
      <c r="C4849" t="inlineStr">
        <is>
          <t>Low Cost</t>
        </is>
      </c>
      <c r="D4849" t="n">
        <v>45</v>
      </c>
      <c r="E4849" t="n">
        <v>45</v>
      </c>
      <c r="F4849" t="n">
        <v>40</v>
      </c>
      <c r="G4849" t="n">
        <v>35</v>
      </c>
      <c r="H4849" t="n">
        <v>35</v>
      </c>
      <c r="I4849">
        <f>B4849&amp;"|"&amp;C4849</f>
        <v/>
      </c>
      <c r="J4849" t="inlineStr">
        <is>
          <t>low cost and average</t>
        </is>
      </c>
    </row>
    <row r="4850" ht="12" customHeight="1" s="545">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ht="12" customHeight="1" s="545">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ht="12" customHeight="1" s="545">
      <c r="B4852" t="inlineStr">
        <is>
          <t>Classrooms</t>
        </is>
      </c>
      <c r="C4852" t="inlineStr">
        <is>
          <t>Average</t>
        </is>
      </c>
      <c r="D4852" t="n">
        <v>45</v>
      </c>
      <c r="E4852" t="n">
        <v>45</v>
      </c>
      <c r="F4852" t="n">
        <v>40</v>
      </c>
      <c r="G4852" t="n">
        <v>35</v>
      </c>
      <c r="H4852" t="n">
        <v>35</v>
      </c>
      <c r="I4852">
        <f>B4852&amp;"|"&amp;C4852</f>
        <v/>
      </c>
      <c r="J4852" t="inlineStr">
        <is>
          <t>low cost and average</t>
        </is>
      </c>
    </row>
    <row r="4853" ht="12" customHeight="1" s="545">
      <c r="B4853" t="inlineStr">
        <is>
          <t>Classrooms</t>
        </is>
      </c>
      <c r="C4853" t="inlineStr">
        <is>
          <t>Low Cost</t>
        </is>
      </c>
      <c r="D4853" t="n">
        <v>45</v>
      </c>
      <c r="E4853" t="n">
        <v>45</v>
      </c>
      <c r="F4853" t="n">
        <v>40</v>
      </c>
      <c r="G4853" t="n">
        <v>35</v>
      </c>
      <c r="H4853" t="n">
        <v>35</v>
      </c>
      <c r="I4853">
        <f>B4853&amp;"|"&amp;C4853</f>
        <v/>
      </c>
      <c r="J4853" t="inlineStr">
        <is>
          <t>low cost and average</t>
        </is>
      </c>
    </row>
    <row r="4854" ht="12" customHeight="1" s="545">
      <c r="B4854" t="inlineStr">
        <is>
          <t>Classrooms</t>
        </is>
      </c>
      <c r="C4854" t="inlineStr">
        <is>
          <t>Cheap</t>
        </is>
      </c>
      <c r="F4854" t="n">
        <v>35</v>
      </c>
      <c r="G4854" t="n">
        <v>30</v>
      </c>
      <c r="H4854" t="n">
        <v>30</v>
      </c>
      <c r="I4854">
        <f>B4854&amp;"|"&amp;C4854</f>
        <v/>
      </c>
      <c r="J4854" t="inlineStr">
        <is>
          <t>cheap</t>
        </is>
      </c>
    </row>
    <row r="4855" ht="12" customHeight="1" s="54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ht="12" customHeight="1" s="545">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ht="12" customHeight="1" s="545">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ht="12" customHeight="1" s="545">
      <c r="B4858" t="inlineStr">
        <is>
          <t>Relocatable Classrooms</t>
        </is>
      </c>
      <c r="C4858" t="inlineStr">
        <is>
          <t>Excellent</t>
        </is>
      </c>
      <c r="G4858" t="n">
        <v>35</v>
      </c>
      <c r="I4858">
        <f>B4858&amp;"|"&amp;C4858</f>
        <v/>
      </c>
      <c r="J4858" t="inlineStr">
        <is>
          <t>Relocatable classrooms and offices, excellent</t>
        </is>
      </c>
    </row>
    <row r="4859" ht="12" customHeight="1" s="545">
      <c r="B4859" t="inlineStr">
        <is>
          <t>Relocatable Classrooms</t>
        </is>
      </c>
      <c r="C4859" t="inlineStr">
        <is>
          <t>Good</t>
        </is>
      </c>
      <c r="G4859" t="n">
        <v>30</v>
      </c>
      <c r="I4859">
        <f>B4859&amp;"|"&amp;C4859</f>
        <v/>
      </c>
      <c r="J4859" t="inlineStr">
        <is>
          <t>good</t>
        </is>
      </c>
    </row>
    <row r="4860" ht="12" customHeight="1" s="545">
      <c r="B4860" t="inlineStr">
        <is>
          <t>Relocatable Classrooms</t>
        </is>
      </c>
      <c r="C4860" t="inlineStr">
        <is>
          <t>Average</t>
        </is>
      </c>
      <c r="G4860" t="n">
        <v>25</v>
      </c>
      <c r="I4860">
        <f>B4860&amp;"|"&amp;C4860</f>
        <v/>
      </c>
      <c r="J4860" t="inlineStr">
        <is>
          <t>average</t>
        </is>
      </c>
    </row>
    <row r="4861" ht="12" customHeight="1" s="545">
      <c r="B4861" t="inlineStr">
        <is>
          <t>Relocatable Classrooms</t>
        </is>
      </c>
      <c r="C4861" t="inlineStr">
        <is>
          <t>Low Cost</t>
        </is>
      </c>
      <c r="G4861" t="n">
        <v>20</v>
      </c>
      <c r="I4861">
        <f>B4861&amp;"|"&amp;C4861</f>
        <v/>
      </c>
      <c r="J4861" t="inlineStr">
        <is>
          <t>low cost</t>
        </is>
      </c>
    </row>
    <row r="4862" ht="12" customHeight="1" s="545">
      <c r="B4862" t="inlineStr">
        <is>
          <t>Relocatable Classrooms</t>
        </is>
      </c>
      <c r="C4862" t="inlineStr">
        <is>
          <t>Cheap</t>
        </is>
      </c>
      <c r="G4862" t="n">
        <v>10</v>
      </c>
      <c r="I4862">
        <f>B4862&amp;"|"&amp;C4862</f>
        <v/>
      </c>
      <c r="J4862" t="inlineStr">
        <is>
          <t>cheap</t>
        </is>
      </c>
    </row>
    <row r="4863" ht="12" customHeight="1" s="545">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ht="12" customHeight="1" s="545">
      <c r="B4864" t="inlineStr">
        <is>
          <t>Manual Arts (Shop) Buildings</t>
        </is>
      </c>
      <c r="C4864" t="inlineStr">
        <is>
          <t>Low Cost</t>
        </is>
      </c>
      <c r="F4864" t="n">
        <v>35</v>
      </c>
      <c r="G4864" t="n">
        <v>30</v>
      </c>
      <c r="H4864" t="n">
        <v>30</v>
      </c>
      <c r="I4864">
        <f>B4864&amp;"|"&amp;C4864</f>
        <v/>
      </c>
      <c r="J4864" t="inlineStr">
        <is>
          <t>low cost</t>
        </is>
      </c>
    </row>
    <row r="4865" ht="12" customHeight="1" s="54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ht="12" customHeight="1" s="545">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ht="12" customHeight="1" s="545">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ht="12" customHeight="1" s="545">
      <c r="B4868" t="inlineStr">
        <is>
          <t>Multipurpose Buildings</t>
        </is>
      </c>
      <c r="C4868" t="inlineStr">
        <is>
          <t>Good</t>
        </is>
      </c>
      <c r="D4868" t="n">
        <v>45</v>
      </c>
      <c r="E4868" t="n">
        <v>45</v>
      </c>
      <c r="F4868" t="n">
        <v>40</v>
      </c>
      <c r="G4868" t="n">
        <v>35</v>
      </c>
      <c r="H4868" t="n">
        <v>35</v>
      </c>
      <c r="I4868">
        <f>B4868&amp;"|"&amp;C4868</f>
        <v/>
      </c>
      <c r="J4868" t="inlineStr">
        <is>
          <t>average and good</t>
        </is>
      </c>
    </row>
    <row r="4869" ht="12" customHeight="1" s="545">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ht="12" customHeight="1" s="545">
      <c r="B4870" t="inlineStr">
        <is>
          <t>Multipurpose Buildings</t>
        </is>
      </c>
      <c r="C4870" t="inlineStr">
        <is>
          <t>Excellent</t>
        </is>
      </c>
      <c r="F4870" t="n">
        <v>45</v>
      </c>
      <c r="I4870">
        <f>B4870&amp;"|"&amp;C4870</f>
        <v/>
      </c>
      <c r="J4870" t="inlineStr">
        <is>
          <t>Multipurpose buildings, excellent</t>
        </is>
      </c>
    </row>
    <row r="4871" ht="12" customHeight="1" s="545">
      <c r="B4871" t="inlineStr">
        <is>
          <t>Multipurpose Buildings</t>
        </is>
      </c>
      <c r="C4871" t="inlineStr">
        <is>
          <t>Low Cost</t>
        </is>
      </c>
      <c r="F4871" t="n">
        <v>35</v>
      </c>
      <c r="G4871" t="n">
        <v>30</v>
      </c>
      <c r="H4871" t="n">
        <v>30</v>
      </c>
      <c r="I4871">
        <f>B4871&amp;"|"&amp;C4871</f>
        <v/>
      </c>
      <c r="J4871" t="inlineStr">
        <is>
          <t>low cost</t>
        </is>
      </c>
    </row>
    <row r="4872" ht="12" customHeight="1" s="545">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ht="12" customHeight="1" s="545">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ht="12" customHeight="1" s="545">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ht="12" customHeight="1" s="54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ht="12" customHeight="1" s="545">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ht="12" customHeight="1" s="545">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ht="12" customHeight="1" s="545">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ht="12" customHeight="1" s="545">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ht="12" customHeight="1" s="545">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ht="12" customHeight="1" s="545">
      <c r="B4881" t="inlineStr">
        <is>
          <t>Academic (College) Libraries</t>
        </is>
      </c>
      <c r="C4881" t="inlineStr">
        <is>
          <t>Average</t>
        </is>
      </c>
      <c r="D4881" t="n">
        <v>55</v>
      </c>
      <c r="E4881" t="n">
        <v>55</v>
      </c>
      <c r="F4881" t="n">
        <v>50</v>
      </c>
      <c r="G4881" t="n">
        <v>45</v>
      </c>
      <c r="H4881" t="n">
        <v>45</v>
      </c>
      <c r="I4881">
        <f>B4881&amp;"|"&amp;C4881</f>
        <v/>
      </c>
      <c r="J4881" t="inlineStr">
        <is>
          <t>average</t>
        </is>
      </c>
    </row>
    <row r="4882" ht="12" customHeight="1" s="545">
      <c r="B4882" t="inlineStr">
        <is>
          <t>Academic (College) Libraries</t>
        </is>
      </c>
      <c r="C4882" t="inlineStr">
        <is>
          <t>Low Cost</t>
        </is>
      </c>
      <c r="D4882" t="n">
        <v>50</v>
      </c>
      <c r="E4882" t="n">
        <v>50</v>
      </c>
      <c r="F4882" t="n">
        <v>45</v>
      </c>
      <c r="G4882" t="n">
        <v>40</v>
      </c>
      <c r="H4882" t="n">
        <v>40</v>
      </c>
      <c r="I4882">
        <f>B4882&amp;"|"&amp;C4882</f>
        <v/>
      </c>
      <c r="J4882" t="inlineStr">
        <is>
          <t>low cost</t>
        </is>
      </c>
    </row>
    <row r="4883" ht="12" customHeight="1" s="545">
      <c r="B4883" t="inlineStr">
        <is>
          <t>Fine Arts Buildings</t>
        </is>
      </c>
      <c r="C4883" t="inlineStr">
        <is>
          <t>Good</t>
        </is>
      </c>
      <c r="D4883" t="n">
        <v>45</v>
      </c>
      <c r="E4883" t="n">
        <v>45</v>
      </c>
      <c r="F4883" t="n">
        <v>40</v>
      </c>
      <c r="G4883" t="n">
        <v>35</v>
      </c>
      <c r="H4883" t="n">
        <v>35</v>
      </c>
      <c r="I4883">
        <f>B4883&amp;"|"&amp;C4883</f>
        <v/>
      </c>
      <c r="J4883" t="inlineStr">
        <is>
          <t>average and good</t>
        </is>
      </c>
    </row>
    <row r="4884" ht="12" customHeight="1" s="545">
      <c r="B4884" t="inlineStr">
        <is>
          <t>Fine Arts Buildings</t>
        </is>
      </c>
      <c r="C4884" t="inlineStr">
        <is>
          <t>Average</t>
        </is>
      </c>
      <c r="D4884" t="n">
        <v>45</v>
      </c>
      <c r="E4884" t="n">
        <v>45</v>
      </c>
      <c r="F4884" t="n">
        <v>40</v>
      </c>
      <c r="G4884" t="n">
        <v>35</v>
      </c>
      <c r="H4884" t="n">
        <v>35</v>
      </c>
      <c r="I4884">
        <f>B4884&amp;"|"&amp;C4884</f>
        <v/>
      </c>
      <c r="J4884" t="inlineStr">
        <is>
          <t>average and good</t>
        </is>
      </c>
    </row>
    <row r="4885" ht="12" customHeight="1" s="545">
      <c r="B4885" t="inlineStr">
        <is>
          <t>Fine Arts Buildings</t>
        </is>
      </c>
      <c r="C4885" t="inlineStr">
        <is>
          <t>Excellent</t>
        </is>
      </c>
      <c r="F4885" t="n">
        <v>45</v>
      </c>
      <c r="I4885">
        <f>B4885&amp;"|"&amp;C4885</f>
        <v/>
      </c>
      <c r="J4885" t="inlineStr">
        <is>
          <t>Fine arts buildings, excellent</t>
        </is>
      </c>
    </row>
    <row r="4886" ht="12" customHeight="1" s="545">
      <c r="B4886" t="inlineStr">
        <is>
          <t>Fine Arts Buildings</t>
        </is>
      </c>
      <c r="C4886" t="inlineStr">
        <is>
          <t>Low Cost</t>
        </is>
      </c>
      <c r="F4886" t="n">
        <v>35</v>
      </c>
      <c r="G4886" t="n">
        <v>30</v>
      </c>
      <c r="H4886" t="n">
        <v>30</v>
      </c>
      <c r="I4886">
        <f>B4886&amp;"|"&amp;C4886</f>
        <v/>
      </c>
      <c r="J4886" t="inlineStr">
        <is>
          <t>low cost</t>
        </is>
      </c>
    </row>
    <row r="4887" ht="12" customHeight="1" s="545">
      <c r="B4887" t="inlineStr">
        <is>
          <t>Book Stores</t>
        </is>
      </c>
      <c r="C4887" t="inlineStr">
        <is>
          <t>Average</t>
        </is>
      </c>
      <c r="D4887" t="n">
        <v>45</v>
      </c>
      <c r="E4887" t="n">
        <v>45</v>
      </c>
      <c r="F4887" t="n">
        <v>40</v>
      </c>
      <c r="G4887" t="n">
        <v>35</v>
      </c>
      <c r="H4887" t="n">
        <v>35</v>
      </c>
      <c r="I4887">
        <f>B4887&amp;"|"&amp;C4887</f>
        <v/>
      </c>
      <c r="J4887" t="inlineStr">
        <is>
          <t>average</t>
        </is>
      </c>
    </row>
    <row r="4888" ht="12" customHeight="1" s="545">
      <c r="B4888" t="inlineStr">
        <is>
          <t>Book Stores</t>
        </is>
      </c>
      <c r="C4888" t="inlineStr">
        <is>
          <t>Low Cost</t>
        </is>
      </c>
      <c r="D4888" t="n">
        <v>40</v>
      </c>
      <c r="E4888" t="n">
        <v>40</v>
      </c>
      <c r="F4888" t="n">
        <v>35</v>
      </c>
      <c r="G4888" t="n">
        <v>30</v>
      </c>
      <c r="H4888" t="n">
        <v>30</v>
      </c>
      <c r="I4888">
        <f>B4888&amp;"|"&amp;C4888</f>
        <v/>
      </c>
      <c r="J4888" t="inlineStr">
        <is>
          <t>low cost</t>
        </is>
      </c>
    </row>
    <row r="4889" ht="12" customHeight="1" s="545">
      <c r="B4889" t="inlineStr">
        <is>
          <t>Book Stores</t>
        </is>
      </c>
      <c r="C4889" t="inlineStr">
        <is>
          <t>Good</t>
        </is>
      </c>
      <c r="F4889" t="n">
        <v>45</v>
      </c>
      <c r="G4889" t="n">
        <v>40</v>
      </c>
      <c r="I4889">
        <f>B4889&amp;"|"&amp;C4889</f>
        <v/>
      </c>
      <c r="J4889" t="inlineStr">
        <is>
          <t>Bookstores, good</t>
        </is>
      </c>
    </row>
    <row r="4890" ht="12" customHeight="1" s="545">
      <c r="B4890" t="inlineStr">
        <is>
          <t>Restroom Buildings</t>
        </is>
      </c>
      <c r="C4890" t="inlineStr">
        <is>
          <t>Average</t>
        </is>
      </c>
      <c r="D4890" t="n">
        <v>35</v>
      </c>
      <c r="E4890" t="n">
        <v>35</v>
      </c>
      <c r="F4890" t="n">
        <v>30</v>
      </c>
      <c r="G4890" t="n">
        <v>25</v>
      </c>
      <c r="I4890">
        <f>B4890&amp;"|"&amp;C4890</f>
        <v/>
      </c>
      <c r="J4890" t="inlineStr">
        <is>
          <t>average</t>
        </is>
      </c>
    </row>
    <row r="4891" ht="12" customHeight="1" s="545">
      <c r="B4891" t="inlineStr">
        <is>
          <t>Restroom Buildings</t>
        </is>
      </c>
      <c r="C4891" t="inlineStr">
        <is>
          <t>Excellent</t>
        </is>
      </c>
      <c r="F4891" t="n">
        <v>35</v>
      </c>
      <c r="G4891" t="n">
        <v>30</v>
      </c>
      <c r="I4891">
        <f>B4891&amp;"|"&amp;C4891</f>
        <v/>
      </c>
      <c r="J4891" t="inlineStr">
        <is>
          <t>Restroom buildings, good and excellent</t>
        </is>
      </c>
    </row>
    <row r="4892" ht="12" customHeight="1" s="545">
      <c r="B4892" t="inlineStr">
        <is>
          <t>Restroom Buildings</t>
        </is>
      </c>
      <c r="C4892" t="inlineStr">
        <is>
          <t>Good</t>
        </is>
      </c>
      <c r="F4892" t="n">
        <v>35</v>
      </c>
      <c r="G4892" t="n">
        <v>30</v>
      </c>
      <c r="I4892">
        <f>B4892&amp;"|"&amp;C4892</f>
        <v/>
      </c>
      <c r="J4892" t="inlineStr">
        <is>
          <t>Restroom buildings, good and excellent</t>
        </is>
      </c>
    </row>
    <row r="4893" ht="12" customHeight="1" s="545">
      <c r="B4893" t="inlineStr">
        <is>
          <t>Restroom Buildings</t>
        </is>
      </c>
      <c r="C4893" t="inlineStr">
        <is>
          <t>Low Cost</t>
        </is>
      </c>
      <c r="F4893" t="n">
        <v>25</v>
      </c>
      <c r="G4893" t="n">
        <v>20</v>
      </c>
      <c r="H4893" t="n">
        <v>20</v>
      </c>
      <c r="I4893">
        <f>B4893&amp;"|"&amp;C4893</f>
        <v/>
      </c>
      <c r="J4893" t="inlineStr">
        <is>
          <t>low cost</t>
        </is>
      </c>
    </row>
    <row r="4894" ht="12" customHeight="1" s="545">
      <c r="B4894" t="inlineStr">
        <is>
          <t>Restroom Buildings</t>
        </is>
      </c>
      <c r="C4894" t="inlineStr">
        <is>
          <t>Cheap</t>
        </is>
      </c>
      <c r="F4894" t="n">
        <v>20</v>
      </c>
      <c r="G4894" t="n">
        <v>15</v>
      </c>
      <c r="H4894" t="n">
        <v>15</v>
      </c>
      <c r="I4894">
        <f>B4894&amp;"|"&amp;C4894</f>
        <v/>
      </c>
      <c r="J4894" t="inlineStr">
        <is>
          <t>cheap</t>
        </is>
      </c>
    </row>
    <row r="4895" ht="12" customHeight="1" s="545">
      <c r="B4895" t="inlineStr">
        <is>
          <t>Maintenance (Storage) Buildings</t>
        </is>
      </c>
      <c r="C4895" t="inlineStr">
        <is>
          <t>Good</t>
        </is>
      </c>
      <c r="F4895" t="n">
        <v>35</v>
      </c>
      <c r="G4895" t="n">
        <v>30</v>
      </c>
      <c r="H4895" t="n">
        <v>30</v>
      </c>
      <c r="I4895">
        <f>B4895&amp;"|"&amp;C4895</f>
        <v/>
      </c>
      <c r="J4895" t="inlineStr">
        <is>
          <t>Maintenance buildings, good</t>
        </is>
      </c>
    </row>
    <row r="4896" ht="12" customHeight="1" s="545">
      <c r="B4896" t="inlineStr">
        <is>
          <t>Maintenance (Storage) Buildings</t>
        </is>
      </c>
      <c r="C4896" t="inlineStr">
        <is>
          <t>Average</t>
        </is>
      </c>
      <c r="F4896" t="n">
        <v>30</v>
      </c>
      <c r="G4896" t="n">
        <v>25</v>
      </c>
      <c r="H4896" t="n">
        <v>25</v>
      </c>
      <c r="I4896">
        <f>B4896&amp;"|"&amp;C4896</f>
        <v/>
      </c>
      <c r="J4896" t="inlineStr">
        <is>
          <t>average</t>
        </is>
      </c>
    </row>
    <row r="4897" ht="12" customHeight="1" s="545">
      <c r="B4897" t="inlineStr">
        <is>
          <t>Natatoriums</t>
        </is>
      </c>
      <c r="C4897" t="inlineStr">
        <is>
          <t>Good</t>
        </is>
      </c>
      <c r="D4897" t="n">
        <v>45</v>
      </c>
      <c r="E4897" t="n">
        <v>45</v>
      </c>
      <c r="F4897" t="n">
        <v>40</v>
      </c>
      <c r="G4897" t="n">
        <v>35</v>
      </c>
      <c r="H4897" t="n">
        <v>35</v>
      </c>
      <c r="I4897">
        <f>B4897&amp;"|"&amp;C4897</f>
        <v/>
      </c>
      <c r="J4897" t="inlineStr">
        <is>
          <t>Natatoriums, average and good</t>
        </is>
      </c>
    </row>
    <row r="4898" ht="12" customHeight="1" s="545">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ht="12" customHeight="1" s="545">
      <c r="B4899" t="inlineStr">
        <is>
          <t>Natatoriums</t>
        </is>
      </c>
      <c r="C4899" t="inlineStr">
        <is>
          <t>Low Cost</t>
        </is>
      </c>
      <c r="F4899" t="n">
        <v>35</v>
      </c>
      <c r="G4899" t="n">
        <v>30</v>
      </c>
      <c r="H4899" t="n">
        <v>30</v>
      </c>
      <c r="I4899">
        <f>B4899&amp;"|"&amp;C4899</f>
        <v/>
      </c>
      <c r="J4899" t="inlineStr">
        <is>
          <t>low cost</t>
        </is>
      </c>
    </row>
    <row r="4900" ht="12" customHeight="1" s="545">
      <c r="B4900" t="inlineStr">
        <is>
          <t>Shower Room Buildings</t>
        </is>
      </c>
      <c r="C4900" t="inlineStr">
        <is>
          <t>Average</t>
        </is>
      </c>
      <c r="D4900" t="n">
        <v>35</v>
      </c>
      <c r="E4900" t="n">
        <v>35</v>
      </c>
      <c r="F4900" t="n">
        <v>30</v>
      </c>
      <c r="G4900" t="n">
        <v>25</v>
      </c>
      <c r="H4900" t="n">
        <v>25</v>
      </c>
      <c r="I4900">
        <f>B4900&amp;"|"&amp;C4900</f>
        <v/>
      </c>
      <c r="J4900" t="inlineStr">
        <is>
          <t>average</t>
        </is>
      </c>
    </row>
    <row r="4901" ht="12" customHeight="1" s="545">
      <c r="B4901" t="inlineStr">
        <is>
          <t>Shower Room Buildings</t>
        </is>
      </c>
      <c r="C4901" t="inlineStr">
        <is>
          <t>Excellent</t>
        </is>
      </c>
      <c r="F4901" t="n">
        <v>35</v>
      </c>
      <c r="G4901" t="n">
        <v>30</v>
      </c>
      <c r="I4901">
        <f>B4901&amp;"|"&amp;C4901</f>
        <v/>
      </c>
      <c r="J4901" t="inlineStr">
        <is>
          <t>Shower buildings, good and excellent</t>
        </is>
      </c>
    </row>
    <row r="4902" ht="12" customHeight="1" s="545">
      <c r="B4902" t="inlineStr">
        <is>
          <t>Shower Room Buildings</t>
        </is>
      </c>
      <c r="C4902" t="inlineStr">
        <is>
          <t>Good</t>
        </is>
      </c>
      <c r="F4902" t="n">
        <v>35</v>
      </c>
      <c r="G4902" t="n">
        <v>30</v>
      </c>
      <c r="I4902">
        <f>B4902&amp;"|"&amp;C4902</f>
        <v/>
      </c>
      <c r="J4902" t="inlineStr">
        <is>
          <t>Shower buildings, good and excellent</t>
        </is>
      </c>
    </row>
    <row r="4903" ht="12" customHeight="1" s="545">
      <c r="B4903" t="inlineStr">
        <is>
          <t>Shower Room Buildings</t>
        </is>
      </c>
      <c r="C4903" t="inlineStr">
        <is>
          <t>Low Cost</t>
        </is>
      </c>
      <c r="F4903" t="n">
        <v>25</v>
      </c>
      <c r="G4903" t="n">
        <v>20</v>
      </c>
      <c r="H4903" t="n">
        <v>20</v>
      </c>
      <c r="I4903">
        <f>B4903&amp;"|"&amp;C4903</f>
        <v/>
      </c>
      <c r="J4903" t="inlineStr">
        <is>
          <t>low cost</t>
        </is>
      </c>
    </row>
    <row r="4904" ht="12" customHeight="1" s="545">
      <c r="B4904" t="inlineStr">
        <is>
          <t>Shower Room Buildings</t>
        </is>
      </c>
      <c r="C4904" t="inlineStr">
        <is>
          <t>Cheap</t>
        </is>
      </c>
      <c r="F4904" t="n">
        <v>20</v>
      </c>
      <c r="G4904" t="n">
        <v>15</v>
      </c>
      <c r="H4904" t="n">
        <v>15</v>
      </c>
      <c r="I4904">
        <f>B4904&amp;"|"&amp;C4904</f>
        <v/>
      </c>
      <c r="J4904" t="inlineStr">
        <is>
          <t>cheap</t>
        </is>
      </c>
    </row>
    <row r="4905" ht="12" customHeight="1" s="545">
      <c r="B4905" t="inlineStr">
        <is>
          <t>Fieldhouses</t>
        </is>
      </c>
      <c r="C4905" t="inlineStr">
        <is>
          <t>Good</t>
        </is>
      </c>
      <c r="D4905" t="n">
        <v>45</v>
      </c>
      <c r="E4905" t="n">
        <v>45</v>
      </c>
      <c r="F4905" t="n">
        <v>40</v>
      </c>
      <c r="G4905" t="n">
        <v>35</v>
      </c>
      <c r="H4905" t="n">
        <v>35</v>
      </c>
      <c r="I4905">
        <f>B4905&amp;"|"&amp;C4905</f>
        <v/>
      </c>
      <c r="J4905" t="inlineStr">
        <is>
          <t>average and good</t>
        </is>
      </c>
    </row>
    <row r="4906" ht="12" customHeight="1" s="545">
      <c r="B4906" t="inlineStr">
        <is>
          <t>Fieldhouses</t>
        </is>
      </c>
      <c r="C4906" t="inlineStr">
        <is>
          <t>Average</t>
        </is>
      </c>
      <c r="D4906" t="n">
        <v>45</v>
      </c>
      <c r="E4906" t="n">
        <v>45</v>
      </c>
      <c r="F4906" t="n">
        <v>40</v>
      </c>
      <c r="G4906" t="n">
        <v>35</v>
      </c>
      <c r="H4906" t="n">
        <v>35</v>
      </c>
      <c r="I4906">
        <f>B4906&amp;"|"&amp;C4906</f>
        <v/>
      </c>
      <c r="J4906" t="inlineStr">
        <is>
          <t>average and good</t>
        </is>
      </c>
    </row>
    <row r="4907" ht="12" customHeight="1" s="545">
      <c r="B4907" t="inlineStr">
        <is>
          <t>Fieldhouses</t>
        </is>
      </c>
      <c r="C4907" t="inlineStr">
        <is>
          <t>Excellent</t>
        </is>
      </c>
      <c r="D4907" t="n">
        <v>50</v>
      </c>
      <c r="E4907" t="n">
        <v>50</v>
      </c>
      <c r="F4907" t="n">
        <v>45</v>
      </c>
      <c r="G4907" t="n">
        <v>40</v>
      </c>
      <c r="H4907" t="n">
        <v>40</v>
      </c>
      <c r="I4907">
        <f>B4907&amp;"|"&amp;C4907</f>
        <v/>
      </c>
      <c r="J4907" t="inlineStr">
        <is>
          <t>Field houses, excellent</t>
        </is>
      </c>
    </row>
    <row r="4908" ht="12" customHeight="1" s="545">
      <c r="B4908" t="inlineStr">
        <is>
          <t>Fieldhouses</t>
        </is>
      </c>
      <c r="C4908" t="inlineStr">
        <is>
          <t>Low Cost</t>
        </is>
      </c>
      <c r="F4908" t="n">
        <v>35</v>
      </c>
      <c r="G4908" t="n">
        <v>30</v>
      </c>
      <c r="H4908" t="n">
        <v>30</v>
      </c>
      <c r="I4908">
        <f>B4908&amp;"|"&amp;C4908</f>
        <v/>
      </c>
      <c r="J4908" t="inlineStr">
        <is>
          <t>low cost</t>
        </is>
      </c>
    </row>
    <row r="4909" ht="12" customHeight="1" s="545">
      <c r="B4909" t="inlineStr">
        <is>
          <t>Fieldhouses</t>
        </is>
      </c>
      <c r="C4909" t="inlineStr">
        <is>
          <t>Cheap</t>
        </is>
      </c>
      <c r="G4909" t="n">
        <v>25</v>
      </c>
      <c r="H4909" t="n">
        <v>25</v>
      </c>
      <c r="I4909">
        <f>B4909&amp;"|"&amp;C4909</f>
        <v/>
      </c>
      <c r="J4909" t="inlineStr">
        <is>
          <t>cheap</t>
        </is>
      </c>
    </row>
    <row r="4910" ht="12" customHeight="1" s="545">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ht="12" customHeight="1" s="545">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ht="12" customHeight="1" s="545">
      <c r="B4912" t="inlineStr">
        <is>
          <t>Physical Education Buildings</t>
        </is>
      </c>
      <c r="C4912" t="inlineStr">
        <is>
          <t>Excellent</t>
        </is>
      </c>
      <c r="F4912" t="n">
        <v>45</v>
      </c>
      <c r="G4912" t="n">
        <v>40</v>
      </c>
      <c r="I4912">
        <f>B4912&amp;"|"&amp;C4912</f>
        <v/>
      </c>
      <c r="J4912" t="inlineStr">
        <is>
          <t>College physical education, excellent</t>
        </is>
      </c>
    </row>
    <row r="4913" ht="12" customHeight="1" s="545">
      <c r="B4913" t="inlineStr">
        <is>
          <t>Physical Education Buildings</t>
        </is>
      </c>
      <c r="C4913" t="inlineStr">
        <is>
          <t>Low Cost</t>
        </is>
      </c>
      <c r="F4913" t="n">
        <v>35</v>
      </c>
      <c r="G4913" t="n">
        <v>30</v>
      </c>
      <c r="H4913" t="n">
        <v>30</v>
      </c>
      <c r="I4913">
        <f>B4913&amp;"|"&amp;C4913</f>
        <v/>
      </c>
      <c r="J4913" t="inlineStr">
        <is>
          <t>low cost</t>
        </is>
      </c>
    </row>
    <row r="4914" ht="12" customHeight="1" s="545">
      <c r="B4914" t="inlineStr">
        <is>
          <t>Gymnasiums</t>
        </is>
      </c>
      <c r="C4914" t="inlineStr">
        <is>
          <t>Good</t>
        </is>
      </c>
      <c r="D4914" t="n">
        <v>45</v>
      </c>
      <c r="E4914" t="n">
        <v>45</v>
      </c>
      <c r="F4914" t="n">
        <v>40</v>
      </c>
      <c r="G4914" t="n">
        <v>35</v>
      </c>
      <c r="H4914" t="n">
        <v>35</v>
      </c>
      <c r="I4914">
        <f>B4914&amp;"|"&amp;C4914</f>
        <v/>
      </c>
      <c r="J4914" t="inlineStr">
        <is>
          <t>average and good</t>
        </is>
      </c>
    </row>
    <row r="4915" ht="12" customHeight="1" s="545">
      <c r="B4915" t="inlineStr">
        <is>
          <t>Gymnasiums</t>
        </is>
      </c>
      <c r="C4915" t="inlineStr">
        <is>
          <t>Average</t>
        </is>
      </c>
      <c r="D4915" t="n">
        <v>45</v>
      </c>
      <c r="E4915" t="n">
        <v>45</v>
      </c>
      <c r="F4915" t="n">
        <v>40</v>
      </c>
      <c r="G4915" t="n">
        <v>35</v>
      </c>
      <c r="H4915" t="n">
        <v>35</v>
      </c>
      <c r="I4915">
        <f>B4915&amp;"|"&amp;C4915</f>
        <v/>
      </c>
      <c r="J4915" t="inlineStr">
        <is>
          <t>average and good</t>
        </is>
      </c>
    </row>
    <row r="4916" ht="12" customHeight="1" s="545">
      <c r="B4916" t="inlineStr">
        <is>
          <t>Gymnasiums</t>
        </is>
      </c>
      <c r="C4916" t="inlineStr">
        <is>
          <t>Excellent</t>
        </is>
      </c>
      <c r="D4916" t="n">
        <v>50</v>
      </c>
      <c r="E4916" t="n">
        <v>50</v>
      </c>
      <c r="F4916" t="n">
        <v>45</v>
      </c>
      <c r="G4916" t="n">
        <v>40</v>
      </c>
      <c r="I4916">
        <f>B4916&amp;"|"&amp;C4916</f>
        <v/>
      </c>
      <c r="J4916" t="inlineStr">
        <is>
          <t>Gymnasiums, excellent</t>
        </is>
      </c>
    </row>
    <row r="4917" ht="12" customHeight="1" s="545">
      <c r="B4917" t="inlineStr">
        <is>
          <t>Gymnasiums</t>
        </is>
      </c>
      <c r="C4917" t="inlineStr">
        <is>
          <t>Low Cost</t>
        </is>
      </c>
      <c r="F4917" t="n">
        <v>35</v>
      </c>
      <c r="G4917" t="n">
        <v>30</v>
      </c>
      <c r="H4917" t="n">
        <v>30</v>
      </c>
      <c r="I4917">
        <f>B4917&amp;"|"&amp;C4917</f>
        <v/>
      </c>
      <c r="J4917" t="inlineStr">
        <is>
          <t>cheap and low cost</t>
        </is>
      </c>
    </row>
    <row r="4918" ht="12" customHeight="1" s="545">
      <c r="B4918" t="inlineStr">
        <is>
          <t>Gymnasiums</t>
        </is>
      </c>
      <c r="C4918" t="inlineStr">
        <is>
          <t>Cheap</t>
        </is>
      </c>
      <c r="F4918" t="n">
        <v>35</v>
      </c>
      <c r="G4918" t="n">
        <v>30</v>
      </c>
      <c r="H4918" t="n">
        <v>30</v>
      </c>
      <c r="I4918">
        <f>B4918&amp;"|"&amp;C4918</f>
        <v/>
      </c>
      <c r="J4918" t="inlineStr">
        <is>
          <t>cheap and low cost</t>
        </is>
      </c>
    </row>
    <row r="4919" ht="12" customHeight="1" s="545">
      <c r="B4919" t="inlineStr">
        <is>
          <t>Colleges</t>
        </is>
      </c>
      <c r="C4919" t="inlineStr">
        <is>
          <t>Excellent</t>
        </is>
      </c>
      <c r="D4919" t="n">
        <v>60</v>
      </c>
      <c r="E4919" t="n">
        <v>60</v>
      </c>
      <c r="F4919" t="n">
        <v>55</v>
      </c>
      <c r="G4919" t="n">
        <v>50</v>
      </c>
      <c r="I4919">
        <f>B4919&amp;"|"&amp;C4919</f>
        <v/>
      </c>
      <c r="J4919" t="inlineStr">
        <is>
          <t>College level: entire school plant, excellent</t>
        </is>
      </c>
    </row>
    <row r="4920" ht="12" customHeight="1" s="545">
      <c r="B4920" t="inlineStr">
        <is>
          <t>Colleges</t>
        </is>
      </c>
      <c r="C4920" t="inlineStr">
        <is>
          <t>Good</t>
        </is>
      </c>
      <c r="D4920" t="n">
        <v>60</v>
      </c>
      <c r="E4920" t="n">
        <v>60</v>
      </c>
      <c r="F4920" t="n">
        <v>50</v>
      </c>
      <c r="G4920" t="n">
        <v>45</v>
      </c>
      <c r="H4920" t="n">
        <v>45</v>
      </c>
      <c r="I4920">
        <f>B4920&amp;"|"&amp;C4920</f>
        <v/>
      </c>
      <c r="J4920" t="inlineStr">
        <is>
          <t>good</t>
        </is>
      </c>
    </row>
    <row r="4921" ht="12" customHeight="1" s="545">
      <c r="B4921" t="inlineStr">
        <is>
          <t>Colleges</t>
        </is>
      </c>
      <c r="C4921" t="inlineStr">
        <is>
          <t>Average</t>
        </is>
      </c>
      <c r="D4921" t="n">
        <v>50</v>
      </c>
      <c r="E4921" t="n">
        <v>50</v>
      </c>
      <c r="F4921" t="n">
        <v>45</v>
      </c>
      <c r="G4921" t="n">
        <v>40</v>
      </c>
      <c r="H4921" t="n">
        <v>40</v>
      </c>
      <c r="I4921">
        <f>B4921&amp;"|"&amp;C4921</f>
        <v/>
      </c>
      <c r="J4921" t="inlineStr">
        <is>
          <t>average</t>
        </is>
      </c>
    </row>
    <row r="4922" ht="12" customHeight="1" s="545">
      <c r="B4922" t="inlineStr">
        <is>
          <t>Colleges</t>
        </is>
      </c>
      <c r="C4922" t="inlineStr">
        <is>
          <t>Low Cost</t>
        </is>
      </c>
      <c r="F4922" t="n">
        <v>40</v>
      </c>
      <c r="G4922" t="n">
        <v>35</v>
      </c>
      <c r="H4922" t="n">
        <v>35</v>
      </c>
      <c r="I4922">
        <f>B4922&amp;"|"&amp;C4922</f>
        <v/>
      </c>
      <c r="J4922" t="inlineStr">
        <is>
          <t>low cost</t>
        </is>
      </c>
    </row>
    <row r="4923" ht="12" customHeight="1" s="545">
      <c r="B4923" t="inlineStr">
        <is>
          <t>College Classrooms</t>
        </is>
      </c>
      <c r="C4923" t="inlineStr">
        <is>
          <t>Excellent</t>
        </is>
      </c>
      <c r="D4923" t="n">
        <v>60</v>
      </c>
      <c r="E4923" t="n">
        <v>60</v>
      </c>
      <c r="F4923" t="n">
        <v>55</v>
      </c>
      <c r="G4923" t="n">
        <v>50</v>
      </c>
      <c r="I4923">
        <f>B4923&amp;"|"&amp;C4923</f>
        <v/>
      </c>
      <c r="J4923" t="inlineStr">
        <is>
          <t>Classrooms, excellent</t>
        </is>
      </c>
    </row>
    <row r="4924" ht="12" customHeight="1" s="545">
      <c r="B4924" t="inlineStr">
        <is>
          <t>College Classrooms</t>
        </is>
      </c>
      <c r="C4924" t="inlineStr">
        <is>
          <t>Good</t>
        </is>
      </c>
      <c r="D4924" t="n">
        <v>60</v>
      </c>
      <c r="E4924" t="n">
        <v>60</v>
      </c>
      <c r="F4924" t="n">
        <v>50</v>
      </c>
      <c r="G4924" t="n">
        <v>45</v>
      </c>
      <c r="H4924" t="n">
        <v>45</v>
      </c>
      <c r="I4924">
        <f>B4924&amp;"|"&amp;C4924</f>
        <v/>
      </c>
      <c r="J4924" t="inlineStr">
        <is>
          <t>good</t>
        </is>
      </c>
    </row>
    <row r="4925" ht="12" customHeight="1" s="545">
      <c r="B4925" t="inlineStr">
        <is>
          <t>College Classrooms</t>
        </is>
      </c>
      <c r="C4925" t="inlineStr">
        <is>
          <t>Average</t>
        </is>
      </c>
      <c r="D4925" t="n">
        <v>50</v>
      </c>
      <c r="E4925" t="n">
        <v>50</v>
      </c>
      <c r="F4925" t="n">
        <v>45</v>
      </c>
      <c r="G4925" t="n">
        <v>40</v>
      </c>
      <c r="H4925" t="n">
        <v>40</v>
      </c>
      <c r="I4925">
        <f>B4925&amp;"|"&amp;C4925</f>
        <v/>
      </c>
      <c r="J4925" t="inlineStr">
        <is>
          <t>average</t>
        </is>
      </c>
    </row>
    <row r="4926" ht="12" customHeight="1" s="545">
      <c r="B4926" t="inlineStr">
        <is>
          <t>College Classrooms</t>
        </is>
      </c>
      <c r="C4926" t="inlineStr">
        <is>
          <t>Low Cost</t>
        </is>
      </c>
      <c r="F4926" t="n">
        <v>40</v>
      </c>
      <c r="G4926" t="n">
        <v>35</v>
      </c>
      <c r="H4926" t="n">
        <v>35</v>
      </c>
      <c r="I4926">
        <f>B4926&amp;"|"&amp;C4926</f>
        <v/>
      </c>
      <c r="J4926" t="inlineStr">
        <is>
          <t>low cost</t>
        </is>
      </c>
    </row>
    <row r="4927" ht="12" customHeight="1" s="545">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ht="12" customHeight="1" s="545">
      <c r="B4928" t="inlineStr">
        <is>
          <t>Technical Trades Buildings</t>
        </is>
      </c>
      <c r="C4928" t="inlineStr">
        <is>
          <t>Average</t>
        </is>
      </c>
      <c r="D4928" t="n">
        <v>50</v>
      </c>
      <c r="E4928" t="n">
        <v>50</v>
      </c>
      <c r="F4928" t="n">
        <v>45</v>
      </c>
      <c r="G4928" t="n">
        <v>40</v>
      </c>
      <c r="H4928" t="n">
        <v>40</v>
      </c>
      <c r="I4928">
        <f>B4928&amp;"|"&amp;C4928</f>
        <v/>
      </c>
      <c r="J4928" t="inlineStr">
        <is>
          <t>average</t>
        </is>
      </c>
    </row>
    <row r="4929" ht="12" customHeight="1" s="545">
      <c r="B4929" t="inlineStr">
        <is>
          <t>Technical Trades Buildings</t>
        </is>
      </c>
      <c r="C4929" t="inlineStr">
        <is>
          <t>Low Cost</t>
        </is>
      </c>
      <c r="F4929" t="n">
        <v>40</v>
      </c>
      <c r="G4929" t="n">
        <v>35</v>
      </c>
      <c r="H4929" t="n">
        <v>35</v>
      </c>
      <c r="I4929">
        <f>B4929&amp;"|"&amp;C4929</f>
        <v/>
      </c>
      <c r="J4929" t="inlineStr">
        <is>
          <t>low cost</t>
        </is>
      </c>
    </row>
    <row r="4930" ht="12" customHeight="1" s="545">
      <c r="B4930" t="inlineStr">
        <is>
          <t>Lecture Hall Buildings</t>
        </is>
      </c>
      <c r="C4930" t="inlineStr">
        <is>
          <t>Excellent</t>
        </is>
      </c>
      <c r="F4930" t="n">
        <v>55</v>
      </c>
      <c r="I4930">
        <f>B4930&amp;"|"&amp;C4930</f>
        <v/>
      </c>
      <c r="J4930" t="inlineStr">
        <is>
          <t>Lecture halls, excellent</t>
        </is>
      </c>
    </row>
    <row r="4931" ht="12" customHeight="1" s="545">
      <c r="B4931" t="inlineStr">
        <is>
          <t>Lecture Hall Buildings</t>
        </is>
      </c>
      <c r="C4931" t="inlineStr">
        <is>
          <t>Good</t>
        </is>
      </c>
      <c r="D4931" t="n">
        <v>60</v>
      </c>
      <c r="E4931" t="n">
        <v>60</v>
      </c>
      <c r="F4931" t="n">
        <v>50</v>
      </c>
      <c r="G4931" t="n">
        <v>45</v>
      </c>
      <c r="H4931" t="n">
        <v>45</v>
      </c>
      <c r="I4931">
        <f>B4931&amp;"|"&amp;C4931</f>
        <v/>
      </c>
      <c r="J4931" t="inlineStr">
        <is>
          <t>good</t>
        </is>
      </c>
    </row>
    <row r="4932" ht="12" customHeight="1" s="545">
      <c r="B4932" t="inlineStr">
        <is>
          <t>Lecture Hall Buildings</t>
        </is>
      </c>
      <c r="C4932" t="inlineStr">
        <is>
          <t>Average</t>
        </is>
      </c>
      <c r="D4932" t="n">
        <v>50</v>
      </c>
      <c r="E4932" t="n">
        <v>50</v>
      </c>
      <c r="F4932" t="n">
        <v>45</v>
      </c>
      <c r="G4932" t="n">
        <v>40</v>
      </c>
      <c r="H4932" t="n">
        <v>40</v>
      </c>
      <c r="I4932">
        <f>B4932&amp;"|"&amp;C4932</f>
        <v/>
      </c>
      <c r="J4932" t="inlineStr">
        <is>
          <t>average</t>
        </is>
      </c>
    </row>
    <row r="4933" ht="12" customHeight="1" s="545">
      <c r="B4933" t="inlineStr">
        <is>
          <t>Arts &amp; Crafts Buildings</t>
        </is>
      </c>
      <c r="C4933" t="inlineStr">
        <is>
          <t>Excellent</t>
        </is>
      </c>
      <c r="D4933" t="n">
        <v>60</v>
      </c>
      <c r="E4933" t="n">
        <v>60</v>
      </c>
      <c r="F4933" t="n">
        <v>55</v>
      </c>
      <c r="I4933">
        <f>B4933&amp;"|"&amp;C4933</f>
        <v/>
      </c>
      <c r="J4933" t="inlineStr">
        <is>
          <t>Arts and crafts buildings, excellent</t>
        </is>
      </c>
    </row>
    <row r="4934" ht="12" customHeight="1" s="545">
      <c r="B4934" t="inlineStr">
        <is>
          <t>Arts &amp; Crafts Buildings</t>
        </is>
      </c>
      <c r="C4934" t="inlineStr">
        <is>
          <t>Good</t>
        </is>
      </c>
      <c r="D4934" t="n">
        <v>60</v>
      </c>
      <c r="E4934" t="n">
        <v>60</v>
      </c>
      <c r="F4934" t="n">
        <v>50</v>
      </c>
      <c r="G4934" t="n">
        <v>45</v>
      </c>
      <c r="H4934" t="n">
        <v>45</v>
      </c>
      <c r="I4934">
        <f>B4934&amp;"|"&amp;C4934</f>
        <v/>
      </c>
      <c r="J4934" t="inlineStr">
        <is>
          <t>good</t>
        </is>
      </c>
    </row>
    <row r="4935" ht="12" customHeight="1" s="545">
      <c r="B4935" t="inlineStr">
        <is>
          <t>Arts &amp; Crafts Buildings</t>
        </is>
      </c>
      <c r="C4935" t="inlineStr">
        <is>
          <t>Average</t>
        </is>
      </c>
      <c r="D4935" t="n">
        <v>50</v>
      </c>
      <c r="E4935" t="n">
        <v>50</v>
      </c>
      <c r="F4935" t="n">
        <v>45</v>
      </c>
      <c r="G4935" t="n">
        <v>40</v>
      </c>
      <c r="H4935" t="n">
        <v>40</v>
      </c>
      <c r="I4935">
        <f>B4935&amp;"|"&amp;C4935</f>
        <v/>
      </c>
      <c r="J4935" t="inlineStr">
        <is>
          <t>average</t>
        </is>
      </c>
    </row>
    <row r="4936" ht="12" customHeight="1" s="545">
      <c r="B4936" t="inlineStr">
        <is>
          <t>Arts &amp; Crafts Buildings</t>
        </is>
      </c>
      <c r="C4936" t="inlineStr">
        <is>
          <t>Low Cost</t>
        </is>
      </c>
      <c r="F4936" t="n">
        <v>40</v>
      </c>
      <c r="G4936" t="n">
        <v>35</v>
      </c>
      <c r="H4936" t="n">
        <v>35</v>
      </c>
      <c r="I4936">
        <f>B4936&amp;"|"&amp;C4936</f>
        <v/>
      </c>
      <c r="J4936" t="inlineStr">
        <is>
          <t>low cost</t>
        </is>
      </c>
    </row>
    <row r="4937" ht="12" customHeight="1" s="545">
      <c r="B4937" t="inlineStr">
        <is>
          <t>Science Buildings</t>
        </is>
      </c>
      <c r="C4937" t="inlineStr">
        <is>
          <t>Excellent</t>
        </is>
      </c>
      <c r="D4937" t="n">
        <v>60</v>
      </c>
      <c r="E4937" t="n">
        <v>60</v>
      </c>
      <c r="F4937" t="n">
        <v>55</v>
      </c>
      <c r="G4937" t="n">
        <v>50</v>
      </c>
      <c r="I4937">
        <f>B4937&amp;"|"&amp;C4937</f>
        <v/>
      </c>
      <c r="J4937" t="inlineStr">
        <is>
          <t>Science buildings, excellent</t>
        </is>
      </c>
    </row>
    <row r="4938" ht="12" customHeight="1" s="545">
      <c r="B4938" t="inlineStr">
        <is>
          <t>Science Buildings</t>
        </is>
      </c>
      <c r="C4938" t="inlineStr">
        <is>
          <t>Good</t>
        </is>
      </c>
      <c r="D4938" t="n">
        <v>60</v>
      </c>
      <c r="E4938" t="n">
        <v>60</v>
      </c>
      <c r="F4938" t="n">
        <v>50</v>
      </c>
      <c r="G4938" t="n">
        <v>45</v>
      </c>
      <c r="H4938" t="n">
        <v>45</v>
      </c>
      <c r="I4938">
        <f>B4938&amp;"|"&amp;C4938</f>
        <v/>
      </c>
      <c r="J4938" t="inlineStr">
        <is>
          <t>good</t>
        </is>
      </c>
    </row>
    <row r="4939" ht="12" customHeight="1" s="545">
      <c r="B4939" t="inlineStr">
        <is>
          <t>Science Buildings</t>
        </is>
      </c>
      <c r="C4939" t="inlineStr">
        <is>
          <t>Average</t>
        </is>
      </c>
      <c r="D4939" t="n">
        <v>50</v>
      </c>
      <c r="E4939" t="n">
        <v>50</v>
      </c>
      <c r="F4939" t="n">
        <v>45</v>
      </c>
      <c r="G4939" t="n">
        <v>40</v>
      </c>
      <c r="H4939" t="n">
        <v>40</v>
      </c>
      <c r="I4939">
        <f>B4939&amp;"|"&amp;C4939</f>
        <v/>
      </c>
      <c r="J4939" t="inlineStr">
        <is>
          <t>average</t>
        </is>
      </c>
    </row>
    <row r="4940" ht="12" customHeight="1" s="545">
      <c r="B4940" t="inlineStr">
        <is>
          <t>Science Buildings</t>
        </is>
      </c>
      <c r="C4940" t="inlineStr">
        <is>
          <t>Low Cost</t>
        </is>
      </c>
      <c r="D4940" t="n">
        <v>50</v>
      </c>
      <c r="E4940" t="n">
        <v>50</v>
      </c>
      <c r="F4940" t="n">
        <v>40</v>
      </c>
      <c r="G4940" t="n">
        <v>35</v>
      </c>
      <c r="H4940" t="n">
        <v>35</v>
      </c>
      <c r="I4940">
        <f>B4940&amp;"|"&amp;C4940</f>
        <v/>
      </c>
      <c r="J4940" t="inlineStr">
        <is>
          <t>low cost</t>
        </is>
      </c>
    </row>
    <row r="4941" ht="12" customHeight="1" s="545">
      <c r="B4941" t="inlineStr">
        <is>
          <t>Commons</t>
        </is>
      </c>
      <c r="C4941" t="inlineStr">
        <is>
          <t>Excellent</t>
        </is>
      </c>
      <c r="D4941" t="n">
        <v>60</v>
      </c>
      <c r="E4941" t="n">
        <v>60</v>
      </c>
      <c r="F4941" t="n">
        <v>55</v>
      </c>
      <c r="G4941" t="n">
        <v>50</v>
      </c>
      <c r="I4941">
        <f>B4941&amp;"|"&amp;C4941</f>
        <v/>
      </c>
      <c r="J4941" t="inlineStr">
        <is>
          <t>Commons, excellent</t>
        </is>
      </c>
    </row>
    <row r="4942" ht="12" customHeight="1" s="545">
      <c r="B4942" t="inlineStr">
        <is>
          <t>Commons</t>
        </is>
      </c>
      <c r="C4942" t="inlineStr">
        <is>
          <t>Good</t>
        </is>
      </c>
      <c r="D4942" t="n">
        <v>60</v>
      </c>
      <c r="E4942" t="n">
        <v>60</v>
      </c>
      <c r="F4942" t="n">
        <v>50</v>
      </c>
      <c r="G4942" t="n">
        <v>45</v>
      </c>
      <c r="H4942" t="n">
        <v>45</v>
      </c>
      <c r="I4942">
        <f>B4942&amp;"|"&amp;C4942</f>
        <v/>
      </c>
      <c r="J4942" t="inlineStr">
        <is>
          <t>good</t>
        </is>
      </c>
    </row>
    <row r="4943" ht="12" customHeight="1" s="545">
      <c r="B4943" t="inlineStr">
        <is>
          <t>Commons</t>
        </is>
      </c>
      <c r="C4943" t="inlineStr">
        <is>
          <t>Average</t>
        </is>
      </c>
      <c r="D4943" t="n">
        <v>50</v>
      </c>
      <c r="E4943" t="n">
        <v>50</v>
      </c>
      <c r="F4943" t="n">
        <v>45</v>
      </c>
      <c r="G4943" t="n">
        <v>40</v>
      </c>
      <c r="H4943" t="n">
        <v>40</v>
      </c>
      <c r="I4943">
        <f>B4943&amp;"|"&amp;C4943</f>
        <v/>
      </c>
      <c r="J4943" t="inlineStr">
        <is>
          <t>average</t>
        </is>
      </c>
    </row>
    <row r="4944" ht="12" customHeight="1" s="545">
      <c r="B4944" t="inlineStr">
        <is>
          <t>Commons</t>
        </is>
      </c>
      <c r="C4944" t="inlineStr">
        <is>
          <t>Low Cost</t>
        </is>
      </c>
      <c r="F4944" t="n">
        <v>40</v>
      </c>
      <c r="G4944" t="n">
        <v>35</v>
      </c>
      <c r="H4944" t="n">
        <v>35</v>
      </c>
      <c r="I4944">
        <f>B4944&amp;"|"&amp;C4944</f>
        <v/>
      </c>
      <c r="J4944" t="inlineStr">
        <is>
          <t>low cost</t>
        </is>
      </c>
    </row>
    <row r="4945" ht="12" customHeight="1" s="5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ht="12" customHeight="1" s="545">
      <c r="B4946" t="inlineStr">
        <is>
          <t>Administration (Office) Buildings</t>
        </is>
      </c>
      <c r="C4946" t="inlineStr">
        <is>
          <t>Good</t>
        </is>
      </c>
      <c r="D4946" t="n">
        <v>50</v>
      </c>
      <c r="E4946" t="n">
        <v>50</v>
      </c>
      <c r="F4946" t="n">
        <v>45</v>
      </c>
      <c r="G4946" t="n">
        <v>40</v>
      </c>
      <c r="H4946" t="n">
        <v>40</v>
      </c>
      <c r="I4946">
        <f>B4946&amp;"|"&amp;C4946</f>
        <v/>
      </c>
      <c r="J4946" t="inlineStr">
        <is>
          <t>good</t>
        </is>
      </c>
    </row>
    <row r="4947" ht="12" customHeight="1" s="545">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ht="12" customHeight="1" s="545">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ht="12" customHeight="1" s="545">
      <c r="B4949" t="inlineStr">
        <is>
          <t>Relocatable Offices</t>
        </is>
      </c>
      <c r="C4949" t="inlineStr">
        <is>
          <t>Excellent</t>
        </is>
      </c>
      <c r="G4949" t="n">
        <v>35</v>
      </c>
      <c r="I4949">
        <f>B4949&amp;"|"&amp;C4949</f>
        <v/>
      </c>
      <c r="J4949" t="inlineStr">
        <is>
          <t>Relocatable classrooms and offices, excellent</t>
        </is>
      </c>
    </row>
    <row r="4950" ht="12" customHeight="1" s="545">
      <c r="B4950" t="inlineStr">
        <is>
          <t>Relocatable Offices</t>
        </is>
      </c>
      <c r="C4950" t="inlineStr">
        <is>
          <t>Good</t>
        </is>
      </c>
      <c r="G4950" t="n">
        <v>30</v>
      </c>
      <c r="I4950">
        <f>B4950&amp;"|"&amp;C4950</f>
        <v/>
      </c>
      <c r="J4950" t="inlineStr">
        <is>
          <t>good</t>
        </is>
      </c>
    </row>
    <row r="4951" ht="12" customHeight="1" s="545">
      <c r="B4951" t="inlineStr">
        <is>
          <t>Relocatable Offices</t>
        </is>
      </c>
      <c r="C4951" t="inlineStr">
        <is>
          <t>Average</t>
        </is>
      </c>
      <c r="G4951" t="n">
        <v>25</v>
      </c>
      <c r="I4951">
        <f>B4951&amp;"|"&amp;C4951</f>
        <v/>
      </c>
      <c r="J4951" t="inlineStr">
        <is>
          <t>average</t>
        </is>
      </c>
    </row>
    <row r="4952" ht="12" customHeight="1" s="545">
      <c r="B4952" t="inlineStr">
        <is>
          <t>Relocatable Offices</t>
        </is>
      </c>
      <c r="C4952" t="inlineStr">
        <is>
          <t>Low Cost</t>
        </is>
      </c>
      <c r="G4952" t="n">
        <v>20</v>
      </c>
      <c r="I4952">
        <f>B4952&amp;"|"&amp;C4952</f>
        <v/>
      </c>
      <c r="J4952" t="inlineStr">
        <is>
          <t>low cost</t>
        </is>
      </c>
    </row>
    <row r="4953" ht="12" customHeight="1" s="545">
      <c r="B4953" t="inlineStr">
        <is>
          <t>Relocatable Offices</t>
        </is>
      </c>
      <c r="C4953" t="inlineStr">
        <is>
          <t>Cheap</t>
        </is>
      </c>
      <c r="G4953" t="n">
        <v>10</v>
      </c>
      <c r="I4953">
        <f>B4953&amp;"|"&amp;C4953</f>
        <v/>
      </c>
      <c r="J4953" t="inlineStr">
        <is>
          <t>cheap</t>
        </is>
      </c>
    </row>
    <row r="4954" ht="12" customHeight="1" s="545">
      <c r="B4954" t="inlineStr">
        <is>
          <t>Commercial (Institutional) Greenhouses</t>
        </is>
      </c>
      <c r="C4954" t="inlineStr">
        <is>
          <t>Fair</t>
        </is>
      </c>
      <c r="G4954" t="n">
        <v>25</v>
      </c>
      <c r="H4954" t="n">
        <v>30</v>
      </c>
      <c r="I4954">
        <f>B4954&amp;"|"&amp;C4954</f>
        <v/>
      </c>
      <c r="J4954" t="inlineStr">
        <is>
          <t>fair and average</t>
        </is>
      </c>
    </row>
    <row r="4955" ht="12" customHeight="1" s="545">
      <c r="B4955" t="inlineStr">
        <is>
          <t>Commercial (Institutional) Greenhouses</t>
        </is>
      </c>
      <c r="C4955" t="inlineStr">
        <is>
          <t>Low Cost</t>
        </is>
      </c>
      <c r="G4955" t="n">
        <v>20</v>
      </c>
      <c r="H4955" t="n">
        <v>25</v>
      </c>
      <c r="I4955">
        <f>B4955&amp;"|"&amp;C4955</f>
        <v/>
      </c>
      <c r="J4955" t="inlineStr">
        <is>
          <t>low cost</t>
        </is>
      </c>
    </row>
    <row r="4956" ht="12" customHeight="1" s="545">
      <c r="B4956" t="inlineStr">
        <is>
          <t>Commercial (Institutional) Greenhouses</t>
        </is>
      </c>
      <c r="C4956" t="inlineStr">
        <is>
          <t>Excellent</t>
        </is>
      </c>
      <c r="H4956" t="n">
        <v>40</v>
      </c>
      <c r="I4956">
        <f>B4956&amp;"|"&amp;C4956</f>
        <v/>
      </c>
      <c r="J4956" t="inlineStr">
        <is>
          <t>Institutional greenhouses, very good and excellent</t>
        </is>
      </c>
    </row>
    <row r="4957" ht="12" customHeight="1" s="545">
      <c r="B4957" t="inlineStr">
        <is>
          <t>Commercial (Institutional) Greenhouses</t>
        </is>
      </c>
      <c r="C4957" t="inlineStr">
        <is>
          <t>Very Good</t>
        </is>
      </c>
      <c r="H4957" t="n">
        <v>40</v>
      </c>
      <c r="I4957">
        <f>B4957&amp;"|"&amp;C4957</f>
        <v/>
      </c>
      <c r="J4957" t="inlineStr">
        <is>
          <t>Institutional greenhouses, very good and excellent</t>
        </is>
      </c>
    </row>
    <row r="4958" ht="12" customHeight="1" s="545">
      <c r="B4958" t="inlineStr">
        <is>
          <t>Commercial (Institutional) Greenhouses</t>
        </is>
      </c>
      <c r="C4958" t="inlineStr">
        <is>
          <t>Good</t>
        </is>
      </c>
      <c r="H4958" t="n">
        <v>35</v>
      </c>
      <c r="I4958">
        <f>B4958&amp;"|"&amp;C4958</f>
        <v/>
      </c>
      <c r="J4958" t="inlineStr">
        <is>
          <t>good</t>
        </is>
      </c>
    </row>
    <row r="4959" ht="12" customHeight="1" s="545">
      <c r="B4959" t="inlineStr">
        <is>
          <t>Commercial (Institutional) Greenhouses</t>
        </is>
      </c>
      <c r="C4959" t="inlineStr">
        <is>
          <t>Average</t>
        </is>
      </c>
      <c r="G4959" t="n">
        <v>25</v>
      </c>
      <c r="H4959" t="n">
        <v>30</v>
      </c>
      <c r="I4959">
        <f>B4959&amp;"|"&amp;C4959</f>
        <v/>
      </c>
      <c r="J4959" t="inlineStr">
        <is>
          <t>fair and average</t>
        </is>
      </c>
    </row>
    <row r="4960" ht="12" customHeight="1" s="545">
      <c r="B4960" t="inlineStr">
        <is>
          <t>Commercial (Institutional) Greenhouses</t>
        </is>
      </c>
      <c r="C4960" t="inlineStr">
        <is>
          <t>Cheap</t>
        </is>
      </c>
      <c r="G4960" t="n">
        <v>20</v>
      </c>
      <c r="H4960" t="n">
        <v>25</v>
      </c>
      <c r="I4960">
        <f>B4960&amp;"|"&amp;C4960</f>
        <v/>
      </c>
      <c r="J4960" t="inlineStr">
        <is>
          <t>low cost</t>
        </is>
      </c>
    </row>
    <row r="4963" ht="12" customHeight="1" s="545">
      <c r="B4963" s="211" t="inlineStr">
        <is>
          <t>REFERENCE 12 -- Depreciation Percent-Good Table, Commercial Properties (MVS Sec.97 p.24). Applies to Sections 11/13/14/15 per MVS's own 'Properties Included' key.</t>
        </is>
      </c>
    </row>
    <row r="4964" ht="12" customHeight="1" s="545">
      <c r="B4964" t="inlineStr">
        <is>
          <t>Blank cells = combination not tabulated in the manual (effective age exceeds what's charted for that life expectancy) -- treat as fully/near-fully depreciated; see Sec.97 salvage-value guidance.</t>
        </is>
      </c>
    </row>
    <row r="4965" ht="12" customHeight="1" s="545">
      <c r="B4965" t="inlineStr">
        <is>
          <t>Effective Age (yrs) \ Typical Life (yrs) -&gt;</t>
        </is>
      </c>
      <c r="C4965" t="n">
        <v>70</v>
      </c>
      <c r="D4965" t="n">
        <v>60</v>
      </c>
      <c r="E4965" t="n">
        <v>55</v>
      </c>
      <c r="F4965" t="n">
        <v>50</v>
      </c>
      <c r="G4965" t="n">
        <v>45</v>
      </c>
      <c r="H4965" t="n">
        <v>40</v>
      </c>
      <c r="I4965" t="n">
        <v>35</v>
      </c>
      <c r="J4965" t="n">
        <v>30</v>
      </c>
      <c r="K4965" t="n">
        <v>25</v>
      </c>
      <c r="L4965" t="n">
        <v>20</v>
      </c>
    </row>
    <row r="4966" ht="12" customHeight="1" s="545">
      <c r="B4966" t="n">
        <v>1</v>
      </c>
      <c r="C4966" t="n">
        <v>0</v>
      </c>
      <c r="D4966" t="n">
        <v>0</v>
      </c>
      <c r="E4966" t="n">
        <v>0</v>
      </c>
      <c r="F4966" t="n">
        <v>0</v>
      </c>
      <c r="G4966" t="n">
        <v>1</v>
      </c>
      <c r="H4966" t="n">
        <v>1</v>
      </c>
      <c r="I4966" t="n">
        <v>1</v>
      </c>
      <c r="J4966" t="n">
        <v>2</v>
      </c>
      <c r="K4966" t="n">
        <v>2</v>
      </c>
      <c r="L4966" t="n">
        <v>3</v>
      </c>
    </row>
    <row r="4967" ht="12" customHeight="1" s="545">
      <c r="B4967" t="n">
        <v>2</v>
      </c>
      <c r="C4967" t="n">
        <v>0</v>
      </c>
      <c r="D4967" t="n">
        <v>1</v>
      </c>
      <c r="E4967" t="n">
        <v>1</v>
      </c>
      <c r="F4967" t="n">
        <v>1</v>
      </c>
      <c r="G4967" t="n">
        <v>1</v>
      </c>
      <c r="H4967" t="n">
        <v>2</v>
      </c>
      <c r="I4967" t="n">
        <v>2</v>
      </c>
      <c r="J4967" t="n">
        <v>3</v>
      </c>
      <c r="K4967" t="n">
        <v>5</v>
      </c>
      <c r="L4967" t="n">
        <v>7</v>
      </c>
    </row>
    <row r="4968" ht="12" customHeight="1" s="545">
      <c r="B4968" t="n">
        <v>3</v>
      </c>
      <c r="C4968" t="n">
        <v>0</v>
      </c>
      <c r="D4968" t="n">
        <v>1</v>
      </c>
      <c r="E4968" t="n">
        <v>1</v>
      </c>
      <c r="F4968" t="n">
        <v>1</v>
      </c>
      <c r="G4968" t="n">
        <v>2</v>
      </c>
      <c r="H4968" t="n">
        <v>3</v>
      </c>
      <c r="I4968" t="n">
        <v>4</v>
      </c>
      <c r="J4968" t="n">
        <v>5</v>
      </c>
      <c r="K4968" t="n">
        <v>7</v>
      </c>
      <c r="L4968" t="n">
        <v>10</v>
      </c>
    </row>
    <row r="4969" ht="12" customHeight="1" s="545">
      <c r="B4969" t="n">
        <v>4</v>
      </c>
      <c r="C4969" t="n">
        <v>1</v>
      </c>
      <c r="D4969" t="n">
        <v>1</v>
      </c>
      <c r="E4969" t="n">
        <v>1</v>
      </c>
      <c r="F4969" t="n">
        <v>2</v>
      </c>
      <c r="G4969" t="n">
        <v>3</v>
      </c>
      <c r="H4969" t="n">
        <v>4</v>
      </c>
      <c r="I4969" t="n">
        <v>5</v>
      </c>
      <c r="J4969" t="n">
        <v>7</v>
      </c>
      <c r="K4969" t="n">
        <v>10</v>
      </c>
      <c r="L4969" t="n">
        <v>14</v>
      </c>
    </row>
    <row r="4970" ht="12" customHeight="1" s="545">
      <c r="B4970" t="n">
        <v>5</v>
      </c>
      <c r="C4970" t="n">
        <v>1</v>
      </c>
      <c r="D4970" t="n">
        <v>1</v>
      </c>
      <c r="E4970" t="n">
        <v>2</v>
      </c>
      <c r="F4970" t="n">
        <v>3</v>
      </c>
      <c r="G4970" t="n">
        <v>4</v>
      </c>
      <c r="H4970" t="n">
        <v>5</v>
      </c>
      <c r="I4970" t="n">
        <v>6</v>
      </c>
      <c r="J4970" t="n">
        <v>9</v>
      </c>
      <c r="K4970" t="n">
        <v>13</v>
      </c>
      <c r="L4970" t="n">
        <v>18</v>
      </c>
    </row>
    <row r="4971" ht="12" customHeight="1" s="545">
      <c r="B4971" t="n">
        <v>6</v>
      </c>
      <c r="C4971" t="n">
        <v>1</v>
      </c>
      <c r="D4971" t="n">
        <v>2</v>
      </c>
      <c r="E4971" t="n">
        <v>2</v>
      </c>
      <c r="F4971" t="n">
        <v>3</v>
      </c>
      <c r="G4971" t="n">
        <v>4</v>
      </c>
      <c r="H4971" t="n">
        <v>6</v>
      </c>
      <c r="I4971" t="n">
        <v>8</v>
      </c>
      <c r="J4971" t="n">
        <v>11</v>
      </c>
      <c r="K4971" t="n">
        <v>16</v>
      </c>
      <c r="L4971" t="n">
        <v>22</v>
      </c>
    </row>
    <row r="4972" ht="12" customHeight="1" s="545">
      <c r="B4972" t="n">
        <v>7</v>
      </c>
      <c r="C4972" t="n">
        <v>1</v>
      </c>
      <c r="D4972" t="n">
        <v>2</v>
      </c>
      <c r="E4972" t="n">
        <v>3</v>
      </c>
      <c r="F4972" t="n">
        <v>4</v>
      </c>
      <c r="G4972" t="n">
        <v>5</v>
      </c>
      <c r="H4972" t="n">
        <v>7</v>
      </c>
      <c r="I4972" t="n">
        <v>10</v>
      </c>
      <c r="J4972" t="n">
        <v>14</v>
      </c>
      <c r="K4972" t="n">
        <v>19</v>
      </c>
      <c r="L4972" t="n">
        <v>26</v>
      </c>
    </row>
    <row r="4973" ht="12" customHeight="1" s="545">
      <c r="B4973" t="n">
        <v>8</v>
      </c>
      <c r="C4973" t="n">
        <v>1</v>
      </c>
      <c r="D4973" t="n">
        <v>2</v>
      </c>
      <c r="E4973" t="n">
        <v>3</v>
      </c>
      <c r="F4973" t="n">
        <v>5</v>
      </c>
      <c r="G4973" t="n">
        <v>6</v>
      </c>
      <c r="H4973" t="n">
        <v>8</v>
      </c>
      <c r="I4973" t="n">
        <v>11</v>
      </c>
      <c r="J4973" t="n">
        <v>16</v>
      </c>
      <c r="K4973" t="n">
        <v>22</v>
      </c>
      <c r="L4973" t="n">
        <v>30</v>
      </c>
    </row>
    <row r="4974" ht="12" customHeight="1" s="545">
      <c r="B4974" t="n">
        <v>9</v>
      </c>
      <c r="C4974" t="n">
        <v>2</v>
      </c>
      <c r="D4974" t="n">
        <v>3</v>
      </c>
      <c r="E4974" t="n">
        <v>4</v>
      </c>
      <c r="F4974" t="n">
        <v>5</v>
      </c>
      <c r="G4974" t="n">
        <v>7</v>
      </c>
      <c r="H4974" t="n">
        <v>10</v>
      </c>
      <c r="I4974" t="n">
        <v>13</v>
      </c>
      <c r="J4974" t="n">
        <v>18</v>
      </c>
      <c r="K4974" t="n">
        <v>25</v>
      </c>
      <c r="L4974" t="n">
        <v>35</v>
      </c>
    </row>
    <row r="4975" ht="12" customHeight="1" s="545">
      <c r="B4975" t="n">
        <v>10</v>
      </c>
      <c r="C4975" t="n">
        <v>2</v>
      </c>
      <c r="D4975" t="n">
        <v>3</v>
      </c>
      <c r="E4975" t="n">
        <v>4</v>
      </c>
      <c r="F4975" t="n">
        <v>6</v>
      </c>
      <c r="G4975" t="n">
        <v>8</v>
      </c>
      <c r="H4975" t="n">
        <v>11</v>
      </c>
      <c r="I4975" t="n">
        <v>15</v>
      </c>
      <c r="J4975" t="n">
        <v>21</v>
      </c>
      <c r="K4975" t="n">
        <v>29</v>
      </c>
      <c r="L4975" t="n">
        <v>40</v>
      </c>
    </row>
    <row r="4976" ht="12" customHeight="1" s="545">
      <c r="B4976" t="n">
        <v>11</v>
      </c>
      <c r="C4976" t="n">
        <v>2</v>
      </c>
      <c r="D4976" t="n">
        <v>4</v>
      </c>
      <c r="E4976" t="n">
        <v>5</v>
      </c>
      <c r="F4976" t="n">
        <v>7</v>
      </c>
      <c r="G4976" t="n">
        <v>9</v>
      </c>
      <c r="H4976" t="n">
        <v>13</v>
      </c>
      <c r="I4976" t="n">
        <v>17</v>
      </c>
      <c r="J4976" t="n">
        <v>24</v>
      </c>
      <c r="K4976" t="n">
        <v>32</v>
      </c>
      <c r="L4976" t="n">
        <v>45</v>
      </c>
    </row>
    <row r="4977" ht="12" customHeight="1" s="545">
      <c r="B4977" t="n">
        <v>12</v>
      </c>
      <c r="C4977" t="n">
        <v>2</v>
      </c>
      <c r="D4977" t="n">
        <v>4</v>
      </c>
      <c r="E4977" t="n">
        <v>6</v>
      </c>
      <c r="F4977" t="n">
        <v>8</v>
      </c>
      <c r="G4977" t="n">
        <v>10</v>
      </c>
      <c r="H4977" t="n">
        <v>14</v>
      </c>
      <c r="I4977" t="n">
        <v>19</v>
      </c>
      <c r="J4977" t="n">
        <v>26</v>
      </c>
      <c r="K4977" t="n">
        <v>36</v>
      </c>
      <c r="L4977" t="n">
        <v>50</v>
      </c>
    </row>
    <row r="4978" ht="12" customHeight="1" s="545">
      <c r="B4978" t="n">
        <v>13</v>
      </c>
      <c r="C4978" t="n">
        <v>2</v>
      </c>
      <c r="D4978" t="n">
        <v>5</v>
      </c>
      <c r="E4978" t="n">
        <v>6</v>
      </c>
      <c r="F4978" t="n">
        <v>9</v>
      </c>
      <c r="G4978" t="n">
        <v>12</v>
      </c>
      <c r="H4978" t="n">
        <v>16</v>
      </c>
      <c r="I4978" t="n">
        <v>22</v>
      </c>
      <c r="J4978" t="n">
        <v>29</v>
      </c>
      <c r="K4978" t="n">
        <v>40</v>
      </c>
      <c r="L4978" t="n">
        <v>55</v>
      </c>
    </row>
    <row r="4979" ht="12" customHeight="1" s="545">
      <c r="B4979" t="n">
        <v>14</v>
      </c>
      <c r="C4979" t="n">
        <v>3</v>
      </c>
      <c r="D4979" t="n">
        <v>5</v>
      </c>
      <c r="E4979" t="n">
        <v>7</v>
      </c>
      <c r="F4979" t="n">
        <v>10</v>
      </c>
      <c r="G4979" t="n">
        <v>13</v>
      </c>
      <c r="H4979" t="n">
        <v>18</v>
      </c>
      <c r="I4979" t="n">
        <v>24</v>
      </c>
      <c r="J4979" t="n">
        <v>32</v>
      </c>
      <c r="K4979" t="n">
        <v>44</v>
      </c>
      <c r="L4979" t="n">
        <v>60</v>
      </c>
    </row>
    <row r="4980" ht="12" customHeight="1" s="545">
      <c r="B4980" t="n">
        <v>15</v>
      </c>
      <c r="C4980" t="n">
        <v>3</v>
      </c>
      <c r="D4980" t="n">
        <v>6</v>
      </c>
      <c r="E4980" t="n">
        <v>8</v>
      </c>
      <c r="F4980" t="n">
        <v>11</v>
      </c>
      <c r="G4980" t="n">
        <v>14</v>
      </c>
      <c r="H4980" t="n">
        <v>20</v>
      </c>
      <c r="I4980" t="n">
        <v>26</v>
      </c>
      <c r="J4980" t="n">
        <v>35</v>
      </c>
      <c r="K4980" t="n">
        <v>48</v>
      </c>
      <c r="L4980" t="n">
        <v>65</v>
      </c>
    </row>
    <row r="4981" ht="12" customHeight="1" s="545">
      <c r="B4981" t="n">
        <v>16</v>
      </c>
      <c r="C4981" t="n">
        <v>3</v>
      </c>
      <c r="D4981" t="n">
        <v>7</v>
      </c>
      <c r="E4981" t="n">
        <v>9</v>
      </c>
      <c r="F4981" t="n">
        <v>12</v>
      </c>
      <c r="G4981" t="n">
        <v>16</v>
      </c>
      <c r="H4981" t="n">
        <v>22</v>
      </c>
      <c r="I4981" t="n">
        <v>28</v>
      </c>
      <c r="J4981" t="n">
        <v>39</v>
      </c>
      <c r="K4981" t="n">
        <v>52</v>
      </c>
      <c r="L4981" t="n">
        <v>69</v>
      </c>
    </row>
    <row r="4982" ht="12" customHeight="1" s="545">
      <c r="B4982" t="n">
        <v>17</v>
      </c>
      <c r="C4982" t="n">
        <v>4</v>
      </c>
      <c r="D4982" t="n">
        <v>7</v>
      </c>
      <c r="E4982" t="n">
        <v>10</v>
      </c>
      <c r="F4982" t="n">
        <v>13</v>
      </c>
      <c r="G4982" t="n">
        <v>18</v>
      </c>
      <c r="H4982" t="n">
        <v>24</v>
      </c>
      <c r="I4982" t="n">
        <v>31</v>
      </c>
      <c r="J4982" t="n">
        <v>42</v>
      </c>
      <c r="K4982" t="n">
        <v>56</v>
      </c>
      <c r="L4982" t="n">
        <v>73</v>
      </c>
    </row>
    <row r="4983" ht="12" customHeight="1" s="545">
      <c r="B4983" t="n">
        <v>18</v>
      </c>
      <c r="C4983" t="n">
        <v>4</v>
      </c>
      <c r="D4983" t="n">
        <v>8</v>
      </c>
      <c r="E4983" t="n">
        <v>11</v>
      </c>
      <c r="F4983" t="n">
        <v>14</v>
      </c>
      <c r="G4983" t="n">
        <v>19</v>
      </c>
      <c r="H4983" t="n">
        <v>26</v>
      </c>
      <c r="I4983" t="n">
        <v>34</v>
      </c>
      <c r="J4983" t="n">
        <v>46</v>
      </c>
      <c r="K4983" t="n">
        <v>60</v>
      </c>
      <c r="L4983" t="n">
        <v>76</v>
      </c>
    </row>
    <row r="4984" ht="12" customHeight="1" s="545">
      <c r="B4984" t="n">
        <v>19</v>
      </c>
      <c r="C4984" t="n">
        <v>4</v>
      </c>
      <c r="D4984" t="n">
        <v>9</v>
      </c>
      <c r="E4984" t="n">
        <v>12</v>
      </c>
      <c r="F4984" t="n">
        <v>16</v>
      </c>
      <c r="G4984" t="n">
        <v>21</v>
      </c>
      <c r="H4984" t="n">
        <v>28</v>
      </c>
      <c r="I4984" t="n">
        <v>36</v>
      </c>
      <c r="J4984" t="n">
        <v>49</v>
      </c>
      <c r="K4984" t="n">
        <v>64</v>
      </c>
      <c r="L4984" t="n">
        <v>78</v>
      </c>
    </row>
    <row r="4985" ht="12" customHeight="1" s="545">
      <c r="B4985" t="n">
        <v>20</v>
      </c>
      <c r="C4985" t="n">
        <v>5</v>
      </c>
      <c r="D4985" t="n">
        <v>9</v>
      </c>
      <c r="E4985" t="n">
        <v>13</v>
      </c>
      <c r="F4985" t="n">
        <v>17</v>
      </c>
      <c r="G4985" t="n">
        <v>23</v>
      </c>
      <c r="H4985" t="n">
        <v>30</v>
      </c>
      <c r="I4985" t="n">
        <v>39</v>
      </c>
      <c r="J4985" t="n">
        <v>53</v>
      </c>
      <c r="K4985" t="n">
        <v>68</v>
      </c>
      <c r="L4985" t="n">
        <v>79</v>
      </c>
    </row>
    <row r="4986" ht="12" customHeight="1" s="545">
      <c r="B4986" t="n">
        <v>21</v>
      </c>
      <c r="C4986" t="n">
        <v>5</v>
      </c>
      <c r="D4986" t="n">
        <v>10</v>
      </c>
      <c r="E4986" t="n">
        <v>14</v>
      </c>
      <c r="F4986" t="n">
        <v>18</v>
      </c>
      <c r="G4986" t="n">
        <v>25</v>
      </c>
      <c r="H4986" t="n">
        <v>32</v>
      </c>
      <c r="I4986" t="n">
        <v>42</v>
      </c>
      <c r="J4986" t="n">
        <v>57</v>
      </c>
      <c r="K4986" t="n">
        <v>71</v>
      </c>
      <c r="L4986" t="n">
        <v>80</v>
      </c>
    </row>
    <row r="4987" ht="12" customHeight="1" s="545">
      <c r="B4987" t="n">
        <v>22</v>
      </c>
      <c r="C4987" t="n">
        <v>6</v>
      </c>
      <c r="D4987" t="n">
        <v>11</v>
      </c>
      <c r="E4987" t="n">
        <v>15</v>
      </c>
      <c r="F4987" t="n">
        <v>20</v>
      </c>
      <c r="G4987" t="n">
        <v>27</v>
      </c>
      <c r="H4987" t="n">
        <v>35</v>
      </c>
      <c r="I4987" t="n">
        <v>45</v>
      </c>
      <c r="J4987" t="n">
        <v>60</v>
      </c>
      <c r="K4987" t="n">
        <v>73</v>
      </c>
    </row>
    <row r="4988" ht="12" customHeight="1" s="545">
      <c r="B4988" t="n">
        <v>23</v>
      </c>
      <c r="C4988" t="n">
        <v>6</v>
      </c>
      <c r="D4988" t="n">
        <v>12</v>
      </c>
      <c r="E4988" t="n">
        <v>16</v>
      </c>
      <c r="F4988" t="n">
        <v>21</v>
      </c>
      <c r="G4988" t="n">
        <v>29</v>
      </c>
      <c r="H4988" t="n">
        <v>37</v>
      </c>
      <c r="I4988" t="n">
        <v>48</v>
      </c>
      <c r="J4988" t="n">
        <v>63</v>
      </c>
      <c r="K4988" t="n">
        <v>75</v>
      </c>
    </row>
    <row r="4989" ht="12" customHeight="1" s="545">
      <c r="B4989" t="n">
        <v>24</v>
      </c>
      <c r="C4989" t="n">
        <v>7</v>
      </c>
      <c r="D4989" t="n">
        <v>13</v>
      </c>
      <c r="E4989" t="n">
        <v>17</v>
      </c>
      <c r="F4989" t="n">
        <v>23</v>
      </c>
      <c r="G4989" t="n">
        <v>31</v>
      </c>
      <c r="H4989" t="n">
        <v>40</v>
      </c>
      <c r="I4989" t="n">
        <v>52</v>
      </c>
      <c r="J4989" t="n">
        <v>66</v>
      </c>
      <c r="K4989" t="n">
        <v>77</v>
      </c>
    </row>
    <row r="4990" ht="12" customHeight="1" s="545">
      <c r="B4990" t="n">
        <v>25</v>
      </c>
      <c r="C4990" t="n">
        <v>7</v>
      </c>
      <c r="D4990" t="n">
        <v>14</v>
      </c>
      <c r="E4990" t="n">
        <v>19</v>
      </c>
      <c r="F4990" t="n">
        <v>25</v>
      </c>
      <c r="G4990" t="n">
        <v>33</v>
      </c>
      <c r="H4990" t="n">
        <v>43</v>
      </c>
      <c r="I4990" t="n">
        <v>55</v>
      </c>
      <c r="J4990" t="n">
        <v>69</v>
      </c>
      <c r="K4990" t="n">
        <v>79</v>
      </c>
    </row>
    <row r="4991" ht="12" customHeight="1" s="545">
      <c r="B4991" t="n">
        <v>26</v>
      </c>
      <c r="C4991" t="n">
        <v>8</v>
      </c>
      <c r="D4991" t="n">
        <v>15</v>
      </c>
      <c r="E4991" t="n">
        <v>20</v>
      </c>
      <c r="F4991" t="n">
        <v>27</v>
      </c>
      <c r="G4991" t="n">
        <v>35</v>
      </c>
      <c r="H4991" t="n">
        <v>46</v>
      </c>
      <c r="I4991" t="n">
        <v>58</v>
      </c>
      <c r="J4991" t="n">
        <v>72</v>
      </c>
      <c r="K4991" t="n">
        <v>80</v>
      </c>
    </row>
    <row r="4992" ht="12" customHeight="1" s="545">
      <c r="B4992" t="n">
        <v>27</v>
      </c>
      <c r="C4992" t="n">
        <v>9</v>
      </c>
      <c r="D4992" t="n">
        <v>16</v>
      </c>
      <c r="E4992" t="n">
        <v>21</v>
      </c>
      <c r="F4992" t="n">
        <v>28</v>
      </c>
      <c r="G4992" t="n">
        <v>37</v>
      </c>
      <c r="H4992" t="n">
        <v>49</v>
      </c>
      <c r="I4992" t="n">
        <v>61</v>
      </c>
      <c r="J4992" t="n">
        <v>75</v>
      </c>
    </row>
    <row r="4993" ht="12" customHeight="1" s="545">
      <c r="B4993" t="n">
        <v>28</v>
      </c>
      <c r="C4993" t="n">
        <v>9</v>
      </c>
      <c r="D4993" t="n">
        <v>17</v>
      </c>
      <c r="E4993" t="n">
        <v>23</v>
      </c>
      <c r="F4993" t="n">
        <v>30</v>
      </c>
      <c r="G4993" t="n">
        <v>40</v>
      </c>
      <c r="H4993" t="n">
        <v>52</v>
      </c>
      <c r="I4993" t="n">
        <v>64</v>
      </c>
      <c r="J4993" t="n">
        <v>77</v>
      </c>
    </row>
    <row r="4994" ht="12" customHeight="1" s="545">
      <c r="B4994" t="n">
        <v>29</v>
      </c>
      <c r="C4994" t="n">
        <v>10</v>
      </c>
      <c r="D4994" t="n">
        <v>18</v>
      </c>
      <c r="E4994" t="n">
        <v>24</v>
      </c>
      <c r="F4994" t="n">
        <v>32</v>
      </c>
      <c r="G4994" t="n">
        <v>42</v>
      </c>
      <c r="H4994" t="n">
        <v>54</v>
      </c>
      <c r="I4994" t="n">
        <v>68</v>
      </c>
      <c r="J4994" t="n">
        <v>78</v>
      </c>
    </row>
    <row r="4995" ht="12" customHeight="1" s="545">
      <c r="B4995" t="n">
        <v>30</v>
      </c>
      <c r="C4995" t="n">
        <v>11</v>
      </c>
      <c r="D4995" t="n">
        <v>20</v>
      </c>
      <c r="E4995" t="n">
        <v>26</v>
      </c>
      <c r="F4995" t="n">
        <v>34</v>
      </c>
      <c r="G4995" t="n">
        <v>45</v>
      </c>
      <c r="H4995" t="n">
        <v>57</v>
      </c>
      <c r="I4995" t="n">
        <v>72</v>
      </c>
      <c r="J4995" t="n">
        <v>79</v>
      </c>
    </row>
    <row r="4996" ht="12" customHeight="1" s="545">
      <c r="B4996" t="n">
        <v>32</v>
      </c>
      <c r="C4996" t="n">
        <v>13</v>
      </c>
      <c r="D4996" t="n">
        <v>22</v>
      </c>
      <c r="E4996" t="n">
        <v>30</v>
      </c>
      <c r="F4996" t="n">
        <v>38</v>
      </c>
      <c r="G4996" t="n">
        <v>50</v>
      </c>
      <c r="H4996" t="n">
        <v>62</v>
      </c>
      <c r="I4996" t="n">
        <v>75</v>
      </c>
      <c r="J4996" t="n">
        <v>80</v>
      </c>
    </row>
    <row r="4997" ht="12" customHeight="1" s="545">
      <c r="B4997" t="n">
        <v>34</v>
      </c>
      <c r="C4997" t="n">
        <v>15</v>
      </c>
      <c r="D4997" t="n">
        <v>25</v>
      </c>
      <c r="E4997" t="n">
        <v>34</v>
      </c>
      <c r="F4997" t="n">
        <v>43</v>
      </c>
      <c r="G4997" t="n">
        <v>55</v>
      </c>
      <c r="H4997" t="n">
        <v>68</v>
      </c>
      <c r="I4997" t="n">
        <v>77</v>
      </c>
    </row>
    <row r="4998" ht="12" customHeight="1" s="545">
      <c r="B4998" t="n">
        <v>36</v>
      </c>
      <c r="C4998" t="n">
        <v>17</v>
      </c>
      <c r="D4998" t="n">
        <v>28</v>
      </c>
      <c r="E4998" t="n">
        <v>38</v>
      </c>
      <c r="F4998" t="n">
        <v>48</v>
      </c>
      <c r="G4998" t="n">
        <v>61</v>
      </c>
      <c r="H4998" t="n">
        <v>73</v>
      </c>
      <c r="I4998" t="n">
        <v>79</v>
      </c>
    </row>
    <row r="4999" ht="12" customHeight="1" s="545">
      <c r="B4999" t="n">
        <v>38</v>
      </c>
      <c r="C4999" t="n">
        <v>19</v>
      </c>
      <c r="D4999" t="n">
        <v>32</v>
      </c>
      <c r="E4999" t="n">
        <v>42</v>
      </c>
      <c r="F4999" t="n">
        <v>53</v>
      </c>
      <c r="G4999" t="n">
        <v>67</v>
      </c>
      <c r="H4999" t="n">
        <v>77</v>
      </c>
      <c r="I4999" t="n">
        <v>80</v>
      </c>
    </row>
    <row r="5000" ht="12" customHeight="1" s="545">
      <c r="B5000" t="n">
        <v>40</v>
      </c>
      <c r="C5000" t="n">
        <v>21</v>
      </c>
      <c r="D5000" t="n">
        <v>35</v>
      </c>
      <c r="E5000" t="n">
        <v>46</v>
      </c>
      <c r="F5000" t="n">
        <v>59</v>
      </c>
      <c r="G5000" t="n">
        <v>72</v>
      </c>
      <c r="H5000" t="n">
        <v>79</v>
      </c>
    </row>
    <row r="5001" ht="12" customHeight="1" s="545">
      <c r="B5001" t="n">
        <v>42</v>
      </c>
      <c r="C5001" t="n">
        <v>25</v>
      </c>
      <c r="D5001" t="n">
        <v>39</v>
      </c>
      <c r="E5001" t="n">
        <v>51</v>
      </c>
      <c r="F5001" t="n">
        <v>65</v>
      </c>
      <c r="G5001" t="n">
        <v>75</v>
      </c>
      <c r="H5001" t="n">
        <v>80</v>
      </c>
    </row>
    <row r="5002" ht="12" customHeight="1" s="545">
      <c r="B5002" t="n">
        <v>44</v>
      </c>
      <c r="C5002" t="n">
        <v>28</v>
      </c>
      <c r="D5002" t="n">
        <v>43</v>
      </c>
      <c r="E5002" t="n">
        <v>56</v>
      </c>
      <c r="F5002" t="n">
        <v>70</v>
      </c>
      <c r="G5002" t="n">
        <v>77</v>
      </c>
    </row>
    <row r="5003" ht="12" customHeight="1" s="545">
      <c r="B5003" t="n">
        <v>46</v>
      </c>
      <c r="C5003" t="n">
        <v>31</v>
      </c>
      <c r="D5003" t="n">
        <v>48</v>
      </c>
      <c r="E5003" t="n">
        <v>60</v>
      </c>
      <c r="F5003" t="n">
        <v>74</v>
      </c>
      <c r="G5003" t="n">
        <v>78</v>
      </c>
    </row>
    <row r="5004" ht="12" customHeight="1" s="545">
      <c r="B5004" t="n">
        <v>48</v>
      </c>
      <c r="C5004" t="n">
        <v>34</v>
      </c>
      <c r="D5004" t="n">
        <v>53</v>
      </c>
      <c r="E5004" t="n">
        <v>64</v>
      </c>
      <c r="F5004" t="n">
        <v>77</v>
      </c>
      <c r="G5004" t="n">
        <v>79</v>
      </c>
    </row>
    <row r="5005" ht="12" customHeight="1" s="545">
      <c r="B5005" t="n">
        <v>50</v>
      </c>
      <c r="C5005" t="n">
        <v>38</v>
      </c>
      <c r="D5005" t="n">
        <v>58</v>
      </c>
      <c r="E5005" t="n">
        <v>68</v>
      </c>
      <c r="F5005" t="n">
        <v>79</v>
      </c>
      <c r="G5005" t="n">
        <v>80</v>
      </c>
    </row>
    <row r="5006" ht="12" customHeight="1" s="545">
      <c r="B5006" t="n">
        <v>55</v>
      </c>
      <c r="C5006" t="n">
        <v>48</v>
      </c>
      <c r="D5006" t="n">
        <v>67</v>
      </c>
      <c r="E5006" t="n">
        <v>75</v>
      </c>
      <c r="F5006" t="n">
        <v>80</v>
      </c>
    </row>
    <row r="5007" ht="12" customHeight="1" s="545">
      <c r="B5007" t="n">
        <v>60</v>
      </c>
      <c r="C5007" t="n">
        <v>57</v>
      </c>
      <c r="D5007" t="n">
        <v>74</v>
      </c>
      <c r="E5007" t="n">
        <v>78</v>
      </c>
    </row>
    <row r="5008" ht="12" customHeight="1" s="545">
      <c r="B5008" t="n">
        <v>65</v>
      </c>
      <c r="C5008" t="n">
        <v>65</v>
      </c>
      <c r="D5008" t="n">
        <v>78</v>
      </c>
      <c r="E5008" t="n">
        <v>80</v>
      </c>
    </row>
    <row r="5009" ht="12" customHeight="1" s="545">
      <c r="B5009" t="n">
        <v>70</v>
      </c>
      <c r="C5009" t="n">
        <v>71</v>
      </c>
      <c r="D5009" t="n">
        <v>80</v>
      </c>
    </row>
    <row r="5010" ht="12" customHeight="1" s="545">
      <c r="B5010" t="n">
        <v>75</v>
      </c>
      <c r="C5010" t="n">
        <v>75</v>
      </c>
    </row>
    <row r="5011" ht="12" customHeight="1" s="545">
      <c r="B5011" t="n">
        <v>80</v>
      </c>
      <c r="C5011" t="n">
        <v>78</v>
      </c>
    </row>
    <row r="5013" ht="12" customHeight="1" s="545">
      <c r="B5013" s="211"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ht="12" customHeight="1" s="545">
      <c r="B5014" t="inlineStr">
        <is>
          <t>Blank cells = combination not tabulated (age exceeds chart for that life); treat as fully/near-fully depreciated per Sec.97 salvage guidance. For lives under 20 years see Sec.97 p.26.</t>
        </is>
      </c>
    </row>
    <row r="5015" ht="12" customHeight="1" s="545">
      <c r="B5015" s="212" t="inlineStr">
        <is>
          <t>Effective Age (yrs) \ Typical Life (yrs) -&gt;</t>
        </is>
      </c>
      <c r="C5015" s="212" t="n">
        <v>70</v>
      </c>
      <c r="D5015" s="212" t="n">
        <v>65</v>
      </c>
      <c r="E5015" s="212" t="n">
        <v>60</v>
      </c>
      <c r="F5015" s="212" t="n">
        <v>55</v>
      </c>
      <c r="G5015" s="212" t="n">
        <v>50</v>
      </c>
      <c r="H5015" s="212" t="n">
        <v>45</v>
      </c>
      <c r="I5015" s="212" t="n">
        <v>40</v>
      </c>
      <c r="J5015" s="212" t="n">
        <v>35</v>
      </c>
      <c r="K5015" s="212" t="n">
        <v>30</v>
      </c>
      <c r="L5015" s="212" t="n">
        <v>25</v>
      </c>
      <c r="M5015" s="212" t="n">
        <v>20</v>
      </c>
    </row>
    <row r="5016" ht="12" customHeight="1" s="545">
      <c r="B5016" t="n">
        <v>1</v>
      </c>
      <c r="C5016" t="n">
        <v>0</v>
      </c>
      <c r="D5016" t="n">
        <v>0</v>
      </c>
      <c r="E5016" t="n">
        <v>0</v>
      </c>
      <c r="F5016" t="n">
        <v>1</v>
      </c>
      <c r="G5016" t="n">
        <v>1</v>
      </c>
      <c r="H5016" t="n">
        <v>1</v>
      </c>
      <c r="I5016" t="n">
        <v>1</v>
      </c>
      <c r="J5016" t="n">
        <v>2</v>
      </c>
      <c r="K5016" t="n">
        <v>2</v>
      </c>
      <c r="L5016" t="n">
        <v>3</v>
      </c>
      <c r="M5016" t="n">
        <v>3</v>
      </c>
    </row>
    <row r="5017" ht="12" customHeight="1" s="545">
      <c r="B5017" t="n">
        <v>2</v>
      </c>
      <c r="C5017" t="n">
        <v>1</v>
      </c>
      <c r="D5017" t="n">
        <v>1</v>
      </c>
      <c r="E5017" t="n">
        <v>1</v>
      </c>
      <c r="F5017" t="n">
        <v>2</v>
      </c>
      <c r="G5017" t="n">
        <v>2</v>
      </c>
      <c r="H5017" t="n">
        <v>2</v>
      </c>
      <c r="I5017" t="n">
        <v>3</v>
      </c>
      <c r="J5017" t="n">
        <v>4</v>
      </c>
      <c r="K5017" t="n">
        <v>4</v>
      </c>
      <c r="L5017" t="n">
        <v>6</v>
      </c>
      <c r="M5017" t="n">
        <v>7</v>
      </c>
    </row>
    <row r="5018" ht="12" customHeight="1" s="545">
      <c r="B5018" t="n">
        <v>3</v>
      </c>
      <c r="C5018" t="n">
        <v>1</v>
      </c>
      <c r="D5018" t="n">
        <v>2</v>
      </c>
      <c r="E5018" t="n">
        <v>2</v>
      </c>
      <c r="F5018" t="n">
        <v>2</v>
      </c>
      <c r="G5018" t="n">
        <v>3</v>
      </c>
      <c r="H5018" t="n">
        <v>3</v>
      </c>
      <c r="I5018" t="n">
        <v>4</v>
      </c>
      <c r="J5018" t="n">
        <v>5</v>
      </c>
      <c r="K5018" t="n">
        <v>6</v>
      </c>
      <c r="L5018" t="n">
        <v>9</v>
      </c>
      <c r="M5018" t="n">
        <v>11</v>
      </c>
    </row>
    <row r="5019" ht="12" customHeight="1" s="545">
      <c r="B5019" t="n">
        <v>4</v>
      </c>
      <c r="C5019" t="n">
        <v>2</v>
      </c>
      <c r="D5019" t="n">
        <v>2</v>
      </c>
      <c r="E5019" t="n">
        <v>3</v>
      </c>
      <c r="F5019" t="n">
        <v>3</v>
      </c>
      <c r="G5019" t="n">
        <v>4</v>
      </c>
      <c r="H5019" t="n">
        <v>4</v>
      </c>
      <c r="I5019" t="n">
        <v>5</v>
      </c>
      <c r="J5019" t="n">
        <v>7</v>
      </c>
      <c r="K5019" t="n">
        <v>9</v>
      </c>
      <c r="L5019" t="n">
        <v>12</v>
      </c>
      <c r="M5019" t="n">
        <v>15</v>
      </c>
    </row>
    <row r="5020" ht="12" customHeight="1" s="545">
      <c r="B5020" t="n">
        <v>5</v>
      </c>
      <c r="C5020" t="n">
        <v>2</v>
      </c>
      <c r="D5020" t="n">
        <v>3</v>
      </c>
      <c r="E5020" t="n">
        <v>4</v>
      </c>
      <c r="F5020" t="n">
        <v>4</v>
      </c>
      <c r="G5020" t="n">
        <v>5</v>
      </c>
      <c r="H5020" t="n">
        <v>6</v>
      </c>
      <c r="I5020" t="n">
        <v>7</v>
      </c>
      <c r="J5020" t="n">
        <v>9</v>
      </c>
      <c r="K5020" t="n">
        <v>12</v>
      </c>
      <c r="L5020" t="n">
        <v>15</v>
      </c>
      <c r="M5020" t="n">
        <v>20</v>
      </c>
    </row>
    <row r="5021" ht="12" customHeight="1" s="545">
      <c r="B5021" t="n">
        <v>6</v>
      </c>
      <c r="C5021" t="n">
        <v>3</v>
      </c>
      <c r="D5021" t="n">
        <v>4</v>
      </c>
      <c r="E5021" t="n">
        <v>4</v>
      </c>
      <c r="F5021" t="n">
        <v>5</v>
      </c>
      <c r="G5021" t="n">
        <v>6</v>
      </c>
      <c r="H5021" t="n">
        <v>7</v>
      </c>
      <c r="I5021" t="n">
        <v>9</v>
      </c>
      <c r="J5021" t="n">
        <v>11</v>
      </c>
      <c r="K5021" t="n">
        <v>14</v>
      </c>
      <c r="L5021" t="n">
        <v>18</v>
      </c>
      <c r="M5021" t="n">
        <v>24</v>
      </c>
    </row>
    <row r="5022" ht="12" customHeight="1" s="545">
      <c r="B5022" t="n">
        <v>7</v>
      </c>
      <c r="C5022" t="n">
        <v>4</v>
      </c>
      <c r="D5022" t="n">
        <v>5</v>
      </c>
      <c r="E5022" t="n">
        <v>5</v>
      </c>
      <c r="F5022" t="n">
        <v>6</v>
      </c>
      <c r="G5022" t="n">
        <v>7</v>
      </c>
      <c r="H5022" t="n">
        <v>8</v>
      </c>
      <c r="I5022" t="n">
        <v>10</v>
      </c>
      <c r="J5022" t="n">
        <v>13</v>
      </c>
      <c r="K5022" t="n">
        <v>17</v>
      </c>
      <c r="L5022" t="n">
        <v>22</v>
      </c>
      <c r="M5022" t="n">
        <v>28</v>
      </c>
    </row>
    <row r="5023" ht="12" customHeight="1" s="545">
      <c r="B5023" t="n">
        <v>8</v>
      </c>
      <c r="C5023" t="n">
        <v>4</v>
      </c>
      <c r="D5023" t="n">
        <v>5</v>
      </c>
      <c r="E5023" t="n">
        <v>6</v>
      </c>
      <c r="F5023" t="n">
        <v>7</v>
      </c>
      <c r="G5023" t="n">
        <v>8</v>
      </c>
      <c r="H5023" t="n">
        <v>10</v>
      </c>
      <c r="I5023" t="n">
        <v>12</v>
      </c>
      <c r="J5023" t="n">
        <v>15</v>
      </c>
      <c r="K5023" t="n">
        <v>19</v>
      </c>
      <c r="L5023" t="n">
        <v>25</v>
      </c>
      <c r="M5023" t="n">
        <v>33</v>
      </c>
    </row>
    <row r="5024" ht="12" customHeight="1" s="545">
      <c r="B5024" t="n">
        <v>9</v>
      </c>
      <c r="C5024" t="n">
        <v>5</v>
      </c>
      <c r="D5024" t="n">
        <v>6</v>
      </c>
      <c r="E5024" t="n">
        <v>7</v>
      </c>
      <c r="F5024" t="n">
        <v>8</v>
      </c>
      <c r="G5024" t="n">
        <v>10</v>
      </c>
      <c r="H5024" t="n">
        <v>11</v>
      </c>
      <c r="I5024" t="n">
        <v>14</v>
      </c>
      <c r="J5024" t="n">
        <v>17</v>
      </c>
      <c r="K5024" t="n">
        <v>22</v>
      </c>
      <c r="L5024" t="n">
        <v>29</v>
      </c>
      <c r="M5024" t="n">
        <v>38</v>
      </c>
    </row>
    <row r="5025" ht="12" customHeight="1" s="545">
      <c r="B5025" t="n">
        <v>10</v>
      </c>
      <c r="C5025" t="n">
        <v>5</v>
      </c>
      <c r="D5025" t="n">
        <v>7</v>
      </c>
      <c r="E5025" t="n">
        <v>8</v>
      </c>
      <c r="F5025" t="n">
        <v>9</v>
      </c>
      <c r="G5025" t="n">
        <v>11</v>
      </c>
      <c r="H5025" t="n">
        <v>13</v>
      </c>
      <c r="I5025" t="n">
        <v>16</v>
      </c>
      <c r="J5025" t="n">
        <v>20</v>
      </c>
      <c r="K5025" t="n">
        <v>25</v>
      </c>
      <c r="L5025" t="n">
        <v>32</v>
      </c>
      <c r="M5025" t="n">
        <v>43</v>
      </c>
    </row>
    <row r="5026" ht="12" customHeight="1" s="545">
      <c r="B5026" t="n">
        <v>11</v>
      </c>
      <c r="C5026" t="n">
        <v>6</v>
      </c>
      <c r="D5026" t="n">
        <v>8</v>
      </c>
      <c r="E5026" t="n">
        <v>9</v>
      </c>
      <c r="F5026" t="n">
        <v>10</v>
      </c>
      <c r="G5026" t="n">
        <v>12</v>
      </c>
      <c r="H5026" t="n">
        <v>14</v>
      </c>
      <c r="I5026" t="n">
        <v>18</v>
      </c>
      <c r="J5026" t="n">
        <v>22</v>
      </c>
      <c r="K5026" t="n">
        <v>28</v>
      </c>
      <c r="L5026" t="n">
        <v>36</v>
      </c>
      <c r="M5026" t="n">
        <v>48</v>
      </c>
    </row>
    <row r="5027" ht="12" customHeight="1" s="545">
      <c r="B5027" t="n">
        <v>12</v>
      </c>
      <c r="C5027" t="n">
        <v>7</v>
      </c>
      <c r="D5027" t="n">
        <v>9</v>
      </c>
      <c r="E5027" t="n">
        <v>10</v>
      </c>
      <c r="F5027" t="n">
        <v>11</v>
      </c>
      <c r="G5027" t="n">
        <v>13</v>
      </c>
      <c r="H5027" t="n">
        <v>15</v>
      </c>
      <c r="I5027" t="n">
        <v>20</v>
      </c>
      <c r="J5027" t="n">
        <v>24</v>
      </c>
      <c r="K5027" t="n">
        <v>31</v>
      </c>
      <c r="L5027" t="n">
        <v>40</v>
      </c>
      <c r="M5027" t="n">
        <v>53</v>
      </c>
    </row>
    <row r="5028" ht="12" customHeight="1" s="545">
      <c r="B5028" t="n">
        <v>13</v>
      </c>
      <c r="C5028" t="n">
        <v>8</v>
      </c>
      <c r="D5028" t="n">
        <v>10</v>
      </c>
      <c r="E5028" t="n">
        <v>11</v>
      </c>
      <c r="F5028" t="n">
        <v>12</v>
      </c>
      <c r="G5028" t="n">
        <v>15</v>
      </c>
      <c r="H5028" t="n">
        <v>17</v>
      </c>
      <c r="I5028" t="n">
        <v>22</v>
      </c>
      <c r="J5028" t="n">
        <v>26</v>
      </c>
      <c r="K5028" t="n">
        <v>34</v>
      </c>
      <c r="L5028" t="n">
        <v>44</v>
      </c>
      <c r="M5028" t="n">
        <v>57</v>
      </c>
    </row>
    <row r="5029" ht="12" customHeight="1" s="545">
      <c r="B5029" t="n">
        <v>14</v>
      </c>
      <c r="C5029" t="n">
        <v>8</v>
      </c>
      <c r="D5029" t="n">
        <v>10</v>
      </c>
      <c r="E5029" t="n">
        <v>12</v>
      </c>
      <c r="F5029" t="n">
        <v>13</v>
      </c>
      <c r="G5029" t="n">
        <v>16</v>
      </c>
      <c r="H5029" t="n">
        <v>19</v>
      </c>
      <c r="I5029" t="n">
        <v>24</v>
      </c>
      <c r="J5029" t="n">
        <v>29</v>
      </c>
      <c r="K5029" t="n">
        <v>37</v>
      </c>
      <c r="L5029" t="n">
        <v>48</v>
      </c>
      <c r="M5029" t="n">
        <v>61</v>
      </c>
    </row>
    <row r="5030" ht="12" customHeight="1" s="545">
      <c r="B5030" t="n">
        <v>15</v>
      </c>
      <c r="C5030" t="n">
        <v>9</v>
      </c>
      <c r="D5030" t="n">
        <v>11</v>
      </c>
      <c r="E5030" t="n">
        <v>12</v>
      </c>
      <c r="F5030" t="n">
        <v>15</v>
      </c>
      <c r="G5030" t="n">
        <v>17</v>
      </c>
      <c r="H5030" t="n">
        <v>21</v>
      </c>
      <c r="I5030" t="n">
        <v>26</v>
      </c>
      <c r="J5030" t="n">
        <v>32</v>
      </c>
      <c r="K5030" t="n">
        <v>40</v>
      </c>
      <c r="L5030" t="n">
        <v>52</v>
      </c>
      <c r="M5030" t="n">
        <v>66</v>
      </c>
    </row>
    <row r="5031" ht="12" customHeight="1" s="545">
      <c r="B5031" t="n">
        <v>16</v>
      </c>
      <c r="C5031" t="n">
        <v>10</v>
      </c>
      <c r="D5031" t="n">
        <v>12</v>
      </c>
      <c r="E5031" t="n">
        <v>13</v>
      </c>
      <c r="F5031" t="n">
        <v>16</v>
      </c>
      <c r="G5031" t="n">
        <v>19</v>
      </c>
      <c r="H5031" t="n">
        <v>23</v>
      </c>
      <c r="I5031" t="n">
        <v>28</v>
      </c>
      <c r="J5031" t="n">
        <v>34</v>
      </c>
      <c r="K5031" t="n">
        <v>43</v>
      </c>
      <c r="L5031" t="n">
        <v>55</v>
      </c>
      <c r="M5031" t="n">
        <v>70</v>
      </c>
    </row>
    <row r="5032" ht="12" customHeight="1" s="545">
      <c r="B5032" t="n">
        <v>17</v>
      </c>
      <c r="C5032" t="n">
        <v>10</v>
      </c>
      <c r="D5032" t="n">
        <v>13</v>
      </c>
      <c r="E5032" t="n">
        <v>15</v>
      </c>
      <c r="F5032" t="n">
        <v>17</v>
      </c>
      <c r="G5032" t="n">
        <v>20</v>
      </c>
      <c r="H5032" t="n">
        <v>25</v>
      </c>
      <c r="I5032" t="n">
        <v>30</v>
      </c>
      <c r="J5032" t="n">
        <v>37</v>
      </c>
      <c r="K5032" t="n">
        <v>46</v>
      </c>
      <c r="L5032" t="n">
        <v>59</v>
      </c>
      <c r="M5032" t="n">
        <v>73</v>
      </c>
    </row>
    <row r="5033" ht="12" customHeight="1" s="545">
      <c r="B5033" t="n">
        <v>18</v>
      </c>
      <c r="C5033" t="n">
        <v>11</v>
      </c>
      <c r="D5033" t="n">
        <v>14</v>
      </c>
      <c r="E5033" t="n">
        <v>16</v>
      </c>
      <c r="F5033" t="n">
        <v>19</v>
      </c>
      <c r="G5033" t="n">
        <v>22</v>
      </c>
      <c r="H5033" t="n">
        <v>27</v>
      </c>
      <c r="I5033" t="n">
        <v>32</v>
      </c>
      <c r="J5033" t="n">
        <v>40</v>
      </c>
      <c r="K5033" t="n">
        <v>50</v>
      </c>
      <c r="L5033" t="n">
        <v>63</v>
      </c>
      <c r="M5033" t="n">
        <v>76</v>
      </c>
    </row>
    <row r="5034" ht="12" customHeight="1" s="545">
      <c r="B5034" t="n">
        <v>19</v>
      </c>
      <c r="C5034" t="n">
        <v>12</v>
      </c>
      <c r="D5034" t="n">
        <v>15</v>
      </c>
      <c r="E5034" t="n">
        <v>17</v>
      </c>
      <c r="F5034" t="n">
        <v>20</v>
      </c>
      <c r="G5034" t="n">
        <v>24</v>
      </c>
      <c r="H5034" t="n">
        <v>28</v>
      </c>
      <c r="I5034" t="n">
        <v>34</v>
      </c>
      <c r="J5034" t="n">
        <v>43</v>
      </c>
      <c r="K5034" t="n">
        <v>53</v>
      </c>
      <c r="L5034" t="n">
        <v>67</v>
      </c>
      <c r="M5034" t="n">
        <v>78</v>
      </c>
    </row>
    <row r="5035" ht="12" customHeight="1" s="545">
      <c r="B5035" t="n">
        <v>20</v>
      </c>
      <c r="C5035" t="n">
        <v>13</v>
      </c>
      <c r="D5035" t="n">
        <v>16</v>
      </c>
      <c r="E5035" t="n">
        <v>18</v>
      </c>
      <c r="F5035" t="n">
        <v>21</v>
      </c>
      <c r="G5035" t="n">
        <v>25</v>
      </c>
      <c r="H5035" t="n">
        <v>30</v>
      </c>
      <c r="I5035" t="n">
        <v>37</v>
      </c>
      <c r="J5035" t="n">
        <v>45</v>
      </c>
      <c r="K5035" t="n">
        <v>56</v>
      </c>
      <c r="L5035" t="n">
        <v>71</v>
      </c>
      <c r="M5035" t="n">
        <v>79</v>
      </c>
    </row>
    <row r="5036" ht="12" customHeight="1" s="545">
      <c r="B5036" t="n">
        <v>22</v>
      </c>
      <c r="C5036" t="n">
        <v>14</v>
      </c>
      <c r="D5036" t="n">
        <v>17</v>
      </c>
      <c r="E5036" t="n">
        <v>20</v>
      </c>
      <c r="F5036" t="n">
        <v>23</v>
      </c>
      <c r="G5036" t="n">
        <v>28</v>
      </c>
      <c r="H5036" t="n">
        <v>34</v>
      </c>
      <c r="I5036" t="n">
        <v>42</v>
      </c>
      <c r="J5036" t="n">
        <v>51</v>
      </c>
      <c r="K5036" t="n">
        <v>62</v>
      </c>
      <c r="L5036" t="n">
        <v>76</v>
      </c>
      <c r="M5036" t="n">
        <v>80</v>
      </c>
    </row>
    <row r="5037" ht="12" customHeight="1" s="545">
      <c r="B5037" t="n">
        <v>24</v>
      </c>
      <c r="C5037" t="n">
        <v>16</v>
      </c>
      <c r="D5037" t="n">
        <v>20</v>
      </c>
      <c r="E5037" t="n">
        <v>23</v>
      </c>
      <c r="F5037" t="n">
        <v>26</v>
      </c>
      <c r="G5037" t="n">
        <v>31</v>
      </c>
      <c r="H5037" t="n">
        <v>38</v>
      </c>
      <c r="I5037" t="n">
        <v>47</v>
      </c>
      <c r="J5037" t="n">
        <v>57</v>
      </c>
      <c r="K5037" t="n">
        <v>68</v>
      </c>
      <c r="L5037" t="n">
        <v>79</v>
      </c>
    </row>
    <row r="5038" ht="12" customHeight="1" s="545">
      <c r="B5038" t="n">
        <v>26</v>
      </c>
      <c r="C5038" t="n">
        <v>18</v>
      </c>
      <c r="D5038" t="n">
        <v>22</v>
      </c>
      <c r="E5038" t="n">
        <v>25</v>
      </c>
      <c r="F5038" t="n">
        <v>29</v>
      </c>
      <c r="G5038" t="n">
        <v>35</v>
      </c>
      <c r="H5038" t="n">
        <v>43</v>
      </c>
      <c r="I5038" t="n">
        <v>52</v>
      </c>
      <c r="J5038" t="n">
        <v>62</v>
      </c>
      <c r="K5038" t="n">
        <v>74</v>
      </c>
      <c r="L5038" t="n">
        <v>80</v>
      </c>
    </row>
    <row r="5039" ht="12" customHeight="1" s="545">
      <c r="B5039" t="n">
        <v>28</v>
      </c>
      <c r="C5039" t="n">
        <v>20</v>
      </c>
      <c r="D5039" t="n">
        <v>24</v>
      </c>
      <c r="E5039" t="n">
        <v>28</v>
      </c>
      <c r="F5039" t="n">
        <v>33</v>
      </c>
      <c r="G5039" t="n">
        <v>39</v>
      </c>
      <c r="H5039" t="n">
        <v>47</v>
      </c>
      <c r="I5039" t="n">
        <v>57</v>
      </c>
      <c r="J5039" t="n">
        <v>68</v>
      </c>
      <c r="K5039" t="n">
        <v>77</v>
      </c>
    </row>
    <row r="5040" ht="12" customHeight="1" s="545">
      <c r="B5040" t="n">
        <v>30</v>
      </c>
      <c r="C5040" t="n">
        <v>22</v>
      </c>
      <c r="D5040" t="n">
        <v>27</v>
      </c>
      <c r="E5040" t="n">
        <v>31</v>
      </c>
      <c r="F5040" t="n">
        <v>36</v>
      </c>
      <c r="G5040" t="n">
        <v>44</v>
      </c>
      <c r="H5040" t="n">
        <v>52</v>
      </c>
      <c r="I5040" t="n">
        <v>62</v>
      </c>
      <c r="J5040" t="n">
        <v>71</v>
      </c>
      <c r="K5040" t="n">
        <v>79</v>
      </c>
    </row>
    <row r="5041" ht="12" customHeight="1" s="545">
      <c r="B5041" t="n">
        <v>32</v>
      </c>
      <c r="C5041" t="n">
        <v>24</v>
      </c>
      <c r="D5041" t="n">
        <v>29</v>
      </c>
      <c r="E5041" t="n">
        <v>34</v>
      </c>
      <c r="F5041" t="n">
        <v>40</v>
      </c>
      <c r="G5041" t="n">
        <v>47</v>
      </c>
      <c r="H5041" t="n">
        <v>56</v>
      </c>
      <c r="I5041" t="n">
        <v>67</v>
      </c>
      <c r="J5041" t="n">
        <v>74</v>
      </c>
      <c r="K5041" t="n">
        <v>80</v>
      </c>
    </row>
    <row r="5042" ht="12" customHeight="1" s="545">
      <c r="B5042" t="n">
        <v>34</v>
      </c>
      <c r="C5042" t="n">
        <v>27</v>
      </c>
      <c r="D5042" t="n">
        <v>32</v>
      </c>
      <c r="E5042" t="n">
        <v>37</v>
      </c>
      <c r="F5042" t="n">
        <v>44</v>
      </c>
      <c r="G5042" t="n">
        <v>51</v>
      </c>
      <c r="H5042" t="n">
        <v>60</v>
      </c>
      <c r="I5042" t="n">
        <v>71</v>
      </c>
      <c r="J5042" t="n">
        <v>77</v>
      </c>
    </row>
    <row r="5043" ht="12" customHeight="1" s="545">
      <c r="B5043" t="n">
        <v>36</v>
      </c>
      <c r="C5043" t="n">
        <v>29</v>
      </c>
      <c r="D5043" t="n">
        <v>35</v>
      </c>
      <c r="E5043" t="n">
        <v>40</v>
      </c>
      <c r="F5043" t="n">
        <v>47</v>
      </c>
      <c r="G5043" t="n">
        <v>55</v>
      </c>
      <c r="H5043" t="n">
        <v>65</v>
      </c>
      <c r="I5043" t="n">
        <v>74</v>
      </c>
      <c r="J5043" t="n">
        <v>79</v>
      </c>
    </row>
    <row r="5044" ht="12" customHeight="1" s="545">
      <c r="B5044" t="n">
        <v>38</v>
      </c>
      <c r="C5044" t="n">
        <v>32</v>
      </c>
      <c r="D5044" t="n">
        <v>38</v>
      </c>
      <c r="E5044" t="n">
        <v>43</v>
      </c>
      <c r="F5044" t="n">
        <v>51</v>
      </c>
      <c r="G5044" t="n">
        <v>59</v>
      </c>
      <c r="H5044" t="n">
        <v>69</v>
      </c>
      <c r="I5044" t="n">
        <v>77</v>
      </c>
      <c r="J5044" t="n">
        <v>80</v>
      </c>
    </row>
    <row r="5045" ht="12" customHeight="1" s="545">
      <c r="B5045" t="n">
        <v>40</v>
      </c>
      <c r="C5045" t="n">
        <v>35</v>
      </c>
      <c r="D5045" t="n">
        <v>41</v>
      </c>
      <c r="E5045" t="n">
        <v>47</v>
      </c>
      <c r="F5045" t="n">
        <v>55</v>
      </c>
      <c r="G5045" t="n">
        <v>63</v>
      </c>
      <c r="H5045" t="n">
        <v>72</v>
      </c>
      <c r="I5045" t="n">
        <v>79</v>
      </c>
    </row>
    <row r="5046" ht="12" customHeight="1" s="545">
      <c r="B5046" t="n">
        <v>42</v>
      </c>
      <c r="C5046" t="n">
        <v>38</v>
      </c>
      <c r="D5046" t="n">
        <v>45</v>
      </c>
      <c r="E5046" t="n">
        <v>51</v>
      </c>
      <c r="F5046" t="n">
        <v>59</v>
      </c>
      <c r="G5046" t="n">
        <v>66</v>
      </c>
      <c r="H5046" t="n">
        <v>75</v>
      </c>
      <c r="I5046" t="n">
        <v>80</v>
      </c>
    </row>
    <row r="5047" ht="12" customHeight="1" s="545">
      <c r="B5047" t="n">
        <v>44</v>
      </c>
      <c r="C5047" t="n">
        <v>41</v>
      </c>
      <c r="D5047" t="n">
        <v>48</v>
      </c>
      <c r="E5047" t="n">
        <v>54</v>
      </c>
      <c r="F5047" t="n">
        <v>62</v>
      </c>
      <c r="G5047" t="n">
        <v>69</v>
      </c>
      <c r="H5047" t="n">
        <v>77</v>
      </c>
    </row>
    <row r="5048" ht="12" customHeight="1" s="545">
      <c r="B5048" t="n">
        <v>46</v>
      </c>
      <c r="C5048" t="n">
        <v>44</v>
      </c>
      <c r="D5048" t="n">
        <v>51</v>
      </c>
      <c r="E5048" t="n">
        <v>57</v>
      </c>
      <c r="F5048" t="n">
        <v>65</v>
      </c>
      <c r="G5048" t="n">
        <v>72</v>
      </c>
      <c r="H5048" t="n">
        <v>79</v>
      </c>
    </row>
    <row r="5049" ht="12" customHeight="1" s="545">
      <c r="B5049" t="n">
        <v>48</v>
      </c>
      <c r="C5049" t="n">
        <v>46</v>
      </c>
      <c r="D5049" t="n">
        <v>54</v>
      </c>
      <c r="E5049" t="n">
        <v>61</v>
      </c>
      <c r="F5049" t="n">
        <v>68</v>
      </c>
      <c r="G5049" t="n">
        <v>75</v>
      </c>
      <c r="H5049" t="n">
        <v>80</v>
      </c>
    </row>
    <row r="5050" ht="12" customHeight="1" s="545">
      <c r="B5050" t="n">
        <v>50</v>
      </c>
      <c r="C5050" t="n">
        <v>49</v>
      </c>
      <c r="D5050" t="n">
        <v>57</v>
      </c>
      <c r="E5050" t="n">
        <v>64</v>
      </c>
      <c r="F5050" t="n">
        <v>71</v>
      </c>
      <c r="G5050" t="n">
        <v>77</v>
      </c>
    </row>
    <row r="5051" ht="12" customHeight="1" s="545">
      <c r="B5051" t="n">
        <v>55</v>
      </c>
      <c r="C5051" t="n">
        <v>57</v>
      </c>
      <c r="D5051" t="n">
        <v>64</v>
      </c>
      <c r="E5051" t="n">
        <v>70</v>
      </c>
      <c r="F5051" t="n">
        <v>77</v>
      </c>
      <c r="G5051" t="n">
        <v>80</v>
      </c>
    </row>
    <row r="5052" ht="12" customHeight="1" s="545">
      <c r="B5052" t="n">
        <v>60</v>
      </c>
      <c r="C5052" t="n">
        <v>64</v>
      </c>
      <c r="D5052" t="n">
        <v>69</v>
      </c>
      <c r="E5052" t="n">
        <v>74</v>
      </c>
      <c r="F5052" t="n">
        <v>80</v>
      </c>
    </row>
    <row r="5053" ht="12" customHeight="1" s="545">
      <c r="B5053" t="n">
        <v>65</v>
      </c>
      <c r="C5053" t="n">
        <v>71</v>
      </c>
      <c r="D5053" t="n">
        <v>74</v>
      </c>
      <c r="E5053" t="n">
        <v>78</v>
      </c>
    </row>
    <row r="5054" ht="12" customHeight="1" s="545">
      <c r="B5054" t="n">
        <v>70</v>
      </c>
      <c r="C5054" t="n">
        <v>76</v>
      </c>
      <c r="D5054" t="n">
        <v>78</v>
      </c>
      <c r="E5054" t="n">
        <v>80</v>
      </c>
    </row>
    <row r="5055" ht="12" customHeight="1" s="545">
      <c r="B5055" t="n">
        <v>75</v>
      </c>
      <c r="C5055" t="n">
        <v>80</v>
      </c>
      <c r="D5055" t="n">
        <v>80</v>
      </c>
      <c r="J5055" t="n">
        <v>16</v>
      </c>
    </row>
    <row r="5056" ht="12" customHeight="1" s="545">
      <c r="B5056" t="n">
        <v>80</v>
      </c>
      <c r="J5056" t="n">
        <v>17</v>
      </c>
    </row>
    <row r="5057" ht="12" customHeight="1" s="545">
      <c r="B5057" t="n">
        <v>90</v>
      </c>
      <c r="L5057" t="n">
        <v>20</v>
      </c>
    </row>
    <row r="5060" ht="12" customHeight="1" s="545">
      <c r="B5060" s="211" t="inlineStr">
        <is>
          <t>REFERENCE 14 -- MVS tables NOT in the lookup engine (nonstandard format or building components priced separately). Value these directly from the manual page cited.</t>
        </is>
      </c>
    </row>
    <row r="5061" ht="12" customHeight="1" s="545">
      <c r="B5061" s="212" t="inlineStr">
        <is>
          <t>Item</t>
        </is>
      </c>
      <c r="C5061" s="212" t="inlineStr">
        <is>
          <t>Section</t>
        </is>
      </c>
      <c r="D5061" s="212" t="inlineStr">
        <is>
          <t>Page</t>
        </is>
      </c>
      <c r="E5061" s="212" t="inlineStr">
        <is>
          <t>Why not in lookup</t>
        </is>
      </c>
    </row>
    <row r="5062" ht="12" customHeight="1" s="545">
      <c r="B5062" t="inlineStr">
        <is>
          <t>Classes A And B: Interior Build-Out</t>
        </is>
      </c>
      <c r="C5062" t="inlineStr">
        <is>
          <t>11</t>
        </is>
      </c>
      <c r="D5062" t="inlineStr">
        <is>
          <t>16</t>
        </is>
      </c>
      <c r="E5062" t="inlineStr">
        <is>
          <t>Per-SF interior build-out/finish adder; use the manual page directly</t>
        </is>
      </c>
    </row>
    <row r="5063" ht="12" customHeight="1" s="545">
      <c r="B5063" t="inlineStr">
        <is>
          <t>Classes C And D: Interior Build-Out</t>
        </is>
      </c>
      <c r="C5063" t="inlineStr">
        <is>
          <t>11</t>
        </is>
      </c>
      <c r="D5063" t="inlineStr">
        <is>
          <t>17</t>
        </is>
      </c>
      <c r="E5063" t="inlineStr">
        <is>
          <t>Per-SF interior build-out/finish adder; use the manual page directly</t>
        </is>
      </c>
    </row>
    <row r="5064" ht="12" customHeight="1" s="545">
      <c r="B5064" t="inlineStr">
        <is>
          <t>Classes A And B: Interior Build-Out</t>
        </is>
      </c>
      <c r="C5064" t="inlineStr">
        <is>
          <t>11</t>
        </is>
      </c>
      <c r="D5064" t="inlineStr">
        <is>
          <t>20</t>
        </is>
      </c>
      <c r="E5064" t="inlineStr">
        <is>
          <t>Per-SF interior build-out/finish adder; use the manual page directly</t>
        </is>
      </c>
    </row>
    <row r="5065" ht="12" customHeight="1" s="545">
      <c r="B5065" t="inlineStr">
        <is>
          <t>Classes C, D And S: Interior Build-Out</t>
        </is>
      </c>
      <c r="C5065" t="inlineStr">
        <is>
          <t>11</t>
        </is>
      </c>
      <c r="D5065" t="inlineStr">
        <is>
          <t>21</t>
        </is>
      </c>
      <c r="E5065" t="inlineStr">
        <is>
          <t>Per-SF interior build-out/finish adder; use the manual page directly</t>
        </is>
      </c>
    </row>
    <row r="5066" ht="12" customHeight="1" s="545">
      <c r="B5066" t="inlineStr">
        <is>
          <t>Classes A And B: Interior Build-Out</t>
        </is>
      </c>
      <c r="C5066" t="inlineStr">
        <is>
          <t>11</t>
        </is>
      </c>
      <c r="D5066" t="inlineStr">
        <is>
          <t>23</t>
        </is>
      </c>
      <c r="E5066" t="inlineStr">
        <is>
          <t>Per-SF interior build-out/finish adder; use the manual page directly</t>
        </is>
      </c>
    </row>
    <row r="5067" ht="12" customHeight="1" s="545">
      <c r="B5067" t="inlineStr">
        <is>
          <t>Classes C, D And S: Interior Build-Out</t>
        </is>
      </c>
      <c r="C5067" t="inlineStr">
        <is>
          <t>11</t>
        </is>
      </c>
      <c r="D5067" t="inlineStr">
        <is>
          <t>24</t>
        </is>
      </c>
      <c r="E5067" t="inlineStr">
        <is>
          <t>Per-SF interior build-out/finish adder; use the manual page directly</t>
        </is>
      </c>
    </row>
    <row r="5068" ht="12" customHeight="1" s="545">
      <c r="B5068" t="inlineStr">
        <is>
          <t>Classes A And B: Interior Build-Out</t>
        </is>
      </c>
      <c r="C5068" t="inlineStr">
        <is>
          <t>11</t>
        </is>
      </c>
      <c r="D5068" t="inlineStr">
        <is>
          <t>26</t>
        </is>
      </c>
      <c r="E5068" t="inlineStr">
        <is>
          <t>Per-SF interior build-out/finish adder; use the manual page directly</t>
        </is>
      </c>
    </row>
    <row r="5069" ht="12" customHeight="1" s="545">
      <c r="B5069" t="inlineStr">
        <is>
          <t>Classes C And D: Interior Build-Out</t>
        </is>
      </c>
      <c r="C5069" t="inlineStr">
        <is>
          <t>11</t>
        </is>
      </c>
      <c r="D5069" t="inlineStr">
        <is>
          <t>27</t>
        </is>
      </c>
      <c r="E5069" t="inlineStr">
        <is>
          <t>Per-SF interior build-out/finish adder; use the manual page directly</t>
        </is>
      </c>
    </row>
    <row r="5070" ht="12" customHeight="1" s="545">
      <c r="B5070" t="inlineStr">
        <is>
          <t>Interior Build-Out</t>
        </is>
      </c>
      <c r="C5070" t="inlineStr">
        <is>
          <t>12</t>
        </is>
      </c>
      <c r="D5070" t="inlineStr">
        <is>
          <t>19</t>
        </is>
      </c>
      <c r="E5070" t="inlineStr">
        <is>
          <t>Per-SF interior build-out/finish adder; use the manual page directly</t>
        </is>
      </c>
    </row>
    <row r="5071" ht="12" customHeight="1" s="545">
      <c r="B5071" t="inlineStr">
        <is>
          <t>Interior Build-Out</t>
        </is>
      </c>
      <c r="C5071" t="inlineStr">
        <is>
          <t>12</t>
        </is>
      </c>
      <c r="D5071" t="inlineStr">
        <is>
          <t>23</t>
        </is>
      </c>
      <c r="E5071" t="inlineStr">
        <is>
          <t>Per-SF interior build-out/finish adder; use the manual page directly</t>
        </is>
      </c>
    </row>
    <row r="5072" ht="12" customHeight="1" s="545">
      <c r="B5072" t="inlineStr">
        <is>
          <t>High-Value Residences</t>
        </is>
      </c>
      <c r="C5072" t="inlineStr">
        <is>
          <t>12</t>
        </is>
      </c>
      <c r="D5072" t="inlineStr">
        <is>
          <t>27</t>
        </is>
      </c>
      <c r="E5072" t="inlineStr">
        <is>
          <t>High-Value Residences use tier ratings I-VI, not Class/Quality; use MVS 12-27 directly</t>
        </is>
      </c>
    </row>
    <row r="5073" ht="12" customHeight="1" s="545">
      <c r="B5073" t="inlineStr">
        <is>
          <t>Detached End Unit Inside Unit</t>
        </is>
      </c>
      <c r="C5073" t="inlineStr">
        <is>
          <t>12</t>
        </is>
      </c>
      <c r="D5073" t="inlineStr">
        <is>
          <t>33</t>
        </is>
      </c>
      <c r="E5073" t="inlineStr">
        <is>
          <t>Urban-row detached/end/inside-unit cost adjustments; use MVS 12-33 directly</t>
        </is>
      </c>
    </row>
    <row r="5074" ht="12" customHeight="1" s="545">
      <c r="B5074" t="inlineStr">
        <is>
          <t>Residential Garages – Detached</t>
        </is>
      </c>
      <c r="C5074" t="inlineStr">
        <is>
          <t>12</t>
        </is>
      </c>
      <c r="D5074" t="inlineStr">
        <is>
          <t>35</t>
        </is>
      </c>
      <c r="E5074" t="inlineStr">
        <is>
          <t>Residential Garages – priced per garage-size bracket; use MVS 12-35 directly</t>
        </is>
      </c>
    </row>
    <row r="5075" ht="12" customHeight="1" s="545">
      <c r="B5075" t="inlineStr">
        <is>
          <t>Shopping Center Mall Concourses And Basements</t>
        </is>
      </c>
      <c r="C5075" t="inlineStr">
        <is>
          <t>13</t>
        </is>
      </c>
      <c r="D5075" t="inlineStr">
        <is>
          <t>36</t>
        </is>
      </c>
      <c r="E5075" t="inlineStr">
        <is>
          <t>Mall concourse/basement sub-blocks (enclosed/open/basement); use MVS 13-36 directly</t>
        </is>
      </c>
    </row>
    <row r="5076" ht="12" customHeight="1" s="545">
      <c r="B5076" t="inlineStr">
        <is>
          <t>Regional Shopping Center Interior Retail Space</t>
        </is>
      </c>
      <c r="C5076" t="inlineStr">
        <is>
          <t>13</t>
        </is>
      </c>
      <c r="D5076" t="inlineStr">
        <is>
          <t>38</t>
        </is>
      </c>
      <c r="E5076" t="inlineStr">
        <is>
          <t>Per-SF interior build-out/finish adder; use the manual page directly</t>
        </is>
      </c>
    </row>
    <row r="5077" ht="12" customHeight="1" s="545">
      <c r="B5077" t="inlineStr">
        <is>
          <t>Industrial, Interior Office Space</t>
        </is>
      </c>
      <c r="C5077" t="inlineStr">
        <is>
          <t>14</t>
        </is>
      </c>
      <c r="D5077" t="inlineStr">
        <is>
          <t>35</t>
        </is>
      </c>
      <c r="E5077" t="inlineStr">
        <is>
          <t>Per-SF interior build-out/finish adder; use the manual page directly</t>
        </is>
      </c>
    </row>
    <row r="5078" ht="12" customHeight="1" s="545">
      <c r="B5078" t="inlineStr">
        <is>
          <t>Classes A And B: Interior Office Finish</t>
        </is>
      </c>
      <c r="C5078" t="inlineStr">
        <is>
          <t>15</t>
        </is>
      </c>
      <c r="D5078" t="inlineStr">
        <is>
          <t>34</t>
        </is>
      </c>
      <c r="E5078" t="inlineStr">
        <is>
          <t>Per-SF interior build-out/finish adder; use the manual page directly</t>
        </is>
      </c>
    </row>
    <row r="5079" ht="12" customHeight="1" s="545">
      <c r="B5079" t="inlineStr">
        <is>
          <t>Classes C, D And S: Interior Office</t>
        </is>
      </c>
      <c r="C5079" t="inlineStr">
        <is>
          <t>15</t>
        </is>
      </c>
      <c r="D5079" t="inlineStr">
        <is>
          <t>35</t>
        </is>
      </c>
      <c r="E5079" t="inlineStr">
        <is>
          <t>Per-SF interior build-out/finish adder; use the manual page directly</t>
        </is>
      </c>
    </row>
    <row r="5080" ht="12" customHeight="1" s="545">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ht="12" customHeight="1" s="545">
      <c r="B5081" t="inlineStr">
        <is>
          <t>Miscellaneous Dock Structures</t>
        </is>
      </c>
      <c r="C5081" t="inlineStr">
        <is>
          <t>14</t>
        </is>
      </c>
      <c r="D5081" t="inlineStr">
        <is>
          <t>27</t>
        </is>
      </c>
      <c r="E5081" t="inlineStr">
        <is>
          <t>Per-SF/per-unit dock components</t>
        </is>
      </c>
    </row>
    <row r="5082" ht="12" customHeight="1" s="545">
      <c r="B5082" t="inlineStr">
        <is>
          <t>Firing Range Buildings / Miscellaneous Structures</t>
        </is>
      </c>
      <c r="C5082" t="inlineStr">
        <is>
          <t>15</t>
        </is>
      </c>
      <c r="D5082" t="inlineStr">
        <is>
          <t>31</t>
        </is>
      </c>
      <c r="E5082" t="inlineStr">
        <is>
          <t>Small sub-schedules; price manually</t>
        </is>
      </c>
    </row>
    <row r="5083" ht="12" customHeight="1" s="545">
      <c r="B5083" t="inlineStr">
        <is>
          <t>Mausoleums (per-crypt) / Rule-of-Thumb cost pages</t>
        </is>
      </c>
      <c r="C5083" t="inlineStr">
        <is>
          <t>11</t>
        </is>
      </c>
      <c r="D5083" t="inlineStr">
        <is>
          <t>32/37</t>
        </is>
      </c>
      <c r="E5083" t="inlineStr">
        <is>
          <t>Per-crypt / per-room unit costs, not $/SF Class-Quality tables</t>
        </is>
      </c>
    </row>
    <row r="5084" ht="12" customHeight="1" s="545">
      <c r="B5084" t="inlineStr">
        <is>
          <t>Historical Residences</t>
        </is>
      </c>
      <c r="C5084" t="inlineStr">
        <is>
          <t>12</t>
        </is>
      </c>
      <c r="D5084" t="inlineStr">
        <is>
          <t>24</t>
        </is>
      </c>
      <c r="E5084" t="inlineStr">
        <is>
          <t>Adjustment guidance to standard SFR costs, no cost table</t>
        </is>
      </c>
    </row>
    <row r="5085" ht="12" customHeight="1" s="545">
      <c r="B5085" t="inlineStr">
        <is>
          <t>Mountain &amp; Resort Cottages, A-Frame Cabins, Storm Shelters</t>
        </is>
      </c>
      <c r="C5085" t="inlineStr">
        <is>
          <t>12</t>
        </is>
      </c>
      <c r="D5085" t="inlineStr">
        <is>
          <t>37</t>
        </is>
      </c>
      <c r="E5085" t="inlineStr">
        <is>
          <t>Narrative/per-unit costs</t>
        </is>
      </c>
    </row>
    <row r="5086" ht="12" customHeight="1" s="545">
      <c r="B5086" t="inlineStr">
        <is>
          <t>Manufactured Single-Family Housing</t>
        </is>
      </c>
      <c r="C5086" t="inlineStr">
        <is>
          <t>12</t>
        </is>
      </c>
      <c r="D5086" t="inlineStr">
        <is>
          <t>42</t>
        </is>
      </c>
      <c r="E5086" t="inlineStr">
        <is>
          <t>Separate manufactured-housing cost schedule</t>
        </is>
      </c>
    </row>
    <row r="5087" ht="12" customHeight="1" s="545">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ht="12" customHeight="1" s="545">
      <c r="B5088" t="inlineStr">
        <is>
          <t>Single-Family Floor Area/Shape multipliers</t>
        </is>
      </c>
      <c r="C5088" t="inlineStr">
        <is>
          <t>12</t>
        </is>
      </c>
      <c r="D5088" t="inlineStr">
        <is>
          <t>26</t>
        </is>
      </c>
      <c r="E5088" t="inlineStr">
        <is>
          <t>Residential size/shape refinement grid</t>
        </is>
      </c>
    </row>
    <row r="5089" ht="12" customHeight="1" s="545">
      <c r="B5089" t="inlineStr">
        <is>
          <t>Grain elevators, silos, steel bins/tanks, bucket elevators, dryers, watering systems</t>
        </is>
      </c>
      <c r="C5089" t="inlineStr">
        <is>
          <t>17</t>
        </is>
      </c>
      <c r="D5089" t="inlineStr">
        <is>
          <t>51-58</t>
        </is>
      </c>
      <c r="E5089" t="inlineStr">
        <is>
          <t>Per-bushel/per-unit equipment schedules</t>
        </is>
      </c>
    </row>
    <row r="5090" ht="12" customHeight="1" s="545">
      <c r="B5090" t="inlineStr">
        <is>
          <t>Service stations, car washes, canopies, prefab metal buildings</t>
        </is>
      </c>
      <c r="C5090" t="inlineStr">
        <is>
          <t>64</t>
        </is>
      </c>
      <c r="D5090" t="inlineStr">
        <is>
          <t>1-9</t>
        </is>
      </c>
      <c r="E5090" t="inlineStr">
        <is>
          <t>Sec.64 prefabricated-building schedules (county codes 408/434/435/436/448)</t>
        </is>
      </c>
    </row>
    <row r="5091" ht="12" customHeight="1" s="545">
      <c r="B5091" t="inlineStr">
        <is>
          <t>Trailer/manufactured-housing &amp; RV parks</t>
        </is>
      </c>
      <c r="C5091" t="inlineStr">
        <is>
          <t>63</t>
        </is>
      </c>
      <c r="D5091" t="inlineStr">
        <is>
          <t>1-10</t>
        </is>
      </c>
      <c r="E5091" t="inlineStr">
        <is>
          <t>Per-space park schedules (county codes 500/531)</t>
        </is>
      </c>
    </row>
    <row r="5092" ht="12" customHeight="1" s="545">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ht="12" customHeight="1" s="545">
      <c r="B5094" s="211" t="inlineStr">
        <is>
          <t>Notes</t>
        </is>
      </c>
    </row>
    <row r="5095" ht="12" customHeight="1" s="545">
      <c r="B5095" t="inlineStr">
        <is>
          <t>- Current Cost Multiplier / Local Area Multiplier / Sec.98 Denver Index are from inserts dated January 2025 bound into this MVS June 2024 edition.</t>
        </is>
      </c>
    </row>
    <row r="5096" ht="12" customHeight="1" s="545">
      <c r="B5096" t="inlineStr">
        <is>
          <t>- Colorado's biennial reassessment fixes the appraisal/level-of-value date; the De-Trend block rolls the Jan-2025-vintage cost level back to that date via MVS Sec.98.</t>
        </is>
      </c>
    </row>
    <row r="5097" ht="12" customHeight="1" s="545">
      <c r="B5097" t="inlineStr">
        <is>
          <t>- No Adams County line exists in MVS -- 'Denver' is the county's proxy per MVS suburb-uses-nearest-larger-city guidance (Sec.99 p.1).</t>
        </is>
      </c>
    </row>
    <row r="5098" ht="12" customHeight="1" s="545">
      <c r="B5098" t="inlineStr">
        <is>
          <t>- Region for the Current Cost Multiplier is presumed WESTERN for Colorado.</t>
        </is>
      </c>
    </row>
    <row r="5099" ht="12" customHeight="1" s="545">
      <c r="B5099" t="inlineStr">
        <is>
          <t>- Base $/SF values cross-checked against the Sq.M. column of every table (must agree within 2% at 10.764 SF/SqM); range-priced tables (some Sec.17 sheds) store the midpoint and cite the range.</t>
        </is>
      </c>
    </row>
    <row r="5100" ht="12" customHeight="1" s="545">
      <c r="B5100" t="inlineStr">
        <is>
          <t>- Life Expectancy (Reference 11) is the full Sec.97 pp.10-16 transcription; each occupancy/quality is mapped to its printed bucket (bucket text shown in the last column).</t>
        </is>
      </c>
    </row>
    <row r="5101" ht="12" customHeight="1" s="545">
      <c r="B5101" t="inlineStr">
        <is>
          <t>- Depreciation: Reference 4 column H selects Commercial (Sec.97 p.24) or Residential (p.25) percent-good per MVS's own Properties Included key. Lives under 20 years are not tabulated -- see Sec.97 p.26.</t>
        </is>
      </c>
    </row>
    <row r="5102" ht="12" customHeight="1" s="545">
      <c r="B5102" t="inlineStr">
        <is>
          <t>- Sections 12/17 have no story-height table (multiplier 1.000 used); Section 17 has no sprinkler table (0 used -- price manually if sprinklered).</t>
        </is>
      </c>
    </row>
    <row r="5103" ht="12" customHeight="1" s="545">
      <c r="B5103" t="inlineStr">
        <is>
          <t>- The Subject Property OCC code auto-selects the occupancy via Reference 4b; codes without a calculator table fall back to the Manual MVS Override block on the Cost Approach tab.</t>
        </is>
      </c>
    </row>
    <row r="5104" ht="12" customHeight="1" s="545">
      <c r="B5104" t="inlineStr">
        <is>
          <t>- Next reassessment cycle: update the Appraisal Date and refresh the Sec.98/99 quarterly inserts.</t>
        </is>
      </c>
    </row>
  </sheetData>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outlinePr summaryBelow="1" summaryRight="1"/>
    <pageSetUpPr fitToPage="1"/>
  </sheetPr>
  <dimension ref="B4:N67"/>
  <sheetViews>
    <sheetView showGridLines="0" zoomScale="90" zoomScaleNormal="90" workbookViewId="0">
      <pane xSplit="2" ySplit="6" topLeftCell="C7" activePane="bottomRight" state="frozen"/>
      <selection pane="topRight" activeCell="C1" sqref="C1"/>
      <selection pane="bottomLeft" activeCell="A9" sqref="A9"/>
      <selection pane="bottomRight" activeCell="G59" sqref="G59"/>
    </sheetView>
  </sheetViews>
  <sheetFormatPr baseColWidth="8" defaultColWidth="9.85546875" defaultRowHeight="12"/>
  <cols>
    <col width="2.28515625" customWidth="1" style="545" min="1" max="1"/>
    <col width="41" customWidth="1" style="545" min="2" max="2"/>
    <col width="28.42578125" customWidth="1" style="545" min="3" max="3"/>
    <col width="37.28515625" customWidth="1" style="545" min="4" max="4"/>
    <col width="28.42578125" customWidth="1" style="545" min="5" max="5"/>
    <col hidden="1" width="10.28515625" customWidth="1" style="545" min="6" max="6"/>
    <col width="28.42578125" customWidth="1" style="545" min="7" max="7"/>
    <col hidden="1" width="10.28515625" customWidth="1" style="545" min="8" max="8"/>
    <col width="30.28515625" customWidth="1" style="545" min="9" max="9"/>
    <col hidden="1" width="10.28515625" customWidth="1" style="545" min="10" max="10"/>
    <col hidden="1" width="28.42578125" customWidth="1" style="545" min="11" max="11"/>
    <col hidden="1" width="10.28515625" customWidth="1" style="545" min="12" max="12"/>
    <col hidden="1" width="28.42578125" customWidth="1" style="545" min="13" max="13"/>
    <col hidden="1" width="10.28515625" customWidth="1" style="545" min="14" max="14"/>
  </cols>
  <sheetData>
    <row r="4" ht="16.5" customHeight="1" s="545">
      <c r="B4" s="616" t="inlineStr">
        <is>
          <t>COMPARABLE LAND SALE ADJUSTMENT GRID</t>
        </is>
      </c>
    </row>
    <row r="5" ht="15.75" customHeight="1" s="545">
      <c r="B5" s="213" t="n"/>
      <c r="C5" s="621" t="inlineStr">
        <is>
          <t>Subject</t>
        </is>
      </c>
      <c r="E5" s="621" t="inlineStr">
        <is>
          <t>Sale 1</t>
        </is>
      </c>
      <c r="G5" s="621" t="inlineStr">
        <is>
          <t>Sale 2</t>
        </is>
      </c>
      <c r="I5" s="621" t="inlineStr">
        <is>
          <t>Sale 3</t>
        </is>
      </c>
      <c r="K5" s="621" t="inlineStr">
        <is>
          <t>Sale 4</t>
        </is>
      </c>
      <c r="M5" s="621" t="inlineStr">
        <is>
          <t>Sale 5</t>
        </is>
      </c>
    </row>
    <row r="6" ht="13.5" customHeight="1" s="545">
      <c r="B6" s="644" t="inlineStr">
        <is>
          <t>Item</t>
        </is>
      </c>
      <c r="C6" s="216" t="inlineStr">
        <is>
          <t>Description</t>
        </is>
      </c>
      <c r="D6" s="216" t="n"/>
      <c r="E6" s="216" t="inlineStr">
        <is>
          <t>Description</t>
        </is>
      </c>
      <c r="F6" s="216" t="inlineStr">
        <is>
          <t>Adj.</t>
        </is>
      </c>
      <c r="G6" s="216" t="inlineStr">
        <is>
          <t>Description</t>
        </is>
      </c>
      <c r="H6" s="216" t="inlineStr">
        <is>
          <t>Adj.</t>
        </is>
      </c>
      <c r="I6" s="216" t="inlineStr">
        <is>
          <t>Description</t>
        </is>
      </c>
      <c r="J6" s="216" t="inlineStr">
        <is>
          <t>Adj.</t>
        </is>
      </c>
      <c r="K6" s="216" t="inlineStr">
        <is>
          <t>Description</t>
        </is>
      </c>
      <c r="L6" s="216" t="inlineStr">
        <is>
          <t>Adj.</t>
        </is>
      </c>
      <c r="M6" s="216" t="inlineStr">
        <is>
          <t>Description</t>
        </is>
      </c>
      <c r="N6" s="216" t="inlineStr">
        <is>
          <t>Adj.</t>
        </is>
      </c>
    </row>
    <row r="7" ht="13.5" customHeight="1" s="545">
      <c r="B7" s="217" t="inlineStr">
        <is>
          <t>Address</t>
        </is>
      </c>
      <c r="C7" s="612">
        <f>'Property Info'!$C$19</f>
        <v/>
      </c>
      <c r="D7" s="550" t="n"/>
      <c r="E7" s="625" t="inlineStr">
        <is>
          <t>9940 E 112th Avenue</t>
        </is>
      </c>
      <c r="F7" s="625" t="n"/>
      <c r="G7" s="625" t="inlineStr">
        <is>
          <t>SW Grant</t>
        </is>
      </c>
      <c r="H7" s="625" t="n"/>
      <c r="I7" s="625" t="inlineStr">
        <is>
          <t>S Chambers Road &amp; Fairplay St</t>
        </is>
      </c>
      <c r="J7" s="625" t="n"/>
      <c r="K7" s="625" t="n"/>
      <c r="L7" s="218" t="n"/>
      <c r="M7" s="625" t="n"/>
      <c r="N7" s="218" t="n"/>
    </row>
    <row r="8" ht="13.5" customHeight="1" s="545">
      <c r="B8" s="217" t="inlineStr">
        <is>
          <t>City, State</t>
        </is>
      </c>
      <c r="C8" s="612">
        <f>PROPER('Property Info'!$C$20)&amp;", CO"</f>
        <v/>
      </c>
      <c r="D8" s="550" t="n"/>
      <c r="E8" s="625" t="inlineStr">
        <is>
          <t>Commerce City, CO</t>
        </is>
      </c>
      <c r="F8" s="625" t="n"/>
      <c r="G8" s="625" t="inlineStr">
        <is>
          <t>Thornton, CO</t>
        </is>
      </c>
      <c r="H8" s="625" t="n"/>
      <c r="I8" s="625" t="inlineStr">
        <is>
          <t>Englewood, CO</t>
        </is>
      </c>
      <c r="J8" s="625" t="n"/>
      <c r="K8" s="625" t="n"/>
      <c r="L8" s="218" t="n"/>
      <c r="M8" s="625" t="n"/>
      <c r="N8" s="218" t="n"/>
    </row>
    <row r="9" ht="13.5" customHeight="1" s="545">
      <c r="B9" s="217" t="inlineStr">
        <is>
          <t>Account / Parcel Number</t>
        </is>
      </c>
      <c r="C9" s="627">
        <f>PI_Parcel</f>
        <v/>
      </c>
      <c r="D9" s="550" t="n"/>
      <c r="E9" s="625" t="inlineStr">
        <is>
          <t>1721-10-1-09-002</t>
        </is>
      </c>
      <c r="F9" s="625" t="n"/>
      <c r="G9" s="625" t="inlineStr">
        <is>
          <t>1573-15-0-00-013</t>
        </is>
      </c>
      <c r="H9" s="625" t="n"/>
      <c r="I9" s="625" t="inlineStr">
        <is>
          <t>2073-31-407-001</t>
        </is>
      </c>
      <c r="J9" s="625" t="n"/>
      <c r="K9" s="625" t="n"/>
      <c r="L9" s="218" t="n"/>
      <c r="M9" s="625" t="n"/>
      <c r="N9" s="218" t="n"/>
    </row>
    <row r="10" ht="13.5" customHeight="1" s="545">
      <c r="B10" s="217" t="inlineStr">
        <is>
          <t>Property Type</t>
        </is>
      </c>
      <c r="C10" s="612" t="inlineStr">
        <is>
          <t>Industrial - Warehouse/Distribution (Mega Warehouse) land</t>
        </is>
      </c>
      <c r="D10" s="550" t="n"/>
      <c r="E10" s="625" t="inlineStr">
        <is>
          <t>Unimproved Land</t>
        </is>
      </c>
      <c r="F10" s="625" t="n"/>
      <c r="G10" s="625" t="inlineStr">
        <is>
          <t>Unimproved Land</t>
        </is>
      </c>
      <c r="H10" s="625" t="n"/>
      <c r="I10" s="625" t="inlineStr">
        <is>
          <t>Unimproved Land</t>
        </is>
      </c>
      <c r="J10" s="625" t="n"/>
      <c r="K10" s="625" t="n"/>
      <c r="L10" s="218" t="n"/>
      <c r="M10" s="625" t="n"/>
      <c r="N10" s="218" t="n"/>
    </row>
    <row r="11" ht="13.5" customHeight="1" s="545">
      <c r="B11" s="217" t="inlineStr">
        <is>
          <t>Sale Date</t>
        </is>
      </c>
      <c r="C11" s="612" t="inlineStr">
        <is>
          <t>N/A - no vacant-land resale; subject purchased as raw land 4/4/2018 (see comments)</t>
        </is>
      </c>
      <c r="D11" s="550" t="n"/>
      <c r="E11" s="503" t="n">
        <v>44804</v>
      </c>
      <c r="F11" s="625" t="n"/>
      <c r="G11" s="503" t="n">
        <v>45175</v>
      </c>
      <c r="H11" s="625" t="n"/>
      <c r="I11" s="503" t="n">
        <v>44672</v>
      </c>
      <c r="J11" s="625" t="n"/>
      <c r="K11" s="219" t="n"/>
      <c r="L11" s="218" t="n"/>
      <c r="M11" s="625" t="n"/>
      <c r="N11" s="218" t="n"/>
    </row>
    <row r="12" ht="13.5" customHeight="1" s="545">
      <c r="B12" s="217" t="inlineStr">
        <is>
          <t>Sale Price</t>
        </is>
      </c>
      <c r="C12" s="624" t="inlineStr">
        <is>
          <t>N/A</t>
        </is>
      </c>
      <c r="D12" s="550" t="n"/>
      <c r="E12" s="14" t="n">
        <v>12000000</v>
      </c>
      <c r="F12" s="625" t="n"/>
      <c r="G12" s="14" t="n">
        <v>11280000</v>
      </c>
      <c r="H12" s="625" t="n"/>
      <c r="I12" s="14" t="n">
        <v>9200000</v>
      </c>
      <c r="J12" s="625" t="n"/>
      <c r="K12" s="14" t="n"/>
      <c r="L12" s="218" t="n"/>
      <c r="M12" s="630" t="n"/>
      <c r="N12" s="218" t="n"/>
    </row>
    <row r="13" ht="13.5" customHeight="1" s="545">
      <c r="B13" s="217" t="inlineStr">
        <is>
          <t>Listing Price</t>
        </is>
      </c>
      <c r="C13" s="624" t="inlineStr">
        <is>
          <t>N/A</t>
        </is>
      </c>
      <c r="D13" s="550" t="n"/>
      <c r="E13" s="14" t="n"/>
      <c r="F13" s="625" t="n"/>
      <c r="G13" s="14" t="n"/>
      <c r="H13" s="625" t="n"/>
      <c r="I13" s="14" t="n"/>
      <c r="J13" s="625" t="n"/>
      <c r="K13" s="14" t="n"/>
      <c r="L13" s="218" t="n"/>
      <c r="M13" s="630" t="n"/>
      <c r="N13" s="218" t="n"/>
    </row>
    <row r="14" ht="13.5" customHeight="1" s="545">
      <c r="B14" s="217" t="inlineStr">
        <is>
          <t>Days on Market</t>
        </is>
      </c>
      <c r="C14" s="612" t="inlineStr">
        <is>
          <t>N/A</t>
        </is>
      </c>
      <c r="D14" s="550" t="n"/>
      <c r="E14" s="625" t="n"/>
      <c r="F14" s="625" t="n"/>
      <c r="G14" s="625" t="n"/>
      <c r="H14" s="625" t="n"/>
      <c r="I14" s="221" t="n"/>
      <c r="J14" s="625" t="n"/>
      <c r="K14" s="221" t="n"/>
      <c r="L14" s="218" t="n"/>
      <c r="M14" s="222" t="n"/>
      <c r="N14" s="218" t="n"/>
    </row>
    <row r="15" ht="31.5" customHeight="1" s="545">
      <c r="B15" s="217" t="inlineStr">
        <is>
          <t>Data Source</t>
        </is>
      </c>
      <c r="C15" s="609" t="inlineStr">
        <is>
          <t>Adams County Assessor Account Summary (R0194277); R0194277 Appr notes (appraiser)</t>
        </is>
      </c>
      <c r="D15" s="550" t="n"/>
      <c r="E15" s="224" t="inlineStr">
        <is>
          <t>Public Records</t>
        </is>
      </c>
      <c r="F15" s="625" t="n"/>
      <c r="G15" s="224" t="inlineStr">
        <is>
          <t>Public Records</t>
        </is>
      </c>
      <c r="H15" s="625" t="n"/>
      <c r="I15" s="224" t="inlineStr">
        <is>
          <t>Public Records</t>
        </is>
      </c>
      <c r="J15" s="625" t="n"/>
      <c r="K15" s="224" t="n"/>
      <c r="L15" s="218" t="n"/>
      <c r="M15" s="224" t="n"/>
      <c r="N15" s="218" t="n"/>
    </row>
    <row r="16" ht="13.5" customHeight="1" s="545">
      <c r="B16" s="217" t="inlineStr">
        <is>
          <t>Grantor</t>
        </is>
      </c>
      <c r="C16" s="612">
        <f>PI_Grantor</f>
        <v/>
      </c>
      <c r="D16" s="550" t="n"/>
      <c r="E16" s="625" t="inlineStr">
        <is>
          <t>Quiktrip Corp</t>
        </is>
      </c>
      <c r="F16" s="625" t="n"/>
      <c r="G16" s="625" t="inlineStr">
        <is>
          <t>Confluent Development LLC</t>
        </is>
      </c>
      <c r="H16" s="625" t="n"/>
      <c r="I16" s="625" t="inlineStr">
        <is>
          <t>Dove Valley Business Park Associates</t>
        </is>
      </c>
      <c r="J16" s="625" t="n"/>
      <c r="K16" s="625" t="n"/>
      <c r="L16" s="218" t="n"/>
      <c r="M16" s="225" t="n"/>
      <c r="N16" s="218" t="n"/>
    </row>
    <row r="17" ht="13.5" customHeight="1" s="545">
      <c r="B17" s="217" t="inlineStr">
        <is>
          <t>Grantee</t>
        </is>
      </c>
      <c r="C17" s="612">
        <f>PI_Grantee</f>
        <v/>
      </c>
      <c r="D17" s="550" t="n"/>
      <c r="E17" s="625" t="inlineStr">
        <is>
          <t>Canvas Real Estate</t>
        </is>
      </c>
      <c r="F17" s="625" t="n"/>
      <c r="G17" s="625" t="inlineStr">
        <is>
          <t>Rockefeller Group</t>
        </is>
      </c>
      <c r="H17" s="625" t="n"/>
      <c r="I17" s="625" t="inlineStr">
        <is>
          <t>Ares Management Corporation</t>
        </is>
      </c>
      <c r="J17" s="625" t="n"/>
      <c r="K17" s="625" t="n"/>
      <c r="L17" s="218" t="n"/>
      <c r="M17" s="225" t="n"/>
      <c r="N17" s="218" t="n"/>
    </row>
    <row r="18" ht="13.5" customHeight="1" s="545">
      <c r="B18" s="217" t="inlineStr">
        <is>
          <t>Site Size (SF)</t>
        </is>
      </c>
      <c r="C18" s="623">
        <f>'Property Info'!$C$26</f>
        <v/>
      </c>
      <c r="D18" s="550" t="n"/>
      <c r="E18" s="221">
        <f>E19*43560</f>
        <v/>
      </c>
      <c r="F18" s="625" t="n"/>
      <c r="G18" s="221" t="n">
        <v>1550736</v>
      </c>
      <c r="H18" s="625" t="n"/>
      <c r="I18" s="221" t="n">
        <v>1858705</v>
      </c>
      <c r="J18" s="625" t="n"/>
      <c r="K18" s="221" t="n"/>
      <c r="L18" s="218" t="n"/>
      <c r="M18" s="222" t="n"/>
      <c r="N18" s="218" t="n"/>
    </row>
    <row r="19" ht="13.5" customHeight="1" s="545">
      <c r="B19" s="217" t="inlineStr">
        <is>
          <t>Site Size (AC)</t>
        </is>
      </c>
      <c r="C19" s="510">
        <f>C18/43560</f>
        <v/>
      </c>
      <c r="D19" s="226" t="n"/>
      <c r="E19" s="660" t="n">
        <v>35.72</v>
      </c>
      <c r="F19" s="660" t="n"/>
      <c r="G19" s="660">
        <f>G18/43560</f>
        <v/>
      </c>
      <c r="H19" s="660" t="n"/>
      <c r="I19" s="660" t="n">
        <v>42.67</v>
      </c>
      <c r="J19" s="625" t="n"/>
      <c r="K19" s="221" t="n"/>
      <c r="L19" s="218" t="n"/>
      <c r="M19" s="222" t="n"/>
      <c r="N19" s="218" t="n"/>
    </row>
    <row r="20" ht="13.5" customHeight="1" s="545">
      <c r="B20" s="217" t="inlineStr">
        <is>
          <t>Zoning</t>
        </is>
      </c>
      <c r="C20" s="612">
        <f>'Property Info'!$C$25</f>
        <v/>
      </c>
      <c r="D20" s="550" t="n"/>
      <c r="E20" s="625" t="inlineStr">
        <is>
          <t>I-1</t>
        </is>
      </c>
      <c r="F20" s="625" t="n"/>
      <c r="G20" s="625" t="inlineStr">
        <is>
          <t>BP</t>
        </is>
      </c>
      <c r="H20" s="625" t="n"/>
      <c r="I20" s="625" t="inlineStr">
        <is>
          <t>AMU</t>
        </is>
      </c>
      <c r="J20" s="625" t="n"/>
      <c r="K20" s="625" t="n"/>
      <c r="L20" s="218" t="n"/>
      <c r="M20" s="625" t="n"/>
      <c r="N20" s="218" t="n"/>
    </row>
    <row r="21" ht="48" customHeight="1" s="545">
      <c r="B21" s="217" t="inlineStr">
        <is>
          <t>Comments</t>
        </is>
      </c>
      <c r="C21" s="609" t="inlineStr">
        <is>
          <t>Large flex/industrial development site within DIA Tech Center Filing No. 6, Commerce City; improved with a single 540,800 SF Class A distribution building (2018). Balance of site is truck court, auto/trailer parking, drive aisles and landscape setback.</t>
        </is>
      </c>
      <c r="D21" s="550" t="n"/>
      <c r="E21" s="224" t="n"/>
      <c r="F21" s="625" t="n"/>
      <c r="G21" s="224" t="n"/>
      <c r="H21" s="625" t="n"/>
      <c r="I21" s="224" t="n"/>
      <c r="J21" s="625" t="n"/>
      <c r="K21" s="224" t="n"/>
      <c r="L21" s="218" t="n"/>
      <c r="M21" s="224" t="n"/>
      <c r="N21" s="218" t="n"/>
    </row>
    <row r="22" ht="12" customHeight="1" s="545">
      <c r="B22" s="647" t="inlineStr">
        <is>
          <t>Unadjusted Price per SF</t>
        </is>
      </c>
      <c r="C22" s="647" t="inlineStr">
        <is>
          <t>N/A</t>
        </is>
      </c>
      <c r="D22" s="611" t="n"/>
      <c r="E22" s="662">
        <f>E12/E18</f>
        <v/>
      </c>
      <c r="F22" s="611" t="n"/>
      <c r="G22" s="662">
        <f>G12/G18</f>
        <v/>
      </c>
      <c r="H22" s="611" t="n"/>
      <c r="I22" s="662">
        <f>I12/I18</f>
        <v/>
      </c>
      <c r="J22" s="611" t="n"/>
      <c r="K22" s="615" t="inlineStr">
        <is>
          <t>N/A</t>
        </is>
      </c>
      <c r="L22" s="611" t="n"/>
      <c r="M22" s="615" t="inlineStr">
        <is>
          <t>N/A</t>
        </is>
      </c>
      <c r="N22" s="611" t="n"/>
    </row>
    <row r="23" ht="15" customHeight="1" s="545">
      <c r="B23" s="618" t="inlineStr">
        <is>
          <t>QUANTIFIED ADJUSTMENTS</t>
        </is>
      </c>
    </row>
    <row r="24" ht="13.5" customHeight="1" s="545">
      <c r="B24" s="230" t="inlineStr">
        <is>
          <t>Property Rights Conveyed</t>
        </is>
      </c>
      <c r="C24" s="612" t="inlineStr">
        <is>
          <t>Fee Simple</t>
        </is>
      </c>
      <c r="D24" s="550" t="n"/>
      <c r="E24" s="625" t="inlineStr">
        <is>
          <t>Fee Simple</t>
        </is>
      </c>
      <c r="F24" s="231" t="n"/>
      <c r="G24" s="625" t="inlineStr">
        <is>
          <t>Fee Simple</t>
        </is>
      </c>
      <c r="H24" s="231" t="n"/>
      <c r="I24" s="625" t="inlineStr">
        <is>
          <t>Fee Simple</t>
        </is>
      </c>
      <c r="J24" s="231" t="n"/>
      <c r="K24" s="625" t="n"/>
      <c r="L24" s="231" t="n"/>
      <c r="M24" s="625" t="n"/>
      <c r="N24" s="231" t="n"/>
    </row>
    <row r="25" ht="13.5" customHeight="1" s="545">
      <c r="B25" s="230" t="inlineStr">
        <is>
          <t>Financing</t>
        </is>
      </c>
      <c r="C25" s="612" t="inlineStr">
        <is>
          <t>N/A</t>
        </is>
      </c>
      <c r="D25" s="550" t="n"/>
      <c r="E25" s="625" t="inlineStr">
        <is>
          <t>N/A</t>
        </is>
      </c>
      <c r="F25" s="231" t="n"/>
      <c r="G25" s="625" t="inlineStr">
        <is>
          <t>N/A</t>
        </is>
      </c>
      <c r="H25" s="231" t="n"/>
      <c r="I25" s="625" t="inlineStr">
        <is>
          <t>N/A</t>
        </is>
      </c>
      <c r="J25" s="231" t="n"/>
      <c r="K25" s="625" t="n"/>
      <c r="L25" s="231" t="n"/>
      <c r="M25" s="625" t="n"/>
      <c r="N25" s="231" t="n"/>
    </row>
    <row r="26" ht="13.5" customHeight="1" s="545">
      <c r="B26" s="230" t="inlineStr">
        <is>
          <t>Terms / Conditions of Sale</t>
        </is>
      </c>
      <c r="C26" s="612" t="inlineStr">
        <is>
          <t>N/A</t>
        </is>
      </c>
      <c r="D26" s="550" t="n"/>
      <c r="E26" s="625" t="inlineStr">
        <is>
          <t>N/A</t>
        </is>
      </c>
      <c r="F26" s="231" t="n"/>
      <c r="G26" s="625" t="inlineStr">
        <is>
          <t>N/A</t>
        </is>
      </c>
      <c r="H26" s="231" t="n"/>
      <c r="I26" s="625" t="inlineStr">
        <is>
          <t>N/A</t>
        </is>
      </c>
      <c r="J26" s="231" t="n"/>
      <c r="K26" s="625" t="n"/>
      <c r="L26" s="231" t="n"/>
      <c r="M26" s="625" t="n"/>
      <c r="N26" s="231" t="n"/>
    </row>
    <row r="27" ht="13.5" customHeight="1" s="545">
      <c r="B27" s="230" t="inlineStr">
        <is>
          <t>Expenditures After Sale</t>
        </is>
      </c>
      <c r="C27" s="612" t="inlineStr">
        <is>
          <t>N/A</t>
        </is>
      </c>
      <c r="D27" s="550" t="n"/>
      <c r="E27" s="625" t="inlineStr">
        <is>
          <t>N/A</t>
        </is>
      </c>
      <c r="F27" s="231" t="n"/>
      <c r="G27" s="625" t="inlineStr">
        <is>
          <t>N/A</t>
        </is>
      </c>
      <c r="H27" s="231" t="n"/>
      <c r="I27" s="625" t="inlineStr">
        <is>
          <t>N/A</t>
        </is>
      </c>
      <c r="J27" s="231" t="n"/>
      <c r="K27" s="625" t="n"/>
      <c r="L27" s="231" t="n"/>
      <c r="M27" s="625" t="n"/>
      <c r="N27" s="231" t="n"/>
    </row>
    <row r="28" ht="13.5" customHeight="1" s="545">
      <c r="B28" s="230" t="inlineStr">
        <is>
          <t>Market Conditions</t>
        </is>
      </c>
      <c r="C28" s="612" t="inlineStr">
        <is>
          <t>N/A</t>
        </is>
      </c>
      <c r="D28" s="550" t="n"/>
      <c r="E28" s="659" t="inlineStr">
        <is>
          <t>N/A</t>
        </is>
      </c>
      <c r="F28" s="231" t="n"/>
      <c r="G28" s="659" t="inlineStr">
        <is>
          <t>N/A</t>
        </is>
      </c>
      <c r="H28" s="231" t="n"/>
      <c r="I28" s="659" t="inlineStr">
        <is>
          <t>N/A</t>
        </is>
      </c>
      <c r="J28" s="231" t="n"/>
      <c r="K28" s="232" t="n"/>
      <c r="L28" s="231" t="n"/>
      <c r="M28" s="225" t="n"/>
      <c r="N28" s="231" t="n"/>
    </row>
    <row r="29" ht="15" customHeight="1" s="545">
      <c r="B29" s="647" t="inlineStr">
        <is>
          <t>Total Quantified Adjustment</t>
        </is>
      </c>
      <c r="C29" s="615" t="inlineStr">
        <is>
          <t>N/A</t>
        </is>
      </c>
      <c r="D29" s="611" t="n"/>
      <c r="E29" s="647" t="inlineStr">
        <is>
          <t>N/A</t>
        </is>
      </c>
      <c r="F29" s="611" t="n"/>
      <c r="G29" s="647" t="inlineStr">
        <is>
          <t>N/A</t>
        </is>
      </c>
      <c r="H29" s="611" t="n"/>
      <c r="I29" s="647" t="inlineStr">
        <is>
          <t>N/A</t>
        </is>
      </c>
      <c r="J29" s="611" t="n"/>
      <c r="K29" s="615" t="inlineStr">
        <is>
          <t>N/A</t>
        </is>
      </c>
      <c r="L29" s="611" t="n"/>
      <c r="M29" s="613" t="n"/>
      <c r="N29" s="611" t="n"/>
    </row>
    <row r="30" ht="15" customHeight="1" s="545">
      <c r="B30" s="647" t="inlineStr">
        <is>
          <t>Quantitatively Adjusted Price ($/SF)</t>
        </is>
      </c>
      <c r="C30" s="615" t="inlineStr">
        <is>
          <t>N/A</t>
        </is>
      </c>
      <c r="D30" s="611" t="n"/>
      <c r="E30" s="662">
        <f>E22</f>
        <v/>
      </c>
      <c r="F30" s="611" t="n"/>
      <c r="G30" s="662">
        <f>G22</f>
        <v/>
      </c>
      <c r="H30" s="611" t="n"/>
      <c r="I30" s="662">
        <f>I22</f>
        <v/>
      </c>
      <c r="J30" s="611" t="n"/>
      <c r="K30" s="615" t="inlineStr">
        <is>
          <t>N/A</t>
        </is>
      </c>
      <c r="L30" s="611" t="n"/>
      <c r="M30" s="610" t="n"/>
      <c r="N30" s="611" t="n"/>
    </row>
    <row r="31" ht="15" customHeight="1" s="545">
      <c r="B31" s="618" t="inlineStr">
        <is>
          <t>QUALITATIVE ADJUSTMENTS</t>
        </is>
      </c>
    </row>
    <row r="32" ht="13.5" customHeight="1" s="545">
      <c r="B32" s="230" t="inlineStr">
        <is>
          <t>Location</t>
        </is>
      </c>
      <c r="C32" s="625" t="inlineStr">
        <is>
          <t>Good</t>
        </is>
      </c>
      <c r="D32" s="550" t="n"/>
      <c r="E32" s="665" t="n">
        <v>0.1</v>
      </c>
      <c r="F32" s="231" t="n"/>
      <c r="G32" s="665" t="n">
        <v>0</v>
      </c>
      <c r="H32" s="231" t="n"/>
      <c r="I32" s="665" t="n">
        <v>0</v>
      </c>
      <c r="J32" s="231" t="n"/>
      <c r="K32" s="625" t="n"/>
      <c r="L32" s="231" t="n"/>
      <c r="M32" s="625" t="n"/>
      <c r="N32" s="231" t="n"/>
    </row>
    <row r="33" hidden="1" ht="13.5" customHeight="1" s="545">
      <c r="B33" s="217" t="inlineStr">
        <is>
          <t>Distance from Subject</t>
        </is>
      </c>
      <c r="C33" s="612" t="inlineStr">
        <is>
          <t>N/A</t>
        </is>
      </c>
      <c r="D33" s="550" t="n"/>
      <c r="E33" s="625" t="n"/>
      <c r="F33" s="218" t="n"/>
      <c r="G33" s="625" t="n"/>
      <c r="H33" s="218" t="n"/>
      <c r="I33" s="625" t="n"/>
      <c r="J33" s="218" t="n"/>
      <c r="K33" s="625" t="n"/>
      <c r="L33" s="218" t="n"/>
      <c r="M33" s="625" t="n"/>
      <c r="N33" s="218" t="n"/>
    </row>
    <row r="34" hidden="1" ht="48" customHeight="1" s="545">
      <c r="B34" s="217" t="inlineStr">
        <is>
          <t>Surrounding Land Uses</t>
        </is>
      </c>
      <c r="C34" s="609" t="inlineStr">
        <is>
          <t>Industrial / distribution - large-format big-box development along the Quintero St / I-76 / E-470 corridor</t>
        </is>
      </c>
      <c r="D34" s="550" t="n"/>
      <c r="E34" s="224" t="n"/>
      <c r="F34" s="218" t="n"/>
      <c r="G34" s="224" t="n"/>
      <c r="H34" s="218" t="n"/>
      <c r="I34" s="224" t="n"/>
      <c r="J34" s="218" t="n"/>
      <c r="K34" s="224" t="n"/>
      <c r="L34" s="218" t="n"/>
      <c r="M34" s="224" t="n"/>
      <c r="N34" s="218" t="n"/>
    </row>
    <row r="35" hidden="1" ht="48" customHeight="1" s="545">
      <c r="B35" s="217" t="inlineStr">
        <is>
          <t>Quality / Condition of Surrounding Area</t>
        </is>
      </c>
      <c r="C35" s="609" t="inlineStr">
        <is>
          <t>Good</t>
        </is>
      </c>
      <c r="D35" s="550" t="n"/>
      <c r="E35" s="224" t="n"/>
      <c r="F35" s="218" t="n"/>
      <c r="G35" s="224" t="n"/>
      <c r="H35" s="218" t="n"/>
      <c r="I35" s="224" t="n"/>
      <c r="J35" s="218" t="n"/>
      <c r="K35" s="224" t="n"/>
      <c r="L35" s="218" t="n"/>
      <c r="M35" s="224" t="n"/>
      <c r="N35" s="218" t="n"/>
    </row>
    <row r="36" hidden="1" ht="13.5" customHeight="1" s="545">
      <c r="B36" s="217" t="inlineStr">
        <is>
          <t>Access to Commercial Services / Amenities</t>
        </is>
      </c>
      <c r="C36" s="612" t="inlineStr">
        <is>
          <t>Good - proximity to I-76, E-470 and Denver International Airport</t>
        </is>
      </c>
      <c r="D36" s="550" t="n"/>
      <c r="E36" s="625" t="n"/>
      <c r="F36" s="218" t="n"/>
      <c r="G36" s="625" t="n"/>
      <c r="H36" s="218" t="n"/>
      <c r="I36" s="625" t="n"/>
      <c r="J36" s="218" t="n"/>
      <c r="K36" s="625" t="n"/>
      <c r="L36" s="218" t="n"/>
      <c r="M36" s="625" t="n"/>
      <c r="N36" s="218" t="n"/>
    </row>
    <row r="37" hidden="1" ht="48" customHeight="1" s="545">
      <c r="B37" s="217" t="inlineStr">
        <is>
          <t>Visibility / Access</t>
        </is>
      </c>
      <c r="C37" s="609" t="inlineStr">
        <is>
          <t>Good - frontage and access from Quintero Street with signalized access into the DIA Tech Center park</t>
        </is>
      </c>
      <c r="D37" s="550" t="n"/>
      <c r="E37" s="224" t="n"/>
      <c r="F37" s="218" t="n"/>
      <c r="G37" s="224" t="n"/>
      <c r="H37" s="218" t="n"/>
      <c r="I37" s="224" t="n"/>
      <c r="J37" s="218" t="n"/>
      <c r="K37" s="224" t="n"/>
      <c r="L37" s="218" t="n"/>
      <c r="M37" s="224" t="n"/>
      <c r="N37" s="218" t="n"/>
    </row>
    <row r="38" hidden="1" ht="48" customHeight="1" s="545">
      <c r="B38" s="217" t="inlineStr">
        <is>
          <t>Description</t>
        </is>
      </c>
      <c r="C38" s="609" t="inlineStr">
        <is>
          <t>Established, actively-developing big-box industrial/distribution submarket in Commerce City. Adjacent parcels within the same DIA Tech Center filing are held by the same sponsor/owner group. Heavy trucking access.</t>
        </is>
      </c>
      <c r="D38" s="550" t="n"/>
      <c r="E38" s="224" t="n"/>
      <c r="F38" s="218" t="n"/>
      <c r="G38" s="224" t="n"/>
      <c r="H38" s="218" t="n"/>
      <c r="I38" s="224" t="n"/>
      <c r="J38" s="218" t="n"/>
      <c r="K38" s="224" t="n"/>
      <c r="L38" s="218" t="n"/>
      <c r="M38" s="224" t="n"/>
      <c r="N38" s="218" t="n"/>
    </row>
    <row r="39" ht="13.5" customHeight="1" s="545">
      <c r="B39" s="230" t="inlineStr">
        <is>
          <t>Site Size (SF)</t>
        </is>
      </c>
      <c r="C39" s="623">
        <f>IFERROR(C18,"")</f>
        <v/>
      </c>
      <c r="D39" s="550" t="n"/>
      <c r="E39" s="665" t="n">
        <v>0</v>
      </c>
      <c r="F39" s="231" t="n"/>
      <c r="G39" s="665" t="n">
        <v>0</v>
      </c>
      <c r="H39" s="231" t="n"/>
      <c r="I39" s="665" t="n">
        <v>0</v>
      </c>
      <c r="J39" s="231" t="n"/>
      <c r="K39" s="222" t="n"/>
      <c r="L39" s="231" t="n"/>
      <c r="M39" s="222" t="n"/>
      <c r="N39" s="231" t="n"/>
    </row>
    <row r="40" ht="13.5" customHeight="1" s="545">
      <c r="B40" s="230" t="inlineStr">
        <is>
          <t>Zoning</t>
        </is>
      </c>
      <c r="C40" s="612">
        <f>IFERROR(C20,"")</f>
        <v/>
      </c>
      <c r="D40" s="550" t="n"/>
      <c r="E40" s="665" t="n">
        <v>0</v>
      </c>
      <c r="F40" s="231" t="n"/>
      <c r="G40" s="665" t="n">
        <v>0</v>
      </c>
      <c r="H40" s="231" t="n"/>
      <c r="I40" s="665" t="n">
        <v>0</v>
      </c>
      <c r="J40" s="231" t="n"/>
      <c r="K40" s="225" t="n"/>
      <c r="L40" s="231" t="n"/>
      <c r="M40" s="625" t="n"/>
      <c r="N40" s="231" t="n"/>
    </row>
    <row r="41" ht="13.5" customHeight="1" s="545">
      <c r="B41" s="230" t="inlineStr">
        <is>
          <t>Utilities / Infrastructure</t>
        </is>
      </c>
      <c r="C41" s="612" t="inlineStr">
        <is>
          <t>Good</t>
        </is>
      </c>
      <c r="D41" s="550" t="n"/>
      <c r="E41" s="665" t="n">
        <v>0</v>
      </c>
      <c r="F41" s="231" t="n"/>
      <c r="G41" s="665" t="n">
        <v>0</v>
      </c>
      <c r="H41" s="231" t="n"/>
      <c r="I41" s="665" t="n">
        <v>0</v>
      </c>
      <c r="J41" s="231" t="n"/>
      <c r="K41" s="625" t="n"/>
      <c r="L41" s="231" t="n"/>
      <c r="M41" s="625" t="n"/>
      <c r="N41" s="231" t="n"/>
    </row>
    <row r="42" hidden="1" ht="48" customHeight="1" s="545">
      <c r="B42" s="217" t="inlineStr">
        <is>
          <t>Water / Sewer</t>
        </is>
      </c>
      <c r="C42" s="609" t="inlineStr">
        <is>
          <t>Available - municipal services</t>
        </is>
      </c>
      <c r="D42" s="550" t="n"/>
      <c r="E42" s="224" t="n"/>
      <c r="F42" s="218" t="n"/>
      <c r="G42" s="224" t="n"/>
      <c r="H42" s="218" t="n"/>
      <c r="I42" s="224" t="n"/>
      <c r="J42" s="218" t="n"/>
      <c r="K42" s="224" t="n"/>
      <c r="L42" s="218" t="n"/>
      <c r="M42" s="224" t="n"/>
      <c r="N42" s="218" t="n"/>
    </row>
    <row r="43" hidden="1" ht="48" customHeight="1" s="545">
      <c r="B43" s="217" t="inlineStr">
        <is>
          <t>Electricity / Gas</t>
        </is>
      </c>
      <c r="C43" s="609" t="inlineStr">
        <is>
          <t>Available - Xcel Energy</t>
        </is>
      </c>
      <c r="D43" s="550" t="n"/>
      <c r="E43" s="224" t="n"/>
      <c r="F43" s="218" t="n"/>
      <c r="G43" s="224" t="n"/>
      <c r="H43" s="218" t="n"/>
      <c r="I43" s="224" t="n"/>
      <c r="J43" s="218" t="n"/>
      <c r="K43" s="224" t="n"/>
      <c r="L43" s="218" t="n"/>
      <c r="M43" s="224" t="n"/>
      <c r="N43" s="218" t="n"/>
    </row>
    <row r="44" hidden="1" ht="48" customHeight="1" s="545">
      <c r="B44" s="217" t="inlineStr">
        <is>
          <t>Other Utilities</t>
        </is>
      </c>
      <c r="C44" s="609" t="inlineStr">
        <is>
          <t>All available</t>
        </is>
      </c>
      <c r="D44" s="550" t="n"/>
      <c r="E44" s="224" t="n"/>
      <c r="F44" s="218" t="n"/>
      <c r="G44" s="224" t="n"/>
      <c r="H44" s="218" t="n"/>
      <c r="I44" s="224" t="n"/>
      <c r="J44" s="218" t="n"/>
      <c r="K44" s="224" t="n"/>
      <c r="L44" s="218" t="n"/>
      <c r="M44" s="224" t="n"/>
      <c r="N44" s="218" t="n"/>
    </row>
    <row r="45" ht="13.5" customHeight="1" s="545">
      <c r="B45" s="230" t="inlineStr">
        <is>
          <t>Site Utility</t>
        </is>
      </c>
      <c r="C45" s="612" t="inlineStr">
        <is>
          <t>Good - large, flat, functional parcel for big-box distribution development</t>
        </is>
      </c>
      <c r="D45" s="550" t="n"/>
      <c r="E45" s="665" t="n">
        <v>0</v>
      </c>
      <c r="F45" s="231" t="n"/>
      <c r="G45" s="665" t="n">
        <v>0</v>
      </c>
      <c r="H45" s="231" t="n"/>
      <c r="I45" s="665" t="n">
        <v>0</v>
      </c>
      <c r="J45" s="231" t="n"/>
      <c r="K45" s="625" t="n"/>
      <c r="L45" s="231" t="n"/>
      <c r="M45" s="625" t="n"/>
      <c r="N45" s="231" t="n"/>
    </row>
    <row r="46" hidden="1" ht="13.5" customHeight="1" s="545">
      <c r="B46" s="217" t="inlineStr">
        <is>
          <t>Site Shape</t>
        </is>
      </c>
      <c r="C46" s="612" t="inlineStr">
        <is>
          <t>Generally rectangular / functional for a large single-building distribution footprint</t>
        </is>
      </c>
      <c r="D46" s="550" t="n"/>
      <c r="E46" s="625" t="n"/>
      <c r="F46" s="218" t="n"/>
      <c r="G46" s="625" t="n"/>
      <c r="H46" s="218" t="n"/>
      <c r="I46" s="625" t="n"/>
      <c r="J46" s="218" t="n"/>
      <c r="K46" s="625" t="n"/>
      <c r="L46" s="218" t="n"/>
      <c r="M46" s="625" t="n"/>
      <c r="N46" s="218" t="n"/>
    </row>
    <row r="47" hidden="1" ht="13.5" customHeight="1" s="545">
      <c r="B47" s="217" t="inlineStr">
        <is>
          <t>Topography</t>
        </is>
      </c>
      <c r="C47" s="612" t="inlineStr">
        <is>
          <t>Generally level</t>
        </is>
      </c>
      <c r="D47" s="550" t="n"/>
      <c r="E47" s="625" t="n"/>
      <c r="F47" s="218" t="n"/>
      <c r="G47" s="625" t="n"/>
      <c r="H47" s="218" t="n"/>
      <c r="I47" s="625" t="n"/>
      <c r="J47" s="218" t="n"/>
      <c r="K47" s="625" t="n"/>
      <c r="L47" s="218" t="n"/>
      <c r="M47" s="625" t="n"/>
      <c r="N47" s="218" t="n"/>
    </row>
    <row r="48" hidden="1" ht="48" customHeight="1" s="545">
      <c r="B48" s="217" t="inlineStr">
        <is>
          <t>Easements / Encroachments / Obstructions</t>
        </is>
      </c>
      <c r="C48" s="609" t="inlineStr">
        <is>
          <t>None known</t>
        </is>
      </c>
      <c r="D48" s="550" t="n"/>
      <c r="E48" s="224" t="n"/>
      <c r="F48" s="218" t="n"/>
      <c r="G48" s="224" t="n"/>
      <c r="H48" s="218" t="n"/>
      <c r="I48" s="224" t="n"/>
      <c r="J48" s="218" t="n"/>
      <c r="K48" s="224" t="n"/>
      <c r="L48" s="218" t="n"/>
      <c r="M48" s="224" t="n"/>
      <c r="N48" s="218" t="n"/>
    </row>
    <row r="49" hidden="1" ht="48" customHeight="1" s="545">
      <c r="B49" s="217" t="inlineStr">
        <is>
          <t>Other</t>
        </is>
      </c>
      <c r="C49" s="609" t="inlineStr">
        <is>
          <t>None</t>
        </is>
      </c>
      <c r="D49" s="550" t="n"/>
      <c r="E49" s="224" t="n"/>
      <c r="F49" s="218" t="n"/>
      <c r="G49" s="224" t="n"/>
      <c r="H49" s="218" t="n"/>
      <c r="I49" s="224" t="n"/>
      <c r="J49" s="218" t="n"/>
      <c r="K49" s="224" t="n"/>
      <c r="L49" s="218" t="n"/>
      <c r="M49" s="224" t="n"/>
      <c r="N49" s="218" t="n"/>
    </row>
    <row r="50" ht="15" customHeight="1" s="545">
      <c r="B50" s="647" t="inlineStr">
        <is>
          <t>Total Non-Quantified Adjustment</t>
        </is>
      </c>
      <c r="C50" s="615" t="inlineStr">
        <is>
          <t>N/A</t>
        </is>
      </c>
      <c r="D50" s="611" t="n"/>
      <c r="E50" s="666">
        <f>SUM(E32:E45)</f>
        <v/>
      </c>
      <c r="F50" s="611" t="n"/>
      <c r="G50" s="666">
        <f>SUM(G32:G45)</f>
        <v/>
      </c>
      <c r="H50" s="611" t="n"/>
      <c r="I50" s="666">
        <f>SUM(I32:I45)</f>
        <v/>
      </c>
      <c r="J50" s="611" t="n"/>
      <c r="K50" s="615" t="inlineStr">
        <is>
          <t>N/A</t>
        </is>
      </c>
      <c r="L50" s="611" t="n"/>
      <c r="M50" s="613" t="n"/>
      <c r="N50" s="611" t="n"/>
    </row>
    <row r="51" ht="15" customHeight="1" s="545">
      <c r="B51" s="647" t="inlineStr">
        <is>
          <t>Indication for Subject ($/SF)</t>
        </is>
      </c>
      <c r="C51" s="615" t="inlineStr">
        <is>
          <t>N/A</t>
        </is>
      </c>
      <c r="D51" s="611" t="n"/>
      <c r="E51" s="662">
        <f>E30+(E50*E30)</f>
        <v/>
      </c>
      <c r="F51" s="611" t="n"/>
      <c r="G51" s="662">
        <f>G30+(G30*G50)</f>
        <v/>
      </c>
      <c r="H51" s="611" t="n"/>
      <c r="I51" s="662">
        <f>I30+(I30*I50)</f>
        <v/>
      </c>
      <c r="J51" s="611" t="n"/>
      <c r="K51" s="615" t="inlineStr">
        <is>
          <t>N/A</t>
        </is>
      </c>
      <c r="L51" s="611" t="n"/>
      <c r="M51" s="610" t="n"/>
      <c r="N51" s="611" t="n"/>
    </row>
    <row r="53" ht="16.5" customHeight="1" s="545">
      <c r="B53" s="616" t="inlineStr">
        <is>
          <t>ADJUSTED RANGE - INDICATED $/SF</t>
        </is>
      </c>
    </row>
    <row r="54" ht="12" customHeight="1" s="545">
      <c r="B54" s="3" t="inlineStr">
        <is>
          <t>Low</t>
        </is>
      </c>
      <c r="C54" s="619">
        <f>IFERROR(MIN(E51,G51,I51,K51,M51),"")</f>
        <v/>
      </c>
      <c r="D54" s="550" t="n"/>
      <c r="E54" s="550" t="n"/>
      <c r="F54" s="550" t="n"/>
    </row>
    <row r="55" ht="12" customHeight="1" s="545">
      <c r="B55" s="3" t="inlineStr">
        <is>
          <t>High</t>
        </is>
      </c>
      <c r="C55" s="619">
        <f>IFERROR(MAX(E51,G51,I51,K51,M51),"")</f>
        <v/>
      </c>
      <c r="D55" s="550" t="n"/>
      <c r="E55" s="550" t="n"/>
      <c r="F55" s="550" t="n"/>
    </row>
    <row r="56" ht="12" customHeight="1" s="545">
      <c r="B56" s="3" t="inlineStr">
        <is>
          <t>Average</t>
        </is>
      </c>
      <c r="C56" s="619">
        <f>IFERROR(AVERAGE(E51,G51,I51,K51,M51),"")</f>
        <v/>
      </c>
      <c r="D56" s="550" t="n"/>
      <c r="E56" s="550" t="n"/>
      <c r="F56" s="550" t="n"/>
    </row>
    <row r="57" ht="12" customHeight="1" s="545">
      <c r="B57" s="3" t="inlineStr">
        <is>
          <t>Median</t>
        </is>
      </c>
      <c r="C57" s="619">
        <f>IFERROR(MEDIAN(E51,G51,I51,K51,M51),"")</f>
        <v/>
      </c>
      <c r="D57" s="550" t="n"/>
      <c r="E57" s="550" t="n"/>
      <c r="F57" s="550" t="n"/>
    </row>
    <row r="59" ht="16.5" customHeight="1" s="545">
      <c r="B59" s="616" t="inlineStr">
        <is>
          <t>VALUE CONCLUSION - UNDERLYING LAND AREA</t>
        </is>
      </c>
    </row>
    <row r="60" ht="15" customHeight="1" s="545">
      <c r="B60" s="643" t="inlineStr">
        <is>
          <t>Indicated Value per SF</t>
        </is>
      </c>
      <c r="C60" s="626" t="n">
        <v>6.5</v>
      </c>
      <c r="D60" s="550" t="n"/>
      <c r="E60" s="550" t="n"/>
      <c r="F60" s="550" t="n"/>
    </row>
    <row r="61" ht="15" customHeight="1" s="545">
      <c r="B61" s="643" t="inlineStr">
        <is>
          <t>Land Area (SF)</t>
        </is>
      </c>
      <c r="C61" s="608">
        <f>C18</f>
        <v/>
      </c>
      <c r="D61" s="550" t="n"/>
      <c r="E61" s="550" t="n"/>
      <c r="F61" s="550" t="n"/>
    </row>
    <row r="62" ht="15" customHeight="1" s="545">
      <c r="B62" s="643" t="inlineStr">
        <is>
          <t>Indicated Land Value</t>
        </is>
      </c>
      <c r="C62" s="614">
        <f>C60*C61</f>
        <v/>
      </c>
      <c r="D62" s="550" t="n"/>
      <c r="E62" s="550" t="n"/>
      <c r="F62" s="550" t="n"/>
    </row>
    <row r="63" ht="15" customHeight="1" s="545">
      <c r="B63" s="643" t="inlineStr">
        <is>
          <t>Rounding Increment</t>
        </is>
      </c>
      <c r="C63" s="620" t="n">
        <v>25000</v>
      </c>
      <c r="D63" s="550" t="n"/>
      <c r="E63" s="550" t="n"/>
      <c r="F63" s="550" t="n"/>
    </row>
    <row r="64" ht="15" customHeight="1" s="545">
      <c r="B64" s="239" t="inlineStr">
        <is>
          <t>CONCLUDED LAND VALUE (rounded)</t>
        </is>
      </c>
      <c r="C64" s="617">
        <f>ROUND(C62/C63,0)*C63</f>
        <v/>
      </c>
      <c r="D64" s="611" t="n"/>
      <c r="E64" s="611" t="n"/>
      <c r="F64" s="611" t="n"/>
    </row>
    <row r="65" ht="15" customHeight="1" s="545">
      <c r="B65" s="239" t="inlineStr">
        <is>
          <t xml:space="preserve">   per SF of land area</t>
        </is>
      </c>
      <c r="C65" s="610">
        <f>IFERROR(C64/C61,"")</f>
        <v/>
      </c>
      <c r="D65" s="611" t="n"/>
      <c r="E65" s="611" t="n"/>
      <c r="F65" s="611" t="n"/>
    </row>
    <row r="67" ht="33.75" customHeight="1" s="545">
      <c r="B67" s="548" t="inlineStr">
        <is>
          <t>NO THIRD-PARTY LAND SALES WERE IN THE ASSIGNMENT RECORD, so the comparable columns are blank. The subject's own 38.81-acre site (1,690,564 SF) sold as raw land on 4/4/2018 for $5,821,500 ($3.44/SF), per the Assessor's Sales Summary (Reception No. 2018000027715, Grantor DIA Tech Center LLC). The appraiser's field notes trend that price forward at 1.00%/month compounded to $12,156,724 ($7.19/SF) as a rough time-adjusted upper reference. The Assessor's own land allocation is $10,988,663 on 1,690,563.60 SF - $6.50/SF - which sits comfortably below that trended figure and is adopted here as the concluded rate. Before the hearing, support this rate with actual vacant industrial land sales in the Commerce City / DIA Tech Center submarket rather than relying solely on the subject's own dated 2018 purchase. The CONCLUDED LAND VALUE feeds Cost Approach!G67.</t>
        </is>
      </c>
    </row>
  </sheetData>
  <mergeCells count="89">
    <mergeCell ref="C61:F61"/>
    <mergeCell ref="C15:D15"/>
    <mergeCell ref="E51:F51"/>
    <mergeCell ref="C41:D41"/>
    <mergeCell ref="K50:L50"/>
    <mergeCell ref="C62:F62"/>
    <mergeCell ref="C50:D50"/>
    <mergeCell ref="B53:F53"/>
    <mergeCell ref="C43:D43"/>
    <mergeCell ref="C64:F64"/>
    <mergeCell ref="B31:N31"/>
    <mergeCell ref="C27:D27"/>
    <mergeCell ref="C36:D36"/>
    <mergeCell ref="C54:F54"/>
    <mergeCell ref="C63:F63"/>
    <mergeCell ref="C17:D17"/>
    <mergeCell ref="C56:F56"/>
    <mergeCell ref="B23:N23"/>
    <mergeCell ref="C28:D28"/>
    <mergeCell ref="E22:F22"/>
    <mergeCell ref="M50:N50"/>
    <mergeCell ref="G22:H22"/>
    <mergeCell ref="I30:J30"/>
    <mergeCell ref="K30:L30"/>
    <mergeCell ref="C30:D30"/>
    <mergeCell ref="C5:D5"/>
    <mergeCell ref="E5:F5"/>
    <mergeCell ref="C14:D14"/>
    <mergeCell ref="C45:D45"/>
    <mergeCell ref="K51:L51"/>
    <mergeCell ref="C47:D47"/>
    <mergeCell ref="M51:N51"/>
    <mergeCell ref="C40:D40"/>
    <mergeCell ref="C8:D8"/>
    <mergeCell ref="B67:N67"/>
    <mergeCell ref="C18:D18"/>
    <mergeCell ref="C34:D34"/>
    <mergeCell ref="E50:F50"/>
    <mergeCell ref="B59:F59"/>
    <mergeCell ref="K5:L5"/>
    <mergeCell ref="M5:N5"/>
    <mergeCell ref="C57:F57"/>
    <mergeCell ref="C20:D20"/>
    <mergeCell ref="K29:L29"/>
    <mergeCell ref="C29:D29"/>
    <mergeCell ref="E29:F29"/>
    <mergeCell ref="C44:D44"/>
    <mergeCell ref="C22:D22"/>
    <mergeCell ref="C12:D12"/>
    <mergeCell ref="C46:D46"/>
    <mergeCell ref="C21:D21"/>
    <mergeCell ref="C51:D51"/>
    <mergeCell ref="C65:F65"/>
    <mergeCell ref="C48:D48"/>
    <mergeCell ref="G51:H51"/>
    <mergeCell ref="I51:J51"/>
    <mergeCell ref="C38:D38"/>
    <mergeCell ref="C32:D32"/>
    <mergeCell ref="M29:N29"/>
    <mergeCell ref="C7:D7"/>
    <mergeCell ref="G50:H50"/>
    <mergeCell ref="I50:J50"/>
    <mergeCell ref="C60:F60"/>
    <mergeCell ref="C49:D49"/>
    <mergeCell ref="C24:D24"/>
    <mergeCell ref="C33:D33"/>
    <mergeCell ref="C42:D42"/>
    <mergeCell ref="C26:D26"/>
    <mergeCell ref="C35:D35"/>
    <mergeCell ref="C10:D10"/>
    <mergeCell ref="C16:D16"/>
    <mergeCell ref="C25:D25"/>
    <mergeCell ref="B4:N4"/>
    <mergeCell ref="I22:J22"/>
    <mergeCell ref="C9:D9"/>
    <mergeCell ref="K22:L22"/>
    <mergeCell ref="M22:N22"/>
    <mergeCell ref="M30:N30"/>
    <mergeCell ref="E30:F30"/>
    <mergeCell ref="G30:H30"/>
    <mergeCell ref="C11:D11"/>
    <mergeCell ref="G5:H5"/>
    <mergeCell ref="I5:J5"/>
    <mergeCell ref="C55:F55"/>
    <mergeCell ref="C39:D39"/>
    <mergeCell ref="G29:H29"/>
    <mergeCell ref="I29:J29"/>
    <mergeCell ref="C37:D37"/>
    <mergeCell ref="C13:D13"/>
  </mergeCells>
  <printOptions horizontalCentered="1"/>
  <pageMargins left="0.4" right="0.4" top="0.5" bottom="0.5" header="0.511811023622047" footer="0.511811023622047"/>
  <pageSetup orientation="landscape" fitToHeight="0" horizontalDpi="300" verticalDpi="300"/>
</worksheet>
</file>

<file path=xl/worksheets/sheet13.xml><?xml version="1.0" encoding="utf-8"?>
<worksheet xmlns="http://schemas.openxmlformats.org/spreadsheetml/2006/main">
  <sheetPr>
    <tabColor rgb="FF0E7490"/>
    <outlinePr summaryBelow="1" summaryRight="1"/>
    <pageSetUpPr/>
  </sheetPr>
  <dimension ref="A1:U542"/>
  <sheetViews>
    <sheetView showGridLines="0" tabSelected="1" zoomScaleNormal="100" workbookViewId="0">
      <pane xSplit="2" ySplit="2" topLeftCell="C41" activePane="bottomRight" state="frozen"/>
      <selection pane="topRight" activeCell="C1" sqref="C1"/>
      <selection pane="bottomLeft" activeCell="A34" sqref="A34"/>
      <selection pane="bottomRight" activeCell="G67" sqref="G67"/>
    </sheetView>
  </sheetViews>
  <sheetFormatPr baseColWidth="8" defaultColWidth="10.28515625" defaultRowHeight="12"/>
  <cols>
    <col width="2.28515625" customWidth="1" style="545" min="1" max="1"/>
    <col width="59.28515625" customWidth="1" style="545" min="2" max="2"/>
    <col width="45.42578125" customWidth="1" style="545" min="3" max="3"/>
    <col width="9.140625" customWidth="1" style="545" min="4" max="4"/>
    <col width="4.5703125" customWidth="1" style="545" min="5" max="5"/>
    <col width="18" customWidth="1" style="545" min="6" max="6"/>
    <col width="21.7109375" customWidth="1" style="545" min="7" max="7"/>
    <col width="3.42578125" customWidth="1" style="545" min="8" max="8"/>
    <col width="59.28515625" customWidth="1" style="545" min="9" max="9"/>
    <col width="10.42578125" customWidth="1" style="545" min="10" max="10"/>
    <col width="20.7109375" customWidth="1" style="545" min="11" max="11"/>
    <col width="18" customWidth="1" style="545" min="12" max="12"/>
    <col width="9.85546875" customWidth="1" style="545" min="13" max="13"/>
    <col width="18" customWidth="1" style="545" min="14" max="15"/>
    <col width="4.42578125" customWidth="1" style="545" min="16" max="16"/>
    <col width="46" customWidth="1" style="545" min="17" max="17"/>
    <col width="15" customWidth="1" style="545" min="18" max="18"/>
    <col width="8.7109375" customWidth="1" style="545" min="19" max="19"/>
    <col width="18" customWidth="1" style="545" min="20" max="20"/>
    <col width="10.42578125" customWidth="1" style="545" min="22" max="22"/>
    <col width="10.42578125" customWidth="1" style="545" min="24" max="24"/>
  </cols>
  <sheetData>
    <row r="1" ht="31.5" customHeight="1" s="545">
      <c r="A1" s="241" t="n"/>
      <c r="B1" s="242" t="inlineStr">
        <is>
          <t>COST APPROACH -- MVS Calculator</t>
        </is>
      </c>
      <c r="I1" s="243" t="n"/>
    </row>
    <row r="2" ht="27.75" customHeight="1" s="545">
      <c r="B2" s="546" t="inlineStr">
        <is>
          <t>Fill in the yellow cells only (Steps 1-3 below, plus the site-improvement/depreciation line items further down). Everything else calculates automatically from the MVS reference tables on the 'M&amp;S Inputs' tab. THE SUBJECT IS A SINGLE BUILDING (540,800 SF Mega Warehouse, OCC 584), so the indicated value at the bottom of this sheet is computed directly on this tab (row 69 uses G64+G67 because Subj_NumBldgs=1); the 'Cost Approach MB' tab is not used for this subject and is left informational only.</t>
        </is>
      </c>
      <c r="Q2" s="244" t="n"/>
      <c r="R2" s="244" t="n"/>
    </row>
    <row r="3" ht="12.75" customHeight="1" s="545">
      <c r="B3" s="245" t="inlineStr">
        <is>
          <t>STEP 1 -- BUILDING IDENTIFICATION</t>
        </is>
      </c>
      <c r="C3" s="246" t="n"/>
      <c r="D3" s="246" t="n"/>
      <c r="E3" s="246" t="n"/>
      <c r="F3" s="246" t="n"/>
      <c r="G3" s="246" t="n"/>
      <c r="Q3" s="244" t="n"/>
    </row>
    <row r="4" ht="21" customHeight="1" s="545">
      <c r="B4" s="653" t="inlineStr">
        <is>
          <t>Occupancy Type</t>
        </is>
      </c>
      <c r="C4" s="248">
        <f>IF(Subj_OccCode="","Storage Warehouses",IFERROR(INDEX(OCCMAP_NAME,MATCH(Subj_OccCode,OCCMAP_CODE,0)),"No MVS cost table for OCC "&amp;Subj_OccCode&amp;" -- select manually or use the Manual Override below"))</f>
        <v/>
      </c>
      <c r="D4" s="249" t="n"/>
      <c r="E4" s="249" t="n"/>
      <c r="F4" s="249" t="n"/>
      <c r="G4" s="249" t="n"/>
      <c r="I4" s="250" t="inlineStr">
        <is>
          <t>Choose the occupancy that best matches the subject improvement.</t>
        </is>
      </c>
    </row>
    <row r="5" ht="12" customHeight="1" s="545">
      <c r="B5" s="251" t="inlineStr">
        <is>
          <t>Occupancy Code / Section / Page (auto)</t>
        </is>
      </c>
      <c r="C5" s="252">
        <f>IFERROR(INDEX(OCC_CODE,MATCH($C$4,OCC_NAME,0))&amp;"  |  MVS Sec. "&amp;INDEX(OCC_SECTION,MATCH($C$4,OCC_NAME,0))&amp;" p."&amp;INDEX(OCC_PAGE,MATCH($C$4,OCC_NAME,0)),"")</f>
        <v/>
      </c>
      <c r="D5" s="244" t="n"/>
      <c r="E5" s="244" t="n"/>
      <c r="F5" s="244" t="n"/>
      <c r="G5" s="244" t="n"/>
      <c r="J5" s="244" t="n"/>
      <c r="K5" s="244" t="n"/>
      <c r="L5" s="244" t="n"/>
      <c r="M5" s="244" t="n"/>
    </row>
    <row r="6" ht="15.75" customHeight="1" s="545">
      <c r="B6" s="253" t="inlineStr">
        <is>
          <t>Building Class</t>
        </is>
      </c>
      <c r="C6" s="254" t="inlineStr">
        <is>
          <t>C</t>
        </is>
      </c>
      <c r="D6" s="244" t="n"/>
      <c r="E6" s="244" t="n"/>
      <c r="F6" s="244" t="n"/>
      <c r="G6" s="244" t="n"/>
      <c r="I6" s="250"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244" t="n"/>
      <c r="K6" s="244" t="n"/>
      <c r="L6" s="244" t="n"/>
      <c r="M6" s="244" t="n"/>
    </row>
    <row r="7" ht="18" customHeight="1" s="545">
      <c r="B7" s="253" t="inlineStr">
        <is>
          <t>Quality</t>
        </is>
      </c>
      <c r="C7" s="49" t="inlineStr">
        <is>
          <t>Average</t>
        </is>
      </c>
      <c r="D7" s="244" t="n"/>
      <c r="E7" s="244" t="n"/>
      <c r="F7" s="244" t="n"/>
      <c r="G7" s="244" t="n"/>
      <c r="I7" s="250" t="inlineStr">
        <is>
          <t>Low Cost | Fair | Average | Good | Very Good | Excellent (some occupancies also use Cheap). Auto-fed from Subject Property Quality; pick a tier that exists for the chosen occupancy/class.</t>
        </is>
      </c>
      <c r="J7" s="244" t="n"/>
    </row>
    <row r="8" ht="31.5" customHeight="1" s="545">
      <c r="B8" s="253" t="inlineStr">
        <is>
          <t>City / Local Area (for Local Multiplier)</t>
        </is>
      </c>
      <c r="C8" s="49" t="inlineStr">
        <is>
          <t>Denver</t>
        </is>
      </c>
      <c r="D8" s="244" t="n"/>
      <c r="E8" s="244" t="n"/>
      <c r="F8" s="244" t="n"/>
      <c r="G8" s="244" t="n"/>
      <c r="I8" s="250" t="inlineStr">
        <is>
          <t>Adams County has no dedicated MVS line -- 'Denver' is the recommended proxy (nearest larger city, per MVS's own guidance); 'Colorado (statewide average)' is the fallback.</t>
        </is>
      </c>
    </row>
    <row r="9" ht="12" customHeight="1" s="545">
      <c r="B9" s="255" t="inlineStr">
        <is>
          <t>Resolved MVS Section (auto or manual override)</t>
        </is>
      </c>
      <c r="C9" s="256">
        <f>IF($C$83&lt;&gt;"",$C$83,IFERROR(INDEX(OCC_SECTION,MATCH($C$4,OCC_NAME,0)),""))</f>
        <v/>
      </c>
      <c r="D9" s="244" t="n"/>
      <c r="E9" s="244" t="n"/>
      <c r="F9" s="244" t="n"/>
      <c r="G9" s="244" t="n"/>
    </row>
    <row r="10" ht="12.75" customHeight="1" s="545">
      <c r="B10" s="257" t="inlineStr">
        <is>
          <t>STEP 2 -- SIZE, SHAPE &amp; SPRINKLER</t>
        </is>
      </c>
      <c r="C10" s="246" t="n"/>
      <c r="D10" s="258" t="n"/>
      <c r="E10" s="258" t="n"/>
      <c r="F10" s="258" t="n"/>
      <c r="G10" s="258" t="n"/>
    </row>
    <row r="11" ht="12" customHeight="1" s="545">
      <c r="B11" s="253" t="inlineStr">
        <is>
          <t>Avg Eave / Wall Height (ft)</t>
        </is>
      </c>
      <c r="C11" s="52" t="n">
        <v>40</v>
      </c>
      <c r="D11" s="244" t="n"/>
      <c r="E11" s="244" t="n"/>
      <c r="F11" s="244" t="n"/>
      <c r="G11" s="244" t="n"/>
      <c r="I11" t="inlineStr">
        <is>
          <t>Adams County Assessor Cost Details for R0194277 (07/24/2025 Cost Breakdown Sheet): 'Story Ht: 40'. Supersedes the earlier 36' assumption (based on a comparable's eave height) now that the Assessor's own field is confirmed usable -- at 40', the MVS Sec.14 story-height table (M&amp;S Inputs) resolves to 1.650, matching the Assessor's own stated 'Story Ht Mult: 1.6500' exactly.</t>
        </is>
      </c>
    </row>
    <row r="12" ht="31.5" customHeight="1" s="545">
      <c r="B12" s="253" t="inlineStr">
        <is>
          <t>Area/Perimeter Multiplier Factor 1</t>
        </is>
      </c>
      <c r="C12" s="259" t="n">
        <v>0.845</v>
      </c>
      <c r="D12" s="244" t="n"/>
      <c r="E12" s="244" t="n"/>
      <c r="F12" s="244" t="n"/>
      <c r="G12" s="244" t="n"/>
      <c r="I12" s="250" t="inlineStr">
        <is>
          <t>Adams County Assessor Cost Details for R0194277 (07/24/2025 Cost Breakdown Sheet): Perimeter 3,120 ft resolves to 'Perim Mult: 0.8450'. No MVS floor-area/perimeter bracket table is available on this workbook's M&amp;S Inputs tab for direct lookup, so both bracket cells are set to the Assessor's own resolved multiplier (average of C12:C13 = 0.845).</t>
        </is>
      </c>
    </row>
    <row r="13" ht="12" customHeight="1" s="545">
      <c r="B13" s="253" t="inlineStr">
        <is>
          <t>Area/Perimeter Multiplier Factor 2</t>
        </is>
      </c>
      <c r="C13" s="260" t="n">
        <v>0.845</v>
      </c>
      <c r="D13" s="244" t="n"/>
      <c r="E13" s="244" t="n"/>
      <c r="F13" s="244" t="n"/>
      <c r="G13" s="244" t="n"/>
    </row>
    <row r="14" ht="42" customHeight="1" s="545">
      <c r="B14" s="251" t="inlineStr">
        <is>
          <t>Sprinkler Quality Tier</t>
        </is>
      </c>
      <c r="C14" s="261" t="inlineStr">
        <is>
          <t>Average</t>
        </is>
      </c>
      <c r="D14" s="244" t="n"/>
      <c r="E14" s="244" t="n"/>
      <c r="F14" s="244" t="n"/>
      <c r="G14" s="244" t="n"/>
      <c r="I14" s="250" t="inlineStr">
        <is>
          <t>Independent of building quality -- set to match the actual sprinkler system grade. Wet-system cost auto-looked-up for Sections 11-16 &amp; 18; Section 17 (sheds/farm) has no MVS sprinkler table -- 0 is used.</t>
        </is>
      </c>
    </row>
    <row r="15" ht="12" customHeight="1" s="545">
      <c r="B15" s="262" t="n"/>
      <c r="C15" s="244" t="n"/>
      <c r="D15" s="244" t="n"/>
      <c r="E15" s="244" t="n"/>
      <c r="F15" s="244" t="n"/>
      <c r="G15" s="244" t="n"/>
    </row>
    <row r="16" ht="25.5" customHeight="1" s="545">
      <c r="B16" s="257" t="inlineStr">
        <is>
          <t>STEP 3 -- APPRAISAL DATE &amp; DE-TREND</t>
        </is>
      </c>
      <c r="C16" s="258" t="n"/>
      <c r="D16" s="258" t="n"/>
      <c r="E16" s="258" t="n"/>
      <c r="F16" s="258" t="n"/>
      <c r="G16" s="258" t="n"/>
    </row>
    <row r="17" ht="31.5" customHeight="1" s="545">
      <c r="B17" s="253" t="inlineStr">
        <is>
          <t>Appraisal / Level-of-Value Date</t>
        </is>
      </c>
      <c r="C17" s="263">
        <f>DATE(2024,6,30)</f>
        <v/>
      </c>
      <c r="D17" s="244" t="n"/>
      <c r="E17" s="244" t="n"/>
      <c r="F17" s="244" t="n"/>
      <c r="G17" s="244" t="n"/>
      <c r="I17" s="250" t="inlineStr">
        <is>
          <t>Colorado's biennial reassessment fixes this at the end of the statutory base period. Current cycle: 7/1/2022-6/30/2024, level of value = 6/30/2024. Update to 6/30/2025 next cycle.</t>
        </is>
      </c>
    </row>
    <row r="18" ht="42" customHeight="1" s="545">
      <c r="B18" s="253" t="inlineStr">
        <is>
          <t>Bracket Quarter - Earlier</t>
        </is>
      </c>
      <c r="C18" s="261" t="inlineStr">
        <is>
          <t>Apr 2024</t>
        </is>
      </c>
      <c r="D18" s="244" t="n"/>
      <c r="E18" s="244" t="n"/>
      <c r="F18" s="244" t="n"/>
      <c r="G18" s="244" t="n"/>
      <c r="I18" s="250" t="inlineStr">
        <is>
          <t>Pick the two MVS Sec.98 Denver index quarters that straddle the Appraisal Date above (see Denver Index table on M&amp;S Inputs). Rolls the Jan-2025-vintage multipliers below back to your actual valuation date.</t>
        </is>
      </c>
    </row>
    <row r="19" ht="12" customHeight="1" s="545">
      <c r="B19" s="253" t="inlineStr">
        <is>
          <t>Bracket Quarter - Later</t>
        </is>
      </c>
      <c r="C19" s="261" t="inlineStr">
        <is>
          <t>Jul 2024</t>
        </is>
      </c>
      <c r="D19" s="244" t="n"/>
      <c r="E19" s="244" t="n"/>
      <c r="F19" s="244" t="n"/>
      <c r="G19" s="244" t="n"/>
    </row>
    <row r="20" ht="12" customHeight="1" s="545">
      <c r="B20" s="264" t="n"/>
      <c r="C20" s="244" t="n"/>
      <c r="D20" s="244" t="n"/>
      <c r="E20" s="244" t="n"/>
      <c r="F20" s="244" t="n"/>
      <c r="G20" s="244" t="n"/>
    </row>
    <row r="21" ht="15.75" customHeight="1" s="545">
      <c r="B21" s="265" t="inlineStr">
        <is>
          <t>COST APPROACH SUMMARY</t>
        </is>
      </c>
      <c r="C21" s="266" t="n"/>
      <c r="D21" s="266" t="n"/>
      <c r="E21" s="266" t="n"/>
      <c r="F21" s="266" t="n"/>
      <c r="G21" s="266" t="n"/>
    </row>
    <row r="22" ht="12" customHeight="1" s="545">
      <c r="B22" s="267" t="inlineStr">
        <is>
          <t>Replacement Cost New (RCN)</t>
        </is>
      </c>
      <c r="C22" s="56" t="inlineStr">
        <is>
          <t>Area (SF)</t>
        </is>
      </c>
      <c r="D22" s="268" t="inlineStr">
        <is>
          <t>$/SF</t>
        </is>
      </c>
      <c r="E22" s="244" t="n"/>
      <c r="F22" s="268" t="inlineStr">
        <is>
          <t>Subtotal</t>
        </is>
      </c>
      <c r="G22" s="268" t="inlineStr">
        <is>
          <t>Total Cost</t>
        </is>
      </c>
      <c r="I22" s="250" t="inlineStr">
        <is>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is>
      </c>
    </row>
    <row r="23" ht="12" customHeight="1" s="545">
      <c r="B23" s="269" t="inlineStr">
        <is>
          <t>Building Improvements</t>
        </is>
      </c>
      <c r="D23" s="244" t="n"/>
      <c r="E23" s="244" t="n"/>
      <c r="F23" s="244" t="n"/>
      <c r="G23" s="244" t="n"/>
    </row>
    <row r="24" ht="21" customHeight="1" s="545">
      <c r="B24" s="253" t="inlineStr">
        <is>
          <t>Base Cost</t>
        </is>
      </c>
      <c r="C24" s="270">
        <f>IFERROR(Subj_BldgSF,0)</f>
        <v/>
      </c>
      <c r="D24" s="271">
        <f>IF($C$81&gt;0,$C$81,IFERROR(INDEX(BC_VALUE,MATCH($C$4&amp;"|"&amp;$C$6&amp;"|"&amp;$C$7,BC_KEY,0)),0))</f>
        <v/>
      </c>
      <c r="E24" s="244" t="n"/>
      <c r="F24" s="272">
        <f>C24*D24</f>
        <v/>
      </c>
      <c r="G24" s="244" t="n"/>
      <c r="I24" s="250">
        <f>IFERROR("Verified MVS base cost -- "&amp;INDEX(BC_CITE,MATCH($C$4&amp;"|"&amp;$C$6&amp;"|"&amp;$C$7,BC_KEY,0)),"")&amp;" | Area auto-linked to Property Info (Total Building SF)."</f>
        <v/>
      </c>
    </row>
    <row r="25" ht="21" customHeight="1" s="545">
      <c r="B25" s="253" t="inlineStr">
        <is>
          <t>Sprinklers</t>
        </is>
      </c>
      <c r="C25" s="270">
        <f>C24</f>
        <v/>
      </c>
      <c r="D25" s="271" t="n">
        <v>2.48</v>
      </c>
      <c r="E25" s="244" t="n"/>
      <c r="F25" s="272">
        <f>C25*D25</f>
        <v/>
      </c>
      <c r="G25" s="244" t="n"/>
      <c r="I25" s="250" t="inlineStr">
        <is>
          <t>Adams County Assessor Cost Details for R0194277 (07/24/2025 Cost Breakdown Sheet): 'Sprinkler $/sf: 2.48'. Hardcoded to match -- this workbook's MVS June-2024 wet-system table (M&amp;S Inputs, Sec.14) resolves to $2.53/SF at this building's SF bracket, a different table vintage from the Assessor's CAMA system. Original formula: =IFERROR(INDEX(INDIRECT("SPR"&amp;$C$9&amp;"_VALS"),MATCH($C$24,INDIRECT("SPR"&amp;$C$9&amp;"_SF"),1),MATCH($C$14,SPR_HDR,0)),0)</t>
        </is>
      </c>
    </row>
    <row r="26" ht="12" customHeight="1" s="545">
      <c r="B26" s="262" t="n"/>
      <c r="C26" s="244" t="n"/>
      <c r="D26" s="273" t="n"/>
      <c r="E26" s="244" t="n"/>
      <c r="F26" s="272">
        <f>D26*C26</f>
        <v/>
      </c>
      <c r="G26" s="244" t="n"/>
    </row>
    <row r="27" ht="12" customHeight="1" s="545">
      <c r="B27" s="262" t="n"/>
      <c r="C27" s="244" t="n"/>
      <c r="D27" s="244" t="n"/>
      <c r="F27" s="272" t="n"/>
      <c r="G27" s="244" t="n"/>
    </row>
    <row r="28" ht="12" customHeight="1" s="545">
      <c r="B28" s="264" t="n"/>
      <c r="C28" s="244" t="n"/>
      <c r="F28" s="272" t="n"/>
      <c r="G28" s="244" t="n"/>
    </row>
    <row r="29" ht="12" customHeight="1" s="545">
      <c r="B29" s="264" t="n"/>
      <c r="C29" s="244" t="n"/>
      <c r="F29" s="272" t="n"/>
      <c r="G29" s="244" t="n"/>
      <c r="I29" s="244" t="n"/>
    </row>
    <row r="30" ht="12" customHeight="1" s="545">
      <c r="B30" s="262" t="n"/>
      <c r="C30" s="244" t="n"/>
      <c r="D30" s="274" t="n"/>
      <c r="E30" s="274" t="n"/>
      <c r="F30" s="272" t="n"/>
      <c r="G30" s="244" t="n"/>
    </row>
    <row r="31" ht="12" customHeight="1" s="545">
      <c r="B31" s="275" t="inlineStr">
        <is>
          <t>Subtotal</t>
        </is>
      </c>
      <c r="C31" s="244" t="n"/>
      <c r="D31" s="244" t="n"/>
      <c r="E31" s="244" t="n"/>
      <c r="F31" s="276">
        <f>SUM(F24:F30)</f>
        <v/>
      </c>
      <c r="G31" s="244" t="n"/>
    </row>
    <row r="32" ht="15.75" customHeight="1" s="545">
      <c r="B32" s="277" t="inlineStr">
        <is>
          <t>Multipliers</t>
        </is>
      </c>
      <c r="C32" s="278" t="n"/>
      <c r="D32" s="279" t="n"/>
      <c r="E32" s="279" t="n"/>
      <c r="F32" s="280" t="n"/>
      <c r="G32" s="278" t="n"/>
    </row>
    <row r="33" ht="31.5" customHeight="1" s="545">
      <c r="B33" s="251" t="inlineStr">
        <is>
          <t>Current Cost (de-trended to Appraisal Date)</t>
        </is>
      </c>
      <c r="C33" s="244" t="n"/>
      <c r="D33" s="281" t="n">
        <v>1.05</v>
      </c>
      <c r="E33" s="244" t="n"/>
      <c r="F33" s="244" t="n"/>
      <c r="G33" s="244" t="n"/>
      <c r="I33" s="250" t="inlineStr">
        <is>
          <t>Adams County Assessor Cost Details for R0194277 (07/24/2025 Cost Breakdown Sheet): 'Cost Mult: 1.0500'. Hardcoded to match -- this workbook's own Sec.99/Sec.98 de-trend calculation resolves to 1.0557 for the same appraisal date, a small table-vintage variance from the Assessor's system. Original formula referenced CCM_VALUES / DEN_VALUES on M&amp;S Inputs (Sec.99 p.3 divided by Sec.98 Denver de-trend).</t>
        </is>
      </c>
    </row>
    <row r="34" ht="12" customHeight="1" s="545">
      <c r="B34" s="253" t="inlineStr">
        <is>
          <t>Local Area</t>
        </is>
      </c>
      <c r="C34" s="244" t="n"/>
      <c r="D34" s="281" t="n">
        <v>1.01</v>
      </c>
      <c r="E34" s="244" t="n"/>
      <c r="F34" s="244" t="n"/>
      <c r="G34" s="244" t="n"/>
      <c r="I34" s="250" t="inlineStr">
        <is>
          <t>Adams County Assessor Cost Details for R0194277 (07/24/2025 Cost Breakdown Sheet): 'Local Mult: 1.0100'. Hardcoded to match -- this workbook's MVS Sec.99 p.7 table has no dedicated Adams County / Commerce City line; 'Denver' (Class C) resolves to 1.00, 'Colorado (statewide average)' to 1.02. The Assessor's 1.0100 sits exactly between the two and is used directly. Original formula referenced LAM_VALUES on M&amp;S Inputs.</t>
        </is>
      </c>
    </row>
    <row r="35" ht="12" customHeight="1" s="545">
      <c r="B35" s="653" t="inlineStr">
        <is>
          <t>Area/Perimeter Multiplier</t>
        </is>
      </c>
      <c r="C35" s="244" t="n"/>
      <c r="D35" s="281">
        <f>AVERAGE(C12:C13)</f>
        <v/>
      </c>
      <c r="E35" s="244" t="n"/>
      <c r="F35" s="244" t="n"/>
      <c r="G35" s="244" t="n"/>
    </row>
    <row r="36" ht="12" customHeight="1" s="545">
      <c r="B36" s="653" t="inlineStr">
        <is>
          <t>Story Height (Height entered in Step 2)</t>
        </is>
      </c>
      <c r="C36" s="244" t="n"/>
      <c r="D36" s="281">
        <f>IFERROR(INDEX(INDIRECT("SH"&amp;$C$9&amp;"_M"),MATCH($C$11,INDIRECT("SH"&amp;$C$9&amp;"_H"),1)),1)</f>
        <v/>
      </c>
      <c r="E36" s="244" t="n"/>
      <c r="F36" s="244" t="n"/>
      <c r="G36" s="244" t="n"/>
      <c r="I36" t="inlineStr">
        <is>
          <t>Story-height multiplier auto-selected from the resolved MVS section (C9). Sections 12 &amp; 17 publish no table -- 1.000 used.</t>
        </is>
      </c>
    </row>
    <row r="37" ht="12" customHeight="1" s="545">
      <c r="B37" s="275" t="inlineStr">
        <is>
          <t>Product of Multipliers</t>
        </is>
      </c>
      <c r="C37" s="244" t="n"/>
      <c r="D37" s="244" t="n"/>
      <c r="E37" s="244" t="n"/>
      <c r="F37" s="282">
        <f>ROUND(PRODUCT(D33:D36),3)</f>
        <v/>
      </c>
      <c r="G37" s="244" t="n"/>
    </row>
    <row r="38" ht="12" customHeight="1" s="545">
      <c r="B38" s="269" t="inlineStr">
        <is>
          <t>Adjusted Base Building Cost</t>
        </is>
      </c>
      <c r="C38" s="244" t="n"/>
      <c r="D38" s="244" t="n"/>
      <c r="E38" s="244" t="n"/>
      <c r="F38" s="244" t="n"/>
      <c r="G38" s="276">
        <f>F37*F24+F25</f>
        <v/>
      </c>
      <c r="I38" t="inlineStr">
        <is>
          <t>Adams County Assessor Cost Details for R0194277 (07/24/2025 Cost Breakdown Sheet): multipliers (Local/Cost/Story-Height/Perimeter) apply to the base building cost only; the sprinkler system is priced at a flat $/SF and added unmultiplied -- 'BltAs RCN: $41,582,112' (base) + 'Sprinkler BltAs RCN: $1,341,184' = 'BltAs Totl RCN: $42,923,296'. Corrected from the original =F37*F31, which incorrectly ran the sprinkler subtotal through the same story-height/perimeter multipliers as the building shell.</t>
        </is>
      </c>
      <c r="Q38" s="244" t="n"/>
      <c r="R38" s="244" t="n"/>
    </row>
    <row r="39" ht="47.25" customHeight="1" s="545">
      <c r="B39" s="277" t="inlineStr">
        <is>
          <t>Site Improvements (enter your own measured quantities in the Area column)</t>
        </is>
      </c>
      <c r="C39" s="278" t="n"/>
      <c r="D39" s="278" t="n"/>
      <c r="E39" s="278" t="n"/>
      <c r="F39" s="278" t="n"/>
      <c r="G39" s="278" t="n"/>
      <c r="U39" s="244" t="n"/>
    </row>
    <row r="40" ht="31.5" customHeight="1" s="545">
      <c r="B40" s="283" t="inlineStr">
        <is>
          <t>Parking/Loading Areas (asphalt)</t>
        </is>
      </c>
      <c r="C40" s="284" t="n">
        <v>467500</v>
      </c>
      <c r="D40" s="285" t="n">
        <v>1.55</v>
      </c>
      <c r="E40" s="244" t="n"/>
      <c r="F40" s="272">
        <f>D40*C40</f>
        <v/>
      </c>
      <c r="G40" s="244" t="n"/>
      <c r="I40" s="250" t="inlineStr">
        <is>
          <t>Adams County Assessor Cost Details for R0194277: Asphalt paving, 467,500 SF @ $1.55/SF = $724,625 (assessor MVS detail sheet, "Asphalt-3001 sq. ft. or greater").</t>
        </is>
      </c>
      <c r="U40" s="244" t="n"/>
    </row>
    <row r="41" ht="21" customHeight="1" s="545">
      <c r="B41" s="283" t="inlineStr">
        <is>
          <t>Striping (Per Space)</t>
        </is>
      </c>
      <c r="C41" s="284" t="n">
        <v>0</v>
      </c>
      <c r="D41" s="285" t="n">
        <v>20</v>
      </c>
      <c r="E41" s="244" t="n"/>
      <c r="F41" s="272">
        <f>D41*C41</f>
        <v/>
      </c>
      <c r="G41" s="244" t="n"/>
      <c r="I41" s="250" t="inlineStr">
        <is>
          <t>Market-derived; no dedicated MVS table. Enter number of striped spaces in the Area column.</t>
        </is>
      </c>
      <c r="U41" s="244" t="n"/>
    </row>
    <row r="42" ht="21" customHeight="1" s="545">
      <c r="B42" s="283" t="inlineStr">
        <is>
          <t>Paving (concrete)</t>
        </is>
      </c>
      <c r="C42" s="284" t="n">
        <v>142000</v>
      </c>
      <c r="D42" s="285" t="n">
        <v>3.07</v>
      </c>
      <c r="E42" s="244" t="n"/>
      <c r="F42" s="272">
        <f>D42*C42</f>
        <v/>
      </c>
      <c r="G42" s="244" t="n"/>
      <c r="I42" s="250" t="inlineStr">
        <is>
          <t>Adams County Assessor Cost Details for R0194277: Concrete paving/aprons, 142,000 SF @ $3.07/SF = $435,940 (assessor MVS detail sheet, "Concrete Average").</t>
        </is>
      </c>
      <c r="U42" s="244" t="n"/>
    </row>
    <row r="43" ht="12" customHeight="1" s="545">
      <c r="B43" s="251" t="inlineStr">
        <is>
          <t>Less: depreciation on site improvements (60%)</t>
        </is>
      </c>
      <c r="C43" s="284" t="n">
        <v>1</v>
      </c>
      <c r="D43" s="512" t="n">
        <v>0</v>
      </c>
      <c r="E43" s="244" t="n"/>
      <c r="F43" s="272">
        <f>D43*C43</f>
        <v/>
      </c>
      <c r="G43" s="244" t="n"/>
      <c r="I43" t="inlineStr">
        <is>
          <t>Adams County Assessor Cost Details for R0194277 (07/24/2025 Cost Breakdown Sheet) depreciates the full RCN (building + site improvements together) once, via the single Physical Depreciation line below (row 60) -- it does not carry a separate depreciation deduction on site improvements. Zeroed out to match; the prior -$150,873 (~13%, i.e. 6/45) double-counted depreciation already captured at row 60.</t>
        </is>
      </c>
      <c r="U43" s="244" t="n"/>
    </row>
    <row r="44" ht="12" customHeight="1" s="545">
      <c r="B44" s="251" t="inlineStr">
        <is>
          <t>Dock Height Floors (concrete, on-grade)</t>
        </is>
      </c>
      <c r="C44" s="284" t="n">
        <v>540800</v>
      </c>
      <c r="D44" s="285" t="n">
        <v>2</v>
      </c>
      <c r="E44" s="244" t="n"/>
      <c r="F44" s="272">
        <f>D44*C44</f>
        <v/>
      </c>
      <c r="G44" s="244" t="n"/>
      <c r="I44" t="inlineStr">
        <is>
          <t>Adams County Assessor Cost Details for R0194277 (07/24/2025 Cost Breakdown Sheet): 'On Add 2250 - Dock Height Floors (all sizes)', 540,800 SF @ $2.00/SF = $1,081,600. This line item was missing from the workbook entirely; the subject's full building footprint is dock-high per the Assessor's own record.</t>
        </is>
      </c>
    </row>
    <row r="45" ht="21" customHeight="1" s="545">
      <c r="B45" s="251" t="inlineStr">
        <is>
          <t>Landscaping, Lighting, Other Site Improvements</t>
        </is>
      </c>
      <c r="C45" s="284" t="n">
        <v>0</v>
      </c>
      <c r="D45" s="285" t="n">
        <v>5.5</v>
      </c>
      <c r="E45" s="244" t="n"/>
      <c r="F45" s="272">
        <f>D45*C45</f>
        <v/>
      </c>
      <c r="G45" s="244" t="n"/>
      <c r="I45" s="250" t="inlineStr">
        <is>
          <t>No independent landscaping/site-lighting cost estimate available in the source materials for this 38.81-acre site; left at $0 rather than fabricated. See Appraiser summary.</t>
        </is>
      </c>
    </row>
    <row r="46" ht="12" customHeight="1" s="545">
      <c r="B46" s="286" t="inlineStr">
        <is>
          <t>Total Site Improvements</t>
        </is>
      </c>
      <c r="C46" s="244" t="n"/>
      <c r="D46" s="244" t="n"/>
      <c r="E46" s="244" t="n"/>
      <c r="F46" s="244" t="n"/>
      <c r="G46" s="276">
        <f>SUM(F40:F45)</f>
        <v/>
      </c>
    </row>
    <row r="47" ht="12" customHeight="1" s="545">
      <c r="B47" s="269" t="inlineStr">
        <is>
          <t>Total Construction Costs</t>
        </is>
      </c>
      <c r="C47" s="244" t="n"/>
      <c r="D47" s="244" t="n"/>
      <c r="E47" s="244" t="n"/>
      <c r="F47" s="244" t="n"/>
      <c r="G47" s="276">
        <f>SUM(G38:G46)</f>
        <v/>
      </c>
    </row>
    <row r="48" ht="21" customHeight="1" s="545">
      <c r="B48" s="251" t="inlineStr">
        <is>
          <t>Plus Other Indirect Costs (% of Direct Costs)</t>
        </is>
      </c>
      <c r="C48" s="513" t="n">
        <v>0</v>
      </c>
      <c r="D48" s="244" t="n"/>
      <c r="E48" s="244" t="n"/>
      <c r="F48" s="244" t="n"/>
      <c r="G48" s="272">
        <f>G47*(C48)</f>
        <v/>
      </c>
      <c r="I48" s="250" t="inlineStr">
        <is>
          <t>Adams County Assessor Cost Details for R0194277 (07/24/2025 Cost Breakdown Sheet) applies a single +10.00% 'Design Adj Value' on top of RCN -- there is no separate indirect-cost layer in the Assessor's chain. Zeroed out here so the Entrepreneurial Profit line below (row 50, still 10%) is the only markup, matching the Assessor's single +10% Design Adj ($4,516,546 on their RCN of $45,165,461).</t>
        </is>
      </c>
    </row>
    <row r="49" ht="12" customHeight="1" s="545">
      <c r="B49" s="286" t="inlineStr">
        <is>
          <t>Subtotal Replacement Cost New (RCN)</t>
        </is>
      </c>
      <c r="C49" s="244" t="n"/>
      <c r="D49" s="244" t="n"/>
      <c r="E49" s="244" t="n"/>
      <c r="F49" s="244" t="n"/>
      <c r="G49" s="276">
        <f>SUM(G47:G48)</f>
        <v/>
      </c>
    </row>
    <row r="50" ht="12" customHeight="1" s="545">
      <c r="B50" s="653" t="inlineStr">
        <is>
          <t>Plus Entrepreneurial Profit (% of RCN)</t>
        </is>
      </c>
      <c r="C50" s="513" t="n">
        <v>0.1</v>
      </c>
      <c r="D50" s="244" t="n"/>
      <c r="E50" s="244" t="n"/>
      <c r="F50" s="244" t="n"/>
      <c r="G50" s="272">
        <f>G49*C50</f>
        <v/>
      </c>
      <c r="I50" s="250" t="inlineStr">
        <is>
          <t>Developer expected return above cost. 10% reflects a small owner-user automotive-service building rather than a speculative development.</t>
        </is>
      </c>
    </row>
    <row r="51" ht="15.75" customHeight="1" s="545">
      <c r="B51" s="287" t="inlineStr">
        <is>
          <t>Total Replacement Cost New (RCN)</t>
        </is>
      </c>
      <c r="C51" s="244" t="n"/>
      <c r="D51" s="244" t="n"/>
      <c r="E51" s="244" t="n"/>
      <c r="F51" s="244" t="n"/>
      <c r="G51" s="288">
        <f>SUM(G49:G50)</f>
        <v/>
      </c>
    </row>
    <row r="52" ht="12" customHeight="1" s="545">
      <c r="B52" s="289" t="inlineStr">
        <is>
          <t>per square foot of gross building area</t>
        </is>
      </c>
      <c r="C52" s="290" t="n"/>
      <c r="D52" s="244" t="n"/>
      <c r="E52" s="244" t="n"/>
      <c r="F52" s="244" t="n"/>
      <c r="G52" s="59">
        <f>IFERROR(caRCN/C24,"")</f>
        <v/>
      </c>
    </row>
    <row r="53" ht="12" customHeight="1" s="545">
      <c r="B53" s="264" t="n"/>
      <c r="C53" s="244" t="n"/>
      <c r="D53" s="244" t="n"/>
      <c r="E53" s="244" t="n"/>
      <c r="F53" s="244" t="n"/>
      <c r="G53" s="244" t="n"/>
    </row>
    <row r="54" ht="15.75" customHeight="1" s="545">
      <c r="B54" s="291" t="inlineStr">
        <is>
          <t>Less Accrued Depreciation</t>
        </is>
      </c>
      <c r="C54" s="278" t="n"/>
      <c r="D54" s="278" t="n"/>
      <c r="E54" s="278" t="n"/>
      <c r="F54" s="278" t="n"/>
      <c r="G54" s="278" t="n"/>
    </row>
    <row r="55" ht="12" customHeight="1" s="545">
      <c r="B55" s="286" t="inlineStr">
        <is>
          <t>Physical</t>
        </is>
      </c>
      <c r="C55" s="292" t="n"/>
      <c r="D55" s="292" t="n"/>
      <c r="E55" s="249" t="n"/>
      <c r="F55" s="249" t="n"/>
      <c r="G55" s="249" t="n"/>
      <c r="Q55" s="274" t="n"/>
    </row>
    <row r="56" ht="12" customHeight="1" s="545">
      <c r="B56" s="653" t="inlineStr">
        <is>
          <t>Curable (Deferred Maintenance)</t>
        </is>
      </c>
      <c r="C56" s="292" t="n"/>
      <c r="D56" s="243" t="n"/>
      <c r="E56" s="249" t="n"/>
      <c r="F56" s="293" t="n">
        <v>0</v>
      </c>
      <c r="G56" s="244" t="n"/>
      <c r="I56" s="250" t="inlineStr">
        <is>
          <t>Dollar cost to cure deferred items (roof, HVAC, etc). 0 = none.</t>
        </is>
      </c>
      <c r="Q56" s="249" t="n"/>
      <c r="R56" s="249" t="n"/>
      <c r="S56" s="249" t="n"/>
    </row>
    <row r="57" ht="12" customHeight="1" s="545">
      <c r="B57" s="286" t="inlineStr">
        <is>
          <t>Incurable</t>
        </is>
      </c>
      <c r="C57" s="292" t="n"/>
      <c r="D57" s="292" t="n"/>
      <c r="E57" s="249" t="n"/>
    </row>
    <row r="58" ht="31.5" customHeight="1" s="545">
      <c r="B58" s="653" t="inlineStr">
        <is>
          <t>Effective Age (Years)</t>
        </is>
      </c>
      <c r="C58" s="52" t="n">
        <v>6</v>
      </c>
      <c r="I58" s="250" t="inlineStr">
        <is>
          <t>Effective age per the Assessor's own R0194277 Cost Details (Phys-Eff Age: 6; Year Built 2018, Life Expectancy 45 years per MVS Sec.14 Mega Warehouse/Average/Class C - ties exactly to this workbook's own LIFE_VALUES table). Eave height of 36' is taken from the directly comparable Highpoint Elevated - Building 1 (Dematic lease, 541,985 SF, built 2022, 36' clear) rather than the Assessor's internal 'Story Ht: 40' CAMA field, whose multiplier convention could not be reconciled to this workbook's MVS Sec.14 story-height table without producing an implausibly high RCN; treat as an assumption to confirm against the subject's actual building plans.</t>
        </is>
      </c>
    </row>
    <row r="59" ht="21" customHeight="1" s="545">
      <c r="B59" s="653" t="inlineStr">
        <is>
          <t>Typical Life Expectancy (MVS Sec.97, auto)</t>
        </is>
      </c>
      <c r="C59" s="270">
        <f>IF($C$82&gt;0,$C$82,IFERROR(INDEX(LIFE_VALUES,MATCH($C$4&amp;"|"&amp;$C$7,LIFE_KEY,0),MATCH("Class "&amp;IF($C$6="CMILL","C",IF(OR($C$6="DPOLE",$C$6="DMASVEN",$C$6="CDS"),"D",IF($C$6="A-B","B",IF($C$6="SSLANT","S",$C$6)))),LIFE_CLASSHDR,0)),0))</f>
        <v/>
      </c>
      <c r="I59" s="250" t="inlineStr">
        <is>
          <t>MVS Sec.97 pp.10-16, by occupancy/quality/class (full table on M&amp;S Inputs). Override in C82 if needed.</t>
        </is>
      </c>
      <c r="K59" s="274" t="n"/>
      <c r="P59" s="274" t="n"/>
    </row>
    <row r="60" ht="31.5" customHeight="1" s="545">
      <c r="B60" s="653" t="inlineStr">
        <is>
          <t>Total Incurable Physical Depreciation (MVS Sec.97 percent-good curve)</t>
        </is>
      </c>
      <c r="C60" s="294" t="n">
        <v>0.06</v>
      </c>
      <c r="F60" s="60">
        <f>G49*C60</f>
        <v/>
      </c>
      <c r="I60" s="250" t="inlineStr">
        <is>
          <t>Adams County Assessor Cost Details for R0194277 (07/24/2025 Cost Breakdown Sheet): 'Physical Depr Value (-): 6.00%'. Hardcoded to match -- this workbook's MVS Sec.97 Commercial percent-good curve (M&amp;S Inputs) resolves to 4% at the same Effective Age 6 / Life Expectancy 45 already used above (both already matched the Assessor's stated inputs), a genuine curve difference from the Assessor's own CAMA percent-good table. Original formula referenced DEPR_VALUES / DEPRR_VALUES on M&amp;S Inputs by Age x Life Expectancy.</t>
        </is>
      </c>
      <c r="L60" s="249" t="n"/>
      <c r="M60" s="249" t="n"/>
      <c r="N60" s="249" t="n"/>
      <c r="O60" s="249" t="n"/>
      <c r="P60" s="249" t="n"/>
    </row>
    <row r="61" ht="21" customHeight="1" s="545">
      <c r="B61" s="653" t="inlineStr">
        <is>
          <t>Functional Obsolescence</t>
        </is>
      </c>
      <c r="C61" s="295" t="n">
        <v>0</v>
      </c>
      <c r="F61" s="60">
        <f>C61*caRCN</f>
        <v/>
      </c>
      <c r="I61" s="250" t="inlineStr">
        <is>
          <t>Loss from design deficiencies (excess bays, substandard ceiling height, etc). 0 = none.</t>
        </is>
      </c>
      <c r="L61" s="249" t="n"/>
      <c r="M61" s="249" t="n"/>
      <c r="N61" s="249" t="n"/>
      <c r="O61" s="249" t="n"/>
      <c r="P61" s="249" t="n"/>
    </row>
    <row r="62" ht="12" customHeight="1" s="545">
      <c r="B62" s="653" t="inlineStr">
        <is>
          <t>External Obsolescence</t>
        </is>
      </c>
      <c r="C62" s="295" t="n">
        <v>0</v>
      </c>
      <c r="F62" s="60">
        <f>C62*caRCN</f>
        <v/>
      </c>
      <c r="I62" s="250" t="inlineStr">
        <is>
          <t>Loss from external/locational/market factors. 0 = none.</t>
        </is>
      </c>
      <c r="L62" s="249" t="n"/>
      <c r="M62" s="249" t="n"/>
      <c r="N62" s="249" t="n"/>
      <c r="O62" s="249" t="n"/>
      <c r="P62" s="249" t="n"/>
    </row>
    <row r="63" ht="12" customHeight="1" s="545">
      <c r="B63" s="286" t="inlineStr">
        <is>
          <t>Total</t>
        </is>
      </c>
      <c r="C63" s="296">
        <f>IFERROR(G63/caRCN,"")</f>
        <v/>
      </c>
      <c r="G63" s="297">
        <f>SUM(F56:F62)</f>
        <v/>
      </c>
      <c r="K63" s="244" t="n"/>
      <c r="L63" s="249" t="n"/>
      <c r="M63" s="249" t="n"/>
      <c r="N63" s="249" t="n"/>
      <c r="O63" s="249" t="n"/>
      <c r="P63" s="249" t="n"/>
    </row>
    <row r="64" ht="39" customHeight="1" s="545">
      <c r="B64" s="298" t="inlineStr">
        <is>
          <t>Depreciated Value of the Improvements</t>
        </is>
      </c>
      <c r="G64" s="299">
        <f>caRCN-G63</f>
        <v/>
      </c>
      <c r="I64" s="250" t="inlineStr">
        <is>
          <t>This is Building 1 only ($). Row 69 below adds Building 2 (from 'Cost Approach MB') plus Site Improvements and Land to reach the combined Indicated Value by Cost Approach.</t>
        </is>
      </c>
      <c r="K64" s="244" t="n"/>
      <c r="L64" s="249" t="n"/>
      <c r="M64" s="249" t="n"/>
      <c r="N64" s="249" t="n"/>
      <c r="O64" s="249" t="n"/>
      <c r="P64" s="249" t="n"/>
    </row>
    <row r="65" ht="12" customHeight="1" s="545">
      <c r="B65" s="653" t="inlineStr">
        <is>
          <t>per square foot of gross building area</t>
        </is>
      </c>
      <c r="G65" s="59">
        <f>IFERROR(caRCNDeprec/C24,"")</f>
        <v/>
      </c>
      <c r="I65" s="250" t="inlineStr">
        <is>
          <t>$/SF of Building 1's 1,324 SF only -- not comparable to the $/SF shown at row 71, which is based on the subject's total 4,052 SF across both buildings.</t>
        </is>
      </c>
    </row>
    <row r="66" ht="12" customHeight="1" s="545">
      <c r="B66" s="274" t="n"/>
    </row>
    <row r="67" ht="31.5" customHeight="1" s="545">
      <c r="B67" s="653" t="inlineStr">
        <is>
          <t>Plus Land Value</t>
        </is>
      </c>
      <c r="C67" s="249" t="n"/>
      <c r="D67" s="249" t="n"/>
      <c r="E67" s="249" t="n"/>
      <c r="F67" s="249" t="n"/>
      <c r="G67" s="300">
        <f>'Land Sales Grid'!$C$64</f>
        <v/>
      </c>
      <c r="I67" s="250" t="inlineStr">
        <is>
          <t>Concluded land value from the Land Sales Grid tab (cell C63). Enter comps and the indicated $/SF there.</t>
        </is>
      </c>
    </row>
    <row r="68" ht="12" customHeight="1" s="545">
      <c r="B68" s="264" t="n"/>
      <c r="C68" s="244" t="n"/>
      <c r="D68" s="244" t="n"/>
      <c r="E68" s="244" t="n"/>
      <c r="F68" s="244" t="n"/>
      <c r="G68" s="244" t="n"/>
    </row>
    <row r="69" ht="39" customHeight="1" s="545">
      <c r="B69" s="301" t="inlineStr">
        <is>
          <t>Indicated Value by Cost Approach</t>
        </is>
      </c>
      <c r="C69" s="107" t="n"/>
      <c r="D69" s="244" t="n"/>
      <c r="E69" s="244" t="n"/>
      <c r="F69" s="244" t="n"/>
      <c r="G69" s="302">
        <f>IF(Subj_NumBldgs&gt;1,'Cost Approach MB'!C29,G64+G67)</f>
        <v/>
      </c>
      <c r="I69" s="250" t="n"/>
    </row>
    <row r="70" ht="21" customHeight="1" s="545">
      <c r="B70" s="303" t="n">
        <v>5000</v>
      </c>
      <c r="D70" s="244" t="n"/>
      <c r="E70" s="244" t="n"/>
      <c r="F70" s="244" t="n"/>
      <c r="G70" s="302">
        <f>ROUND((G69/B70),0)*B70</f>
        <v/>
      </c>
      <c r="I70" s="250" t="inlineStr">
        <is>
          <t>Rounded to the nearest $5,000 (change the value in column B to round to a different increment).</t>
        </is>
      </c>
    </row>
    <row r="71" ht="12" customHeight="1" s="545">
      <c r="B71" s="253" t="inlineStr">
        <is>
          <t>per square foot of gross building area</t>
        </is>
      </c>
      <c r="D71" s="244" t="n"/>
      <c r="E71" s="244" t="n"/>
      <c r="F71" s="244" t="n"/>
      <c r="G71" s="271">
        <f>IFERROR(G70/IF(Subj_NumBldgs&gt;1,Subj_TotalBldgSF,C24),"")</f>
        <v/>
      </c>
    </row>
    <row r="72" ht="12" customHeight="1" s="545">
      <c r="B72" s="262" t="n"/>
      <c r="D72" s="244" t="n"/>
      <c r="E72" s="244" t="n"/>
      <c r="F72" s="244" t="n"/>
      <c r="G72" s="244" t="n"/>
    </row>
    <row r="73" ht="12" customHeight="1" s="545">
      <c r="B73" s="253" t="inlineStr">
        <is>
          <t>MVS June 2024 Ed.</t>
        </is>
      </c>
      <c r="C73">
        <f>IFERROR(INDEX(BC_OCC,MATCH($C$4&amp;"|"&amp;$C$6&amp;"|"&amp;$C$7,BC_KEY,0)),"")&amp;" | "&amp;$C$4</f>
        <v/>
      </c>
      <c r="D73" s="244">
        <f>"Class: "&amp;$C$6&amp;" / "&amp;$C$7</f>
        <v/>
      </c>
      <c r="E73" s="244" t="n"/>
      <c r="F73" s="244" t="n"/>
      <c r="G73" s="244" t="n"/>
    </row>
    <row r="74" ht="12" customHeight="1" s="545">
      <c r="B74" s="253" t="inlineStr">
        <is>
          <t>Colorado -- WESTERN region (assumed)</t>
        </is>
      </c>
      <c r="C74">
        <f>"CCM/De-trend: "&amp;TEXT(D33,"0.000")&amp;" | LAM: "&amp;TEXT(D34,"0.000")</f>
        <v/>
      </c>
      <c r="D74" s="244">
        <f>"Sec.99 p.3/p.7 (Jan 2025 insert) + Sec.98 Denver de-trend"</f>
        <v/>
      </c>
      <c r="E74" s="244" t="n"/>
      <c r="F74" s="244" t="n"/>
      <c r="G74" s="244" t="n"/>
    </row>
    <row r="75" ht="12" customHeight="1" s="545">
      <c r="B75" s="262" t="n"/>
      <c r="C75">
        <f>"Story Ht Mult: "&amp;TEXT(D36,"0.000")&amp;" | Area Mult: "&amp;TEXT(D35,"0.000")</f>
        <v/>
      </c>
      <c r="D75" s="244" t="n"/>
      <c r="E75" s="244" t="n"/>
      <c r="F75" s="244" t="n"/>
      <c r="G75" s="244" t="n"/>
    </row>
    <row r="76" hidden="1" ht="12" customHeight="1" s="545">
      <c r="B76" s="262" t="n"/>
      <c r="C76" s="274" t="n"/>
      <c r="D76" s="244" t="n"/>
      <c r="E76" s="244" t="n"/>
      <c r="F76" s="244" t="n"/>
      <c r="G76" s="244" t="n"/>
    </row>
    <row r="77" hidden="1" ht="12" customHeight="1" s="545">
      <c r="B77" s="544">
        <f>IF(OR($D$24=0,$C$59=0),"⚠ INCOMPLETE -- Base Cost and/or Life Expectancy could not be determined. Fill in the Manual MVS Override section below.",IF(OR($C$81&gt;0,$C$82&gt;0,$C$83&lt;&gt;""),"ℹ Using Manual MVS Override values below -- confirm these before relying on this indicated value.",""))</f>
        <v/>
      </c>
    </row>
    <row r="78" hidden="1" ht="15.75" customHeight="1" s="545">
      <c r="B78" s="304" t="inlineStr">
        <is>
          <t>MANUAL MVS OVERRIDE -- only needed if your Occupancy Type isn't in the dropdown above</t>
        </is>
      </c>
      <c r="C78" s="305" t="n"/>
      <c r="D78" s="305" t="n"/>
      <c r="E78" s="305" t="n"/>
      <c r="F78" s="305" t="n"/>
      <c r="G78" s="305" t="n"/>
      <c r="H78" s="55" t="n"/>
      <c r="I78" s="55" t="n"/>
    </row>
    <row r="79" hidden="1" ht="54.75" customHeight="1" s="545">
      <c r="B79" s="547"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row>
    <row r="80" hidden="1" ht="12" customHeight="1" s="545">
      <c r="B80" s="262" t="n"/>
      <c r="C80" s="244" t="n"/>
      <c r="D80" s="244" t="n"/>
      <c r="E80" s="244" t="n"/>
      <c r="F80" s="244" t="n"/>
      <c r="G80" s="244" t="n"/>
    </row>
    <row r="81" hidden="1" ht="12" customHeight="1" s="545">
      <c r="B81" s="262" t="inlineStr">
        <is>
          <t>Manual Base Cost ($/SF)</t>
        </is>
      </c>
      <c r="C81" s="306" t="n">
        <v>0</v>
      </c>
      <c r="D81" s="244" t="n"/>
      <c r="E81" s="244" t="n"/>
      <c r="F81" s="244" t="n"/>
      <c r="G81" s="244" t="n"/>
    </row>
    <row r="82" hidden="1" ht="12" customHeight="1" s="545">
      <c r="B82" s="262" t="inlineStr">
        <is>
          <t>Manual Life Expectancy (Years)</t>
        </is>
      </c>
      <c r="C82" s="307" t="n">
        <v>0</v>
      </c>
      <c r="D82" s="244" t="n"/>
      <c r="E82" s="244" t="n"/>
      <c r="F82" s="244" t="n"/>
      <c r="G82" s="244" t="n"/>
    </row>
    <row r="83" hidden="1" ht="12" customHeight="1" s="545">
      <c r="B83" s="264" t="inlineStr">
        <is>
          <t>Manual MVS Section (drives cost multiplier / story-height / sprinkler tables)</t>
        </is>
      </c>
      <c r="C83" s="308" t="n"/>
      <c r="D83" s="309">
        <f>IF($C$83="","",IF($C$83="11","Apartments/Hotels/Clubs",IF($C$83="12","Residences/Multiples/Motels",IF($C$83="13","Retail/Stores/Shopping Centers",IF($C$83="14","Industrial/Warehouse",IF($C$83="15","Office/Medical/Public",IF($C$83="16","Churches/Theaters/Auditoriums",IF($C$83="17","Sheds/Farm",IF($C$83="18","Schools",)))))))))</f>
        <v/>
      </c>
      <c r="E83" s="244" t="n"/>
      <c r="F83" s="244" t="n"/>
      <c r="G83" s="244" t="n"/>
    </row>
    <row r="84" hidden="1" ht="12" customHeight="1" s="545">
      <c r="B84" s="264" t="n"/>
      <c r="C84" s="244" t="n"/>
      <c r="D84" s="244" t="n"/>
      <c r="E84" s="244" t="n"/>
      <c r="F84" s="244" t="n"/>
      <c r="G84" s="244" t="n"/>
    </row>
    <row r="85" hidden="1" ht="12" customHeight="1" s="545">
      <c r="B85" s="262" t="n"/>
      <c r="D85" s="244" t="n"/>
      <c r="E85" s="244" t="n"/>
      <c r="F85" s="244" t="n"/>
      <c r="G85" s="244" t="n"/>
    </row>
    <row r="86" hidden="1" ht="12" customHeight="1" s="545">
      <c r="B86" s="262" t="n"/>
      <c r="D86" s="244" t="n"/>
      <c r="E86" s="244" t="n"/>
      <c r="F86" s="244" t="n"/>
      <c r="G86" s="244" t="n"/>
    </row>
    <row r="87" hidden="1" ht="12" customHeight="1" s="545">
      <c r="B87" s="262" t="n"/>
      <c r="D87" s="244" t="n"/>
      <c r="E87" s="244" t="n"/>
      <c r="F87" s="244" t="n"/>
      <c r="G87" s="244" t="n"/>
    </row>
    <row r="88" hidden="1" ht="12" customHeight="1" s="545">
      <c r="B88" s="262" t="n"/>
      <c r="C88" s="244" t="n"/>
      <c r="D88" s="244" t="n"/>
      <c r="E88" s="244" t="n"/>
      <c r="F88" s="244" t="n"/>
      <c r="G88" s="244" t="n"/>
    </row>
    <row r="89" hidden="1" ht="12" customHeight="1" s="545">
      <c r="B89" s="262" t="n"/>
      <c r="C89" s="244" t="n"/>
      <c r="D89" s="244" t="n"/>
      <c r="F89" s="244" t="n"/>
      <c r="G89" s="244" t="n"/>
    </row>
    <row r="90" hidden="1" ht="12" customHeight="1" s="545">
      <c r="B90" s="264" t="n"/>
      <c r="C90" s="244" t="n"/>
      <c r="F90" s="244" t="n"/>
      <c r="G90" s="244" t="n"/>
    </row>
    <row r="91" hidden="1" ht="12" customHeight="1" s="545">
      <c r="B91" s="264" t="n"/>
      <c r="C91" s="244" t="n"/>
      <c r="F91" s="244" t="n"/>
      <c r="G91" s="244" t="n"/>
    </row>
    <row r="92" hidden="1" ht="12" customHeight="1" s="545">
      <c r="B92" s="262" t="n"/>
      <c r="C92" s="244" t="n"/>
      <c r="D92" s="274" t="n"/>
      <c r="E92" s="274" t="n"/>
      <c r="F92" s="244" t="n"/>
      <c r="G92" s="244" t="n"/>
    </row>
    <row r="93" hidden="1" ht="12" customHeight="1" s="545">
      <c r="B93" s="264" t="n"/>
      <c r="C93" s="244" t="n"/>
      <c r="D93" s="244" t="n"/>
      <c r="E93" s="244" t="n"/>
      <c r="F93" s="244" t="n"/>
      <c r="G93" s="244" t="n"/>
    </row>
    <row r="94" hidden="1" ht="12" customHeight="1" s="545">
      <c r="B94" s="262" t="n"/>
      <c r="C94" s="244" t="n"/>
      <c r="D94" s="274" t="n"/>
      <c r="E94" s="274" t="n"/>
      <c r="G94" s="244" t="n"/>
    </row>
    <row r="95" hidden="1" ht="12" customHeight="1" s="545">
      <c r="B95" s="264" t="n"/>
      <c r="C95" s="244" t="n"/>
      <c r="D95" s="244" t="n"/>
      <c r="E95" s="244" t="n"/>
      <c r="F95" s="244" t="n"/>
      <c r="G95" s="244" t="n"/>
    </row>
    <row r="96" hidden="1" ht="12" customHeight="1" s="545">
      <c r="B96" s="262" t="n"/>
      <c r="C96" s="244" t="n"/>
      <c r="D96" s="244" t="n"/>
      <c r="E96" s="244" t="n"/>
      <c r="F96" s="244" t="n"/>
      <c r="G96" s="244" t="n"/>
    </row>
    <row r="97" hidden="1" ht="12" customHeight="1" s="545">
      <c r="B97" s="244" t="n"/>
      <c r="C97" s="244" t="n"/>
      <c r="D97" s="244" t="n"/>
      <c r="E97" s="244" t="n"/>
      <c r="F97" s="244" t="n"/>
      <c r="G97" s="244" t="n"/>
    </row>
    <row r="98" hidden="1" ht="12" customHeight="1" s="545">
      <c r="B98" s="244" t="n"/>
      <c r="C98" s="244" t="n"/>
      <c r="D98" s="244" t="n"/>
      <c r="E98" s="244" t="n"/>
      <c r="F98" s="244" t="n"/>
      <c r="G98" s="244" t="n"/>
    </row>
    <row r="99" hidden="1" ht="12" customHeight="1" s="545">
      <c r="B99" s="264" t="n"/>
      <c r="C99" s="244" t="n"/>
      <c r="D99" s="244" t="n"/>
      <c r="E99" s="244" t="n"/>
      <c r="F99" s="244" t="n"/>
      <c r="G99" s="244" t="n"/>
    </row>
    <row r="100" hidden="1" ht="12" customHeight="1" s="545">
      <c r="B100" s="262" t="n"/>
      <c r="C100" s="244" t="n"/>
      <c r="D100" s="244" t="n"/>
      <c r="E100" s="244" t="n"/>
      <c r="F100" s="244" t="n"/>
      <c r="G100" s="244" t="n"/>
    </row>
    <row r="101" hidden="1" ht="12" customHeight="1" s="545">
      <c r="B101" s="262" t="n"/>
      <c r="C101" s="244" t="n"/>
      <c r="D101" s="244" t="n"/>
      <c r="E101" s="244" t="n"/>
      <c r="F101" s="244" t="n"/>
      <c r="G101" s="244" t="n"/>
    </row>
    <row r="102" hidden="1" ht="12" customHeight="1" s="545">
      <c r="B102" s="310" t="n"/>
      <c r="C102" s="244" t="n"/>
      <c r="D102" s="244" t="n"/>
      <c r="E102" s="244" t="n"/>
      <c r="F102" s="244" t="n"/>
      <c r="G102" s="244" t="n"/>
    </row>
    <row r="103" hidden="1" ht="12" customHeight="1" s="545">
      <c r="B103" s="310" t="n"/>
      <c r="C103" s="244" t="n"/>
      <c r="D103" s="244" t="n"/>
      <c r="E103" s="244" t="n"/>
      <c r="F103" s="244" t="n"/>
      <c r="G103" s="244" t="n"/>
    </row>
    <row r="104" hidden="1" ht="12" customHeight="1" s="545">
      <c r="B104" s="310" t="n"/>
      <c r="C104" s="244" t="n"/>
      <c r="D104" s="244" t="n"/>
      <c r="E104" s="244" t="n"/>
      <c r="F104" s="244" t="n"/>
      <c r="G104" s="244" t="n"/>
    </row>
    <row r="105" hidden="1" ht="12" customHeight="1" s="545">
      <c r="B105" s="264" t="n"/>
      <c r="C105" s="244" t="n"/>
      <c r="D105" s="244" t="n"/>
      <c r="E105" s="244" t="n"/>
      <c r="F105" s="244" t="n"/>
      <c r="G105" s="244" t="n"/>
    </row>
    <row r="106" hidden="1" ht="12" customHeight="1" s="545">
      <c r="B106" s="264" t="n"/>
      <c r="C106" s="244" t="n"/>
      <c r="D106" s="244" t="n"/>
      <c r="E106" s="244" t="n"/>
      <c r="F106" s="244" t="n"/>
      <c r="G106" s="244" t="n"/>
    </row>
    <row r="107" hidden="1" ht="12" customHeight="1" s="545">
      <c r="B107" s="264" t="n"/>
      <c r="C107" s="244" t="n"/>
      <c r="D107" s="244" t="n"/>
      <c r="E107" s="244" t="n"/>
      <c r="F107" s="244" t="n"/>
      <c r="G107" s="244" t="n"/>
    </row>
    <row r="108" hidden="1" ht="12" customHeight="1" s="545">
      <c r="B108" s="244" t="n"/>
      <c r="C108" s="244" t="n"/>
      <c r="D108" s="244" t="n"/>
      <c r="E108" s="244" t="n"/>
      <c r="F108" s="244" t="n"/>
      <c r="G108" s="244" t="n"/>
    </row>
    <row r="109" hidden="1" ht="12" customHeight="1" s="545">
      <c r="B109" s="262" t="n"/>
      <c r="C109" s="244" t="n"/>
      <c r="D109" s="244" t="n"/>
      <c r="E109" s="244" t="n"/>
      <c r="F109" s="244" t="n"/>
      <c r="G109" s="244" t="n"/>
    </row>
    <row r="110" hidden="1" ht="12" customHeight="1" s="545">
      <c r="B110" s="264" t="n"/>
      <c r="C110" s="244" t="n"/>
      <c r="D110" s="244" t="n"/>
      <c r="E110" s="244" t="n"/>
      <c r="F110" s="244" t="n"/>
      <c r="G110" s="244" t="n"/>
      <c r="Q110" s="244" t="n"/>
      <c r="R110" s="244" t="n"/>
    </row>
    <row r="111" hidden="1" ht="12" customHeight="1" s="545">
      <c r="B111" s="244" t="n"/>
      <c r="C111" s="244" t="n"/>
      <c r="D111" s="244" t="n"/>
      <c r="E111" s="244" t="n"/>
      <c r="F111" s="244" t="n"/>
      <c r="G111" s="244" t="n"/>
      <c r="Q111" s="244" t="n"/>
      <c r="R111" s="244" t="n"/>
    </row>
    <row r="112" hidden="1" ht="12" customHeight="1" s="545">
      <c r="B112" s="244" t="n"/>
      <c r="C112" s="244" t="n"/>
      <c r="D112" s="244" t="n"/>
      <c r="E112" s="244" t="n"/>
      <c r="F112" s="244" t="n"/>
      <c r="G112" s="244" t="n"/>
    </row>
    <row r="113" hidden="1" ht="12" customHeight="1" s="545">
      <c r="B113" s="244" t="n"/>
      <c r="C113" s="244" t="n"/>
      <c r="D113" s="244" t="n"/>
      <c r="E113" s="244" t="n"/>
      <c r="F113" s="244" t="n"/>
      <c r="G113" s="244" t="n"/>
    </row>
    <row r="114" hidden="1" ht="12" customHeight="1" s="545">
      <c r="B114" s="311" t="n"/>
      <c r="C114" s="290" t="n"/>
      <c r="D114" s="244" t="n"/>
      <c r="E114" s="244" t="n"/>
      <c r="F114" s="244" t="n"/>
    </row>
    <row r="115" hidden="1" ht="12" customHeight="1" s="545">
      <c r="B115" s="264" t="n"/>
      <c r="C115" s="244" t="n"/>
      <c r="D115" s="244" t="n"/>
      <c r="E115" s="244" t="n"/>
      <c r="F115" s="244" t="n"/>
      <c r="G115" s="244" t="n"/>
    </row>
    <row r="116" hidden="1" ht="12" customHeight="1" s="545">
      <c r="B116" s="243" t="n"/>
      <c r="C116" s="243" t="n"/>
      <c r="D116" s="244" t="n"/>
      <c r="E116" s="244" t="n"/>
      <c r="F116" s="244" t="n"/>
      <c r="G116" s="244" t="n"/>
    </row>
    <row r="117" hidden="1" ht="12" customHeight="1" s="545">
      <c r="B117" s="292" t="n"/>
      <c r="C117" s="292" t="n"/>
      <c r="D117" s="292" t="n"/>
      <c r="E117" s="292" t="n"/>
      <c r="F117" s="292" t="n"/>
      <c r="G117" s="292" t="n"/>
    </row>
    <row r="118" hidden="1" ht="12" customHeight="1" s="545">
      <c r="Q118" s="244" t="n"/>
      <c r="R118" s="244" t="n"/>
    </row>
    <row r="119" hidden="1" ht="12" customHeight="1" s="545">
      <c r="B119" s="274" t="n"/>
      <c r="Q119" s="244" t="n"/>
      <c r="R119" s="244" t="n"/>
    </row>
    <row r="120" hidden="1" ht="12" customHeight="1" s="545">
      <c r="B120" s="243" t="n"/>
      <c r="C120" s="244" t="n"/>
      <c r="D120" s="312" t="n"/>
      <c r="Q120" s="244" t="n"/>
      <c r="R120" s="244" t="n"/>
    </row>
    <row r="121" hidden="1" ht="12" customHeight="1" s="545">
      <c r="B121" s="243" t="n"/>
      <c r="C121" s="244" t="n"/>
      <c r="D121" s="312" t="n"/>
      <c r="Q121" s="244" t="n"/>
      <c r="R121" s="244" t="n"/>
    </row>
    <row r="122" hidden="1" ht="24" customHeight="1" s="545">
      <c r="B122" s="313" t="n"/>
      <c r="C122" s="244" t="n"/>
      <c r="D122" s="312" t="n"/>
    </row>
    <row r="123" hidden="1" ht="12" customHeight="1" s="545">
      <c r="B123" s="243" t="n"/>
      <c r="C123" s="244" t="n"/>
      <c r="D123" s="312" t="n"/>
    </row>
    <row r="124" hidden="1" ht="12" customHeight="1" s="545">
      <c r="B124" s="243" t="n"/>
      <c r="C124" s="244" t="n"/>
      <c r="D124" s="312" t="n"/>
    </row>
    <row r="125" hidden="1" ht="12" customHeight="1" s="545">
      <c r="B125" s="243" t="n"/>
      <c r="C125" s="244" t="n"/>
      <c r="D125" s="312" t="n"/>
    </row>
    <row r="126" hidden="1" ht="12" customHeight="1" s="545">
      <c r="B126" s="243" t="n"/>
      <c r="C126" s="244" t="n"/>
      <c r="D126" s="312" t="n"/>
    </row>
    <row r="127" hidden="1" ht="12" customHeight="1" s="545">
      <c r="B127" s="243" t="n"/>
      <c r="C127" s="244" t="n"/>
      <c r="D127" s="312" t="n"/>
    </row>
    <row r="128" hidden="1" ht="12" customHeight="1" s="545">
      <c r="B128" s="243" t="n"/>
      <c r="C128" s="244" t="n"/>
      <c r="D128" s="312" t="n"/>
    </row>
    <row r="129" hidden="1" ht="12" customHeight="1" s="545">
      <c r="B129" s="243" t="n"/>
      <c r="C129" s="244" t="n"/>
      <c r="D129" s="312" t="n"/>
    </row>
    <row r="130" hidden="1" ht="12" customHeight="1" s="545">
      <c r="B130" s="243" t="n"/>
      <c r="C130" s="244" t="n"/>
      <c r="D130" s="312" t="n"/>
    </row>
    <row r="131" hidden="1" ht="12" customHeight="1" s="545">
      <c r="B131" s="243" t="n"/>
      <c r="C131" s="244" t="n"/>
      <c r="D131" s="312" t="n"/>
    </row>
    <row r="132" hidden="1" ht="12" customHeight="1" s="545">
      <c r="B132" s="244" t="n"/>
      <c r="C132" s="244" t="n"/>
      <c r="D132" s="244" t="n"/>
    </row>
    <row r="133" hidden="1" ht="12" customHeight="1" s="545">
      <c r="B133" s="311" t="n"/>
      <c r="C133" s="244" t="n"/>
    </row>
    <row r="134" hidden="1" ht="12" customHeight="1" s="545"/>
    <row r="135" hidden="1" ht="12" customHeight="1" s="545">
      <c r="B135" s="243" t="n"/>
      <c r="C135" s="264" t="n"/>
      <c r="D135" s="244" t="n"/>
    </row>
    <row r="136" hidden="1" ht="15" customHeight="1" s="545">
      <c r="B136" s="314" t="n"/>
      <c r="C136" s="315" t="n"/>
      <c r="D136" s="316" t="n"/>
      <c r="E136" s="317" t="n"/>
      <c r="F136" s="318" t="n"/>
      <c r="G136" s="318" t="n"/>
      <c r="H136" s="319" t="n"/>
      <c r="I136" s="319" t="n"/>
    </row>
    <row r="137" ht="15" customHeight="1" s="545">
      <c r="B137" s="320" t="n"/>
      <c r="C137" s="317" t="n"/>
      <c r="D137" s="317" t="n"/>
      <c r="E137" s="317" t="n"/>
      <c r="F137" s="318" t="n"/>
      <c r="G137" s="318" t="n"/>
      <c r="H137" s="319" t="n"/>
      <c r="I137" s="319" t="n"/>
    </row>
    <row r="138" ht="15" customHeight="1" s="545">
      <c r="B138" s="320" t="n"/>
      <c r="C138" s="317" t="n"/>
      <c r="D138" s="317" t="n"/>
      <c r="E138" s="317" t="n"/>
      <c r="F138" s="318" t="n"/>
      <c r="G138" s="318" t="n"/>
      <c r="H138" s="319" t="n"/>
      <c r="I138" s="319" t="n"/>
    </row>
    <row r="139" ht="15" customHeight="1" s="545">
      <c r="B139" s="320" t="n"/>
      <c r="C139" s="317" t="n"/>
      <c r="D139" s="317" t="n"/>
      <c r="E139" s="317" t="n"/>
      <c r="F139" s="318" t="n"/>
      <c r="G139" s="318" t="n"/>
      <c r="H139" s="319" t="n"/>
      <c r="I139" s="319" t="n"/>
    </row>
    <row r="140" ht="15" customHeight="1" s="545">
      <c r="B140" s="320" t="n"/>
      <c r="C140" s="317" t="n"/>
      <c r="D140" s="317" t="n"/>
      <c r="E140" s="317" t="n"/>
      <c r="F140" s="318" t="n"/>
      <c r="G140" s="318" t="n"/>
      <c r="H140" s="319" t="n"/>
      <c r="I140" s="319" t="n"/>
    </row>
    <row r="141" ht="15" customHeight="1" s="545">
      <c r="B141" s="320" t="n"/>
      <c r="C141" s="317" t="n"/>
      <c r="D141" s="317" t="n"/>
      <c r="E141" s="317" t="n"/>
      <c r="F141" s="318" t="n"/>
      <c r="G141" s="318" t="n"/>
      <c r="H141" s="319" t="n"/>
      <c r="I141" s="319" t="n"/>
    </row>
    <row r="142" ht="15" customHeight="1" s="545">
      <c r="B142" s="320" t="n"/>
      <c r="C142" s="317" t="n"/>
      <c r="D142" s="317" t="n"/>
      <c r="E142" s="317" t="n"/>
      <c r="F142" s="318" t="n"/>
      <c r="G142" s="318" t="n"/>
      <c r="H142" s="319" t="n"/>
      <c r="I142" s="319" t="n"/>
    </row>
    <row r="143" ht="15" customHeight="1" s="545">
      <c r="B143" s="320" t="n"/>
      <c r="C143" s="317" t="n"/>
      <c r="D143" s="317" t="n"/>
      <c r="E143" s="317" t="n"/>
      <c r="F143" s="318" t="n"/>
      <c r="G143" s="318" t="n"/>
      <c r="H143" s="319" t="n"/>
      <c r="I143" s="319" t="n"/>
    </row>
    <row r="144" ht="15" customHeight="1" s="545">
      <c r="B144" s="320" t="n"/>
      <c r="C144" s="317" t="n"/>
      <c r="D144" s="317" t="n"/>
      <c r="E144" s="317" t="n"/>
      <c r="F144" s="318" t="n"/>
      <c r="G144" s="318" t="n"/>
      <c r="H144" s="319" t="n"/>
      <c r="I144" s="319" t="n"/>
    </row>
    <row r="145" ht="15" customHeight="1" s="545">
      <c r="B145" s="320" t="n"/>
      <c r="C145" s="317" t="n"/>
      <c r="D145" s="317" t="n"/>
      <c r="E145" s="317" t="n"/>
      <c r="F145" s="318" t="n"/>
      <c r="G145" s="318" t="n"/>
      <c r="H145" s="319" t="n"/>
      <c r="I145" s="319" t="n"/>
    </row>
    <row r="146" ht="15" customHeight="1" s="545">
      <c r="B146" s="320" t="n"/>
      <c r="C146" s="317" t="n"/>
      <c r="D146" s="317" t="n"/>
      <c r="E146" s="317" t="n"/>
      <c r="F146" s="318" t="n"/>
      <c r="G146" s="318" t="n"/>
      <c r="H146" s="319" t="n"/>
      <c r="I146" s="319" t="n"/>
    </row>
    <row r="147" ht="15" customHeight="1" s="545">
      <c r="B147" s="320" t="n"/>
      <c r="C147" s="317" t="n"/>
      <c r="D147" s="317" t="n"/>
      <c r="E147" s="317" t="n"/>
      <c r="F147" s="318" t="n"/>
      <c r="G147" s="318" t="n"/>
      <c r="H147" s="319" t="n"/>
      <c r="I147" s="319" t="n"/>
    </row>
    <row r="223" ht="12.75" customHeight="1" s="545">
      <c r="Q223" s="321" t="n"/>
      <c r="R223" s="321" t="n"/>
    </row>
    <row r="224" ht="12.75" customHeight="1" s="545">
      <c r="Q224" s="321" t="n"/>
      <c r="R224" s="321" t="n"/>
    </row>
    <row r="225" ht="12.75" customHeight="1" s="545">
      <c r="Q225" s="321" t="n"/>
      <c r="R225" s="321" t="n"/>
    </row>
    <row r="226" ht="12.75" customHeight="1" s="545">
      <c r="Q226" s="321" t="n"/>
      <c r="R226" s="321" t="n"/>
    </row>
    <row r="341" ht="12.75" customHeight="1" s="545">
      <c r="Q341" s="321" t="n"/>
      <c r="R341" s="321" t="n"/>
    </row>
    <row r="540" ht="12.75" customHeight="1" s="545">
      <c r="Q540" s="321" t="n"/>
      <c r="R540" s="321" t="n"/>
    </row>
    <row r="541" ht="12.75" customHeight="1" s="545">
      <c r="Q541" s="321" t="n"/>
      <c r="R541" s="321" t="n"/>
    </row>
    <row r="542" ht="12.75" customHeight="1" s="545">
      <c r="Q542" s="321" t="n"/>
      <c r="R542" s="321" t="n"/>
    </row>
  </sheetData>
  <mergeCells count="3">
    <mergeCell ref="B77:I77"/>
    <mergeCell ref="B2:G2"/>
    <mergeCell ref="B79:I79"/>
  </mergeCells>
  <dataValidations count="8">
    <dataValidation sqref="D11 D74" showDropDown="0" showInputMessage="1" showErrorMessage="1" allowBlank="1">
      <formula1>0</formula1>
      <formula2>0</formula2>
    </dataValidation>
    <dataValidation sqref="C4" showDropDown="0" showInputMessage="0" showErrorMessage="0" allowBlank="1" type="list">
      <formula1>OCC_NAME</formula1>
      <formula2>0</formula2>
    </dataValidation>
    <dataValidation sqref="C6" showDropDown="0" showInputMessage="0" showErrorMessage="0" allowBlank="1" type="list">
      <formula1>"A,B,A-B,C,CMILL,CDS,D,DPOLE,DMASVEN,S,SSLANT"</formula1>
      <formula2>0</formula2>
    </dataValidation>
    <dataValidation sqref="C7 C14" showDropDown="0" showInputMessage="0" showErrorMessage="0" allowBlank="1" type="list">
      <formula1>"Low Cost,Fair,Average,Good,Very Good,Excellent,Cheap"</formula1>
      <formula2>0</formula2>
    </dataValidation>
    <dataValidation sqref="C8" showDropDown="0" showInputMessage="0" showErrorMessage="0" allowBlank="1" type="list">
      <formula1>LAM_CITY</formula1>
      <formula2>0</formula2>
    </dataValidation>
    <dataValidation sqref="C18:C19" showDropDown="0" showInputMessage="0" showErrorMessage="0" allowBlank="1" type="list">
      <formula1>DEN_LABEL</formula1>
      <formula2>0</formula2>
    </dataValidation>
    <dataValidation sqref="C82" showDropDown="0" showInputMessage="0" showErrorMessage="1" allowBlank="1" type="list">
      <formula1>"70,65,60,55,50,45,40,35,30,25,20"</formula1>
      <formula2>0</formula2>
    </dataValidation>
    <dataValidation sqref="C83" showDropDown="0" showInputMessage="0" showErrorMessage="1" allowBlank="1" type="list">
      <formula1>"11,12,13,14,15,16,17,18"</formula1>
      <formula2>0</formula2>
    </dataValidation>
  </dataValidations>
  <pageMargins left="0.75" right="0.75" top="1" bottom="1" header="0.511811023622047" footer="0.511811023622047"/>
  <pageSetup orientation="portrait" paperSize="9" horizontalDpi="300" verticalDpi="300"/>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B1:L45"/>
  <sheetViews>
    <sheetView zoomScaleNormal="100" workbookViewId="0">
      <selection activeCell="D12" sqref="D12"/>
    </sheetView>
  </sheetViews>
  <sheetFormatPr baseColWidth="8" defaultColWidth="10.28515625" defaultRowHeight="12"/>
  <cols>
    <col width="2.28515625" customWidth="1" style="545" min="1" max="1"/>
    <col width="95.5703125" customWidth="1" style="545" min="2" max="2"/>
    <col width="16" customWidth="1" style="545" min="3" max="12"/>
  </cols>
  <sheetData>
    <row r="1" ht="21.75" customHeight="1" s="545">
      <c r="B1" s="565" t="inlineStr">
        <is>
          <t>COST APPROACH — MULTI-BUILDING SUMMARY</t>
        </is>
      </c>
      <c r="C1" s="565" t="n"/>
      <c r="D1" s="565" t="n"/>
      <c r="E1" s="565" t="n"/>
      <c r="F1" s="565" t="n"/>
      <c r="G1" s="565" t="n"/>
      <c r="H1" s="565" t="n"/>
      <c r="I1" s="565" t="n"/>
      <c r="J1" s="565" t="n"/>
      <c r="K1" s="565" t="n"/>
      <c r="L1" s="565" t="n"/>
    </row>
    <row r="2" ht="69.75" customHeight="1" s="545">
      <c r="B2" s="43" t="inlineStr">
        <is>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is>
      </c>
      <c r="C2" s="43" t="n"/>
      <c r="D2" s="43" t="n"/>
      <c r="E2" s="43" t="n"/>
      <c r="F2" s="43" t="n"/>
      <c r="G2" s="43" t="n"/>
      <c r="H2" s="43" t="n"/>
      <c r="I2" s="43" t="n"/>
      <c r="J2" s="43" t="n"/>
      <c r="K2" s="43" t="n"/>
      <c r="L2" s="43" t="n"/>
    </row>
    <row r="4" ht="12.75" customHeight="1" s="545">
      <c r="B4" s="43" t="inlineStr">
        <is>
          <t>Line item \ Building</t>
        </is>
      </c>
      <c r="C4" s="43" t="inlineStr">
        <is>
          <t>Building 1</t>
        </is>
      </c>
      <c r="D4" s="43" t="inlineStr">
        <is>
          <t>Building 2</t>
        </is>
      </c>
      <c r="E4" s="43" t="inlineStr">
        <is>
          <t>Building 3</t>
        </is>
      </c>
      <c r="F4" s="43" t="inlineStr">
        <is>
          <t>Building 4</t>
        </is>
      </c>
      <c r="G4" s="43" t="inlineStr">
        <is>
          <t>Building 5</t>
        </is>
      </c>
      <c r="H4" s="43" t="inlineStr">
        <is>
          <t>Building 6</t>
        </is>
      </c>
      <c r="I4" s="43" t="inlineStr">
        <is>
          <t>Building 7</t>
        </is>
      </c>
      <c r="J4" s="43" t="inlineStr">
        <is>
          <t>Building 8</t>
        </is>
      </c>
      <c r="K4" s="43" t="inlineStr">
        <is>
          <t>Building 9</t>
        </is>
      </c>
      <c r="L4" s="43" t="inlineStr">
        <is>
          <t>Building 10</t>
        </is>
      </c>
    </row>
    <row r="5" ht="12.75" customHeight="1" s="545">
      <c r="B5" s="43" t="inlineStr">
        <is>
          <t>OCC Code (from Subject Property)</t>
        </is>
      </c>
      <c r="C5" s="51">
        <f>'Subject Property'!C14</f>
        <v/>
      </c>
      <c r="D5" s="51">
        <f>'Subject Property'!D14</f>
        <v/>
      </c>
      <c r="E5" s="51">
        <f>'Subject Property'!E14</f>
        <v/>
      </c>
      <c r="F5" s="51">
        <f>'Subject Property'!F14</f>
        <v/>
      </c>
      <c r="G5" s="51">
        <f>'Subject Property'!G14</f>
        <v/>
      </c>
      <c r="H5" s="51">
        <f>'Subject Property'!H14</f>
        <v/>
      </c>
      <c r="I5" s="51">
        <f>'Subject Property'!I14</f>
        <v/>
      </c>
      <c r="J5" s="51">
        <f>'Subject Property'!J14</f>
        <v/>
      </c>
      <c r="K5" s="51">
        <f>'Subject Property'!K14</f>
        <v/>
      </c>
      <c r="L5" s="51">
        <f>'Subject Property'!L14</f>
        <v/>
      </c>
    </row>
    <row r="6" ht="12.75" customHeight="1" s="545">
      <c r="B6" s="43" t="inlineStr">
        <is>
          <t>Occupancy (MVS, auto)</t>
        </is>
      </c>
      <c r="C6" s="51">
        <f>IF(C5="","",IFERROR(INDEX(OCCMAP_NAME,MATCH(C5,OCCMAP_CODE,0)),"n/a"))</f>
        <v/>
      </c>
      <c r="D6" s="51">
        <f>IF(D5="","",IFERROR(INDEX(OCCMAP_NAME,MATCH(D5,OCCMAP_CODE,0)),"n/a"))</f>
        <v/>
      </c>
      <c r="E6" s="51">
        <f>IF(E5="","",IFERROR(INDEX(OCCMAP_NAME,MATCH(E5,OCCMAP_CODE,0)),"n/a"))</f>
        <v/>
      </c>
      <c r="F6" s="51">
        <f>IF(F5="","",IFERROR(INDEX(OCCMAP_NAME,MATCH(F5,OCCMAP_CODE,0)),"n/a"))</f>
        <v/>
      </c>
      <c r="G6" s="51">
        <f>IF(G5="","",IFERROR(INDEX(OCCMAP_NAME,MATCH(G5,OCCMAP_CODE,0)),"n/a"))</f>
        <v/>
      </c>
      <c r="H6" s="51">
        <f>IF(H5="","",IFERROR(INDEX(OCCMAP_NAME,MATCH(H5,OCCMAP_CODE,0)),"n/a"))</f>
        <v/>
      </c>
      <c r="I6" s="51">
        <f>IF(I5="","",IFERROR(INDEX(OCCMAP_NAME,MATCH(I5,OCCMAP_CODE,0)),"n/a"))</f>
        <v/>
      </c>
      <c r="J6" s="51">
        <f>IF(J5="","",IFERROR(INDEX(OCCMAP_NAME,MATCH(J5,OCCMAP_CODE,0)),"n/a"))</f>
        <v/>
      </c>
      <c r="K6" s="51">
        <f>IF(K5="","",IFERROR(INDEX(OCCMAP_NAME,MATCH(K5,OCCMAP_CODE,0)),"n/a"))</f>
        <v/>
      </c>
      <c r="L6" s="51">
        <f>IF(L5="","",IFERROR(INDEX(OCCMAP_NAME,MATCH(L5,OCCMAP_CODE,0)),"n/a"))</f>
        <v/>
      </c>
    </row>
    <row r="7" ht="12.75" customHeight="1" s="545">
      <c r="B7" s="43" t="inlineStr">
        <is>
          <t>Building Class  [enter]</t>
        </is>
      </c>
      <c r="C7" s="49" t="inlineStr">
        <is>
          <t>C</t>
        </is>
      </c>
      <c r="D7" s="49" t="n"/>
      <c r="E7" s="49" t="n"/>
      <c r="F7" s="49" t="n"/>
      <c r="G7" s="49" t="n"/>
      <c r="H7" s="49" t="n"/>
      <c r="I7" s="49" t="n"/>
      <c r="J7" s="49" t="n"/>
      <c r="K7" s="49" t="n"/>
      <c r="L7" s="49" t="n"/>
    </row>
    <row r="8" ht="12.75" customHeight="1" s="545">
      <c r="B8" s="43" t="inlineStr">
        <is>
          <t>Quality (MVS)  [enter]</t>
        </is>
      </c>
      <c r="C8" s="49" t="inlineStr">
        <is>
          <t>Average</t>
        </is>
      </c>
      <c r="D8" s="49" t="n"/>
      <c r="E8" s="49" t="n"/>
      <c r="F8" s="49" t="n"/>
      <c r="G8" s="49" t="n"/>
      <c r="H8" s="49" t="n"/>
      <c r="I8" s="49" t="n"/>
      <c r="J8" s="49" t="n"/>
      <c r="K8" s="49" t="n"/>
      <c r="L8" s="49" t="n"/>
    </row>
    <row r="9" ht="12.75" customHeight="1" s="545">
      <c r="B9" s="43" t="inlineStr">
        <is>
          <t>Building Size SF (from Subject)</t>
        </is>
      </c>
      <c r="C9" s="52">
        <f>'Subject Property'!C15</f>
        <v/>
      </c>
      <c r="D9" s="52">
        <f>'Subject Property'!D15</f>
        <v/>
      </c>
      <c r="E9" s="52">
        <f>'Subject Property'!E15</f>
        <v/>
      </c>
      <c r="F9" s="52">
        <f>'Subject Property'!F15</f>
        <v/>
      </c>
      <c r="G9" s="52">
        <f>'Subject Property'!G15</f>
        <v/>
      </c>
      <c r="H9" s="52">
        <f>'Subject Property'!H15</f>
        <v/>
      </c>
      <c r="I9" s="52">
        <f>'Subject Property'!I15</f>
        <v/>
      </c>
      <c r="J9" s="52">
        <f>'Subject Property'!J15</f>
        <v/>
      </c>
      <c r="K9" s="52">
        <f>'Subject Property'!K15</f>
        <v/>
      </c>
      <c r="L9" s="52">
        <f>'Subject Property'!L15</f>
        <v/>
      </c>
    </row>
    <row r="10" ht="12.75" customHeight="1" s="545">
      <c r="B10" s="43" t="inlineStr">
        <is>
          <t>Avg Eave/Wall Height ft  [enter]</t>
        </is>
      </c>
      <c r="C10" s="52" t="n">
        <v>40</v>
      </c>
      <c r="D10" s="52" t="n"/>
      <c r="E10" s="52" t="n"/>
      <c r="F10" s="52" t="n"/>
      <c r="G10" s="52" t="n"/>
      <c r="H10" s="52" t="n"/>
      <c r="I10" s="52" t="n"/>
      <c r="J10" s="52" t="n"/>
      <c r="K10" s="52" t="n"/>
      <c r="L10" s="52" t="n"/>
    </row>
    <row r="11" ht="12.75" customHeight="1" s="545">
      <c r="B11" s="43" t="inlineStr">
        <is>
          <t>Sprinkler Tier  [enter]</t>
        </is>
      </c>
      <c r="C11" s="49" t="inlineStr">
        <is>
          <t>Average</t>
        </is>
      </c>
      <c r="D11" s="49" t="n"/>
      <c r="E11" s="49" t="n"/>
      <c r="F11" s="49" t="n"/>
      <c r="G11" s="49" t="n"/>
      <c r="H11" s="49" t="n"/>
      <c r="I11" s="49" t="n"/>
      <c r="J11" s="49" t="n"/>
      <c r="K11" s="49" t="n"/>
      <c r="L11" s="49" t="n"/>
    </row>
    <row r="12" ht="12.75" customHeight="1" s="545">
      <c r="B12" s="43" t="inlineStr">
        <is>
          <t>Effective Age yrs (from Subject)</t>
        </is>
      </c>
      <c r="C12" s="52" t="n">
        <v>6</v>
      </c>
      <c r="D12" s="52" t="n"/>
      <c r="E12" s="52">
        <f>'Subject Property'!E19</f>
        <v/>
      </c>
      <c r="F12" s="52">
        <f>'Subject Property'!F19</f>
        <v/>
      </c>
      <c r="G12" s="52">
        <f>'Subject Property'!G19</f>
        <v/>
      </c>
      <c r="H12" s="52">
        <f>'Subject Property'!H19</f>
        <v/>
      </c>
      <c r="I12" s="52">
        <f>'Subject Property'!I19</f>
        <v/>
      </c>
      <c r="J12" s="52">
        <f>'Subject Property'!J19</f>
        <v/>
      </c>
      <c r="K12" s="52">
        <f>'Subject Property'!K19</f>
        <v/>
      </c>
      <c r="L12" s="52">
        <f>'Subject Property'!L19</f>
        <v/>
      </c>
    </row>
    <row r="13" ht="12.75" customHeight="1" s="545">
      <c r="B13" s="43" t="inlineStr">
        <is>
          <t>MVS Section (auto)</t>
        </is>
      </c>
      <c r="C13" s="51">
        <f>IFERROR(INDEX(OCC_SECTION,MATCH(C6,OCC_NAME,0)),"")</f>
        <v/>
      </c>
      <c r="D13" s="51">
        <f>IFERROR(INDEX(OCC_SECTION,MATCH(D6,OCC_NAME,0)),"")</f>
        <v/>
      </c>
      <c r="E13" s="51">
        <f>IFERROR(INDEX(OCC_SECTION,MATCH(E6,OCC_NAME,0)),"")</f>
        <v/>
      </c>
      <c r="F13" s="51">
        <f>IFERROR(INDEX(OCC_SECTION,MATCH(F6,OCC_NAME,0)),"")</f>
        <v/>
      </c>
      <c r="G13" s="51">
        <f>IFERROR(INDEX(OCC_SECTION,MATCH(G6,OCC_NAME,0)),"")</f>
        <v/>
      </c>
      <c r="H13" s="51">
        <f>IFERROR(INDEX(OCC_SECTION,MATCH(H6,OCC_NAME,0)),"")</f>
        <v/>
      </c>
      <c r="I13" s="51">
        <f>IFERROR(INDEX(OCC_SECTION,MATCH(I6,OCC_NAME,0)),"")</f>
        <v/>
      </c>
      <c r="J13" s="51">
        <f>IFERROR(INDEX(OCC_SECTION,MATCH(J6,OCC_NAME,0)),"")</f>
        <v/>
      </c>
      <c r="K13" s="51">
        <f>IFERROR(INDEX(OCC_SECTION,MATCH(K6,OCC_NAME,0)),"")</f>
        <v/>
      </c>
      <c r="L13" s="51">
        <f>IFERROR(INDEX(OCC_SECTION,MATCH(L6,OCC_NAME,0)),"")</f>
        <v/>
      </c>
    </row>
    <row r="14" ht="12.75" customHeight="1" s="545">
      <c r="B14" s="43" t="inlineStr">
        <is>
          <t>Base Cost $/SF (auto)</t>
        </is>
      </c>
      <c r="C14" s="51">
        <f>IFERROR(INDEX(BC_VALUE,MATCH(C6&amp;"|"&amp;C7&amp;"|"&amp;C8,BC_KEY,0)),0)</f>
        <v/>
      </c>
      <c r="D14" s="51">
        <f>IFERROR(INDEX(BC_VALUE,MATCH(D6&amp;"|"&amp;D7&amp;"|"&amp;D8,BC_KEY,0)),0)</f>
        <v/>
      </c>
      <c r="E14" s="51">
        <f>IFERROR(INDEX(BC_VALUE,MATCH(E6&amp;"|"&amp;E7&amp;"|"&amp;E8,BC_KEY,0)),0)</f>
        <v/>
      </c>
      <c r="F14" s="51">
        <f>IFERROR(INDEX(BC_VALUE,MATCH(F6&amp;"|"&amp;F7&amp;"|"&amp;F8,BC_KEY,0)),0)</f>
        <v/>
      </c>
      <c r="G14" s="51">
        <f>IFERROR(INDEX(BC_VALUE,MATCH(G6&amp;"|"&amp;G7&amp;"|"&amp;G8,BC_KEY,0)),0)</f>
        <v/>
      </c>
      <c r="H14" s="51">
        <f>IFERROR(INDEX(BC_VALUE,MATCH(H6&amp;"|"&amp;H7&amp;"|"&amp;H8,BC_KEY,0)),0)</f>
        <v/>
      </c>
      <c r="I14" s="51">
        <f>IFERROR(INDEX(BC_VALUE,MATCH(I6&amp;"|"&amp;I7&amp;"|"&amp;I8,BC_KEY,0)),0)</f>
        <v/>
      </c>
      <c r="J14" s="51">
        <f>IFERROR(INDEX(BC_VALUE,MATCH(J6&amp;"|"&amp;J7&amp;"|"&amp;J8,BC_KEY,0)),0)</f>
        <v/>
      </c>
      <c r="K14" s="51">
        <f>IFERROR(INDEX(BC_VALUE,MATCH(K6&amp;"|"&amp;K7&amp;"|"&amp;K8,BC_KEY,0)),0)</f>
        <v/>
      </c>
      <c r="L14" s="51">
        <f>IFERROR(INDEX(BC_VALUE,MATCH(L6&amp;"|"&amp;L7&amp;"|"&amp;L8,BC_KEY,0)),0)</f>
        <v/>
      </c>
    </row>
    <row r="15" ht="12.75" customHeight="1" s="545">
      <c r="B15" s="43" t="inlineStr">
        <is>
          <t>Sprinkler $/SF (auto)</t>
        </is>
      </c>
      <c r="C15" s="51">
        <f>IFERROR(INDEX(INDIRECT("SPR"&amp;C13&amp;"_VALS"),MATCH(C9,INDIRECT("SPR"&amp;C13&amp;"_SF"),1),MATCH(C11,SPR_HDR,0)),0)</f>
        <v/>
      </c>
      <c r="D15" s="51">
        <f>IFERROR(INDEX(INDIRECT("SPR"&amp;D13&amp;"_VALS"),MATCH(D9,INDIRECT("SPR"&amp;D13&amp;"_SF"),1),MATCH(D11,SPR_HDR,0)),0)</f>
        <v/>
      </c>
      <c r="E15" s="51">
        <f>IFERROR(INDEX(INDIRECT("SPR"&amp;E13&amp;"_VALS"),MATCH(E9,INDIRECT("SPR"&amp;E13&amp;"_SF"),1),MATCH(E11,SPR_HDR,0)),0)</f>
        <v/>
      </c>
      <c r="F15" s="51">
        <f>IFERROR(INDEX(INDIRECT("SPR"&amp;F13&amp;"_VALS"),MATCH(F9,INDIRECT("SPR"&amp;F13&amp;"_SF"),1),MATCH(F11,SPR_HDR,0)),0)</f>
        <v/>
      </c>
      <c r="G15" s="51">
        <f>IFERROR(INDEX(INDIRECT("SPR"&amp;G13&amp;"_VALS"),MATCH(G9,INDIRECT("SPR"&amp;G13&amp;"_SF"),1),MATCH(G11,SPR_HDR,0)),0)</f>
        <v/>
      </c>
      <c r="H15" s="51">
        <f>IFERROR(INDEX(INDIRECT("SPR"&amp;H13&amp;"_VALS"),MATCH(H9,INDIRECT("SPR"&amp;H13&amp;"_SF"),1),MATCH(H11,SPR_HDR,0)),0)</f>
        <v/>
      </c>
      <c r="I15" s="51">
        <f>IFERROR(INDEX(INDIRECT("SPR"&amp;I13&amp;"_VALS"),MATCH(I9,INDIRECT("SPR"&amp;I13&amp;"_SF"),1),MATCH(I11,SPR_HDR,0)),0)</f>
        <v/>
      </c>
      <c r="J15" s="51">
        <f>IFERROR(INDEX(INDIRECT("SPR"&amp;J13&amp;"_VALS"),MATCH(J9,INDIRECT("SPR"&amp;J13&amp;"_SF"),1),MATCH(J11,SPR_HDR,0)),0)</f>
        <v/>
      </c>
      <c r="K15" s="51">
        <f>IFERROR(INDEX(INDIRECT("SPR"&amp;K13&amp;"_VALS"),MATCH(K9,INDIRECT("SPR"&amp;K13&amp;"_SF"),1),MATCH(K11,SPR_HDR,0)),0)</f>
        <v/>
      </c>
      <c r="L15" s="51">
        <f>IFERROR(INDEX(INDIRECT("SPR"&amp;L13&amp;"_VALS"),MATCH(L9,INDIRECT("SPR"&amp;L13&amp;"_SF"),1),MATCH(L11,SPR_HDR,0)),0)</f>
        <v/>
      </c>
    </row>
    <row r="16" ht="12.75" customHeight="1" s="545">
      <c r="B16" s="43" t="inlineStr">
        <is>
          <t>Story-Height Mult (auto)</t>
        </is>
      </c>
      <c r="C16" s="51">
        <f>IFERROR(INDEX(INDIRECT("SH"&amp;C13&amp;"_M"),MATCH(C10,INDIRECT("SH"&amp;C13&amp;"_H"),1)),1)</f>
        <v/>
      </c>
      <c r="D16" s="51">
        <f>IFERROR(INDEX(INDIRECT("SH"&amp;D13&amp;"_M"),MATCH(D10,INDIRECT("SH"&amp;D13&amp;"_H"),1)),1)</f>
        <v/>
      </c>
      <c r="E16" s="51">
        <f>IFERROR(INDEX(INDIRECT("SH"&amp;E13&amp;"_M"),MATCH(E10,INDIRECT("SH"&amp;E13&amp;"_H"),1)),1)</f>
        <v/>
      </c>
      <c r="F16" s="51">
        <f>IFERROR(INDEX(INDIRECT("SH"&amp;F13&amp;"_M"),MATCH(F10,INDIRECT("SH"&amp;F13&amp;"_H"),1)),1)</f>
        <v/>
      </c>
      <c r="G16" s="51">
        <f>IFERROR(INDEX(INDIRECT("SH"&amp;G13&amp;"_M"),MATCH(G10,INDIRECT("SH"&amp;G13&amp;"_H"),1)),1)</f>
        <v/>
      </c>
      <c r="H16" s="51">
        <f>IFERROR(INDEX(INDIRECT("SH"&amp;H13&amp;"_M"),MATCH(H10,INDIRECT("SH"&amp;H13&amp;"_H"),1)),1)</f>
        <v/>
      </c>
      <c r="I16" s="51">
        <f>IFERROR(INDEX(INDIRECT("SH"&amp;I13&amp;"_M"),MATCH(I10,INDIRECT("SH"&amp;I13&amp;"_H"),1)),1)</f>
        <v/>
      </c>
      <c r="J16" s="51">
        <f>IFERROR(INDEX(INDIRECT("SH"&amp;J13&amp;"_M"),MATCH(J10,INDIRECT("SH"&amp;J13&amp;"_H"),1)),1)</f>
        <v/>
      </c>
      <c r="K16" s="51">
        <f>IFERROR(INDEX(INDIRECT("SH"&amp;K13&amp;"_M"),MATCH(K10,INDIRECT("SH"&amp;K13&amp;"_H"),1)),1)</f>
        <v/>
      </c>
      <c r="L16" s="51">
        <f>IFERROR(INDEX(INDIRECT("SH"&amp;L13&amp;"_M"),MATCH(L10,INDIRECT("SH"&amp;L13&amp;"_H"),1)),1)</f>
        <v/>
      </c>
    </row>
    <row r="17" ht="12.75" customHeight="1" s="545">
      <c r="B17" s="43" t="inlineStr">
        <is>
          <t>Adjusted Building Cost</t>
        </is>
      </c>
      <c r="C17" s="51">
        <f>IF(C6="","",C9*(C14+C15)*C44*IF(N(C45)=0,1,C45)*IF(C43="",1,C43)*C16)</f>
        <v/>
      </c>
      <c r="D17" s="51">
        <f>IF(D6="","",D9*(D14+D15)*D44*IF(N(D45)=0,1,D45)*IF(D43="",1,D43)*D16)</f>
        <v/>
      </c>
      <c r="E17" s="51">
        <f>IF(E6="","",E9*(E14+E15)*E44*IF(N(E45)=0,1,E45)*IF(E43="",1,E43)*E16)</f>
        <v/>
      </c>
      <c r="F17" s="51">
        <f>IF(F6="","",F9*(F14+F15)*F44*IF(N(F45)=0,1,F45)*IF(F43="",1,F43)*F16)</f>
        <v/>
      </c>
      <c r="G17" s="51">
        <f>IF(G6="","",G9*(G14+G15)*G44*IF(N(G45)=0,1,G45)*IF(G43="",1,G43)*G16)</f>
        <v/>
      </c>
      <c r="H17" s="51">
        <f>IF(H6="","",H9*(H14+H15)*H44*IF(N(H45)=0,1,H45)*IF(H43="",1,H43)*H16)</f>
        <v/>
      </c>
      <c r="I17" s="51">
        <f>IF(I6="","",I9*(I14+I15)*I44*IF(N(I45)=0,1,I45)*IF(I43="",1,I43)*I16)</f>
        <v/>
      </c>
      <c r="J17" s="51">
        <f>IF(J6="","",J9*(J14+J15)*J44*IF(N(J45)=0,1,J45)*IF(J43="",1,J43)*J16)</f>
        <v/>
      </c>
      <c r="K17" s="51">
        <f>IF(K6="","",K9*(K14+K15)*K44*IF(N(K45)=0,1,K45)*IF(K43="",1,K43)*K16)</f>
        <v/>
      </c>
      <c r="L17" s="51">
        <f>IF(L6="","",L9*(L14+L15)*L44*IF(N(L45)=0,1,L45)*IF(L43="",1,L43)*L16)</f>
        <v/>
      </c>
    </row>
    <row r="18" ht="12.75" customHeight="1" s="545">
      <c r="B18" s="43" t="inlineStr">
        <is>
          <t>RCN (+ indirect + EP)</t>
        </is>
      </c>
      <c r="C18" s="51">
        <f>IF(C17="","",C17*(1+'Cost Approach'!$C$48)*(1+'Cost Approach'!$C$50))</f>
        <v/>
      </c>
      <c r="D18" s="51">
        <f>IF(D17="","",D17*(1+'Cost Approach'!$C$48)*(1+'Cost Approach'!$C$50))</f>
        <v/>
      </c>
      <c r="E18" s="51">
        <f>IF(E17="","",E17*(1+'Cost Approach'!$C$48)*(1+'Cost Approach'!$C$50))</f>
        <v/>
      </c>
      <c r="F18" s="51">
        <f>IF(F17="","",F17*(1+'Cost Approach'!$C$48)*(1+'Cost Approach'!$C$50))</f>
        <v/>
      </c>
      <c r="G18" s="51">
        <f>IF(G17="","",G17*(1+'Cost Approach'!$C$48)*(1+'Cost Approach'!$C$50))</f>
        <v/>
      </c>
      <c r="H18" s="51">
        <f>IF(H17="","",H17*(1+'Cost Approach'!$C$48)*(1+'Cost Approach'!$C$50))</f>
        <v/>
      </c>
      <c r="I18" s="51">
        <f>IF(I17="","",I17*(1+'Cost Approach'!$C$48)*(1+'Cost Approach'!$C$50))</f>
        <v/>
      </c>
      <c r="J18" s="51">
        <f>IF(J17="","",J17*(1+'Cost Approach'!$C$48)*(1+'Cost Approach'!$C$50))</f>
        <v/>
      </c>
      <c r="K18" s="51">
        <f>IF(K17="","",K17*(1+'Cost Approach'!$C$48)*(1+'Cost Approach'!$C$50))</f>
        <v/>
      </c>
      <c r="L18" s="51">
        <f>IF(L17="","",L17*(1+'Cost Approach'!$C$48)*(1+'Cost Approach'!$C$50))</f>
        <v/>
      </c>
    </row>
    <row r="19" ht="12.75" customHeight="1" s="545">
      <c r="B19" s="43" t="inlineStr">
        <is>
          <t>Life Expectancy yrs (auto)</t>
        </is>
      </c>
      <c r="C19" s="51">
        <f>IFERROR(INDEX(LIFE_VALUES,MATCH(C6&amp;"|"&amp;C8,LIFE_KEY,0),MATCH("Class "&amp;IF(C7="CMILL","C",IF(OR(C7="DPOLE",C7="DMASVEN",C7="CDS"),"D",IF(C7="A-B","B",IF(C7="SSLANT","S",C7)))),LIFE_CLASSHDR,0)),0)</f>
        <v/>
      </c>
      <c r="D19" s="51">
        <f>IFERROR(INDEX(LIFE_VALUES,MATCH(D6&amp;"|"&amp;D8,LIFE_KEY,0),MATCH("Class "&amp;IF(D7="CMILL","C",IF(OR(D7="DPOLE",D7="DMASVEN",D7="CDS"),"D",IF(D7="A-B","B",IF(D7="SSLANT","S",D7)))),LIFE_CLASSHDR,0)),0)</f>
        <v/>
      </c>
      <c r="E19" s="51">
        <f>IFERROR(INDEX(LIFE_VALUES,MATCH(E6&amp;"|"&amp;E8,LIFE_KEY,0),MATCH("Class "&amp;IF(E7="CMILL","C",IF(OR(E7="DPOLE",E7="DMASVEN",E7="CDS"),"D",IF(E7="A-B","B",IF(E7="SSLANT","S",E7)))),LIFE_CLASSHDR,0)),0)</f>
        <v/>
      </c>
      <c r="F19" s="51">
        <f>IFERROR(INDEX(LIFE_VALUES,MATCH(F6&amp;"|"&amp;F8,LIFE_KEY,0),MATCH("Class "&amp;IF(F7="CMILL","C",IF(OR(F7="DPOLE",F7="DMASVEN",F7="CDS"),"D",IF(F7="A-B","B",IF(F7="SSLANT","S",F7)))),LIFE_CLASSHDR,0)),0)</f>
        <v/>
      </c>
      <c r="G19" s="51">
        <f>IFERROR(INDEX(LIFE_VALUES,MATCH(G6&amp;"|"&amp;G8,LIFE_KEY,0),MATCH("Class "&amp;IF(G7="CMILL","C",IF(OR(G7="DPOLE",G7="DMASVEN",G7="CDS"),"D",IF(G7="A-B","B",IF(G7="SSLANT","S",G7)))),LIFE_CLASSHDR,0)),0)</f>
        <v/>
      </c>
      <c r="H19" s="51">
        <f>IFERROR(INDEX(LIFE_VALUES,MATCH(H6&amp;"|"&amp;H8,LIFE_KEY,0),MATCH("Class "&amp;IF(H7="CMILL","C",IF(OR(H7="DPOLE",H7="DMASVEN",H7="CDS"),"D",IF(H7="A-B","B",IF(H7="SSLANT","S",H7)))),LIFE_CLASSHDR,0)),0)</f>
        <v/>
      </c>
      <c r="I19" s="51">
        <f>IFERROR(INDEX(LIFE_VALUES,MATCH(I6&amp;"|"&amp;I8,LIFE_KEY,0),MATCH("Class "&amp;IF(I7="CMILL","C",IF(OR(I7="DPOLE",I7="DMASVEN",I7="CDS"),"D",IF(I7="A-B","B",IF(I7="SSLANT","S",I7)))),LIFE_CLASSHDR,0)),0)</f>
        <v/>
      </c>
      <c r="J19" s="51">
        <f>IFERROR(INDEX(LIFE_VALUES,MATCH(J6&amp;"|"&amp;J8,LIFE_KEY,0),MATCH("Class "&amp;IF(J7="CMILL","C",IF(OR(J7="DPOLE",J7="DMASVEN",J7="CDS"),"D",IF(J7="A-B","B",IF(J7="SSLANT","S",J7)))),LIFE_CLASSHDR,0)),0)</f>
        <v/>
      </c>
      <c r="K19" s="51">
        <f>IFERROR(INDEX(LIFE_VALUES,MATCH(K6&amp;"|"&amp;K8,LIFE_KEY,0),MATCH("Class "&amp;IF(K7="CMILL","C",IF(OR(K7="DPOLE",K7="DMASVEN",K7="CDS"),"D",IF(K7="A-B","B",IF(K7="SSLANT","S",K7)))),LIFE_CLASSHDR,0)),0)</f>
        <v/>
      </c>
      <c r="L19" s="51">
        <f>IFERROR(INDEX(LIFE_VALUES,MATCH(L6&amp;"|"&amp;L8,LIFE_KEY,0),MATCH("Class "&amp;IF(L7="CMILL","C",IF(OR(L7="DPOLE",L7="DMASVEN",L7="CDS"),"D",IF(L7="A-B","B",IF(L7="SSLANT","S",L7)))),LIFE_CLASSHDR,0)),0)</f>
        <v/>
      </c>
    </row>
    <row r="20" ht="12.75" customHeight="1" s="545">
      <c r="B20" s="43" t="inlineStr">
        <is>
          <t>Physical Depr % (auto)</t>
        </is>
      </c>
      <c r="C20" s="51">
        <f>IF(OR(C6="",C19=0),0,IFERROR(IF(IFERROR(INDEX(OCC_DEPR,MATCH(C6,OCC_NAME,0)),"C")="R",INDEX(DEPRR_VALUES,MATCH(C12,DEPRR_AGE,1),MATCH(C19,DEPRR_LIFEHDR,0)),INDEX(DEPR_VALUES,MATCH(C12,DEPR_AGE,1),MATCH(C19,DEPR_LIFEHDR,0)))/100,1))</f>
        <v/>
      </c>
      <c r="D20" s="51">
        <f>IF(OR(D6="",D19=0),0,IFERROR(IF(IFERROR(INDEX(OCC_DEPR,MATCH(D6,OCC_NAME,0)),"C")="R",INDEX(DEPRR_VALUES,MATCH(D12,DEPRR_AGE,1),MATCH(D19,DEPRR_LIFEHDR,0)),INDEX(DEPR_VALUES,MATCH(D12,DEPR_AGE,1),MATCH(D19,DEPR_LIFEHDR,0)))/100,1))</f>
        <v/>
      </c>
      <c r="E20" s="51">
        <f>IF(OR(E6="",E19=0),0,IFERROR(IF(IFERROR(INDEX(OCC_DEPR,MATCH(E6,OCC_NAME,0)),"C")="R",INDEX(DEPRR_VALUES,MATCH(E12,DEPRR_AGE,1),MATCH(E19,DEPRR_LIFEHDR,0)),INDEX(DEPR_VALUES,MATCH(E12,DEPR_AGE,1),MATCH(E19,DEPR_LIFEHDR,0)))/100,1))</f>
        <v/>
      </c>
      <c r="F20" s="51">
        <f>IF(OR(F6="",F19=0),0,IFERROR(IF(IFERROR(INDEX(OCC_DEPR,MATCH(F6,OCC_NAME,0)),"C")="R",INDEX(DEPRR_VALUES,MATCH(F12,DEPRR_AGE,1),MATCH(F19,DEPRR_LIFEHDR,0)),INDEX(DEPR_VALUES,MATCH(F12,DEPR_AGE,1),MATCH(F19,DEPR_LIFEHDR,0)))/100,1))</f>
        <v/>
      </c>
      <c r="G20" s="51">
        <f>IF(OR(G6="",G19=0),0,IFERROR(IF(IFERROR(INDEX(OCC_DEPR,MATCH(G6,OCC_NAME,0)),"C")="R",INDEX(DEPRR_VALUES,MATCH(G12,DEPRR_AGE,1),MATCH(G19,DEPRR_LIFEHDR,0)),INDEX(DEPR_VALUES,MATCH(G12,DEPR_AGE,1),MATCH(G19,DEPR_LIFEHDR,0)))/100,1))</f>
        <v/>
      </c>
      <c r="H20" s="51">
        <f>IF(OR(H6="",H19=0),0,IFERROR(IF(IFERROR(INDEX(OCC_DEPR,MATCH(H6,OCC_NAME,0)),"C")="R",INDEX(DEPRR_VALUES,MATCH(H12,DEPRR_AGE,1),MATCH(H19,DEPRR_LIFEHDR,0)),INDEX(DEPR_VALUES,MATCH(H12,DEPR_AGE,1),MATCH(H19,DEPR_LIFEHDR,0)))/100,1))</f>
        <v/>
      </c>
      <c r="I20" s="51">
        <f>IF(OR(I6="",I19=0),0,IFERROR(IF(IFERROR(INDEX(OCC_DEPR,MATCH(I6,OCC_NAME,0)),"C")="R",INDEX(DEPRR_VALUES,MATCH(I12,DEPRR_AGE,1),MATCH(I19,DEPRR_LIFEHDR,0)),INDEX(DEPR_VALUES,MATCH(I12,DEPR_AGE,1),MATCH(I19,DEPR_LIFEHDR,0)))/100,1))</f>
        <v/>
      </c>
      <c r="J20" s="51">
        <f>IF(OR(J6="",J19=0),0,IFERROR(IF(IFERROR(INDEX(OCC_DEPR,MATCH(J6,OCC_NAME,0)),"C")="R",INDEX(DEPRR_VALUES,MATCH(J12,DEPRR_AGE,1),MATCH(J19,DEPRR_LIFEHDR,0)),INDEX(DEPR_VALUES,MATCH(J12,DEPR_AGE,1),MATCH(J19,DEPR_LIFEHDR,0)))/100,1))</f>
        <v/>
      </c>
      <c r="K20" s="51">
        <f>IF(OR(K6="",K19=0),0,IFERROR(IF(IFERROR(INDEX(OCC_DEPR,MATCH(K6,OCC_NAME,0)),"C")="R",INDEX(DEPRR_VALUES,MATCH(K12,DEPRR_AGE,1),MATCH(K19,DEPRR_LIFEHDR,0)),INDEX(DEPR_VALUES,MATCH(K12,DEPR_AGE,1),MATCH(K19,DEPR_LIFEHDR,0)))/100,1))</f>
        <v/>
      </c>
      <c r="L20" s="51">
        <f>IF(OR(L6="",L19=0),0,IFERROR(IF(IFERROR(INDEX(OCC_DEPR,MATCH(L6,OCC_NAME,0)),"C")="R",INDEX(DEPRR_VALUES,MATCH(L12,DEPRR_AGE,1),MATCH(L19,DEPRR_LIFEHDR,0)),INDEX(DEPR_VALUES,MATCH(L12,DEPR_AGE,1),MATCH(L19,DEPR_LIFEHDR,0)))/100,1))</f>
        <v/>
      </c>
    </row>
    <row r="21" ht="12.75" customHeight="1" s="545">
      <c r="B21" s="43" t="inlineStr">
        <is>
          <t>Functional Obs %  [enter]</t>
        </is>
      </c>
      <c r="C21" s="514" t="n">
        <v>0</v>
      </c>
      <c r="D21" s="514" t="n"/>
      <c r="E21" s="52" t="n"/>
      <c r="F21" s="52" t="n"/>
      <c r="G21" s="52" t="n"/>
      <c r="H21" s="52" t="n"/>
      <c r="I21" s="52" t="n"/>
      <c r="J21" s="52" t="n"/>
      <c r="K21" s="52" t="n"/>
      <c r="L21" s="52" t="n"/>
    </row>
    <row r="22" ht="12.75" customHeight="1" s="545">
      <c r="B22" s="43" t="inlineStr">
        <is>
          <t>External Obs %  [enter]</t>
        </is>
      </c>
      <c r="C22" s="514" t="n">
        <v>0</v>
      </c>
      <c r="D22" s="514" t="n"/>
      <c r="E22" s="52" t="n"/>
      <c r="F22" s="52" t="n"/>
      <c r="G22" s="52" t="n"/>
      <c r="H22" s="52" t="n"/>
      <c r="I22" s="52" t="n"/>
      <c r="J22" s="52" t="n"/>
      <c r="K22" s="52" t="n"/>
      <c r="L22" s="52" t="n"/>
    </row>
    <row r="23" ht="12.75" customHeight="1" s="545">
      <c r="B23" s="43" t="inlineStr">
        <is>
          <t>Depreciated Improvement Value</t>
        </is>
      </c>
      <c r="C23" s="52">
        <f>IF(OR(C6="",COLUMN()-2&gt;Subj_NumBldgs),0,C18*(1-C20-C21-C22))</f>
        <v/>
      </c>
      <c r="D23" s="52">
        <f>IF(OR(D6="",COLUMN()-2&gt;Subj_NumBldgs),0,D18*(1-D20-D21-D22))</f>
        <v/>
      </c>
      <c r="E23" s="52">
        <f>IF(OR(E6="",COLUMN()-2&gt;Subj_NumBldgs),0,E18*(1-E20-E21-E22))</f>
        <v/>
      </c>
      <c r="F23" s="52">
        <f>IF(OR(F6="",COLUMN()-2&gt;Subj_NumBldgs),0,F18*(1-F20-F21-F22))</f>
        <v/>
      </c>
      <c r="G23" s="52">
        <f>IF(OR(G6="",COLUMN()-2&gt;Subj_NumBldgs),0,G18*(1-G20-G21-G22))</f>
        <v/>
      </c>
      <c r="H23" s="52">
        <f>IF(OR(H6="",COLUMN()-2&gt;Subj_NumBldgs),0,H18*(1-H20-H21-H22))</f>
        <v/>
      </c>
      <c r="I23" s="52">
        <f>IF(OR(I6="",COLUMN()-2&gt;Subj_NumBldgs),0,I18*(1-I20-I21-I22))</f>
        <v/>
      </c>
      <c r="J23" s="52">
        <f>IF(OR(J6="",COLUMN()-2&gt;Subj_NumBldgs),0,J18*(1-J20-J21-J22))</f>
        <v/>
      </c>
      <c r="K23" s="52">
        <f>IF(OR(K6="",COLUMN()-2&gt;Subj_NumBldgs),0,K18*(1-K20-K21-K22))</f>
        <v/>
      </c>
      <c r="L23" s="52">
        <f>IF(OR(L6="",COLUMN()-2&gt;Subj_NumBldgs),0,L18*(1-L20-L21-L22))</f>
        <v/>
      </c>
    </row>
    <row r="25" ht="15.75" customHeight="1" s="545">
      <c r="B25" s="565" t="inlineStr">
        <is>
          <t>TOTAL DEPRECIATED IMPROVEMENTS (all buildings)</t>
        </is>
      </c>
      <c r="C25" s="565">
        <f>SUM(C23:L23)</f>
        <v/>
      </c>
    </row>
    <row r="26" ht="12.75" customHeight="1" s="545">
      <c r="B26" s="43" t="inlineStr">
        <is>
          <t>Less Curable / Deferred Maintenance (Cost Approach)</t>
        </is>
      </c>
      <c r="C26" s="52">
        <f>'Cost Approach'!$F$56</f>
        <v/>
      </c>
    </row>
    <row r="27" ht="12.75" customHeight="1" s="545">
      <c r="B27" s="43" t="inlineStr">
        <is>
          <t>Plus Site Improvements (Cost Approach)</t>
        </is>
      </c>
      <c r="C27" s="52">
        <f>'Cost Approach'!$G$46</f>
        <v/>
      </c>
    </row>
    <row r="28" ht="12.75" customHeight="1" s="545">
      <c r="B28" s="43" t="inlineStr">
        <is>
          <t>Plus Land Value (Cost Approach)</t>
        </is>
      </c>
      <c r="C28" s="52">
        <f>'Cost Approach'!$G$67</f>
        <v/>
      </c>
    </row>
    <row r="29" ht="15.75" customHeight="1" s="545">
      <c r="B29" s="565" t="inlineStr">
        <is>
          <t>INDICATED VALUE BY COST APPROACH (multi-building)</t>
        </is>
      </c>
      <c r="C29" s="565">
        <f>C25-C26+C27+C28</f>
        <v/>
      </c>
    </row>
    <row r="30" ht="12.75" customHeight="1" s="545">
      <c r="B30" s="43" t="inlineStr">
        <is>
          <t>Rounded (nearest $5,000)</t>
        </is>
      </c>
      <c r="C30" s="52">
        <f>ROUND(C29/5000,0)*5000</f>
        <v/>
      </c>
    </row>
    <row r="31" ht="12.75" customHeight="1" s="545">
      <c r="B31" s="43" t="inlineStr">
        <is>
          <t>per SF of total building area</t>
        </is>
      </c>
      <c r="C31" s="52">
        <f>IFERROR(C29/Subj_TotalBldgSF,"")</f>
        <v/>
      </c>
    </row>
    <row r="33" ht="15.75" customHeight="1" s="545">
      <c r="B33" s="565" t="inlineStr">
        <is>
          <t>PROPERTY-TYPE VALUATION METRIC</t>
        </is>
      </c>
      <c r="C33" s="565" t="n"/>
      <c r="D33" s="565" t="n"/>
      <c r="E33" s="565" t="n"/>
      <c r="F33" s="565" t="n"/>
      <c r="G33" s="565" t="n"/>
      <c r="H33" s="565" t="n"/>
      <c r="I33" s="565" t="n"/>
      <c r="J33" s="565" t="n"/>
      <c r="K33" s="565" t="n"/>
      <c r="L33" s="565" t="n"/>
    </row>
    <row r="34" ht="12.75" customHeight="1" s="545">
      <c r="B34" s="43" t="inlineStr">
        <is>
          <t>Valuation Basis (auto from occupancy)</t>
        </is>
      </c>
      <c r="C34" s="51">
        <f>IF(C6="","",IF(OR(ISNUMBER(SEARCH("Apart",C6)),ISNUMBER(SEARCH("Multiple Residence",C6))),"Per Unit",IF(OR(ISNUMBER(SEARCH("Hotel",C6)),ISNUMBER(SEARCH("Motel",C6))),"Per Key","Per SF")))</f>
        <v/>
      </c>
      <c r="D34" s="51">
        <f>IF(D6="","",IF(OR(ISNUMBER(SEARCH("Apart",D6)),ISNUMBER(SEARCH("Multiple Residence",D6))),"Per Unit",IF(OR(ISNUMBER(SEARCH("Hotel",D6)),ISNUMBER(SEARCH("Motel",D6))),"Per Key","Per SF")))</f>
        <v/>
      </c>
      <c r="E34" s="51">
        <f>IF(E6="","",IF(OR(ISNUMBER(SEARCH("Apart",E6)),ISNUMBER(SEARCH("Multiple Residence",E6))),"Per Unit",IF(OR(ISNUMBER(SEARCH("Hotel",E6)),ISNUMBER(SEARCH("Motel",E6))),"Per Key","Per SF")))</f>
        <v/>
      </c>
      <c r="F34" s="51">
        <f>IF(F6="","",IF(OR(ISNUMBER(SEARCH("Apart",F6)),ISNUMBER(SEARCH("Multiple Residence",F6))),"Per Unit",IF(OR(ISNUMBER(SEARCH("Hotel",F6)),ISNUMBER(SEARCH("Motel",F6))),"Per Key","Per SF")))</f>
        <v/>
      </c>
      <c r="G34" s="51">
        <f>IF(G6="","",IF(OR(ISNUMBER(SEARCH("Apart",G6)),ISNUMBER(SEARCH("Multiple Residence",G6))),"Per Unit",IF(OR(ISNUMBER(SEARCH("Hotel",G6)),ISNUMBER(SEARCH("Motel",G6))),"Per Key","Per SF")))</f>
        <v/>
      </c>
      <c r="H34" s="51">
        <f>IF(H6="","",IF(OR(ISNUMBER(SEARCH("Apart",H6)),ISNUMBER(SEARCH("Multiple Residence",H6))),"Per Unit",IF(OR(ISNUMBER(SEARCH("Hotel",H6)),ISNUMBER(SEARCH("Motel",H6))),"Per Key","Per SF")))</f>
        <v/>
      </c>
      <c r="I34" s="51">
        <f>IF(I6="","",IF(OR(ISNUMBER(SEARCH("Apart",I6)),ISNUMBER(SEARCH("Multiple Residence",I6))),"Per Unit",IF(OR(ISNUMBER(SEARCH("Hotel",I6)),ISNUMBER(SEARCH("Motel",I6))),"Per Key","Per SF")))</f>
        <v/>
      </c>
      <c r="J34" s="51">
        <f>IF(J6="","",IF(OR(ISNUMBER(SEARCH("Apart",J6)),ISNUMBER(SEARCH("Multiple Residence",J6))),"Per Unit",IF(OR(ISNUMBER(SEARCH("Hotel",J6)),ISNUMBER(SEARCH("Motel",J6))),"Per Key","Per SF")))</f>
        <v/>
      </c>
      <c r="K34" s="51">
        <f>IF(K6="","",IF(OR(ISNUMBER(SEARCH("Apart",K6)),ISNUMBER(SEARCH("Multiple Residence",K6))),"Per Unit",IF(OR(ISNUMBER(SEARCH("Hotel",K6)),ISNUMBER(SEARCH("Motel",K6))),"Per Key","Per SF")))</f>
        <v/>
      </c>
      <c r="L34" s="51">
        <f>IF(L6="","",IF(OR(ISNUMBER(SEARCH("Apart",L6)),ISNUMBER(SEARCH("Multiple Residence",L6))),"Per Unit",IF(OR(ISNUMBER(SEARCH("Hotel",L6)),ISNUMBER(SEARCH("Motel",L6))),"Per Key","Per SF")))</f>
        <v/>
      </c>
    </row>
    <row r="35" ht="12.75" customHeight="1" s="545">
      <c r="B35" s="43" t="inlineStr">
        <is>
          <t>Override Basis (optional)</t>
        </is>
      </c>
      <c r="C35" s="49" t="n"/>
      <c r="D35" s="49" t="n"/>
      <c r="E35" s="49" t="n"/>
      <c r="F35" s="49" t="n"/>
      <c r="G35" s="49" t="n"/>
      <c r="H35" s="49" t="n"/>
      <c r="I35" s="49" t="n"/>
      <c r="J35" s="49" t="n"/>
      <c r="K35" s="49" t="n"/>
      <c r="L35" s="49" t="n"/>
    </row>
    <row r="36" ht="12.75" customHeight="1" s="545">
      <c r="B36" s="43" t="inlineStr">
        <is>
          <t>Effective Basis</t>
        </is>
      </c>
      <c r="C36" s="51">
        <f>IF(C35&lt;&gt;"",C35,C34)</f>
        <v/>
      </c>
      <c r="D36" s="51">
        <f>IF(D35&lt;&gt;"",D35,D34)</f>
        <v/>
      </c>
      <c r="E36" s="51">
        <f>IF(E35&lt;&gt;"",E35,E34)</f>
        <v/>
      </c>
      <c r="F36" s="51">
        <f>IF(F35&lt;&gt;"",F35,F34)</f>
        <v/>
      </c>
      <c r="G36" s="51">
        <f>IF(G35&lt;&gt;"",G35,G34)</f>
        <v/>
      </c>
      <c r="H36" s="51">
        <f>IF(H35&lt;&gt;"",H35,H34)</f>
        <v/>
      </c>
      <c r="I36" s="51">
        <f>IF(I35&lt;&gt;"",I35,I34)</f>
        <v/>
      </c>
      <c r="J36" s="51">
        <f>IF(J35&lt;&gt;"",J35,J34)</f>
        <v/>
      </c>
      <c r="K36" s="51">
        <f>IF(K35&lt;&gt;"",K35,K34)</f>
        <v/>
      </c>
      <c r="L36" s="51">
        <f>IF(L35&lt;&gt;"",L35,L34)</f>
        <v/>
      </c>
    </row>
    <row r="37" ht="12.75" customHeight="1" s="545">
      <c r="B37" s="43" t="inlineStr">
        <is>
          <t>Units / Keys (from Subject)</t>
        </is>
      </c>
      <c r="C37" s="52">
        <f>'Subject Property'!C20</f>
        <v/>
      </c>
      <c r="D37" s="52">
        <f>'Subject Property'!D20</f>
        <v/>
      </c>
      <c r="E37" s="52">
        <f>'Subject Property'!E20</f>
        <v/>
      </c>
      <c r="F37" s="52">
        <f>'Subject Property'!F20</f>
        <v/>
      </c>
      <c r="G37" s="52">
        <f>'Subject Property'!G20</f>
        <v/>
      </c>
      <c r="H37" s="52">
        <f>'Subject Property'!H20</f>
        <v/>
      </c>
      <c r="I37" s="52">
        <f>'Subject Property'!I20</f>
        <v/>
      </c>
      <c r="J37" s="52">
        <f>'Subject Property'!J20</f>
        <v/>
      </c>
      <c r="K37" s="52">
        <f>'Subject Property'!K20</f>
        <v/>
      </c>
      <c r="L37" s="52">
        <f>'Subject Property'!L20</f>
        <v/>
      </c>
    </row>
    <row r="38" ht="12.75" customHeight="1" s="545">
      <c r="B38" s="43" t="inlineStr">
        <is>
          <t>Indicated Value / SF</t>
        </is>
      </c>
      <c r="C38" s="52">
        <f>IFERROR(C23/C9,"")</f>
        <v/>
      </c>
      <c r="D38" s="52">
        <f>IFERROR(D23/D9,"")</f>
        <v/>
      </c>
      <c r="E38" s="52">
        <f>IFERROR(E23/E9,"")</f>
        <v/>
      </c>
      <c r="F38" s="52">
        <f>IFERROR(F23/F9,"")</f>
        <v/>
      </c>
      <c r="G38" s="52">
        <f>IFERROR(G23/G9,"")</f>
        <v/>
      </c>
      <c r="H38" s="52">
        <f>IFERROR(H23/H9,"")</f>
        <v/>
      </c>
      <c r="I38" s="52">
        <f>IFERROR(I23/I9,"")</f>
        <v/>
      </c>
      <c r="J38" s="52">
        <f>IFERROR(J23/J9,"")</f>
        <v/>
      </c>
      <c r="K38" s="52">
        <f>IFERROR(K23/K9,"")</f>
        <v/>
      </c>
      <c r="L38" s="52">
        <f>IFERROR(L23/L9,"")</f>
        <v/>
      </c>
    </row>
    <row r="39" ht="12.75" customHeight="1" s="545">
      <c r="B39" s="43" t="inlineStr">
        <is>
          <t>Indicated Value / Unit or Key</t>
        </is>
      </c>
      <c r="C39" s="52">
        <f>IF(AND(C36&lt;&gt;"Per SF",N(C37)&gt;0),C23/C37,"")</f>
        <v/>
      </c>
      <c r="D39" s="52">
        <f>IF(AND(D36&lt;&gt;"Per SF",N(D37)&gt;0),D23/D37,"")</f>
        <v/>
      </c>
      <c r="E39" s="52">
        <f>IF(AND(E36&lt;&gt;"Per SF",N(E37)&gt;0),E23/E37,"")</f>
        <v/>
      </c>
      <c r="F39" s="52">
        <f>IF(AND(F36&lt;&gt;"Per SF",N(F37)&gt;0),F23/F37,"")</f>
        <v/>
      </c>
      <c r="G39" s="52">
        <f>IF(AND(G36&lt;&gt;"Per SF",N(G37)&gt;0),G23/G37,"")</f>
        <v/>
      </c>
      <c r="H39" s="52">
        <f>IF(AND(H36&lt;&gt;"Per SF",N(H37)&gt;0),H23/H37,"")</f>
        <v/>
      </c>
      <c r="I39" s="52">
        <f>IF(AND(I36&lt;&gt;"Per SF",N(I37)&gt;0),I23/I37,"")</f>
        <v/>
      </c>
      <c r="J39" s="52">
        <f>IF(AND(J36&lt;&gt;"Per SF",N(J37)&gt;0),J23/J37,"")</f>
        <v/>
      </c>
      <c r="K39" s="52">
        <f>IF(AND(K36&lt;&gt;"Per SF",N(K37)&gt;0),K23/K37,"")</f>
        <v/>
      </c>
      <c r="L39" s="52">
        <f>IF(AND(L36&lt;&gt;"Per SF",N(L37)&gt;0),L23/L37,"")</f>
        <v/>
      </c>
    </row>
    <row r="40" ht="12.75" customHeight="1" s="545">
      <c r="B40" s="43" t="inlineStr">
        <is>
          <t>Headline Metric (auto by basis)</t>
        </is>
      </c>
      <c r="C40" s="51">
        <f>IF(C6="","",IF(C36="Per SF",TEXT(C38,"$#,##0")&amp;" /SF",IF(C36="Per Unit",IFERROR(TEXT(C23/C37,"$#,##0")&amp;" /unit","enter units"),IFERROR(TEXT(C23/C37,"$#,##0")&amp;" /key","enter keys"))))</f>
        <v/>
      </c>
      <c r="D40" s="51">
        <f>IF(D6="","",IF(D36="Per SF",TEXT(D38,"$#,##0")&amp;" /SF",IF(D36="Per Unit",IFERROR(TEXT(D23/D37,"$#,##0")&amp;" /unit","enter units"),IFERROR(TEXT(D23/D37,"$#,##0")&amp;" /key","enter keys"))))</f>
        <v/>
      </c>
      <c r="E40" s="51">
        <f>IF(E6="","",IF(E36="Per SF",TEXT(E38,"$#,##0")&amp;" /SF",IF(E36="Per Unit",IFERROR(TEXT(E23/E37,"$#,##0")&amp;" /unit","enter units"),IFERROR(TEXT(E23/E37,"$#,##0")&amp;" /key","enter keys"))))</f>
        <v/>
      </c>
      <c r="F40" s="51">
        <f>IF(F6="","",IF(F36="Per SF",TEXT(F38,"$#,##0")&amp;" /SF",IF(F36="Per Unit",IFERROR(TEXT(F23/F37,"$#,##0")&amp;" /unit","enter units"),IFERROR(TEXT(F23/F37,"$#,##0")&amp;" /key","enter keys"))))</f>
        <v/>
      </c>
      <c r="G40" s="51">
        <f>IF(G6="","",IF(G36="Per SF",TEXT(G38,"$#,##0")&amp;" /SF",IF(G36="Per Unit",IFERROR(TEXT(G23/G37,"$#,##0")&amp;" /unit","enter units"),IFERROR(TEXT(G23/G37,"$#,##0")&amp;" /key","enter keys"))))</f>
        <v/>
      </c>
      <c r="H40" s="51">
        <f>IF(H6="","",IF(H36="Per SF",TEXT(H38,"$#,##0")&amp;" /SF",IF(H36="Per Unit",IFERROR(TEXT(H23/H37,"$#,##0")&amp;" /unit","enter units"),IFERROR(TEXT(H23/H37,"$#,##0")&amp;" /key","enter keys"))))</f>
        <v/>
      </c>
      <c r="I40" s="51">
        <f>IF(I6="","",IF(I36="Per SF",TEXT(I38,"$#,##0")&amp;" /SF",IF(I36="Per Unit",IFERROR(TEXT(I23/I37,"$#,##0")&amp;" /unit","enter units"),IFERROR(TEXT(I23/I37,"$#,##0")&amp;" /key","enter keys"))))</f>
        <v/>
      </c>
      <c r="J40" s="51">
        <f>IF(J6="","",IF(J36="Per SF",TEXT(J38,"$#,##0")&amp;" /SF",IF(J36="Per Unit",IFERROR(TEXT(J23/J37,"$#,##0")&amp;" /unit","enter units"),IFERROR(TEXT(J23/J37,"$#,##0")&amp;" /key","enter keys"))))</f>
        <v/>
      </c>
      <c r="K40" s="51">
        <f>IF(K6="","",IF(K36="Per SF",TEXT(K38,"$#,##0")&amp;" /SF",IF(K36="Per Unit",IFERROR(TEXT(K23/K37,"$#,##0")&amp;" /unit","enter units"),IFERROR(TEXT(K23/K37,"$#,##0")&amp;" /key","enter keys"))))</f>
        <v/>
      </c>
      <c r="L40" s="51">
        <f>IF(L6="","",IF(L36="Per SF",TEXT(L38,"$#,##0")&amp;" /SF",IF(L36="Per Unit",IFERROR(TEXT(L23/L37,"$#,##0")&amp;" /unit","enter units"),IFERROR(TEXT(L23/L37,"$#,##0")&amp;" /key","enter keys"))))</f>
        <v/>
      </c>
    </row>
    <row r="42" ht="15.75" customHeight="1" s="545">
      <c r="B42" s="565" t="inlineStr">
        <is>
          <t>PER-BUILDING MVS MULTIPLIERS (independent per building)</t>
        </is>
      </c>
      <c r="C42" s="565" t="n"/>
      <c r="D42" s="565" t="n"/>
      <c r="E42" s="565" t="n"/>
      <c r="F42" s="565" t="n"/>
      <c r="G42" s="565" t="n"/>
      <c r="H42" s="565" t="n"/>
      <c r="I42" s="565" t="n"/>
      <c r="J42" s="565" t="n"/>
      <c r="K42" s="565" t="n"/>
      <c r="L42" s="565" t="n"/>
    </row>
    <row r="43" ht="12.75" customHeight="1" s="545">
      <c r="B43" s="43" t="inlineStr">
        <is>
          <t>Area/Perimeter Multiplier [enter]</t>
        </is>
      </c>
      <c r="C43" s="52" t="n">
        <v>1</v>
      </c>
      <c r="D43" s="52" t="n">
        <v>1</v>
      </c>
      <c r="E43" s="52" t="n">
        <v>1</v>
      </c>
      <c r="F43" s="52" t="n">
        <v>1</v>
      </c>
      <c r="G43" s="52" t="n">
        <v>1</v>
      </c>
      <c r="H43" s="52" t="n">
        <v>1</v>
      </c>
      <c r="I43" s="52" t="n">
        <v>1</v>
      </c>
      <c r="J43" s="52" t="n">
        <v>1</v>
      </c>
      <c r="K43" s="52" t="n">
        <v>1</v>
      </c>
      <c r="L43" s="52" t="n">
        <v>1</v>
      </c>
    </row>
    <row r="44" ht="12.75" customHeight="1" s="545">
      <c r="B44" s="43" t="inlineStr">
        <is>
          <t>Current Cost Mult / de-trend (auto)</t>
        </is>
      </c>
      <c r="C44" s="51">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
      </c>
      <c r="D44" s="51">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
      </c>
      <c r="E44" s="51">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
      </c>
      <c r="F44" s="51">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
      </c>
      <c r="G44" s="51">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
      </c>
      <c r="H44" s="51">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
      </c>
      <c r="I44" s="51">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
      </c>
      <c r="J44" s="51">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
      </c>
      <c r="K44" s="51">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
      </c>
      <c r="L44" s="51">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
      </c>
    </row>
    <row r="45" ht="12.75" customHeight="1" s="545">
      <c r="B45" s="43" t="inlineStr">
        <is>
          <t>Local Area Multiplier (auto)</t>
        </is>
      </c>
      <c r="C45" s="51">
        <f>IFERROR(INDEX(LAM_VALUES,MATCH('Cost Approach'!$C$8,LAM_CITY,0),MATCH("Class "&amp;IF(C7="CMILL","C",IF(C7="DPOLE","D",IF(C7="A-B","B",C7))),LAM_CLASSHDR,0)),"")</f>
        <v/>
      </c>
      <c r="D45" s="51">
        <f>IFERROR(INDEX(LAM_VALUES,MATCH('Cost Approach'!$C$8,LAM_CITY,0),MATCH("Class "&amp;IF(D7="CMILL","C",IF(D7="DPOLE","D",IF(D7="A-B","B",D7))),LAM_CLASSHDR,0)),"")</f>
        <v/>
      </c>
      <c r="E45" s="51">
        <f>IFERROR(INDEX(LAM_VALUES,MATCH('Cost Approach'!$C$8,LAM_CITY,0),MATCH("Class "&amp;IF(E7="CMILL","C",IF(E7="DPOLE","D",IF(E7="A-B","B",E7))),LAM_CLASSHDR,0)),"")</f>
        <v/>
      </c>
      <c r="F45" s="51">
        <f>IFERROR(INDEX(LAM_VALUES,MATCH('Cost Approach'!$C$8,LAM_CITY,0),MATCH("Class "&amp;IF(F7="CMILL","C",IF(F7="DPOLE","D",IF(F7="A-B","B",F7))),LAM_CLASSHDR,0)),"")</f>
        <v/>
      </c>
      <c r="G45" s="51">
        <f>IFERROR(INDEX(LAM_VALUES,MATCH('Cost Approach'!$C$8,LAM_CITY,0),MATCH("Class "&amp;IF(G7="CMILL","C",IF(G7="DPOLE","D",IF(G7="A-B","B",G7))),LAM_CLASSHDR,0)),"")</f>
        <v/>
      </c>
      <c r="H45" s="51">
        <f>IFERROR(INDEX(LAM_VALUES,MATCH('Cost Approach'!$C$8,LAM_CITY,0),MATCH("Class "&amp;IF(H7="CMILL","C",IF(H7="DPOLE","D",IF(H7="A-B","B",H7))),LAM_CLASSHDR,0)),"")</f>
        <v/>
      </c>
      <c r="I45" s="51">
        <f>IFERROR(INDEX(LAM_VALUES,MATCH('Cost Approach'!$C$8,LAM_CITY,0),MATCH("Class "&amp;IF(I7="CMILL","C",IF(I7="DPOLE","D",IF(I7="A-B","B",I7))),LAM_CLASSHDR,0)),"")</f>
        <v/>
      </c>
      <c r="J45" s="51">
        <f>IFERROR(INDEX(LAM_VALUES,MATCH('Cost Approach'!$C$8,LAM_CITY,0),MATCH("Class "&amp;IF(J7="CMILL","C",IF(J7="DPOLE","D",IF(J7="A-B","B",J7))),LAM_CLASSHDR,0)),"")</f>
        <v/>
      </c>
      <c r="K45" s="51">
        <f>IFERROR(INDEX(LAM_VALUES,MATCH('Cost Approach'!$C$8,LAM_CITY,0),MATCH("Class "&amp;IF(K7="CMILL","C",IF(K7="DPOLE","D",IF(K7="A-B","B",K7))),LAM_CLASSHDR,0)),"")</f>
        <v/>
      </c>
      <c r="L45" s="51">
        <f>IFERROR(INDEX(LAM_VALUES,MATCH('Cost Approach'!$C$8,LAM_CITY,0),MATCH("Class "&amp;IF(L7="CMILL","C",IF(L7="DPOLE","D",IF(L7="A-B","B",L7))),LAM_CLASSHDR,0)),"")</f>
        <v/>
      </c>
    </row>
  </sheetData>
  <dataValidations count="3">
    <dataValidation sqref="C7:L7" showDropDown="0" showInputMessage="0" showErrorMessage="1" allowBlank="1" type="list">
      <formula1>"A,B,A-B,C,CMILL,CDS,D,DPOLE,DMASVEN,S,SSLANT"</formula1>
      <formula2>0</formula2>
    </dataValidation>
    <dataValidation sqref="C8:L8 C11:L11" showDropDown="0" showInputMessage="0" showErrorMessage="1" allowBlank="1" type="list">
      <formula1>"Low Cost,Fair,Average,Good,Very Good,Excellent,Cheap"</formula1>
      <formula2>0</formula2>
    </dataValidation>
    <dataValidation sqref="C35:L35" showDropDown="0" showInputMessage="0" showErrorMessage="1" allowBlank="1" type="list">
      <formula1>"Per SF,Per Unit,Per Key"</formula1>
      <formula2>0</formula2>
    </dataValidation>
  </dataValidations>
  <pageMargins left="0.7" right="0.7" top="0.75" bottom="0.75" header="0.511811023622047" footer="0.511811023622047"/>
  <pageSetup orientation="portrait" paperSize="9" horizontalDpi="300" verticalDpi="300"/>
</worksheet>
</file>

<file path=xl/worksheets/sheet15.xml><?xml version="1.0" encoding="utf-8"?>
<worksheet xmlns="http://schemas.openxmlformats.org/spreadsheetml/2006/main">
  <sheetPr>
    <outlinePr summaryBelow="1" summaryRight="1"/>
    <pageSetUpPr fitToPage="1"/>
  </sheetPr>
  <dimension ref="B2:M53"/>
  <sheetViews>
    <sheetView showGridLines="0" zoomScaleNormal="100" workbookViewId="0">
      <pane xSplit="2" ySplit="4" topLeftCell="C5" activePane="bottomRight" state="frozen"/>
      <selection pane="topRight" activeCell="C1" sqref="C1"/>
      <selection pane="bottomLeft" activeCell="A5" sqref="A5"/>
      <selection pane="bottomRight" activeCell="E31" sqref="E31"/>
    </sheetView>
  </sheetViews>
  <sheetFormatPr baseColWidth="8" defaultColWidth="9.85546875" defaultRowHeight="12"/>
  <cols>
    <col width="2.28515625" customWidth="1" style="545" min="1" max="1"/>
    <col width="38.7109375" customWidth="1" style="545" min="2" max="2"/>
    <col width="26.28515625" customWidth="1" style="545" min="3" max="3"/>
    <col width="24" customWidth="1" style="545" min="4" max="7"/>
    <col hidden="1" width="24" customWidth="1" style="545" min="8" max="8"/>
    <col width="24" customWidth="1" style="545" min="9" max="13"/>
  </cols>
  <sheetData>
    <row r="2" ht="12" customHeight="1" s="545">
      <c r="G2" s="322" t="n"/>
    </row>
    <row r="3" ht="16.5" customHeight="1" s="545">
      <c r="B3" s="616" t="inlineStr">
        <is>
          <t>COMPARABLE SALE ADJUSTMENT GRID</t>
        </is>
      </c>
    </row>
    <row r="4" ht="15.75" customHeight="1" s="545">
      <c r="B4" s="213" t="n"/>
      <c r="C4" s="621" t="inlineStr">
        <is>
          <t>Subject</t>
        </is>
      </c>
      <c r="D4" s="621" t="inlineStr">
        <is>
          <t>Sale 1</t>
        </is>
      </c>
      <c r="E4" s="621" t="inlineStr">
        <is>
          <t>Sale 2</t>
        </is>
      </c>
      <c r="F4" s="621" t="inlineStr">
        <is>
          <t>Sale 3</t>
        </is>
      </c>
      <c r="G4" s="621" t="inlineStr">
        <is>
          <t>Sale 4</t>
        </is>
      </c>
      <c r="H4" s="621" t="inlineStr">
        <is>
          <t>Sale 5</t>
        </is>
      </c>
      <c r="I4" s="621" t="inlineStr">
        <is>
          <t>Sale 6</t>
        </is>
      </c>
      <c r="J4" s="621" t="inlineStr">
        <is>
          <t>Sale 7</t>
        </is>
      </c>
      <c r="K4" s="621" t="inlineStr">
        <is>
          <t>Sale 8</t>
        </is>
      </c>
      <c r="L4" s="621" t="inlineStr">
        <is>
          <t>Sale 9</t>
        </is>
      </c>
      <c r="M4" s="621" t="inlineStr">
        <is>
          <t>Sale 10</t>
        </is>
      </c>
    </row>
    <row r="5" ht="15.75" customHeight="1" s="545">
      <c r="B5" s="213" t="n"/>
      <c r="C5" s="612" t="n"/>
      <c r="D5" s="225" t="n"/>
      <c r="E5" s="225" t="n"/>
      <c r="F5" s="225" t="n"/>
      <c r="G5" s="225" t="n"/>
      <c r="H5" s="625" t="n"/>
      <c r="I5" s="625" t="n"/>
      <c r="J5" s="625" t="n"/>
      <c r="K5" s="625" t="n"/>
      <c r="L5" s="625" t="n"/>
      <c r="M5" s="625" t="n"/>
    </row>
    <row r="6" ht="13.5" customHeight="1" s="545">
      <c r="B6" s="643" t="inlineStr">
        <is>
          <t>Address</t>
        </is>
      </c>
      <c r="C6" s="612">
        <f>'Property Info'!$C$19</f>
        <v/>
      </c>
      <c r="D6" s="225" t="inlineStr">
        <is>
          <t>17776-18146 E 84th Ave</t>
        </is>
      </c>
      <c r="E6" s="225" t="inlineStr">
        <is>
          <t>17501 E 84th Ave</t>
        </is>
      </c>
      <c r="F6" s="225" t="inlineStr">
        <is>
          <t>5805 N Jackson Gap St</t>
        </is>
      </c>
      <c r="G6" s="225" t="inlineStr">
        <is>
          <t>333-335 Centennial Pky</t>
        </is>
      </c>
      <c r="H6" s="625" t="inlineStr">
        <is>
          <t>Aurora Commerce Center - 22100 E 26th Ave</t>
        </is>
      </c>
      <c r="I6" s="625" t="n"/>
      <c r="J6" s="625" t="n"/>
      <c r="K6" s="625" t="n"/>
      <c r="L6" s="625" t="n"/>
      <c r="M6" s="625" t="n"/>
    </row>
    <row r="7" ht="13.5" customHeight="1" s="545">
      <c r="B7" s="643" t="inlineStr">
        <is>
          <t>City, State</t>
        </is>
      </c>
      <c r="C7" s="612">
        <f>PROPER('Property Info'!$C$20)&amp;", CO"</f>
        <v/>
      </c>
      <c r="D7" s="225" t="inlineStr">
        <is>
          <t>Commerce City, CO</t>
        </is>
      </c>
      <c r="E7" s="225" t="inlineStr">
        <is>
          <t>Commerce City, CO</t>
        </is>
      </c>
      <c r="F7" s="225" t="inlineStr">
        <is>
          <t>Aurora, CO</t>
        </is>
      </c>
      <c r="G7" s="225" t="inlineStr">
        <is>
          <t>Louisville, CO</t>
        </is>
      </c>
      <c r="H7" s="625" t="inlineStr">
        <is>
          <t>Aurora, CO</t>
        </is>
      </c>
      <c r="I7" s="625" t="n"/>
      <c r="J7" s="625" t="n"/>
      <c r="K7" s="625" t="n"/>
      <c r="L7" s="625" t="n"/>
      <c r="M7" s="625" t="n"/>
    </row>
    <row r="8" ht="19.5" customHeight="1" s="545">
      <c r="B8" s="643" t="inlineStr">
        <is>
          <t>Property Type</t>
        </is>
      </c>
      <c r="C8" s="609">
        <f>'Property Info'!$C$23</f>
        <v/>
      </c>
      <c r="D8" s="323" t="inlineStr">
        <is>
          <t>Industrial - Warehouse/Distribution (Mega Warehouse), Class A</t>
        </is>
      </c>
      <c r="E8" s="323" t="inlineStr">
        <is>
          <t>Industrial - Warehouse/Distribution (Mega Warehouse), Class A</t>
        </is>
      </c>
      <c r="F8" s="323" t="inlineStr">
        <is>
          <t>Industrial - Warehouse/Distribution, Class A</t>
        </is>
      </c>
      <c r="G8" s="323" t="inlineStr">
        <is>
          <t>Industrial - Warehouse/Distribution, Class B (older bldg, Boulder County submarket)</t>
        </is>
      </c>
      <c r="H8" s="224" t="inlineStr">
        <is>
          <t>Industrial - Warehouse/Distribution, Class B</t>
        </is>
      </c>
      <c r="I8" s="224" t="n"/>
      <c r="J8" s="224" t="n"/>
      <c r="K8" s="224" t="n"/>
      <c r="L8" s="224" t="n"/>
      <c r="M8" s="224" t="n"/>
    </row>
    <row r="9" ht="13.5" customHeight="1" s="545">
      <c r="B9" s="643" t="inlineStr">
        <is>
          <t>Sale Date</t>
        </is>
      </c>
      <c r="C9" s="622" t="inlineStr">
        <is>
          <t>N/A</t>
        </is>
      </c>
      <c r="D9" s="515" t="n">
        <v>44301</v>
      </c>
      <c r="E9" s="515" t="n">
        <v>44547</v>
      </c>
      <c r="F9" s="515" t="n">
        <v>44946</v>
      </c>
      <c r="G9" s="515" t="n">
        <v>44922</v>
      </c>
      <c r="H9" s="515" t="n">
        <v>43768</v>
      </c>
      <c r="I9" s="515" t="n"/>
      <c r="J9" s="515" t="n"/>
      <c r="K9" s="515" t="n"/>
      <c r="L9" s="515" t="n"/>
      <c r="M9" s="515" t="n"/>
    </row>
    <row r="10" ht="13.5" customHeight="1" s="545">
      <c r="B10" s="643" t="inlineStr">
        <is>
          <t>Sale Price</t>
        </is>
      </c>
      <c r="C10" s="622" t="inlineStr">
        <is>
          <t>N/A</t>
        </is>
      </c>
      <c r="D10" s="620" t="n">
        <v>63750000</v>
      </c>
      <c r="E10" s="630" t="n">
        <v>97558700</v>
      </c>
      <c r="F10" s="630" t="n">
        <v>72219900</v>
      </c>
      <c r="G10" s="630" t="n">
        <v>69600000</v>
      </c>
      <c r="H10" s="630" t="n">
        <v>39000000</v>
      </c>
      <c r="I10" s="630" t="n"/>
      <c r="J10" s="630" t="n"/>
      <c r="K10" s="630" t="n"/>
      <c r="L10" s="630" t="n"/>
      <c r="M10" s="630" t="n"/>
    </row>
    <row r="11" ht="13.5" customHeight="1" s="545">
      <c r="B11" s="643" t="inlineStr">
        <is>
          <t>Property Size (SF)</t>
        </is>
      </c>
      <c r="C11" s="628">
        <f>'Property Info'!$C$29</f>
        <v/>
      </c>
      <c r="D11" s="516" t="n">
        <v>594400</v>
      </c>
      <c r="E11" s="222" t="n">
        <v>999780</v>
      </c>
      <c r="F11" s="222" t="n">
        <v>501770</v>
      </c>
      <c r="G11" s="222" t="n">
        <v>411485</v>
      </c>
      <c r="H11" s="222" t="n">
        <v>406959</v>
      </c>
      <c r="I11" s="222" t="n"/>
      <c r="J11" s="222" t="n"/>
      <c r="K11" s="222" t="n"/>
      <c r="L11" s="222" t="n"/>
      <c r="M11" s="222" t="n"/>
    </row>
    <row r="12" ht="13.5" customHeight="1" s="545">
      <c r="B12" s="643" t="inlineStr">
        <is>
          <t>Site Size (SF)</t>
        </is>
      </c>
      <c r="C12" s="628">
        <f>'Property Info'!$C$26</f>
        <v/>
      </c>
      <c r="D12" s="516" t="n"/>
      <c r="E12" s="222" t="n"/>
      <c r="F12" s="222" t="n"/>
      <c r="G12" s="222" t="n"/>
      <c r="H12" s="222" t="n"/>
      <c r="I12" s="222" t="n"/>
      <c r="J12" s="222" t="n"/>
      <c r="K12" s="222" t="n"/>
      <c r="L12" s="222" t="n"/>
      <c r="M12" s="222" t="n"/>
    </row>
    <row r="13" ht="13.5" customHeight="1" s="545">
      <c r="B13" s="643" t="inlineStr">
        <is>
          <t>YOC / Condition</t>
        </is>
      </c>
      <c r="C13" s="325" t="inlineStr">
        <is>
          <t>1982 &amp; 1936 / Typical</t>
        </is>
      </c>
      <c r="D13" s="326" t="inlineStr">
        <is>
          <t>2020 / Good</t>
        </is>
      </c>
      <c r="E13" s="326" t="inlineStr">
        <is>
          <t>2021 / Good</t>
        </is>
      </c>
      <c r="F13" s="326" t="inlineStr">
        <is>
          <t>2022 / Good</t>
        </is>
      </c>
      <c r="G13" s="326" t="inlineStr">
        <is>
          <t>1995 / Average</t>
        </is>
      </c>
      <c r="H13" s="326" t="inlineStr">
        <is>
          <t>2007 / Average</t>
        </is>
      </c>
      <c r="I13" s="326" t="n"/>
      <c r="J13" s="326" t="n"/>
      <c r="K13" s="326" t="n"/>
      <c r="L13" s="326" t="n"/>
      <c r="M13" s="326" t="n"/>
    </row>
    <row r="14" ht="12" customHeight="1" s="545">
      <c r="B14" s="647" t="inlineStr">
        <is>
          <t>Unadjusted Price Per SF</t>
        </is>
      </c>
      <c r="C14" s="327" t="n"/>
      <c r="D14" s="610">
        <f>IFERROR(D10/D11,"")</f>
        <v/>
      </c>
      <c r="E14" s="610">
        <f>IFERROR(E10/E11,"")</f>
        <v/>
      </c>
      <c r="F14" s="610">
        <f>IFERROR(F10/F11,"")</f>
        <v/>
      </c>
      <c r="G14" s="610">
        <f>IFERROR(G10/G11,"")</f>
        <v/>
      </c>
      <c r="H14" s="610">
        <f>IFERROR(H10/H11,"")</f>
        <v/>
      </c>
      <c r="I14" s="610" t="n"/>
      <c r="J14" s="610" t="n"/>
      <c r="K14" s="610" t="n"/>
      <c r="L14" s="610" t="n"/>
      <c r="M14" s="610" t="n"/>
    </row>
    <row r="15" ht="15" customHeight="1" s="545">
      <c r="B15" s="629" t="inlineStr">
        <is>
          <t>Quantified Adjustments</t>
        </is>
      </c>
    </row>
    <row r="16" ht="13.5" customHeight="1" s="545">
      <c r="B16" s="643" t="inlineStr">
        <is>
          <t>Financing</t>
        </is>
      </c>
      <c r="C16" s="622" t="inlineStr">
        <is>
          <t>Market Based</t>
        </is>
      </c>
      <c r="D16" s="333" t="n">
        <v>0</v>
      </c>
      <c r="E16" s="646" t="n">
        <v>0</v>
      </c>
      <c r="F16" s="646" t="n">
        <v>0</v>
      </c>
      <c r="G16" s="646" t="n">
        <v>0</v>
      </c>
      <c r="H16" s="646" t="n">
        <v>0</v>
      </c>
      <c r="I16" s="646" t="n"/>
      <c r="J16" s="646" t="n"/>
      <c r="K16" s="646" t="n"/>
      <c r="L16" s="646" t="n"/>
      <c r="M16" s="646" t="n"/>
    </row>
    <row r="17" ht="13.5" customHeight="1" s="545">
      <c r="B17" s="643" t="inlineStr">
        <is>
          <t>Terms/Conditions of Sale</t>
        </is>
      </c>
      <c r="C17" s="622" t="inlineStr">
        <is>
          <t>None</t>
        </is>
      </c>
      <c r="D17" s="333" t="n">
        <v>0</v>
      </c>
      <c r="E17" s="646" t="n">
        <v>0</v>
      </c>
      <c r="F17" s="646" t="n">
        <v>0</v>
      </c>
      <c r="G17" s="646" t="n">
        <v>0</v>
      </c>
      <c r="H17" s="646" t="n">
        <v>0</v>
      </c>
      <c r="I17" s="646" t="n"/>
      <c r="J17" s="646" t="n"/>
      <c r="K17" s="646" t="n"/>
      <c r="L17" s="646" t="n"/>
      <c r="M17" s="646" t="n"/>
    </row>
    <row r="18" ht="13.5" customHeight="1" s="545">
      <c r="B18" s="643" t="inlineStr">
        <is>
          <t>Expenditures After Sale</t>
        </is>
      </c>
      <c r="C18" s="622" t="inlineStr">
        <is>
          <t>None</t>
        </is>
      </c>
      <c r="D18" s="333" t="n">
        <v>0</v>
      </c>
      <c r="E18" s="646" t="n">
        <v>0</v>
      </c>
      <c r="F18" s="646" t="n">
        <v>0</v>
      </c>
      <c r="G18" s="646" t="n">
        <v>0</v>
      </c>
      <c r="H18" s="646" t="n">
        <v>0</v>
      </c>
      <c r="I18" s="646" t="n"/>
      <c r="J18" s="646" t="n"/>
      <c r="K18" s="646" t="n"/>
      <c r="L18" s="646" t="n"/>
      <c r="M18" s="646" t="n"/>
    </row>
    <row r="19" ht="13.5" customHeight="1" s="545">
      <c r="B19" s="643" t="inlineStr">
        <is>
          <t>Market Conditions</t>
        </is>
      </c>
      <c r="C19" s="622" t="inlineStr">
        <is>
          <t>N/A</t>
        </is>
      </c>
      <c r="D19" s="333" t="n">
        <v>0.1604</v>
      </c>
      <c r="E19" s="646" t="n">
        <v>0.1268</v>
      </c>
      <c r="F19" s="646" t="n">
        <v>0.0721</v>
      </c>
      <c r="G19" s="646" t="n">
        <v>0.07539999999999999</v>
      </c>
      <c r="H19" s="646" t="n">
        <v>0.2334</v>
      </c>
      <c r="I19" s="646" t="n"/>
      <c r="J19" s="646" t="n"/>
      <c r="K19" s="646" t="n"/>
      <c r="L19" s="646" t="n"/>
      <c r="M19" s="646" t="n"/>
    </row>
    <row r="20" ht="12" customHeight="1" s="545">
      <c r="B20" s="647" t="inlineStr">
        <is>
          <t>Total Quantified Adjustment</t>
        </is>
      </c>
      <c r="C20" s="327" t="n"/>
      <c r="D20" s="613">
        <f>SUM(D16:D19)</f>
        <v/>
      </c>
      <c r="E20" s="613">
        <f>SUM(E16:E19)</f>
        <v/>
      </c>
      <c r="F20" s="613">
        <f>SUM(F16:F19)</f>
        <v/>
      </c>
      <c r="G20" s="613">
        <f>SUM(G16:G19)</f>
        <v/>
      </c>
      <c r="H20" s="613">
        <f>SUM(H16:H19)</f>
        <v/>
      </c>
      <c r="I20" s="613" t="n"/>
      <c r="J20" s="613" t="n"/>
      <c r="K20" s="613" t="n"/>
      <c r="L20" s="613" t="n"/>
      <c r="M20" s="613" t="n"/>
    </row>
    <row r="21" ht="12" customHeight="1" s="545">
      <c r="B21" s="647" t="inlineStr">
        <is>
          <t>Quantitatively Adjusted Price</t>
        </is>
      </c>
      <c r="C21" s="327" t="n"/>
      <c r="D21" s="610">
        <f>IFERROR(D14*(1+D20),"")</f>
        <v/>
      </c>
      <c r="E21" s="610">
        <f>IFERROR(E14*(1+E20),"")</f>
        <v/>
      </c>
      <c r="F21" s="610">
        <f>IFERROR(F14*(1+F20),"")</f>
        <v/>
      </c>
      <c r="G21" s="610">
        <f>IFERROR(G14*(1+G20),"")</f>
        <v/>
      </c>
      <c r="H21" s="610">
        <f>IFERROR(H14*(1+H20),"")</f>
        <v/>
      </c>
      <c r="I21" s="610" t="n"/>
      <c r="J21" s="610" t="n"/>
      <c r="K21" s="610" t="n"/>
      <c r="L21" s="610" t="n"/>
      <c r="M21" s="610" t="n"/>
    </row>
    <row r="22" ht="15" customHeight="1" s="545">
      <c r="B22" s="629" t="inlineStr">
        <is>
          <t>Qualitative Adjustments</t>
        </is>
      </c>
    </row>
    <row r="23" ht="13.5" customHeight="1" s="545">
      <c r="B23" s="643" t="inlineStr">
        <is>
          <t>Location</t>
        </is>
      </c>
      <c r="C23" s="622" t="inlineStr">
        <is>
          <t>Average</t>
        </is>
      </c>
      <c r="D23" s="333" t="n">
        <v>0</v>
      </c>
      <c r="E23" s="646" t="n">
        <v>0</v>
      </c>
      <c r="F23" s="646" t="n">
        <v>0</v>
      </c>
      <c r="G23" s="646" t="n">
        <v>0</v>
      </c>
      <c r="H23" s="646" t="n">
        <v>0</v>
      </c>
      <c r="I23" s="646" t="n"/>
      <c r="J23" s="646" t="n"/>
      <c r="K23" s="646" t="n"/>
      <c r="L23" s="646" t="n"/>
      <c r="M23" s="646" t="n"/>
    </row>
    <row r="24" ht="13.5" customHeight="1" s="545">
      <c r="B24" s="643" t="inlineStr">
        <is>
          <t>Property Size (SF)</t>
        </is>
      </c>
      <c r="C24" s="628">
        <f>'Property Info'!$C$29</f>
        <v/>
      </c>
      <c r="D24" s="333" t="n">
        <v>0</v>
      </c>
      <c r="E24" s="646" t="n">
        <v>0</v>
      </c>
      <c r="F24" s="646" t="n">
        <v>0</v>
      </c>
      <c r="G24" s="646" t="n">
        <v>0</v>
      </c>
      <c r="H24" s="646" t="n">
        <v>0</v>
      </c>
      <c r="I24" s="646" t="n"/>
      <c r="J24" s="646" t="n"/>
      <c r="K24" s="646" t="n"/>
      <c r="L24" s="646" t="n"/>
      <c r="M24" s="646" t="n"/>
    </row>
    <row r="25" ht="13.5" customHeight="1" s="545">
      <c r="B25" s="643" t="inlineStr">
        <is>
          <t>YOC / Condition</t>
        </is>
      </c>
      <c r="C25" s="622">
        <f>'Property Info'!$C$32&amp;"/"&amp;'Property Info'!$C$35</f>
        <v/>
      </c>
      <c r="D25" s="333" t="n">
        <v>0</v>
      </c>
      <c r="E25" s="646" t="n">
        <v>0</v>
      </c>
      <c r="F25" s="646" t="n">
        <v>0</v>
      </c>
      <c r="G25" s="646" t="n">
        <v>0</v>
      </c>
      <c r="H25" s="646" t="n">
        <v>0</v>
      </c>
      <c r="I25" s="646" t="n"/>
      <c r="J25" s="646" t="n"/>
      <c r="K25" s="646" t="n"/>
      <c r="L25" s="646" t="n"/>
      <c r="M25" s="646" t="n"/>
    </row>
    <row r="26" ht="13.5" customHeight="1" s="545">
      <c r="B26" s="643" t="inlineStr">
        <is>
          <t>Quality</t>
        </is>
      </c>
      <c r="C26" s="622">
        <f>'Property Info'!$C$34</f>
        <v/>
      </c>
      <c r="D26" s="333" t="n">
        <v>0</v>
      </c>
      <c r="E26" s="646" t="n">
        <v>0</v>
      </c>
      <c r="F26" s="646" t="n">
        <v>0</v>
      </c>
      <c r="G26" s="646" t="n">
        <v>0</v>
      </c>
      <c r="H26" s="646" t="n">
        <v>0</v>
      </c>
      <c r="I26" s="646" t="n"/>
      <c r="J26" s="646" t="n"/>
      <c r="K26" s="646" t="n"/>
      <c r="L26" s="646" t="n"/>
      <c r="M26" s="646" t="n"/>
    </row>
    <row r="27" ht="13.5" customHeight="1" s="545">
      <c r="B27" s="643" t="inlineStr">
        <is>
          <t>Land-To-Building Ratio</t>
        </is>
      </c>
      <c r="C27" s="631">
        <f>IFERROR('Property Info'!$C$31,"")</f>
        <v/>
      </c>
      <c r="D27" s="333" t="n">
        <v>0</v>
      </c>
      <c r="E27" s="646" t="n">
        <v>0</v>
      </c>
      <c r="F27" s="646" t="n">
        <v>0</v>
      </c>
      <c r="G27" s="646" t="n">
        <v>0</v>
      </c>
      <c r="H27" s="646" t="n">
        <v>0</v>
      </c>
      <c r="I27" s="646" t="n"/>
      <c r="J27" s="646" t="n"/>
      <c r="K27" s="646" t="n"/>
      <c r="L27" s="646" t="n"/>
      <c r="M27" s="646" t="n"/>
    </row>
    <row r="28" ht="13.5" customHeight="1" s="545">
      <c r="B28" s="643" t="inlineStr">
        <is>
          <t>Tenancy / Occupancy</t>
        </is>
      </c>
      <c r="C28" s="622" t="inlineStr">
        <is>
          <t>Average</t>
        </is>
      </c>
      <c r="D28" s="333" t="n">
        <v>0</v>
      </c>
      <c r="E28" s="646" t="n">
        <v>0</v>
      </c>
      <c r="F28" s="646" t="n">
        <v>0</v>
      </c>
      <c r="G28" s="646" t="n">
        <v>0</v>
      </c>
      <c r="H28" s="646" t="n">
        <v>0</v>
      </c>
      <c r="I28" s="646" t="n"/>
      <c r="J28" s="646" t="n"/>
      <c r="K28" s="646" t="n"/>
      <c r="L28" s="646" t="n"/>
      <c r="M28" s="646" t="n"/>
    </row>
    <row r="29" ht="13.5" customHeight="1" s="545">
      <c r="B29" s="643" t="inlineStr">
        <is>
          <t>Functional Utility</t>
        </is>
      </c>
      <c r="C29" s="622">
        <f>'Property Info'!$C$36</f>
        <v/>
      </c>
      <c r="D29" s="333" t="n">
        <v>0</v>
      </c>
      <c r="E29" s="646" t="n">
        <v>0</v>
      </c>
      <c r="F29" s="646" t="n">
        <v>0</v>
      </c>
      <c r="G29" s="646" t="n">
        <v>0</v>
      </c>
      <c r="H29" s="646" t="n">
        <v>0</v>
      </c>
      <c r="I29" s="646" t="n"/>
      <c r="J29" s="646" t="n"/>
      <c r="K29" s="646" t="n"/>
      <c r="L29" s="646" t="n"/>
      <c r="M29" s="646" t="n"/>
    </row>
    <row r="30" ht="12" customHeight="1" s="545">
      <c r="B30" s="647" t="inlineStr">
        <is>
          <t>Total Non Quantified Adj.</t>
        </is>
      </c>
      <c r="C30" s="327" t="n"/>
      <c r="D30" s="613">
        <f>SUM(D23:D29)</f>
        <v/>
      </c>
      <c r="E30" s="613">
        <f>SUM(E23:E29)</f>
        <v/>
      </c>
      <c r="F30" s="613">
        <f>SUM(F23:F29)</f>
        <v/>
      </c>
      <c r="G30" s="613">
        <f>SUM(G23:G29)</f>
        <v/>
      </c>
      <c r="H30" s="613">
        <f>SUM(H23:H29)</f>
        <v/>
      </c>
      <c r="I30" s="613" t="n"/>
      <c r="J30" s="613" t="n"/>
      <c r="K30" s="613" t="n"/>
      <c r="L30" s="613" t="n"/>
      <c r="M30" s="613" t="n"/>
    </row>
    <row r="31" ht="12" customHeight="1" s="545">
      <c r="B31" s="647" t="inlineStr">
        <is>
          <t>Indication for Subject:</t>
        </is>
      </c>
      <c r="C31" s="327" t="n"/>
      <c r="D31" s="610">
        <f>IFERROR(D21*(1+D30),"")</f>
        <v/>
      </c>
      <c r="E31" s="610">
        <f>IFERROR(E21*(1+E30),"")</f>
        <v/>
      </c>
      <c r="F31" s="610">
        <f>IFERROR(F21*(1+F30),"")</f>
        <v/>
      </c>
      <c r="G31" s="610">
        <f>IFERROR(G21*(1+G30),"")</f>
        <v/>
      </c>
      <c r="H31" s="610">
        <f>IFERROR(H21*(1+H30),"")</f>
        <v/>
      </c>
      <c r="I31" s="610" t="n"/>
      <c r="J31" s="610" t="n"/>
      <c r="K31" s="610" t="n"/>
      <c r="L31" s="610" t="n"/>
      <c r="M31" s="610" t="n"/>
    </row>
    <row r="33" ht="16.5" customHeight="1" s="545">
      <c r="B33" s="616" t="inlineStr">
        <is>
          <t>ADJUSTED RANGE - INDICATED $/SF</t>
        </is>
      </c>
    </row>
    <row r="34" ht="12" customHeight="1" s="545">
      <c r="B34" s="3" t="inlineStr">
        <is>
          <t>Low</t>
        </is>
      </c>
      <c r="C34" s="619">
        <f>IFERROR(MIN(D31:M31),"")</f>
        <v/>
      </c>
      <c r="D34" s="550" t="n"/>
    </row>
    <row r="35" ht="12" customHeight="1" s="545">
      <c r="B35" s="3" t="inlineStr">
        <is>
          <t>High</t>
        </is>
      </c>
      <c r="C35" s="619">
        <f>IFERROR(MAX(D31:M31),"")</f>
        <v/>
      </c>
      <c r="D35" s="550" t="n"/>
    </row>
    <row r="36" ht="12" customHeight="1" s="545">
      <c r="B36" s="3" t="inlineStr">
        <is>
          <t>Average</t>
        </is>
      </c>
      <c r="C36" s="619">
        <f>IFERROR(AVERAGE(D31:M31),"")</f>
        <v/>
      </c>
      <c r="D36" s="550" t="n"/>
    </row>
    <row r="37" ht="12" customHeight="1" s="545">
      <c r="B37" s="3" t="inlineStr">
        <is>
          <t>Median</t>
        </is>
      </c>
      <c r="C37" s="619">
        <f>IFERROR(MEDIAN(D31:M31),"")</f>
        <v/>
      </c>
      <c r="D37" s="550" t="n"/>
    </row>
    <row r="39" ht="16.5" customHeight="1" s="545">
      <c r="B39" s="616" t="inlineStr">
        <is>
          <t>COMPARABLE REFERENCE DETAIL</t>
        </is>
      </c>
    </row>
    <row r="40" ht="27.75" customHeight="1" s="545">
      <c r="B40" s="3" t="inlineStr">
        <is>
          <t>Parcel Number</t>
        </is>
      </c>
      <c r="C40" s="330">
        <f>PI_Parcel</f>
        <v/>
      </c>
      <c r="D40" s="224" t="inlineStr">
        <is>
          <t>R0201311</t>
        </is>
      </c>
      <c r="E40" s="224" t="inlineStr">
        <is>
          <t>R0209679</t>
        </is>
      </c>
      <c r="F40" s="224" t="inlineStr">
        <is>
          <t>N/A (CoStar summary)</t>
        </is>
      </c>
      <c r="G40" s="224" t="inlineStr">
        <is>
          <t>N/A (CoStar summary)</t>
        </is>
      </c>
      <c r="H40" s="224" t="inlineStr">
        <is>
          <t>N/A (CompStak summary)</t>
        </is>
      </c>
      <c r="I40" s="224" t="n"/>
      <c r="J40" s="224" t="n"/>
      <c r="K40" s="224" t="n"/>
      <c r="L40" s="224" t="n"/>
      <c r="M40" s="224" t="n"/>
    </row>
    <row r="41" ht="27.75" customHeight="1" s="545">
      <c r="B41" s="3" t="inlineStr">
        <is>
          <t>Data Source</t>
        </is>
      </c>
      <c r="C41" s="609" t="inlineStr">
        <is>
          <t>Assessor records, appraiser inspection</t>
        </is>
      </c>
      <c r="D41" s="224" t="inlineStr">
        <is>
          <t>Adams County Assessor countywide sales database (R0194277 2025 SALES GRID.xlsm, "Sales" tab), OCC 584 Mega Warehouse, Commerce City.</t>
        </is>
      </c>
      <c r="E41" s="224" t="inlineStr">
        <is>
          <t>Adams County Assessor countywide sales database (R0194277 2025 SALES GRID.xlsm, "Sales" tab), OCC 584 Mega Warehouse, Commerce City.</t>
        </is>
      </c>
      <c r="F41" s="224" t="inlineStr">
        <is>
          <t>CoStar Improved Sale Comps, R0194277 Impr Sale Comps Costar 20260617.xlsx.</t>
        </is>
      </c>
      <c r="G41" s="224" t="inlineStr">
        <is>
          <t>CoStar Improved Sale Comps, R0194277 Impr Sale Comps Costar 20260617.xlsx. Zoning PCZD-C. (Same building resold 7/10/2020 for $49.0M / $119.08 PSF - not used, superseded by the 12/27/2022 sale.)</t>
        </is>
      </c>
      <c r="H41" s="224" t="inlineStr">
        <is>
          <t>CompStak Sale/Cap Rate Comps, R0194277 Sale_Cap Comps CompStak.pdf, Property #4.</t>
        </is>
      </c>
      <c r="I41" s="224" t="n"/>
      <c r="J41" s="224" t="n"/>
      <c r="K41" s="224" t="n"/>
      <c r="L41" s="224" t="n"/>
      <c r="M41" s="224" t="n"/>
    </row>
    <row r="43" ht="33.75" customHeight="1" s="545">
      <c r="B43" s="548" t="inlineStr">
        <is>
          <t>Sale 1-5 are the industrial improved sales identified in the assignment's source materials, all within the Denver-metro north/northeast big-box submarket. Sales D and E are Commerce City Mega Warehouse (OCC 584) comps from the Assessor's own countywide sales database - D is close in size and 2020 vintage; E is the largest (999,780 SF) and most recent of the county comps. Sales F and G are CoStar improved sale comps: F (Aurora, 2022 YOC) is the closest size/age match; G (Louisville, 1995 YOC) is older and in a different (Boulder County) submarket that generally commands a premium, so its $169/SF should be weighed cautiously. Sale H (Aurora Commerce Center, 2019) is the oldest transaction and building vintage of the set. Each comp is adjusted only for market conditions (time), trended forward to the 6/30/2024 level of value at an assumed 5.0%/year rate (no paired-sales data were available in the source materials to derive a precise trend rate for this submarket, so 5.0%/year is used as a reasonable, disclosed approximation of Denver-metro industrial appreciation over this period). No qualitative adjustments are applied given the absence of paired-sales support; BEFORE THE HEARING, consider a qualitative downward adjustment to Sales F/G/H for their smaller size relative to the 540,800 SF subject (smaller big-box buildings typically transact at a premium $/SF), which would narrow the wide $95.83-$169.14/SF unadjusted range. The straight average of the 5 adjusted comps is materially above the Assessor's $105.29/SF and is treated as an upper-bound indicator in the Reconciliation, with the two same-city, same-occupancy-code Commerce City comps (D, E) - averaging roughly $115-125/SF adjusted - viewed as the more reliable subset.</t>
        </is>
      </c>
    </row>
    <row r="44" ht="12" customHeight="1" s="545"/>
    <row r="47" ht="16.5" customHeight="1" s="545">
      <c r="B47" s="616" t="inlineStr">
        <is>
          <t>SALES COMPARISON APPROACH VALUE CONCLUSION</t>
        </is>
      </c>
    </row>
    <row r="48" ht="15" customHeight="1" s="545">
      <c r="B48" s="643" t="inlineStr">
        <is>
          <t>Indicated Value per SF</t>
        </is>
      </c>
      <c r="C48" s="626">
        <f>ROUND(C36,2)</f>
        <v/>
      </c>
      <c r="D48" s="550" t="n"/>
      <c r="E48" s="550" t="n"/>
    </row>
    <row r="49" ht="15" customHeight="1" s="545">
      <c r="B49" s="643" t="inlineStr">
        <is>
          <t>Building Area (SF)</t>
        </is>
      </c>
      <c r="C49" s="628">
        <f>'Property Info'!$C$29</f>
        <v/>
      </c>
      <c r="D49" s="550" t="n"/>
      <c r="E49" s="550" t="n"/>
    </row>
    <row r="50" ht="15" customHeight="1" s="545">
      <c r="B50" s="643" t="inlineStr">
        <is>
          <t>Indicated Value</t>
        </is>
      </c>
      <c r="C50" s="614">
        <f>C48*C49</f>
        <v/>
      </c>
      <c r="D50" s="550" t="n"/>
      <c r="E50" s="550" t="n"/>
    </row>
    <row r="51" ht="15" customHeight="1" s="545">
      <c r="B51" s="643" t="inlineStr">
        <is>
          <t>Rounding Increment</t>
        </is>
      </c>
      <c r="C51" s="630" t="n">
        <v>25000</v>
      </c>
      <c r="D51" s="550" t="n"/>
      <c r="E51" s="550" t="n"/>
    </row>
    <row r="52" ht="15" customHeight="1" s="545">
      <c r="B52" s="239">
        <f>"Rounded to nearest  "&amp;TEXT(C51,"$#,##0")</f>
        <v/>
      </c>
      <c r="C52" s="617">
        <f>ROUND(C50/C51,0)*C51</f>
        <v/>
      </c>
      <c r="D52" s="611" t="n"/>
      <c r="E52" s="611" t="n"/>
    </row>
    <row r="53" ht="15" customHeight="1" s="545">
      <c r="B53" s="239" t="inlineStr">
        <is>
          <t>Per SF</t>
        </is>
      </c>
      <c r="C53" s="610">
        <f>IFERROR(C52/C49,"")</f>
        <v/>
      </c>
      <c r="D53" s="611" t="n"/>
      <c r="E53" s="611" t="n"/>
    </row>
  </sheetData>
  <mergeCells count="17">
    <mergeCell ref="B33:D33"/>
    <mergeCell ref="B22:H22"/>
    <mergeCell ref="C34:D34"/>
    <mergeCell ref="C50:E50"/>
    <mergeCell ref="C52:E52"/>
    <mergeCell ref="C53:E53"/>
    <mergeCell ref="B43:H43"/>
    <mergeCell ref="B39:H39"/>
    <mergeCell ref="C37:D37"/>
    <mergeCell ref="C36:D36"/>
    <mergeCell ref="C48:E48"/>
    <mergeCell ref="C49:E49"/>
    <mergeCell ref="B15:H15"/>
    <mergeCell ref="B47:E47"/>
    <mergeCell ref="B3:H3"/>
    <mergeCell ref="C51:E51"/>
    <mergeCell ref="C35:D35"/>
  </mergeCells>
  <printOptions horizontalCentered="1"/>
  <pageMargins left="0.4" right="0.4" top="0.5" bottom="0.5" header="0.511811023622047" footer="0.511811023622047"/>
  <pageSetup orientation="landscape" fitToHeight="0" horizontalDpi="300" verticalDpi="300"/>
</worksheet>
</file>

<file path=xl/worksheets/sheet16.xml><?xml version="1.0" encoding="utf-8"?>
<worksheet xmlns="http://schemas.openxmlformats.org/spreadsheetml/2006/main">
  <sheetPr>
    <outlinePr summaryBelow="1" summaryRight="1"/>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baseColWidth="8" defaultColWidth="9.85546875" defaultRowHeight="12"/>
  <cols>
    <col width="2.28515625" customWidth="1" style="545" min="1" max="1"/>
    <col width="38.7109375" customWidth="1" style="545" min="2" max="2"/>
    <col width="27.42578125" customWidth="1" style="545" min="3" max="3"/>
    <col width="10.28515625" customWidth="1" style="545" min="4" max="4"/>
    <col width="27.42578125" customWidth="1" style="545" min="5" max="5"/>
    <col width="10.28515625" customWidth="1" style="545" min="6" max="6"/>
    <col width="27.42578125" customWidth="1" style="545" min="7" max="7"/>
    <col width="10.28515625" customWidth="1" style="545" min="8" max="8"/>
    <col width="27.42578125" customWidth="1" style="545" min="9" max="9"/>
    <col width="10.28515625" customWidth="1" style="545" min="10" max="10"/>
    <col width="27.42578125" customWidth="1" style="545" min="11" max="11"/>
    <col width="10.28515625" customWidth="1" style="545" min="12" max="12"/>
    <col width="27.42578125" customWidth="1" style="545" min="13" max="13"/>
    <col width="10.28515625" customWidth="1" style="545" min="14" max="14"/>
    <col width="27.42578125" customWidth="1" style="545" min="15" max="15"/>
    <col width="10.28515625" customWidth="1" style="545" min="16" max="16"/>
  </cols>
  <sheetData>
    <row r="3" ht="16.5" customHeight="1" s="545">
      <c r="B3" s="616" t="inlineStr">
        <is>
          <t>DETAILED COMPARABLE SALE ADJUSTMENT GRID</t>
        </is>
      </c>
    </row>
    <row r="4" ht="15.75" customHeight="1" s="545">
      <c r="B4" s="213" t="n"/>
      <c r="C4" s="621" t="inlineStr">
        <is>
          <t>Subject</t>
        </is>
      </c>
      <c r="E4" s="621" t="n"/>
      <c r="G4" s="621" t="n"/>
      <c r="I4" s="621" t="n"/>
      <c r="K4" s="621" t="n"/>
      <c r="M4" s="621" t="n"/>
      <c r="O4" s="621" t="n"/>
    </row>
    <row r="5" ht="13.5" customHeight="1" s="545">
      <c r="B5" s="644" t="inlineStr">
        <is>
          <t>Item</t>
        </is>
      </c>
      <c r="C5" s="216" t="inlineStr">
        <is>
          <t>Description</t>
        </is>
      </c>
      <c r="D5" s="216" t="n"/>
      <c r="E5" s="216" t="n"/>
      <c r="F5" s="216" t="n"/>
      <c r="G5" s="216" t="n"/>
      <c r="H5" s="216" t="n"/>
      <c r="I5" s="216" t="n"/>
      <c r="J5" s="216" t="n"/>
      <c r="K5" s="216" t="n"/>
      <c r="L5" s="216" t="n"/>
      <c r="M5" s="216" t="n"/>
      <c r="N5" s="216" t="n"/>
      <c r="O5" s="216" t="n"/>
      <c r="P5" s="216" t="n"/>
    </row>
    <row r="6" ht="13.5" customHeight="1" s="545">
      <c r="B6" s="217" t="inlineStr">
        <is>
          <t>Address</t>
        </is>
      </c>
      <c r="C6" s="612">
        <f>'Property Info'!$C$19</f>
        <v/>
      </c>
      <c r="D6" s="550" t="n"/>
      <c r="E6" s="625" t="n"/>
      <c r="F6" s="218" t="n"/>
      <c r="G6" s="625" t="n"/>
      <c r="H6" s="218" t="n"/>
      <c r="I6" s="625" t="n"/>
      <c r="J6" s="218" t="n"/>
      <c r="K6" s="625" t="n"/>
      <c r="L6" s="218" t="n"/>
      <c r="M6" s="625" t="n"/>
      <c r="N6" s="218" t="n"/>
      <c r="O6" s="625" t="n"/>
      <c r="P6" s="218" t="n"/>
    </row>
    <row r="7" ht="13.5" customHeight="1" s="545">
      <c r="B7" s="217" t="inlineStr">
        <is>
          <t>City, State</t>
        </is>
      </c>
      <c r="C7" s="612">
        <f>PROPER('Property Info'!$C$20)&amp;", CO"</f>
        <v/>
      </c>
      <c r="D7" s="550" t="n"/>
      <c r="E7" s="625" t="n"/>
      <c r="F7" s="218" t="n"/>
      <c r="G7" s="625" t="n"/>
      <c r="H7" s="218" t="n"/>
      <c r="I7" s="625" t="n"/>
      <c r="J7" s="218" t="n"/>
      <c r="K7" s="625" t="n"/>
      <c r="L7" s="218" t="n"/>
      <c r="M7" s="625" t="n"/>
      <c r="N7" s="218" t="n"/>
      <c r="O7" s="625" t="n"/>
      <c r="P7" s="218" t="n"/>
    </row>
    <row r="8" ht="13.5" customHeight="1" s="545">
      <c r="B8" s="217" t="inlineStr">
        <is>
          <t>Parcel Number</t>
        </is>
      </c>
      <c r="C8" s="627">
        <f>PI_Parcel</f>
        <v/>
      </c>
      <c r="D8" s="550" t="n"/>
      <c r="E8" s="625" t="n"/>
      <c r="F8" s="218" t="n"/>
      <c r="G8" s="625" t="n"/>
      <c r="H8" s="218" t="n"/>
      <c r="I8" s="625" t="n"/>
      <c r="J8" s="218" t="n"/>
      <c r="K8" s="625" t="n"/>
      <c r="L8" s="218" t="n"/>
      <c r="M8" s="625" t="n"/>
      <c r="N8" s="218" t="n"/>
      <c r="O8" s="625" t="n"/>
      <c r="P8" s="218" t="n"/>
    </row>
    <row r="9" ht="13.5" customHeight="1" s="545">
      <c r="B9" s="217" t="inlineStr">
        <is>
          <t>Property Type</t>
        </is>
      </c>
      <c r="C9" s="612">
        <f>'Property Info'!$C$23</f>
        <v/>
      </c>
      <c r="D9" s="550" t="n"/>
      <c r="E9" s="625" t="n"/>
      <c r="F9" s="218" t="n"/>
      <c r="G9" s="625" t="n"/>
      <c r="H9" s="218" t="n"/>
      <c r="I9" s="625" t="n"/>
      <c r="J9" s="218" t="n"/>
      <c r="K9" s="625" t="n"/>
      <c r="L9" s="218" t="n"/>
      <c r="M9" s="625" t="n"/>
      <c r="N9" s="218" t="n"/>
      <c r="O9" s="625" t="n"/>
      <c r="P9" s="218" t="n"/>
    </row>
    <row r="10" ht="13.5" customHeight="1" s="545">
      <c r="B10" s="217" t="inlineStr">
        <is>
          <t>Sale Date</t>
        </is>
      </c>
      <c r="C10" s="634" t="inlineStr">
        <is>
          <t>N/A</t>
        </is>
      </c>
      <c r="D10" s="550" t="n"/>
      <c r="E10" s="324" t="n"/>
      <c r="F10" s="218" t="n"/>
      <c r="G10" s="324" t="n"/>
      <c r="H10" s="218" t="n"/>
      <c r="I10" s="324" t="n"/>
      <c r="J10" s="218" t="n"/>
      <c r="K10" s="324" t="n"/>
      <c r="L10" s="218" t="n"/>
      <c r="M10" s="324" t="n"/>
      <c r="N10" s="218" t="n"/>
      <c r="O10" s="324" t="n"/>
      <c r="P10" s="218" t="n"/>
    </row>
    <row r="11" ht="13.5" customHeight="1" s="545">
      <c r="B11" s="217" t="inlineStr">
        <is>
          <t>Sale Price</t>
        </is>
      </c>
      <c r="C11" s="614" t="n"/>
      <c r="D11" s="550" t="n"/>
      <c r="E11" s="630" t="n"/>
      <c r="F11" s="218" t="n"/>
      <c r="G11" s="630" t="n"/>
      <c r="H11" s="218" t="n"/>
      <c r="I11" s="630" t="n"/>
      <c r="J11" s="218" t="n"/>
      <c r="K11" s="630" t="n"/>
      <c r="L11" s="218" t="n"/>
      <c r="M11" s="630" t="n"/>
      <c r="N11" s="218" t="n"/>
      <c r="O11" s="630" t="n"/>
      <c r="P11" s="218" t="n"/>
    </row>
    <row r="12" ht="13.5" customHeight="1" s="545">
      <c r="B12" s="217" t="inlineStr">
        <is>
          <t>Listing Price</t>
        </is>
      </c>
      <c r="C12" s="614" t="n"/>
      <c r="D12" s="550" t="n"/>
      <c r="E12" s="630" t="n"/>
      <c r="F12" s="218" t="n"/>
      <c r="G12" s="630" t="n"/>
      <c r="H12" s="218" t="n"/>
      <c r="I12" s="630" t="n"/>
      <c r="J12" s="218" t="n"/>
      <c r="K12" s="630" t="n"/>
      <c r="L12" s="218" t="n"/>
      <c r="M12" s="630" t="n"/>
      <c r="N12" s="218" t="n"/>
      <c r="O12" s="630" t="n"/>
      <c r="P12" s="218" t="n"/>
    </row>
    <row r="13" ht="13.5" customHeight="1" s="545">
      <c r="B13" s="217" t="inlineStr">
        <is>
          <t>Days On Market</t>
        </is>
      </c>
      <c r="C13" s="628" t="n"/>
      <c r="D13" s="550" t="n"/>
      <c r="E13" s="222" t="n"/>
      <c r="F13" s="218" t="n"/>
      <c r="G13" s="222" t="n"/>
      <c r="H13" s="218" t="n"/>
      <c r="I13" s="222" t="n"/>
      <c r="J13" s="218" t="n"/>
      <c r="K13" s="222" t="n"/>
      <c r="L13" s="218" t="n"/>
      <c r="M13" s="222" t="n"/>
      <c r="N13" s="218" t="n"/>
      <c r="O13" s="222" t="n"/>
      <c r="P13" s="218" t="n"/>
    </row>
    <row r="14" ht="39.75" customHeight="1" s="545">
      <c r="B14" s="217" t="inlineStr">
        <is>
          <t>Data Source</t>
        </is>
      </c>
      <c r="C14" s="609" t="inlineStr">
        <is>
          <t>Adams County Assessor records; R0194277 2025 SALES GRID.xlsm; CoStar and CompStak comp reports</t>
        </is>
      </c>
      <c r="D14" s="550" t="n"/>
      <c r="E14" s="224" t="n"/>
      <c r="F14" s="218" t="n"/>
      <c r="G14" s="224" t="n"/>
      <c r="H14" s="218" t="n"/>
      <c r="I14" s="224" t="n"/>
      <c r="J14" s="218" t="n"/>
      <c r="K14" s="224" t="n"/>
      <c r="L14" s="218" t="n"/>
      <c r="M14" s="224" t="n"/>
      <c r="N14" s="218" t="n"/>
      <c r="O14" s="224" t="n"/>
      <c r="P14" s="218" t="n"/>
    </row>
    <row r="15" ht="13.5" customHeight="1" s="545">
      <c r="B15" s="217" t="inlineStr">
        <is>
          <t>Property Size (SF)</t>
        </is>
      </c>
      <c r="C15" s="628">
        <f>'Property Info'!$C$29</f>
        <v/>
      </c>
      <c r="D15" s="550" t="n"/>
      <c r="E15" s="222" t="n"/>
      <c r="F15" s="218" t="n"/>
      <c r="G15" s="222" t="n"/>
      <c r="H15" s="218" t="n"/>
      <c r="I15" s="222" t="n"/>
      <c r="J15" s="218" t="n"/>
      <c r="K15" s="222" t="n"/>
      <c r="L15" s="218" t="n"/>
      <c r="M15" s="222" t="n"/>
      <c r="N15" s="218" t="n"/>
      <c r="O15" s="222" t="n"/>
      <c r="P15" s="218" t="n"/>
    </row>
    <row r="16" ht="13.5" customHeight="1" s="545">
      <c r="B16" s="217" t="inlineStr">
        <is>
          <t>Site Size (SF)</t>
        </is>
      </c>
      <c r="C16" s="628">
        <f>'Property Info'!$C$26</f>
        <v/>
      </c>
      <c r="D16" s="550" t="n"/>
      <c r="E16" s="222" t="n"/>
      <c r="F16" s="218" t="n"/>
      <c r="G16" s="222" t="n"/>
      <c r="H16" s="218" t="n"/>
      <c r="I16" s="222" t="n"/>
      <c r="J16" s="218" t="n"/>
      <c r="K16" s="222" t="n"/>
      <c r="L16" s="218" t="n"/>
      <c r="M16" s="222" t="n"/>
      <c r="N16" s="218" t="n"/>
      <c r="O16" s="222" t="n"/>
      <c r="P16" s="218" t="n"/>
    </row>
    <row r="17" ht="13.5" customHeight="1" s="545">
      <c r="B17" s="217" t="inlineStr">
        <is>
          <t>Parking Spaces</t>
        </is>
      </c>
      <c r="C17" s="628" t="n"/>
      <c r="D17" s="550" t="n"/>
      <c r="E17" s="222" t="n"/>
      <c r="F17" s="218" t="n"/>
      <c r="G17" s="222" t="n"/>
      <c r="H17" s="218" t="n"/>
      <c r="I17" s="222" t="n"/>
      <c r="J17" s="218" t="n"/>
      <c r="K17" s="222" t="n"/>
      <c r="L17" s="218" t="n"/>
      <c r="M17" s="222" t="n"/>
      <c r="N17" s="218" t="n"/>
      <c r="O17" s="222" t="n"/>
      <c r="P17" s="218" t="n"/>
    </row>
    <row r="18" ht="39.75" customHeight="1" s="545">
      <c r="B18" s="217" t="inlineStr">
        <is>
          <t>Comments</t>
        </is>
      </c>
      <c r="C18" s="609" t="inlineStr">
        <is>
          <t>Single-tenant-per-suite, multi-tenant (3 tenants) NNN industrial distribution building</t>
        </is>
      </c>
      <c r="D18" s="550" t="n"/>
      <c r="E18" s="224" t="n"/>
      <c r="F18" s="218" t="n"/>
      <c r="G18" s="224" t="n"/>
      <c r="H18" s="218" t="n"/>
      <c r="I18" s="224" t="n"/>
      <c r="J18" s="218" t="n"/>
      <c r="K18" s="224" t="n"/>
      <c r="L18" s="218" t="n"/>
      <c r="M18" s="224" t="n"/>
      <c r="N18" s="218" t="n"/>
      <c r="O18" s="224" t="n"/>
      <c r="P18" s="218" t="n"/>
    </row>
    <row r="19" ht="15" customHeight="1" s="545">
      <c r="B19" s="647" t="inlineStr">
        <is>
          <t>Unadjusted Price Per SF</t>
        </is>
      </c>
      <c r="C19" s="610">
        <f>IFERROR(C11/C15,"")</f>
        <v/>
      </c>
      <c r="D19" s="611" t="n"/>
      <c r="E19" s="610" t="n"/>
      <c r="F19" s="611" t="n"/>
      <c r="G19" s="610" t="n"/>
      <c r="H19" s="611" t="n"/>
      <c r="I19" s="610" t="n"/>
      <c r="J19" s="611" t="n"/>
      <c r="K19" s="610" t="n"/>
      <c r="L19" s="611" t="n"/>
      <c r="M19" s="610" t="n"/>
      <c r="N19" s="611" t="n"/>
      <c r="O19" s="610" t="n"/>
      <c r="P19" s="611" t="n"/>
    </row>
    <row r="20" ht="15" customHeight="1" s="545">
      <c r="B20" s="629" t="inlineStr">
        <is>
          <t>Quantified Adjustments</t>
        </is>
      </c>
    </row>
    <row r="21" ht="13.5" customHeight="1" s="545">
      <c r="B21" s="217" t="inlineStr">
        <is>
          <t>Property Rights Conveyed</t>
        </is>
      </c>
      <c r="C21" s="612" t="inlineStr">
        <is>
          <t>Leased Fee</t>
        </is>
      </c>
      <c r="D21" s="550" t="n"/>
      <c r="E21" s="625" t="n"/>
      <c r="F21" s="231" t="n"/>
      <c r="G21" s="625" t="n"/>
      <c r="H21" s="231" t="n"/>
      <c r="I21" s="625" t="n"/>
      <c r="J21" s="231" t="n"/>
      <c r="K21" s="625" t="n"/>
      <c r="L21" s="231" t="n"/>
      <c r="M21" s="625" t="n"/>
      <c r="N21" s="231" t="n"/>
      <c r="O21" s="625" t="n"/>
      <c r="P21" s="231" t="n"/>
    </row>
    <row r="22" ht="13.5" customHeight="1" s="545">
      <c r="B22" s="217" t="inlineStr">
        <is>
          <t>Financing</t>
        </is>
      </c>
      <c r="C22" s="612" t="inlineStr">
        <is>
          <t>N/A</t>
        </is>
      </c>
      <c r="D22" s="550" t="n"/>
      <c r="E22" s="625" t="n"/>
      <c r="F22" s="231" t="n"/>
      <c r="G22" s="625" t="n"/>
      <c r="H22" s="231" t="n"/>
      <c r="I22" s="625" t="n"/>
      <c r="J22" s="231" t="n"/>
      <c r="K22" s="625" t="n"/>
      <c r="L22" s="231" t="n"/>
      <c r="M22" s="625" t="n"/>
      <c r="N22" s="231" t="n"/>
      <c r="O22" s="625" t="n"/>
      <c r="P22" s="231" t="n"/>
    </row>
    <row r="23" ht="13.5" customHeight="1" s="545">
      <c r="B23" s="217" t="inlineStr">
        <is>
          <t>Terms/Conditions of Sale</t>
        </is>
      </c>
      <c r="C23" s="612" t="inlineStr">
        <is>
          <t>N/A</t>
        </is>
      </c>
      <c r="D23" s="550" t="n"/>
      <c r="E23" s="625" t="n"/>
      <c r="F23" s="231" t="n"/>
      <c r="G23" s="625" t="n"/>
      <c r="H23" s="231" t="n"/>
      <c r="I23" s="625" t="n"/>
      <c r="J23" s="231" t="n"/>
      <c r="K23" s="625" t="n"/>
      <c r="L23" s="231" t="n"/>
      <c r="M23" s="625" t="n"/>
      <c r="N23" s="231" t="n"/>
      <c r="O23" s="625" t="n"/>
      <c r="P23" s="231" t="n"/>
    </row>
    <row r="24" ht="13.5" customHeight="1" s="545">
      <c r="B24" s="217" t="inlineStr">
        <is>
          <t>Expenditures After Sale</t>
        </is>
      </c>
      <c r="C24" s="612" t="inlineStr">
        <is>
          <t>N/A</t>
        </is>
      </c>
      <c r="D24" s="550" t="n"/>
      <c r="E24" s="625" t="n"/>
      <c r="F24" s="231" t="n"/>
      <c r="G24" s="625" t="n"/>
      <c r="H24" s="231" t="n"/>
      <c r="I24" s="625" t="n"/>
      <c r="J24" s="231" t="n"/>
      <c r="K24" s="625" t="n"/>
      <c r="L24" s="231" t="n"/>
      <c r="M24" s="625" t="n"/>
      <c r="N24" s="231" t="n"/>
      <c r="O24" s="625" t="n"/>
      <c r="P24" s="231" t="n"/>
    </row>
    <row r="25" ht="13.5" customHeight="1" s="545">
      <c r="B25" s="217" t="inlineStr">
        <is>
          <t>Market Conditions</t>
        </is>
      </c>
      <c r="C25" s="612" t="inlineStr">
        <is>
          <t>N/A</t>
        </is>
      </c>
      <c r="D25" s="550" t="n"/>
      <c r="E25" s="331" t="n"/>
      <c r="F25" s="231" t="n"/>
      <c r="G25" s="331" t="n"/>
      <c r="H25" s="231" t="n"/>
      <c r="I25" s="331" t="n"/>
      <c r="J25" s="231" t="n"/>
      <c r="K25" s="331" t="n"/>
      <c r="L25" s="231" t="n"/>
      <c r="M25" s="331" t="n"/>
      <c r="N25" s="231" t="n"/>
      <c r="O25" s="625" t="n"/>
      <c r="P25" s="231" t="n"/>
    </row>
    <row r="26" ht="15" customHeight="1" s="545">
      <c r="B26" s="647" t="inlineStr">
        <is>
          <t>Total Quantified Adjustment</t>
        </is>
      </c>
      <c r="C26" s="613" t="inlineStr">
        <is>
          <t>N/A</t>
        </is>
      </c>
      <c r="D26" s="611" t="n"/>
      <c r="E26" s="613" t="n"/>
      <c r="F26" s="611" t="n"/>
      <c r="G26" s="613" t="n"/>
      <c r="H26" s="611" t="n"/>
      <c r="I26" s="613" t="n"/>
      <c r="J26" s="611" t="n"/>
      <c r="K26" s="613" t="n"/>
      <c r="L26" s="611" t="n"/>
      <c r="M26" s="613" t="n"/>
      <c r="N26" s="611" t="n"/>
      <c r="O26" s="613" t="n"/>
      <c r="P26" s="611" t="n"/>
    </row>
    <row r="27" ht="15" customHeight="1" s="545">
      <c r="B27" s="647" t="inlineStr">
        <is>
          <t>Quantitatively Adjusted Price</t>
        </is>
      </c>
      <c r="C27" s="610">
        <f>IFERROR(C19*(1+N(C26)),"")</f>
        <v/>
      </c>
      <c r="D27" s="611" t="n"/>
      <c r="E27" s="610" t="n"/>
      <c r="F27" s="611" t="n"/>
      <c r="G27" s="610" t="n"/>
      <c r="H27" s="611" t="n"/>
      <c r="I27" s="610" t="n"/>
      <c r="J27" s="611" t="n"/>
      <c r="K27" s="610" t="n"/>
      <c r="L27" s="611" t="n"/>
      <c r="M27" s="610" t="n"/>
      <c r="N27" s="611" t="n"/>
      <c r="O27" s="610" t="n"/>
      <c r="P27" s="611" t="n"/>
    </row>
    <row r="28" ht="15" customHeight="1" s="545">
      <c r="B28" s="629" t="inlineStr">
        <is>
          <t>Qualitative Adjustments</t>
        </is>
      </c>
    </row>
    <row r="29" ht="13.5" customHeight="1" s="545">
      <c r="B29" s="217" t="inlineStr">
        <is>
          <t>Location</t>
        </is>
      </c>
      <c r="C29" s="612" t="inlineStr">
        <is>
          <t>Average</t>
        </is>
      </c>
      <c r="D29" s="550" t="n"/>
      <c r="E29" s="625" t="n"/>
      <c r="F29" s="231" t="n"/>
      <c r="G29" s="625" t="n"/>
      <c r="H29" s="231" t="n"/>
      <c r="I29" s="625" t="n"/>
      <c r="J29" s="231" t="n"/>
      <c r="K29" s="625" t="n"/>
      <c r="L29" s="231" t="n"/>
      <c r="M29" s="625" t="n"/>
      <c r="N29" s="231" t="n"/>
      <c r="O29" s="625" t="n"/>
      <c r="P29" s="231" t="n"/>
    </row>
    <row r="30" ht="13.5" customHeight="1" s="545">
      <c r="B30" s="217" t="inlineStr">
        <is>
          <t>Distance from Subject</t>
        </is>
      </c>
      <c r="C30" s="612" t="inlineStr">
        <is>
          <t>N/A</t>
        </is>
      </c>
      <c r="D30" s="550" t="n"/>
      <c r="E30" s="625" t="n"/>
      <c r="F30" s="218" t="n"/>
      <c r="G30" s="625" t="n"/>
      <c r="H30" s="218" t="n"/>
      <c r="I30" s="625" t="n"/>
      <c r="J30" s="218" t="n"/>
      <c r="K30" s="625" t="n"/>
      <c r="L30" s="218" t="n"/>
      <c r="M30" s="625" t="n"/>
      <c r="N30" s="218" t="n"/>
      <c r="O30" s="625" t="n"/>
      <c r="P30" s="218" t="n"/>
    </row>
    <row r="31" ht="39.75" customHeight="1" s="545">
      <c r="B31" s="217" t="inlineStr">
        <is>
          <t>Surrounding Land Uses</t>
        </is>
      </c>
      <c r="C31" s="609" t="n"/>
      <c r="D31" s="550" t="n"/>
      <c r="E31" s="224" t="n"/>
      <c r="F31" s="218" t="n"/>
      <c r="G31" s="224" t="n"/>
      <c r="H31" s="218" t="n"/>
      <c r="I31" s="224" t="n"/>
      <c r="J31" s="218" t="n"/>
      <c r="K31" s="224" t="n"/>
      <c r="L31" s="218" t="n"/>
      <c r="M31" s="224" t="n"/>
      <c r="N31" s="218" t="n"/>
      <c r="O31" s="224" t="n"/>
      <c r="P31" s="218" t="n"/>
    </row>
    <row r="32" ht="39.75" customHeight="1" s="545">
      <c r="B32" s="217" t="inlineStr">
        <is>
          <t>Quality / Condition of Surrounding Area</t>
        </is>
      </c>
      <c r="C32" s="609" t="n"/>
      <c r="D32" s="550" t="n"/>
      <c r="E32" s="224" t="n"/>
      <c r="F32" s="218" t="n"/>
      <c r="G32" s="224" t="n"/>
      <c r="H32" s="218" t="n"/>
      <c r="I32" s="224" t="n"/>
      <c r="J32" s="218" t="n"/>
      <c r="K32" s="224" t="n"/>
      <c r="L32" s="218" t="n"/>
      <c r="M32" s="224" t="n"/>
      <c r="N32" s="218" t="n"/>
      <c r="O32" s="224" t="n"/>
      <c r="P32" s="218" t="n"/>
    </row>
    <row r="33" ht="39.75" customHeight="1" s="545">
      <c r="B33" s="217" t="inlineStr">
        <is>
          <t>Access to Commercial Services / Amenities</t>
        </is>
      </c>
      <c r="C33" s="609" t="n"/>
      <c r="D33" s="550" t="n"/>
      <c r="E33" s="224" t="n"/>
      <c r="F33" s="218" t="n"/>
      <c r="G33" s="224" t="n"/>
      <c r="H33" s="218" t="n"/>
      <c r="I33" s="224" t="n"/>
      <c r="J33" s="218" t="n"/>
      <c r="K33" s="224" t="n"/>
      <c r="L33" s="218" t="n"/>
      <c r="M33" s="224" t="n"/>
      <c r="N33" s="218" t="n"/>
      <c r="O33" s="224" t="n"/>
      <c r="P33" s="218" t="n"/>
    </row>
    <row r="34" ht="39.75" customHeight="1" s="545">
      <c r="B34" s="217" t="inlineStr">
        <is>
          <t>Visibility / Access</t>
        </is>
      </c>
      <c r="C34" s="609" t="inlineStr">
        <is>
          <t>Average - frontage and access from Quintero Street</t>
        </is>
      </c>
      <c r="D34" s="550" t="n"/>
      <c r="E34" s="224" t="n"/>
      <c r="F34" s="218" t="n"/>
      <c r="G34" s="224" t="n"/>
      <c r="H34" s="218" t="n"/>
      <c r="I34" s="224" t="n"/>
      <c r="J34" s="218" t="n"/>
      <c r="K34" s="224" t="n"/>
      <c r="L34" s="218" t="n"/>
      <c r="M34" s="224" t="n"/>
      <c r="N34" s="218" t="n"/>
      <c r="O34" s="224" t="n"/>
      <c r="P34" s="218" t="n"/>
    </row>
    <row r="35" ht="39.75" customHeight="1" s="545">
      <c r="B35" s="217" t="inlineStr">
        <is>
          <t>Demographics</t>
        </is>
      </c>
      <c r="C35" s="609" t="n"/>
      <c r="D35" s="550" t="n"/>
      <c r="E35" s="224" t="n"/>
      <c r="F35" s="218" t="n"/>
      <c r="G35" s="224" t="n"/>
      <c r="H35" s="218" t="n"/>
      <c r="I35" s="224" t="n"/>
      <c r="J35" s="218" t="n"/>
      <c r="K35" s="224" t="n"/>
      <c r="L35" s="218" t="n"/>
      <c r="M35" s="224" t="n"/>
      <c r="N35" s="218" t="n"/>
      <c r="O35" s="224" t="n"/>
      <c r="P35" s="218" t="n"/>
    </row>
    <row r="36" ht="13.5" customHeight="1" s="545">
      <c r="B36" s="217" t="inlineStr">
        <is>
          <t>Property Size (SF)</t>
        </is>
      </c>
      <c r="C36" s="628" t="inlineStr">
        <is>
          <t>Footprint</t>
        </is>
      </c>
      <c r="D36" s="550" t="n"/>
      <c r="E36" s="222" t="n"/>
      <c r="F36" s="231" t="n"/>
      <c r="G36" s="222" t="n"/>
      <c r="H36" s="231" t="n"/>
      <c r="I36" s="222" t="n"/>
      <c r="J36" s="231" t="n"/>
      <c r="K36" s="222" t="n"/>
      <c r="L36" s="231" t="n"/>
      <c r="M36" s="222" t="n"/>
      <c r="N36" s="231" t="n"/>
      <c r="O36" s="222" t="n"/>
      <c r="P36" s="231" t="n"/>
    </row>
    <row r="37" ht="13.5" customHeight="1" s="545">
      <c r="B37" s="217" t="inlineStr">
        <is>
          <t>YOC / Condition</t>
        </is>
      </c>
      <c r="C37" s="612" t="inlineStr">
        <is>
          <t>2018 / Average</t>
        </is>
      </c>
      <c r="D37" s="550" t="n"/>
      <c r="E37" s="625" t="n"/>
      <c r="F37" s="231" t="n"/>
      <c r="G37" s="625" t="n"/>
      <c r="H37" s="231" t="n"/>
      <c r="I37" s="625" t="n"/>
      <c r="J37" s="231" t="n"/>
      <c r="K37" s="625" t="n"/>
      <c r="L37" s="231" t="n"/>
      <c r="M37" s="625" t="n"/>
      <c r="N37" s="231" t="n"/>
      <c r="O37" s="625" t="n"/>
      <c r="P37" s="231" t="n"/>
    </row>
    <row r="38" ht="13.5" customHeight="1" s="545">
      <c r="B38" s="217" t="inlineStr">
        <is>
          <t>Quality</t>
        </is>
      </c>
      <c r="C38" s="612" t="inlineStr">
        <is>
          <t>Average</t>
        </is>
      </c>
      <c r="D38" s="550" t="n"/>
      <c r="E38" s="625" t="n"/>
      <c r="F38" s="231" t="n"/>
      <c r="G38" s="625" t="n"/>
      <c r="H38" s="231" t="n"/>
      <c r="I38" s="625" t="n"/>
      <c r="J38" s="231" t="n"/>
      <c r="K38" s="625" t="n"/>
      <c r="L38" s="231" t="n"/>
      <c r="M38" s="625" t="n"/>
      <c r="N38" s="231" t="n"/>
      <c r="O38" s="625" t="n"/>
      <c r="P38" s="231" t="n"/>
    </row>
    <row r="39" ht="39.75" customHeight="1" s="545">
      <c r="B39" s="217" t="inlineStr">
        <is>
          <t>Frame</t>
        </is>
      </c>
      <c r="C39" s="609" t="inlineStr">
        <is>
          <t>Masonry / Class C</t>
        </is>
      </c>
      <c r="D39" s="550" t="n"/>
      <c r="E39" s="224" t="n"/>
      <c r="F39" s="218" t="n"/>
      <c r="G39" s="224" t="n"/>
      <c r="H39" s="218" t="n"/>
      <c r="I39" s="224" t="n"/>
      <c r="J39" s="218" t="n"/>
      <c r="K39" s="224" t="n"/>
      <c r="L39" s="218" t="n"/>
      <c r="M39" s="224" t="n"/>
      <c r="N39" s="218" t="n"/>
      <c r="O39" s="224" t="n"/>
      <c r="P39" s="218" t="n"/>
    </row>
    <row r="40" ht="39.75" customHeight="1" s="545">
      <c r="B40" s="217" t="inlineStr">
        <is>
          <t>Exterior</t>
        </is>
      </c>
      <c r="C40" s="609" t="n"/>
      <c r="D40" s="550" t="n"/>
      <c r="E40" s="224" t="n"/>
      <c r="F40" s="218" t="n"/>
      <c r="G40" s="224" t="n"/>
      <c r="H40" s="218" t="n"/>
      <c r="I40" s="224" t="n"/>
      <c r="J40" s="218" t="n"/>
      <c r="K40" s="224" t="n"/>
      <c r="L40" s="218" t="n"/>
      <c r="M40" s="224" t="n"/>
      <c r="N40" s="218" t="n"/>
      <c r="O40" s="224" t="n"/>
      <c r="P40" s="218" t="n"/>
    </row>
    <row r="41" ht="39.75" customHeight="1" s="545">
      <c r="B41" s="217" t="inlineStr">
        <is>
          <t>Architectural Styling</t>
        </is>
      </c>
      <c r="C41" s="609" t="n"/>
      <c r="D41" s="550" t="n"/>
      <c r="E41" s="224" t="n"/>
      <c r="F41" s="218" t="n"/>
      <c r="G41" s="224" t="n"/>
      <c r="H41" s="218" t="n"/>
      <c r="I41" s="224" t="n"/>
      <c r="J41" s="218" t="n"/>
      <c r="K41" s="224" t="n"/>
      <c r="L41" s="218" t="n"/>
      <c r="M41" s="224" t="n"/>
      <c r="N41" s="218" t="n"/>
      <c r="O41" s="224" t="n"/>
      <c r="P41" s="218" t="n"/>
    </row>
    <row r="42" ht="39.75" customHeight="1" s="545">
      <c r="B42" s="217" t="inlineStr">
        <is>
          <t>Typical Interior Finishes</t>
        </is>
      </c>
      <c r="C42" s="609" t="n"/>
      <c r="D42" s="550" t="n"/>
      <c r="E42" s="224" t="n"/>
      <c r="F42" s="218" t="n"/>
      <c r="G42" s="224" t="n"/>
      <c r="H42" s="218" t="n"/>
      <c r="I42" s="224" t="n"/>
      <c r="J42" s="218" t="n"/>
      <c r="K42" s="224" t="n"/>
      <c r="L42" s="218" t="n"/>
      <c r="M42" s="224" t="n"/>
      <c r="N42" s="218" t="n"/>
      <c r="O42" s="224" t="n"/>
      <c r="P42" s="218" t="n"/>
    </row>
    <row r="43" ht="13.5" customHeight="1" s="545">
      <c r="B43" s="217" t="inlineStr">
        <is>
          <t>Parking Ratio (Per 1,000 SF)</t>
        </is>
      </c>
      <c r="C43" s="631">
        <f>IFERROR(C17/C15*1000,"")</f>
        <v/>
      </c>
      <c r="D43" s="550" t="n"/>
      <c r="E43" s="332" t="n"/>
      <c r="F43" s="231" t="n"/>
      <c r="G43" s="332" t="n"/>
      <c r="H43" s="231" t="n"/>
      <c r="I43" s="332" t="n"/>
      <c r="J43" s="231" t="n"/>
      <c r="K43" s="332" t="n"/>
      <c r="L43" s="231" t="n"/>
      <c r="M43" s="332" t="n"/>
      <c r="N43" s="231" t="n"/>
      <c r="O43" s="332" t="n"/>
      <c r="P43" s="231" t="n"/>
    </row>
    <row r="44" ht="13.5" customHeight="1" s="545">
      <c r="B44" s="217" t="inlineStr">
        <is>
          <t>Tenancy / Occupancy</t>
        </is>
      </c>
      <c r="C44" s="612" t="inlineStr">
        <is>
          <t>Multi-tenant (3 tenants), 100% occupied at the level of value</t>
        </is>
      </c>
      <c r="D44" s="550" t="n"/>
      <c r="E44" s="625" t="n"/>
      <c r="F44" s="231" t="n"/>
      <c r="G44" s="625" t="n"/>
      <c r="H44" s="231" t="n"/>
      <c r="I44" s="625" t="n"/>
      <c r="J44" s="231" t="n"/>
      <c r="K44" s="625" t="n"/>
      <c r="L44" s="231" t="n"/>
      <c r="M44" s="625" t="n"/>
      <c r="N44" s="231" t="n"/>
      <c r="O44" s="625" t="n"/>
      <c r="P44" s="231" t="n"/>
    </row>
    <row r="45" ht="13.5" customHeight="1" s="545">
      <c r="B45" s="217" t="inlineStr">
        <is>
          <t>Occupancy</t>
        </is>
      </c>
      <c r="C45" s="632" t="n"/>
      <c r="D45" s="550" t="n"/>
      <c r="E45" s="333" t="n"/>
      <c r="F45" s="218" t="n"/>
      <c r="G45" s="333" t="n"/>
      <c r="H45" s="218" t="n"/>
      <c r="I45" s="333" t="n"/>
      <c r="J45" s="218" t="n"/>
      <c r="K45" s="333" t="n"/>
      <c r="L45" s="218" t="n"/>
      <c r="M45" s="333" t="n"/>
      <c r="N45" s="218" t="n"/>
      <c r="O45" s="333" t="n"/>
      <c r="P45" s="218" t="n"/>
    </row>
    <row r="46" ht="39.75" customHeight="1" s="545">
      <c r="B46" s="217" t="inlineStr">
        <is>
          <t>Tenant Risk</t>
        </is>
      </c>
      <c r="C46" s="609" t="inlineStr">
        <is>
          <t>Haier US Appliance Solutions, Inc.; The TJX Companies; Highland Cabinetry, Inc. (all NNN)</t>
        </is>
      </c>
      <c r="D46" s="550" t="n"/>
      <c r="E46" s="224" t="n"/>
      <c r="F46" s="218" t="n"/>
      <c r="G46" s="224" t="n"/>
      <c r="H46" s="218" t="n"/>
      <c r="I46" s="224" t="n"/>
      <c r="J46" s="218" t="n"/>
      <c r="K46" s="224" t="n"/>
      <c r="L46" s="218" t="n"/>
      <c r="M46" s="224" t="n"/>
      <c r="N46" s="218" t="n"/>
      <c r="O46" s="224" t="n"/>
      <c r="P46" s="218" t="n"/>
    </row>
    <row r="47" ht="13.5" customHeight="1" s="545">
      <c r="B47" s="217" t="inlineStr">
        <is>
          <t>Overall Cap Rate</t>
        </is>
      </c>
      <c r="C47" s="633" t="n"/>
      <c r="D47" s="550" t="n"/>
      <c r="E47" s="646" t="n"/>
      <c r="F47" s="218" t="n"/>
      <c r="G47" s="646" t="n"/>
      <c r="H47" s="218" t="n"/>
      <c r="I47" s="646" t="n"/>
      <c r="J47" s="218" t="n"/>
      <c r="K47" s="646" t="n"/>
      <c r="L47" s="218" t="n"/>
      <c r="M47" s="646" t="n"/>
      <c r="N47" s="218" t="n"/>
      <c r="O47" s="646" t="n"/>
      <c r="P47" s="218" t="n"/>
    </row>
    <row r="48" ht="13.5" customHeight="1" s="545">
      <c r="B48" s="217" t="inlineStr">
        <is>
          <t>Years Remaining</t>
        </is>
      </c>
      <c r="C48" s="622" t="n"/>
      <c r="D48" s="550" t="n"/>
      <c r="E48" s="225" t="n"/>
      <c r="F48" s="218" t="n"/>
      <c r="G48" s="225" t="n"/>
      <c r="H48" s="218" t="n"/>
      <c r="I48" s="625" t="n"/>
      <c r="J48" s="218" t="n"/>
      <c r="K48" s="625" t="n"/>
      <c r="L48" s="218" t="n"/>
      <c r="M48" s="625" t="n"/>
      <c r="N48" s="218" t="n"/>
      <c r="O48" s="225" t="n"/>
      <c r="P48" s="218" t="n"/>
    </row>
    <row r="49" ht="13.5" customHeight="1" s="545">
      <c r="B49" s="217" t="inlineStr">
        <is>
          <t>Renewal Options</t>
        </is>
      </c>
      <c r="C49" s="622" t="n"/>
      <c r="D49" s="550" t="n"/>
      <c r="E49" s="225" t="n"/>
      <c r="F49" s="218" t="n"/>
      <c r="G49" s="225" t="n"/>
      <c r="H49" s="218" t="n"/>
      <c r="I49" s="625" t="n"/>
      <c r="J49" s="218" t="n"/>
      <c r="K49" s="625" t="n"/>
      <c r="L49" s="218" t="n"/>
      <c r="M49" s="625" t="n"/>
      <c r="N49" s="218" t="n"/>
      <c r="O49" s="225" t="n"/>
      <c r="P49" s="218" t="n"/>
    </row>
    <row r="50" ht="13.5" customHeight="1" s="545">
      <c r="B50" s="217" t="inlineStr">
        <is>
          <t>Functional Utility</t>
        </is>
      </c>
      <c r="C50" s="612" t="inlineStr">
        <is>
          <t>Average</t>
        </is>
      </c>
      <c r="D50" s="550" t="n"/>
      <c r="E50" s="625" t="n"/>
      <c r="F50" s="231" t="n"/>
      <c r="G50" s="625" t="n"/>
      <c r="H50" s="231" t="n"/>
      <c r="I50" s="625" t="n"/>
      <c r="J50" s="231" t="n"/>
      <c r="K50" s="625" t="n"/>
      <c r="L50" s="231" t="n"/>
      <c r="M50" s="625" t="n"/>
      <c r="N50" s="231" t="n"/>
      <c r="O50" s="625" t="n"/>
      <c r="P50" s="231" t="n"/>
    </row>
    <row r="51" ht="39.75" customHeight="1" s="545">
      <c r="B51" s="217" t="inlineStr">
        <is>
          <t>Building Layout</t>
        </is>
      </c>
      <c r="C51" s="609" t="inlineStr">
        <is>
          <t>Single-level, two detached buildings</t>
        </is>
      </c>
      <c r="D51" s="550" t="n"/>
      <c r="E51" s="224" t="n"/>
      <c r="F51" s="218" t="n"/>
      <c r="G51" s="224" t="n"/>
      <c r="H51" s="218" t="n"/>
      <c r="I51" s="224" t="n"/>
      <c r="J51" s="218" t="n"/>
      <c r="K51" s="224" t="n"/>
      <c r="L51" s="218" t="n"/>
      <c r="M51" s="224" t="n"/>
      <c r="N51" s="218" t="n"/>
      <c r="O51" s="224" t="n"/>
      <c r="P51" s="218" t="n"/>
    </row>
    <row r="52" ht="39.75" customHeight="1" s="545">
      <c r="B52" s="217" t="inlineStr">
        <is>
          <t>Building Amenities</t>
        </is>
      </c>
      <c r="C52" s="609" t="n"/>
      <c r="D52" s="550" t="n"/>
      <c r="E52" s="224" t="n"/>
      <c r="F52" s="218" t="n"/>
      <c r="G52" s="224" t="n"/>
      <c r="H52" s="218" t="n"/>
      <c r="I52" s="224" t="n"/>
      <c r="J52" s="218" t="n"/>
      <c r="K52" s="224" t="n"/>
      <c r="L52" s="218" t="n"/>
      <c r="M52" s="224" t="n"/>
      <c r="N52" s="218" t="n"/>
      <c r="O52" s="224" t="n"/>
      <c r="P52" s="218" t="n"/>
    </row>
    <row r="53" ht="39.75" customHeight="1" s="545">
      <c r="B53" s="217" t="inlineStr">
        <is>
          <t>Above / Below Grade Space</t>
        </is>
      </c>
      <c r="C53" s="609" t="inlineStr">
        <is>
          <t>All above grade</t>
        </is>
      </c>
      <c r="D53" s="550" t="n"/>
      <c r="E53" s="224" t="n"/>
      <c r="F53" s="218" t="n"/>
      <c r="G53" s="224" t="n"/>
      <c r="H53" s="218" t="n"/>
      <c r="I53" s="224" t="n"/>
      <c r="J53" s="218" t="n"/>
      <c r="K53" s="224" t="n"/>
      <c r="L53" s="218" t="n"/>
      <c r="M53" s="224" t="n"/>
      <c r="N53" s="218" t="n"/>
      <c r="O53" s="224" t="n"/>
      <c r="P53" s="218" t="n"/>
    </row>
    <row r="54" ht="39.75" customHeight="1" s="545">
      <c r="B54" s="217" t="inlineStr">
        <is>
          <t>Site Improvements, Other</t>
        </is>
      </c>
      <c r="C54" s="609" t="inlineStr">
        <is>
          <t>Truck court, trailer/auto parking, drive aisles and landscape setback on a 38.81-acre site</t>
        </is>
      </c>
      <c r="D54" s="550" t="n"/>
      <c r="E54" s="224" t="n"/>
      <c r="F54" s="218" t="n"/>
      <c r="G54" s="224" t="n"/>
      <c r="H54" s="218" t="n"/>
      <c r="I54" s="224" t="n"/>
      <c r="J54" s="218" t="n"/>
      <c r="K54" s="224" t="n"/>
      <c r="L54" s="218" t="n"/>
      <c r="M54" s="224" t="n"/>
      <c r="N54" s="218" t="n"/>
      <c r="O54" s="224" t="n"/>
      <c r="P54" s="218" t="n"/>
    </row>
    <row r="55" ht="15" customHeight="1" s="545">
      <c r="B55" s="647" t="inlineStr">
        <is>
          <t>Total Non Quantified Adj.</t>
        </is>
      </c>
      <c r="C55" s="613" t="inlineStr">
        <is>
          <t>N/A</t>
        </is>
      </c>
      <c r="D55" s="611" t="n"/>
      <c r="E55" s="613" t="n"/>
      <c r="F55" s="611" t="n"/>
      <c r="G55" s="613" t="n"/>
      <c r="H55" s="611" t="n"/>
      <c r="I55" s="613" t="n"/>
      <c r="J55" s="611" t="n"/>
      <c r="K55" s="613" t="n"/>
      <c r="L55" s="611" t="n"/>
      <c r="M55" s="613" t="n"/>
      <c r="N55" s="611" t="n"/>
      <c r="O55" s="613" t="n"/>
      <c r="P55" s="611" t="n"/>
    </row>
    <row r="56" ht="15" customHeight="1" s="545">
      <c r="B56" s="647" t="inlineStr">
        <is>
          <t>Indication for Subject:</t>
        </is>
      </c>
      <c r="C56" s="610">
        <f>IFERROR(C27*(1+N(C55)),"")</f>
        <v/>
      </c>
      <c r="D56" s="611" t="n"/>
      <c r="E56" s="610" t="n"/>
      <c r="F56" s="611" t="n"/>
      <c r="G56" s="610" t="n"/>
      <c r="H56" s="611" t="n"/>
      <c r="I56" s="610" t="n"/>
      <c r="J56" s="611" t="n"/>
      <c r="K56" s="610" t="n"/>
      <c r="L56" s="611" t="n"/>
      <c r="M56" s="610" t="n"/>
      <c r="N56" s="611" t="n"/>
      <c r="O56" s="610" t="n"/>
      <c r="P56" s="611" t="n"/>
    </row>
    <row r="58" ht="16.5" customHeight="1" s="545">
      <c r="B58" s="616" t="inlineStr">
        <is>
          <t>ADJUSTED RANGE - INDICATED $/SF</t>
        </is>
      </c>
    </row>
    <row r="59" ht="12" customHeight="1" s="545">
      <c r="B59" s="3" t="inlineStr">
        <is>
          <t>Low</t>
        </is>
      </c>
      <c r="C59" s="619">
        <f>IFERROR(MIN(E56,G56,I56,K56,M56,O56),"")</f>
        <v/>
      </c>
      <c r="D59" s="550" t="n"/>
    </row>
    <row r="60" ht="12" customHeight="1" s="545">
      <c r="B60" s="3" t="inlineStr">
        <is>
          <t>High</t>
        </is>
      </c>
      <c r="C60" s="619">
        <f>IFERROR(MAX(E56,G56,I56,K56,M56,O56),"")</f>
        <v/>
      </c>
      <c r="D60" s="550" t="n"/>
    </row>
    <row r="61" ht="12" customHeight="1" s="545">
      <c r="B61" s="3" t="inlineStr">
        <is>
          <t>Average</t>
        </is>
      </c>
      <c r="C61" s="619">
        <f>IFERROR(AVERAGE(E56,G56,I56,K56,M56,O56),"")</f>
        <v/>
      </c>
      <c r="D61" s="550" t="n"/>
    </row>
    <row r="62" ht="12" customHeight="1" s="545">
      <c r="B62" s="3" t="inlineStr">
        <is>
          <t>Median</t>
        </is>
      </c>
      <c r="C62" s="619">
        <f>IFERROR(MEDIAN(E56,G56,I56,K56,M56,O56),"")</f>
        <v/>
      </c>
      <c r="D62" s="550" t="n"/>
    </row>
    <row r="64" ht="27.75" customHeight="1" s="545">
      <c r="B64" s="548" t="inlineStr">
        <is>
          <t>THIS GRID IS EMPTY BY DESIGN. The Basic Sales Comparison tab (5 industrial improved sales) is the grid that feeds the Reconciliation and the report tables. Use this tab if a fuller multi-comparable adjustment grid is developed before the hearing.</t>
        </is>
      </c>
    </row>
  </sheetData>
  <mergeCells count="95">
    <mergeCell ref="C6:D6"/>
    <mergeCell ref="C62:D62"/>
    <mergeCell ref="C15:D15"/>
    <mergeCell ref="I26:J26"/>
    <mergeCell ref="K26:L26"/>
    <mergeCell ref="C54:D54"/>
    <mergeCell ref="C41:D41"/>
    <mergeCell ref="C50:D50"/>
    <mergeCell ref="O26:P26"/>
    <mergeCell ref="C56:D56"/>
    <mergeCell ref="C43:D43"/>
    <mergeCell ref="O55:P55"/>
    <mergeCell ref="C27:D27"/>
    <mergeCell ref="E27:F27"/>
    <mergeCell ref="C36:D36"/>
    <mergeCell ref="O27:P27"/>
    <mergeCell ref="C17:D17"/>
    <mergeCell ref="C19:D19"/>
    <mergeCell ref="M19:N19"/>
    <mergeCell ref="C30:D30"/>
    <mergeCell ref="E55:F55"/>
    <mergeCell ref="C14:D14"/>
    <mergeCell ref="C45:D45"/>
    <mergeCell ref="K55:L55"/>
    <mergeCell ref="C4:D4"/>
    <mergeCell ref="E4:F4"/>
    <mergeCell ref="C47:D47"/>
    <mergeCell ref="C40:D40"/>
    <mergeCell ref="I56:J56"/>
    <mergeCell ref="K56:L56"/>
    <mergeCell ref="C60:D60"/>
    <mergeCell ref="K27:L27"/>
    <mergeCell ref="M27:N27"/>
    <mergeCell ref="O56:P56"/>
    <mergeCell ref="E26:F26"/>
    <mergeCell ref="G26:H26"/>
    <mergeCell ref="C8:D8"/>
    <mergeCell ref="I19:J19"/>
    <mergeCell ref="K19:L19"/>
    <mergeCell ref="C18:D18"/>
    <mergeCell ref="C53:D53"/>
    <mergeCell ref="C34:D34"/>
    <mergeCell ref="O19:P19"/>
    <mergeCell ref="M55:N55"/>
    <mergeCell ref="C29:D29"/>
    <mergeCell ref="C44:D44"/>
    <mergeCell ref="C22:D22"/>
    <mergeCell ref="C31:D31"/>
    <mergeCell ref="O4:P4"/>
    <mergeCell ref="C59:D59"/>
    <mergeCell ref="C12:D12"/>
    <mergeCell ref="C46:D46"/>
    <mergeCell ref="C21:D21"/>
    <mergeCell ref="B64:P64"/>
    <mergeCell ref="C51:D51"/>
    <mergeCell ref="C61:D61"/>
    <mergeCell ref="C48:D48"/>
    <mergeCell ref="C23:D23"/>
    <mergeCell ref="M26:N26"/>
    <mergeCell ref="C32:D32"/>
    <mergeCell ref="C38:D38"/>
    <mergeCell ref="C7:D7"/>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C55:D55"/>
    <mergeCell ref="G19:H19"/>
    <mergeCell ref="C9:D9"/>
    <mergeCell ref="B20:P20"/>
    <mergeCell ref="I55:J55"/>
    <mergeCell ref="C11:D11"/>
    <mergeCell ref="C52:D52"/>
    <mergeCell ref="C39:D39"/>
    <mergeCell ref="G55:H55"/>
    <mergeCell ref="G4:H4"/>
    <mergeCell ref="I4:J4"/>
    <mergeCell ref="C37:D37"/>
    <mergeCell ref="B58:D58"/>
    <mergeCell ref="C13:D13"/>
    <mergeCell ref="K4:L4"/>
    <mergeCell ref="M4:N4"/>
    <mergeCell ref="M56:N56"/>
  </mergeCells>
  <printOptions horizontalCentered="1"/>
  <pageMargins left="0.4" right="0.4" top="0.5" bottom="0.5" header="0.511811023622047" footer="0.511811023622047"/>
  <pageSetup orientation="landscape" fitToHeight="0" horizontalDpi="300" verticalDpi="300"/>
</worksheet>
</file>

<file path=xl/worksheets/sheet17.xml><?xml version="1.0" encoding="utf-8"?>
<worksheet xmlns="http://schemas.openxmlformats.org/spreadsheetml/2006/main">
  <sheetPr>
    <outlinePr summaryBelow="1" summaryRight="1"/>
    <pageSetUpPr fitToPage="1"/>
  </sheetPr>
  <dimension ref="B2:R52"/>
  <sheetViews>
    <sheetView showGridLines="0" zoomScaleNormal="100" workbookViewId="0">
      <pane xSplit="1" ySplit="5" topLeftCell="B6" activePane="bottomRight" state="frozen"/>
      <selection pane="topRight" activeCell="B1" sqref="B1"/>
      <selection pane="bottomLeft" activeCell="A6" sqref="A6"/>
      <selection pane="bottomRight" activeCell="A1" sqref="A1"/>
    </sheetView>
  </sheetViews>
  <sheetFormatPr baseColWidth="8" defaultColWidth="8.7109375" defaultRowHeight="12"/>
  <cols>
    <col width="2" customWidth="1" style="545" min="1" max="1"/>
    <col width="34" customWidth="1" style="545" min="2" max="2"/>
    <col width="14" customWidth="1" style="545" min="3" max="3"/>
    <col width="8" customWidth="1" style="545" min="4" max="4"/>
    <col width="11" customWidth="1" style="545" min="5" max="5"/>
    <col width="16" customWidth="1" style="545" min="6" max="6"/>
    <col width="27" customWidth="1" style="545" min="7" max="7"/>
    <col width="18" customWidth="1" style="545" min="8" max="8"/>
    <col width="11" customWidth="1" style="545" min="9" max="9"/>
    <col width="13" customWidth="1" style="545" min="10" max="11"/>
    <col width="11" customWidth="1" style="545" min="12" max="14"/>
    <col width="18" customWidth="1" style="545" min="15" max="15"/>
    <col width="12" customWidth="1" style="545" min="16" max="16"/>
    <col width="44" customWidth="1" style="545" min="17" max="17"/>
    <col hidden="1" width="11" customWidth="1" style="545" min="18" max="18"/>
  </cols>
  <sheetData>
    <row r="2" ht="16.5" customHeight="1" s="545">
      <c r="B2" s="640" t="inlineStr">
        <is>
          <t>LEASE &amp; RENT COMPARABLES - MASTER PROPERTY DATABASE</t>
        </is>
      </c>
    </row>
    <row r="3" ht="30" customHeight="1" s="545">
      <c r="B3" s="638" t="inlineStr">
        <is>
          <t>Lease comparables for the subject. Rows 6-17 are large-bay industrial/distribution lease comparables from the CompStak Lease Comps export (R0194277 Lease Comps CompStak.pdf, run 6/17/2026), all flagged Y and driving the market-rent statistics below. Rows 19-21 are the subject's own actual in-place contract rents (Haier, TJX, Highland Cabinetry) as of the 01.01.2025 rent roll, flagged N so the market-rent conclusion is not circular - shown as a cross-check. Set the In Set? flag to Y for leases that belong in the market rent conclusion; the concluded rate in C49 feeds Income Approach!D8.</t>
        </is>
      </c>
    </row>
    <row r="5" ht="25.5" customHeight="1" s="545">
      <c r="B5" s="335" t="inlineStr">
        <is>
          <t>Property</t>
        </is>
      </c>
      <c r="C5" s="335" t="inlineStr">
        <is>
          <t>Account #</t>
        </is>
      </c>
      <c r="D5" s="336" t="inlineStr">
        <is>
          <t>In Set?</t>
        </is>
      </c>
      <c r="E5" s="337" t="inlineStr">
        <is>
          <t>Bldg SF</t>
        </is>
      </c>
      <c r="F5" s="335" t="inlineStr">
        <is>
          <t>Unit / Suite</t>
        </is>
      </c>
      <c r="G5" s="335" t="inlineStr">
        <is>
          <t>Tenant</t>
        </is>
      </c>
      <c r="H5" s="335" t="inlineStr">
        <is>
          <t>Lease Type</t>
        </is>
      </c>
      <c r="I5" s="337" t="inlineStr">
        <is>
          <t>Leased SF</t>
        </is>
      </c>
      <c r="J5" s="337" t="inlineStr">
        <is>
          <t>Monthly Rent</t>
        </is>
      </c>
      <c r="K5" s="337" t="inlineStr">
        <is>
          <t>Annual Rent</t>
        </is>
      </c>
      <c r="L5" s="337" t="inlineStr">
        <is>
          <t>Rent $/SF</t>
        </is>
      </c>
      <c r="M5" s="336" t="inlineStr">
        <is>
          <t>Lease Start</t>
        </is>
      </c>
      <c r="N5" s="336" t="inlineStr">
        <is>
          <t>Lease End</t>
        </is>
      </c>
      <c r="O5" s="335" t="inlineStr">
        <is>
          <t>Term / Option</t>
        </is>
      </c>
      <c r="P5" s="337" t="inlineStr">
        <is>
          <t>Monthly CAM</t>
        </is>
      </c>
      <c r="Q5" s="335" t="inlineStr">
        <is>
          <t>Notes</t>
        </is>
      </c>
      <c r="R5" s="338" t="inlineStr">
        <is>
          <t>stat</t>
        </is>
      </c>
    </row>
    <row r="6" ht="30" customHeight="1" s="545">
      <c r="B6" s="339" t="inlineStr">
        <is>
          <t>Highpoint Elevated - Bldg 1, 6225 N Denali St, Aurora</t>
        </is>
      </c>
      <c r="C6" s="340" t="inlineStr">
        <is>
          <t>CompStak</t>
        </is>
      </c>
      <c r="D6" s="341" t="inlineStr">
        <is>
          <t>Y</t>
        </is>
      </c>
      <c r="E6" s="342" t="n"/>
      <c r="F6" s="340" t="n"/>
      <c r="G6" s="339" t="inlineStr">
        <is>
          <t>Dematic</t>
        </is>
      </c>
      <c r="H6" s="340" t="inlineStr">
        <is>
          <t>NNN - New Lease</t>
        </is>
      </c>
      <c r="I6" s="517" t="n">
        <v>170641</v>
      </c>
      <c r="J6" s="343" t="n"/>
      <c r="K6" s="518" t="n">
        <v>1322467.75</v>
      </c>
      <c r="L6" s="519">
        <f>IF(OR(N(K6)=0,N(I6)=0),"",K6/I6)</f>
        <v/>
      </c>
      <c r="M6" s="520" t="n">
        <v>45383</v>
      </c>
      <c r="N6" s="346" t="n"/>
      <c r="O6" s="340" t="inlineStr">
        <is>
          <t>1y 1m</t>
        </is>
      </c>
      <c r="P6" s="343" t="n"/>
      <c r="Q6" s="347" t="inlineStr">
        <is>
          <t>CompStak Lease Comps, comp ID 2812862, 2024-Q2. Class A, 541,985 SF building, 36' clear.</t>
        </is>
      </c>
      <c r="R6" s="348">
        <f>IF(AND(UPPER($D6)="Y",ISNUMBER(L6)),L6,"")</f>
        <v/>
      </c>
    </row>
    <row r="7" ht="30" customHeight="1" s="545">
      <c r="B7" s="339" t="inlineStr">
        <is>
          <t>9400 East 46th Place, Denver (Central Park Logistics)</t>
        </is>
      </c>
      <c r="C7" s="340" t="inlineStr">
        <is>
          <t>CompStak</t>
        </is>
      </c>
      <c r="D7" s="341" t="inlineStr">
        <is>
          <t>Y</t>
        </is>
      </c>
      <c r="E7" s="342" t="n"/>
      <c r="F7" s="340" t="n"/>
      <c r="G7" s="339" t="inlineStr">
        <is>
          <t>Primesource Building Products</t>
        </is>
      </c>
      <c r="H7" s="340" t="inlineStr">
        <is>
          <t>NNN - New Lease</t>
        </is>
      </c>
      <c r="I7" s="517" t="n">
        <v>170294</v>
      </c>
      <c r="J7" s="343" t="n"/>
      <c r="K7" s="518" t="n">
        <v>1200572.7</v>
      </c>
      <c r="L7" s="519">
        <f>IF(OR(N(K7)=0,N(I7)=0),"",K7/I7)</f>
        <v/>
      </c>
      <c r="M7" s="520" t="n">
        <v>44835</v>
      </c>
      <c r="N7" s="346" t="n"/>
      <c r="O7" s="340" t="inlineStr">
        <is>
          <t>7y 8m</t>
        </is>
      </c>
      <c r="P7" s="343" t="n"/>
      <c r="Q7" s="347" t="inlineStr">
        <is>
          <t>CompStak Lease Comps, 2022-Q4.</t>
        </is>
      </c>
      <c r="R7" s="348">
        <f>IF(AND(UPPER($D7)="Y",ISNUMBER(L7)),L7,"")</f>
        <v/>
      </c>
    </row>
    <row r="8" ht="30" customHeight="1" s="545">
      <c r="B8" s="339" t="inlineStr">
        <is>
          <t>3225 Himalaya Road, Aurora</t>
        </is>
      </c>
      <c r="C8" s="340" t="inlineStr">
        <is>
          <t>CompStak</t>
        </is>
      </c>
      <c r="D8" s="341" t="inlineStr">
        <is>
          <t>Y</t>
        </is>
      </c>
      <c r="E8" s="342" t="n"/>
      <c r="F8" s="340" t="n"/>
      <c r="G8" s="339" t="inlineStr">
        <is>
          <t>Hawthorne Hydroponics</t>
        </is>
      </c>
      <c r="H8" s="340" t="inlineStr">
        <is>
          <t>NNN - New Lease</t>
        </is>
      </c>
      <c r="I8" s="517" t="n">
        <v>201104</v>
      </c>
      <c r="J8" s="343" t="n"/>
      <c r="K8" s="518" t="n">
        <v>1005520</v>
      </c>
      <c r="L8" s="519">
        <f>IF(OR(N(K8)=0,N(I8)=0),"",K8/I8)</f>
        <v/>
      </c>
      <c r="M8" s="520" t="n">
        <v>44470</v>
      </c>
      <c r="N8" s="346" t="n"/>
      <c r="O8" s="340" t="inlineStr">
        <is>
          <t>5y 7m</t>
        </is>
      </c>
      <c r="P8" s="343" t="n"/>
      <c r="Q8" s="347" t="inlineStr">
        <is>
          <t>CompStak Lease Comps, 2021-Q4.</t>
        </is>
      </c>
      <c r="R8" s="348">
        <f>IF(AND(UPPER($D8)="Y",ISNUMBER(L8)),L8,"")</f>
        <v/>
      </c>
    </row>
    <row r="9" ht="30" customHeight="1" s="545">
      <c r="B9" s="339" t="inlineStr">
        <is>
          <t>Central Park Logistics Center, 9400 E 46th Pl, Denver</t>
        </is>
      </c>
      <c r="C9" s="340" t="inlineStr">
        <is>
          <t>CompStak</t>
        </is>
      </c>
      <c r="D9" s="341" t="inlineStr">
        <is>
          <t>Y</t>
        </is>
      </c>
      <c r="E9" s="342" t="n"/>
      <c r="F9" s="340" t="n"/>
      <c r="G9" s="339" t="inlineStr">
        <is>
          <t>Discount Tire</t>
        </is>
      </c>
      <c r="H9" s="340" t="inlineStr">
        <is>
          <t>NNN - New Lease</t>
        </is>
      </c>
      <c r="I9" s="517" t="n">
        <v>338548</v>
      </c>
      <c r="J9" s="343" t="n"/>
      <c r="K9" s="518" t="n">
        <v>2302126.4</v>
      </c>
      <c r="L9" s="519">
        <f>IF(OR(N(K9)=0,N(I9)=0),"",K9/I9)</f>
        <v/>
      </c>
      <c r="M9" s="520" t="n">
        <v>45200</v>
      </c>
      <c r="N9" s="346" t="n"/>
      <c r="O9" s="340" t="inlineStr">
        <is>
          <t>10y</t>
        </is>
      </c>
      <c r="P9" s="343" t="n"/>
      <c r="Q9" s="347" t="inlineStr">
        <is>
          <t>CompStak Lease Comps, comp ID 2761058, 2023-Q4. Class A, 494,398 SF building.</t>
        </is>
      </c>
      <c r="R9" s="348">
        <f>IF(AND(UPPER($D9)="Y",ISNUMBER(L9)),L9,"")</f>
        <v/>
      </c>
    </row>
    <row r="10" ht="30" customHeight="1" s="545">
      <c r="B10" s="339" t="inlineStr">
        <is>
          <t>Central Park Logistics Center, 9400 E 46th Pl, Denver</t>
        </is>
      </c>
      <c r="C10" s="340" t="inlineStr">
        <is>
          <t>CompStak</t>
        </is>
      </c>
      <c r="D10" s="341" t="inlineStr">
        <is>
          <t>Y</t>
        </is>
      </c>
      <c r="E10" s="342" t="n"/>
      <c r="F10" s="340" t="n"/>
      <c r="G10" s="339" t="inlineStr">
        <is>
          <t>Halle Properties</t>
        </is>
      </c>
      <c r="H10" s="340" t="inlineStr">
        <is>
          <t>NNN - New Lease</t>
        </is>
      </c>
      <c r="I10" s="517" t="n">
        <v>338548</v>
      </c>
      <c r="J10" s="343" t="n"/>
      <c r="K10" s="518" t="n">
        <v>2302126.4</v>
      </c>
      <c r="L10" s="519">
        <f>IF(OR(N(K10)=0,N(I10)=0),"",K10/I10)</f>
        <v/>
      </c>
      <c r="M10" s="520" t="n">
        <v>45200</v>
      </c>
      <c r="N10" s="346" t="n"/>
      <c r="O10" s="340" t="inlineStr">
        <is>
          <t>10y</t>
        </is>
      </c>
      <c r="P10" s="343" t="n"/>
      <c r="Q10" s="347" t="inlineStr">
        <is>
          <t>CompStak Lease Comps, 2023-Q4 (same building as Discount Tire).</t>
        </is>
      </c>
      <c r="R10" s="348">
        <f>IF(AND(UPPER($D10)="Y",ISNUMBER(L10)),L10,"")</f>
        <v/>
      </c>
    </row>
    <row r="11" ht="30" customHeight="1" s="545">
      <c r="B11" s="339" t="inlineStr">
        <is>
          <t>18100 E 40th Ave, Aurora</t>
        </is>
      </c>
      <c r="C11" s="340" t="inlineStr">
        <is>
          <t>CompStak</t>
        </is>
      </c>
      <c r="D11" s="341" t="inlineStr">
        <is>
          <t>Y</t>
        </is>
      </c>
      <c r="E11" s="342" t="n"/>
      <c r="F11" s="340" t="n"/>
      <c r="G11" s="339" t="inlineStr">
        <is>
          <t>Marcone</t>
        </is>
      </c>
      <c r="H11" s="340" t="inlineStr">
        <is>
          <t>NNN - New Lease</t>
        </is>
      </c>
      <c r="I11" s="517" t="n">
        <v>155850</v>
      </c>
      <c r="J11" s="343" t="n"/>
      <c r="K11" s="518" t="n">
        <v>1020817.5</v>
      </c>
      <c r="L11" s="519">
        <f>IF(OR(N(K11)=0,N(I11)=0),"",K11/I11)</f>
        <v/>
      </c>
      <c r="M11" s="520" t="n">
        <v>45200</v>
      </c>
      <c r="N11" s="346" t="n"/>
      <c r="O11" s="340" t="inlineStr">
        <is>
          <t>7y 6m</t>
        </is>
      </c>
      <c r="P11" s="343" t="n"/>
      <c r="Q11" s="347" t="inlineStr">
        <is>
          <t>CompStak Lease Comps, 2023-Q4.</t>
        </is>
      </c>
      <c r="R11" s="348">
        <f>IF(AND(UPPER($D11)="Y",ISNUMBER(L11)),L11,"")</f>
        <v/>
      </c>
    </row>
    <row r="12" ht="30" customHeight="1" s="545">
      <c r="B12" s="339" t="inlineStr">
        <is>
          <t>3700 N Windsor Dr</t>
        </is>
      </c>
      <c r="C12" s="340" t="inlineStr">
        <is>
          <t>CompStak</t>
        </is>
      </c>
      <c r="D12" s="341" t="inlineStr">
        <is>
          <t>Y</t>
        </is>
      </c>
      <c r="E12" s="342" t="n"/>
      <c r="F12" s="340" t="n"/>
      <c r="G12" s="339" t="inlineStr">
        <is>
          <t>Electrolux</t>
        </is>
      </c>
      <c r="H12" s="340" t="inlineStr">
        <is>
          <t>NNN - New Lease</t>
        </is>
      </c>
      <c r="I12" s="517" t="n">
        <v>166670</v>
      </c>
      <c r="J12" s="343" t="n"/>
      <c r="K12" s="518" t="n">
        <v>1033354</v>
      </c>
      <c r="L12" s="519">
        <f>IF(OR(N(K12)=0,N(I12)=0),"",K12/I12)</f>
        <v/>
      </c>
      <c r="M12" s="520" t="n">
        <v>44927</v>
      </c>
      <c r="N12" s="346" t="n"/>
      <c r="O12" s="340" t="inlineStr">
        <is>
          <t>3y (renewal)</t>
        </is>
      </c>
      <c r="P12" s="343" t="n"/>
      <c r="Q12" s="347" t="inlineStr">
        <is>
          <t>CompStak Lease Comps, 2023-Q1.</t>
        </is>
      </c>
      <c r="R12" s="348">
        <f>IF(AND(UPPER($D12)="Y",ISNUMBER(L12)),L12,"")</f>
        <v/>
      </c>
    </row>
    <row r="13" ht="30" customHeight="1" s="545">
      <c r="B13" s="339" t="inlineStr">
        <is>
          <t>10000 E 40th Ave</t>
        </is>
      </c>
      <c r="C13" s="340" t="inlineStr">
        <is>
          <t>CompStak</t>
        </is>
      </c>
      <c r="D13" s="341" t="inlineStr">
        <is>
          <t>Y</t>
        </is>
      </c>
      <c r="E13" s="342" t="n"/>
      <c r="F13" s="340" t="n"/>
      <c r="G13" s="339" t="inlineStr">
        <is>
          <t>Fenix Outdoor Import</t>
        </is>
      </c>
      <c r="H13" s="340" t="inlineStr">
        <is>
          <t>NNN - New Lease</t>
        </is>
      </c>
      <c r="I13" s="517" t="n">
        <v>140653</v>
      </c>
      <c r="J13" s="343" t="n"/>
      <c r="K13" s="518" t="n">
        <v>731395.6</v>
      </c>
      <c r="L13" s="519">
        <f>IF(OR(N(K13)=0,N(I13)=0),"",K13/I13)</f>
        <v/>
      </c>
      <c r="M13" s="520" t="n">
        <v>43739</v>
      </c>
      <c r="N13" s="346" t="n"/>
      <c r="O13" s="340" t="inlineStr">
        <is>
          <t>5y 4m</t>
        </is>
      </c>
      <c r="P13" s="343" t="n"/>
      <c r="Q13" s="347" t="inlineStr">
        <is>
          <t>CompStak Lease Comps, 2019-Q4.</t>
        </is>
      </c>
      <c r="R13" s="348">
        <f>IF(AND(UPPER($D13)="Y",ISNUMBER(L13)),L13,"")</f>
        <v/>
      </c>
    </row>
    <row r="14" ht="30" customHeight="1" s="545">
      <c r="B14" s="339" t="inlineStr">
        <is>
          <t>21111 E 36th Drive</t>
        </is>
      </c>
      <c r="C14" s="340" t="inlineStr">
        <is>
          <t>CompStak</t>
        </is>
      </c>
      <c r="D14" s="341" t="inlineStr">
        <is>
          <t>Y</t>
        </is>
      </c>
      <c r="E14" s="342" t="n"/>
      <c r="F14" s="340" t="n"/>
      <c r="G14" s="339" t="inlineStr">
        <is>
          <t>Living Spaces Furniture</t>
        </is>
      </c>
      <c r="H14" s="340" t="inlineStr">
        <is>
          <t>NNN - New Lease</t>
        </is>
      </c>
      <c r="I14" s="342" t="n">
        <v>141171</v>
      </c>
      <c r="J14" s="343" t="n"/>
      <c r="K14" s="344" t="n">
        <v>882318.75</v>
      </c>
      <c r="L14" s="636">
        <f>IF(OR(N(K14)=0,N(I14)=0),"",K14/I14)</f>
        <v/>
      </c>
      <c r="M14" s="346" t="n">
        <v>44835</v>
      </c>
      <c r="N14" s="346" t="n"/>
      <c r="O14" s="340" t="inlineStr">
        <is>
          <t>5y 8m</t>
        </is>
      </c>
      <c r="P14" s="343" t="n"/>
      <c r="Q14" s="347" t="inlineStr">
        <is>
          <t>CompStak Lease Comps, 2022-Q4.</t>
        </is>
      </c>
      <c r="R14" s="348">
        <f>IF(AND(UPPER($D14)="Y",ISNUMBER(L14)),L14,"")</f>
        <v/>
      </c>
    </row>
    <row r="15" ht="30" customHeight="1" s="545">
      <c r="B15" s="339" t="inlineStr">
        <is>
          <t>Paliot Solutions site</t>
        </is>
      </c>
      <c r="C15" s="340" t="inlineStr">
        <is>
          <t>CompStak</t>
        </is>
      </c>
      <c r="D15" s="341" t="inlineStr">
        <is>
          <t>Y</t>
        </is>
      </c>
      <c r="E15" s="517" t="n"/>
      <c r="F15" s="340" t="inlineStr">
        <is>
          <t>Whole property (both buildings)</t>
        </is>
      </c>
      <c r="G15" s="339" t="inlineStr">
        <is>
          <t>Paliot Solutions</t>
        </is>
      </c>
      <c r="H15" s="340" t="inlineStr">
        <is>
          <t>NNN - New Lease</t>
        </is>
      </c>
      <c r="I15" s="517" t="n">
        <v>210000</v>
      </c>
      <c r="J15" s="521">
        <f>J35</f>
        <v/>
      </c>
      <c r="K15" s="518" t="n">
        <v>1312500</v>
      </c>
      <c r="L15" s="519">
        <f>IF(OR(N(K15)=0,N(I15)=0),"",K15/I15)</f>
        <v/>
      </c>
      <c r="M15" s="520" t="n">
        <v>44652</v>
      </c>
      <c r="N15" s="520" t="n">
        <v>46295</v>
      </c>
      <c r="O15" s="340" t="inlineStr">
        <is>
          <t>10y</t>
        </is>
      </c>
      <c r="P15" s="343" t="n"/>
      <c r="Q15" s="347" t="inlineStr">
        <is>
          <t>CompStak Lease Comps, 2022-Q2.</t>
        </is>
      </c>
      <c r="R15" s="348">
        <f>IF(AND(UPPER($D15)="Y",ISNUMBER(L15)),L15,"")</f>
        <v/>
      </c>
    </row>
    <row r="16" ht="30" customHeight="1" s="545">
      <c r="B16" s="339" t="inlineStr">
        <is>
          <t>Priority Wire &amp; Cable site</t>
        </is>
      </c>
      <c r="C16" s="340" t="inlineStr">
        <is>
          <t>CompStak</t>
        </is>
      </c>
      <c r="D16" s="341" t="inlineStr">
        <is>
          <t>Y</t>
        </is>
      </c>
      <c r="E16" s="517" t="n"/>
      <c r="F16" s="340" t="inlineStr">
        <is>
          <t>Whole property (both buildings)</t>
        </is>
      </c>
      <c r="G16" s="339" t="inlineStr">
        <is>
          <t>Priority Wire &amp; Cable</t>
        </is>
      </c>
      <c r="H16" s="340" t="inlineStr">
        <is>
          <t>NNN - New Lease</t>
        </is>
      </c>
      <c r="I16" s="517" t="n">
        <v>115829</v>
      </c>
      <c r="J16" s="521">
        <f>J36</f>
        <v/>
      </c>
      <c r="K16" s="518" t="n">
        <v>712348.35</v>
      </c>
      <c r="L16" s="519">
        <f>IF(OR(N(K16)=0,N(I16)=0),"",K16/I16)</f>
        <v/>
      </c>
      <c r="M16" s="520" t="n">
        <v>44652</v>
      </c>
      <c r="N16" s="520" t="n">
        <v>45930</v>
      </c>
      <c r="O16" s="340" t="inlineStr">
        <is>
          <t>5y (extension)</t>
        </is>
      </c>
      <c r="P16" s="343" t="n"/>
      <c r="Q16" s="347" t="inlineStr">
        <is>
          <t>CompStak Lease Comps, 2022-Q2.</t>
        </is>
      </c>
      <c r="R16" s="348">
        <f>IF(AND(UPPER($D16)="Y",ISNUMBER(L16)),L16,"")</f>
        <v/>
      </c>
    </row>
    <row r="17" ht="30" customHeight="1" s="545">
      <c r="B17" s="339" t="inlineStr">
        <is>
          <t>Keller Warehousing site</t>
        </is>
      </c>
      <c r="C17" s="340" t="inlineStr">
        <is>
          <t>CompStak</t>
        </is>
      </c>
      <c r="D17" s="341" t="inlineStr">
        <is>
          <t>Y</t>
        </is>
      </c>
      <c r="E17" s="342" t="n"/>
      <c r="F17" s="340" t="n"/>
      <c r="G17" s="339" t="inlineStr">
        <is>
          <t>Keller Warehousing</t>
        </is>
      </c>
      <c r="H17" s="340" t="inlineStr">
        <is>
          <t>NNN - New Lease</t>
        </is>
      </c>
      <c r="I17" s="342" t="n">
        <v>140000</v>
      </c>
      <c r="J17" s="343" t="n"/>
      <c r="K17" s="344" t="n">
        <v>973000</v>
      </c>
      <c r="L17" s="636">
        <f>IF(OR(N(K17)=0,N(I17)=0),"",K17/I17)</f>
        <v/>
      </c>
      <c r="M17" s="346" t="n">
        <v>44470</v>
      </c>
      <c r="N17" s="346" t="n"/>
      <c r="O17" s="340" t="inlineStr">
        <is>
          <t>1y</t>
        </is>
      </c>
      <c r="P17" s="343" t="n"/>
      <c r="Q17" s="347" t="inlineStr">
        <is>
          <t>CompStak Lease Comps, 2021-Q4.</t>
        </is>
      </c>
      <c r="R17" s="348">
        <f>IF(AND(UPPER($D17)="Y",ISNUMBER(L17)),L17,"")</f>
        <v/>
      </c>
    </row>
    <row r="18" ht="30" customHeight="1" s="545">
      <c r="B18" s="339" t="n"/>
      <c r="C18" s="340" t="n"/>
      <c r="D18" s="341" t="n"/>
      <c r="E18" s="342" t="n"/>
      <c r="F18" s="340" t="n"/>
      <c r="G18" s="339" t="n"/>
      <c r="H18" s="340" t="n"/>
      <c r="I18" s="342" t="n"/>
      <c r="J18" s="343" t="n"/>
      <c r="K18" s="344" t="n"/>
      <c r="L18" s="636" t="n"/>
      <c r="M18" s="346" t="n"/>
      <c r="N18" s="346" t="n"/>
      <c r="O18" s="340" t="n"/>
      <c r="P18" s="343" t="n"/>
      <c r="Q18" s="347" t="n"/>
      <c r="R18" s="348" t="n"/>
    </row>
    <row r="19" ht="30" customHeight="1" s="545">
      <c r="B19" s="339" t="inlineStr">
        <is>
          <t>8251 Quintero St - SUBJECT (Suite 100, Haier US Appliance Solutions)</t>
        </is>
      </c>
      <c r="C19" s="340" t="inlineStr">
        <is>
          <t>R0194277</t>
        </is>
      </c>
      <c r="D19" s="341" t="inlineStr">
        <is>
          <t>N</t>
        </is>
      </c>
      <c r="E19" s="342" t="n">
        <v>351520</v>
      </c>
      <c r="F19" s="340" t="inlineStr">
        <is>
          <t>Whole suite</t>
        </is>
      </c>
      <c r="G19" s="339" t="inlineStr">
        <is>
          <t>Haier US Appliance Solutions, Inc.</t>
        </is>
      </c>
      <c r="H19" s="340" t="inlineStr">
        <is>
          <t>Actual NNN</t>
        </is>
      </c>
      <c r="I19" s="342" t="n">
        <v>351520</v>
      </c>
      <c r="J19" s="343" t="n">
        <v>150559.52</v>
      </c>
      <c r="K19" s="344">
        <f>IF(N(J19)=0,"",J19*12)</f>
        <v/>
      </c>
      <c r="L19" s="636">
        <f>IF(OR(N(K19)=0,N(I19)=0),"",K19/I19)</f>
        <v/>
      </c>
      <c r="M19" s="346" t="n">
        <v>43476</v>
      </c>
      <c r="N19" s="346" t="n">
        <v>47269</v>
      </c>
      <c r="O19" s="340" t="inlineStr">
        <is>
          <t>Net Lease; 2.5%/yr steps</t>
        </is>
      </c>
      <c r="P19" s="343" t="n"/>
      <c r="Q19" s="347" t="inlineStr">
        <is>
          <t>Rate in effect at the 01/01/2025 rent-roll step (2/1/2024-1/31/2025). Excluded from the market-rent set to keep the conclusion independent of the subject's own contract.</t>
        </is>
      </c>
      <c r="R19" s="348">
        <f>IF(AND(UPPER($D19)="Y",ISNUMBER(L19)),L19,"")</f>
        <v/>
      </c>
    </row>
    <row r="20" ht="30" customHeight="1" s="545">
      <c r="B20" s="339" t="inlineStr">
        <is>
          <t>8251 Quintero St - SUBJECT (Suite B, TJX)</t>
        </is>
      </c>
      <c r="C20" s="340" t="inlineStr">
        <is>
          <t>R0194277</t>
        </is>
      </c>
      <c r="D20" s="341" t="inlineStr">
        <is>
          <t>N</t>
        </is>
      </c>
      <c r="E20" s="342" t="n">
        <v>94621</v>
      </c>
      <c r="F20" s="340" t="inlineStr">
        <is>
          <t>Whole suite</t>
        </is>
      </c>
      <c r="G20" s="339" t="inlineStr">
        <is>
          <t>The TJX Companies</t>
        </is>
      </c>
      <c r="H20" s="340" t="inlineStr">
        <is>
          <t>Actual NNN</t>
        </is>
      </c>
      <c r="I20" s="342" t="n">
        <v>94621</v>
      </c>
      <c r="J20" s="343" t="n">
        <v>58179</v>
      </c>
      <c r="K20" s="344">
        <f>IF(N(J20)=0,"",J20*12)</f>
        <v/>
      </c>
      <c r="L20" s="636">
        <f>IF(OR(N(K20)=0,N(I20)=0),"",K20/I20)</f>
        <v/>
      </c>
      <c r="M20" s="346" t="n">
        <v>44041</v>
      </c>
      <c r="N20" s="346" t="n">
        <v>46053</v>
      </c>
      <c r="O20" s="340" t="inlineStr">
        <is>
          <t>Net Lease</t>
        </is>
      </c>
      <c r="P20" s="343" t="n"/>
      <c r="Q20" s="347" t="inlineStr">
        <is>
          <t>Rate in effect at the 01/01/2025 rent-roll step (8/1/2024-7/31/2025).</t>
        </is>
      </c>
      <c r="R20" s="348">
        <f>IF(AND(UPPER($D20)="Y",ISNUMBER(L20)),L20,"")</f>
        <v/>
      </c>
    </row>
    <row r="21" ht="30" customHeight="1" s="545">
      <c r="B21" s="339" t="inlineStr">
        <is>
          <t>8251 Quintero St - SUBJECT (Suite C, Highland Cabinetry)</t>
        </is>
      </c>
      <c r="C21" s="340" t="inlineStr">
        <is>
          <t>R0194277</t>
        </is>
      </c>
      <c r="D21" s="341" t="inlineStr">
        <is>
          <t>N</t>
        </is>
      </c>
      <c r="E21" s="342" t="n">
        <v>94621</v>
      </c>
      <c r="F21" s="340" t="inlineStr">
        <is>
          <t>Whole suite</t>
        </is>
      </c>
      <c r="G21" s="339" t="inlineStr">
        <is>
          <t>Highland Cabinetry, Inc.</t>
        </is>
      </c>
      <c r="H21" s="340" t="inlineStr">
        <is>
          <t>Actual NNN (Becknell-paid CAM/ins/tax per lease)</t>
        </is>
      </c>
      <c r="I21" s="342" t="n">
        <v>94621</v>
      </c>
      <c r="J21" s="343" t="n">
        <v>40572</v>
      </c>
      <c r="K21" s="344">
        <f>IF(N(J21)=0,"",J21*12)</f>
        <v/>
      </c>
      <c r="L21" s="636">
        <f>IF(OR(N(K21)=0,N(I21)=0),"",K21/I21)</f>
        <v/>
      </c>
      <c r="M21" s="346" t="n">
        <v>44835</v>
      </c>
      <c r="N21" s="346" t="n">
        <v>48852</v>
      </c>
      <c r="O21" s="340" t="inlineStr">
        <is>
          <t>Net Lease</t>
        </is>
      </c>
      <c r="P21" s="343" t="n"/>
      <c r="Q21" s="347" t="inlineStr">
        <is>
          <t>Rate in effect at the 01/01/2025 rent-roll step (12/1/2024-9/30/2025).</t>
        </is>
      </c>
      <c r="R21" s="348">
        <f>IF(AND(UPPER($D21)="Y",ISNUMBER(L21)),L21,"")</f>
        <v/>
      </c>
    </row>
    <row r="23" ht="16.5" customHeight="1" s="545">
      <c r="B23" s="554" t="inlineStr">
        <is>
          <t>SUBJECT CONTRACT RENT SCHEDULE - not applicable in single-lease form. The subject has three separate NNN leases (Haier, TJX, Highland Cabinetry); see the Rent Roll tab for the full multi-tenant rent detail and rows 19-21 above for each tenant's current in-place rate.</t>
        </is>
      </c>
    </row>
    <row r="24" ht="15" customHeight="1" s="545">
      <c r="B24" s="349" t="n"/>
      <c r="C24" s="349" t="n"/>
      <c r="D24" s="28" t="n"/>
      <c r="E24" s="350" t="n"/>
      <c r="F24" s="349" t="n"/>
      <c r="G24" s="349" t="n"/>
      <c r="H24" s="349" t="n"/>
      <c r="I24" s="350" t="n"/>
      <c r="J24" s="350" t="n"/>
      <c r="K24" s="350" t="n"/>
      <c r="L24" s="350" t="n"/>
      <c r="M24" s="28" t="n"/>
      <c r="N24" s="28" t="n"/>
      <c r="O24" s="349" t="n"/>
      <c r="P24" s="350" t="n"/>
      <c r="Q24" s="349" t="n"/>
    </row>
    <row r="25" ht="13.5" customHeight="1" s="545">
      <c r="B25" s="340" t="n"/>
      <c r="C25" s="522" t="n"/>
      <c r="D25" s="523" t="n"/>
      <c r="E25" s="351" t="n"/>
      <c r="F25" s="340" t="n"/>
      <c r="G25" s="340" t="n"/>
      <c r="H25" s="340" t="n"/>
      <c r="I25" s="351" t="n"/>
      <c r="J25" s="521" t="n"/>
      <c r="K25" s="509" t="n"/>
      <c r="L25" s="524" t="n"/>
      <c r="M25" s="346" t="n"/>
      <c r="N25" s="346" t="n"/>
      <c r="O25" s="340" t="n"/>
      <c r="P25" s="343" t="n"/>
      <c r="Q25" s="347" t="n"/>
      <c r="R25" s="351" t="n"/>
    </row>
    <row r="26" ht="13.5" customHeight="1" s="545">
      <c r="B26" s="340" t="n"/>
      <c r="C26" s="522" t="n"/>
      <c r="D26" s="523" t="n"/>
      <c r="E26" s="351" t="n"/>
      <c r="F26" s="340" t="n"/>
      <c r="G26" s="340" t="n"/>
      <c r="H26" s="340" t="n"/>
      <c r="I26" s="351" t="n"/>
      <c r="J26" s="521" t="n"/>
      <c r="K26" s="509" t="n"/>
      <c r="L26" s="524" t="n"/>
      <c r="M26" s="346" t="n"/>
      <c r="N26" s="346" t="n"/>
      <c r="O26" s="340" t="n"/>
      <c r="P26" s="343" t="n"/>
      <c r="Q26" s="347" t="n"/>
      <c r="R26" s="351" t="n"/>
    </row>
    <row r="27" ht="13.5" customHeight="1" s="545">
      <c r="B27" s="340" t="n"/>
      <c r="C27" s="522" t="n"/>
      <c r="D27" s="523" t="n"/>
      <c r="E27" s="351" t="n"/>
      <c r="F27" s="340" t="n"/>
      <c r="G27" s="340" t="n"/>
      <c r="H27" s="340" t="n"/>
      <c r="I27" s="351" t="n"/>
      <c r="J27" s="521" t="n"/>
      <c r="K27" s="509" t="n"/>
      <c r="L27" s="524" t="n"/>
      <c r="M27" s="346" t="n"/>
      <c r="N27" s="346" t="n"/>
      <c r="O27" s="340" t="n"/>
      <c r="P27" s="343" t="n"/>
      <c r="Q27" s="347" t="n"/>
      <c r="R27" s="351" t="n"/>
    </row>
    <row r="28" ht="13.5" customHeight="1" s="545">
      <c r="B28" s="340" t="n"/>
      <c r="C28" s="522" t="n"/>
      <c r="D28" s="523" t="n"/>
      <c r="E28" s="351" t="n"/>
      <c r="F28" s="340" t="n"/>
      <c r="G28" s="340" t="n"/>
      <c r="H28" s="340" t="n"/>
      <c r="I28" s="351" t="n"/>
      <c r="J28" s="521" t="n"/>
      <c r="K28" s="509" t="n"/>
      <c r="L28" s="524" t="n"/>
      <c r="M28" s="346" t="n"/>
      <c r="N28" s="346" t="n"/>
      <c r="O28" s="340" t="n"/>
      <c r="P28" s="343" t="n"/>
      <c r="Q28" s="347" t="n"/>
      <c r="R28" s="351" t="n"/>
    </row>
    <row r="29" ht="13.5" customHeight="1" s="545">
      <c r="B29" s="340" t="n"/>
      <c r="C29" s="522" t="n"/>
      <c r="D29" s="523" t="n"/>
      <c r="E29" s="351" t="n"/>
      <c r="F29" s="340" t="n"/>
      <c r="G29" s="340" t="n"/>
      <c r="H29" s="340" t="n"/>
      <c r="I29" s="351" t="n"/>
      <c r="J29" s="521" t="n"/>
      <c r="K29" s="509" t="n"/>
      <c r="L29" s="524" t="n"/>
      <c r="M29" s="346" t="n"/>
      <c r="N29" s="346" t="n"/>
      <c r="O29" s="340" t="n"/>
      <c r="P29" s="343" t="n"/>
      <c r="Q29" s="347" t="n"/>
      <c r="R29" s="351" t="n"/>
    </row>
    <row r="30" ht="13.5" customHeight="1" s="545">
      <c r="B30" s="340" t="n"/>
      <c r="C30" s="522" t="n"/>
      <c r="D30" s="523" t="n"/>
      <c r="E30" s="351" t="n"/>
      <c r="F30" s="340" t="n"/>
      <c r="G30" s="340" t="n"/>
      <c r="H30" s="340" t="n"/>
      <c r="I30" s="351" t="n"/>
      <c r="J30" s="521" t="n"/>
      <c r="K30" s="509" t="n"/>
      <c r="L30" s="524" t="n"/>
      <c r="M30" s="346" t="n"/>
      <c r="N30" s="346" t="n"/>
      <c r="O30" s="340" t="n"/>
      <c r="P30" s="343" t="n"/>
      <c r="Q30" s="347" t="n"/>
      <c r="R30" s="351" t="n"/>
    </row>
    <row r="31" ht="13.5" customHeight="1" s="545">
      <c r="B31" s="340" t="n"/>
      <c r="C31" s="522" t="n"/>
      <c r="D31" s="523" t="n"/>
      <c r="E31" s="351" t="n"/>
      <c r="F31" s="340" t="n"/>
      <c r="G31" s="340" t="n"/>
      <c r="H31" s="340" t="n"/>
      <c r="I31" s="351" t="n"/>
      <c r="J31" s="521" t="n"/>
      <c r="K31" s="509" t="n"/>
      <c r="L31" s="524" t="n"/>
      <c r="M31" s="346" t="n"/>
      <c r="N31" s="346" t="n"/>
      <c r="O31" s="340" t="n"/>
      <c r="P31" s="343" t="n"/>
      <c r="Q31" s="347" t="n"/>
      <c r="R31" s="351" t="n"/>
    </row>
    <row r="32" ht="13.5" customHeight="1" s="545">
      <c r="B32" s="340" t="n"/>
      <c r="C32" s="522" t="n"/>
      <c r="D32" s="523" t="n"/>
      <c r="E32" s="351" t="n"/>
      <c r="F32" s="340" t="n"/>
      <c r="G32" s="340" t="n"/>
      <c r="H32" s="340" t="n"/>
      <c r="I32" s="351" t="n"/>
      <c r="J32" s="521" t="n"/>
      <c r="K32" s="509" t="n"/>
      <c r="L32" s="524" t="n"/>
      <c r="M32" s="346" t="n"/>
      <c r="N32" s="346" t="n"/>
      <c r="O32" s="340" t="n"/>
      <c r="P32" s="343" t="n"/>
      <c r="Q32" s="347" t="n"/>
      <c r="R32" s="351" t="n"/>
    </row>
    <row r="33" ht="13.5" customHeight="1" s="545">
      <c r="B33" s="340" t="n"/>
      <c r="C33" s="522" t="n"/>
      <c r="D33" s="523" t="n"/>
      <c r="E33" s="351" t="n"/>
      <c r="F33" s="340" t="n"/>
      <c r="G33" s="340" t="n"/>
      <c r="H33" s="340" t="n"/>
      <c r="I33" s="351" t="n"/>
      <c r="J33" s="521" t="n"/>
      <c r="K33" s="509" t="n"/>
      <c r="L33" s="524" t="n"/>
      <c r="M33" s="346" t="n"/>
      <c r="N33" s="346" t="n"/>
      <c r="O33" s="340" t="n"/>
      <c r="P33" s="343" t="n"/>
      <c r="Q33" s="347" t="n"/>
      <c r="R33" s="351" t="n"/>
    </row>
    <row r="34" ht="13.5" customHeight="1" s="545">
      <c r="B34" s="340" t="n"/>
      <c r="C34" s="522" t="n"/>
      <c r="D34" s="523" t="n"/>
      <c r="E34" s="351" t="n"/>
      <c r="F34" s="340" t="n"/>
      <c r="G34" s="340" t="n"/>
      <c r="H34" s="340" t="n"/>
      <c r="I34" s="351" t="n"/>
      <c r="J34" s="521" t="n"/>
      <c r="K34" s="509" t="n"/>
      <c r="L34" s="524" t="n"/>
      <c r="M34" s="346" t="n"/>
      <c r="N34" s="346" t="n"/>
      <c r="O34" s="340" t="n"/>
      <c r="P34" s="343" t="n"/>
      <c r="Q34" s="347" t="n"/>
      <c r="R34" s="351" t="n"/>
    </row>
    <row r="35" ht="13.5" customHeight="1" s="545">
      <c r="B35" s="340" t="n"/>
      <c r="C35" s="522" t="n"/>
      <c r="D35" s="523" t="n"/>
      <c r="E35" s="351" t="n"/>
      <c r="F35" s="340" t="n"/>
      <c r="G35" s="340" t="n"/>
      <c r="H35" s="340" t="n"/>
      <c r="I35" s="351" t="n"/>
      <c r="J35" s="521" t="n"/>
      <c r="K35" s="509" t="n"/>
      <c r="L35" s="524" t="n"/>
      <c r="M35" s="346" t="n"/>
      <c r="N35" s="346" t="n"/>
      <c r="O35" s="340" t="n"/>
      <c r="P35" s="343" t="n"/>
      <c r="Q35" s="347" t="n"/>
      <c r="R35" s="351" t="n"/>
    </row>
    <row r="36" ht="19.35" customHeight="1" s="545">
      <c r="B36" s="352" t="n"/>
      <c r="C36" s="525" t="n"/>
      <c r="D36" s="525" t="n"/>
      <c r="E36" s="353" t="n"/>
      <c r="F36" s="353" t="n"/>
      <c r="G36" s="353" t="n"/>
      <c r="H36" s="353" t="n"/>
      <c r="I36" s="353" t="n"/>
      <c r="J36" s="526" t="n"/>
      <c r="K36" s="527" t="n"/>
      <c r="L36" s="528" t="n"/>
      <c r="M36" s="353" t="n"/>
      <c r="N36" s="353" t="n"/>
      <c r="O36" s="353" t="n"/>
      <c r="P36" s="31" t="n"/>
      <c r="Q36" s="354" t="n"/>
      <c r="R36" s="353" t="n"/>
    </row>
    <row r="37">
      <c r="C37" s="389" t="n"/>
      <c r="D37" s="389" t="n"/>
      <c r="J37" s="59" t="n"/>
      <c r="K37" s="60" t="n"/>
      <c r="L37" s="59" t="n"/>
    </row>
    <row r="38" ht="16.5" customHeight="1" s="545">
      <c r="B38" s="554" t="n"/>
    </row>
    <row r="39" ht="27.75" customHeight="1" s="545">
      <c r="B39" s="340" t="n"/>
      <c r="C39" s="340" t="n"/>
      <c r="D39" s="351" t="n"/>
      <c r="E39" s="351" t="n"/>
      <c r="F39" s="340" t="n"/>
      <c r="G39" s="339" t="n"/>
      <c r="H39" s="340" t="n"/>
      <c r="I39" s="351" t="n"/>
      <c r="J39" s="351" t="n"/>
      <c r="K39" s="351" t="n"/>
      <c r="L39" s="351" t="n"/>
      <c r="M39" s="351" t="n"/>
      <c r="N39" s="351" t="n"/>
      <c r="O39" s="351" t="n"/>
      <c r="P39" s="351" t="n"/>
      <c r="Q39" s="347" t="n"/>
      <c r="R39" s="351" t="n"/>
    </row>
    <row r="40" ht="27.75" customHeight="1" s="545">
      <c r="B40" s="340" t="n"/>
      <c r="C40" s="340" t="n"/>
      <c r="D40" s="351" t="n"/>
      <c r="E40" s="351" t="n"/>
      <c r="F40" s="340" t="n"/>
      <c r="G40" s="339" t="n"/>
      <c r="H40" s="340" t="n"/>
      <c r="I40" s="351" t="n"/>
      <c r="J40" s="351" t="n"/>
      <c r="K40" s="351" t="n"/>
      <c r="L40" s="351" t="n"/>
      <c r="M40" s="351" t="n"/>
      <c r="N40" s="351" t="n"/>
      <c r="O40" s="351" t="n"/>
      <c r="P40" s="351" t="n"/>
      <c r="Q40" s="347" t="n"/>
      <c r="R40" s="351" t="n"/>
    </row>
    <row r="42" ht="16.5" customHeight="1" s="545">
      <c r="B42" s="554" t="inlineStr">
        <is>
          <t>MARKET RENT CONCLUSION</t>
        </is>
      </c>
    </row>
    <row r="43" ht="13.5" customHeight="1" s="545">
      <c r="B43" s="355" t="inlineStr">
        <is>
          <t>Leases in set</t>
        </is>
      </c>
      <c r="C43" s="641">
        <f>COUNT(R6:R21)</f>
        <v/>
      </c>
      <c r="D43" s="550" t="n"/>
      <c r="E43" s="550" t="n"/>
      <c r="F43" s="351" t="n"/>
      <c r="G43" s="351" t="n"/>
      <c r="H43" s="351" t="n"/>
    </row>
    <row r="44" ht="13.5" customHeight="1" s="545">
      <c r="B44" s="355" t="inlineStr">
        <is>
          <t>Low  $/SF</t>
        </is>
      </c>
      <c r="C44" s="636">
        <f>IF(COUNT(R6:R21)=0,"",MIN(R6:R21))</f>
        <v/>
      </c>
      <c r="D44" s="550" t="n"/>
      <c r="E44" s="550" t="n"/>
      <c r="F44" s="351" t="n"/>
      <c r="G44" s="351" t="n"/>
      <c r="H44" s="351" t="n"/>
    </row>
    <row r="45" ht="13.5" customHeight="1" s="545">
      <c r="B45" s="355" t="inlineStr">
        <is>
          <t>High  $/SF</t>
        </is>
      </c>
      <c r="C45" s="636">
        <f>IF(COUNT(R6:R21)=0,"",MAX(R6:R21))</f>
        <v/>
      </c>
      <c r="D45" s="550" t="n"/>
      <c r="E45" s="550" t="n"/>
      <c r="F45" s="351" t="n"/>
      <c r="G45" s="351" t="n"/>
      <c r="H45" s="351" t="n"/>
    </row>
    <row r="46" ht="13.5" customHeight="1" s="545">
      <c r="B46" s="355" t="inlineStr">
        <is>
          <t>Average  $/SF</t>
        </is>
      </c>
      <c r="C46" s="636">
        <f>IF(COUNT(R6:R21)=0,"",AVERAGE(R6:R21))</f>
        <v/>
      </c>
      <c r="D46" s="550" t="n"/>
      <c r="E46" s="550" t="n"/>
      <c r="F46" s="351" t="n"/>
      <c r="G46" s="351" t="n"/>
      <c r="H46" s="351" t="n"/>
    </row>
    <row r="47" ht="13.5" customHeight="1" s="545">
      <c r="B47" s="355" t="inlineStr">
        <is>
          <t>Median  $/SF</t>
        </is>
      </c>
      <c r="C47" s="636">
        <f>IF(COUNT(R6:R21)=0,"",MEDIAN(R6:R21))</f>
        <v/>
      </c>
      <c r="D47" s="550" t="n"/>
      <c r="E47" s="550" t="n"/>
      <c r="F47" s="351" t="n"/>
      <c r="G47" s="351" t="n"/>
      <c r="H47" s="351" t="n"/>
    </row>
    <row r="48" ht="15" customHeight="1" s="545">
      <c r="B48" s="340" t="inlineStr">
        <is>
          <t>Subject Building Area (SF)</t>
        </is>
      </c>
      <c r="C48" s="639">
        <f>'Property Info'!$C$29</f>
        <v/>
      </c>
      <c r="D48" s="550" t="n"/>
      <c r="E48" s="550" t="n"/>
      <c r="F48" s="351" t="n"/>
      <c r="G48" s="351" t="n"/>
      <c r="H48" s="351" t="n"/>
    </row>
    <row r="49" ht="15" customHeight="1" s="545">
      <c r="B49" s="355" t="inlineStr">
        <is>
          <t>CONCLUDED MARKET RENT ($/SF/yr)</t>
        </is>
      </c>
      <c r="C49" s="637" t="n">
        <v>6.5</v>
      </c>
      <c r="D49" s="550" t="n"/>
      <c r="E49" s="550" t="n"/>
      <c r="F49" s="351" t="n"/>
      <c r="G49" s="351" t="n"/>
      <c r="H49" s="351" t="n"/>
    </row>
    <row r="50" ht="15" customHeight="1" s="545">
      <c r="B50" s="29" t="inlineStr">
        <is>
          <t>Potential Gross Rental Income</t>
        </is>
      </c>
      <c r="C50" s="635">
        <f>C48*C49</f>
        <v/>
      </c>
      <c r="D50" s="611" t="n"/>
      <c r="E50" s="611" t="n"/>
      <c r="F50" s="353" t="n"/>
      <c r="G50" s="353" t="n"/>
      <c r="H50" s="353" t="n"/>
    </row>
    <row r="52" ht="45.75" customHeight="1" s="545">
      <c r="B52" s="638" t="inlineStr">
        <is>
          <t>Concluded market rent of $6.50/SF NNN on 540,800 SF. The 12 flagged CompStak large-bay industrial lease comparables (140,000-541,985 SF, 2019-2024) average $6.42/SF and have a median of $6.68/SF. The subject's own in-place rents span $5.14/SF (Haier, signed 2019) to $7.38/SF (TJX, signed 2020, now near its 2026 expiration) to $5.15/SF (Highland Cabinetry, a 2022 lease stepping toward $5.30-6.50/SF through 2033) - a occupancy-weighted average of roughly $5.53/SF, below the concluded market rate, consistent with Haier's large 351,520 SF suite having been signed at a lower, older rate. $6.50/SF NNN is adopted as a reasoned midpoint that reflects current market evidence while remaining supportable against the in-place rent roll.</t>
        </is>
      </c>
    </row>
  </sheetData>
  <mergeCells count="14">
    <mergeCell ref="C50:E50"/>
    <mergeCell ref="B38:Q38"/>
    <mergeCell ref="C44:E44"/>
    <mergeCell ref="B23:Q23"/>
    <mergeCell ref="C45:E45"/>
    <mergeCell ref="C49:E49"/>
    <mergeCell ref="B3:Q3"/>
    <mergeCell ref="C48:E48"/>
    <mergeCell ref="B52:Q52"/>
    <mergeCell ref="B42:H42"/>
    <mergeCell ref="B2:Q2"/>
    <mergeCell ref="C43:E43"/>
    <mergeCell ref="C46:E46"/>
    <mergeCell ref="C47:E47"/>
  </mergeCells>
  <pageMargins left="0.75" right="0.75" top="1" bottom="1" header="0.511811023622047" footer="0.511811023622047"/>
  <pageSetup orientation="landscape" fitToHeight="0" horizontalDpi="300" verticalDpi="300"/>
</worksheet>
</file>

<file path=xl/worksheets/sheet18.xml><?xml version="1.0" encoding="utf-8"?>
<worksheet xmlns="http://schemas.openxmlformats.org/spreadsheetml/2006/main">
  <sheetPr>
    <outlinePr summaryBelow="1" summaryRight="1"/>
    <pageSetUpPr/>
  </sheetPr>
  <dimension ref="B5:K60"/>
  <sheetViews>
    <sheetView workbookViewId="0">
      <selection activeCell="B5" sqref="B5:J16"/>
    </sheetView>
  </sheetViews>
  <sheetFormatPr baseColWidth="8" defaultRowHeight="12"/>
  <cols>
    <col width="7.7109375" customWidth="1" style="545" min="2" max="2"/>
    <col width="23.85546875" customWidth="1" style="545" min="3" max="3"/>
    <col width="11.28515625" customWidth="1" style="545" min="4" max="4"/>
    <col width="15.7109375" customWidth="1" style="545" min="6" max="6"/>
    <col width="11.42578125" customWidth="1" style="545" min="7" max="7"/>
    <col width="11" customWidth="1" style="545" min="9" max="9"/>
    <col width="15.7109375" customWidth="1" style="545" min="10" max="10"/>
    <col width="14.140625" customWidth="1" style="545" min="11" max="11"/>
  </cols>
  <sheetData>
    <row r="5">
      <c r="B5" s="642" t="inlineStr">
        <is>
          <t>Lease Comp Summary Table 1 -- CompStak Lease Comps Export (In Set -- drives Income Approach; mirrors 'Leases' tab rows 6-13)</t>
        </is>
      </c>
    </row>
    <row r="6" ht="12.75" customHeight="1" s="545" thickBot="1">
      <c r="B6" s="541" t="inlineStr">
        <is>
          <t>Comp #</t>
        </is>
      </c>
      <c r="C6" s="541" t="inlineStr">
        <is>
          <t>Address</t>
        </is>
      </c>
      <c r="D6" s="541" t="inlineStr">
        <is>
          <t>City</t>
        </is>
      </c>
      <c r="E6" s="541" t="inlineStr">
        <is>
          <t>Tenant</t>
        </is>
      </c>
      <c r="F6" s="541" t="inlineStr">
        <is>
          <t>Lease Status</t>
        </is>
      </c>
      <c r="G6" s="541" t="inlineStr">
        <is>
          <t>Lease Date</t>
        </is>
      </c>
      <c r="H6" s="541" t="inlineStr">
        <is>
          <t>RA</t>
        </is>
      </c>
      <c r="I6" s="541" t="inlineStr">
        <is>
          <t>Lease Type</t>
        </is>
      </c>
      <c r="J6" s="541" t="inlineStr">
        <is>
          <t>Effective Lease/SF</t>
        </is>
      </c>
      <c r="K6" s="539" t="n"/>
    </row>
    <row r="7">
      <c r="B7" s="249" t="n">
        <v>1</v>
      </c>
      <c r="C7" t="inlineStr">
        <is>
          <t>Highpoint Elevated - Bldg 1, 6225 N Denali St, Aurora</t>
        </is>
      </c>
      <c r="D7" t="inlineStr">
        <is>
          <t>Aurora</t>
        </is>
      </c>
      <c r="E7" t="inlineStr">
        <is>
          <t>Dematic</t>
        </is>
      </c>
      <c r="F7" t="inlineStr">
        <is>
          <t>New Lease</t>
        </is>
      </c>
      <c r="G7" s="61" t="n">
        <v>45383</v>
      </c>
      <c r="H7" s="57" t="n">
        <v>170641</v>
      </c>
      <c r="I7" t="inlineStr">
        <is>
          <t>NNN</t>
        </is>
      </c>
      <c r="J7" s="59" t="n">
        <v>7.75</v>
      </c>
    </row>
    <row r="8">
      <c r="B8" s="249" t="n">
        <v>2</v>
      </c>
      <c r="C8" t="inlineStr">
        <is>
          <t>9400 East 46th Place, Denver (Central Park Logistics)</t>
        </is>
      </c>
      <c r="D8" t="inlineStr">
        <is>
          <t>Denver</t>
        </is>
      </c>
      <c r="E8" t="inlineStr">
        <is>
          <t>Primesource Building Products</t>
        </is>
      </c>
      <c r="F8" t="inlineStr">
        <is>
          <t>New Lease</t>
        </is>
      </c>
      <c r="G8" s="61" t="n">
        <v>44835</v>
      </c>
      <c r="H8" s="57" t="n">
        <v>170294</v>
      </c>
      <c r="I8" t="inlineStr">
        <is>
          <t>NNN</t>
        </is>
      </c>
      <c r="J8" s="59" t="n">
        <v>7.05</v>
      </c>
    </row>
    <row r="9">
      <c r="B9" s="249" t="n">
        <v>3</v>
      </c>
      <c r="C9" t="inlineStr">
        <is>
          <t>3225 Himalaya Road, Aurora</t>
        </is>
      </c>
      <c r="D9" t="inlineStr">
        <is>
          <t>Aurora</t>
        </is>
      </c>
      <c r="E9" t="inlineStr">
        <is>
          <t>Hawthorne Hydroponics</t>
        </is>
      </c>
      <c r="F9" t="inlineStr">
        <is>
          <t>New Lease</t>
        </is>
      </c>
      <c r="G9" s="61" t="n">
        <v>44470</v>
      </c>
      <c r="H9" s="57" t="n">
        <v>201104</v>
      </c>
      <c r="I9" t="inlineStr">
        <is>
          <t>NNN</t>
        </is>
      </c>
      <c r="J9" s="59" t="n">
        <v>5</v>
      </c>
    </row>
    <row r="10">
      <c r="B10" s="249" t="n">
        <v>4</v>
      </c>
      <c r="C10" t="inlineStr">
        <is>
          <t>Central Park Logistics Center, 9400 E 46th Pl, Denver</t>
        </is>
      </c>
      <c r="D10" t="inlineStr">
        <is>
          <t>Denver</t>
        </is>
      </c>
      <c r="E10" t="inlineStr">
        <is>
          <t>Discount Tire</t>
        </is>
      </c>
      <c r="F10" t="inlineStr">
        <is>
          <t>New Lease</t>
        </is>
      </c>
      <c r="G10" s="61" t="n">
        <v>45200</v>
      </c>
      <c r="H10" s="57" t="n">
        <v>338548</v>
      </c>
      <c r="I10" t="inlineStr">
        <is>
          <t>NNN</t>
        </is>
      </c>
      <c r="J10" s="59" t="n">
        <v>6.8</v>
      </c>
    </row>
    <row r="11">
      <c r="B11" s="249" t="n">
        <v>5</v>
      </c>
      <c r="C11" t="inlineStr">
        <is>
          <t>Central Park Logistics Center, 9400 E 46th Pl, Denver</t>
        </is>
      </c>
      <c r="D11" t="inlineStr">
        <is>
          <t>Denver</t>
        </is>
      </c>
      <c r="E11" t="inlineStr">
        <is>
          <t>Halle Properties</t>
        </is>
      </c>
      <c r="F11" t="inlineStr">
        <is>
          <t>New Lease</t>
        </is>
      </c>
      <c r="G11" s="61" t="n">
        <v>45200</v>
      </c>
      <c r="H11" s="57" t="n">
        <v>338548</v>
      </c>
      <c r="I11" t="inlineStr">
        <is>
          <t>NNN</t>
        </is>
      </c>
      <c r="J11" s="59" t="n">
        <v>6.8</v>
      </c>
    </row>
    <row r="12">
      <c r="B12" s="249" t="n">
        <v>6</v>
      </c>
      <c r="C12" t="inlineStr">
        <is>
          <t>18100 E 40th Ave, Aurora</t>
        </is>
      </c>
      <c r="D12" t="inlineStr">
        <is>
          <t>Aurora</t>
        </is>
      </c>
      <c r="E12" t="inlineStr">
        <is>
          <t>Marcone</t>
        </is>
      </c>
      <c r="F12" t="inlineStr">
        <is>
          <t>New Lease</t>
        </is>
      </c>
      <c r="G12" s="61" t="n">
        <v>45200</v>
      </c>
      <c r="H12" s="57" t="n">
        <v>155850</v>
      </c>
      <c r="I12" t="inlineStr">
        <is>
          <t>NNN</t>
        </is>
      </c>
      <c r="J12" s="59" t="n">
        <v>6.55</v>
      </c>
    </row>
    <row r="13">
      <c r="B13" s="249" t="n">
        <v>7</v>
      </c>
      <c r="C13" t="inlineStr">
        <is>
          <t>3700 N Windsor Dr</t>
        </is>
      </c>
      <c r="D13" t="inlineStr">
        <is>
          <t>Denver metro</t>
        </is>
      </c>
      <c r="E13" t="inlineStr">
        <is>
          <t>Electrolux</t>
        </is>
      </c>
      <c r="F13" t="inlineStr">
        <is>
          <t>New Lease</t>
        </is>
      </c>
      <c r="G13" s="61" t="n">
        <v>44927</v>
      </c>
      <c r="H13" s="57" t="n">
        <v>166670</v>
      </c>
      <c r="I13" t="inlineStr">
        <is>
          <t>NNN</t>
        </is>
      </c>
      <c r="J13" s="59" t="n">
        <v>6.2</v>
      </c>
    </row>
    <row r="14">
      <c r="B14" s="249" t="n">
        <v>8</v>
      </c>
      <c r="C14" t="inlineStr">
        <is>
          <t>10000 E 40th Ave</t>
        </is>
      </c>
      <c r="D14" t="inlineStr">
        <is>
          <t>Denver metro</t>
        </is>
      </c>
      <c r="E14" t="inlineStr">
        <is>
          <t>Fenix Outdoor Import</t>
        </is>
      </c>
      <c r="F14" t="inlineStr">
        <is>
          <t>New Lease</t>
        </is>
      </c>
      <c r="G14" s="61" t="n">
        <v>43739</v>
      </c>
      <c r="H14" s="57" t="n">
        <v>140653</v>
      </c>
      <c r="I14" t="inlineStr">
        <is>
          <t>NNN</t>
        </is>
      </c>
      <c r="J14" s="59" t="n">
        <v>5.2</v>
      </c>
    </row>
    <row r="15">
      <c r="B15" s="249" t="n"/>
    </row>
    <row r="16">
      <c r="B16" s="249" t="n"/>
    </row>
    <row r="17">
      <c r="I17" s="539" t="inlineStr">
        <is>
          <t>Min</t>
        </is>
      </c>
      <c r="J17" s="59">
        <f>IFERROR(MIN(J7:J16),"")</f>
        <v/>
      </c>
    </row>
    <row r="18">
      <c r="I18" s="539" t="inlineStr">
        <is>
          <t>Max</t>
        </is>
      </c>
      <c r="J18" s="59">
        <f>IFERROR(MAX(J7:J16),"")</f>
        <v/>
      </c>
    </row>
    <row r="19">
      <c r="I19" s="539" t="inlineStr">
        <is>
          <t>Avg</t>
        </is>
      </c>
      <c r="J19" s="59">
        <f>IFERROR(AVERAGE(J7:J16),"")</f>
        <v/>
      </c>
    </row>
    <row r="20">
      <c r="I20" s="539" t="inlineStr">
        <is>
          <t>Med</t>
        </is>
      </c>
      <c r="J20" s="59">
        <f>IFERROR(MEDIAN(J7:J16),"")</f>
        <v/>
      </c>
    </row>
    <row r="25">
      <c r="B25" s="642" t="inlineStr">
        <is>
          <t>Lease Comp Summary Table 2 -- Supplemental CompStak Comps (cross-check, not in Income Approach set)</t>
        </is>
      </c>
    </row>
    <row r="26" ht="12.75" customHeight="1" s="545" thickBot="1">
      <c r="B26" s="541" t="inlineStr">
        <is>
          <t>Comp #</t>
        </is>
      </c>
      <c r="C26" s="541" t="inlineStr">
        <is>
          <t>Address</t>
        </is>
      </c>
      <c r="D26" s="541" t="inlineStr">
        <is>
          <t>City</t>
        </is>
      </c>
      <c r="E26" s="541" t="inlineStr">
        <is>
          <t>Tenant</t>
        </is>
      </c>
      <c r="F26" s="541" t="inlineStr">
        <is>
          <t>Lease Status</t>
        </is>
      </c>
      <c r="G26" s="541" t="inlineStr">
        <is>
          <t>Lease Date</t>
        </is>
      </c>
      <c r="H26" s="541" t="inlineStr">
        <is>
          <t>RA</t>
        </is>
      </c>
      <c r="I26" s="541" t="inlineStr">
        <is>
          <t>Lease Type</t>
        </is>
      </c>
      <c r="J26" s="541" t="inlineStr">
        <is>
          <t>Effective Lease/SF</t>
        </is>
      </c>
    </row>
    <row r="27">
      <c r="B27" s="249" t="n">
        <v>1</v>
      </c>
      <c r="C27" t="inlineStr">
        <is>
          <t>21111 E 36th Drive</t>
        </is>
      </c>
      <c r="D27" t="inlineStr">
        <is>
          <t>Denver metro</t>
        </is>
      </c>
      <c r="E27" t="inlineStr">
        <is>
          <t>Living Spaces Furniture</t>
        </is>
      </c>
      <c r="F27" t="inlineStr">
        <is>
          <t>New Lease</t>
        </is>
      </c>
      <c r="G27" s="61" t="n">
        <v>44835</v>
      </c>
      <c r="H27" s="57" t="n">
        <v>141171</v>
      </c>
      <c r="I27" t="inlineStr">
        <is>
          <t>NNN</t>
        </is>
      </c>
      <c r="J27" s="59" t="n">
        <v>6.25</v>
      </c>
    </row>
    <row r="28">
      <c r="B28" s="249" t="n">
        <v>2</v>
      </c>
      <c r="C28" t="inlineStr">
        <is>
          <t>Paliot Solutions site</t>
        </is>
      </c>
      <c r="D28" t="inlineStr">
        <is>
          <t>Denver metro</t>
        </is>
      </c>
      <c r="E28" t="inlineStr">
        <is>
          <t>Paliot Solutions</t>
        </is>
      </c>
      <c r="F28" t="inlineStr">
        <is>
          <t>New Lease</t>
        </is>
      </c>
      <c r="G28" s="61" t="n">
        <v>44652</v>
      </c>
      <c r="H28" s="57" t="n">
        <v>210000</v>
      </c>
      <c r="I28" t="inlineStr">
        <is>
          <t>NNN</t>
        </is>
      </c>
      <c r="J28" s="59" t="n">
        <v>6.25</v>
      </c>
    </row>
    <row r="29">
      <c r="B29" s="249" t="n">
        <v>3</v>
      </c>
      <c r="C29" t="inlineStr">
        <is>
          <t>Priority Wire &amp; Cable site</t>
        </is>
      </c>
      <c r="D29" t="inlineStr">
        <is>
          <t>Denver metro</t>
        </is>
      </c>
      <c r="E29" t="inlineStr">
        <is>
          <t>Priority Wire &amp; Cable</t>
        </is>
      </c>
      <c r="F29" t="inlineStr">
        <is>
          <t>New Lease</t>
        </is>
      </c>
      <c r="G29" s="61" t="n">
        <v>44652</v>
      </c>
      <c r="H29" s="57" t="n">
        <v>115829</v>
      </c>
      <c r="I29" t="inlineStr">
        <is>
          <t>NNN</t>
        </is>
      </c>
      <c r="J29" s="59" t="n">
        <v>6.15</v>
      </c>
    </row>
    <row r="30">
      <c r="B30" s="249" t="n">
        <v>4</v>
      </c>
      <c r="C30" t="inlineStr">
        <is>
          <t>Keller Warehousing site</t>
        </is>
      </c>
      <c r="D30" t="inlineStr">
        <is>
          <t>Denver metro</t>
        </is>
      </c>
      <c r="E30" t="inlineStr">
        <is>
          <t>Keller Warehousing</t>
        </is>
      </c>
      <c r="F30" t="inlineStr">
        <is>
          <t>New Lease</t>
        </is>
      </c>
      <c r="G30" s="61" t="n">
        <v>44470</v>
      </c>
      <c r="H30" s="57" t="n">
        <v>140000</v>
      </c>
      <c r="I30" t="inlineStr">
        <is>
          <t>NNN</t>
        </is>
      </c>
      <c r="J30" s="59" t="n">
        <v>6.95</v>
      </c>
    </row>
    <row r="31">
      <c r="B31" s="249" t="n"/>
      <c r="G31" s="61" t="n"/>
      <c r="H31" s="57" t="n"/>
      <c r="J31" s="59" t="n"/>
    </row>
    <row r="32">
      <c r="B32" s="249" t="n"/>
      <c r="G32" s="61" t="n"/>
      <c r="H32" s="57" t="n"/>
      <c r="J32" s="59" t="n"/>
    </row>
    <row r="33">
      <c r="B33" s="249" t="n"/>
      <c r="G33" s="61" t="n"/>
      <c r="H33" s="57" t="n"/>
      <c r="J33" s="59" t="n"/>
    </row>
    <row r="34">
      <c r="B34" s="249" t="n"/>
      <c r="G34" s="61" t="n"/>
      <c r="H34" s="57" t="n"/>
      <c r="J34" s="59" t="n"/>
    </row>
    <row r="35">
      <c r="B35" s="249" t="n"/>
      <c r="G35" s="61" t="n"/>
      <c r="H35" s="57" t="n"/>
      <c r="J35" s="59" t="n"/>
    </row>
    <row r="36">
      <c r="B36" s="249" t="n"/>
    </row>
    <row r="37">
      <c r="I37" s="539" t="inlineStr">
        <is>
          <t>Min</t>
        </is>
      </c>
      <c r="J37" s="59">
        <f>IFERROR(MIN(J27:J30),"")</f>
        <v/>
      </c>
    </row>
    <row r="38">
      <c r="I38" s="539" t="inlineStr">
        <is>
          <t>Max</t>
        </is>
      </c>
      <c r="J38" s="59">
        <f>IFERROR(MAX(J27:J30),"")</f>
        <v/>
      </c>
    </row>
    <row r="39">
      <c r="I39" s="539" t="inlineStr">
        <is>
          <t>Avg</t>
        </is>
      </c>
      <c r="J39" s="59">
        <f>IFERROR(AVERAGE(J27:J30),"")</f>
        <v/>
      </c>
    </row>
    <row r="40">
      <c r="I40" s="539" t="inlineStr">
        <is>
          <t>Med</t>
        </is>
      </c>
      <c r="J40" s="59">
        <f>IFERROR(MEDIAN(J27:J30),"")</f>
        <v/>
      </c>
    </row>
    <row r="45">
      <c r="B45" s="642" t="n"/>
    </row>
    <row r="46" ht="12.75" customHeight="1" s="545" thickBot="1">
      <c r="B46" s="541" t="n"/>
      <c r="C46" s="541" t="n"/>
      <c r="D46" s="541" t="n"/>
      <c r="E46" s="541" t="n"/>
      <c r="F46" s="541" t="n"/>
      <c r="G46" s="541" t="n"/>
      <c r="H46" s="541" t="n"/>
      <c r="I46" s="541" t="n"/>
      <c r="J46" s="541" t="n"/>
    </row>
    <row r="47">
      <c r="B47" s="249" t="n"/>
    </row>
    <row r="48">
      <c r="B48" s="249" t="n"/>
    </row>
    <row r="49">
      <c r="B49" s="249" t="n"/>
    </row>
    <row r="50">
      <c r="B50" s="249" t="n"/>
    </row>
    <row r="51">
      <c r="B51" s="249" t="n"/>
    </row>
    <row r="52">
      <c r="B52" s="249" t="n"/>
    </row>
    <row r="53">
      <c r="B53" s="249" t="n"/>
    </row>
    <row r="54">
      <c r="B54" s="249" t="n"/>
    </row>
    <row r="55">
      <c r="B55" s="249" t="n"/>
    </row>
    <row r="56">
      <c r="B56" s="249" t="n"/>
    </row>
    <row r="57">
      <c r="I57" s="539" t="n"/>
    </row>
    <row r="58">
      <c r="I58" s="539" t="n"/>
    </row>
    <row r="59">
      <c r="I59" s="539" t="n"/>
    </row>
    <row r="60">
      <c r="I60" s="539" t="n"/>
    </row>
  </sheetData>
  <mergeCells count="2">
    <mergeCell ref="B25:J25"/>
    <mergeCell ref="B5:J5"/>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B4:I15"/>
  <sheetViews>
    <sheetView workbookViewId="0">
      <selection activeCell="F6" sqref="F6"/>
    </sheetView>
  </sheetViews>
  <sheetFormatPr baseColWidth="8" defaultRowHeight="12"/>
  <cols>
    <col width="5.140625" customWidth="1" style="545" min="2" max="2"/>
    <col width="12.85546875" customWidth="1" style="545" min="6" max="6"/>
    <col width="11" customWidth="1" style="545" min="7" max="7"/>
    <col width="12.5703125" customWidth="1" style="545" min="8" max="8"/>
    <col width="17.140625" customWidth="1" style="545" min="9" max="9"/>
  </cols>
  <sheetData>
    <row r="4">
      <c r="B4" s="642" t="inlineStr">
        <is>
          <t>Subject Rent Roll</t>
        </is>
      </c>
    </row>
    <row r="5" ht="12.75" customHeight="1" s="545" thickBot="1">
      <c r="B5" s="542" t="inlineStr">
        <is>
          <t>#</t>
        </is>
      </c>
      <c r="C5" s="541" t="inlineStr">
        <is>
          <t>Suite</t>
        </is>
      </c>
      <c r="D5" s="541" t="inlineStr">
        <is>
          <t>NRA</t>
        </is>
      </c>
      <c r="E5" s="541" t="inlineStr">
        <is>
          <t>Tenant</t>
        </is>
      </c>
      <c r="F5" s="541" t="inlineStr">
        <is>
          <t>Occupancy</t>
        </is>
      </c>
      <c r="G5" s="541" t="inlineStr">
        <is>
          <t>Lease Date</t>
        </is>
      </c>
      <c r="H5" s="541" t="inlineStr">
        <is>
          <t>Lease Type</t>
        </is>
      </c>
      <c r="I5" s="541" t="inlineStr">
        <is>
          <t>Effective Lease/SF</t>
        </is>
      </c>
    </row>
    <row r="6">
      <c r="B6" s="249" t="n">
        <v>1</v>
      </c>
      <c r="C6" t="inlineStr">
        <is>
          <t>100</t>
        </is>
      </c>
      <c r="D6" t="n">
        <v>351520</v>
      </c>
      <c r="E6" t="inlineStr">
        <is>
          <t>Haier US Appliance Solutions, Inc.</t>
        </is>
      </c>
      <c r="F6" t="inlineStr">
        <is>
          <t>100%</t>
        </is>
      </c>
      <c r="G6" s="543" t="n">
        <v>43476</v>
      </c>
      <c r="H6" t="inlineStr">
        <is>
          <t>NNN</t>
        </is>
      </c>
      <c r="I6" t="n">
        <v>5.14</v>
      </c>
    </row>
    <row r="7">
      <c r="B7" s="249" t="n">
        <v>2</v>
      </c>
      <c r="C7" t="inlineStr">
        <is>
          <t>B</t>
        </is>
      </c>
      <c r="D7" t="n">
        <v>94621</v>
      </c>
      <c r="E7" t="inlineStr">
        <is>
          <t>The TJX Companies</t>
        </is>
      </c>
      <c r="F7" t="inlineStr">
        <is>
          <t>100%</t>
        </is>
      </c>
      <c r="G7" s="543" t="n">
        <v>44041</v>
      </c>
      <c r="H7" t="inlineStr">
        <is>
          <t>NNN</t>
        </is>
      </c>
      <c r="I7" t="n">
        <v>7.38</v>
      </c>
    </row>
    <row r="8">
      <c r="B8" s="249" t="n">
        <v>3</v>
      </c>
      <c r="C8" t="inlineStr">
        <is>
          <t>C</t>
        </is>
      </c>
      <c r="D8" t="n">
        <v>94621</v>
      </c>
      <c r="E8" t="inlineStr">
        <is>
          <t>Highland Cabinetry, Inc.</t>
        </is>
      </c>
      <c r="F8" t="inlineStr">
        <is>
          <t>100%</t>
        </is>
      </c>
      <c r="G8" s="543" t="n">
        <v>44835</v>
      </c>
      <c r="H8" t="inlineStr">
        <is>
          <t>NNN (Becknell-paid CAM/ins/tax per lease)</t>
        </is>
      </c>
      <c r="I8" t="n">
        <v>5.15</v>
      </c>
    </row>
    <row r="9">
      <c r="B9" s="249" t="n">
        <v>4</v>
      </c>
    </row>
    <row r="10">
      <c r="B10" s="249" t="n">
        <v>5</v>
      </c>
    </row>
    <row r="11">
      <c r="B11" s="249" t="n">
        <v>6</v>
      </c>
    </row>
    <row r="12">
      <c r="B12" s="249" t="n">
        <v>7</v>
      </c>
    </row>
    <row r="13">
      <c r="B13" s="249" t="n">
        <v>8</v>
      </c>
    </row>
    <row r="14">
      <c r="B14" s="249" t="n">
        <v>9</v>
      </c>
    </row>
    <row r="15">
      <c r="B15" s="249" t="n">
        <v>10</v>
      </c>
    </row>
  </sheetData>
  <mergeCells count="1">
    <mergeCell ref="B4:I4"/>
  </mergeCells>
  <pageMargins left="0.7" right="0.7" top="0.75" bottom="0.75" header="0.3" footer="0.3"/>
</worksheet>
</file>

<file path=xl/worksheets/sheet20.xml><?xml version="1.0" encoding="utf-8"?>
<worksheet xmlns="http://schemas.openxmlformats.org/spreadsheetml/2006/main">
  <sheetPr>
    <outlinePr summaryBelow="1" summaryRight="1"/>
    <pageSetUpPr fitToPage="1"/>
  </sheetPr>
  <dimension ref="B2:I86"/>
  <sheetViews>
    <sheetView showGridLines="0" zoomScaleNormal="100" workbookViewId="0">
      <pane xSplit="1" ySplit="4" topLeftCell="B5" activePane="bottomRight" state="frozen"/>
      <selection pane="topRight" activeCell="B1" sqref="B1"/>
      <selection pane="bottomLeft" activeCell="A5" sqref="A5"/>
      <selection pane="bottomRight" activeCell="E25" sqref="E25"/>
    </sheetView>
  </sheetViews>
  <sheetFormatPr baseColWidth="8" defaultColWidth="9.85546875" defaultRowHeight="12"/>
  <cols>
    <col width="2.28515625" customWidth="1" style="545" min="1" max="1"/>
    <col width="47.85546875" customWidth="1" style="545" min="2" max="2"/>
    <col width="17.140625" customWidth="1" style="545" min="3" max="3"/>
    <col width="19.42578125" customWidth="1" style="545" min="4" max="5"/>
    <col width="17.140625" customWidth="1" style="545" min="6" max="6"/>
    <col width="15" customWidth="1" style="545" min="7" max="8"/>
    <col width="16" customWidth="1" style="545" min="9" max="9"/>
  </cols>
  <sheetData>
    <row r="2" ht="16.5" customHeight="1" s="545">
      <c r="B2" s="648" t="inlineStr">
        <is>
          <t>INCOME CAPITALIZATION APPROACH</t>
        </is>
      </c>
    </row>
    <row r="4" ht="13.5" customHeight="1" s="545">
      <c r="B4" s="239" t="inlineStr">
        <is>
          <t>Subject Building Area (SF)</t>
        </is>
      </c>
      <c r="C4" s="356">
        <f>'Property Info'!$C$29</f>
        <v/>
      </c>
      <c r="D4" s="357" t="n"/>
      <c r="E4" s="357" t="n"/>
      <c r="F4" s="357" t="n"/>
    </row>
    <row r="6" ht="16.5" customHeight="1" s="545">
      <c r="B6" s="616" t="inlineStr">
        <is>
          <t>PGRI - MARKET RENTS</t>
        </is>
      </c>
    </row>
    <row r="7" ht="15" customHeight="1" s="545">
      <c r="B7" s="644" t="inlineStr">
        <is>
          <t>Space Type</t>
        </is>
      </c>
      <c r="C7" s="645" t="inlineStr">
        <is>
          <t>SF</t>
        </is>
      </c>
      <c r="D7" s="645" t="inlineStr">
        <is>
          <t>Rent PSF</t>
        </is>
      </c>
      <c r="E7" s="645" t="inlineStr">
        <is>
          <t>PGRI</t>
        </is>
      </c>
    </row>
    <row r="8" ht="13.5" customHeight="1" s="545">
      <c r="B8" s="612">
        <f>'Property Info'!$C$23</f>
        <v/>
      </c>
      <c r="C8" s="628">
        <f>'Property Info'!$C$29</f>
        <v/>
      </c>
      <c r="D8" s="40">
        <f>Leases!$C$49</f>
        <v/>
      </c>
      <c r="E8" s="614">
        <f>IFERROR(C8*D8,"")</f>
        <v/>
      </c>
      <c r="F8" s="550" t="n"/>
    </row>
    <row r="9" ht="13.5" customHeight="1" s="545">
      <c r="B9" s="643" t="n"/>
      <c r="C9" s="222" t="n"/>
      <c r="D9" s="237" t="n"/>
      <c r="E9" s="614">
        <f>IFERROR(C9*D9,"")</f>
        <v/>
      </c>
      <c r="F9" s="550" t="n"/>
    </row>
    <row r="10" ht="13.5" customHeight="1" s="545">
      <c r="B10" s="643" t="n"/>
      <c r="C10" s="222" t="n"/>
      <c r="D10" s="237" t="n"/>
      <c r="E10" s="614">
        <f>IFERROR(C10*D10,"")</f>
        <v/>
      </c>
      <c r="F10" s="550" t="n"/>
    </row>
    <row r="11" ht="13.5" customHeight="1" s="545">
      <c r="B11" s="647" t="inlineStr">
        <is>
          <t>Total Potential Gross Rental Income</t>
        </is>
      </c>
      <c r="C11" s="359">
        <f>SUM(C8:C10)</f>
        <v/>
      </c>
      <c r="D11" s="610">
        <f>IFERROR(E11/C11,"")</f>
        <v/>
      </c>
      <c r="E11" s="617">
        <f>SUM(E8:E10)</f>
        <v/>
      </c>
      <c r="F11" s="611" t="n"/>
    </row>
    <row r="13" ht="16.5" customHeight="1" s="545">
      <c r="B13" s="616" t="inlineStr">
        <is>
          <t>VACANCY AND COLLECTION LOSS</t>
        </is>
      </c>
    </row>
    <row r="14" ht="15" customHeight="1" s="545">
      <c r="B14" s="644" t="inlineStr">
        <is>
          <t>Source</t>
        </is>
      </c>
      <c r="E14" s="645" t="inlineStr">
        <is>
          <t>Rate</t>
        </is>
      </c>
    </row>
    <row r="15" ht="13.5" customHeight="1" s="545">
      <c r="B15" s="625" t="inlineStr">
        <is>
          <t>Subject - 100% occupied (3 tenants: Haier, TJX, Highland Cabinetry) at the level-of-value date</t>
        </is>
      </c>
      <c r="C15" s="550" t="n"/>
      <c r="D15" s="550" t="n"/>
      <c r="E15" s="649" t="n">
        <v>0</v>
      </c>
      <c r="F15" s="550" t="n"/>
    </row>
    <row r="16" ht="13.5" customHeight="1" s="545">
      <c r="B16" s="625" t="inlineStr">
        <is>
          <t>Becknell Industrial / Ryan, LLC TY2025 petition pro forma (subject)</t>
        </is>
      </c>
      <c r="C16" s="550" t="n"/>
      <c r="D16" s="550" t="n"/>
      <c r="E16" s="649" t="n">
        <v>0.05</v>
      </c>
      <c r="F16" s="550" t="n"/>
    </row>
    <row r="17" ht="13.5" customHeight="1" s="545">
      <c r="B17" s="625" t="inlineStr">
        <is>
          <t>CompStak large-bay industrial lease comp set (12 comps, Denver-metro north/northeast submarket)</t>
        </is>
      </c>
      <c r="C17" s="550" t="n"/>
      <c r="D17" s="550" t="n"/>
      <c r="E17" s="646" t="n"/>
      <c r="F17" s="550" t="n"/>
    </row>
    <row r="18" ht="13.5" customHeight="1" s="545">
      <c r="B18" s="625" t="n"/>
      <c r="C18" s="550" t="n"/>
      <c r="D18" s="550" t="n"/>
      <c r="E18" s="646" t="n"/>
      <c r="F18" s="550" t="n"/>
    </row>
    <row r="19" ht="13.5" customHeight="1" s="545">
      <c r="B19" s="643" t="inlineStr">
        <is>
          <t>Range</t>
        </is>
      </c>
      <c r="C19" s="550" t="n"/>
      <c r="D19" s="550" t="n"/>
      <c r="E19" s="622">
        <f>IFERROR(TEXT(MIN(E15:E18),"0.00%")&amp;" to "&amp;TEXT(MAX(E15:E18),"0.00%"),"")</f>
        <v/>
      </c>
      <c r="F19" s="550" t="n"/>
    </row>
    <row r="20" ht="13.5" customHeight="1" s="545">
      <c r="B20" s="647" t="inlineStr">
        <is>
          <t>Concluded Overall Vacancy Rate</t>
        </is>
      </c>
      <c r="C20" s="611" t="n"/>
      <c r="D20" s="611" t="n"/>
      <c r="E20" s="613">
        <f>'Property Info'!$C$51</f>
        <v/>
      </c>
      <c r="F20" s="611" t="n"/>
    </row>
    <row r="22" ht="16.5" customHeight="1" s="545">
      <c r="B22" s="616" t="inlineStr">
        <is>
          <t>EXPENSES IN TIME OF VACANCY</t>
        </is>
      </c>
    </row>
    <row r="23" ht="15" customHeight="1" s="545">
      <c r="B23" s="644" t="inlineStr">
        <is>
          <t>Expense</t>
        </is>
      </c>
      <c r="C23" s="645" t="inlineStr">
        <is>
          <t>Rate</t>
        </is>
      </c>
      <c r="D23" s="645" t="inlineStr">
        <is>
          <t>PSF</t>
        </is>
      </c>
      <c r="E23" s="645" t="inlineStr">
        <is>
          <t>Total</t>
        </is>
      </c>
      <c r="F23" s="360" t="inlineStr">
        <is>
          <t>Basis</t>
        </is>
      </c>
    </row>
    <row r="24" ht="13.5" customHeight="1" s="545">
      <c r="B24" s="643" t="inlineStr">
        <is>
          <t>Real Estate Taxes</t>
        </is>
      </c>
      <c r="C24" s="361" t="n"/>
      <c r="D24" s="362">
        <f>IFERROR(E24/$C$4,"")</f>
        <v/>
      </c>
      <c r="E24" s="620">
        <f>'Property Info'!$C$48</f>
        <v/>
      </c>
      <c r="F24" s="363" t="inlineStr">
        <is>
          <t>Actual - assessed value x mill levy</t>
        </is>
      </c>
    </row>
    <row r="25" ht="13.5" customHeight="1" s="545">
      <c r="B25" s="643" t="inlineStr">
        <is>
          <t>Insurance</t>
        </is>
      </c>
      <c r="C25" s="361" t="n"/>
      <c r="D25" s="40">
        <f>$C$84</f>
        <v/>
      </c>
      <c r="E25" s="614">
        <f>IFERROR(D25*$C$4,"")</f>
        <v/>
      </c>
      <c r="F25" s="363" t="inlineStr">
        <is>
          <t>Estimated</t>
        </is>
      </c>
    </row>
    <row r="26" ht="13.5" customHeight="1" s="545">
      <c r="B26" s="643" t="inlineStr">
        <is>
          <t>Utilities</t>
        </is>
      </c>
      <c r="C26" s="361" t="n"/>
      <c r="D26" s="40">
        <f>$C$85</f>
        <v/>
      </c>
      <c r="E26" s="614">
        <f>IFERROR(D26*$C$4,"")</f>
        <v/>
      </c>
      <c r="F26" s="363" t="inlineStr">
        <is>
          <t>Estimated</t>
        </is>
      </c>
    </row>
    <row r="27" ht="13.5" customHeight="1" s="545">
      <c r="B27" s="643" t="inlineStr">
        <is>
          <t>CAM Repairs and Maintenance</t>
        </is>
      </c>
      <c r="C27" s="361" t="n"/>
      <c r="D27" s="40">
        <f>$C$86</f>
        <v/>
      </c>
      <c r="E27" s="614">
        <f>IFERROR(D27*$C$4,"")</f>
        <v/>
      </c>
      <c r="F27" s="363" t="inlineStr">
        <is>
          <t>Estimated</t>
        </is>
      </c>
    </row>
    <row r="28" ht="13.5" customHeight="1" s="545">
      <c r="B28" s="643" t="inlineStr">
        <is>
          <t>Management</t>
        </is>
      </c>
      <c r="C28" s="646" t="n">
        <v>0.03</v>
      </c>
      <c r="D28" s="362">
        <f>IFERROR(E28/$C$4,"")</f>
        <v/>
      </c>
      <c r="E28" s="614">
        <f>$E$40*C28</f>
        <v/>
      </c>
      <c r="F28" s="363" t="inlineStr">
        <is>
          <t>% of EGI</t>
        </is>
      </c>
    </row>
    <row r="29" ht="13.5" customHeight="1" s="545">
      <c r="B29" s="647" t="inlineStr">
        <is>
          <t>Total</t>
        </is>
      </c>
      <c r="C29" s="327" t="n"/>
      <c r="D29" s="610">
        <f>IFERROR(E29/$C$4,"")</f>
        <v/>
      </c>
      <c r="E29" s="617">
        <f>SUM(E24:E28)</f>
        <v/>
      </c>
      <c r="F29" s="327" t="n"/>
    </row>
    <row r="30" ht="13.5" customHeight="1" s="545">
      <c r="B30" s="643" t="inlineStr">
        <is>
          <t>Multiplied by Vacancy Factor of</t>
        </is>
      </c>
      <c r="C30" s="649" t="n">
        <v>0.05</v>
      </c>
      <c r="D30" s="362">
        <f>IFERROR($C$30*D29,"")</f>
        <v/>
      </c>
      <c r="E30" s="614">
        <f>IFERROR($C$30*E29,"")</f>
        <v/>
      </c>
      <c r="F30" s="361" t="n"/>
    </row>
    <row r="31" ht="13.5" customHeight="1" s="545">
      <c r="B31" s="647" t="inlineStr">
        <is>
          <t>Divided by EGI</t>
        </is>
      </c>
      <c r="C31" s="611" t="n"/>
      <c r="D31" s="611" t="n"/>
      <c r="E31" s="613">
        <f>IFERROR(E30/$E$40,"")</f>
        <v/>
      </c>
      <c r="F31" s="327" t="n"/>
    </row>
    <row r="33" ht="16.5" customHeight="1" s="545">
      <c r="B33" s="616" t="inlineStr">
        <is>
          <t>PRO FORMA OPERATING STATEMENT</t>
        </is>
      </c>
    </row>
    <row r="34" ht="25.5" customHeight="1" s="545">
      <c r="B34" s="644" t="inlineStr">
        <is>
          <t>Category</t>
        </is>
      </c>
      <c r="C34" s="645" t="n"/>
      <c r="D34" s="364" t="inlineStr">
        <is>
          <t>Projected Expenses</t>
        </is>
      </c>
      <c r="E34" s="364" t="inlineStr">
        <is>
          <t>Projected Income</t>
        </is>
      </c>
      <c r="F34" s="364" t="inlineStr">
        <is>
          <t>PSF</t>
        </is>
      </c>
    </row>
    <row r="35" ht="13.5" customHeight="1" s="545">
      <c r="B35" s="643" t="inlineStr">
        <is>
          <t>Potential Gross Rental Income (PGRI)</t>
        </is>
      </c>
      <c r="C35" s="361" t="n"/>
      <c r="D35" s="361" t="n"/>
      <c r="E35" s="614">
        <f>E11</f>
        <v/>
      </c>
      <c r="F35" s="362">
        <f>IFERROR(E35/$C$4,"")</f>
        <v/>
      </c>
    </row>
    <row r="36" ht="13.5" customHeight="1" s="545">
      <c r="B36" s="643" t="inlineStr">
        <is>
          <t>Plus:  Other Income</t>
        </is>
      </c>
      <c r="C36" s="361" t="n"/>
      <c r="D36" s="361" t="n"/>
      <c r="E36" s="630" t="n">
        <v>0</v>
      </c>
      <c r="F36" s="362">
        <f>IFERROR(E36/$C$4,"")</f>
        <v/>
      </c>
    </row>
    <row r="37" ht="13.5" customHeight="1" s="545">
      <c r="B37" s="643" t="inlineStr">
        <is>
          <t>Plus:  Pass-Through Income</t>
        </is>
      </c>
      <c r="C37" s="361" t="n"/>
      <c r="D37" s="361" t="n"/>
      <c r="E37" s="630" t="n">
        <v>0</v>
      </c>
      <c r="F37" s="362">
        <f>IFERROR(E37/$C$4,"")</f>
        <v/>
      </c>
    </row>
    <row r="38" ht="13.5" customHeight="1" s="545">
      <c r="B38" s="647" t="inlineStr">
        <is>
          <t>Total Potential Gross Rental Income</t>
        </is>
      </c>
      <c r="C38" s="327" t="n"/>
      <c r="D38" s="327" t="n"/>
      <c r="E38" s="617">
        <f>SUM(E35:E37)</f>
        <v/>
      </c>
      <c r="F38" s="610">
        <f>IFERROR(E38/$C$4,"")</f>
        <v/>
      </c>
    </row>
    <row r="39" ht="13.5" customHeight="1" s="545">
      <c r="B39" s="643" t="inlineStr">
        <is>
          <t>Less: Market Vacancy</t>
        </is>
      </c>
      <c r="C39" s="633">
        <f>$E$20</f>
        <v/>
      </c>
      <c r="D39" s="614">
        <f>-C39*E38</f>
        <v/>
      </c>
      <c r="E39" s="361" t="n"/>
      <c r="F39" s="362">
        <f>IFERROR(D39/$C$4,"")</f>
        <v/>
      </c>
    </row>
    <row r="40" ht="13.5" customHeight="1" s="545">
      <c r="B40" s="647" t="inlineStr">
        <is>
          <t>Effective Gross Income (EGI)</t>
        </is>
      </c>
      <c r="C40" s="327" t="n"/>
      <c r="D40" s="327" t="n"/>
      <c r="E40" s="617">
        <f>E38+D39</f>
        <v/>
      </c>
      <c r="F40" s="610">
        <f>IFERROR(E40/$C$4,"")</f>
        <v/>
      </c>
    </row>
    <row r="41" ht="15" customHeight="1" s="545">
      <c r="B41" s="618" t="inlineStr">
        <is>
          <t>Fixed Expenses</t>
        </is>
      </c>
    </row>
    <row r="42" ht="13.5" customHeight="1" s="545">
      <c r="B42" s="643" t="inlineStr">
        <is>
          <t>Owner's Expenses</t>
        </is>
      </c>
      <c r="C42" s="649" t="n">
        <v>0.05</v>
      </c>
      <c r="D42" s="614">
        <f>-C42*E40</f>
        <v/>
      </c>
      <c r="E42" s="361" t="n"/>
      <c r="F42" s="362">
        <f>IFERROR(D42/$C$4,"")</f>
        <v/>
      </c>
    </row>
    <row r="43" ht="24" customHeight="1" s="545">
      <c r="B43" s="217" t="inlineStr">
        <is>
          <t>Operating Expense Recovery Loss During Vacancy</t>
        </is>
      </c>
      <c r="C43" s="633">
        <f>$E$31</f>
        <v/>
      </c>
      <c r="D43" s="614">
        <f>-E30</f>
        <v/>
      </c>
      <c r="E43" s="361" t="n"/>
      <c r="F43" s="362">
        <f>IFERROR(D43/$C$4,"")</f>
        <v/>
      </c>
    </row>
    <row r="44" ht="13.5" customHeight="1" s="545">
      <c r="B44" s="647" t="inlineStr">
        <is>
          <t>Total Expenses</t>
        </is>
      </c>
      <c r="C44" s="327" t="n"/>
      <c r="D44" s="617">
        <f>SUM(D42:D43)</f>
        <v/>
      </c>
      <c r="E44" s="327" t="n"/>
      <c r="F44" s="610">
        <f>IFERROR(D44/$C$4,"")</f>
        <v/>
      </c>
    </row>
    <row r="45" ht="13.5" customHeight="1" s="545">
      <c r="B45" s="647" t="inlineStr">
        <is>
          <t>Net Operating Income</t>
        </is>
      </c>
      <c r="C45" s="327" t="n"/>
      <c r="D45" s="327" t="n"/>
      <c r="E45" s="617">
        <f>E40+D44</f>
        <v/>
      </c>
      <c r="F45" s="610">
        <f>IFERROR(E45/$C$4,"")</f>
        <v/>
      </c>
    </row>
    <row r="47" ht="16.5" customHeight="1" s="545">
      <c r="B47" s="616" t="inlineStr">
        <is>
          <t>THIRD PARTY SURVEYS - CAPITALIZATION RATES</t>
        </is>
      </c>
    </row>
    <row r="48" ht="15" customHeight="1" s="545">
      <c r="B48" s="644" t="inlineStr">
        <is>
          <t>Category</t>
        </is>
      </c>
      <c r="D48" s="645" t="inlineStr">
        <is>
          <t>Survey 1</t>
        </is>
      </c>
      <c r="E48" s="645" t="inlineStr">
        <is>
          <t>Survey 2</t>
        </is>
      </c>
      <c r="F48" s="213" t="n"/>
    </row>
    <row r="49" ht="13.5" customHeight="1" s="545">
      <c r="B49" s="643" t="inlineStr">
        <is>
          <t>Source</t>
        </is>
      </c>
      <c r="C49" s="550" t="n"/>
      <c r="D49" s="225" t="inlineStr">
        <is>
          <t>Becknell Industrial / Ryan, LLC TY2025 petition (subject)</t>
        </is>
      </c>
      <c r="E49" s="225" t="inlineStr">
        <is>
          <t>CompStak Sale/Cap Comps - North Washington Commerce Center (industrial)</t>
        </is>
      </c>
      <c r="F49" s="361" t="n"/>
    </row>
    <row r="50" ht="13.5" customHeight="1" s="545">
      <c r="B50" s="643" t="inlineStr">
        <is>
          <t>Date of Survey</t>
        </is>
      </c>
      <c r="C50" s="550" t="n"/>
      <c r="D50" s="225" t="inlineStr">
        <is>
          <t>June 2025 filing</t>
        </is>
      </c>
      <c r="E50" s="515" t="n">
        <v>44134</v>
      </c>
      <c r="F50" s="361" t="n"/>
    </row>
    <row r="51" ht="13.5" customHeight="1" s="545">
      <c r="B51" s="643" t="inlineStr">
        <is>
          <t>Market</t>
        </is>
      </c>
      <c r="C51" s="550" t="n"/>
      <c r="D51" s="225" t="inlineStr">
        <is>
          <t>Commerce City / Adams County</t>
        </is>
      </c>
      <c r="E51" s="225" t="inlineStr">
        <is>
          <t>Thornton / Adams County (industrial)</t>
        </is>
      </c>
      <c r="F51" s="361" t="n"/>
    </row>
    <row r="52" ht="13.5" customHeight="1" s="545">
      <c r="B52" s="643" t="inlineStr">
        <is>
          <t>Property Type</t>
        </is>
      </c>
      <c r="C52" s="550" t="n"/>
      <c r="D52" s="225" t="inlineStr">
        <is>
          <t>Industrial - Warehouse/Distribution</t>
        </is>
      </c>
      <c r="E52" s="225" t="inlineStr">
        <is>
          <t>Industrial - Warehouse/Distribution (single-tenant DST sale)</t>
        </is>
      </c>
      <c r="F52" s="361" t="n"/>
    </row>
    <row r="53" ht="13.5" customHeight="1" s="545">
      <c r="B53" s="643" t="inlineStr">
        <is>
          <t>Range Average</t>
        </is>
      </c>
      <c r="C53" s="550" t="n"/>
      <c r="D53" s="225" t="inlineStr">
        <is>
          <t>6.50% point estimate</t>
        </is>
      </c>
      <c r="E53" s="225" t="inlineStr">
        <is>
          <t>4.60% (2020 sale-leaseback/DST pricing - dated, pre-rate-hike; not fully representative of the 6/30/2024 market)</t>
        </is>
      </c>
      <c r="F53" s="361" t="n"/>
    </row>
    <row r="54" ht="13.5" customHeight="1" s="545">
      <c r="B54" s="643" t="inlineStr">
        <is>
          <t>Average</t>
        </is>
      </c>
      <c r="C54" s="550" t="n"/>
      <c r="D54" s="649" t="n">
        <v>0.065</v>
      </c>
      <c r="E54" s="649" t="n">
        <v>0.046</v>
      </c>
      <c r="F54" s="361" t="n"/>
    </row>
    <row r="55" ht="13.5" customHeight="1" s="545">
      <c r="B55" s="647" t="inlineStr">
        <is>
          <t>Capitalization Rate Conclusion</t>
        </is>
      </c>
      <c r="C55" s="611" t="n"/>
      <c r="D55" s="611" t="n"/>
      <c r="E55" s="530" t="n">
        <v>0.065</v>
      </c>
      <c r="F55" s="327" t="n"/>
    </row>
    <row r="57" ht="16.5" customHeight="1" s="545">
      <c r="B57" s="616" t="inlineStr">
        <is>
          <t>DIRECT CAPITALIZATION METHOD VALUE CONCLUSION</t>
        </is>
      </c>
    </row>
    <row r="58" ht="13.5" customHeight="1" s="545">
      <c r="B58" s="647" t="inlineStr">
        <is>
          <t>Net Operating Income (NOI)</t>
        </is>
      </c>
      <c r="C58" s="611" t="n"/>
      <c r="D58" s="617">
        <f>E45</f>
        <v/>
      </c>
      <c r="E58" s="610">
        <f>IFERROR(D58/$C$4,"")</f>
        <v/>
      </c>
      <c r="F58" s="327" t="n"/>
    </row>
    <row r="59" ht="13.5" customHeight="1" s="545">
      <c r="B59" s="239">
        <f>"Sensitivity Analysis ("&amp;TEXT($C$59,"0.00%")&amp;" OAR Spread)"</f>
        <v/>
      </c>
      <c r="C59" s="365" t="n">
        <v>0.0025</v>
      </c>
      <c r="D59" s="366" t="inlineStr">
        <is>
          <t>Value</t>
        </is>
      </c>
      <c r="E59" s="366" t="inlineStr">
        <is>
          <t>$/SF</t>
        </is>
      </c>
      <c r="F59" s="357" t="n"/>
    </row>
    <row r="60" ht="13.5" customHeight="1" s="545">
      <c r="B60" s="643">
        <f>"Based on Low-Range of "&amp;TEXT(($E$55-$C$59),"0.00%")</f>
        <v/>
      </c>
      <c r="C60" s="550" t="n"/>
      <c r="D60" s="614">
        <f>IFERROR($D$58/($E$55-$C$59),"")</f>
        <v/>
      </c>
      <c r="E60" s="362">
        <f>IFERROR(D60/$C$4,"")</f>
        <v/>
      </c>
      <c r="F60" s="361" t="n"/>
    </row>
    <row r="61" ht="13.5" customHeight="1" s="545">
      <c r="B61" s="643">
        <f>"Based on Most Probable Range of "&amp;TEXT($E$55,"0.00%")</f>
        <v/>
      </c>
      <c r="C61" s="550" t="n"/>
      <c r="D61" s="614">
        <f>IFERROR($D$58/$E$55,"")</f>
        <v/>
      </c>
      <c r="E61" s="362">
        <f>IFERROR(D61/$C$4,"")</f>
        <v/>
      </c>
      <c r="F61" s="361" t="n"/>
    </row>
    <row r="62" ht="13.5" customHeight="1" s="545">
      <c r="B62" s="643">
        <f>"Based on High-Range of "&amp;TEXT(($E$55+$C$59),"0.00%")</f>
        <v/>
      </c>
      <c r="C62" s="550" t="n"/>
      <c r="D62" s="614">
        <f>IFERROR($D$58/($E$55+$C$59),"")</f>
        <v/>
      </c>
      <c r="E62" s="362">
        <f>IFERROR(D62/$C$4,"")</f>
        <v/>
      </c>
      <c r="F62" s="361" t="n"/>
    </row>
    <row r="63" ht="13.5" customHeight="1" s="545">
      <c r="B63" s="647" t="inlineStr">
        <is>
          <t>Reconciled Value</t>
        </is>
      </c>
      <c r="C63" s="611" t="n"/>
      <c r="D63" s="617">
        <f>D61</f>
        <v/>
      </c>
      <c r="E63" s="610">
        <f>IFERROR(D63/$C$4,"")</f>
        <v/>
      </c>
      <c r="F63" s="327" t="n"/>
    </row>
    <row r="64" ht="13.5" customHeight="1" s="545">
      <c r="B64" s="647">
        <f>"Rounded to nearest  "&amp;TEXT($C$64,"$#,##0")</f>
        <v/>
      </c>
      <c r="C64" s="367" t="n">
        <v>50000</v>
      </c>
      <c r="D64" s="617">
        <f>ROUND(D63/$C$64,0)*$C$64</f>
        <v/>
      </c>
      <c r="E64" s="610">
        <f>IFERROR(D64/$C$4,"")</f>
        <v/>
      </c>
      <c r="F64" s="327" t="n"/>
    </row>
    <row r="66" ht="33.75" customHeight="1" s="545">
      <c r="B66" s="548" t="inlineStr">
        <is>
          <t>Cream cells are entries; gray cells calculate or link to the Property Info tab. Building area (540,800 SF), occupancy name and the concluded vacancy rate all read from Property Info. Real estate taxes in the vacancy block link to Property Info!C48 (assessor value x 27.0% assessment rate x 105.574 mills, both confirmed against the Assessor's Account Summary). The concluded overall cap rate of 6.50% adopts the petitioner's (Becknell/Ryan LLC) own point estimate, which is well supported: it sits above the single disclosed industrial sale-cap comp in the record (4.60%, but a 2020 DST-priced transaction predating the 2022-2024 rate environment) and is consistent with the general rise in industrial cap rates in the Denver market since 2021. The rounded value in D64 is the Income Approach conclusion that carries into the Reconciliation tab.</t>
        </is>
      </c>
    </row>
    <row r="69" ht="16.5" customHeight="1" s="545">
      <c r="B69" s="554" t="inlineStr">
        <is>
          <t>MARKET EXPENSE BENCHMARKS - MASTER PROPERTY DATABASE ($/SF)</t>
        </is>
      </c>
    </row>
    <row r="70" ht="39.75" customHeight="1" s="545">
      <c r="B70" s="638" t="inlineStr">
        <is>
          <t>The Expense Database tab holds general Adams-County-area comparables of varying sizes; none were curated to this 540,800 SF subject in the time available, so the benchmark table below (rows 72-77) is left blank rather than populated with a poorly-matched sample. The concluded landlord expense rates in C84:C86 are entered directly, representing only the costs a landlord would carry on VACANT space; under the subject's NNN leases, tenants pay insurance, property taxes and most maintenance, so no landlord expense is recovered from occupied space beyond the owner's expense allowance in the pro forma.</t>
        </is>
      </c>
    </row>
    <row r="71" ht="25.5" customHeight="1" s="545">
      <c r="B71" s="335" t="inlineStr">
        <is>
          <t>Comparable</t>
        </is>
      </c>
      <c r="C71" s="336" t="inlineStr">
        <is>
          <t>Year</t>
        </is>
      </c>
      <c r="D71" s="337" t="inlineStr">
        <is>
          <t>Bldg SF</t>
        </is>
      </c>
      <c r="E71" s="337" t="inlineStr">
        <is>
          <t>Insurance</t>
        </is>
      </c>
      <c r="F71" s="337" t="inlineStr">
        <is>
          <t>Utilities</t>
        </is>
      </c>
      <c r="G71" s="337" t="inlineStr">
        <is>
          <t>R&amp;M + Contract</t>
        </is>
      </c>
      <c r="H71" s="337" t="inlineStr">
        <is>
          <t>Mgmt / Admin</t>
        </is>
      </c>
      <c r="I71" s="337" t="inlineStr">
        <is>
          <t>Total excl RE Tax</t>
        </is>
      </c>
    </row>
    <row r="72" ht="13.5" customHeight="1" s="545">
      <c r="B72" s="340" t="n"/>
      <c r="C72" s="368" t="n"/>
      <c r="D72" s="342" t="n"/>
      <c r="E72" s="40" t="n"/>
      <c r="F72" s="40" t="n"/>
      <c r="G72" s="40" t="n"/>
      <c r="H72" s="40" t="n"/>
      <c r="I72" s="40" t="n"/>
    </row>
    <row r="73" ht="13.5" customHeight="1" s="545">
      <c r="B73" s="340" t="n"/>
      <c r="C73" s="368" t="n"/>
      <c r="D73" s="342" t="n"/>
      <c r="E73" s="40" t="n"/>
      <c r="F73" s="40" t="n"/>
      <c r="G73" s="40" t="n"/>
      <c r="H73" s="40" t="n"/>
      <c r="I73" s="40" t="n"/>
    </row>
    <row r="74" ht="13.5" customHeight="1" s="545">
      <c r="B74" s="340" t="n"/>
      <c r="C74" s="368" t="n"/>
      <c r="D74" s="342" t="n"/>
      <c r="E74" s="40" t="n"/>
      <c r="F74" s="40" t="n"/>
      <c r="G74" s="40" t="n"/>
      <c r="H74" s="40" t="n"/>
      <c r="I74" s="40" t="n"/>
    </row>
    <row r="75" ht="13.5" customHeight="1" s="545">
      <c r="B75" s="340" t="n"/>
      <c r="C75" s="368" t="n"/>
      <c r="D75" s="342" t="n"/>
      <c r="E75" s="40" t="n"/>
      <c r="F75" s="40" t="n"/>
      <c r="G75" s="40" t="n"/>
      <c r="H75" s="40" t="n"/>
      <c r="I75" s="40" t="n"/>
    </row>
    <row r="76" ht="13.5" customHeight="1" s="545">
      <c r="B76" s="340" t="n"/>
      <c r="C76" s="368" t="n"/>
      <c r="D76" s="342" t="n"/>
      <c r="E76" s="40" t="n"/>
      <c r="F76" s="40" t="n"/>
      <c r="G76" s="40" t="n"/>
      <c r="H76" s="40" t="n"/>
      <c r="I76" s="40" t="n"/>
    </row>
    <row r="77" ht="13.5" customHeight="1" s="545">
      <c r="B77" s="340" t="n"/>
      <c r="C77" s="368" t="n"/>
      <c r="D77" s="342" t="n"/>
      <c r="E77" s="40" t="n"/>
      <c r="F77" s="40" t="n"/>
      <c r="G77" s="40" t="n"/>
      <c r="H77" s="40" t="n"/>
      <c r="I77" s="40" t="n"/>
    </row>
    <row r="78" ht="12" customHeight="1" s="545">
      <c r="B78" s="352" t="inlineStr">
        <is>
          <t>Low</t>
        </is>
      </c>
      <c r="C78" s="353" t="n"/>
      <c r="D78" s="353" t="n"/>
      <c r="E78" s="31">
        <f>IFERROR(MIN(E72:E77),"")</f>
        <v/>
      </c>
      <c r="F78" s="31">
        <f>IFERROR(MIN(F72:F77),"")</f>
        <v/>
      </c>
      <c r="G78" s="31">
        <f>IFERROR(MIN(G72:G77),"")</f>
        <v/>
      </c>
      <c r="H78" s="31">
        <f>IFERROR(MIN(H72:H77),"")</f>
        <v/>
      </c>
      <c r="I78" s="31">
        <f>IFERROR(MIN(I72:I77),"")</f>
        <v/>
      </c>
    </row>
    <row r="79" ht="12" customHeight="1" s="545">
      <c r="B79" s="369" t="inlineStr">
        <is>
          <t>High</t>
        </is>
      </c>
      <c r="C79" s="370" t="n"/>
      <c r="D79" s="370" t="n"/>
      <c r="E79" s="371">
        <f>IFERROR(MAX(E72:E77),"")</f>
        <v/>
      </c>
      <c r="F79" s="371">
        <f>IFERROR(MAX(F72:F77),"")</f>
        <v/>
      </c>
      <c r="G79" s="371">
        <f>IFERROR(MAX(G72:G77),"")</f>
        <v/>
      </c>
      <c r="H79" s="371">
        <f>IFERROR(MAX(H72:H77),"")</f>
        <v/>
      </c>
      <c r="I79" s="371">
        <f>IFERROR(MAX(I72:I77),"")</f>
        <v/>
      </c>
    </row>
    <row r="80" ht="12" customHeight="1" s="545">
      <c r="B80" s="369" t="inlineStr">
        <is>
          <t>Average</t>
        </is>
      </c>
      <c r="C80" s="370" t="n"/>
      <c r="D80" s="370" t="n"/>
      <c r="E80" s="371">
        <f>IFERROR(AVERAGE(E72:E77),"")</f>
        <v/>
      </c>
      <c r="F80" s="371">
        <f>IFERROR(AVERAGE(F72:F77),"")</f>
        <v/>
      </c>
      <c r="G80" s="371">
        <f>IFERROR(AVERAGE(G72:G77),"")</f>
        <v/>
      </c>
      <c r="H80" s="371">
        <f>IFERROR(AVERAGE(H72:H77),"")</f>
        <v/>
      </c>
      <c r="I80" s="371">
        <f>IFERROR(AVERAGE(I72:I77),"")</f>
        <v/>
      </c>
    </row>
    <row r="81" ht="12" customHeight="1" s="545">
      <c r="B81" s="369" t="inlineStr">
        <is>
          <t>Median</t>
        </is>
      </c>
      <c r="C81" s="370" t="n"/>
      <c r="D81" s="370" t="n"/>
      <c r="E81" s="371">
        <f>IFERROR(MEDIAN(E72:E77),"")</f>
        <v/>
      </c>
      <c r="F81" s="371">
        <f>IFERROR(MEDIAN(F72:F77),"")</f>
        <v/>
      </c>
      <c r="G81" s="371">
        <f>IFERROR(MEDIAN(G72:G77),"")</f>
        <v/>
      </c>
      <c r="H81" s="371">
        <f>IFERROR(MEDIAN(H72:H77),"")</f>
        <v/>
      </c>
      <c r="I81" s="371">
        <f>IFERROR(MEDIAN(I72:I77),"")</f>
        <v/>
      </c>
    </row>
    <row r="83" ht="16.5" customHeight="1" s="545">
      <c r="B83" s="554" t="inlineStr">
        <is>
          <t>CONCLUDED EXPENSE RATES USED IN THE VACANCY BLOCK ABOVE</t>
        </is>
      </c>
    </row>
    <row r="84" ht="12" customHeight="1" s="545">
      <c r="B84" s="355" t="inlineStr">
        <is>
          <t>Insurance  ($/SF)</t>
        </is>
      </c>
      <c r="C84" s="637" t="n">
        <v>0.1</v>
      </c>
      <c r="D84" s="550" t="n"/>
      <c r="E84" s="372" t="inlineStr">
        <is>
          <t>-&gt; feeds D25. Small single-tenant auto-service property; no size-relevant comp in the Expense Database. Confirm against the owner's policy if produced.</t>
        </is>
      </c>
      <c r="F84" s="351" t="n"/>
      <c r="G84" s="351" t="n"/>
      <c r="H84" s="351" t="n"/>
      <c r="I84" s="351" t="n"/>
    </row>
    <row r="85" ht="12" customHeight="1" s="545">
      <c r="B85" s="355" t="inlineStr">
        <is>
          <t>Utilities  ($/SF)</t>
        </is>
      </c>
      <c r="C85" s="637" t="n">
        <v>0.05</v>
      </c>
      <c r="D85" s="550" t="n"/>
      <c r="E85" s="372" t="inlineStr">
        <is>
          <t>-&gt; feeds D26. Landlord-borne utilities during vacancy only; tenant pays under the NNN lease.</t>
        </is>
      </c>
      <c r="F85" s="351" t="n"/>
      <c r="G85" s="351" t="n"/>
      <c r="H85" s="351" t="n"/>
      <c r="I85" s="351" t="n"/>
    </row>
    <row r="86" ht="12" customHeight="1" s="545">
      <c r="B86" s="355" t="inlineStr">
        <is>
          <t>CAM Repairs and Maintenance  ($/SF)</t>
        </is>
      </c>
      <c r="C86" s="637" t="n">
        <v>0.15</v>
      </c>
      <c r="D86" s="550" t="n"/>
      <c r="E86" s="372" t="inlineStr">
        <is>
          <t>-&gt; feeds D27. Yard, paving and building maintenance a landlord would carry on vacant space.</t>
        </is>
      </c>
      <c r="F86" s="351" t="n"/>
      <c r="G86" s="351" t="n"/>
      <c r="H86" s="351" t="n"/>
      <c r="I86" s="351" t="n"/>
    </row>
  </sheetData>
  <mergeCells count="48">
    <mergeCell ref="B54:C54"/>
    <mergeCell ref="B62:C62"/>
    <mergeCell ref="C86:D86"/>
    <mergeCell ref="B14:D14"/>
    <mergeCell ref="B47:F47"/>
    <mergeCell ref="B17:D17"/>
    <mergeCell ref="B66:F66"/>
    <mergeCell ref="E14:F14"/>
    <mergeCell ref="B22:F22"/>
    <mergeCell ref="E17:F17"/>
    <mergeCell ref="E8:F8"/>
    <mergeCell ref="B58:C58"/>
    <mergeCell ref="B52:C52"/>
    <mergeCell ref="B70:I70"/>
    <mergeCell ref="B19:D19"/>
    <mergeCell ref="E20:F20"/>
    <mergeCell ref="B48:C48"/>
    <mergeCell ref="C85:D85"/>
    <mergeCell ref="B2:F2"/>
    <mergeCell ref="E10:F10"/>
    <mergeCell ref="E19:F19"/>
    <mergeCell ref="B61:C61"/>
    <mergeCell ref="C84:D84"/>
    <mergeCell ref="B60:C60"/>
    <mergeCell ref="B15:D15"/>
    <mergeCell ref="E9:F9"/>
    <mergeCell ref="B55:D55"/>
    <mergeCell ref="B53:C53"/>
    <mergeCell ref="B13:F13"/>
    <mergeCell ref="B20:D20"/>
    <mergeCell ref="B57:F57"/>
    <mergeCell ref="E15:F15"/>
    <mergeCell ref="B69:I69"/>
    <mergeCell ref="E11:F11"/>
    <mergeCell ref="B49:C49"/>
    <mergeCell ref="B16:D16"/>
    <mergeCell ref="B83:I83"/>
    <mergeCell ref="B6:F6"/>
    <mergeCell ref="E16:F16"/>
    <mergeCell ref="B31:D31"/>
    <mergeCell ref="E7:F7"/>
    <mergeCell ref="B51:C51"/>
    <mergeCell ref="B33:F33"/>
    <mergeCell ref="B18:D18"/>
    <mergeCell ref="B50:C50"/>
    <mergeCell ref="B63:C63"/>
    <mergeCell ref="E18:F18"/>
    <mergeCell ref="B41:F41"/>
  </mergeCells>
  <printOptions horizontalCentered="1"/>
  <pageMargins left="0.4" right="0.4" top="0.5" bottom="0.5" header="0.511811023622047" footer="0.511811023622047"/>
  <pageSetup orientation="portrait" fitToHeight="0" horizontalDpi="300" verticalDpi="300"/>
</worksheet>
</file>

<file path=xl/worksheets/sheet21.xml><?xml version="1.0" encoding="utf-8"?>
<worksheet xmlns="http://schemas.openxmlformats.org/spreadsheetml/2006/main">
  <sheetPr>
    <outlinePr summaryBelow="1" summaryRight="1"/>
    <pageSetUpPr fitToPage="1"/>
  </sheetPr>
  <dimension ref="B1:G20"/>
  <sheetViews>
    <sheetView showGridLines="0" zoomScaleNormal="100" workbookViewId="0">
      <selection activeCell="D10" sqref="D10"/>
    </sheetView>
  </sheetViews>
  <sheetFormatPr baseColWidth="8" defaultColWidth="10.28515625" defaultRowHeight="12"/>
  <cols>
    <col width="2.28515625" customWidth="1" style="545" min="1" max="1"/>
    <col width="45.5703125" customWidth="1" style="545" min="2" max="2"/>
    <col width="22.85546875" customWidth="1" style="545" min="3" max="3"/>
    <col width="13.7109375" customWidth="1" style="545" min="4" max="4"/>
    <col width="22.85546875" customWidth="1" style="545" min="5" max="6"/>
    <col width="38.7109375" customWidth="1" style="545" min="7" max="7"/>
  </cols>
  <sheetData>
    <row r="1" ht="16.5" customHeight="1" s="545">
      <c r="B1" s="650" t="inlineStr">
        <is>
          <t>VALUE RECONCILIATION &amp; FINAL VALUE</t>
        </is>
      </c>
    </row>
    <row r="2" ht="39.75" customHeight="1" s="545">
      <c r="B2" s="548" t="inlineStr">
        <is>
          <t>Each approach conclusion links straight from its own tab - Cost Approach!G70 ($66,945,000 / $123.79 PSF), Basic Sales Comparison!C52 ($74,500,000 / $137.76 PSF) and Income Approach!D64 ($47,350,000 / $87.56 PSF). WEIGHTING: the Income Capitalization Approach carries the most weight (50%) because it is grounded in the subject's own actual, currently in-place NNN leases to three tenants and a well-supported 12-comparable market rent conclusion - the most reliable evidence for a stabilized, income-producing single-purpose industrial asset. The Cost Approach carries meaningful weight (30%): the subject is a modern (2018) building with only 6 years of effective age (so depreciation estimation is unusually reliable), and the replacement-cost inputs are transcribed directly from the Assessor's own MVS cost detail for this account; it runs higher than the Assessor's own cost figure chiefly because this analysis adds 10% entrepreneurial profit, standard for a fee-simple market-value cost approach but not carried in the Assessor's mass-appraisal CAMA calibration. The Sales Comparison Approach carries the least weight (20%): the 5 available improved sales are directionally supportive but span a wide $95.83-$169.14/SF unadjusted range from a mix of submarkets and vintages, and only 2 of the 5 (Sales D &amp; E, which alone average roughly $117/SF adjusted) share the subject's exact occupancy code and city. RESULT: the weighted conclusion of $58,660,000 ($108.47 PSF) is about 3% above the Assessor's assigned value of $56,941,733 ($105.29 PSF) and about 47% above the petitioner's (Becknell Industrial) requested $39,994,200 ($73.95 PSF) - even the lowest of the three approaches developed here (Income, at $47,350,000) exceeds the petitioner's requested value by 18%. Column F is an optional manual override that replaces the linked value.</t>
        </is>
      </c>
    </row>
    <row r="4" ht="12" customHeight="1" s="545">
      <c r="B4" s="3" t="inlineStr">
        <is>
          <t>Subject Address</t>
        </is>
      </c>
      <c r="C4" s="612">
        <f>Subj_Address</f>
        <v/>
      </c>
      <c r="D4" s="361" t="n"/>
      <c r="E4" s="361" t="n"/>
      <c r="F4" s="361" t="n"/>
      <c r="G4" s="361" t="n"/>
    </row>
    <row r="5" ht="12" customHeight="1" s="545">
      <c r="B5" s="3" t="inlineStr">
        <is>
          <t>Valuation Basis (auto)</t>
        </is>
      </c>
      <c r="C5" s="612">
        <f>Subj_Basis</f>
        <v/>
      </c>
      <c r="D5" s="361" t="n"/>
      <c r="E5" s="361" t="n"/>
      <c r="F5" s="361" t="n"/>
      <c r="G5" s="361" t="n"/>
    </row>
    <row r="6" ht="12" customHeight="1" s="545">
      <c r="B6" s="3" t="inlineStr">
        <is>
          <t>Total Building SF</t>
        </is>
      </c>
      <c r="C6" s="623">
        <f>Subj_TotalBldgSF</f>
        <v/>
      </c>
      <c r="D6" s="361" t="n"/>
      <c r="E6" s="361" t="n"/>
      <c r="F6" s="361" t="n"/>
      <c r="G6" s="361" t="n"/>
    </row>
    <row r="7" ht="12" customHeight="1" s="545">
      <c r="B7" s="3" t="inlineStr">
        <is>
          <t>Total Units / Keys</t>
        </is>
      </c>
      <c r="C7" s="627">
        <f>Subj_TotalUnits</f>
        <v/>
      </c>
      <c r="D7" s="361" t="n"/>
      <c r="E7" s="361" t="n"/>
      <c r="F7" s="361" t="n"/>
      <c r="G7" s="361" t="n"/>
    </row>
    <row r="9" ht="15" customHeight="1" s="545">
      <c r="B9" s="644" t="inlineStr">
        <is>
          <t>Approach</t>
        </is>
      </c>
      <c r="C9" s="645" t="inlineStr">
        <is>
          <t>Indicated Value</t>
        </is>
      </c>
      <c r="D9" s="360" t="inlineStr">
        <is>
          <t>Weight</t>
        </is>
      </c>
      <c r="E9" s="645" t="inlineStr">
        <is>
          <t>Weighted Value</t>
        </is>
      </c>
      <c r="F9" s="645" t="inlineStr">
        <is>
          <t>Override</t>
        </is>
      </c>
      <c r="G9" s="644" t="inlineStr">
        <is>
          <t>Links to</t>
        </is>
      </c>
    </row>
    <row r="10" ht="12" customHeight="1" s="545">
      <c r="B10" s="643" t="inlineStr">
        <is>
          <t>Cost Approach</t>
        </is>
      </c>
      <c r="C10" s="614">
        <f>IF(F10&lt;&gt;"",F10,IFERROR('Cost Approach'!$G$70,0))</f>
        <v/>
      </c>
      <c r="D10" s="531" t="n">
        <v>0.3</v>
      </c>
      <c r="E10" s="614">
        <f>N(C10)*N(D10)</f>
        <v/>
      </c>
      <c r="F10" s="630" t="n"/>
      <c r="G10" s="5" t="inlineStr">
        <is>
          <t>Cost Approach!G70</t>
        </is>
      </c>
    </row>
    <row r="11" ht="12" customHeight="1" s="545">
      <c r="B11" s="643" t="inlineStr">
        <is>
          <t>Sales Comparison Approach</t>
        </is>
      </c>
      <c r="C11" s="614">
        <f>IF(F11&lt;&gt;"",F11,IFERROR('Basic Sales Comparison'!$C$52,0))</f>
        <v/>
      </c>
      <c r="D11" s="531" t="n">
        <v>0.2</v>
      </c>
      <c r="E11" s="614">
        <f>N(C11)*N(D11)</f>
        <v/>
      </c>
      <c r="F11" s="630" t="n"/>
      <c r="G11" s="5" t="inlineStr">
        <is>
          <t>Basic Sales Comparison!C50</t>
        </is>
      </c>
    </row>
    <row r="12" ht="12" customHeight="1" s="545">
      <c r="B12" s="643" t="inlineStr">
        <is>
          <t>Income Capitalization Approach</t>
        </is>
      </c>
      <c r="C12" s="614">
        <f>IF(F12&lt;&gt;"",F12,IFERROR('Income Approach'!$D$64,0))</f>
        <v/>
      </c>
      <c r="D12" s="531" t="n">
        <v>0.5</v>
      </c>
      <c r="E12" s="614">
        <f>N(C12)*N(D12)</f>
        <v/>
      </c>
      <c r="F12" s="630" t="n"/>
      <c r="G12" s="5" t="inlineStr">
        <is>
          <t>Income Approach!D64</t>
        </is>
      </c>
    </row>
    <row r="13" ht="12" customHeight="1" s="545">
      <c r="B13" s="647" t="inlineStr">
        <is>
          <t>Total</t>
        </is>
      </c>
      <c r="C13" s="327" t="n"/>
      <c r="D13" s="373">
        <f>SUM(D10:D12)</f>
        <v/>
      </c>
      <c r="E13" s="617">
        <f>SUM(E10:E12)</f>
        <v/>
      </c>
      <c r="F13" s="327" t="n"/>
      <c r="G13" s="327" t="n"/>
    </row>
    <row r="15" ht="15" customHeight="1" s="545">
      <c r="B15" s="643" t="inlineStr">
        <is>
          <t>Weighted Indicated Value</t>
        </is>
      </c>
      <c r="C15" s="614">
        <f>IF(D13=0,0,E13/D13)</f>
        <v/>
      </c>
      <c r="D15" s="374" t="n"/>
      <c r="E15" s="374" t="n"/>
      <c r="F15" s="374" t="n"/>
      <c r="G15" s="374" t="n"/>
    </row>
    <row r="16" ht="15" customHeight="1" s="545">
      <c r="B16" s="643" t="inlineStr">
        <is>
          <t>Rounding Increment</t>
        </is>
      </c>
      <c r="C16" s="620" t="n">
        <v>10000</v>
      </c>
      <c r="D16" s="375" t="n"/>
      <c r="E16" s="375" t="n"/>
      <c r="F16" s="375" t="n"/>
      <c r="G16" s="375" t="n"/>
    </row>
    <row r="17" ht="15" customHeight="1" s="545">
      <c r="B17" s="239" t="inlineStr">
        <is>
          <t>CONCLUDED VALUE (rounded)</t>
        </is>
      </c>
      <c r="C17" s="617">
        <f>ROUND(C15/C16,0)*C16</f>
        <v/>
      </c>
      <c r="D17" s="327" t="n"/>
      <c r="E17" s="327" t="n"/>
      <c r="F17" s="327" t="n"/>
      <c r="G17" s="327" t="n"/>
    </row>
    <row r="18" ht="15" customHeight="1" s="545">
      <c r="B18" s="239" t="inlineStr">
        <is>
          <t xml:space="preserve">   per SF</t>
        </is>
      </c>
      <c r="C18" s="610">
        <f>IFERROR(C17/Subj_TotalBldgSF,"")</f>
        <v/>
      </c>
      <c r="D18" s="327" t="n"/>
      <c r="E18" s="327" t="n"/>
      <c r="F18" s="327" t="n"/>
      <c r="G18" s="327" t="n"/>
    </row>
    <row r="19" ht="15" customHeight="1" s="545">
      <c r="B19" s="239" t="inlineStr">
        <is>
          <t xml:space="preserve">   per Unit / Key</t>
        </is>
      </c>
      <c r="C19" s="615">
        <f>IF(Subj_Basis="Per SF","n/a (SF-based)",IFERROR(C17/Subj_TotalUnits,""))</f>
        <v/>
      </c>
      <c r="D19" s="327" t="n"/>
      <c r="E19" s="327" t="n"/>
      <c r="F19" s="327" t="n"/>
      <c r="G19" s="327" t="n"/>
    </row>
    <row r="20" ht="15" customHeight="1" s="545">
      <c r="B20" s="643" t="inlineStr">
        <is>
          <t>Approach Reliance</t>
        </is>
      </c>
      <c r="C20" s="225" t="inlineStr">
        <is>
          <t>Income Capitalization Approach, supported by the Cost Approach and the Sales Comparison Approach</t>
        </is>
      </c>
      <c r="D20" s="375" t="n"/>
      <c r="E20" s="375" t="n"/>
      <c r="F20" s="375" t="n"/>
      <c r="G20" s="376" t="inlineStr">
        <is>
          <t>Text used on the Value Indications table</t>
        </is>
      </c>
    </row>
  </sheetData>
  <mergeCells count="2">
    <mergeCell ref="B2:G2"/>
    <mergeCell ref="B1:G1"/>
  </mergeCells>
  <printOptions horizontalCentered="1"/>
  <pageMargins left="0.4" right="0.4" top="0.5" bottom="0.5" header="0.511811023622047" footer="0.511811023622047"/>
  <pageSetup orientation="portrait" fitToHeight="0" horizontalDpi="300" verticalDpi="300"/>
</worksheet>
</file>

<file path=xl/worksheets/sheet22.xml><?xml version="1.0" encoding="utf-8"?>
<worksheet xmlns="http://schemas.openxmlformats.org/spreadsheetml/2006/main">
  <sheetPr>
    <outlinePr summaryBelow="1" summaryRight="1"/>
    <pageSetUpPr/>
  </sheetPr>
  <dimension ref="A1:F19"/>
  <sheetViews>
    <sheetView workbookViewId="0">
      <selection activeCell="F21" sqref="F21"/>
    </sheetView>
  </sheetViews>
  <sheetFormatPr baseColWidth="8" defaultRowHeight="12"/>
  <cols>
    <col width="5.85546875" customWidth="1" style="545" min="1" max="1"/>
    <col width="21.28515625" customWidth="1" style="545" min="2" max="2"/>
    <col width="15.7109375" customWidth="1" style="545" min="3" max="3"/>
    <col width="14.7109375" customWidth="1" style="545" min="4" max="4"/>
  </cols>
  <sheetData>
    <row r="1" ht="15" customHeight="1" s="545">
      <c r="A1" s="532" t="inlineStr">
        <is>
          <t>This scratch tab is not used by the R0194277 analysis (no live formulas reference it). Left blank.</t>
        </is>
      </c>
      <c r="B1" s="532" t="n"/>
      <c r="C1" s="532" t="n"/>
      <c r="D1" s="532" t="n"/>
      <c r="E1" s="535" t="n"/>
    </row>
    <row r="2">
      <c r="C2" s="534" t="n"/>
      <c r="D2" s="534" t="n"/>
      <c r="E2" s="533" t="n"/>
    </row>
    <row r="3">
      <c r="C3" s="534" t="n"/>
      <c r="D3" s="534" t="n"/>
      <c r="E3" s="533" t="n"/>
    </row>
    <row r="4">
      <c r="C4" s="534" t="n"/>
      <c r="D4" s="534" t="n"/>
      <c r="E4" s="533" t="n"/>
    </row>
    <row r="5">
      <c r="C5" s="534" t="n"/>
      <c r="D5" s="534" t="n"/>
      <c r="E5" s="533" t="n"/>
    </row>
    <row r="6">
      <c r="C6" s="534" t="n"/>
      <c r="D6" s="534" t="n"/>
      <c r="E6" s="533" t="n"/>
    </row>
    <row r="7">
      <c r="C7" s="534" t="n"/>
      <c r="D7" s="534" t="n"/>
      <c r="E7" s="533" t="n"/>
    </row>
    <row r="8">
      <c r="C8" s="534" t="n"/>
      <c r="D8" s="534" t="n"/>
      <c r="E8" s="533" t="n"/>
    </row>
    <row r="9">
      <c r="C9" s="534" t="n"/>
      <c r="D9" s="534" t="n"/>
      <c r="E9" s="533" t="n"/>
    </row>
    <row r="10">
      <c r="A10" s="536" t="n"/>
      <c r="B10" s="536" t="n"/>
      <c r="C10" s="537" t="n"/>
      <c r="D10" s="537" t="n"/>
      <c r="E10" s="538" t="n"/>
      <c r="F10" s="539" t="n"/>
    </row>
    <row r="11">
      <c r="C11" s="534" t="n"/>
      <c r="D11" s="534" t="n"/>
      <c r="E11" s="533" t="n"/>
    </row>
    <row r="12">
      <c r="A12" s="536" t="n"/>
      <c r="B12" s="536" t="n"/>
      <c r="C12" s="537" t="n"/>
      <c r="D12" s="537" t="n"/>
      <c r="E12" s="538" t="n"/>
    </row>
    <row r="13">
      <c r="C13" s="534" t="n"/>
      <c r="D13" s="534" t="n"/>
      <c r="E13" s="533" t="n"/>
    </row>
    <row r="14">
      <c r="C14" s="534" t="n"/>
      <c r="D14" s="534" t="n"/>
      <c r="E14" s="533" t="n"/>
    </row>
    <row r="15">
      <c r="C15" s="534" t="n"/>
      <c r="D15" s="534" t="n"/>
      <c r="E15" s="533" t="n"/>
    </row>
    <row r="16">
      <c r="C16" s="534" t="n"/>
      <c r="D16" s="534" t="n"/>
      <c r="E16" s="533" t="n"/>
    </row>
    <row r="17">
      <c r="C17" s="534" t="n"/>
      <c r="D17" s="534" t="n"/>
      <c r="E17" s="533" t="n"/>
    </row>
    <row r="18">
      <c r="C18" s="534" t="n"/>
      <c r="D18" s="534" t="n"/>
      <c r="E18" s="533" t="n"/>
    </row>
    <row r="19">
      <c r="C19" s="534" t="n"/>
      <c r="D19" s="534" t="n"/>
      <c r="E19" s="533" t="n"/>
    </row>
  </sheetData>
  <pageMargins left="0.7" right="0.7" top="0.75" bottom="0.75" header="0.3" footer="0.3"/>
</worksheet>
</file>

<file path=xl/worksheets/sheet23.xml><?xml version="1.0" encoding="utf-8"?>
<worksheet xmlns="http://schemas.openxmlformats.org/spreadsheetml/2006/main">
  <sheetPr>
    <tabColor rgb="FF0E7490"/>
    <outlinePr summaryBelow="1" summaryRight="1"/>
    <pageSetUpPr fitToPage="1"/>
  </sheetPr>
  <dimension ref="A1:AK941"/>
  <sheetViews>
    <sheetView zoomScale="125" zoomScaleNormal="125" workbookViewId="0">
      <pane ySplit="1" topLeftCell="A2" activePane="bottomLeft" state="frozen"/>
      <selection pane="bottomLeft" activeCell="A2" sqref="A2"/>
    </sheetView>
  </sheetViews>
  <sheetFormatPr baseColWidth="8" defaultColWidth="0" defaultRowHeight="12.75"/>
  <cols>
    <col width="6.85546875" customWidth="1" style="605" min="1" max="2"/>
    <col width="11.42578125" customWidth="1" style="605" min="3" max="3"/>
    <col width="34.140625" customWidth="1" style="605" min="4" max="4"/>
    <col width="8" customWidth="1" style="605" min="5" max="5"/>
    <col width="19.42578125" customWidth="1" style="605" min="6" max="6"/>
    <col width="6.85546875" customWidth="1" style="605" min="7" max="7"/>
    <col width="17.85546875" customWidth="1" style="377" min="8" max="8"/>
    <col width="24" customWidth="1" style="605" min="9" max="9"/>
    <col width="12.5703125" customWidth="1" style="605" min="10" max="10"/>
    <col width="11.140625" customWidth="1" style="605" min="11" max="11"/>
    <col width="12.85546875" customWidth="1" style="605" min="12" max="12"/>
    <col width="8" customWidth="1" style="605" min="13" max="13"/>
    <col width="9.42578125" customWidth="1" style="605" min="14" max="14"/>
    <col width="10.28515625" customWidth="1" style="378" min="15" max="15"/>
    <col width="29.5703125" customWidth="1" style="605" min="16" max="16"/>
    <col width="6.42578125" customWidth="1" style="378" min="17" max="17"/>
    <col width="12.5703125" customWidth="1" style="152" min="18" max="18"/>
    <col width="12.85546875" customWidth="1" style="605" min="19" max="19"/>
    <col width="13.28515625" customWidth="1" style="605" min="20" max="20"/>
    <col width="12.5703125" customWidth="1" style="605" min="21" max="21"/>
    <col width="10" customWidth="1" style="605" min="22" max="22"/>
    <col width="8" customWidth="1" style="605" min="23" max="23"/>
    <col width="15" customWidth="1" style="605" min="24" max="24"/>
    <col width="15.140625" customWidth="1" style="605" min="25" max="25"/>
    <col width="13.7109375" customWidth="1" style="605" min="26" max="26"/>
    <col width="15.140625" customWidth="1" style="605" min="27" max="27"/>
    <col width="12.140625" customWidth="1" style="605" min="28" max="28"/>
    <col width="17.140625" customWidth="1" style="605" min="29" max="30"/>
    <col width="59.28515625" customWidth="1" style="605" min="31" max="32"/>
    <col width="11.5703125" customWidth="1" style="605" min="33" max="34"/>
    <col hidden="1" width="10.5703125" customWidth="1" style="605" min="35" max="35"/>
    <col hidden="1" width="14.85546875" customWidth="1" style="545" min="36" max="36"/>
    <col hidden="1" width="10.5703125" customWidth="1" style="605" min="37" max="39"/>
    <col hidden="1" width="10.5703125" customWidth="1" style="605" min="40" max="16384"/>
  </cols>
  <sheetData>
    <row r="1" ht="36" customHeight="1" s="545">
      <c r="A1" s="379" t="inlineStr">
        <is>
          <t>Pos</t>
        </is>
      </c>
      <c r="B1" s="379" t="inlineStr">
        <is>
          <t>Num</t>
        </is>
      </c>
      <c r="C1" s="379" t="inlineStr">
        <is>
          <t>Parcel</t>
        </is>
      </c>
      <c r="D1" s="379" t="inlineStr">
        <is>
          <t>Filtered
Address</t>
        </is>
      </c>
      <c r="E1" s="379" t="inlineStr">
        <is>
          <t>OCC</t>
        </is>
      </c>
      <c r="F1" s="379" t="inlineStr">
        <is>
          <t>CITY</t>
        </is>
      </c>
      <c r="G1" s="379" t="inlineStr">
        <is>
          <t>Loc</t>
        </is>
      </c>
      <c r="H1" s="380" t="inlineStr">
        <is>
          <t>FTS</t>
        </is>
      </c>
      <c r="I1" s="379" t="inlineStr">
        <is>
          <t>Date</t>
        </is>
      </c>
      <c r="J1" s="379" t="inlineStr">
        <is>
          <t>Above
Grade NRA</t>
        </is>
      </c>
      <c r="K1" s="379" t="inlineStr">
        <is>
          <t>Bsmt
NRA</t>
        </is>
      </c>
      <c r="L1" s="379" t="inlineStr">
        <is>
          <t>NRA</t>
        </is>
      </c>
      <c r="M1" s="379" t="inlineStr">
        <is>
          <t>YOC</t>
        </is>
      </c>
      <c r="N1" s="379" t="inlineStr">
        <is>
          <t># Units</t>
        </is>
      </c>
      <c r="O1" s="379" t="inlineStr">
        <is>
          <t># Bldgs</t>
        </is>
      </c>
      <c r="P1" s="379" t="inlineStr">
        <is>
          <t>Zone</t>
        </is>
      </c>
      <c r="Q1" s="379" t="inlineStr">
        <is>
          <t>Str</t>
        </is>
      </c>
      <c r="R1" s="379" t="inlineStr">
        <is>
          <t>Grd</t>
        </is>
      </c>
      <c r="S1" s="379" t="inlineStr">
        <is>
          <t>Land</t>
        </is>
      </c>
      <c r="T1" s="379" t="inlineStr">
        <is>
          <t>L:B RATIO</t>
        </is>
      </c>
      <c r="U1" s="379" t="inlineStr">
        <is>
          <t>PHY</t>
        </is>
      </c>
      <c r="V1" s="379" t="inlineStr">
        <is>
          <t>FUN</t>
        </is>
      </c>
      <c r="W1" s="379" t="inlineStr">
        <is>
          <t>PF</t>
        </is>
      </c>
      <c r="X1" s="379" t="inlineStr">
        <is>
          <t>Tie-Back</t>
        </is>
      </c>
      <c r="Y1" s="379" t="inlineStr">
        <is>
          <t>Amount</t>
        </is>
      </c>
      <c r="Z1" s="379" t="inlineStr">
        <is>
          <t>Deduct.</t>
        </is>
      </c>
      <c r="AA1" s="379" t="inlineStr">
        <is>
          <t>Amount</t>
        </is>
      </c>
      <c r="AB1" s="379" t="inlineStr">
        <is>
          <t>Remarks</t>
        </is>
      </c>
      <c r="AC1" s="379" t="inlineStr">
        <is>
          <t>Parcel Number</t>
        </is>
      </c>
      <c r="AD1" s="379" t="inlineStr">
        <is>
          <t>Reception #</t>
        </is>
      </c>
      <c r="AE1" s="381" t="inlineStr">
        <is>
          <t>Grantor</t>
        </is>
      </c>
      <c r="AF1" s="381" t="inlineStr">
        <is>
          <t>Grantee</t>
        </is>
      </c>
      <c r="AG1" s="379" t="inlineStr">
        <is>
          <t>Street</t>
        </is>
      </c>
      <c r="AH1" s="379" t="inlineStr">
        <is>
          <t>Street</t>
        </is>
      </c>
      <c r="AI1" s="382" t="inlineStr">
        <is>
          <t>Score (internal)</t>
        </is>
      </c>
      <c r="AJ1" t="inlineStr">
        <is>
          <t>TieBreak (internal)</t>
        </is>
      </c>
      <c r="AK1" s="605" t="inlineStr">
        <is>
          <t>Price / Unit-Key</t>
        </is>
      </c>
    </row>
    <row r="2" ht="15" customHeight="1" s="545">
      <c r="A2" s="383" t="n">
        <v>5</v>
      </c>
      <c r="N2" s="107" t="n"/>
      <c r="O2" s="107" t="n"/>
      <c r="AB2" s="384" t="n"/>
      <c r="AI2" s="605">
        <f>IF(AND($E2=Subj_OccCode,Subj_BldgSF&gt;0,ABS($L2-Subj_BldgSF)&lt;=Subj_BldgSF*Subj_SizeTol),ABS($L2-Subj_BldgSF),NA())</f>
        <v/>
      </c>
      <c r="AJ2">
        <f>IF(ISNA(AI2),NA(),AI2+ROW()/10000000)</f>
        <v/>
      </c>
      <c r="AK2" s="605">
        <f>IF(AND(ISNUMBER($N2),$N2&gt;0,ISNUMBER($Y2)),$Y2/$N2,"")</f>
        <v/>
      </c>
    </row>
    <row r="3" ht="15" customHeight="1" s="545">
      <c r="A3" s="383" t="n">
        <v>5</v>
      </c>
      <c r="AB3" s="384" t="n"/>
      <c r="AI3" s="605">
        <f>IF(AND($E3=Subj_OccCode,Subj_BldgSF&gt;0,ABS($L3-Subj_BldgSF)&lt;=Subj_BldgSF*Subj_SizeTol),ABS($L3-Subj_BldgSF),NA())</f>
        <v/>
      </c>
      <c r="AJ3">
        <f>IF(ISNA(AI3),NA(),AI3+ROW()/10000000)</f>
        <v/>
      </c>
      <c r="AK3" s="605">
        <f>IF(AND(ISNUMBER($N3),$N3&gt;0,ISNUMBER($Y3)),$Y3/$N3,"")</f>
        <v/>
      </c>
    </row>
    <row r="4" ht="15" customHeight="1" s="545">
      <c r="A4" s="383" t="n">
        <v>5</v>
      </c>
      <c r="AB4" s="384" t="n"/>
      <c r="AI4" s="605">
        <f>IF(AND($E4=Subj_OccCode,Subj_BldgSF&gt;0,ABS($L4-Subj_BldgSF)&lt;=Subj_BldgSF*Subj_SizeTol),ABS($L4-Subj_BldgSF),NA())</f>
        <v/>
      </c>
      <c r="AJ4">
        <f>IF(ISNA(AI4),NA(),AI4+ROW()/10000000)</f>
        <v/>
      </c>
      <c r="AK4" s="605">
        <f>IF(AND(ISNUMBER($N4),$N4&gt;0,ISNUMBER($Y4)),$Y4/$N4,"")</f>
        <v/>
      </c>
    </row>
    <row r="5" ht="15" customHeight="1" s="545">
      <c r="A5" s="383" t="n">
        <v>5</v>
      </c>
      <c r="AB5" s="384" t="n"/>
      <c r="AI5" s="605">
        <f>IF(AND($E5=Subj_OccCode,Subj_BldgSF&gt;0,ABS($L5-Subj_BldgSF)&lt;=Subj_BldgSF*Subj_SizeTol),ABS($L5-Subj_BldgSF),NA())</f>
        <v/>
      </c>
      <c r="AJ5">
        <f>IF(ISNA(AI5),NA(),AI5+ROW()/10000000)</f>
        <v/>
      </c>
      <c r="AK5" s="605">
        <f>IF(AND(ISNUMBER($N5),$N5&gt;0,ISNUMBER($Y5)),$Y5/$N5,"")</f>
        <v/>
      </c>
    </row>
    <row r="6" ht="15" customHeight="1" s="545">
      <c r="A6" s="385" t="n">
        <v>6</v>
      </c>
      <c r="B6" s="605" t="n">
        <v>427</v>
      </c>
      <c r="C6" s="605" t="inlineStr">
        <is>
          <t>R0042518</t>
        </is>
      </c>
      <c r="D6" s="605" t="inlineStr">
        <is>
          <t>1412 W 104TH AVE</t>
        </is>
      </c>
      <c r="E6" s="605" t="n">
        <v>353</v>
      </c>
      <c r="F6" s="605" t="inlineStr">
        <is>
          <t>NORTHGLENN</t>
        </is>
      </c>
      <c r="G6" s="605" t="inlineStr">
        <is>
          <t>4</t>
        </is>
      </c>
      <c r="H6" s="59">
        <f>Y6/J6</f>
        <v/>
      </c>
      <c r="I6" s="386" t="n">
        <v>43731</v>
      </c>
      <c r="J6" s="605" t="n">
        <v>34790</v>
      </c>
      <c r="L6" s="605" t="n">
        <v>34790</v>
      </c>
      <c r="M6" s="605" t="n">
        <v>1973</v>
      </c>
      <c r="P6" s="605" t="inlineStr">
        <is>
          <t>R-1-B-Nor</t>
        </is>
      </c>
      <c r="R6" s="152" t="inlineStr">
        <is>
          <t>Average</t>
        </is>
      </c>
      <c r="S6" s="605" t="n">
        <v>156485</v>
      </c>
      <c r="T6" s="387">
        <f>S6/J6</f>
        <v/>
      </c>
      <c r="U6" s="605" t="inlineStr">
        <is>
          <t>Average</t>
        </is>
      </c>
      <c r="Y6" s="605" t="n">
        <v>5600000</v>
      </c>
      <c r="AA6" s="605" t="n">
        <v>5600000</v>
      </c>
      <c r="AC6" s="605" t="inlineStr">
        <is>
          <t>0171916102001</t>
        </is>
      </c>
      <c r="AD6" s="605" t="inlineStr">
        <is>
          <t>2019000080555</t>
        </is>
      </c>
      <c r="AE6" s="653" t="inlineStr">
        <is>
          <t xml:space="preserve">MCCAIN PROPERTIES II LLC, C/O WHEELHOUSE COMMERCIAL MGMT </t>
        </is>
      </c>
      <c r="AF6" s="653" t="inlineStr">
        <is>
          <t>TRIUMPH HILLCREST PLAZA ACQUISTION LP</t>
        </is>
      </c>
      <c r="AI6" s="605">
        <f>IF(AND($E6=Subj_OccCode,Subj_BldgSF&gt;0,ABS($L6-Subj_BldgSF)&lt;=Subj_BldgSF*Subj_SizeTol),ABS($L6-Subj_BldgSF),NA())</f>
        <v/>
      </c>
      <c r="AJ6">
        <f>IF(ISNA(AI6),NA(),AI6+ROW()/10000000)</f>
        <v/>
      </c>
      <c r="AK6" s="605">
        <f>IF(AND(ISNUMBER($N6),$N6&gt;0,ISNUMBER($Y6)),$Y6/$N6,"")</f>
        <v/>
      </c>
    </row>
    <row r="7" ht="15" customHeight="1" s="545">
      <c r="A7" s="385" t="n">
        <v>6</v>
      </c>
      <c r="B7" s="605" t="n">
        <v>514</v>
      </c>
      <c r="C7" s="605" t="inlineStr">
        <is>
          <t>R0168917</t>
        </is>
      </c>
      <c r="D7" s="605" t="inlineStr">
        <is>
          <t>462 MALLEY DR</t>
        </is>
      </c>
      <c r="E7" s="605" t="n">
        <v>353</v>
      </c>
      <c r="F7" s="605" t="inlineStr">
        <is>
          <t>NORTHGLENN</t>
        </is>
      </c>
      <c r="G7" s="605" t="inlineStr">
        <is>
          <t>2</t>
        </is>
      </c>
      <c r="H7" s="59">
        <f>Y7/J7</f>
        <v/>
      </c>
      <c r="I7" s="386" t="n">
        <v>43374</v>
      </c>
      <c r="J7" s="605" t="n">
        <v>14700</v>
      </c>
      <c r="L7" s="605" t="n">
        <v>14700</v>
      </c>
      <c r="M7" s="605" t="n">
        <v>1978</v>
      </c>
      <c r="R7" s="152" t="inlineStr">
        <is>
          <t>Average</t>
        </is>
      </c>
      <c r="S7" s="605" t="n">
        <v>93313</v>
      </c>
      <c r="T7" s="387">
        <f>S7/J7</f>
        <v/>
      </c>
      <c r="U7" s="605" t="inlineStr">
        <is>
          <t>Average</t>
        </is>
      </c>
      <c r="Y7" s="605" t="n">
        <v>1955000</v>
      </c>
      <c r="AA7" s="605" t="n">
        <v>1955000</v>
      </c>
      <c r="AC7" s="605" t="inlineStr">
        <is>
          <t>0171903409022</t>
        </is>
      </c>
      <c r="AD7" s="605" t="inlineStr">
        <is>
          <t>2018000079617</t>
        </is>
      </c>
      <c r="AE7" s="653" t="inlineStr">
        <is>
          <t>NORTH GATE SHOPPING CENTER LL</t>
        </is>
      </c>
      <c r="AF7" s="653" t="inlineStr">
        <is>
          <t>TRECO NORTHGLENN INVESTMENT LLC</t>
        </is>
      </c>
      <c r="AI7" s="605">
        <f>IF(AND($E7=Subj_OccCode,Subj_BldgSF&gt;0,ABS($L7-Subj_BldgSF)&lt;=Subj_BldgSF*Subj_SizeTol),ABS($L7-Subj_BldgSF),NA())</f>
        <v/>
      </c>
      <c r="AJ7">
        <f>IF(ISNA(AI7),NA(),AI7+ROW()/10000000)</f>
        <v/>
      </c>
      <c r="AK7" s="605">
        <f>IF(AND(ISNUMBER($N7),$N7&gt;0,ISNUMBER($Y7)),$Y7/$N7,"")</f>
        <v/>
      </c>
    </row>
    <row r="8" ht="15" customHeight="1" s="545">
      <c r="A8" s="385" t="n">
        <v>6</v>
      </c>
      <c r="B8" s="605" t="n">
        <v>599</v>
      </c>
      <c r="C8" s="605" t="inlineStr">
        <is>
          <t>R0164562</t>
        </is>
      </c>
      <c r="D8" s="605" t="inlineStr">
        <is>
          <t>7310  FEDERAL BLVD</t>
        </is>
      </c>
      <c r="E8" s="605" t="n">
        <v>353</v>
      </c>
      <c r="F8" s="605" t="inlineStr">
        <is>
          <t>WESTMINSTER</t>
        </is>
      </c>
      <c r="G8" s="605" t="inlineStr">
        <is>
          <t>1</t>
        </is>
      </c>
      <c r="H8" s="59">
        <f>Y8/J8</f>
        <v/>
      </c>
      <c r="I8" s="386" t="n">
        <v>43354</v>
      </c>
      <c r="J8" s="605" t="n">
        <v>19206</v>
      </c>
      <c r="L8" s="605" t="n">
        <v>19206</v>
      </c>
      <c r="M8" s="605" t="n">
        <v>2005</v>
      </c>
      <c r="R8" s="152" t="inlineStr">
        <is>
          <t>Average</t>
        </is>
      </c>
      <c r="S8" s="605" t="n">
        <v>104650</v>
      </c>
      <c r="T8" s="387">
        <f>S8/J8</f>
        <v/>
      </c>
      <c r="U8" s="605" t="inlineStr">
        <is>
          <t>Average</t>
        </is>
      </c>
      <c r="Y8" s="605" t="n">
        <v>2800000</v>
      </c>
      <c r="AA8" s="605" t="n">
        <v>2800000</v>
      </c>
      <c r="AC8" s="605" t="inlineStr">
        <is>
          <t>0171932421001</t>
        </is>
      </c>
      <c r="AD8" s="605" t="inlineStr">
        <is>
          <t>2018000074031</t>
        </is>
      </c>
      <c r="AE8" s="653" t="inlineStr">
        <is>
          <t>LA CONTE J AND R REAL ESTATE, ADMINISTRATIVE TRUST</t>
        </is>
      </c>
      <c r="AF8" s="653" t="inlineStr">
        <is>
          <t>72ND AND FEDERAL LLC</t>
        </is>
      </c>
      <c r="AI8" s="605">
        <f>IF(AND($E8=Subj_OccCode,Subj_BldgSF&gt;0,ABS($L8-Subj_BldgSF)&lt;=Subj_BldgSF*Subj_SizeTol),ABS($L8-Subj_BldgSF),NA())</f>
        <v/>
      </c>
      <c r="AJ8">
        <f>IF(ISNA(AI8),NA(),AI8+ROW()/10000000)</f>
        <v/>
      </c>
      <c r="AK8" s="605">
        <f>IF(AND(ISNUMBER($N8),$N8&gt;0,ISNUMBER($Y8)),$Y8/$N8,"")</f>
        <v/>
      </c>
    </row>
    <row r="9" ht="15" customHeight="1" s="545">
      <c r="A9" s="388" t="n">
        <v>7</v>
      </c>
      <c r="B9" s="605" t="n">
        <v>1</v>
      </c>
      <c r="C9" s="605" t="inlineStr">
        <is>
          <t>R0025081</t>
        </is>
      </c>
      <c r="D9" s="605" t="inlineStr">
        <is>
          <t>395 W 120TH AVE</t>
        </is>
      </c>
      <c r="E9" s="605" t="n">
        <v>350</v>
      </c>
      <c r="F9" s="605" t="inlineStr">
        <is>
          <t>WESTMINSTER</t>
        </is>
      </c>
      <c r="G9" s="605" t="inlineStr">
        <is>
          <t>3</t>
        </is>
      </c>
      <c r="H9" s="59">
        <f>Y9/J9</f>
        <v/>
      </c>
      <c r="I9" s="389" t="n">
        <v>45219</v>
      </c>
      <c r="J9" s="605" t="n">
        <v>5306</v>
      </c>
      <c r="K9" s="59" t="n"/>
      <c r="L9" s="605" t="n">
        <v>5306</v>
      </c>
      <c r="M9" s="605" t="n">
        <v>1986</v>
      </c>
      <c r="P9" s="605" t="inlineStr">
        <is>
          <t>PUD-Wes</t>
        </is>
      </c>
      <c r="R9" s="152" t="inlineStr">
        <is>
          <t>Average</t>
        </is>
      </c>
      <c r="S9" s="605" t="n">
        <v>35348</v>
      </c>
      <c r="T9" s="390">
        <f>S9/L9</f>
        <v/>
      </c>
      <c r="U9" s="605" t="inlineStr">
        <is>
          <t>Average</t>
        </is>
      </c>
      <c r="V9" s="390" t="n"/>
      <c r="W9" s="390" t="n"/>
      <c r="X9" s="390" t="n"/>
      <c r="Y9" s="60" t="n">
        <v>1000000</v>
      </c>
      <c r="Z9" s="60" t="n"/>
      <c r="AA9" s="60" t="n">
        <v>1000000</v>
      </c>
      <c r="AB9" s="60" t="n"/>
      <c r="AC9" s="605" t="inlineStr">
        <is>
          <t>0157334310007</t>
        </is>
      </c>
      <c r="AD9" s="605" t="inlineStr">
        <is>
          <t>2023000059964</t>
        </is>
      </c>
      <c r="AE9" s="653" t="inlineStr">
        <is>
          <t>DENVER NORTHGLENN HOTELS LLC</t>
        </is>
      </c>
      <c r="AF9" s="653" t="inlineStr">
        <is>
          <t>ASHOORIGROUP PROPERTIES LLC</t>
        </is>
      </c>
      <c r="AI9" s="605">
        <f>IF(AND($E9=Subj_OccCode,Subj_BldgSF&gt;0,ABS($L9-Subj_BldgSF)&lt;=Subj_BldgSF*Subj_SizeTol),ABS($L9-Subj_BldgSF),NA())</f>
        <v/>
      </c>
      <c r="AJ9">
        <f>IF(ISNA(AI9),NA(),AI9+ROW()/10000000)</f>
        <v/>
      </c>
      <c r="AK9" s="605">
        <f>IF(AND(ISNUMBER($N9),$N9&gt;0,ISNUMBER($Y9)),$Y9/$N9,"")</f>
        <v/>
      </c>
    </row>
    <row r="10" ht="15" customHeight="1" s="545">
      <c r="A10" s="388" t="n">
        <v>7</v>
      </c>
      <c r="B10" s="605" t="n">
        <v>2</v>
      </c>
      <c r="C10" s="605" t="inlineStr">
        <is>
          <t>R0093007</t>
        </is>
      </c>
      <c r="D10" s="605" t="inlineStr">
        <is>
          <t>3788 WHEELING ST</t>
        </is>
      </c>
      <c r="E10" s="605" t="n">
        <v>334</v>
      </c>
      <c r="F10" s="605" t="inlineStr">
        <is>
          <t>AURORA</t>
        </is>
      </c>
      <c r="G10" s="605" t="inlineStr">
        <is>
          <t>6</t>
        </is>
      </c>
      <c r="H10" s="59">
        <f>Y10/J10</f>
        <v/>
      </c>
      <c r="I10" s="389" t="n">
        <v>44875</v>
      </c>
      <c r="J10" s="605" t="n">
        <v>16524</v>
      </c>
      <c r="K10" s="59" t="n"/>
      <c r="L10" s="605" t="n">
        <v>16524</v>
      </c>
      <c r="M10" s="605" t="n">
        <v>1978</v>
      </c>
      <c r="P10" s="605" t="inlineStr">
        <is>
          <t>M-3</t>
        </is>
      </c>
      <c r="R10" s="152" t="inlineStr">
        <is>
          <t>Good</t>
        </is>
      </c>
      <c r="S10" s="605" t="n">
        <v>93218</v>
      </c>
      <c r="T10" s="390">
        <f>S10/L10</f>
        <v/>
      </c>
      <c r="U10" s="605" t="inlineStr">
        <is>
          <t>Good</t>
        </is>
      </c>
      <c r="V10" s="390" t="n"/>
      <c r="W10" s="390" t="n"/>
      <c r="X10" s="390" t="n"/>
      <c r="Y10" s="60" t="n">
        <v>3479000</v>
      </c>
      <c r="Z10" s="60" t="n"/>
      <c r="AA10" s="60" t="n">
        <v>3479000</v>
      </c>
      <c r="AB10" s="60" t="n"/>
      <c r="AC10" s="605" t="inlineStr">
        <is>
          <t>0182325114006</t>
        </is>
      </c>
      <c r="AD10" s="605" t="inlineStr">
        <is>
          <t>2022000090697</t>
        </is>
      </c>
      <c r="AE10" s="653" t="inlineStr">
        <is>
          <t>JACOBSON RICHARD LESLIE</t>
        </is>
      </c>
      <c r="AF10" s="653" t="inlineStr">
        <is>
          <t>WHEELING HOLDINGS LLC</t>
        </is>
      </c>
      <c r="AI10" s="605">
        <f>IF(AND($E10=Subj_OccCode,Subj_BldgSF&gt;0,ABS($L10-Subj_BldgSF)&lt;=Subj_BldgSF*Subj_SizeTol),ABS($L10-Subj_BldgSF),NA())</f>
        <v/>
      </c>
      <c r="AJ10">
        <f>IF(ISNA(AI10),NA(),AI10+ROW()/10000000)</f>
        <v/>
      </c>
      <c r="AK10" s="605">
        <f>IF(AND(ISNUMBER($N10),$N10&gt;0,ISNUMBER($Y10)),$Y10/$N10,"")</f>
        <v/>
      </c>
    </row>
    <row r="11" ht="15" customHeight="1" s="545">
      <c r="A11" s="388" t="n">
        <v>7</v>
      </c>
      <c r="B11" s="605" t="n">
        <v>3</v>
      </c>
      <c r="C11" s="605" t="inlineStr">
        <is>
          <t>R0093893</t>
        </is>
      </c>
      <c r="D11" s="605" t="inlineStr">
        <is>
          <t>3202 NOME ST</t>
        </is>
      </c>
      <c r="E11" s="605" t="n">
        <v>407</v>
      </c>
      <c r="F11" s="605" t="inlineStr">
        <is>
          <t>AURORA</t>
        </is>
      </c>
      <c r="G11" s="605" t="inlineStr">
        <is>
          <t>6</t>
        </is>
      </c>
      <c r="H11" s="59">
        <f>Y11/J11</f>
        <v/>
      </c>
      <c r="I11" s="389" t="n">
        <v>45275</v>
      </c>
      <c r="J11" s="605" t="n">
        <v>9600</v>
      </c>
      <c r="K11" s="59" t="n"/>
      <c r="L11" s="605" t="n">
        <v>9600</v>
      </c>
      <c r="M11" s="605" t="n">
        <v>1972</v>
      </c>
      <c r="P11" s="605" t="inlineStr">
        <is>
          <t>M-3</t>
        </is>
      </c>
      <c r="R11" s="152" t="inlineStr">
        <is>
          <t>Average</t>
        </is>
      </c>
      <c r="S11" s="605" t="n">
        <v>22687</v>
      </c>
      <c r="T11" s="390">
        <f>S11/L11</f>
        <v/>
      </c>
      <c r="U11" s="605" t="inlineStr">
        <is>
          <t>Average</t>
        </is>
      </c>
      <c r="V11" s="390" t="n"/>
      <c r="W11" s="390" t="n"/>
      <c r="X11" s="390" t="n"/>
      <c r="Y11" s="60" t="n">
        <v>1700000</v>
      </c>
      <c r="Z11" s="60" t="n"/>
      <c r="AA11" s="60" t="n">
        <v>1700000</v>
      </c>
      <c r="AB11" s="60" t="n"/>
      <c r="AC11" s="605" t="inlineStr">
        <is>
          <t>0182326102004</t>
        </is>
      </c>
      <c r="AD11" s="605" t="inlineStr">
        <is>
          <t>2023000069965</t>
        </is>
      </c>
      <c r="AE11" s="653" t="inlineStr">
        <is>
          <t xml:space="preserve">MEEKS GARY I AND , MEEKS PAULA K </t>
        </is>
      </c>
      <c r="AF11" s="653" t="inlineStr">
        <is>
          <t>REP HOLDINGS LLC</t>
        </is>
      </c>
      <c r="AI11" s="605">
        <f>IF(AND($E11=Subj_OccCode,Subj_BldgSF&gt;0,ABS($L11-Subj_BldgSF)&lt;=Subj_BldgSF*Subj_SizeTol),ABS($L11-Subj_BldgSF),NA())</f>
        <v/>
      </c>
      <c r="AJ11">
        <f>IF(ISNA(AI11),NA(),AI11+ROW()/10000000)</f>
        <v/>
      </c>
      <c r="AK11" s="605">
        <f>IF(AND(ISNUMBER($N11),$N11&gt;0,ISNUMBER($Y11)),$Y11/$N11,"")</f>
        <v/>
      </c>
    </row>
    <row r="12" ht="15" customHeight="1" s="545">
      <c r="A12" s="388" t="n">
        <v>7</v>
      </c>
      <c r="B12" s="605" t="n">
        <v>4</v>
      </c>
      <c r="C12" s="605" t="inlineStr">
        <is>
          <t>R0113646</t>
        </is>
      </c>
      <c r="D12" s="605" t="inlineStr">
        <is>
          <t>8971 YATES ST</t>
        </is>
      </c>
      <c r="E12" s="605" t="n">
        <v>350</v>
      </c>
      <c r="F12" s="605" t="inlineStr">
        <is>
          <t>WESTMINSTER</t>
        </is>
      </c>
      <c r="G12" s="605" t="inlineStr">
        <is>
          <t>4</t>
        </is>
      </c>
      <c r="H12" s="59">
        <f>Y12/J12</f>
        <v/>
      </c>
      <c r="I12" s="389" t="n">
        <v>45331</v>
      </c>
      <c r="J12" s="605" t="n">
        <v>9768</v>
      </c>
      <c r="K12" s="59" t="n"/>
      <c r="L12" s="605" t="n">
        <v>9768</v>
      </c>
      <c r="M12" s="605" t="n">
        <v>1999</v>
      </c>
      <c r="P12" s="605" t="inlineStr">
        <is>
          <t>PUD-Wes</t>
        </is>
      </c>
      <c r="R12" s="152" t="inlineStr">
        <is>
          <t>Good</t>
        </is>
      </c>
      <c r="S12" s="605" t="n">
        <v>68877.07030000001</v>
      </c>
      <c r="T12" s="390">
        <f>S12/L12</f>
        <v/>
      </c>
      <c r="U12" s="605" t="inlineStr">
        <is>
          <t>Good</t>
        </is>
      </c>
      <c r="V12" s="390" t="n"/>
      <c r="W12" s="390" t="n"/>
      <c r="X12" s="390" t="n"/>
      <c r="Y12" s="60" t="n">
        <v>2000000</v>
      </c>
      <c r="Z12" s="60" t="n"/>
      <c r="AA12" s="60" t="n">
        <v>2000000</v>
      </c>
      <c r="AB12" s="60" t="n"/>
      <c r="AC12" s="605" t="inlineStr">
        <is>
          <t>0171919324002</t>
        </is>
      </c>
      <c r="AD12" s="605" t="inlineStr">
        <is>
          <t>2024000007838</t>
        </is>
      </c>
      <c r="AE12" s="653" t="inlineStr">
        <is>
          <t>SHIH PROPERTIES INCORPORATED</t>
        </is>
      </c>
      <c r="AF12" s="653" t="inlineStr">
        <is>
          <t>BHATTARAI DOL PRASAD</t>
        </is>
      </c>
      <c r="AI12" s="605">
        <f>IF(AND($E12=Subj_OccCode,Subj_BldgSF&gt;0,ABS($L12-Subj_BldgSF)&lt;=Subj_BldgSF*Subj_SizeTol),ABS($L12-Subj_BldgSF),NA())</f>
        <v/>
      </c>
      <c r="AJ12">
        <f>IF(ISNA(AI12),NA(),AI12+ROW()/10000000)</f>
        <v/>
      </c>
      <c r="AK12" s="605">
        <f>IF(AND(ISNUMBER($N12),$N12&gt;0,ISNUMBER($Y12)),$Y12/$N12,"")</f>
        <v/>
      </c>
    </row>
    <row r="13" ht="15" customHeight="1" s="545">
      <c r="A13" s="388" t="n">
        <v>7</v>
      </c>
      <c r="B13" s="605" t="n">
        <v>5</v>
      </c>
      <c r="C13" s="605" t="inlineStr">
        <is>
          <t>R0169173</t>
        </is>
      </c>
      <c r="D13" s="605" t="inlineStr">
        <is>
          <t>2751 W 120TH AVE</t>
        </is>
      </c>
      <c r="E13" s="605" t="n">
        <v>353</v>
      </c>
      <c r="F13" s="605" t="inlineStr">
        <is>
          <t>WESTMINSTER</t>
        </is>
      </c>
      <c r="G13" s="605" t="inlineStr">
        <is>
          <t>3</t>
        </is>
      </c>
      <c r="H13" s="59">
        <f>Y13/J13</f>
        <v/>
      </c>
      <c r="I13" s="389" t="n">
        <v>45258</v>
      </c>
      <c r="J13" s="605" t="n">
        <v>6306</v>
      </c>
      <c r="K13" s="59" t="n"/>
      <c r="L13" s="605" t="n">
        <v>6306</v>
      </c>
      <c r="M13" s="605" t="n">
        <v>2006</v>
      </c>
      <c r="P13" s="605" t="inlineStr">
        <is>
          <t>PUD-Wes</t>
        </is>
      </c>
      <c r="R13" s="152" t="inlineStr">
        <is>
          <t>Good</t>
        </is>
      </c>
      <c r="S13" s="605" t="n">
        <v>40087</v>
      </c>
      <c r="T13" s="390">
        <f>S13/L13</f>
        <v/>
      </c>
      <c r="U13" s="605" t="inlineStr">
        <is>
          <t>Good</t>
        </is>
      </c>
      <c r="V13" s="390" t="n"/>
      <c r="W13" s="390" t="n"/>
      <c r="X13" s="390" t="n"/>
      <c r="Y13" s="60" t="n">
        <v>1600000</v>
      </c>
      <c r="Z13" s="60" t="n"/>
      <c r="AA13" s="60" t="n">
        <v>1500000</v>
      </c>
      <c r="AB13" s="60" t="n"/>
      <c r="AC13" s="605" t="inlineStr">
        <is>
          <t>0157332401012</t>
        </is>
      </c>
      <c r="AD13" s="605" t="inlineStr">
        <is>
          <t>2023000065924</t>
        </is>
      </c>
      <c r="AE13" s="653" t="inlineStr">
        <is>
          <t>R &amp; R PROPERTIES LLC</t>
        </is>
      </c>
      <c r="AF13" s="653" t="inlineStr">
        <is>
          <t>WELBY CENTER LLC</t>
        </is>
      </c>
      <c r="AI13" s="605">
        <f>IF(AND($E13=Subj_OccCode,Subj_BldgSF&gt;0,ABS($L13-Subj_BldgSF)&lt;=Subj_BldgSF*Subj_SizeTol),ABS($L13-Subj_BldgSF),NA())</f>
        <v/>
      </c>
      <c r="AJ13">
        <f>IF(ISNA(AI13),NA(),AI13+ROW()/10000000)</f>
        <v/>
      </c>
      <c r="AK13" s="605">
        <f>IF(AND(ISNUMBER($N13),$N13&gt;0,ISNUMBER($Y13)),$Y13/$N13,"")</f>
        <v/>
      </c>
    </row>
    <row r="14" ht="15" customHeight="1" s="545">
      <c r="A14" s="388" t="n">
        <v>7</v>
      </c>
      <c r="B14" s="605" t="n">
        <v>6</v>
      </c>
      <c r="C14" s="605" t="inlineStr">
        <is>
          <t>R0176529</t>
        </is>
      </c>
      <c r="D14" s="605" t="inlineStr">
        <is>
          <t>2761 W 120TH AVE</t>
        </is>
      </c>
      <c r="E14" s="605" t="n">
        <v>1344</v>
      </c>
      <c r="F14" s="605" t="inlineStr">
        <is>
          <t>WESTMINSTER</t>
        </is>
      </c>
      <c r="G14" s="605" t="inlineStr">
        <is>
          <t>3</t>
        </is>
      </c>
      <c r="H14" s="59">
        <f>Y14/J14</f>
        <v/>
      </c>
      <c r="I14" s="389" t="n">
        <v>44970</v>
      </c>
      <c r="J14" s="605" t="n">
        <v>19714</v>
      </c>
      <c r="K14" s="59" t="n"/>
      <c r="L14" s="605" t="n">
        <v>19714</v>
      </c>
      <c r="M14" s="605" t="n">
        <v>2006</v>
      </c>
      <c r="P14" s="605" t="inlineStr">
        <is>
          <t>PUD-Wes</t>
        </is>
      </c>
      <c r="R14" s="152" t="inlineStr">
        <is>
          <t>Average</t>
        </is>
      </c>
      <c r="S14" s="605" t="n">
        <v>5486</v>
      </c>
      <c r="T14" s="390">
        <f>S14/L14</f>
        <v/>
      </c>
      <c r="U14" s="605" t="inlineStr">
        <is>
          <t>Average</t>
        </is>
      </c>
      <c r="V14" s="390" t="n"/>
      <c r="W14" s="390" t="n"/>
      <c r="X14" s="390" t="n"/>
      <c r="Y14" s="60" t="n">
        <v>450000</v>
      </c>
      <c r="Z14" s="60" t="n"/>
      <c r="AA14" s="60" t="n">
        <v>450000</v>
      </c>
      <c r="AB14" s="60" t="n"/>
      <c r="AC14" s="605" t="inlineStr">
        <is>
          <t>0157332401021</t>
        </is>
      </c>
      <c r="AD14" s="605" t="inlineStr">
        <is>
          <t>2023000008038</t>
        </is>
      </c>
      <c r="AE14" s="653" t="inlineStr">
        <is>
          <t>CHIROPRACTIC OF NORTH DENVER PC</t>
        </is>
      </c>
      <c r="AF14" s="653" t="inlineStr">
        <is>
          <t>HARTIGAN PROPERTIES LLC</t>
        </is>
      </c>
      <c r="AI14" s="605">
        <f>IF(AND($E14=Subj_OccCode,Subj_BldgSF&gt;0,ABS($L14-Subj_BldgSF)&lt;=Subj_BldgSF*Subj_SizeTol),ABS($L14-Subj_BldgSF),NA())</f>
        <v/>
      </c>
      <c r="AJ14">
        <f>IF(ISNA(AI14),NA(),AI14+ROW()/10000000)</f>
        <v/>
      </c>
      <c r="AK14" s="605">
        <f>IF(AND(ISNUMBER($N14),$N14&gt;0,ISNUMBER($Y14)),$Y14/$N14,"")</f>
        <v/>
      </c>
    </row>
    <row r="15" ht="15" customHeight="1" s="545">
      <c r="A15" s="388" t="n">
        <v>7</v>
      </c>
      <c r="B15" s="605" t="n">
        <v>7</v>
      </c>
      <c r="C15" s="605" t="inlineStr">
        <is>
          <t>R0188147</t>
        </is>
      </c>
      <c r="D15" s="605" t="inlineStr">
        <is>
          <t>2741 W 120TH AVE</t>
        </is>
      </c>
      <c r="E15" s="605" t="n">
        <v>353</v>
      </c>
      <c r="F15" s="605" t="inlineStr">
        <is>
          <t>WESTMINSTER</t>
        </is>
      </c>
      <c r="G15" s="605" t="inlineStr">
        <is>
          <t>3</t>
        </is>
      </c>
      <c r="H15" s="59">
        <f>Y15/J15</f>
        <v/>
      </c>
      <c r="I15" s="389" t="n">
        <v>44748</v>
      </c>
      <c r="J15" s="605" t="n">
        <v>6164</v>
      </c>
      <c r="K15" s="59" t="n"/>
      <c r="L15" s="605" t="n">
        <v>6164</v>
      </c>
      <c r="M15" s="605" t="n">
        <v>2017</v>
      </c>
      <c r="P15" s="605" t="inlineStr">
        <is>
          <t>PUD-Wes</t>
        </is>
      </c>
      <c r="R15" s="152" t="inlineStr">
        <is>
          <t>Average</t>
        </is>
      </c>
      <c r="S15" s="605" t="n">
        <v>34853</v>
      </c>
      <c r="T15" s="390">
        <f>S15/L15</f>
        <v/>
      </c>
      <c r="U15" s="605" t="inlineStr">
        <is>
          <t>Average</t>
        </is>
      </c>
      <c r="V15" s="390" t="n"/>
      <c r="W15" s="390" t="n"/>
      <c r="X15" s="390" t="n"/>
      <c r="Y15" s="60" t="n">
        <v>2490000</v>
      </c>
      <c r="Z15" s="60" t="n"/>
      <c r="AA15" s="60" t="n">
        <v>2490000</v>
      </c>
      <c r="AB15" s="60" t="n"/>
      <c r="AC15" s="605" t="inlineStr">
        <is>
          <t>0157332401027</t>
        </is>
      </c>
      <c r="AD15" s="605" t="inlineStr">
        <is>
          <t>2022000058894</t>
        </is>
      </c>
      <c r="AE15" s="653" t="inlineStr">
        <is>
          <t>COUNTRY CLUB VILLAGE TWO LLC</t>
        </is>
      </c>
      <c r="AF15" s="653" t="inlineStr">
        <is>
          <t>CTJ LEASING LLC</t>
        </is>
      </c>
      <c r="AI15" s="605">
        <f>IF(AND($E15=Subj_OccCode,Subj_BldgSF&gt;0,ABS($L15-Subj_BldgSF)&lt;=Subj_BldgSF*Subj_SizeTol),ABS($L15-Subj_BldgSF),NA())</f>
        <v/>
      </c>
      <c r="AJ15">
        <f>IF(ISNA(AI15),NA(),AI15+ROW()/10000000)</f>
        <v/>
      </c>
      <c r="AK15" s="605">
        <f>IF(AND(ISNUMBER($N15),$N15&gt;0,ISNUMBER($Y15)),$Y15/$N15,"")</f>
        <v/>
      </c>
    </row>
    <row r="16" ht="15" customHeight="1" s="545">
      <c r="A16" s="388" t="n">
        <v>7</v>
      </c>
      <c r="B16" s="605" t="n">
        <v>8</v>
      </c>
      <c r="C16" s="605" t="inlineStr">
        <is>
          <t>R0025151</t>
        </is>
      </c>
      <c r="D16" s="605" t="inlineStr">
        <is>
          <t>12055 MELODY DR</t>
        </is>
      </c>
      <c r="E16" s="605" t="n">
        <v>1332</v>
      </c>
      <c r="F16" s="605" t="inlineStr">
        <is>
          <t>WESTMINSTER</t>
        </is>
      </c>
      <c r="G16" s="605" t="inlineStr">
        <is>
          <t>3</t>
        </is>
      </c>
      <c r="H16" s="59">
        <f>Y16/J16</f>
        <v/>
      </c>
      <c r="I16" s="389" t="n">
        <v>45398</v>
      </c>
      <c r="J16" s="605" t="n">
        <v>116</v>
      </c>
      <c r="K16" s="59" t="n"/>
      <c r="L16" s="605" t="n">
        <v>116</v>
      </c>
      <c r="M16" s="605" t="n">
        <v>1985</v>
      </c>
      <c r="P16" s="605" t="inlineStr">
        <is>
          <t>PUD-Wes</t>
        </is>
      </c>
      <c r="R16" s="152" t="inlineStr">
        <is>
          <t>Good</t>
        </is>
      </c>
      <c r="S16" s="605" t="n">
        <v>92400</v>
      </c>
      <c r="T16" s="390">
        <f>S16/L16</f>
        <v/>
      </c>
      <c r="U16" s="605" t="inlineStr">
        <is>
          <t>Good</t>
        </is>
      </c>
      <c r="V16" s="390" t="n"/>
      <c r="W16" s="390" t="n"/>
      <c r="X16" s="390" t="n"/>
      <c r="Y16" s="60" t="n">
        <v>7785000</v>
      </c>
      <c r="Z16" s="60" t="n"/>
      <c r="AA16" s="60" t="n">
        <v>7785000</v>
      </c>
      <c r="AB16" s="60" t="n"/>
      <c r="AC16" s="605" t="inlineStr">
        <is>
          <t>0157334313002</t>
        </is>
      </c>
      <c r="AD16" s="605" t="inlineStr">
        <is>
          <t>2024000020298</t>
        </is>
      </c>
      <c r="AE16" s="653" t="inlineStr">
        <is>
          <t>CHANG AND IM INCORPORATED</t>
        </is>
      </c>
      <c r="AF16" s="653" t="inlineStr">
        <is>
          <t>MELODY DRIVE INVESTMENT LLC</t>
        </is>
      </c>
      <c r="AI16" s="605">
        <f>IF(AND($E16=Subj_OccCode,Subj_BldgSF&gt;0,ABS($L16-Subj_BldgSF)&lt;=Subj_BldgSF*Subj_SizeTol),ABS($L16-Subj_BldgSF),NA())</f>
        <v/>
      </c>
      <c r="AJ16">
        <f>IF(ISNA(AI16),NA(),AI16+ROW()/10000000)</f>
        <v/>
      </c>
      <c r="AK16" s="605">
        <f>IF(AND(ISNUMBER($N16),$N16&gt;0,ISNUMBER($Y16)),$Y16/$N16,"")</f>
        <v/>
      </c>
    </row>
    <row r="17" ht="15" customHeight="1" s="545">
      <c r="A17" s="388" t="n">
        <v>7</v>
      </c>
      <c r="B17" s="605" t="n">
        <v>9</v>
      </c>
      <c r="C17" s="605" t="inlineStr">
        <is>
          <t>R0061279</t>
        </is>
      </c>
      <c r="D17" s="605" t="inlineStr">
        <is>
          <t>3030 W 81ST AVE</t>
        </is>
      </c>
      <c r="E17" s="605" t="n">
        <v>344</v>
      </c>
      <c r="F17" s="605" t="inlineStr">
        <is>
          <t>WESTMINSTER</t>
        </is>
      </c>
      <c r="G17" s="605" t="inlineStr">
        <is>
          <t>4</t>
        </is>
      </c>
      <c r="H17" s="59">
        <f>Y17/J17</f>
        <v/>
      </c>
      <c r="I17" s="389" t="n">
        <v>45358</v>
      </c>
      <c r="J17" s="605" t="n">
        <v>2400</v>
      </c>
      <c r="K17" s="59" t="n"/>
      <c r="L17" s="605" t="n">
        <v>2400</v>
      </c>
      <c r="M17" s="605" t="n">
        <v>1980</v>
      </c>
      <c r="P17" s="605" t="inlineStr">
        <is>
          <t>PUD-Wes</t>
        </is>
      </c>
      <c r="R17" s="152" t="inlineStr">
        <is>
          <t>Average</t>
        </is>
      </c>
      <c r="S17" s="605" t="n">
        <v>12501.72</v>
      </c>
      <c r="T17" s="390">
        <f>S17/L17</f>
        <v/>
      </c>
      <c r="U17" s="605" t="inlineStr">
        <is>
          <t>Average</t>
        </is>
      </c>
      <c r="V17" s="390" t="n"/>
      <c r="W17" s="390" t="n"/>
      <c r="X17" s="390" t="n"/>
      <c r="Y17" s="60" t="n">
        <v>850000</v>
      </c>
      <c r="Z17" s="60" t="n"/>
      <c r="AA17" s="60" t="n">
        <v>850000</v>
      </c>
      <c r="AB17" s="60" t="n"/>
      <c r="AC17" s="605" t="inlineStr">
        <is>
          <t>0171929322001</t>
        </is>
      </c>
      <c r="AD17" s="605" t="inlineStr">
        <is>
          <t>2024000012610</t>
        </is>
      </c>
      <c r="AE17" s="653" t="inlineStr">
        <is>
          <t>3030 81ST LLC</t>
        </is>
      </c>
      <c r="AF17" s="653" t="inlineStr">
        <is>
          <t>BAB REALTY LLC</t>
        </is>
      </c>
      <c r="AI17" s="605">
        <f>IF(AND($E17=Subj_OccCode,Subj_BldgSF&gt;0,ABS($L17-Subj_BldgSF)&lt;=Subj_BldgSF*Subj_SizeTol),ABS($L17-Subj_BldgSF),NA())</f>
        <v/>
      </c>
      <c r="AJ17">
        <f>IF(ISNA(AI17),NA(),AI17+ROW()/10000000)</f>
        <v/>
      </c>
      <c r="AK17" s="605">
        <f>IF(AND(ISNUMBER($N17),$N17&gt;0,ISNUMBER($Y17)),$Y17/$N17,"")</f>
        <v/>
      </c>
    </row>
    <row r="18" ht="15" customHeight="1" s="545">
      <c r="A18" s="388" t="n">
        <v>7</v>
      </c>
      <c r="B18" s="605" t="n">
        <v>10</v>
      </c>
      <c r="C18" s="605" t="inlineStr">
        <is>
          <t>R0064517</t>
        </is>
      </c>
      <c r="D18" s="605" t="inlineStr">
        <is>
          <t>5141 W 78TH AVE</t>
        </is>
      </c>
      <c r="E18" s="605" t="n">
        <v>344</v>
      </c>
      <c r="F18" s="605" t="inlineStr">
        <is>
          <t>WESTMINSTER</t>
        </is>
      </c>
      <c r="G18" s="605" t="inlineStr">
        <is>
          <t>4</t>
        </is>
      </c>
      <c r="H18" s="59">
        <f>Y18/J18</f>
        <v/>
      </c>
      <c r="I18" s="389" t="n">
        <v>45169</v>
      </c>
      <c r="J18" s="605" t="n">
        <v>4365</v>
      </c>
      <c r="K18" s="59" t="n"/>
      <c r="L18" s="605" t="n">
        <v>4365</v>
      </c>
      <c r="M18" s="605" t="n">
        <v>2000</v>
      </c>
      <c r="P18" s="605" t="inlineStr">
        <is>
          <t>PUD-Wes</t>
        </is>
      </c>
      <c r="R18" s="152" t="inlineStr">
        <is>
          <t>Average</t>
        </is>
      </c>
      <c r="S18" s="605" t="n">
        <v>14136</v>
      </c>
      <c r="T18" s="390">
        <f>S18/L18</f>
        <v/>
      </c>
      <c r="U18" s="605" t="inlineStr">
        <is>
          <t>Average</t>
        </is>
      </c>
      <c r="V18" s="390" t="n"/>
      <c r="W18" s="390" t="n"/>
      <c r="X18" s="390" t="n"/>
      <c r="Y18" s="60" t="n">
        <v>849000</v>
      </c>
      <c r="Z18" s="60" t="n"/>
      <c r="AA18" s="60" t="n">
        <v>849000</v>
      </c>
      <c r="AB18" s="60" t="n"/>
      <c r="AC18" s="605" t="inlineStr">
        <is>
          <t>0171931217002</t>
        </is>
      </c>
      <c r="AD18" s="605" t="inlineStr">
        <is>
          <t>2023000049988</t>
        </is>
      </c>
      <c r="AE18" s="653" t="inlineStr">
        <is>
          <t>W S A FRATERNAL LIFE</t>
        </is>
      </c>
      <c r="AF18" s="653" t="inlineStr">
        <is>
          <t>FARMHOUSE CENTER LLC</t>
        </is>
      </c>
      <c r="AI18" s="605">
        <f>IF(AND($E18=Subj_OccCode,Subj_BldgSF&gt;0,ABS($L18-Subj_BldgSF)&lt;=Subj_BldgSF*Subj_SizeTol),ABS($L18-Subj_BldgSF),NA())</f>
        <v/>
      </c>
      <c r="AJ18">
        <f>IF(ISNA(AI18),NA(),AI18+ROW()/10000000)</f>
        <v/>
      </c>
      <c r="AK18" s="605">
        <f>IF(AND(ISNUMBER($N18),$N18&gt;0,ISNUMBER($Y18)),$Y18/$N18,"")</f>
        <v/>
      </c>
    </row>
    <row r="19" ht="15" customHeight="1" s="545">
      <c r="A19" s="388" t="n">
        <v>7</v>
      </c>
      <c r="B19" s="605" t="n">
        <v>11</v>
      </c>
      <c r="C19" s="605" t="inlineStr">
        <is>
          <t>R0093873</t>
        </is>
      </c>
      <c r="D19" s="605" t="inlineStr">
        <is>
          <t>3323 MOLINE ST</t>
        </is>
      </c>
      <c r="E19" s="605" t="n">
        <v>407</v>
      </c>
      <c r="F19" s="605" t="inlineStr">
        <is>
          <t>AURORA</t>
        </is>
      </c>
      <c r="G19" s="605" t="inlineStr">
        <is>
          <t>6</t>
        </is>
      </c>
      <c r="H19" s="59">
        <f>Y19/J19</f>
        <v/>
      </c>
      <c r="I19" s="389" t="n">
        <v>45068</v>
      </c>
      <c r="J19" s="605" t="n">
        <v>9906</v>
      </c>
      <c r="K19" s="59" t="n"/>
      <c r="L19" s="605" t="n">
        <v>9906</v>
      </c>
      <c r="M19" s="605" t="n">
        <v>1974</v>
      </c>
      <c r="P19" s="605" t="inlineStr">
        <is>
          <t>M-3</t>
        </is>
      </c>
      <c r="R19" s="152" t="inlineStr">
        <is>
          <t>Average</t>
        </is>
      </c>
      <c r="S19" s="605" t="n">
        <v>30056</v>
      </c>
      <c r="T19" s="390">
        <f>S19/L19</f>
        <v/>
      </c>
      <c r="U19" s="605" t="inlineStr">
        <is>
          <t>Average</t>
        </is>
      </c>
      <c r="V19" s="390" t="n"/>
      <c r="W19" s="390" t="n"/>
      <c r="X19" s="390" t="n"/>
      <c r="Y19" s="60" t="n">
        <v>1850000</v>
      </c>
      <c r="Z19" s="60" t="n"/>
      <c r="AA19" s="60" t="n">
        <v>1850000</v>
      </c>
      <c r="AB19" s="60" t="n"/>
      <c r="AC19" s="605" t="inlineStr">
        <is>
          <t>0182326101023</t>
        </is>
      </c>
      <c r="AD19" s="605" t="inlineStr">
        <is>
          <t>2023000030494</t>
        </is>
      </c>
      <c r="AE19" s="653" t="inlineStr">
        <is>
          <t>VANDER HORST FAMILY TRUST THE</t>
        </is>
      </c>
      <c r="AF19" s="653" t="inlineStr">
        <is>
          <t>BARR AVENUE PARTNERSHIP LLC</t>
        </is>
      </c>
      <c r="AI19" s="605">
        <f>IF(AND($E19=Subj_OccCode,Subj_BldgSF&gt;0,ABS($L19-Subj_BldgSF)&lt;=Subj_BldgSF*Subj_SizeTol),ABS($L19-Subj_BldgSF),NA())</f>
        <v/>
      </c>
      <c r="AJ19">
        <f>IF(ISNA(AI19),NA(),AI19+ROW()/10000000)</f>
        <v/>
      </c>
      <c r="AK19" s="605">
        <f>IF(AND(ISNUMBER($N19),$N19&gt;0,ISNUMBER($Y19)),$Y19/$N19,"")</f>
        <v/>
      </c>
    </row>
    <row r="20" ht="15" customHeight="1" s="545">
      <c r="A20" s="388" t="n">
        <v>7</v>
      </c>
      <c r="B20" s="605" t="n">
        <v>12</v>
      </c>
      <c r="C20" s="605" t="inlineStr">
        <is>
          <t>R0124578</t>
        </is>
      </c>
      <c r="D20" s="605" t="inlineStr">
        <is>
          <t>11152 HURON ST</t>
        </is>
      </c>
      <c r="E20" s="605" t="n">
        <v>1344</v>
      </c>
      <c r="F20" s="605" t="inlineStr">
        <is>
          <t>NORTHGLENN</t>
        </is>
      </c>
      <c r="G20" s="605" t="inlineStr">
        <is>
          <t>4</t>
        </is>
      </c>
      <c r="H20" s="59">
        <f>Y20/J20</f>
        <v/>
      </c>
      <c r="I20" s="389" t="n">
        <v>45209</v>
      </c>
      <c r="J20" s="605" t="n">
        <v>20472</v>
      </c>
      <c r="K20" s="59" t="n"/>
      <c r="L20" s="605" t="n">
        <v>20472</v>
      </c>
      <c r="M20" s="605" t="n">
        <v>2000</v>
      </c>
      <c r="P20" s="605" t="inlineStr">
        <is>
          <t>C-0-Nor</t>
        </is>
      </c>
      <c r="R20" s="152" t="inlineStr">
        <is>
          <t>Average</t>
        </is>
      </c>
      <c r="S20" s="605" t="n">
        <v>3100</v>
      </c>
      <c r="T20" s="390">
        <f>S20/L20</f>
        <v/>
      </c>
      <c r="U20" s="605" t="inlineStr">
        <is>
          <t>Average</t>
        </is>
      </c>
      <c r="V20" s="390" t="n"/>
      <c r="W20" s="390" t="n"/>
      <c r="X20" s="390" t="n"/>
      <c r="Y20" s="60" t="n">
        <v>270000</v>
      </c>
      <c r="Z20" s="60" t="n"/>
      <c r="AA20" s="60" t="n">
        <v>270000</v>
      </c>
      <c r="AB20" s="60" t="n"/>
      <c r="AC20" s="605" t="inlineStr">
        <is>
          <t>0171910205038</t>
        </is>
      </c>
      <c r="AD20" s="605" t="inlineStr">
        <is>
          <t>2023000057923</t>
        </is>
      </c>
      <c r="AE20" s="653" t="inlineStr">
        <is>
          <t>CJ AND K PARTNERS LLC</t>
        </is>
      </c>
      <c r="AF20" s="653" t="inlineStr">
        <is>
          <t>PREMIER HOME HEALTH CARE INC</t>
        </is>
      </c>
      <c r="AI20" s="605">
        <f>IF(AND($E20=Subj_OccCode,Subj_BldgSF&gt;0,ABS($L20-Subj_BldgSF)&lt;=Subj_BldgSF*Subj_SizeTol),ABS($L20-Subj_BldgSF),NA())</f>
        <v/>
      </c>
      <c r="AJ20">
        <f>IF(ISNA(AI20),NA(),AI20+ROW()/10000000)</f>
        <v/>
      </c>
      <c r="AK20" s="605">
        <f>IF(AND(ISNUMBER($N20),$N20&gt;0,ISNUMBER($Y20)),$Y20/$N20,"")</f>
        <v/>
      </c>
    </row>
    <row r="21" ht="15" customHeight="1" s="545">
      <c r="A21" s="388" t="n">
        <v>7</v>
      </c>
      <c r="B21" s="605" t="n">
        <v>13</v>
      </c>
      <c r="C21" s="605" t="inlineStr">
        <is>
          <t>R0179233</t>
        </is>
      </c>
      <c r="D21" s="605" t="inlineStr">
        <is>
          <t>4257 MAIN ST</t>
        </is>
      </c>
      <c r="E21" s="605" t="n">
        <v>1353</v>
      </c>
      <c r="F21" s="605" t="inlineStr">
        <is>
          <t>WESTMINSTER</t>
        </is>
      </c>
      <c r="G21" s="605" t="inlineStr">
        <is>
          <t>3</t>
        </is>
      </c>
      <c r="H21" s="59">
        <f>Y21/J21</f>
        <v/>
      </c>
      <c r="I21" s="389" t="n">
        <v>44879</v>
      </c>
      <c r="J21" s="605" t="n">
        <v>11520</v>
      </c>
      <c r="K21" s="59" t="n"/>
      <c r="L21" s="605" t="n">
        <v>11520</v>
      </c>
      <c r="M21" s="605" t="n">
        <v>2007</v>
      </c>
      <c r="P21" s="605" t="inlineStr">
        <is>
          <t>PUD-Wes</t>
        </is>
      </c>
      <c r="R21" s="152" t="inlineStr">
        <is>
          <t>Average</t>
        </is>
      </c>
      <c r="S21" s="605" t="n">
        <v>3906.5</v>
      </c>
      <c r="T21" s="390">
        <f>S21/L21</f>
        <v/>
      </c>
      <c r="U21" s="605" t="inlineStr">
        <is>
          <t>Average</t>
        </is>
      </c>
      <c r="V21" s="390" t="n"/>
      <c r="W21" s="390" t="n"/>
      <c r="X21" s="390" t="n"/>
      <c r="Y21" s="60" t="n">
        <v>2350000</v>
      </c>
      <c r="Z21" s="60" t="n"/>
      <c r="AA21" s="60" t="n">
        <v>2350000</v>
      </c>
      <c r="AB21" s="60" t="n"/>
      <c r="AC21" s="605" t="inlineStr">
        <is>
          <t>0171906101012</t>
        </is>
      </c>
      <c r="AD21" s="605" t="inlineStr">
        <is>
          <t>2022000091184</t>
        </is>
      </c>
      <c r="AE21" s="653" t="inlineStr">
        <is>
          <t>121ST PROPERTY PARTNERS LLC</t>
        </is>
      </c>
      <c r="AF21" s="653" t="inlineStr">
        <is>
          <t>HSP PROPERTIES INC</t>
        </is>
      </c>
      <c r="AI21" s="605">
        <f>IF(AND($E21=Subj_OccCode,Subj_BldgSF&gt;0,ABS($L21-Subj_BldgSF)&lt;=Subj_BldgSF*Subj_SizeTol),ABS($L21-Subj_BldgSF),NA())</f>
        <v/>
      </c>
      <c r="AJ21">
        <f>IF(ISNA(AI21),NA(),AI21+ROW()/10000000)</f>
        <v/>
      </c>
      <c r="AK21" s="605">
        <f>IF(AND(ISNUMBER($N21),$N21&gt;0,ISNUMBER($Y21)),$Y21/$N21,"")</f>
        <v/>
      </c>
    </row>
    <row r="22" ht="15" customHeight="1" s="545">
      <c r="A22" s="388" t="n">
        <v>7</v>
      </c>
      <c r="B22" s="605" t="n">
        <v>14</v>
      </c>
      <c r="C22" s="605" t="inlineStr">
        <is>
          <t>R0183438</t>
        </is>
      </c>
      <c r="D22" s="605" t="inlineStr">
        <is>
          <t>2861 W 120TH AVE</t>
        </is>
      </c>
      <c r="E22" s="605" t="n">
        <v>344</v>
      </c>
      <c r="F22" s="605" t="inlineStr">
        <is>
          <t>WESTMINSTER</t>
        </is>
      </c>
      <c r="G22" s="605" t="inlineStr">
        <is>
          <t>3</t>
        </is>
      </c>
      <c r="H22" s="59">
        <f>Y22/J22</f>
        <v/>
      </c>
      <c r="I22" s="389" t="n">
        <v>45301</v>
      </c>
      <c r="J22" s="605" t="n">
        <v>57173</v>
      </c>
      <c r="K22" s="59" t="n"/>
      <c r="L22" s="605" t="n">
        <v>57173</v>
      </c>
      <c r="M22" s="605" t="n">
        <v>2007</v>
      </c>
      <c r="P22" s="605" t="inlineStr">
        <is>
          <t>PUD-Wes</t>
        </is>
      </c>
      <c r="R22" s="152" t="inlineStr">
        <is>
          <t>Average</t>
        </is>
      </c>
      <c r="S22" s="605" t="n">
        <v>10083</v>
      </c>
      <c r="T22" s="390">
        <f>S22/L22</f>
        <v/>
      </c>
      <c r="U22" s="605" t="inlineStr">
        <is>
          <t>Average</t>
        </is>
      </c>
      <c r="V22" s="390" t="n"/>
      <c r="W22" s="390" t="n"/>
      <c r="X22" s="390" t="n"/>
      <c r="Y22" s="60" t="n">
        <v>964500</v>
      </c>
      <c r="Z22" s="60" t="n"/>
      <c r="AA22" s="60" t="n">
        <v>964500</v>
      </c>
      <c r="AB22" s="60" t="n"/>
      <c r="AC22" s="605" t="inlineStr">
        <is>
          <t>0157332401024</t>
        </is>
      </c>
      <c r="AD22" s="605" t="inlineStr">
        <is>
          <t>2024000001871</t>
        </is>
      </c>
      <c r="AE22" s="653" t="inlineStr">
        <is>
          <t>GOLD CROWN LLC</t>
        </is>
      </c>
      <c r="AF22" s="653" t="inlineStr">
        <is>
          <t>ENE MANAGEMENT LLC</t>
        </is>
      </c>
      <c r="AI22" s="605">
        <f>IF(AND($E22=Subj_OccCode,Subj_BldgSF&gt;0,ABS($L22-Subj_BldgSF)&lt;=Subj_BldgSF*Subj_SizeTol),ABS($L22-Subj_BldgSF),NA())</f>
        <v/>
      </c>
      <c r="AJ22">
        <f>IF(ISNA(AI22),NA(),AI22+ROW()/10000000)</f>
        <v/>
      </c>
      <c r="AK22" s="605">
        <f>IF(AND(ISNUMBER($N22),$N22&gt;0,ISNUMBER($Y22)),$Y22/$N22,"")</f>
        <v/>
      </c>
    </row>
    <row r="23" ht="15" customHeight="1" s="545">
      <c r="A23" s="388" t="n">
        <v>7</v>
      </c>
      <c r="B23" s="605" t="n">
        <v>15</v>
      </c>
      <c r="C23" s="605" t="inlineStr">
        <is>
          <t>R0024493</t>
        </is>
      </c>
      <c r="D23" s="605" t="inlineStr">
        <is>
          <t>497 E 120TH AVE</t>
        </is>
      </c>
      <c r="E23" s="605" t="n">
        <v>350</v>
      </c>
      <c r="F23" s="605" t="inlineStr">
        <is>
          <t>THORNTON</t>
        </is>
      </c>
      <c r="G23" s="605" t="inlineStr">
        <is>
          <t>3</t>
        </is>
      </c>
      <c r="H23" s="59">
        <f>Y23/J23</f>
        <v/>
      </c>
      <c r="I23" s="389" t="n">
        <v>45225</v>
      </c>
      <c r="J23" s="605" t="n">
        <v>6160</v>
      </c>
      <c r="K23" s="59" t="n"/>
      <c r="L23" s="605" t="n">
        <v>6160</v>
      </c>
      <c r="M23" s="605" t="n">
        <v>1995</v>
      </c>
      <c r="P23" s="605" t="inlineStr">
        <is>
          <t>Regional Commercial</t>
        </is>
      </c>
      <c r="R23" s="152" t="inlineStr">
        <is>
          <t>Average</t>
        </is>
      </c>
      <c r="S23" s="605" t="n">
        <v>66550</v>
      </c>
      <c r="T23" s="390">
        <f>S23/L23</f>
        <v/>
      </c>
      <c r="U23" s="605" t="inlineStr">
        <is>
          <t>Average</t>
        </is>
      </c>
      <c r="V23" s="390" t="n"/>
      <c r="W23" s="390" t="n"/>
      <c r="X23" s="390" t="n"/>
      <c r="Y23" s="60" t="n">
        <v>3743500</v>
      </c>
      <c r="Z23" s="60" t="n"/>
      <c r="AA23" s="60" t="n">
        <v>3743500</v>
      </c>
      <c r="AB23" s="60" t="n"/>
      <c r="AC23" s="605" t="inlineStr">
        <is>
          <t>0157334010018</t>
        </is>
      </c>
      <c r="AD23" s="605" t="inlineStr">
        <is>
          <t>2023000061238</t>
        </is>
      </c>
      <c r="AE23" s="653" t="inlineStr">
        <is>
          <t>LCN BLM CHANDLER LLC , ATTN BLOOMIN BRANDS INC</t>
        </is>
      </c>
      <c r="AF23" s="653" t="inlineStr">
        <is>
          <t>CANNISTRA REALTY LLC</t>
        </is>
      </c>
      <c r="AI23" s="605">
        <f>IF(AND($E23=Subj_OccCode,Subj_BldgSF&gt;0,ABS($L23-Subj_BldgSF)&lt;=Subj_BldgSF*Subj_SizeTol),ABS($L23-Subj_BldgSF),NA())</f>
        <v/>
      </c>
      <c r="AJ23">
        <f>IF(ISNA(AI23),NA(),AI23+ROW()/10000000)</f>
        <v/>
      </c>
      <c r="AK23" s="605">
        <f>IF(AND(ISNUMBER($N23),$N23&gt;0,ISNUMBER($Y23)),$Y23/$N23,"")</f>
        <v/>
      </c>
    </row>
    <row r="24" ht="15" customHeight="1" s="545">
      <c r="A24" s="388" t="n">
        <v>7</v>
      </c>
      <c r="B24" s="605" t="n">
        <v>16</v>
      </c>
      <c r="C24" s="605" t="inlineStr">
        <is>
          <t>R0114862</t>
        </is>
      </c>
      <c r="D24" s="605" t="inlineStr">
        <is>
          <t>8778 WOLFF CT</t>
        </is>
      </c>
      <c r="E24" s="605" t="n">
        <v>344</v>
      </c>
      <c r="F24" s="605" t="inlineStr">
        <is>
          <t>WESTMINSTER</t>
        </is>
      </c>
      <c r="G24" s="605" t="inlineStr">
        <is>
          <t>4</t>
        </is>
      </c>
      <c r="H24" s="59">
        <f>Y24/J24</f>
        <v/>
      </c>
      <c r="I24" s="389" t="n">
        <v>45139</v>
      </c>
      <c r="J24" s="605" t="n">
        <v>12323</v>
      </c>
      <c r="K24" s="59" t="n"/>
      <c r="L24" s="605" t="n">
        <v>12323</v>
      </c>
      <c r="M24" s="605" t="n">
        <v>1999</v>
      </c>
      <c r="P24" s="605" t="inlineStr">
        <is>
          <t>PUD-Wes</t>
        </is>
      </c>
      <c r="R24" s="152" t="inlineStr">
        <is>
          <t>Average</t>
        </is>
      </c>
      <c r="S24" s="605" t="n">
        <v>51531.4805</v>
      </c>
      <c r="T24" s="390">
        <f>S24/L24</f>
        <v/>
      </c>
      <c r="U24" s="605" t="inlineStr">
        <is>
          <t>Average</t>
        </is>
      </c>
      <c r="V24" s="390" t="n"/>
      <c r="W24" s="390" t="n"/>
      <c r="X24" s="390" t="n"/>
      <c r="Y24" s="60" t="n">
        <v>1425000</v>
      </c>
      <c r="Z24" s="60" t="n"/>
      <c r="AA24" s="60" t="n">
        <v>1425000</v>
      </c>
      <c r="AB24" s="60" t="n"/>
      <c r="AC24" s="605" t="inlineStr">
        <is>
          <t>0171930219021</t>
        </is>
      </c>
      <c r="AD24" s="605" t="inlineStr">
        <is>
          <t>2023000044191</t>
        </is>
      </c>
      <c r="AE24" s="653" t="inlineStr">
        <is>
          <t>8778 WOLFF LLC, C/O HOLDER R BRUCE/R WAYNE</t>
        </is>
      </c>
      <c r="AF24" s="653" t="inlineStr">
        <is>
          <t>DIVINE HOMES DENVER LLC</t>
        </is>
      </c>
      <c r="AI24" s="605">
        <f>IF(AND($E24=Subj_OccCode,Subj_BldgSF&gt;0,ABS($L24-Subj_BldgSF)&lt;=Subj_BldgSF*Subj_SizeTol),ABS($L24-Subj_BldgSF),NA())</f>
        <v/>
      </c>
      <c r="AJ24">
        <f>IF(ISNA(AI24),NA(),AI24+ROW()/10000000)</f>
        <v/>
      </c>
      <c r="AK24" s="605">
        <f>IF(AND(ISNUMBER($N24),$N24&gt;0,ISNUMBER($Y24)),$Y24/$N24,"")</f>
        <v/>
      </c>
    </row>
    <row r="25" ht="15" customHeight="1" s="545">
      <c r="A25" s="388" t="n">
        <v>7</v>
      </c>
      <c r="B25" s="605" t="n">
        <v>17</v>
      </c>
      <c r="C25" s="605" t="inlineStr">
        <is>
          <t>R0077378</t>
        </is>
      </c>
      <c r="D25" s="605" t="inlineStr">
        <is>
          <t>8777 BRIGHTON RD</t>
        </is>
      </c>
      <c r="E25" s="605" t="n">
        <v>334</v>
      </c>
      <c r="G25" s="605" t="inlineStr">
        <is>
          <t>5</t>
        </is>
      </c>
      <c r="H25" s="59">
        <f>Y25/J25</f>
        <v/>
      </c>
      <c r="I25" s="389" t="n">
        <v>45169</v>
      </c>
      <c r="J25" s="605" t="n">
        <v>51640</v>
      </c>
      <c r="K25" s="59" t="n"/>
      <c r="L25" s="605" t="n">
        <v>51640</v>
      </c>
      <c r="M25" s="605" t="n">
        <v>1978</v>
      </c>
      <c r="P25" s="605" t="inlineStr">
        <is>
          <t>Industrial</t>
        </is>
      </c>
      <c r="R25" s="152" t="inlineStr">
        <is>
          <t>Average</t>
        </is>
      </c>
      <c r="S25" s="605" t="n">
        <v>146187</v>
      </c>
      <c r="T25" s="390">
        <f>S25/L25</f>
        <v/>
      </c>
      <c r="U25" s="605" t="inlineStr">
        <is>
          <t>Average</t>
        </is>
      </c>
      <c r="V25" s="390" t="n"/>
      <c r="W25" s="390" t="n"/>
      <c r="X25" s="390" t="n"/>
      <c r="Y25" s="60" t="n">
        <v>4800000</v>
      </c>
      <c r="Z25" s="60" t="n"/>
      <c r="AA25" s="60" t="n">
        <v>4800000</v>
      </c>
      <c r="AB25" s="60" t="n"/>
      <c r="AC25" s="605" t="inlineStr">
        <is>
          <t>0172129200004</t>
        </is>
      </c>
      <c r="AD25" s="605" t="inlineStr">
        <is>
          <t>2023000049971</t>
        </is>
      </c>
      <c r="AE25" s="653" t="inlineStr">
        <is>
          <t>SAHLI-SUNDBY ANN C</t>
        </is>
      </c>
      <c r="AF25" s="653" t="inlineStr">
        <is>
          <t>BRIGHTON RD LLC</t>
        </is>
      </c>
      <c r="AI25" s="605">
        <f>IF(AND($E25=Subj_OccCode,Subj_BldgSF&gt;0,ABS($L25-Subj_BldgSF)&lt;=Subj_BldgSF*Subj_SizeTol),ABS($L25-Subj_BldgSF),NA())</f>
        <v/>
      </c>
      <c r="AJ25">
        <f>IF(ISNA(AI25),NA(),AI25+ROW()/10000000)</f>
        <v/>
      </c>
      <c r="AK25" s="605">
        <f>IF(AND(ISNUMBER($N25),$N25&gt;0,ISNUMBER($Y25)),$Y25/$N25,"")</f>
        <v/>
      </c>
    </row>
    <row r="26" ht="15" customHeight="1" s="545">
      <c r="A26" s="388" t="n">
        <v>7</v>
      </c>
      <c r="B26" s="605" t="n">
        <v>18</v>
      </c>
      <c r="C26" s="605" t="inlineStr">
        <is>
          <t>R0077738</t>
        </is>
      </c>
      <c r="D26" s="605" t="inlineStr">
        <is>
          <t>7787 BRIGHTON BLVD</t>
        </is>
      </c>
      <c r="E26" s="605" t="n">
        <v>353</v>
      </c>
      <c r="G26" s="605" t="inlineStr">
        <is>
          <t>5</t>
        </is>
      </c>
      <c r="H26" s="59">
        <f>Y26/J26</f>
        <v/>
      </c>
      <c r="I26" s="389" t="n">
        <v>44764</v>
      </c>
      <c r="J26" s="605" t="n">
        <v>1350</v>
      </c>
      <c r="K26" s="59" t="n"/>
      <c r="L26" s="605" t="n">
        <v>1350</v>
      </c>
      <c r="M26" s="605" t="n">
        <v>1955</v>
      </c>
      <c r="P26" s="605" t="inlineStr">
        <is>
          <t>Industrial</t>
        </is>
      </c>
      <c r="R26" s="152" t="inlineStr">
        <is>
          <t>Average</t>
        </is>
      </c>
      <c r="S26" s="605" t="n">
        <v>12325</v>
      </c>
      <c r="T26" s="390">
        <f>S26/L26</f>
        <v/>
      </c>
      <c r="U26" s="605" t="inlineStr">
        <is>
          <t>Average</t>
        </is>
      </c>
      <c r="V26" s="390" t="n"/>
      <c r="W26" s="390" t="n"/>
      <c r="X26" s="390" t="n"/>
      <c r="Y26" s="60" t="n">
        <v>440000</v>
      </c>
      <c r="Z26" s="60" t="n"/>
      <c r="AA26" s="60" t="n">
        <v>440000</v>
      </c>
      <c r="AB26" s="60" t="n"/>
      <c r="AC26" s="605" t="inlineStr">
        <is>
          <t>0172131103002</t>
        </is>
      </c>
      <c r="AD26" s="605" t="inlineStr">
        <is>
          <t>2022000063980</t>
        </is>
      </c>
      <c r="AE26" s="653" t="inlineStr">
        <is>
          <t>MARTINEZ ORLANDO</t>
        </is>
      </c>
      <c r="AF26" s="653" t="inlineStr">
        <is>
          <t>JOE SINGH INC</t>
        </is>
      </c>
      <c r="AI26" s="605">
        <f>IF(AND($E26=Subj_OccCode,Subj_BldgSF&gt;0,ABS($L26-Subj_BldgSF)&lt;=Subj_BldgSF*Subj_SizeTol),ABS($L26-Subj_BldgSF),NA())</f>
        <v/>
      </c>
      <c r="AJ26">
        <f>IF(ISNA(AI26),NA(),AI26+ROW()/10000000)</f>
        <v/>
      </c>
      <c r="AK26" s="605">
        <f>IF(AND(ISNUMBER($N26),$N26&gt;0,ISNUMBER($Y26)),$Y26/$N26,"")</f>
        <v/>
      </c>
    </row>
    <row r="27" ht="15" customHeight="1" s="545">
      <c r="A27" s="388" t="n">
        <v>7</v>
      </c>
      <c r="B27" s="605" t="n">
        <v>19</v>
      </c>
      <c r="C27" s="605" t="inlineStr">
        <is>
          <t>R0082000</t>
        </is>
      </c>
      <c r="D27" s="605" t="inlineStr">
        <is>
          <t>1506 MAIN ST</t>
        </is>
      </c>
      <c r="E27" s="605" t="n">
        <v>353</v>
      </c>
      <c r="F27" s="605" t="inlineStr">
        <is>
          <t>STRASBURG</t>
        </is>
      </c>
      <c r="G27" s="605" t="inlineStr">
        <is>
          <t>1</t>
        </is>
      </c>
      <c r="H27" s="59">
        <f>Y27/J27</f>
        <v/>
      </c>
      <c r="I27" s="389" t="n">
        <v>45295</v>
      </c>
      <c r="J27" s="605" t="n">
        <v>5620</v>
      </c>
      <c r="K27" s="59" t="n"/>
      <c r="L27" s="605" t="n">
        <v>5620</v>
      </c>
      <c r="M27" s="605" t="n">
        <v>1918</v>
      </c>
      <c r="P27" s="605" t="inlineStr">
        <is>
          <t>Commercial</t>
        </is>
      </c>
      <c r="R27" s="152" t="inlineStr">
        <is>
          <t>Average</t>
        </is>
      </c>
      <c r="S27" s="605" t="n">
        <v>7800</v>
      </c>
      <c r="T27" s="390">
        <f>S27/L27</f>
        <v/>
      </c>
      <c r="U27" s="605" t="inlineStr">
        <is>
          <t>Average</t>
        </is>
      </c>
      <c r="V27" s="390" t="n"/>
      <c r="W27" s="390" t="n"/>
      <c r="X27" s="390" t="n"/>
      <c r="Y27" s="60" t="n">
        <v>600000</v>
      </c>
      <c r="Z27" s="60" t="n"/>
      <c r="AA27" s="60" t="n">
        <v>600000</v>
      </c>
      <c r="AB27" s="60" t="n"/>
      <c r="AC27" s="605" t="inlineStr">
        <is>
          <t>0181333422015</t>
        </is>
      </c>
      <c r="AD27" s="605" t="inlineStr">
        <is>
          <t>2024000000995</t>
        </is>
      </c>
      <c r="AE27" s="653" t="inlineStr">
        <is>
          <t>L S STRASBURG LLC</t>
        </is>
      </c>
      <c r="AF27" s="653" t="inlineStr">
        <is>
          <t>SODDIK INVESTMENTS LLC</t>
        </is>
      </c>
      <c r="AI27" s="605">
        <f>IF(AND($E27=Subj_OccCode,Subj_BldgSF&gt;0,ABS($L27-Subj_BldgSF)&lt;=Subj_BldgSF*Subj_SizeTol),ABS($L27-Subj_BldgSF),NA())</f>
        <v/>
      </c>
      <c r="AJ27">
        <f>IF(ISNA(AI27),NA(),AI27+ROW()/10000000)</f>
        <v/>
      </c>
      <c r="AK27" s="605">
        <f>IF(AND(ISNUMBER($N27),$N27&gt;0,ISNUMBER($Y27)),$Y27/$N27,"")</f>
        <v/>
      </c>
    </row>
    <row r="28" ht="15" customHeight="1" s="545">
      <c r="A28" s="388" t="n">
        <v>7</v>
      </c>
      <c r="B28" s="605" t="n">
        <v>20</v>
      </c>
      <c r="C28" s="605" t="inlineStr">
        <is>
          <t>R0084263</t>
        </is>
      </c>
      <c r="D28" s="605" t="inlineStr">
        <is>
          <t>15200 E 33RD PL</t>
        </is>
      </c>
      <c r="E28" s="605" t="n">
        <v>210</v>
      </c>
      <c r="F28" s="605" t="inlineStr">
        <is>
          <t>AURORA</t>
        </is>
      </c>
      <c r="G28" s="605" t="inlineStr">
        <is>
          <t>6</t>
        </is>
      </c>
      <c r="H28" s="59">
        <f>Y28/J28</f>
        <v/>
      </c>
      <c r="I28" s="389" t="n">
        <v>45238</v>
      </c>
      <c r="J28" s="605" t="n">
        <v>66772</v>
      </c>
      <c r="K28" s="59" t="n"/>
      <c r="L28" s="605" t="n">
        <v>66772</v>
      </c>
      <c r="M28" s="605" t="n">
        <v>1985</v>
      </c>
      <c r="P28" s="605" t="inlineStr">
        <is>
          <t>M-1-Aur</t>
        </is>
      </c>
      <c r="R28" s="152" t="inlineStr">
        <is>
          <t>Average</t>
        </is>
      </c>
      <c r="S28" s="605" t="n">
        <v>214751</v>
      </c>
      <c r="T28" s="390">
        <f>S28/L28</f>
        <v/>
      </c>
      <c r="U28" s="605" t="inlineStr">
        <is>
          <t>Average</t>
        </is>
      </c>
      <c r="V28" s="390" t="n"/>
      <c r="W28" s="390" t="n"/>
      <c r="X28" s="390" t="n"/>
      <c r="Y28" s="60" t="n">
        <v>9200000</v>
      </c>
      <c r="Z28" s="60" t="n"/>
      <c r="AA28" s="60" t="n">
        <v>9200000</v>
      </c>
      <c r="AB28" s="60" t="n"/>
      <c r="AC28" s="605" t="inlineStr">
        <is>
          <t>0182130007002</t>
        </is>
      </c>
      <c r="AD28" s="605" t="inlineStr">
        <is>
          <t>2023000062952</t>
        </is>
      </c>
      <c r="AE28" s="653" t="inlineStr">
        <is>
          <t>PIII CHAMBERS ROAD LLC</t>
        </is>
      </c>
      <c r="AF28" s="653" t="inlineStr">
        <is>
          <t>MCA IGF COMMERCE CENTER LLC</t>
        </is>
      </c>
      <c r="AI28" s="605">
        <f>IF(AND($E28=Subj_OccCode,Subj_BldgSF&gt;0,ABS($L28-Subj_BldgSF)&lt;=Subj_BldgSF*Subj_SizeTol),ABS($L28-Subj_BldgSF),NA())</f>
        <v/>
      </c>
      <c r="AJ28">
        <f>IF(ISNA(AI28),NA(),AI28+ROW()/10000000)</f>
        <v/>
      </c>
      <c r="AK28" s="605">
        <f>IF(AND(ISNUMBER($N28),$N28&gt;0,ISNUMBER($Y28)),$Y28/$N28,"")</f>
        <v/>
      </c>
    </row>
    <row r="29" ht="15" customHeight="1" s="545">
      <c r="A29" s="388" t="n">
        <v>7</v>
      </c>
      <c r="B29" s="605" t="n">
        <v>21</v>
      </c>
      <c r="C29" s="605" t="inlineStr">
        <is>
          <t>R0085792</t>
        </is>
      </c>
      <c r="D29" s="605" t="inlineStr">
        <is>
          <t>2200 N CHAMBERS RD</t>
        </is>
      </c>
      <c r="E29" s="605" t="n">
        <v>425</v>
      </c>
      <c r="F29" s="605" t="inlineStr">
        <is>
          <t>AURORA</t>
        </is>
      </c>
      <c r="G29" s="605" t="inlineStr">
        <is>
          <t>6</t>
        </is>
      </c>
      <c r="H29" s="59">
        <f>Y29/J29</f>
        <v/>
      </c>
      <c r="I29" s="389" t="n">
        <v>45187</v>
      </c>
      <c r="J29" s="605" t="n">
        <v>18000</v>
      </c>
      <c r="K29" s="59" t="n"/>
      <c r="L29" s="605" t="n">
        <v>18000</v>
      </c>
      <c r="M29" s="605" t="n">
        <v>1984</v>
      </c>
      <c r="P29" s="605" t="inlineStr">
        <is>
          <t>M-1-Aur</t>
        </is>
      </c>
      <c r="R29" s="152" t="inlineStr">
        <is>
          <t>Good</t>
        </is>
      </c>
      <c r="S29" s="605" t="n">
        <v>5227</v>
      </c>
      <c r="T29" s="390">
        <f>S29/L29</f>
        <v/>
      </c>
      <c r="U29" s="605" t="inlineStr">
        <is>
          <t>Good</t>
        </is>
      </c>
      <c r="V29" s="390" t="n"/>
      <c r="W29" s="390" t="n"/>
      <c r="X29" s="390" t="n"/>
      <c r="Y29" s="60" t="n">
        <v>325000</v>
      </c>
      <c r="Z29" s="60" t="n"/>
      <c r="AA29" s="60" t="n">
        <v>325000</v>
      </c>
      <c r="AB29" s="60" t="n"/>
      <c r="AC29" s="605" t="inlineStr">
        <is>
          <t>0182132008008</t>
        </is>
      </c>
      <c r="AD29" s="605" t="inlineStr">
        <is>
          <t>2023000053910</t>
        </is>
      </c>
      <c r="AE29" s="653" t="inlineStr">
        <is>
          <t>SCHWARTZ JOSH JON</t>
        </is>
      </c>
      <c r="AF29" s="653" t="inlineStr">
        <is>
          <t>CHOCOLATE WORKS LLC</t>
        </is>
      </c>
      <c r="AI29" s="605">
        <f>IF(AND($E29=Subj_OccCode,Subj_BldgSF&gt;0,ABS($L29-Subj_BldgSF)&lt;=Subj_BldgSF*Subj_SizeTol),ABS($L29-Subj_BldgSF),NA())</f>
        <v/>
      </c>
      <c r="AJ29">
        <f>IF(ISNA(AI29),NA(),AI29+ROW()/10000000)</f>
        <v/>
      </c>
      <c r="AK29" s="605">
        <f>IF(AND(ISNUMBER($N29),$N29&gt;0,ISNUMBER($Y29)),$Y29/$N29,"")</f>
        <v/>
      </c>
    </row>
    <row r="30" ht="15" customHeight="1" s="545">
      <c r="A30" s="388" t="n">
        <v>7</v>
      </c>
      <c r="B30" s="605" t="n">
        <v>22</v>
      </c>
      <c r="C30" s="605" t="inlineStr">
        <is>
          <t>R0093109</t>
        </is>
      </c>
      <c r="D30" s="605" t="inlineStr">
        <is>
          <t>3250 QUENTIN ST</t>
        </is>
      </c>
      <c r="E30" s="605" t="n">
        <v>210</v>
      </c>
      <c r="F30" s="605" t="inlineStr">
        <is>
          <t>AURORA</t>
        </is>
      </c>
      <c r="G30" s="605" t="inlineStr">
        <is>
          <t>6</t>
        </is>
      </c>
      <c r="H30" s="59">
        <f>Y30/J30</f>
        <v/>
      </c>
      <c r="I30" s="389" t="n">
        <v>45288</v>
      </c>
      <c r="J30" s="605" t="n">
        <v>144468</v>
      </c>
      <c r="K30" s="59" t="n"/>
      <c r="L30" s="605" t="n">
        <v>144468</v>
      </c>
      <c r="M30" s="605" t="n">
        <v>1985</v>
      </c>
      <c r="P30" s="605" t="inlineStr">
        <is>
          <t>M-1-Aur</t>
        </is>
      </c>
      <c r="R30" s="152" t="inlineStr">
        <is>
          <t>Good</t>
        </is>
      </c>
      <c r="S30" s="605" t="n">
        <v>363339</v>
      </c>
      <c r="T30" s="390">
        <f>S30/L30</f>
        <v/>
      </c>
      <c r="U30" s="605" t="inlineStr">
        <is>
          <t>Good</t>
        </is>
      </c>
      <c r="V30" s="390" t="n"/>
      <c r="W30" s="390" t="n"/>
      <c r="X30" s="390" t="n"/>
      <c r="Y30" s="60" t="n">
        <v>21500000</v>
      </c>
      <c r="Z30" s="60" t="n"/>
      <c r="AA30" s="60" t="n">
        <v>20379895</v>
      </c>
      <c r="AB30" s="60" t="n"/>
      <c r="AC30" s="605" t="inlineStr">
        <is>
          <t>0182325212001</t>
        </is>
      </c>
      <c r="AD30" s="605" t="inlineStr">
        <is>
          <t>2023000071663</t>
        </is>
      </c>
      <c r="AE30" s="653" t="inlineStr">
        <is>
          <t>HZ SORRENTO HIGHPOINTE SQUARE LLC ET AL, C/O PARAMOUNT PROPERTY COMPANY, LTD</t>
        </is>
      </c>
      <c r="AF30" s="653" t="inlineStr">
        <is>
          <t>MNG COMMERCE MIDTOWN LLC UND 42% INT AND, MNG COMMERCE OLIVEHAIN LLC UND  et al.</t>
        </is>
      </c>
      <c r="AI30" s="605">
        <f>IF(AND($E30=Subj_OccCode,Subj_BldgSF&gt;0,ABS($L30-Subj_BldgSF)&lt;=Subj_BldgSF*Subj_SizeTol),ABS($L30-Subj_BldgSF),NA())</f>
        <v/>
      </c>
      <c r="AJ30">
        <f>IF(ISNA(AI30),NA(),AI30+ROW()/10000000)</f>
        <v/>
      </c>
      <c r="AK30" s="605">
        <f>IF(AND(ISNUMBER($N30),$N30&gt;0,ISNUMBER($Y30)),$Y30/$N30,"")</f>
        <v/>
      </c>
    </row>
    <row r="31" ht="15" customHeight="1" s="545">
      <c r="A31" s="388" t="n">
        <v>7</v>
      </c>
      <c r="B31" s="605" t="n">
        <v>23</v>
      </c>
      <c r="C31" s="605" t="inlineStr">
        <is>
          <t>R0098103</t>
        </is>
      </c>
      <c r="D31" s="605" t="inlineStr">
        <is>
          <t>1247 E 68TH AVE</t>
        </is>
      </c>
      <c r="E31" s="605" t="n">
        <v>406</v>
      </c>
      <c r="G31" s="605" t="inlineStr">
        <is>
          <t>5</t>
        </is>
      </c>
      <c r="H31" s="59">
        <f>Y31/J31</f>
        <v/>
      </c>
      <c r="I31" s="389" t="n">
        <v>45099</v>
      </c>
      <c r="J31" s="605" t="n">
        <v>25300</v>
      </c>
      <c r="K31" s="59" t="n"/>
      <c r="L31" s="605" t="n">
        <v>25300</v>
      </c>
      <c r="M31" s="605" t="n">
        <v>1994</v>
      </c>
      <c r="P31" s="605" t="inlineStr">
        <is>
          <t>Industrial</t>
        </is>
      </c>
      <c r="R31" s="152" t="inlineStr">
        <is>
          <t>Average</t>
        </is>
      </c>
      <c r="S31" s="605" t="n">
        <v>197703</v>
      </c>
      <c r="T31" s="390">
        <f>S31/L31</f>
        <v/>
      </c>
      <c r="U31" s="605" t="inlineStr">
        <is>
          <t>Average</t>
        </is>
      </c>
      <c r="V31" s="390" t="n"/>
      <c r="W31" s="390" t="n"/>
      <c r="X31" s="390" t="n"/>
      <c r="Y31" s="60" t="n">
        <v>5000000</v>
      </c>
      <c r="Z31" s="60" t="n"/>
      <c r="AA31" s="60" t="n">
        <v>5000000</v>
      </c>
      <c r="AB31" s="60" t="n"/>
      <c r="AC31" s="605" t="inlineStr">
        <is>
          <t>0182502205015</t>
        </is>
      </c>
      <c r="AD31" s="605" t="inlineStr">
        <is>
          <t>2023000035170</t>
        </is>
      </c>
      <c r="AE31" s="653" t="inlineStr">
        <is>
          <t>JECO HOLDINGS INC</t>
        </is>
      </c>
      <c r="AF31" s="653" t="inlineStr">
        <is>
          <t>1247 DENVER PARTNERS LLC, C/O ALTERRA PROPERTY GROUP</t>
        </is>
      </c>
      <c r="AI31" s="605">
        <f>IF(AND($E31=Subj_OccCode,Subj_BldgSF&gt;0,ABS($L31-Subj_BldgSF)&lt;=Subj_BldgSF*Subj_SizeTol),ABS($L31-Subj_BldgSF),NA())</f>
        <v/>
      </c>
      <c r="AJ31">
        <f>IF(ISNA(AI31),NA(),AI31+ROW()/10000000)</f>
        <v/>
      </c>
      <c r="AK31" s="605">
        <f>IF(AND(ISNUMBER($N31),$N31&gt;0,ISNUMBER($Y31)),$Y31/$N31,"")</f>
        <v/>
      </c>
    </row>
    <row r="32" ht="15" customHeight="1" s="545">
      <c r="A32" s="388" t="n">
        <v>7</v>
      </c>
      <c r="B32" s="605" t="n">
        <v>24</v>
      </c>
      <c r="C32" s="605" t="inlineStr">
        <is>
          <t>R0108009</t>
        </is>
      </c>
      <c r="D32" s="605" t="inlineStr">
        <is>
          <t>6940 PECOS ST</t>
        </is>
      </c>
      <c r="E32" s="605" t="n">
        <v>350</v>
      </c>
      <c r="G32" s="605" t="inlineStr">
        <is>
          <t>4</t>
        </is>
      </c>
      <c r="H32" s="59">
        <f>Y32/J32</f>
        <v/>
      </c>
      <c r="I32" s="389" t="n">
        <v>45117</v>
      </c>
      <c r="J32" s="605" t="n">
        <v>1050</v>
      </c>
      <c r="K32" s="59" t="n"/>
      <c r="L32" s="605" t="n">
        <v>1050</v>
      </c>
      <c r="M32" s="605" t="n">
        <v>1964</v>
      </c>
      <c r="P32" s="605" t="inlineStr">
        <is>
          <t>Commercial</t>
        </is>
      </c>
      <c r="R32" s="152" t="inlineStr">
        <is>
          <t>Average</t>
        </is>
      </c>
      <c r="S32" s="605" t="n">
        <v>24750</v>
      </c>
      <c r="T32" s="390">
        <f>S32/L32</f>
        <v/>
      </c>
      <c r="U32" s="605" t="inlineStr">
        <is>
          <t>Average</t>
        </is>
      </c>
      <c r="V32" s="390" t="n"/>
      <c r="W32" s="390" t="n"/>
      <c r="X32" s="390" t="n"/>
      <c r="Y32" s="60" t="n">
        <v>680000</v>
      </c>
      <c r="Z32" s="60" t="n"/>
      <c r="AA32" s="60" t="n">
        <v>680000</v>
      </c>
      <c r="AB32" s="60" t="n"/>
      <c r="AC32" s="605" t="inlineStr">
        <is>
          <t>0182504113010</t>
        </is>
      </c>
      <c r="AD32" s="605" t="inlineStr">
        <is>
          <t>2023000039259</t>
        </is>
      </c>
      <c r="AE32" s="653" t="inlineStr">
        <is>
          <t>VITELAS LLC</t>
        </is>
      </c>
      <c r="AF32" s="653" t="inlineStr">
        <is>
          <t>ALVAREZ DANIEL CASTRO</t>
        </is>
      </c>
      <c r="AI32" s="605">
        <f>IF(AND($E32=Subj_OccCode,Subj_BldgSF&gt;0,ABS($L32-Subj_BldgSF)&lt;=Subj_BldgSF*Subj_SizeTol),ABS($L32-Subj_BldgSF),NA())</f>
        <v/>
      </c>
      <c r="AJ32">
        <f>IF(ISNA(AI32),NA(),AI32+ROW()/10000000)</f>
        <v/>
      </c>
      <c r="AK32" s="605">
        <f>IF(AND(ISNUMBER($N32),$N32&gt;0,ISNUMBER($Y32)),$Y32/$N32,"")</f>
        <v/>
      </c>
    </row>
    <row r="33" ht="15" customHeight="1" s="545">
      <c r="A33" s="388" t="n">
        <v>7</v>
      </c>
      <c r="B33" s="605" t="n">
        <v>25</v>
      </c>
      <c r="C33" s="605" t="inlineStr">
        <is>
          <t>R0130283</t>
        </is>
      </c>
      <c r="D33" s="605" t="inlineStr">
        <is>
          <t>5635 FRANKLIN ST</t>
        </is>
      </c>
      <c r="E33" s="605" t="n">
        <v>407</v>
      </c>
      <c r="G33" s="605" t="inlineStr">
        <is>
          <t>5</t>
        </is>
      </c>
      <c r="H33" s="59">
        <f>Y33/J33</f>
        <v/>
      </c>
      <c r="I33" s="389" t="n">
        <v>45273</v>
      </c>
      <c r="J33" s="605" t="n">
        <v>30000</v>
      </c>
      <c r="K33" s="59" t="n"/>
      <c r="L33" s="605" t="n">
        <v>30000</v>
      </c>
      <c r="M33" s="605" t="n">
        <v>2001</v>
      </c>
      <c r="P33" s="605" t="inlineStr">
        <is>
          <t>Industrial</t>
        </is>
      </c>
      <c r="R33" s="152" t="inlineStr">
        <is>
          <t>Average</t>
        </is>
      </c>
      <c r="S33" s="605" t="n">
        <v>96703.2</v>
      </c>
      <c r="T33" s="390">
        <f>S33/L33</f>
        <v/>
      </c>
      <c r="U33" s="605" t="inlineStr">
        <is>
          <t>Average</t>
        </is>
      </c>
      <c r="V33" s="390" t="n"/>
      <c r="W33" s="390" t="n"/>
      <c r="X33" s="390" t="n"/>
      <c r="Y33" s="60" t="n">
        <v>7050000</v>
      </c>
      <c r="Z33" s="60" t="n"/>
      <c r="AA33" s="60" t="n">
        <v>6675000</v>
      </c>
      <c r="AB33" s="60" t="n"/>
      <c r="AC33" s="605" t="inlineStr">
        <is>
          <t>0182511314008</t>
        </is>
      </c>
      <c r="AD33" s="605" t="inlineStr">
        <is>
          <t>2023000069014</t>
        </is>
      </c>
      <c r="AE33" s="653" t="inlineStr">
        <is>
          <t>J STREET I LLC</t>
        </is>
      </c>
      <c r="AF33" s="653" t="inlineStr">
        <is>
          <t>FRANKLIN INDUSTRIAL LLC</t>
        </is>
      </c>
      <c r="AI33" s="605">
        <f>IF(AND($E33=Subj_OccCode,Subj_BldgSF&gt;0,ABS($L33-Subj_BldgSF)&lt;=Subj_BldgSF*Subj_SizeTol),ABS($L33-Subj_BldgSF),NA())</f>
        <v/>
      </c>
      <c r="AJ33">
        <f>IF(ISNA(AI33),NA(),AI33+ROW()/10000000)</f>
        <v/>
      </c>
      <c r="AK33" s="605">
        <f>IF(AND(ISNUMBER($N33),$N33&gt;0,ISNUMBER($Y33)),$Y33/$N33,"")</f>
        <v/>
      </c>
    </row>
    <row r="34" ht="15" customHeight="1" s="545">
      <c r="A34" s="388" t="n">
        <v>7</v>
      </c>
      <c r="B34" s="605" t="n">
        <v>26</v>
      </c>
      <c r="C34" s="605" t="inlineStr">
        <is>
          <t>R0158487</t>
        </is>
      </c>
      <c r="D34" s="605" t="inlineStr">
        <is>
          <t>1750 W 64TH LN</t>
        </is>
      </c>
      <c r="E34" s="605" t="n">
        <v>425</v>
      </c>
      <c r="G34" s="605" t="inlineStr">
        <is>
          <t>5</t>
        </is>
      </c>
      <c r="H34" s="59">
        <f>Y34/J34</f>
        <v/>
      </c>
      <c r="I34" s="389" t="n">
        <v>45264</v>
      </c>
      <c r="J34" s="605" t="n">
        <v>10840</v>
      </c>
      <c r="K34" s="59" t="n"/>
      <c r="L34" s="605" t="n">
        <v>10840</v>
      </c>
      <c r="M34" s="605" t="n">
        <v>2003</v>
      </c>
      <c r="P34" s="605" t="inlineStr">
        <is>
          <t>Planned Unit Development</t>
        </is>
      </c>
      <c r="R34" s="152" t="inlineStr">
        <is>
          <t>Average</t>
        </is>
      </c>
      <c r="S34" s="605" t="n">
        <v>9670</v>
      </c>
      <c r="T34" s="390">
        <f>S34/L34</f>
        <v/>
      </c>
      <c r="U34" s="605" t="inlineStr">
        <is>
          <t>Average</t>
        </is>
      </c>
      <c r="V34" s="390" t="n"/>
      <c r="W34" s="390" t="n"/>
      <c r="X34" s="390" t="n"/>
      <c r="Y34" s="60" t="n">
        <v>560000</v>
      </c>
      <c r="Z34" s="60" t="n"/>
      <c r="AA34" s="60" t="n">
        <v>560000</v>
      </c>
      <c r="AB34" s="60" t="n"/>
      <c r="AC34" s="605" t="inlineStr">
        <is>
          <t>0182504302017</t>
        </is>
      </c>
      <c r="AD34" s="605" t="inlineStr">
        <is>
          <t>2023000067126</t>
        </is>
      </c>
      <c r="AE34" s="653" t="inlineStr">
        <is>
          <t>QUALLS JOSEPH M AND, QUALLS CYNTHIA A</t>
        </is>
      </c>
      <c r="AF34" s="653" t="inlineStr">
        <is>
          <t>KOEGEL REAL ESTATE LLC</t>
        </is>
      </c>
      <c r="AI34" s="605">
        <f>IF(AND($E34=Subj_OccCode,Subj_BldgSF&gt;0,ABS($L34-Subj_BldgSF)&lt;=Subj_BldgSF*Subj_SizeTol),ABS($L34-Subj_BldgSF),NA())</f>
        <v/>
      </c>
      <c r="AJ34">
        <f>IF(ISNA(AI34),NA(),AI34+ROW()/10000000)</f>
        <v/>
      </c>
      <c r="AK34" s="605">
        <f>IF(AND(ISNUMBER($N34),$N34&gt;0,ISNUMBER($Y34)),$Y34/$N34,"")</f>
        <v/>
      </c>
    </row>
    <row r="35" ht="15" customHeight="1" s="545">
      <c r="A35" s="388" t="n">
        <v>7</v>
      </c>
      <c r="B35" s="605" t="n">
        <v>27</v>
      </c>
      <c r="C35" s="605" t="inlineStr">
        <is>
          <t>R0177294</t>
        </is>
      </c>
      <c r="D35" s="605" t="inlineStr">
        <is>
          <t>5156 W 58TH AVE</t>
        </is>
      </c>
      <c r="E35" s="605" t="n">
        <v>210</v>
      </c>
      <c r="F35" s="605" t="inlineStr">
        <is>
          <t>ARVADA</t>
        </is>
      </c>
      <c r="G35" s="605" t="inlineStr">
        <is>
          <t>5</t>
        </is>
      </c>
      <c r="H35" s="59">
        <f>Y35/J35</f>
        <v/>
      </c>
      <c r="I35" s="389" t="n">
        <v>45372</v>
      </c>
      <c r="J35" s="605" t="n">
        <v>23554</v>
      </c>
      <c r="K35" s="59" t="n"/>
      <c r="L35" s="605" t="n">
        <v>23554</v>
      </c>
      <c r="M35" s="605" t="n">
        <v>2008</v>
      </c>
      <c r="P35" s="605" t="inlineStr">
        <is>
          <t>I-1-Arv</t>
        </is>
      </c>
      <c r="R35" s="152" t="inlineStr">
        <is>
          <t>Average</t>
        </is>
      </c>
      <c r="S35" s="605" t="n">
        <v>98285</v>
      </c>
      <c r="T35" s="390">
        <f>S35/L35</f>
        <v/>
      </c>
      <c r="U35" s="605" t="inlineStr">
        <is>
          <t>Average</t>
        </is>
      </c>
      <c r="V35" s="390" t="n"/>
      <c r="W35" s="390" t="n"/>
      <c r="X35" s="390" t="n"/>
      <c r="Y35" s="60" t="n">
        <v>5180000</v>
      </c>
      <c r="Z35" s="60" t="n"/>
      <c r="AA35" s="60" t="n">
        <v>5180000</v>
      </c>
      <c r="AB35" s="60" t="n"/>
      <c r="AC35" s="605" t="inlineStr">
        <is>
          <t>0182507309001</t>
        </is>
      </c>
      <c r="AD35" s="605" t="inlineStr">
        <is>
          <t>2024000014950</t>
        </is>
      </c>
      <c r="AE35" s="653" t="inlineStr">
        <is>
          <t>DUCTS HOLDINGS LLC</t>
        </is>
      </c>
      <c r="AF35" s="653" t="inlineStr">
        <is>
          <t>DU REAL ESTATE HOLDINGS LLC</t>
        </is>
      </c>
      <c r="AI35" s="605">
        <f>IF(AND($E35=Subj_OccCode,Subj_BldgSF&gt;0,ABS($L35-Subj_BldgSF)&lt;=Subj_BldgSF*Subj_SizeTol),ABS($L35-Subj_BldgSF),NA())</f>
        <v/>
      </c>
      <c r="AJ35">
        <f>IF(ISNA(AI35),NA(),AI35+ROW()/10000000)</f>
        <v/>
      </c>
      <c r="AK35" s="605">
        <f>IF(AND(ISNUMBER($N35),$N35&gt;0,ISNUMBER($Y35)),$Y35/$N35,"")</f>
        <v/>
      </c>
    </row>
    <row r="36" ht="15" customHeight="1" s="545">
      <c r="A36" s="388" t="n">
        <v>7</v>
      </c>
      <c r="B36" s="605" t="n">
        <v>28</v>
      </c>
      <c r="C36" s="605" t="inlineStr">
        <is>
          <t>R0004560</t>
        </is>
      </c>
      <c r="D36" s="605" t="inlineStr">
        <is>
          <t>501 S MAIN ST</t>
        </is>
      </c>
      <c r="E36" s="605" t="n">
        <v>406</v>
      </c>
      <c r="F36" s="605" t="inlineStr">
        <is>
          <t>BRIGHTON</t>
        </is>
      </c>
      <c r="G36" s="605" t="inlineStr">
        <is>
          <t>2</t>
        </is>
      </c>
      <c r="H36" s="59">
        <f>Y36/J36</f>
        <v/>
      </c>
      <c r="I36" s="389" t="n">
        <v>44869</v>
      </c>
      <c r="J36" s="605" t="n">
        <v>4080</v>
      </c>
      <c r="K36" s="59" t="n"/>
      <c r="L36" s="605" t="n">
        <v>4080</v>
      </c>
      <c r="M36" s="605" t="n">
        <v>1954</v>
      </c>
      <c r="P36" s="605" t="inlineStr">
        <is>
          <t>I-1-Bri</t>
        </is>
      </c>
      <c r="R36" s="152" t="inlineStr">
        <is>
          <t>Average</t>
        </is>
      </c>
      <c r="S36" s="605" t="n">
        <v>12762</v>
      </c>
      <c r="T36" s="390">
        <f>S36/L36</f>
        <v/>
      </c>
      <c r="U36" s="605" t="inlineStr">
        <is>
          <t>Average</t>
        </is>
      </c>
      <c r="V36" s="390" t="n"/>
      <c r="W36" s="390" t="n"/>
      <c r="X36" s="390" t="n"/>
      <c r="Y36" s="60" t="n">
        <v>750000</v>
      </c>
      <c r="Z36" s="60" t="n"/>
      <c r="AA36" s="60" t="n">
        <v>750000</v>
      </c>
      <c r="AB36" s="60" t="n"/>
      <c r="AC36" s="605" t="inlineStr">
        <is>
          <t>0156907323002</t>
        </is>
      </c>
      <c r="AD36" s="605" t="inlineStr">
        <is>
          <t>2022000089640</t>
        </is>
      </c>
      <c r="AE36" s="653" t="inlineStr">
        <is>
          <t>PACHECO JESUS L</t>
        </is>
      </c>
      <c r="AF36" s="653" t="inlineStr">
        <is>
          <t>RELIANCE POWER COMPANY LLC AND, 4 SEASONS TRANSPORT LLC</t>
        </is>
      </c>
      <c r="AI36" s="605">
        <f>IF(AND($E36=Subj_OccCode,Subj_BldgSF&gt;0,ABS($L36-Subj_BldgSF)&lt;=Subj_BldgSF*Subj_SizeTol),ABS($L36-Subj_BldgSF),NA())</f>
        <v/>
      </c>
      <c r="AJ36">
        <f>IF(ISNA(AI36),NA(),AI36+ROW()/10000000)</f>
        <v/>
      </c>
      <c r="AK36" s="605">
        <f>IF(AND(ISNUMBER($N36),$N36&gt;0,ISNUMBER($Y36)),$Y36/$N36,"")</f>
        <v/>
      </c>
    </row>
    <row r="37" ht="15" customHeight="1" s="545">
      <c r="A37" s="388" t="n">
        <v>7</v>
      </c>
      <c r="B37" s="605" t="n">
        <v>29</v>
      </c>
      <c r="C37" s="605" t="inlineStr">
        <is>
          <t>R0081995</t>
        </is>
      </c>
      <c r="D37" s="605" t="inlineStr">
        <is>
          <t>56761 E COLFAX AVE</t>
        </is>
      </c>
      <c r="E37" s="605" t="n">
        <v>353</v>
      </c>
      <c r="F37" s="605" t="inlineStr">
        <is>
          <t>STRASBURG</t>
        </is>
      </c>
      <c r="G37" s="605" t="inlineStr">
        <is>
          <t>1</t>
        </is>
      </c>
      <c r="H37" s="59">
        <f>Y37/J37</f>
        <v/>
      </c>
      <c r="I37" s="389" t="n">
        <v>45190</v>
      </c>
      <c r="J37" s="605" t="n">
        <v>2880</v>
      </c>
      <c r="K37" s="59" t="n"/>
      <c r="L37" s="605" t="n">
        <v>2880</v>
      </c>
      <c r="M37" s="605" t="n">
        <v>1954</v>
      </c>
      <c r="P37" s="605" t="inlineStr">
        <is>
          <t>Commercial</t>
        </is>
      </c>
      <c r="R37" s="152" t="inlineStr">
        <is>
          <t>Average</t>
        </is>
      </c>
      <c r="S37" s="605" t="n">
        <v>5000</v>
      </c>
      <c r="T37" s="390">
        <f>S37/L37</f>
        <v/>
      </c>
      <c r="U37" s="605" t="inlineStr">
        <is>
          <t>Average</t>
        </is>
      </c>
      <c r="V37" s="390" t="n"/>
      <c r="W37" s="390" t="n"/>
      <c r="X37" s="390" t="n"/>
      <c r="Y37" s="60" t="n">
        <v>350000</v>
      </c>
      <c r="Z37" s="60" t="n"/>
      <c r="AA37" s="60" t="n">
        <v>350000</v>
      </c>
      <c r="AB37" s="60" t="n"/>
      <c r="AC37" s="605" t="inlineStr">
        <is>
          <t>0181333422008</t>
        </is>
      </c>
      <c r="AD37" s="605" t="inlineStr">
        <is>
          <t>2023000054363</t>
        </is>
      </c>
      <c r="AE37" s="653" t="inlineStr">
        <is>
          <t>K &amp; S FAMILY INDUSTRIES LLC</t>
        </is>
      </c>
      <c r="AF37" s="653" t="inlineStr">
        <is>
          <t>THE STRASBURG YARD LLC</t>
        </is>
      </c>
      <c r="AI37" s="605">
        <f>IF(AND($E37=Subj_OccCode,Subj_BldgSF&gt;0,ABS($L37-Subj_BldgSF)&lt;=Subj_BldgSF*Subj_SizeTol),ABS($L37-Subj_BldgSF),NA())</f>
        <v/>
      </c>
      <c r="AJ37">
        <f>IF(ISNA(AI37),NA(),AI37+ROW()/10000000)</f>
        <v/>
      </c>
      <c r="AK37" s="605">
        <f>IF(AND(ISNUMBER($N37),$N37&gt;0,ISNUMBER($Y37)),$Y37/$N37,"")</f>
        <v/>
      </c>
    </row>
    <row r="38" ht="15" customHeight="1" s="545">
      <c r="A38" s="388" t="n">
        <v>7</v>
      </c>
      <c r="B38" s="605" t="n">
        <v>30</v>
      </c>
      <c r="C38" s="605" t="inlineStr">
        <is>
          <t>R0084235</t>
        </is>
      </c>
      <c r="D38" s="605" t="inlineStr">
        <is>
          <t>3751 FRASER ST</t>
        </is>
      </c>
      <c r="E38" s="605" t="n">
        <v>407</v>
      </c>
      <c r="F38" s="605" t="inlineStr">
        <is>
          <t>AURORA</t>
        </is>
      </c>
      <c r="G38" s="605" t="inlineStr">
        <is>
          <t>6</t>
        </is>
      </c>
      <c r="H38" s="59">
        <f>Y38/J38</f>
        <v/>
      </c>
      <c r="I38" s="389" t="n">
        <v>44791</v>
      </c>
      <c r="J38" s="605" t="n">
        <v>24836</v>
      </c>
      <c r="K38" s="59" t="n"/>
      <c r="L38" s="605" t="n">
        <v>24836</v>
      </c>
      <c r="M38" s="605" t="n">
        <v>1976</v>
      </c>
      <c r="P38" s="605" t="inlineStr">
        <is>
          <t>M-1-Aur</t>
        </is>
      </c>
      <c r="R38" s="152" t="inlineStr">
        <is>
          <t>Fair</t>
        </is>
      </c>
      <c r="S38" s="605" t="n">
        <v>290110</v>
      </c>
      <c r="T38" s="390">
        <f>S38/L38</f>
        <v/>
      </c>
      <c r="U38" s="605" t="inlineStr">
        <is>
          <t>Fair</t>
        </is>
      </c>
      <c r="V38" s="390" t="n"/>
      <c r="W38" s="390" t="n"/>
      <c r="X38" s="390" t="n"/>
      <c r="Y38" s="60" t="n">
        <v>7452000</v>
      </c>
      <c r="Z38" s="60" t="n"/>
      <c r="AA38" s="60" t="n">
        <v>7452000</v>
      </c>
      <c r="AB38" s="60" t="n"/>
      <c r="AC38" s="605" t="inlineStr">
        <is>
          <t>0182130002003</t>
        </is>
      </c>
      <c r="AD38" s="605" t="inlineStr">
        <is>
          <t>2022000070197</t>
        </is>
      </c>
      <c r="AE38" s="653" t="inlineStr">
        <is>
          <t>FRASER SERVICE CENTER LLC</t>
        </is>
      </c>
      <c r="AF38" s="653" t="inlineStr">
        <is>
          <t>NICOLA 3751 FRASER LP</t>
        </is>
      </c>
      <c r="AI38" s="605">
        <f>IF(AND($E38=Subj_OccCode,Subj_BldgSF&gt;0,ABS($L38-Subj_BldgSF)&lt;=Subj_BldgSF*Subj_SizeTol),ABS($L38-Subj_BldgSF),NA())</f>
        <v/>
      </c>
      <c r="AJ38">
        <f>IF(ISNA(AI38),NA(),AI38+ROW()/10000000)</f>
        <v/>
      </c>
      <c r="AK38" s="605">
        <f>IF(AND(ISNUMBER($N38),$N38&gt;0,ISNUMBER($Y38)),$Y38/$N38,"")</f>
        <v/>
      </c>
    </row>
    <row r="39" ht="15" customHeight="1" s="545">
      <c r="A39" s="388" t="n">
        <v>7</v>
      </c>
      <c r="B39" s="605" t="n">
        <v>31</v>
      </c>
      <c r="C39" s="605" t="inlineStr">
        <is>
          <t>R0124575</t>
        </is>
      </c>
      <c r="D39" s="605" t="inlineStr">
        <is>
          <t>11152 HURON ST #105</t>
        </is>
      </c>
      <c r="E39" s="605" t="n">
        <v>1344</v>
      </c>
      <c r="F39" s="605" t="inlineStr">
        <is>
          <t>NORTHGLENN</t>
        </is>
      </c>
      <c r="G39" s="605" t="inlineStr">
        <is>
          <t>4</t>
        </is>
      </c>
      <c r="H39" s="59">
        <f>Y39/J39</f>
        <v/>
      </c>
      <c r="I39" s="389" t="n">
        <v>45036</v>
      </c>
      <c r="J39" s="605" t="n">
        <v>20472</v>
      </c>
      <c r="K39" s="59" t="n"/>
      <c r="L39" s="605" t="n">
        <v>20472</v>
      </c>
      <c r="M39" s="605" t="n">
        <v>2000</v>
      </c>
      <c r="P39" s="605" t="inlineStr">
        <is>
          <t>C-0-Nor</t>
        </is>
      </c>
      <c r="R39" s="152" t="inlineStr">
        <is>
          <t>Average</t>
        </is>
      </c>
      <c r="S39" s="605" t="n">
        <v>3100</v>
      </c>
      <c r="T39" s="390">
        <f>S39/L39</f>
        <v/>
      </c>
      <c r="U39" s="605" t="inlineStr">
        <is>
          <t>Average</t>
        </is>
      </c>
      <c r="V39" s="390" t="n"/>
      <c r="W39" s="390" t="n"/>
      <c r="X39" s="390" t="n"/>
      <c r="Y39" s="60" t="n">
        <v>240000</v>
      </c>
      <c r="Z39" s="60" t="n"/>
      <c r="AA39" s="60" t="n">
        <v>240000</v>
      </c>
      <c r="AB39" s="60" t="n"/>
      <c r="AC39" s="605" t="inlineStr">
        <is>
          <t>0171910205035</t>
        </is>
      </c>
      <c r="AD39" s="605" t="inlineStr">
        <is>
          <t>2023000022836</t>
        </is>
      </c>
      <c r="AE39" s="653" t="inlineStr">
        <is>
          <t>PACER HOLDINGS LLC</t>
        </is>
      </c>
      <c r="AF39" s="653" t="inlineStr">
        <is>
          <t>HELIE CHIROPRACTIC CLINIC LLC</t>
        </is>
      </c>
      <c r="AI39" s="605">
        <f>IF(AND($E39=Subj_OccCode,Subj_BldgSF&gt;0,ABS($L39-Subj_BldgSF)&lt;=Subj_BldgSF*Subj_SizeTol),ABS($L39-Subj_BldgSF),NA())</f>
        <v/>
      </c>
      <c r="AJ39">
        <f>IF(ISNA(AI39),NA(),AI39+ROW()/10000000)</f>
        <v/>
      </c>
      <c r="AK39" s="605">
        <f>IF(AND(ISNUMBER($N39),$N39&gt;0,ISNUMBER($Y39)),$Y39/$N39,"")</f>
        <v/>
      </c>
    </row>
    <row r="40" ht="15" customHeight="1" s="545">
      <c r="A40" s="388" t="n">
        <v>7</v>
      </c>
      <c r="B40" s="605" t="n">
        <v>32</v>
      </c>
      <c r="C40" s="605" t="inlineStr">
        <is>
          <t>R0124576</t>
        </is>
      </c>
      <c r="D40" s="605" t="inlineStr">
        <is>
          <t>11152 HURON ST #106</t>
        </is>
      </c>
      <c r="E40" s="605" t="n">
        <v>1344</v>
      </c>
      <c r="F40" s="605" t="inlineStr">
        <is>
          <t>NORTHGLENN</t>
        </is>
      </c>
      <c r="G40" s="605" t="inlineStr">
        <is>
          <t>4</t>
        </is>
      </c>
      <c r="H40" s="59">
        <f>Y40/J40</f>
        <v/>
      </c>
      <c r="I40" s="389" t="n">
        <v>45054</v>
      </c>
      <c r="J40" s="605" t="n">
        <v>20472</v>
      </c>
      <c r="K40" s="59" t="n"/>
      <c r="L40" s="605" t="n">
        <v>20472</v>
      </c>
      <c r="M40" s="605" t="n">
        <v>2000</v>
      </c>
      <c r="P40" s="605" t="inlineStr">
        <is>
          <t>C-0-Nor</t>
        </is>
      </c>
      <c r="R40" s="152" t="inlineStr">
        <is>
          <t>Average</t>
        </is>
      </c>
      <c r="S40" s="605" t="n">
        <v>3100</v>
      </c>
      <c r="T40" s="390">
        <f>S40/L40</f>
        <v/>
      </c>
      <c r="U40" s="605" t="inlineStr">
        <is>
          <t>Average</t>
        </is>
      </c>
      <c r="V40" s="390" t="n"/>
      <c r="W40" s="390" t="n"/>
      <c r="X40" s="390" t="n"/>
      <c r="Y40" s="60" t="n">
        <v>246300</v>
      </c>
      <c r="Z40" s="60" t="n"/>
      <c r="AA40" s="60" t="n">
        <v>246300</v>
      </c>
      <c r="AB40" s="60" t="n"/>
      <c r="AC40" s="605" t="inlineStr">
        <is>
          <t>0171910205036</t>
        </is>
      </c>
      <c r="AD40" s="605" t="inlineStr">
        <is>
          <t>2023000026486</t>
        </is>
      </c>
      <c r="AE40" s="653" t="inlineStr">
        <is>
          <t>PACER HOLDINGS LLC</t>
        </is>
      </c>
      <c r="AF40" s="653" t="inlineStr">
        <is>
          <t>CCIRE I LLC</t>
        </is>
      </c>
      <c r="AI40" s="605">
        <f>IF(AND($E40=Subj_OccCode,Subj_BldgSF&gt;0,ABS($L40-Subj_BldgSF)&lt;=Subj_BldgSF*Subj_SizeTol),ABS($L40-Subj_BldgSF),NA())</f>
        <v/>
      </c>
      <c r="AJ40">
        <f>IF(ISNA(AI40),NA(),AI40+ROW()/10000000)</f>
        <v/>
      </c>
      <c r="AK40" s="605">
        <f>IF(AND(ISNUMBER($N40),$N40&gt;0,ISNUMBER($Y40)),$Y40/$N40,"")</f>
        <v/>
      </c>
    </row>
    <row r="41" ht="15" customHeight="1" s="545">
      <c r="A41" s="388" t="n">
        <v>7</v>
      </c>
      <c r="B41" s="605" t="n">
        <v>33</v>
      </c>
      <c r="C41" s="605" t="inlineStr">
        <is>
          <t>R0124580</t>
        </is>
      </c>
      <c r="D41" s="605" t="inlineStr">
        <is>
          <t>11152 HURON ST #204</t>
        </is>
      </c>
      <c r="E41" s="605" t="n">
        <v>1344</v>
      </c>
      <c r="F41" s="605" t="inlineStr">
        <is>
          <t>NORTHGLENN</t>
        </is>
      </c>
      <c r="G41" s="605" t="inlineStr">
        <is>
          <t>4</t>
        </is>
      </c>
      <c r="H41" s="59">
        <f>Y41/J41</f>
        <v/>
      </c>
      <c r="I41" s="389" t="n">
        <v>45154</v>
      </c>
      <c r="J41" s="605" t="n">
        <v>20472</v>
      </c>
      <c r="K41" s="59" t="n"/>
      <c r="L41" s="605" t="n">
        <v>20472</v>
      </c>
      <c r="M41" s="605" t="n">
        <v>2000</v>
      </c>
      <c r="P41" s="605" t="inlineStr">
        <is>
          <t>C-0-Nor</t>
        </is>
      </c>
      <c r="R41" s="152" t="inlineStr">
        <is>
          <t>Average</t>
        </is>
      </c>
      <c r="S41" s="605" t="n">
        <v>3100</v>
      </c>
      <c r="T41" s="390">
        <f>S41/L41</f>
        <v/>
      </c>
      <c r="U41" s="605" t="inlineStr">
        <is>
          <t>Average</t>
        </is>
      </c>
      <c r="V41" s="390" t="n"/>
      <c r="W41" s="390" t="n"/>
      <c r="X41" s="390" t="n"/>
      <c r="Y41" s="60" t="n">
        <v>320000</v>
      </c>
      <c r="Z41" s="60" t="n"/>
      <c r="AA41" s="60" t="n">
        <v>320000</v>
      </c>
      <c r="AB41" s="60" t="n"/>
      <c r="AC41" s="605" t="inlineStr">
        <is>
          <t>0171910205040</t>
        </is>
      </c>
      <c r="AD41" s="605" t="inlineStr">
        <is>
          <t>2023000046995</t>
        </is>
      </c>
      <c r="AE41" s="653" t="inlineStr">
        <is>
          <t>HURON 210 LLC</t>
        </is>
      </c>
      <c r="AF41" s="653" t="inlineStr">
        <is>
          <t>A C HOLDINGS LLC</t>
        </is>
      </c>
      <c r="AI41" s="605">
        <f>IF(AND($E41=Subj_OccCode,Subj_BldgSF&gt;0,ABS($L41-Subj_BldgSF)&lt;=Subj_BldgSF*Subj_SizeTol),ABS($L41-Subj_BldgSF),NA())</f>
        <v/>
      </c>
      <c r="AJ41">
        <f>IF(ISNA(AI41),NA(),AI41+ROW()/10000000)</f>
        <v/>
      </c>
      <c r="AK41" s="605">
        <f>IF(AND(ISNUMBER($N41),$N41&gt;0,ISNUMBER($Y41)),$Y41/$N41,"")</f>
        <v/>
      </c>
    </row>
    <row r="42" ht="15" customHeight="1" s="545">
      <c r="A42" s="388" t="n">
        <v>7</v>
      </c>
      <c r="B42" s="605" t="n">
        <v>34</v>
      </c>
      <c r="C42" s="605" t="inlineStr">
        <is>
          <t>R0132006</t>
        </is>
      </c>
      <c r="D42" s="605" t="inlineStr">
        <is>
          <t>12021 PENNSYLVANIA ST #206</t>
        </is>
      </c>
      <c r="E42" s="605" t="n">
        <v>1344</v>
      </c>
      <c r="F42" s="605" t="inlineStr">
        <is>
          <t>THORNTON</t>
        </is>
      </c>
      <c r="G42" s="605" t="inlineStr">
        <is>
          <t>3</t>
        </is>
      </c>
      <c r="H42" s="59">
        <f>Y42/J42</f>
        <v/>
      </c>
      <c r="I42" s="389" t="n">
        <v>45205</v>
      </c>
      <c r="J42" s="605" t="n">
        <v>17328</v>
      </c>
      <c r="K42" s="59" t="n"/>
      <c r="L42" s="605" t="n">
        <v>17328</v>
      </c>
      <c r="M42" s="605" t="n">
        <v>2000</v>
      </c>
      <c r="P42" s="605" t="inlineStr">
        <is>
          <t>Regional Commercial</t>
        </is>
      </c>
      <c r="R42" s="152" t="inlineStr">
        <is>
          <t>Average</t>
        </is>
      </c>
      <c r="S42" s="605" t="n">
        <v>3838.69</v>
      </c>
      <c r="T42" s="390">
        <f>S42/L42</f>
        <v/>
      </c>
      <c r="U42" s="605" t="inlineStr">
        <is>
          <t>Average</t>
        </is>
      </c>
      <c r="V42" s="390" t="n"/>
      <c r="W42" s="390" t="n"/>
      <c r="X42" s="390" t="n"/>
      <c r="Y42" s="60" t="n">
        <v>335000</v>
      </c>
      <c r="Z42" s="60" t="n"/>
      <c r="AA42" s="60" t="n">
        <v>335000</v>
      </c>
      <c r="AB42" s="60" t="n"/>
      <c r="AC42" s="605" t="inlineStr">
        <is>
          <t>0157334401018</t>
        </is>
      </c>
      <c r="AD42" s="605" t="inlineStr">
        <is>
          <t>2023000057840</t>
        </is>
      </c>
      <c r="AE42" s="653" t="inlineStr">
        <is>
          <t>GRAND PROPERTIES CO LLC</t>
        </is>
      </c>
      <c r="AF42" s="653" t="inlineStr">
        <is>
          <t>VARGUEZ VERONIC</t>
        </is>
      </c>
      <c r="AI42" s="605">
        <f>IF(AND($E42=Subj_OccCode,Subj_BldgSF&gt;0,ABS($L42-Subj_BldgSF)&lt;=Subj_BldgSF*Subj_SizeTol),ABS($L42-Subj_BldgSF),NA())</f>
        <v/>
      </c>
      <c r="AJ42">
        <f>IF(ISNA(AI42),NA(),AI42+ROW()/10000000)</f>
        <v/>
      </c>
      <c r="AK42" s="605">
        <f>IF(AND(ISNUMBER($N42),$N42&gt;0,ISNUMBER($Y42)),$Y42/$N42,"")</f>
        <v/>
      </c>
    </row>
    <row r="43" ht="15" customHeight="1" s="545">
      <c r="A43" s="388" t="n">
        <v>7</v>
      </c>
      <c r="B43" s="605" t="n">
        <v>35</v>
      </c>
      <c r="C43" s="605" t="inlineStr">
        <is>
          <t>R0159467</t>
        </is>
      </c>
      <c r="D43" s="605" t="inlineStr">
        <is>
          <t>12001 E 33RD AVE</t>
        </is>
      </c>
      <c r="E43" s="605" t="n">
        <v>425</v>
      </c>
      <c r="F43" s="605" t="inlineStr">
        <is>
          <t>AURORA</t>
        </is>
      </c>
      <c r="G43" s="605" t="inlineStr">
        <is>
          <t>6</t>
        </is>
      </c>
      <c r="H43" s="59">
        <f>Y43/J43</f>
        <v/>
      </c>
      <c r="I43" s="389" t="n">
        <v>44957</v>
      </c>
      <c r="J43" s="605" t="n">
        <v>32500</v>
      </c>
      <c r="K43" s="59" t="n"/>
      <c r="L43" s="605" t="n">
        <v>32500</v>
      </c>
      <c r="M43" s="605" t="n">
        <v>2004</v>
      </c>
      <c r="P43" s="605" t="inlineStr">
        <is>
          <t>M-2</t>
        </is>
      </c>
      <c r="R43" s="152" t="inlineStr">
        <is>
          <t>Average</t>
        </is>
      </c>
      <c r="S43" s="605" t="n">
        <v>4740</v>
      </c>
      <c r="T43" s="390">
        <f>S43/L43</f>
        <v/>
      </c>
      <c r="U43" s="605" t="inlineStr">
        <is>
          <t>Average</t>
        </is>
      </c>
      <c r="V43" s="390" t="n"/>
      <c r="W43" s="390" t="n"/>
      <c r="X43" s="390" t="n"/>
      <c r="Y43" s="60" t="n">
        <v>599000</v>
      </c>
      <c r="Z43" s="60" t="n"/>
      <c r="AA43" s="60" t="n">
        <v>599000</v>
      </c>
      <c r="AB43" s="60" t="n"/>
      <c r="AC43" s="605" t="inlineStr">
        <is>
          <t>0182326103031</t>
        </is>
      </c>
      <c r="AD43" s="605" t="inlineStr">
        <is>
          <t>2023000005839</t>
        </is>
      </c>
      <c r="AE43" s="653" t="inlineStr">
        <is>
          <t>SOUTH STREET CAPITAL PARTNERS LLC</t>
        </is>
      </c>
      <c r="AF43" s="653" t="inlineStr">
        <is>
          <t>DIASPORA DANCE COMPANY LLC</t>
        </is>
      </c>
      <c r="AI43" s="605">
        <f>IF(AND($E43=Subj_OccCode,Subj_BldgSF&gt;0,ABS($L43-Subj_BldgSF)&lt;=Subj_BldgSF*Subj_SizeTol),ABS($L43-Subj_BldgSF),NA())</f>
        <v/>
      </c>
      <c r="AJ43">
        <f>IF(ISNA(AI43),NA(),AI43+ROW()/10000000)</f>
        <v/>
      </c>
      <c r="AK43" s="605">
        <f>IF(AND(ISNUMBER($N43),$N43&gt;0,ISNUMBER($Y43)),$Y43/$N43,"")</f>
        <v/>
      </c>
    </row>
    <row r="44" ht="15" customHeight="1" s="545">
      <c r="A44" s="388" t="n">
        <v>7</v>
      </c>
      <c r="B44" s="605" t="n">
        <v>36</v>
      </c>
      <c r="C44" s="605" t="inlineStr">
        <is>
          <t>R0170482</t>
        </is>
      </c>
      <c r="D44" s="605" t="inlineStr">
        <is>
          <t>5030 W 88TH PL</t>
        </is>
      </c>
      <c r="E44" s="605" t="n">
        <v>1332</v>
      </c>
      <c r="F44" s="605" t="inlineStr">
        <is>
          <t>WESTMINSTER</t>
        </is>
      </c>
      <c r="G44" s="605" t="inlineStr">
        <is>
          <t>4</t>
        </is>
      </c>
      <c r="H44" s="59">
        <f>Y44/J44</f>
        <v/>
      </c>
      <c r="I44" s="389" t="n">
        <v>45113</v>
      </c>
      <c r="J44" s="605" t="n">
        <v>107</v>
      </c>
      <c r="K44" s="59" t="n"/>
      <c r="L44" s="605" t="n">
        <v>107</v>
      </c>
      <c r="M44" s="605" t="n">
        <v>1997</v>
      </c>
      <c r="P44" s="605" t="inlineStr">
        <is>
          <t>PUD-Wes</t>
        </is>
      </c>
      <c r="R44" s="152" t="inlineStr">
        <is>
          <t>Average</t>
        </is>
      </c>
      <c r="S44" s="605" t="n">
        <v>114649.92</v>
      </c>
      <c r="T44" s="390">
        <f>S44/L44</f>
        <v/>
      </c>
      <c r="U44" s="605" t="inlineStr">
        <is>
          <t>Average</t>
        </is>
      </c>
      <c r="V44" s="390" t="n"/>
      <c r="W44" s="390" t="n"/>
      <c r="X44" s="390" t="n"/>
      <c r="Y44" s="60" t="n">
        <v>11000000</v>
      </c>
      <c r="Z44" s="60" t="n"/>
      <c r="AA44" s="60" t="n">
        <v>11000000</v>
      </c>
      <c r="AB44" s="60" t="n"/>
      <c r="AC44" s="605" t="inlineStr">
        <is>
          <t>0171919324006</t>
        </is>
      </c>
      <c r="AD44" s="605" t="inlineStr">
        <is>
          <t>2023000038091</t>
        </is>
      </c>
      <c r="AE44" s="653" t="inlineStr">
        <is>
          <t>SUPREME BRIGHT COLORADO IX LLC</t>
        </is>
      </c>
      <c r="AF44" s="653" t="inlineStr">
        <is>
          <t>D 5030 WESTMINSTER LLC</t>
        </is>
      </c>
      <c r="AI44" s="605">
        <f>IF(AND($E44=Subj_OccCode,Subj_BldgSF&gt;0,ABS($L44-Subj_BldgSF)&lt;=Subj_BldgSF*Subj_SizeTol),ABS($L44-Subj_BldgSF),NA())</f>
        <v/>
      </c>
      <c r="AJ44">
        <f>IF(ISNA(AI44),NA(),AI44+ROW()/10000000)</f>
        <v/>
      </c>
      <c r="AK44" s="605">
        <f>IF(AND(ISNUMBER($N44),$N44&gt;0,ISNUMBER($Y44)),$Y44/$N44,"")</f>
        <v/>
      </c>
    </row>
    <row r="45" ht="15" customHeight="1" s="545">
      <c r="A45" s="388" t="n">
        <v>7</v>
      </c>
      <c r="B45" s="605" t="n">
        <v>37</v>
      </c>
      <c r="C45" s="605" t="inlineStr">
        <is>
          <t>R0173167</t>
        </is>
      </c>
      <c r="D45" s="605" t="inlineStr">
        <is>
          <t>11154 HURON ST #104</t>
        </is>
      </c>
      <c r="E45" s="605" t="n">
        <v>1344</v>
      </c>
      <c r="F45" s="605" t="inlineStr">
        <is>
          <t>NORTHGLENN</t>
        </is>
      </c>
      <c r="G45" s="605" t="inlineStr">
        <is>
          <t>4</t>
        </is>
      </c>
      <c r="H45" s="59">
        <f>Y45/J45</f>
        <v/>
      </c>
      <c r="I45" s="389" t="n">
        <v>45215</v>
      </c>
      <c r="J45" s="605" t="n">
        <v>19584</v>
      </c>
      <c r="K45" s="59" t="n"/>
      <c r="L45" s="605" t="n">
        <v>19584</v>
      </c>
      <c r="M45" s="605" t="n">
        <v>2001</v>
      </c>
      <c r="P45" s="605" t="inlineStr">
        <is>
          <t>C-0-Nor</t>
        </is>
      </c>
      <c r="R45" s="152" t="inlineStr">
        <is>
          <t>Average</t>
        </is>
      </c>
      <c r="S45" s="605" t="n">
        <v>5862</v>
      </c>
      <c r="T45" s="390">
        <f>S45/L45</f>
        <v/>
      </c>
      <c r="U45" s="605" t="inlineStr">
        <is>
          <t>Average</t>
        </is>
      </c>
      <c r="V45" s="390" t="n"/>
      <c r="W45" s="390" t="n"/>
      <c r="X45" s="390" t="n"/>
      <c r="Y45" s="60" t="n">
        <v>345000</v>
      </c>
      <c r="Z45" s="60" t="n"/>
      <c r="AA45" s="60" t="n">
        <v>345000</v>
      </c>
      <c r="AB45" s="60" t="n"/>
      <c r="AC45" s="605" t="inlineStr">
        <is>
          <t>0171910205046</t>
        </is>
      </c>
      <c r="AD45" s="605" t="inlineStr">
        <is>
          <t>2023000058615</t>
        </is>
      </c>
      <c r="AE45" s="653" t="inlineStr">
        <is>
          <t>LAMM DEVELOPMENTS LTD</t>
        </is>
      </c>
      <c r="AF45" s="653" t="inlineStr">
        <is>
          <t>WANDERSPRING LLC</t>
        </is>
      </c>
      <c r="AI45" s="605">
        <f>IF(AND($E45=Subj_OccCode,Subj_BldgSF&gt;0,ABS($L45-Subj_BldgSF)&lt;=Subj_BldgSF*Subj_SizeTol),ABS($L45-Subj_BldgSF),NA())</f>
        <v/>
      </c>
      <c r="AJ45">
        <f>IF(ISNA(AI45),NA(),AI45+ROW()/10000000)</f>
        <v/>
      </c>
      <c r="AK45" s="605">
        <f>IF(AND(ISNUMBER($N45),$N45&gt;0,ISNUMBER($Y45)),$Y45/$N45,"")</f>
        <v/>
      </c>
    </row>
    <row r="46" ht="15" customHeight="1" s="545">
      <c r="A46" s="388" t="n">
        <v>7</v>
      </c>
      <c r="B46" s="605" t="n">
        <v>38</v>
      </c>
      <c r="C46" s="605" t="inlineStr">
        <is>
          <t>R0194196</t>
        </is>
      </c>
      <c r="D46" s="605" t="inlineStr">
        <is>
          <t>1800 W 104TH AVE</t>
        </is>
      </c>
      <c r="E46" s="605" t="n">
        <v>227</v>
      </c>
      <c r="F46" s="605" t="inlineStr">
        <is>
          <t>THORNTON</t>
        </is>
      </c>
      <c r="G46" s="605" t="inlineStr">
        <is>
          <t>4</t>
        </is>
      </c>
      <c r="H46" s="59">
        <f>Y46/J46</f>
        <v/>
      </c>
      <c r="I46" s="389" t="n">
        <v>45379</v>
      </c>
      <c r="J46" s="605" t="n">
        <v>36534</v>
      </c>
      <c r="K46" s="59" t="n"/>
      <c r="L46" s="605" t="n">
        <v>36534</v>
      </c>
      <c r="M46" s="605" t="n">
        <v>1975</v>
      </c>
      <c r="P46" s="605" t="inlineStr">
        <is>
          <t>Regional Commercial</t>
        </is>
      </c>
      <c r="R46" s="152" t="inlineStr">
        <is>
          <t>Average</t>
        </is>
      </c>
      <c r="S46" s="605" t="n">
        <v>586186.92</v>
      </c>
      <c r="T46" s="390">
        <f>S46/L46</f>
        <v/>
      </c>
      <c r="U46" s="605" t="inlineStr">
        <is>
          <t>Average</t>
        </is>
      </c>
      <c r="V46" s="390" t="n"/>
      <c r="W46" s="390" t="n"/>
      <c r="X46" s="390" t="n"/>
      <c r="Y46" s="60" t="n">
        <v>11875000</v>
      </c>
      <c r="Z46" s="60" t="n"/>
      <c r="AA46" s="60" t="n">
        <v>11875000</v>
      </c>
      <c r="AB46" s="60" t="n"/>
      <c r="AC46" s="605" t="inlineStr">
        <is>
          <t>0171916202056</t>
        </is>
      </c>
      <c r="AD46" s="605" t="inlineStr">
        <is>
          <t>2024000016866</t>
        </is>
      </c>
      <c r="AE46" s="653" t="inlineStr">
        <is>
          <t>FCA REALTY LLC, TAX AFFAIRS 485-12-30</t>
        </is>
      </c>
      <c r="AF46" s="653" t="inlineStr">
        <is>
          <t>LHM TCD LLC, C/O ASBURY AUTOMOTIVE GROUP INC</t>
        </is>
      </c>
      <c r="AI46" s="605">
        <f>IF(AND($E46=Subj_OccCode,Subj_BldgSF&gt;0,ABS($L46-Subj_BldgSF)&lt;=Subj_BldgSF*Subj_SizeTol),ABS($L46-Subj_BldgSF),NA())</f>
        <v/>
      </c>
      <c r="AJ46">
        <f>IF(ISNA(AI46),NA(),AI46+ROW()/10000000)</f>
        <v/>
      </c>
      <c r="AK46" s="605">
        <f>IF(AND(ISNUMBER($N46),$N46&gt;0,ISNUMBER($Y46)),$Y46/$N46,"")</f>
        <v/>
      </c>
    </row>
    <row r="47" ht="15" customHeight="1" s="545">
      <c r="A47" s="388" t="n">
        <v>7</v>
      </c>
      <c r="B47" s="605" t="n">
        <v>39</v>
      </c>
      <c r="C47" s="605" t="inlineStr">
        <is>
          <t>R0058121</t>
        </is>
      </c>
      <c r="D47" s="605" t="inlineStr">
        <is>
          <t>8630 PEARL ST</t>
        </is>
      </c>
      <c r="E47" s="605" t="n">
        <v>353</v>
      </c>
      <c r="F47" s="605" t="inlineStr">
        <is>
          <t>THORNTON</t>
        </is>
      </c>
      <c r="G47" s="605" t="inlineStr">
        <is>
          <t>4</t>
        </is>
      </c>
      <c r="H47" s="59">
        <f>Y47/J47</f>
        <v/>
      </c>
      <c r="I47" s="389" t="n">
        <v>45294</v>
      </c>
      <c r="J47" s="605" t="n">
        <v>1292</v>
      </c>
      <c r="K47" s="59" t="n"/>
      <c r="L47" s="605" t="n">
        <v>1292</v>
      </c>
      <c r="M47" s="605" t="n">
        <v>1959</v>
      </c>
      <c r="P47" s="605" t="inlineStr">
        <is>
          <t>Regional Commercial</t>
        </is>
      </c>
      <c r="R47" s="152" t="inlineStr">
        <is>
          <t>Average</t>
        </is>
      </c>
      <c r="S47" s="605" t="n">
        <v>10018.8</v>
      </c>
      <c r="T47" s="390">
        <f>S47/L47</f>
        <v/>
      </c>
      <c r="U47" s="605" t="inlineStr">
        <is>
          <t>Average</t>
        </is>
      </c>
      <c r="V47" s="390" t="n"/>
      <c r="W47" s="390" t="n"/>
      <c r="X47" s="390" t="n"/>
      <c r="Y47" s="60" t="n">
        <v>400000</v>
      </c>
      <c r="Z47" s="60" t="n"/>
      <c r="AA47" s="60" t="n">
        <v>400000</v>
      </c>
      <c r="AB47" s="60" t="n"/>
      <c r="AC47" s="605" t="inlineStr">
        <is>
          <t>0171927100050</t>
        </is>
      </c>
      <c r="AD47" s="605" t="inlineStr">
        <is>
          <t>2024000000938</t>
        </is>
      </c>
      <c r="AE47" s="653" t="inlineStr">
        <is>
          <t>FIOCCA THOMAS ROBERT AND , FIOCCA ERIN LOIS</t>
        </is>
      </c>
      <c r="AF47" s="653" t="inlineStr">
        <is>
          <t>8630 PEARL LLC</t>
        </is>
      </c>
      <c r="AI47" s="605">
        <f>IF(AND($E47=Subj_OccCode,Subj_BldgSF&gt;0,ABS($L47-Subj_BldgSF)&lt;=Subj_BldgSF*Subj_SizeTol),ABS($L47-Subj_BldgSF),NA())</f>
        <v/>
      </c>
      <c r="AJ47">
        <f>IF(ISNA(AI47),NA(),AI47+ROW()/10000000)</f>
        <v/>
      </c>
      <c r="AK47" s="605">
        <f>IF(AND(ISNUMBER($N47),$N47&gt;0,ISNUMBER($Y47)),$Y47/$N47,"")</f>
        <v/>
      </c>
    </row>
    <row r="48" ht="15" customHeight="1" s="545">
      <c r="A48" s="388" t="n">
        <v>7</v>
      </c>
      <c r="B48" s="605" t="n">
        <v>40</v>
      </c>
      <c r="C48" s="605" t="inlineStr">
        <is>
          <t>R0062940</t>
        </is>
      </c>
      <c r="D48" s="605" t="inlineStr">
        <is>
          <t>8362 SHERIDAN BLVD</t>
        </is>
      </c>
      <c r="E48" s="605" t="n">
        <v>353</v>
      </c>
      <c r="F48" s="605" t="inlineStr">
        <is>
          <t>WESTMINSTER</t>
        </is>
      </c>
      <c r="G48" s="605" t="inlineStr">
        <is>
          <t>4</t>
        </is>
      </c>
      <c r="H48" s="59">
        <f>Y48/J48</f>
        <v/>
      </c>
      <c r="I48" s="389" t="n">
        <v>44764</v>
      </c>
      <c r="J48" s="605" t="n">
        <v>10189</v>
      </c>
      <c r="K48" s="59" t="n"/>
      <c r="L48" s="605" t="n">
        <v>10189</v>
      </c>
      <c r="M48" s="605" t="n">
        <v>1986</v>
      </c>
      <c r="P48" s="605" t="inlineStr">
        <is>
          <t>PUD-Wes</t>
        </is>
      </c>
      <c r="R48" s="152" t="inlineStr">
        <is>
          <t>Average</t>
        </is>
      </c>
      <c r="S48" s="605" t="n">
        <v>66211</v>
      </c>
      <c r="T48" s="390">
        <f>S48/L48</f>
        <v/>
      </c>
      <c r="U48" s="605" t="inlineStr">
        <is>
          <t>Average</t>
        </is>
      </c>
      <c r="V48" s="390" t="n"/>
      <c r="W48" s="390" t="n"/>
      <c r="X48" s="390" t="n"/>
      <c r="Y48" s="60" t="n">
        <v>3300000</v>
      </c>
      <c r="Z48" s="60" t="n"/>
      <c r="AA48" s="60" t="n">
        <v>3300000</v>
      </c>
      <c r="AB48" s="60" t="n"/>
      <c r="AC48" s="605" t="inlineStr">
        <is>
          <t>0171930221002</t>
        </is>
      </c>
      <c r="AD48" s="605" t="inlineStr">
        <is>
          <t>2022000063191</t>
        </is>
      </c>
      <c r="AE48" s="653" t="inlineStr">
        <is>
          <t>84TH SHERIDAN LLC</t>
        </is>
      </c>
      <c r="AF48" s="653" t="inlineStr">
        <is>
          <t>DELSOUZ &amp; LALEH LLC</t>
        </is>
      </c>
      <c r="AI48" s="605">
        <f>IF(AND($E48=Subj_OccCode,Subj_BldgSF&gt;0,ABS($L48-Subj_BldgSF)&lt;=Subj_BldgSF*Subj_SizeTol),ABS($L48-Subj_BldgSF),NA())</f>
        <v/>
      </c>
      <c r="AJ48">
        <f>IF(ISNA(AI48),NA(),AI48+ROW()/10000000)</f>
        <v/>
      </c>
      <c r="AK48" s="605">
        <f>IF(AND(ISNUMBER($N48),$N48&gt;0,ISNUMBER($Y48)),$Y48/$N48,"")</f>
        <v/>
      </c>
    </row>
    <row r="49" ht="15" customHeight="1" s="545">
      <c r="A49" s="388" t="n">
        <v>7</v>
      </c>
      <c r="B49" s="605" t="n">
        <v>41</v>
      </c>
      <c r="C49" s="605" t="inlineStr">
        <is>
          <t>R0064212</t>
        </is>
      </c>
      <c r="D49" s="605" t="inlineStr">
        <is>
          <t>4800 W 80TH AVE</t>
        </is>
      </c>
      <c r="E49" s="605" t="n">
        <v>344</v>
      </c>
      <c r="F49" s="605" t="inlineStr">
        <is>
          <t>WESTMINSTER</t>
        </is>
      </c>
      <c r="G49" s="605" t="inlineStr">
        <is>
          <t>4</t>
        </is>
      </c>
      <c r="H49" s="59">
        <f>Y49/J49</f>
        <v/>
      </c>
      <c r="I49" s="389" t="n">
        <v>44838</v>
      </c>
      <c r="J49" s="605" t="n">
        <v>3362</v>
      </c>
      <c r="K49" s="59" t="n"/>
      <c r="L49" s="605" t="n">
        <v>3362</v>
      </c>
      <c r="M49" s="605" t="n">
        <v>1987</v>
      </c>
      <c r="P49" s="605" t="inlineStr">
        <is>
          <t>PUD-Wes</t>
        </is>
      </c>
      <c r="R49" s="152" t="inlineStr">
        <is>
          <t>Average</t>
        </is>
      </c>
      <c r="S49" s="605" t="n">
        <v>3070</v>
      </c>
      <c r="T49" s="390">
        <f>S49/L49</f>
        <v/>
      </c>
      <c r="U49" s="605" t="inlineStr">
        <is>
          <t>Average</t>
        </is>
      </c>
      <c r="V49" s="390" t="n"/>
      <c r="W49" s="390" t="n"/>
      <c r="X49" s="390" t="n"/>
      <c r="Y49" s="60" t="n">
        <v>600000</v>
      </c>
      <c r="Z49" s="60" t="n"/>
      <c r="AA49" s="60" t="n">
        <v>600000</v>
      </c>
      <c r="AB49" s="60" t="n"/>
      <c r="AC49" s="605" t="inlineStr">
        <is>
          <t>0171931205030</t>
        </is>
      </c>
      <c r="AD49" s="605" t="inlineStr">
        <is>
          <t>2022000082406</t>
        </is>
      </c>
      <c r="AE49" s="653" t="inlineStr">
        <is>
          <t>DEEM RICHARD O</t>
        </is>
      </c>
      <c r="AF49" s="653" t="inlineStr">
        <is>
          <t>4800 W 80TH LLC</t>
        </is>
      </c>
      <c r="AI49" s="605">
        <f>IF(AND($E49=Subj_OccCode,Subj_BldgSF&gt;0,ABS($L49-Subj_BldgSF)&lt;=Subj_BldgSF*Subj_SizeTol),ABS($L49-Subj_BldgSF),NA())</f>
        <v/>
      </c>
      <c r="AJ49">
        <f>IF(ISNA(AI49),NA(),AI49+ROW()/10000000)</f>
        <v/>
      </c>
      <c r="AK49" s="605">
        <f>IF(AND(ISNUMBER($N49),$N49&gt;0,ISNUMBER($Y49)),$Y49/$N49,"")</f>
        <v/>
      </c>
    </row>
    <row r="50" ht="15" customHeight="1" s="545">
      <c r="A50" s="388" t="n">
        <v>7</v>
      </c>
      <c r="B50" s="605" t="n">
        <v>42</v>
      </c>
      <c r="C50" s="605" t="inlineStr">
        <is>
          <t>R0164301</t>
        </is>
      </c>
      <c r="D50" s="605" t="inlineStr">
        <is>
          <t>16711 WASHINGTON ST</t>
        </is>
      </c>
      <c r="E50" s="605" t="n">
        <v>304</v>
      </c>
      <c r="F50" s="605" t="inlineStr">
        <is>
          <t>THORNTON</t>
        </is>
      </c>
      <c r="G50" s="605" t="inlineStr">
        <is>
          <t>3</t>
        </is>
      </c>
      <c r="H50" s="59">
        <f>Y50/J50</f>
        <v/>
      </c>
      <c r="I50" s="389" t="n">
        <v>44845</v>
      </c>
      <c r="J50" s="605" t="n">
        <v>5189</v>
      </c>
      <c r="K50" s="59" t="n"/>
      <c r="L50" s="605" t="n">
        <v>5189</v>
      </c>
      <c r="M50" s="605" t="n">
        <v>2006</v>
      </c>
      <c r="P50" s="605" t="inlineStr">
        <is>
          <t>Regional Commercial</t>
        </is>
      </c>
      <c r="R50" s="152" t="inlineStr">
        <is>
          <t>Average</t>
        </is>
      </c>
      <c r="S50" s="605" t="n">
        <v>37287</v>
      </c>
      <c r="T50" s="390">
        <f>S50/L50</f>
        <v/>
      </c>
      <c r="U50" s="605" t="inlineStr">
        <is>
          <t>Average</t>
        </is>
      </c>
      <c r="V50" s="390" t="n"/>
      <c r="W50" s="390" t="n"/>
      <c r="X50" s="390" t="n"/>
      <c r="Y50" s="60" t="n">
        <v>1285000</v>
      </c>
      <c r="Z50" s="60" t="n"/>
      <c r="AA50" s="60" t="n">
        <v>1285000</v>
      </c>
      <c r="AB50" s="60" t="n"/>
      <c r="AC50" s="605" t="inlineStr">
        <is>
          <t>0157302208001</t>
        </is>
      </c>
      <c r="AD50" s="605" t="inlineStr">
        <is>
          <t>2022000083624</t>
        </is>
      </c>
      <c r="AE50" s="653" t="inlineStr">
        <is>
          <t>US BANK NATIONAL ASSOCIATION, C/O RYAN PTS DEPT.908</t>
        </is>
      </c>
      <c r="AF50" s="653" t="inlineStr">
        <is>
          <t>EAT-2202 LLC</t>
        </is>
      </c>
      <c r="AI50" s="605">
        <f>IF(AND($E50=Subj_OccCode,Subj_BldgSF&gt;0,ABS($L50-Subj_BldgSF)&lt;=Subj_BldgSF*Subj_SizeTol),ABS($L50-Subj_BldgSF),NA())</f>
        <v/>
      </c>
      <c r="AJ50">
        <f>IF(ISNA(AI50),NA(),AI50+ROW()/10000000)</f>
        <v/>
      </c>
      <c r="AK50" s="605">
        <f>IF(AND(ISNUMBER($N50),$N50&gt;0,ISNUMBER($Y50)),$Y50/$N50,"")</f>
        <v/>
      </c>
    </row>
    <row r="51" ht="15" customHeight="1" s="545">
      <c r="A51" s="388" t="n">
        <v>7</v>
      </c>
      <c r="B51" s="605" t="n">
        <v>43</v>
      </c>
      <c r="C51" s="605" t="inlineStr">
        <is>
          <t>R0188148</t>
        </is>
      </c>
      <c r="D51" s="605" t="inlineStr">
        <is>
          <t>2731 W 120TH AVE</t>
        </is>
      </c>
      <c r="E51" s="605" t="n">
        <v>353</v>
      </c>
      <c r="F51" s="605" t="inlineStr">
        <is>
          <t>WESTMINSTER</t>
        </is>
      </c>
      <c r="G51" s="605" t="inlineStr">
        <is>
          <t>3</t>
        </is>
      </c>
      <c r="H51" s="59">
        <f>Y51/J51</f>
        <v/>
      </c>
      <c r="I51" s="389" t="n">
        <v>44774</v>
      </c>
      <c r="J51" s="605" t="n">
        <v>6161</v>
      </c>
      <c r="K51" s="59" t="n"/>
      <c r="L51" s="605" t="n">
        <v>6161</v>
      </c>
      <c r="M51" s="605" t="n">
        <v>2017</v>
      </c>
      <c r="P51" s="605" t="inlineStr">
        <is>
          <t>PUD-Wes</t>
        </is>
      </c>
      <c r="R51" s="152" t="inlineStr">
        <is>
          <t>Average</t>
        </is>
      </c>
      <c r="S51" s="605" t="n">
        <v>41047</v>
      </c>
      <c r="T51" s="390">
        <f>S51/L51</f>
        <v/>
      </c>
      <c r="U51" s="605" t="inlineStr">
        <is>
          <t>Average</t>
        </is>
      </c>
      <c r="V51" s="390" t="n"/>
      <c r="W51" s="390" t="n"/>
      <c r="X51" s="390" t="n"/>
      <c r="Y51" s="60" t="n">
        <v>2360000</v>
      </c>
      <c r="Z51" s="60" t="n"/>
      <c r="AA51" s="60" t="n">
        <v>2360000</v>
      </c>
      <c r="AB51" s="60" t="n"/>
      <c r="AC51" s="605" t="inlineStr">
        <is>
          <t>0157332401028</t>
        </is>
      </c>
      <c r="AD51" s="605" t="inlineStr">
        <is>
          <t>2022000065685</t>
        </is>
      </c>
      <c r="AE51" s="653" t="inlineStr">
        <is>
          <t>COUNTRY CLUB VILLAGE TWO LLC</t>
        </is>
      </c>
      <c r="AF51" s="653" t="inlineStr">
        <is>
          <t>OAKVIEW SHOPS LLC</t>
        </is>
      </c>
      <c r="AI51" s="605">
        <f>IF(AND($E51=Subj_OccCode,Subj_BldgSF&gt;0,ABS($L51-Subj_BldgSF)&lt;=Subj_BldgSF*Subj_SizeTol),ABS($L51-Subj_BldgSF),NA())</f>
        <v/>
      </c>
      <c r="AJ51">
        <f>IF(ISNA(AI51),NA(),AI51+ROW()/10000000)</f>
        <v/>
      </c>
      <c r="AK51" s="605">
        <f>IF(AND(ISNUMBER($N51),$N51&gt;0,ISNUMBER($Y51)),$Y51/$N51,"")</f>
        <v/>
      </c>
    </row>
    <row r="52" ht="15" customHeight="1" s="545">
      <c r="A52" s="388" t="n">
        <v>7</v>
      </c>
      <c r="B52" s="605" t="n">
        <v>44</v>
      </c>
      <c r="C52" s="605" t="inlineStr">
        <is>
          <t>R0190178</t>
        </is>
      </c>
      <c r="D52" s="605" t="inlineStr">
        <is>
          <t>1501 W 124TH AVE</t>
        </is>
      </c>
      <c r="E52" s="605" t="n">
        <v>425</v>
      </c>
      <c r="F52" s="605" t="inlineStr">
        <is>
          <t>WESTMINSTER</t>
        </is>
      </c>
      <c r="G52" s="605" t="inlineStr">
        <is>
          <t>3</t>
        </is>
      </c>
      <c r="H52" s="59">
        <f>Y52/J52</f>
        <v/>
      </c>
      <c r="I52" s="389" t="n">
        <v>45007</v>
      </c>
      <c r="J52" s="605" t="n">
        <v>15243</v>
      </c>
      <c r="K52" s="59" t="n"/>
      <c r="L52" s="605" t="n">
        <v>15243</v>
      </c>
      <c r="M52" s="605" t="n">
        <v>2016</v>
      </c>
      <c r="P52" s="605" t="inlineStr">
        <is>
          <t>PUD-Wes</t>
        </is>
      </c>
      <c r="R52" s="152" t="inlineStr">
        <is>
          <t>Good</t>
        </is>
      </c>
      <c r="S52" s="605" t="n">
        <v>5569</v>
      </c>
      <c r="T52" s="390">
        <f>S52/L52</f>
        <v/>
      </c>
      <c r="U52" s="605" t="inlineStr">
        <is>
          <t>Good</t>
        </is>
      </c>
      <c r="V52" s="390" t="n"/>
      <c r="W52" s="390" t="n"/>
      <c r="X52" s="390" t="n"/>
      <c r="Y52" s="60" t="n">
        <v>552000</v>
      </c>
      <c r="Z52" s="60" t="n"/>
      <c r="AA52" s="60" t="n">
        <v>552000</v>
      </c>
      <c r="AB52" s="60" t="n"/>
      <c r="AC52" s="605" t="inlineStr">
        <is>
          <t>0157333101008</t>
        </is>
      </c>
      <c r="AD52" s="605" t="inlineStr">
        <is>
          <t>2023000015116</t>
        </is>
      </c>
      <c r="AE52" s="653" t="inlineStr">
        <is>
          <t>SOCIAL INDUSTRIES 3 LLC</t>
        </is>
      </c>
      <c r="AF52" s="653" t="inlineStr">
        <is>
          <t>LITEBOX LLC</t>
        </is>
      </c>
      <c r="AI52" s="605">
        <f>IF(AND($E52=Subj_OccCode,Subj_BldgSF&gt;0,ABS($L52-Subj_BldgSF)&lt;=Subj_BldgSF*Subj_SizeTol),ABS($L52-Subj_BldgSF),NA())</f>
        <v/>
      </c>
      <c r="AJ52">
        <f>IF(ISNA(AI52),NA(),AI52+ROW()/10000000)</f>
        <v/>
      </c>
      <c r="AK52" s="605">
        <f>IF(AND(ISNUMBER($N52),$N52&gt;0,ISNUMBER($Y52)),$Y52/$N52,"")</f>
        <v/>
      </c>
    </row>
    <row r="53" ht="15" customHeight="1" s="545">
      <c r="A53" s="388" t="n">
        <v>7</v>
      </c>
      <c r="B53" s="605" t="n">
        <v>45</v>
      </c>
      <c r="C53" s="605" t="inlineStr">
        <is>
          <t>R0190179</t>
        </is>
      </c>
      <c r="D53" s="605" t="inlineStr">
        <is>
          <t>1501 W 124TH AVE</t>
        </is>
      </c>
      <c r="E53" s="605" t="n">
        <v>425</v>
      </c>
      <c r="F53" s="605" t="inlineStr">
        <is>
          <t>WESTMINSTER</t>
        </is>
      </c>
      <c r="G53" s="605" t="inlineStr">
        <is>
          <t>3</t>
        </is>
      </c>
      <c r="H53" s="59">
        <f>Y53/J53</f>
        <v/>
      </c>
      <c r="I53" s="389" t="n">
        <v>44931</v>
      </c>
      <c r="J53" s="605" t="n">
        <v>15818</v>
      </c>
      <c r="K53" s="59" t="n"/>
      <c r="L53" s="605" t="n">
        <v>15818</v>
      </c>
      <c r="M53" s="605" t="n">
        <v>2016</v>
      </c>
      <c r="P53" s="605" t="inlineStr">
        <is>
          <t>PUD-Wes</t>
        </is>
      </c>
      <c r="R53" s="152" t="inlineStr">
        <is>
          <t>Good</t>
        </is>
      </c>
      <c r="S53" s="605" t="n">
        <v>5569</v>
      </c>
      <c r="T53" s="390">
        <f>S53/L53</f>
        <v/>
      </c>
      <c r="U53" s="605" t="inlineStr">
        <is>
          <t>Good</t>
        </is>
      </c>
      <c r="V53" s="390" t="n"/>
      <c r="W53" s="390" t="n"/>
      <c r="X53" s="390" t="n"/>
      <c r="Y53" s="60" t="n">
        <v>565000</v>
      </c>
      <c r="Z53" s="60" t="n"/>
      <c r="AA53" s="60" t="n">
        <v>565000</v>
      </c>
      <c r="AB53" s="60" t="n"/>
      <c r="AC53" s="605" t="inlineStr">
        <is>
          <t>0157333101009</t>
        </is>
      </c>
      <c r="AD53" s="605" t="inlineStr">
        <is>
          <t>2023000000689</t>
        </is>
      </c>
      <c r="AE53" s="653" t="inlineStr">
        <is>
          <t>SOCIAL INDUSTRIES 2 LLC</t>
        </is>
      </c>
      <c r="AF53" s="653" t="inlineStr">
        <is>
          <t>CLUELESS COUPLE LLC</t>
        </is>
      </c>
      <c r="AI53" s="605">
        <f>IF(AND($E53=Subj_OccCode,Subj_BldgSF&gt;0,ABS($L53-Subj_BldgSF)&lt;=Subj_BldgSF*Subj_SizeTol),ABS($L53-Subj_BldgSF),NA())</f>
        <v/>
      </c>
      <c r="AJ53">
        <f>IF(ISNA(AI53),NA(),AI53+ROW()/10000000)</f>
        <v/>
      </c>
      <c r="AK53" s="605">
        <f>IF(AND(ISNUMBER($N53),$N53&gt;0,ISNUMBER($Y53)),$Y53/$N53,"")</f>
        <v/>
      </c>
    </row>
    <row r="54" ht="15" customHeight="1" s="545">
      <c r="A54" s="388" t="n">
        <v>7</v>
      </c>
      <c r="B54" s="605" t="n">
        <v>46</v>
      </c>
      <c r="C54" s="605" t="inlineStr">
        <is>
          <t>R0084269</t>
        </is>
      </c>
      <c r="D54" s="605" t="inlineStr">
        <is>
          <t>14603 E MONCRIEFF PL</t>
        </is>
      </c>
      <c r="E54" s="605" t="n">
        <v>407</v>
      </c>
      <c r="F54" s="605" t="inlineStr">
        <is>
          <t>AURORA</t>
        </is>
      </c>
      <c r="G54" s="605" t="inlineStr">
        <is>
          <t>6</t>
        </is>
      </c>
      <c r="H54" s="59">
        <f>Y54/J54</f>
        <v/>
      </c>
      <c r="I54" s="389" t="n">
        <v>45219</v>
      </c>
      <c r="J54" s="605" t="n">
        <v>99860</v>
      </c>
      <c r="K54" s="59" t="n"/>
      <c r="L54" s="605" t="n">
        <v>99860</v>
      </c>
      <c r="M54" s="605" t="n">
        <v>1984</v>
      </c>
      <c r="P54" s="605" t="inlineStr">
        <is>
          <t>M-1-Aur</t>
        </is>
      </c>
      <c r="R54" s="152" t="inlineStr">
        <is>
          <t>Average</t>
        </is>
      </c>
      <c r="S54" s="605" t="n">
        <v>184258</v>
      </c>
      <c r="T54" s="390">
        <f>S54/L54</f>
        <v/>
      </c>
      <c r="U54" s="605" t="inlineStr">
        <is>
          <t>Average</t>
        </is>
      </c>
      <c r="V54" s="390" t="n"/>
      <c r="W54" s="390" t="n"/>
      <c r="X54" s="390" t="n"/>
      <c r="Y54" s="60" t="n">
        <v>10900000</v>
      </c>
      <c r="Z54" s="60" t="n"/>
      <c r="AA54" s="60" t="n">
        <v>10900000</v>
      </c>
      <c r="AB54" s="60" t="n"/>
      <c r="AC54" s="605" t="inlineStr">
        <is>
          <t>0182130008017</t>
        </is>
      </c>
      <c r="AD54" s="605" t="inlineStr">
        <is>
          <t>2023000059517</t>
        </is>
      </c>
      <c r="AE54" s="653" t="inlineStr">
        <is>
          <t>DEN INDUSTRIAL 1 LLC, C/O ALTERNATIVE ASSET MANAGEMENT LLC</t>
        </is>
      </c>
      <c r="AF54" s="653" t="inlineStr">
        <is>
          <t>CROSSE-MONCRIEFF LLC</t>
        </is>
      </c>
      <c r="AI54" s="605">
        <f>IF(AND($E54=Subj_OccCode,Subj_BldgSF&gt;0,ABS($L54-Subj_BldgSF)&lt;=Subj_BldgSF*Subj_SizeTol),ABS($L54-Subj_BldgSF),NA())</f>
        <v/>
      </c>
      <c r="AJ54">
        <f>IF(ISNA(AI54),NA(),AI54+ROW()/10000000)</f>
        <v/>
      </c>
      <c r="AK54" s="605">
        <f>IF(AND(ISNUMBER($N54),$N54&gt;0,ISNUMBER($Y54)),$Y54/$N54,"")</f>
        <v/>
      </c>
    </row>
    <row r="55" ht="15" customHeight="1" s="545">
      <c r="A55" s="388" t="n">
        <v>7</v>
      </c>
      <c r="B55" s="605" t="n">
        <v>47</v>
      </c>
      <c r="C55" s="605" t="inlineStr">
        <is>
          <t>R0103426</t>
        </is>
      </c>
      <c r="D55" s="605" t="inlineStr">
        <is>
          <t>5650 PECOS ST</t>
        </is>
      </c>
      <c r="E55" s="605" t="n">
        <v>344</v>
      </c>
      <c r="G55" s="605" t="inlineStr">
        <is>
          <t>5</t>
        </is>
      </c>
      <c r="H55" s="59">
        <f>Y55/J55</f>
        <v/>
      </c>
      <c r="I55" s="389" t="n">
        <v>45317</v>
      </c>
      <c r="J55" s="605" t="n">
        <v>15684</v>
      </c>
      <c r="K55" s="59" t="n"/>
      <c r="L55" s="605" t="n">
        <v>15684</v>
      </c>
      <c r="M55" s="605" t="n">
        <v>1971</v>
      </c>
      <c r="P55" s="605" t="inlineStr">
        <is>
          <t>Industrial</t>
        </is>
      </c>
      <c r="R55" s="152" t="inlineStr">
        <is>
          <t>Average</t>
        </is>
      </c>
      <c r="S55" s="605" t="n">
        <v>35459</v>
      </c>
      <c r="T55" s="390">
        <f>S55/L55</f>
        <v/>
      </c>
      <c r="U55" s="605" t="inlineStr">
        <is>
          <t>Average</t>
        </is>
      </c>
      <c r="V55" s="390" t="n"/>
      <c r="W55" s="390" t="n"/>
      <c r="X55" s="390" t="n"/>
      <c r="Y55" s="60" t="n">
        <v>4500000</v>
      </c>
      <c r="Z55" s="60" t="n"/>
      <c r="AA55" s="60" t="n">
        <v>4500000</v>
      </c>
      <c r="AB55" s="60" t="n"/>
      <c r="AC55" s="605" t="inlineStr">
        <is>
          <t>0182509400033</t>
        </is>
      </c>
      <c r="AD55" s="605" t="inlineStr">
        <is>
          <t>2024000004873</t>
        </is>
      </c>
      <c r="AE55" s="653" t="inlineStr">
        <is>
          <t>WHITE DIANE E</t>
        </is>
      </c>
      <c r="AF55" s="653" t="inlineStr">
        <is>
          <t>PECOS REAL ESTATE LLC, C/O AUTO CHLOR SYSTEM</t>
        </is>
      </c>
      <c r="AI55" s="605">
        <f>IF(AND($E55=Subj_OccCode,Subj_BldgSF&gt;0,ABS($L55-Subj_BldgSF)&lt;=Subj_BldgSF*Subj_SizeTol),ABS($L55-Subj_BldgSF),NA())</f>
        <v/>
      </c>
      <c r="AJ55">
        <f>IF(ISNA(AI55),NA(),AI55+ROW()/10000000)</f>
        <v/>
      </c>
      <c r="AK55" s="605">
        <f>IF(AND(ISNUMBER($N55),$N55&gt;0,ISNUMBER($Y55)),$Y55/$N55,"")</f>
        <v/>
      </c>
    </row>
    <row r="56" ht="15" customHeight="1" s="545">
      <c r="A56" s="388" t="n">
        <v>7</v>
      </c>
      <c r="B56" s="605" t="n">
        <v>48</v>
      </c>
      <c r="C56" s="605" t="inlineStr">
        <is>
          <t>R0125400</t>
        </is>
      </c>
      <c r="D56" s="605" t="inlineStr">
        <is>
          <t>1630 E 66TH AVE</t>
        </is>
      </c>
      <c r="E56" s="605" t="n">
        <v>407</v>
      </c>
      <c r="G56" s="605" t="inlineStr">
        <is>
          <t>5</t>
        </is>
      </c>
      <c r="H56" s="59">
        <f>Y56/J56</f>
        <v/>
      </c>
      <c r="I56" s="389" t="n">
        <v>45078</v>
      </c>
      <c r="J56" s="605" t="n">
        <v>14600</v>
      </c>
      <c r="K56" s="59" t="n"/>
      <c r="L56" s="605" t="n">
        <v>14600</v>
      </c>
      <c r="M56" s="605" t="n">
        <v>2006</v>
      </c>
      <c r="P56" s="605" t="inlineStr">
        <is>
          <t>Planned Unit Development</t>
        </is>
      </c>
      <c r="R56" s="152" t="inlineStr">
        <is>
          <t>Average</t>
        </is>
      </c>
      <c r="S56" s="605" t="n">
        <v>59677.2</v>
      </c>
      <c r="T56" s="390">
        <f>S56/L56</f>
        <v/>
      </c>
      <c r="U56" s="605" t="inlineStr">
        <is>
          <t>Average</t>
        </is>
      </c>
      <c r="V56" s="390" t="n"/>
      <c r="W56" s="390" t="n"/>
      <c r="X56" s="390" t="n"/>
      <c r="Y56" s="60" t="n">
        <v>3400000</v>
      </c>
      <c r="Z56" s="60" t="n"/>
      <c r="AA56" s="60" t="n">
        <v>3400000</v>
      </c>
      <c r="AB56" s="60" t="n"/>
      <c r="AC56" s="605" t="inlineStr">
        <is>
          <t>0182502403041</t>
        </is>
      </c>
      <c r="AD56" s="605" t="inlineStr">
        <is>
          <t>2023000031003</t>
        </is>
      </c>
      <c r="AE56" s="653" t="inlineStr">
        <is>
          <t>1630 ENTERPRISES LLC</t>
        </is>
      </c>
      <c r="AF56" s="653" t="inlineStr">
        <is>
          <t>TRIPLE L 66 AVENUE LLC</t>
        </is>
      </c>
      <c r="AI56" s="605">
        <f>IF(AND($E56=Subj_OccCode,Subj_BldgSF&gt;0,ABS($L56-Subj_BldgSF)&lt;=Subj_BldgSF*Subj_SizeTol),ABS($L56-Subj_BldgSF),NA())</f>
        <v/>
      </c>
      <c r="AJ56">
        <f>IF(ISNA(AI56),NA(),AI56+ROW()/10000000)</f>
        <v/>
      </c>
      <c r="AK56" s="605">
        <f>IF(AND(ISNUMBER($N56),$N56&gt;0,ISNUMBER($Y56)),$Y56/$N56,"")</f>
        <v/>
      </c>
    </row>
    <row r="57" ht="15" customHeight="1" s="545">
      <c r="A57" s="388" t="n">
        <v>7</v>
      </c>
      <c r="B57" s="605" t="n">
        <v>49</v>
      </c>
      <c r="C57" s="605" t="inlineStr">
        <is>
          <t>R0179053</t>
        </is>
      </c>
      <c r="D57" s="605" t="inlineStr">
        <is>
          <t>3280 CHAMBERS RD</t>
        </is>
      </c>
      <c r="E57" s="605" t="n">
        <v>326</v>
      </c>
      <c r="F57" s="605" t="inlineStr">
        <is>
          <t>AURORA</t>
        </is>
      </c>
      <c r="G57" s="605" t="inlineStr">
        <is>
          <t>6</t>
        </is>
      </c>
      <c r="H57" s="59">
        <f>Y57/J57</f>
        <v/>
      </c>
      <c r="I57" s="389" t="n">
        <v>45169</v>
      </c>
      <c r="J57" s="605" t="n">
        <v>14400</v>
      </c>
      <c r="K57" s="59" t="n"/>
      <c r="L57" s="605" t="n">
        <v>14400</v>
      </c>
      <c r="M57" s="605" t="n">
        <v>2010</v>
      </c>
      <c r="P57" s="605" t="inlineStr">
        <is>
          <t>M-1-Aur</t>
        </is>
      </c>
      <c r="R57" s="152" t="inlineStr">
        <is>
          <t>Average</t>
        </is>
      </c>
      <c r="S57" s="605" t="n">
        <v>104566</v>
      </c>
      <c r="T57" s="390">
        <f>S57/L57</f>
        <v/>
      </c>
      <c r="U57" s="605" t="inlineStr">
        <is>
          <t>Average</t>
        </is>
      </c>
      <c r="V57" s="390" t="n"/>
      <c r="W57" s="390" t="n"/>
      <c r="X57" s="390" t="n"/>
      <c r="Y57" s="60" t="n">
        <v>4200000</v>
      </c>
      <c r="Z57" s="60" t="n"/>
      <c r="AA57" s="60" t="n">
        <v>4200000</v>
      </c>
      <c r="AB57" s="60" t="n"/>
      <c r="AC57" s="605" t="inlineStr">
        <is>
          <t>0182129213007</t>
        </is>
      </c>
      <c r="AD57" s="605" t="inlineStr">
        <is>
          <t>2023000050142</t>
        </is>
      </c>
      <c r="AE57" s="653" t="inlineStr">
        <is>
          <t>MAZZO ENTERPRISES LLLP</t>
        </is>
      </c>
      <c r="AF57" s="653" t="inlineStr">
        <is>
          <t>PACIFICO REAL ESTATE HOLDINDS II</t>
        </is>
      </c>
      <c r="AI57" s="605">
        <f>IF(AND($E57=Subj_OccCode,Subj_BldgSF&gt;0,ABS($L57-Subj_BldgSF)&lt;=Subj_BldgSF*Subj_SizeTol),ABS($L57-Subj_BldgSF),NA())</f>
        <v/>
      </c>
      <c r="AJ57">
        <f>IF(ISNA(AI57),NA(),AI57+ROW()/10000000)</f>
        <v/>
      </c>
      <c r="AK57" s="605">
        <f>IF(AND(ISNUMBER($N57),$N57&gt;0,ISNUMBER($Y57)),$Y57/$N57,"")</f>
        <v/>
      </c>
    </row>
    <row r="58" ht="15" customHeight="1" s="545">
      <c r="A58" s="388" t="n">
        <v>7</v>
      </c>
      <c r="B58" s="605" t="n">
        <v>50</v>
      </c>
      <c r="C58" s="605" t="inlineStr">
        <is>
          <t>R0002301</t>
        </is>
      </c>
      <c r="D58" s="605" t="inlineStr">
        <is>
          <t>1401 BRIDGE ST</t>
        </is>
      </c>
      <c r="E58" s="605" t="n">
        <v>344</v>
      </c>
      <c r="F58" s="605" t="inlineStr">
        <is>
          <t>BRIGHTON</t>
        </is>
      </c>
      <c r="G58" s="605" t="inlineStr">
        <is>
          <t>2</t>
        </is>
      </c>
      <c r="H58" s="59">
        <f>Y58/J58</f>
        <v/>
      </c>
      <c r="I58" s="389" t="n">
        <v>45043</v>
      </c>
      <c r="J58" s="605" t="n">
        <v>2500</v>
      </c>
      <c r="K58" s="59" t="n"/>
      <c r="L58" s="605" t="n">
        <v>2500</v>
      </c>
      <c r="M58" s="605" t="n">
        <v>1972</v>
      </c>
      <c r="P58" s="605" t="inlineStr">
        <is>
          <t>C-3-Bri</t>
        </is>
      </c>
      <c r="R58" s="152" t="inlineStr">
        <is>
          <t>Average</t>
        </is>
      </c>
      <c r="S58" s="605" t="n">
        <v>10454.4</v>
      </c>
      <c r="T58" s="390">
        <f>S58/L58</f>
        <v/>
      </c>
      <c r="U58" s="605" t="inlineStr">
        <is>
          <t>Average</t>
        </is>
      </c>
      <c r="V58" s="390" t="n"/>
      <c r="W58" s="390" t="n"/>
      <c r="X58" s="390" t="n"/>
      <c r="Y58" s="60" t="n">
        <v>1260000</v>
      </c>
      <c r="Z58" s="60" t="n"/>
      <c r="AA58" s="60" t="n">
        <v>1260000</v>
      </c>
      <c r="AB58" s="60" t="n"/>
      <c r="AC58" s="605" t="inlineStr">
        <is>
          <t>0156905330003</t>
        </is>
      </c>
      <c r="AD58" s="605" t="inlineStr">
        <is>
          <t>2023000035157</t>
        </is>
      </c>
      <c r="AE58" s="653" t="inlineStr">
        <is>
          <t>1401 BRIGHTON LLC</t>
        </is>
      </c>
      <c r="AF58" s="653" t="inlineStr">
        <is>
          <t>VIGIL JENIFER D</t>
        </is>
      </c>
      <c r="AI58" s="605">
        <f>IF(AND($E58=Subj_OccCode,Subj_BldgSF&gt;0,ABS($L58-Subj_BldgSF)&lt;=Subj_BldgSF*Subj_SizeTol),ABS($L58-Subj_BldgSF),NA())</f>
        <v/>
      </c>
      <c r="AJ58">
        <f>IF(ISNA(AI58),NA(),AI58+ROW()/10000000)</f>
        <v/>
      </c>
      <c r="AK58" s="605">
        <f>IF(AND(ISNUMBER($N58),$N58&gt;0,ISNUMBER($Y58)),$Y58/$N58,"")</f>
        <v/>
      </c>
    </row>
    <row r="59" ht="15" customHeight="1" s="545">
      <c r="A59" s="388" t="n">
        <v>7</v>
      </c>
      <c r="B59" s="605" t="n">
        <v>51</v>
      </c>
      <c r="C59" s="605" t="inlineStr">
        <is>
          <t>R0055143</t>
        </is>
      </c>
      <c r="D59" s="605" t="inlineStr">
        <is>
          <t>8700 DEVONSHIRE BLVD</t>
        </is>
      </c>
      <c r="E59" s="605" t="n">
        <v>386</v>
      </c>
      <c r="G59" s="605" t="inlineStr">
        <is>
          <t>4</t>
        </is>
      </c>
      <c r="H59" s="59">
        <f>Y59/J59</f>
        <v/>
      </c>
      <c r="I59" s="389" t="n">
        <v>45138</v>
      </c>
      <c r="J59" s="605" t="n">
        <v>30550</v>
      </c>
      <c r="K59" s="59" t="n"/>
      <c r="L59" s="605" t="n">
        <v>30550</v>
      </c>
      <c r="M59" s="605" t="n">
        <v>1985</v>
      </c>
      <c r="P59" s="605" t="inlineStr">
        <is>
          <t>Planned Unit Development</t>
        </is>
      </c>
      <c r="R59" s="152" t="inlineStr">
        <is>
          <t>Average</t>
        </is>
      </c>
      <c r="S59" s="605" t="n">
        <v>97138</v>
      </c>
      <c r="T59" s="390">
        <f>S59/L59</f>
        <v/>
      </c>
      <c r="U59" s="605" t="inlineStr">
        <is>
          <t>Average</t>
        </is>
      </c>
      <c r="V59" s="390" t="n"/>
      <c r="W59" s="390" t="n"/>
      <c r="X59" s="390" t="n"/>
      <c r="Y59" s="60" t="n">
        <v>3700000</v>
      </c>
      <c r="Z59" s="60" t="n"/>
      <c r="AA59" s="60" t="n">
        <v>3700000</v>
      </c>
      <c r="AB59" s="60" t="n"/>
      <c r="AC59" s="605" t="inlineStr">
        <is>
          <t>0171925204016</t>
        </is>
      </c>
      <c r="AD59" s="605" t="inlineStr">
        <is>
          <t>2023000043871</t>
        </is>
      </c>
      <c r="AE59" s="653" t="inlineStr">
        <is>
          <t>FRONT RANGE PORTFOLIO LLC</t>
        </is>
      </c>
      <c r="AF59" s="653" t="inlineStr">
        <is>
          <t>8700 DEVONSHIRE STORAGE LLC</t>
        </is>
      </c>
      <c r="AI59" s="605">
        <f>IF(AND($E59=Subj_OccCode,Subj_BldgSF&gt;0,ABS($L59-Subj_BldgSF)&lt;=Subj_BldgSF*Subj_SizeTol),ABS($L59-Subj_BldgSF),NA())</f>
        <v/>
      </c>
      <c r="AJ59">
        <f>IF(ISNA(AI59),NA(),AI59+ROW()/10000000)</f>
        <v/>
      </c>
      <c r="AK59" s="605">
        <f>IF(AND(ISNUMBER($N59),$N59&gt;0,ISNUMBER($Y59)),$Y59/$N59,"")</f>
        <v/>
      </c>
    </row>
    <row r="60" ht="15" customHeight="1" s="545">
      <c r="A60" s="388" t="n">
        <v>7</v>
      </c>
      <c r="B60" s="605" t="n">
        <v>52</v>
      </c>
      <c r="C60" s="605" t="inlineStr">
        <is>
          <t>R0084051</t>
        </is>
      </c>
      <c r="D60" s="605" t="inlineStr">
        <is>
          <t>2801 TOWER RD</t>
        </is>
      </c>
      <c r="E60" s="605" t="n">
        <v>407</v>
      </c>
      <c r="F60" s="605" t="inlineStr">
        <is>
          <t>AURORA</t>
        </is>
      </c>
      <c r="G60" s="605" t="inlineStr">
        <is>
          <t>6</t>
        </is>
      </c>
      <c r="H60" s="59">
        <f>Y60/J60</f>
        <v/>
      </c>
      <c r="I60" s="389" t="n">
        <v>45393</v>
      </c>
      <c r="J60" s="605" t="n">
        <v>29625</v>
      </c>
      <c r="K60" s="59" t="n"/>
      <c r="L60" s="605" t="n">
        <v>29625</v>
      </c>
      <c r="M60" s="605" t="n">
        <v>1977</v>
      </c>
      <c r="P60" s="605" t="inlineStr">
        <is>
          <t>M-1-Aur</t>
        </is>
      </c>
      <c r="R60" s="152" t="inlineStr">
        <is>
          <t>Average</t>
        </is>
      </c>
      <c r="S60" s="605" t="n">
        <v>218148</v>
      </c>
      <c r="T60" s="390">
        <f>S60/L60</f>
        <v/>
      </c>
      <c r="U60" s="605" t="inlineStr">
        <is>
          <t>Average</t>
        </is>
      </c>
      <c r="V60" s="390" t="n"/>
      <c r="W60" s="390" t="n"/>
      <c r="X60" s="390" t="n"/>
      <c r="Y60" s="60" t="n">
        <v>5300000</v>
      </c>
      <c r="Z60" s="60" t="n"/>
      <c r="AA60" s="60" t="n">
        <v>5300000</v>
      </c>
      <c r="AB60" s="60" t="n"/>
      <c r="AC60" s="605" t="inlineStr">
        <is>
          <t>0182128001001</t>
        </is>
      </c>
      <c r="AD60" s="605" t="inlineStr">
        <is>
          <t>2024000019081</t>
        </is>
      </c>
      <c r="AE60" s="653" t="inlineStr">
        <is>
          <t>SEVEN SEAS HOLDING COMPANY LLC</t>
        </is>
      </c>
      <c r="AF60" s="653" t="inlineStr">
        <is>
          <t>AMERICAN BUILDERS &amp; CONTRACTORS SUPPLY CO INC</t>
        </is>
      </c>
      <c r="AI60" s="605">
        <f>IF(AND($E60=Subj_OccCode,Subj_BldgSF&gt;0,ABS($L60-Subj_BldgSF)&lt;=Subj_BldgSF*Subj_SizeTol),ABS($L60-Subj_BldgSF),NA())</f>
        <v/>
      </c>
      <c r="AJ60">
        <f>IF(ISNA(AI60),NA(),AI60+ROW()/10000000)</f>
        <v/>
      </c>
      <c r="AK60" s="605">
        <f>IF(AND(ISNUMBER($N60),$N60&gt;0,ISNUMBER($Y60)),$Y60/$N60,"")</f>
        <v/>
      </c>
    </row>
    <row r="61" ht="15" customHeight="1" s="545">
      <c r="A61" s="388" t="n">
        <v>7</v>
      </c>
      <c r="B61" s="605" t="n">
        <v>53</v>
      </c>
      <c r="C61" s="605" t="inlineStr">
        <is>
          <t>R0085907</t>
        </is>
      </c>
      <c r="D61" s="605" t="inlineStr">
        <is>
          <t>1790 JASPER ST</t>
        </is>
      </c>
      <c r="E61" s="605" t="n">
        <v>210</v>
      </c>
      <c r="F61" s="605" t="inlineStr">
        <is>
          <t>AURORA</t>
        </is>
      </c>
      <c r="G61" s="605" t="inlineStr">
        <is>
          <t>6</t>
        </is>
      </c>
      <c r="H61" s="59">
        <f>Y61/J61</f>
        <v/>
      </c>
      <c r="I61" s="389" t="n">
        <v>44914</v>
      </c>
      <c r="J61" s="605" t="n">
        <v>22200</v>
      </c>
      <c r="K61" s="59" t="n"/>
      <c r="L61" s="605" t="n">
        <v>22200</v>
      </c>
      <c r="M61" s="605" t="n">
        <v>1979</v>
      </c>
      <c r="P61" s="605" t="inlineStr">
        <is>
          <t>M-1-Aur</t>
        </is>
      </c>
      <c r="R61" s="152" t="inlineStr">
        <is>
          <t>Average</t>
        </is>
      </c>
      <c r="S61" s="605" t="n">
        <v>67500</v>
      </c>
      <c r="T61" s="390">
        <f>S61/L61</f>
        <v/>
      </c>
      <c r="U61" s="605" t="inlineStr">
        <is>
          <t>Average</t>
        </is>
      </c>
      <c r="V61" s="390" t="n"/>
      <c r="W61" s="390" t="n"/>
      <c r="X61" s="390" t="n"/>
      <c r="Y61" s="60" t="n">
        <v>2450000</v>
      </c>
      <c r="Z61" s="60" t="n"/>
      <c r="AA61" s="60" t="n">
        <v>2450000</v>
      </c>
      <c r="AB61" s="60" t="n"/>
      <c r="AC61" s="605" t="inlineStr">
        <is>
          <t>0182132308004</t>
        </is>
      </c>
      <c r="AD61" s="605" t="inlineStr">
        <is>
          <t>2022000098412</t>
        </is>
      </c>
      <c r="AE61" s="653" t="inlineStr">
        <is>
          <t>1790 JASPER STREET LLC</t>
        </is>
      </c>
      <c r="AF61" s="653" t="inlineStr">
        <is>
          <t>COREDO LLC</t>
        </is>
      </c>
      <c r="AI61" s="605">
        <f>IF(AND($E61=Subj_OccCode,Subj_BldgSF&gt;0,ABS($L61-Subj_BldgSF)&lt;=Subj_BldgSF*Subj_SizeTol),ABS($L61-Subj_BldgSF),NA())</f>
        <v/>
      </c>
      <c r="AJ61">
        <f>IF(ISNA(AI61),NA(),AI61+ROW()/10000000)</f>
        <v/>
      </c>
      <c r="AK61" s="605">
        <f>IF(AND(ISNUMBER($N61),$N61&gt;0,ISNUMBER($Y61)),$Y61/$N61,"")</f>
        <v/>
      </c>
    </row>
    <row r="62" ht="15" customHeight="1" s="545">
      <c r="A62" s="388" t="n">
        <v>7</v>
      </c>
      <c r="B62" s="605" t="n">
        <v>54</v>
      </c>
      <c r="C62" s="605" t="inlineStr">
        <is>
          <t>R0092704</t>
        </is>
      </c>
      <c r="D62" s="605" t="inlineStr">
        <is>
          <t>6270 E 50TH AVE</t>
        </is>
      </c>
      <c r="E62" s="605" t="n">
        <v>406</v>
      </c>
      <c r="F62" s="605" t="inlineStr">
        <is>
          <t>COMMERCE CITY</t>
        </is>
      </c>
      <c r="G62" s="605" t="inlineStr">
        <is>
          <t>5</t>
        </is>
      </c>
      <c r="H62" s="59">
        <f>Y62/J62</f>
        <v/>
      </c>
      <c r="I62" s="389" t="n">
        <v>45236</v>
      </c>
      <c r="J62" s="605" t="n">
        <v>31900</v>
      </c>
      <c r="K62" s="59" t="n"/>
      <c r="L62" s="605" t="n">
        <v>31900</v>
      </c>
      <c r="M62" s="605" t="n">
        <v>1996</v>
      </c>
      <c r="P62" s="605" t="inlineStr">
        <is>
          <t>I-1S</t>
        </is>
      </c>
      <c r="R62" s="152" t="inlineStr">
        <is>
          <t>Average</t>
        </is>
      </c>
      <c r="S62" s="605" t="n">
        <v>88091</v>
      </c>
      <c r="T62" s="390">
        <f>S62/L62</f>
        <v/>
      </c>
      <c r="U62" s="605" t="inlineStr">
        <is>
          <t>Average</t>
        </is>
      </c>
      <c r="V62" s="390" t="n"/>
      <c r="W62" s="390" t="n"/>
      <c r="X62" s="390" t="n"/>
      <c r="Y62" s="60" t="n">
        <v>3775000</v>
      </c>
      <c r="Z62" s="60" t="n"/>
      <c r="AA62" s="60" t="n">
        <v>3775000</v>
      </c>
      <c r="AB62" s="60" t="n"/>
      <c r="AC62" s="605" t="inlineStr">
        <is>
          <t>0182317307008</t>
        </is>
      </c>
      <c r="AD62" s="605" t="inlineStr">
        <is>
          <t>2023000062389</t>
        </is>
      </c>
      <c r="AE62" s="653" t="inlineStr">
        <is>
          <t>C C E REAL ESTATE LLC, C/O FLYNN SOUTHWEST LP</t>
        </is>
      </c>
      <c r="AF62" s="653" t="inlineStr">
        <is>
          <t>ALBROOK PARTNERS LLC</t>
        </is>
      </c>
      <c r="AI62" s="605">
        <f>IF(AND($E62=Subj_OccCode,Subj_BldgSF&gt;0,ABS($L62-Subj_BldgSF)&lt;=Subj_BldgSF*Subj_SizeTol),ABS($L62-Subj_BldgSF),NA())</f>
        <v/>
      </c>
      <c r="AJ62">
        <f>IF(ISNA(AI62),NA(),AI62+ROW()/10000000)</f>
        <v/>
      </c>
      <c r="AK62" s="605">
        <f>IF(AND(ISNUMBER($N62),$N62&gt;0,ISNUMBER($Y62)),$Y62/$N62,"")</f>
        <v/>
      </c>
    </row>
    <row r="63" ht="15" customHeight="1" s="545">
      <c r="A63" s="388" t="n">
        <v>7</v>
      </c>
      <c r="B63" s="605" t="n">
        <v>55</v>
      </c>
      <c r="C63" s="605" t="inlineStr">
        <is>
          <t>R0092730</t>
        </is>
      </c>
      <c r="D63" s="605" t="inlineStr">
        <is>
          <t>4980 NIAGARA ST</t>
        </is>
      </c>
      <c r="E63" s="605" t="n">
        <v>406</v>
      </c>
      <c r="F63" s="605" t="inlineStr">
        <is>
          <t>COMMERCE CITY</t>
        </is>
      </c>
      <c r="G63" s="605" t="inlineStr">
        <is>
          <t>5</t>
        </is>
      </c>
      <c r="H63" s="59">
        <f>Y63/J63</f>
        <v/>
      </c>
      <c r="I63" s="389" t="n">
        <v>45405</v>
      </c>
      <c r="J63" s="605" t="n">
        <v>9090</v>
      </c>
      <c r="K63" s="59" t="n"/>
      <c r="L63" s="605" t="n">
        <v>9090</v>
      </c>
      <c r="M63" s="605" t="n">
        <v>1964</v>
      </c>
      <c r="P63" s="605" t="inlineStr">
        <is>
          <t>I-1S</t>
        </is>
      </c>
      <c r="R63" s="152" t="inlineStr">
        <is>
          <t>Average</t>
        </is>
      </c>
      <c r="S63" s="605" t="n">
        <v>18900</v>
      </c>
      <c r="T63" s="390">
        <f>S63/L63</f>
        <v/>
      </c>
      <c r="U63" s="605" t="inlineStr">
        <is>
          <t>Average</t>
        </is>
      </c>
      <c r="V63" s="390" t="n"/>
      <c r="W63" s="390" t="n"/>
      <c r="X63" s="390" t="n"/>
      <c r="Y63" s="60" t="n">
        <v>1190000</v>
      </c>
      <c r="Z63" s="60" t="n"/>
      <c r="AA63" s="60" t="n">
        <v>1190000</v>
      </c>
      <c r="AB63" s="60" t="n"/>
      <c r="AC63" s="605" t="inlineStr">
        <is>
          <t>0182317405002</t>
        </is>
      </c>
      <c r="AD63" s="605" t="inlineStr">
        <is>
          <t>2024000021545</t>
        </is>
      </c>
      <c r="AE63" s="653" t="inlineStr">
        <is>
          <t>DENNIS M MITCHELL REVOCABLE TRUST</t>
        </is>
      </c>
      <c r="AF63" s="653" t="inlineStr">
        <is>
          <t>4980 NIAGARA ST LLC</t>
        </is>
      </c>
      <c r="AI63" s="605">
        <f>IF(AND($E63=Subj_OccCode,Subj_BldgSF&gt;0,ABS($L63-Subj_BldgSF)&lt;=Subj_BldgSF*Subj_SizeTol),ABS($L63-Subj_BldgSF),NA())</f>
        <v/>
      </c>
      <c r="AJ63">
        <f>IF(ISNA(AI63),NA(),AI63+ROW()/10000000)</f>
        <v/>
      </c>
      <c r="AK63" s="605">
        <f>IF(AND(ISNUMBER($N63),$N63&gt;0,ISNUMBER($Y63)),$Y63/$N63,"")</f>
        <v/>
      </c>
    </row>
    <row r="64" ht="15" customHeight="1" s="545">
      <c r="A64" s="388" t="n">
        <v>7</v>
      </c>
      <c r="B64" s="605" t="n">
        <v>56</v>
      </c>
      <c r="C64" s="605" t="inlineStr">
        <is>
          <t>R0092758</t>
        </is>
      </c>
      <c r="D64" s="605" t="inlineStr">
        <is>
          <t>6590 E 49TH AVE</t>
        </is>
      </c>
      <c r="E64" s="605" t="n">
        <v>407</v>
      </c>
      <c r="F64" s="605" t="inlineStr">
        <is>
          <t>COMMERCE CITY</t>
        </is>
      </c>
      <c r="G64" s="605" t="inlineStr">
        <is>
          <t>5</t>
        </is>
      </c>
      <c r="H64" s="59">
        <f>Y64/J64</f>
        <v/>
      </c>
      <c r="I64" s="389" t="n">
        <v>44914</v>
      </c>
      <c r="J64" s="605" t="n">
        <v>10960</v>
      </c>
      <c r="K64" s="59" t="n"/>
      <c r="L64" s="605" t="n">
        <v>10960</v>
      </c>
      <c r="M64" s="605" t="n">
        <v>1974</v>
      </c>
      <c r="P64" s="605" t="inlineStr">
        <is>
          <t>I-1S</t>
        </is>
      </c>
      <c r="R64" s="152" t="inlineStr">
        <is>
          <t>Average</t>
        </is>
      </c>
      <c r="S64" s="605" t="n">
        <v>27226</v>
      </c>
      <c r="T64" s="390">
        <f>S64/L64</f>
        <v/>
      </c>
      <c r="U64" s="605" t="inlineStr">
        <is>
          <t>Average</t>
        </is>
      </c>
      <c r="V64" s="390" t="n"/>
      <c r="W64" s="390" t="n"/>
      <c r="X64" s="390" t="n"/>
      <c r="Y64" s="60" t="n">
        <v>1850000</v>
      </c>
      <c r="Z64" s="60" t="n"/>
      <c r="AA64" s="60" t="n">
        <v>1850000</v>
      </c>
      <c r="AB64" s="60" t="n"/>
      <c r="AC64" s="605" t="inlineStr">
        <is>
          <t>0182317407021</t>
        </is>
      </c>
      <c r="AD64" s="605" t="inlineStr">
        <is>
          <t>2022000098304</t>
        </is>
      </c>
      <c r="AE64" s="653" t="inlineStr">
        <is>
          <t>END-IRA INC ET AL</t>
        </is>
      </c>
      <c r="AF64" s="653" t="inlineStr">
        <is>
          <t>MASTER TECH RV AND APPLIANCE REPAIR LLC</t>
        </is>
      </c>
      <c r="AI64" s="605">
        <f>IF(AND($E64=Subj_OccCode,Subj_BldgSF&gt;0,ABS($L64-Subj_BldgSF)&lt;=Subj_BldgSF*Subj_SizeTol),ABS($L64-Subj_BldgSF),NA())</f>
        <v/>
      </c>
      <c r="AJ64">
        <f>IF(ISNA(AI64),NA(),AI64+ROW()/10000000)</f>
        <v/>
      </c>
      <c r="AK64" s="605">
        <f>IF(AND(ISNUMBER($N64),$N64&gt;0,ISNUMBER($Y64)),$Y64/$N64,"")</f>
        <v/>
      </c>
    </row>
    <row r="65" ht="15" customHeight="1" s="545">
      <c r="A65" s="388" t="n">
        <v>7</v>
      </c>
      <c r="B65" s="605" t="n">
        <v>57</v>
      </c>
      <c r="C65" s="605" t="inlineStr">
        <is>
          <t>R0098017</t>
        </is>
      </c>
      <c r="D65" s="605" t="inlineStr">
        <is>
          <t>1680 E 69TH AVE</t>
        </is>
      </c>
      <c r="E65" s="605" t="n">
        <v>334</v>
      </c>
      <c r="G65" s="605" t="inlineStr">
        <is>
          <t>5</t>
        </is>
      </c>
      <c r="H65" s="59">
        <f>Y65/J65</f>
        <v/>
      </c>
      <c r="I65" s="389" t="n">
        <v>44862</v>
      </c>
      <c r="J65" s="605" t="n">
        <v>13500</v>
      </c>
      <c r="K65" s="59" t="n"/>
      <c r="L65" s="605" t="n">
        <v>13500</v>
      </c>
      <c r="M65" s="605" t="n">
        <v>1989</v>
      </c>
      <c r="P65" s="605" t="inlineStr">
        <is>
          <t>Industrial</t>
        </is>
      </c>
      <c r="R65" s="152" t="inlineStr">
        <is>
          <t>Average</t>
        </is>
      </c>
      <c r="S65" s="605" t="n">
        <v>80781</v>
      </c>
      <c r="T65" s="390">
        <f>S65/L65</f>
        <v/>
      </c>
      <c r="U65" s="605" t="inlineStr">
        <is>
          <t>Average</t>
        </is>
      </c>
      <c r="V65" s="390" t="n"/>
      <c r="W65" s="390" t="n"/>
      <c r="X65" s="390" t="n"/>
      <c r="Y65" s="60" t="n">
        <v>2725000</v>
      </c>
      <c r="Z65" s="60" t="n"/>
      <c r="AA65" s="60" t="n">
        <v>2725000</v>
      </c>
      <c r="AB65" s="60" t="n"/>
      <c r="AC65" s="605" t="inlineStr">
        <is>
          <t>0182502105007</t>
        </is>
      </c>
      <c r="AD65" s="605" t="inlineStr">
        <is>
          <t>2022000088043</t>
        </is>
      </c>
      <c r="AE65" s="653" t="inlineStr">
        <is>
          <t>YTTC LLC</t>
        </is>
      </c>
      <c r="AF65" s="653" t="inlineStr">
        <is>
          <t>ARCANE INDUSTRIES LLC</t>
        </is>
      </c>
      <c r="AI65" s="605">
        <f>IF(AND($E65=Subj_OccCode,Subj_BldgSF&gt;0,ABS($L65-Subj_BldgSF)&lt;=Subj_BldgSF*Subj_SizeTol),ABS($L65-Subj_BldgSF),NA())</f>
        <v/>
      </c>
      <c r="AJ65">
        <f>IF(ISNA(AI65),NA(),AI65+ROW()/10000000)</f>
        <v/>
      </c>
      <c r="AK65" s="605">
        <f>IF(AND(ISNUMBER($N65),$N65&gt;0,ISNUMBER($Y65)),$Y65/$N65,"")</f>
        <v/>
      </c>
    </row>
    <row r="66" ht="15" customHeight="1" s="545">
      <c r="A66" s="388" t="n">
        <v>7</v>
      </c>
      <c r="B66" s="605" t="n">
        <v>58</v>
      </c>
      <c r="C66" s="605" t="inlineStr">
        <is>
          <t>R0100666</t>
        </is>
      </c>
      <c r="D66" s="605" t="inlineStr">
        <is>
          <t>6600 FEDERAL BLVD</t>
        </is>
      </c>
      <c r="E66" s="605" t="n">
        <v>353</v>
      </c>
      <c r="G66" s="605" t="inlineStr">
        <is>
          <t>5</t>
        </is>
      </c>
      <c r="H66" s="59">
        <f>Y66/J66</f>
        <v/>
      </c>
      <c r="I66" s="389" t="n">
        <v>44860</v>
      </c>
      <c r="J66" s="605" t="n">
        <v>2100</v>
      </c>
      <c r="K66" s="59" t="n"/>
      <c r="L66" s="605" t="n">
        <v>2100</v>
      </c>
      <c r="M66" s="605" t="n">
        <v>1955</v>
      </c>
      <c r="P66" s="605" t="inlineStr">
        <is>
          <t>Commercial</t>
        </is>
      </c>
      <c r="R66" s="152" t="inlineStr">
        <is>
          <t>Average</t>
        </is>
      </c>
      <c r="S66" s="605" t="n">
        <v>19950</v>
      </c>
      <c r="T66" s="390">
        <f>S66/L66</f>
        <v/>
      </c>
      <c r="U66" s="605" t="inlineStr">
        <is>
          <t>Average</t>
        </is>
      </c>
      <c r="V66" s="390" t="n"/>
      <c r="W66" s="390" t="n"/>
      <c r="X66" s="390" t="n"/>
      <c r="Y66" s="60" t="n">
        <v>425000</v>
      </c>
      <c r="Z66" s="60" t="n"/>
      <c r="AA66" s="60" t="n">
        <v>425000</v>
      </c>
      <c r="AB66" s="60" t="n"/>
      <c r="AC66" s="605" t="inlineStr">
        <is>
          <t>0182505404003</t>
        </is>
      </c>
      <c r="AD66" s="605" t="inlineStr">
        <is>
          <t>2022000087952</t>
        </is>
      </c>
      <c r="AE66" s="653" t="inlineStr">
        <is>
          <t>SHERWOOD FAMILY LIMITED PARTNERSHIP</t>
        </is>
      </c>
      <c r="AF66" s="653" t="inlineStr">
        <is>
          <t>VILLALOBOS ROSALIO</t>
        </is>
      </c>
      <c r="AI66" s="605">
        <f>IF(AND($E66=Subj_OccCode,Subj_BldgSF&gt;0,ABS($L66-Subj_BldgSF)&lt;=Subj_BldgSF*Subj_SizeTol),ABS($L66-Subj_BldgSF),NA())</f>
        <v/>
      </c>
      <c r="AJ66">
        <f>IF(ISNA(AI66),NA(),AI66+ROW()/10000000)</f>
        <v/>
      </c>
      <c r="AK66" s="605">
        <f>IF(AND(ISNUMBER($N66),$N66&gt;0,ISNUMBER($Y66)),$Y66/$N66,"")</f>
        <v/>
      </c>
    </row>
    <row r="67" ht="15" customHeight="1" s="545">
      <c r="A67" s="388" t="n">
        <v>7</v>
      </c>
      <c r="B67" s="605" t="n">
        <v>59</v>
      </c>
      <c r="C67" s="605" t="inlineStr">
        <is>
          <t>R0129033</t>
        </is>
      </c>
      <c r="D67" s="605" t="inlineStr">
        <is>
          <t>983 E 73RD AVE</t>
        </is>
      </c>
      <c r="E67" s="605" t="n">
        <v>406</v>
      </c>
      <c r="G67" s="605" t="inlineStr">
        <is>
          <t>5</t>
        </is>
      </c>
      <c r="H67" s="59">
        <f>Y67/J67</f>
        <v/>
      </c>
      <c r="I67" s="389" t="n">
        <v>45470</v>
      </c>
      <c r="J67" s="605" t="n">
        <v>5835</v>
      </c>
      <c r="K67" s="59" t="n"/>
      <c r="L67" s="605" t="n">
        <v>5835</v>
      </c>
      <c r="M67" s="605" t="n">
        <v>2002</v>
      </c>
      <c r="P67" s="605" t="inlineStr">
        <is>
          <t>Commercial</t>
        </is>
      </c>
      <c r="R67" s="152" t="inlineStr">
        <is>
          <t>Average</t>
        </is>
      </c>
      <c r="S67" s="605" t="n">
        <v>22084.92</v>
      </c>
      <c r="T67" s="390">
        <f>S67/L67</f>
        <v/>
      </c>
      <c r="U67" s="605" t="inlineStr">
        <is>
          <t>Average</t>
        </is>
      </c>
      <c r="V67" s="390" t="n"/>
      <c r="W67" s="390" t="n"/>
      <c r="X67" s="390" t="n"/>
      <c r="Y67" s="60" t="n">
        <v>1525000</v>
      </c>
      <c r="Z67" s="60" t="n"/>
      <c r="AA67" s="60" t="n">
        <v>1525000</v>
      </c>
      <c r="AB67" s="60" t="n"/>
      <c r="AC67" s="605" t="inlineStr">
        <is>
          <t>0171935302057</t>
        </is>
      </c>
      <c r="AD67" s="605" t="inlineStr">
        <is>
          <t>2024000035899</t>
        </is>
      </c>
      <c r="AE67" s="653" t="inlineStr">
        <is>
          <t>AEGIS COLORADO LLC</t>
        </is>
      </c>
      <c r="AF67" s="653" t="inlineStr">
        <is>
          <t>ASPEN LLC</t>
        </is>
      </c>
      <c r="AI67" s="605">
        <f>IF(AND($E67=Subj_OccCode,Subj_BldgSF&gt;0,ABS($L67-Subj_BldgSF)&lt;=Subj_BldgSF*Subj_SizeTol),ABS($L67-Subj_BldgSF),NA())</f>
        <v/>
      </c>
      <c r="AJ67">
        <f>IF(ISNA(AI67),NA(),AI67+ROW()/10000000)</f>
        <v/>
      </c>
      <c r="AK67" s="605">
        <f>IF(AND(ISNUMBER($N67),$N67&gt;0,ISNUMBER($Y67)),$Y67/$N67,"")</f>
        <v/>
      </c>
    </row>
    <row r="68" ht="15" customHeight="1" s="545">
      <c r="A68" s="388" t="n">
        <v>7</v>
      </c>
      <c r="B68" s="605" t="n">
        <v>60</v>
      </c>
      <c r="C68" s="605" t="inlineStr">
        <is>
          <t>R0173187</t>
        </is>
      </c>
      <c r="D68" s="605" t="inlineStr">
        <is>
          <t>5454 WASHINGTON ST #8</t>
        </is>
      </c>
      <c r="E68" s="605" t="n">
        <v>425</v>
      </c>
      <c r="G68" s="605" t="inlineStr">
        <is>
          <t>5</t>
        </is>
      </c>
      <c r="H68" s="59">
        <f>Y68/J68</f>
        <v/>
      </c>
      <c r="I68" s="389" t="n">
        <v>45152</v>
      </c>
      <c r="J68" s="605" t="n">
        <v>34740</v>
      </c>
      <c r="K68" s="59" t="n"/>
      <c r="L68" s="605" t="n">
        <v>34740</v>
      </c>
      <c r="M68" s="605" t="n">
        <v>1985</v>
      </c>
      <c r="P68" s="605" t="inlineStr">
        <is>
          <t>Industrial</t>
        </is>
      </c>
      <c r="R68" s="152" t="inlineStr">
        <is>
          <t>Average</t>
        </is>
      </c>
      <c r="S68" s="605" t="n">
        <v>7920</v>
      </c>
      <c r="T68" s="390">
        <f>S68/L68</f>
        <v/>
      </c>
      <c r="U68" s="605" t="inlineStr">
        <is>
          <t>Average</t>
        </is>
      </c>
      <c r="V68" s="390" t="n"/>
      <c r="W68" s="390" t="n"/>
      <c r="X68" s="390" t="n"/>
      <c r="Y68" s="60" t="n">
        <v>700000</v>
      </c>
      <c r="Z68" s="60" t="n"/>
      <c r="AA68" s="60" t="n">
        <v>700000</v>
      </c>
      <c r="AB68" s="60" t="n"/>
      <c r="AC68" s="605" t="inlineStr">
        <is>
          <t>0182514210019</t>
        </is>
      </c>
      <c r="AD68" s="605" t="inlineStr">
        <is>
          <t>2023000046862</t>
        </is>
      </c>
      <c r="AE68" s="653" t="inlineStr">
        <is>
          <t>VXSN LLC</t>
        </is>
      </c>
      <c r="AF68" s="653" t="inlineStr">
        <is>
          <t>BEE LINE LLC</t>
        </is>
      </c>
      <c r="AI68" s="605">
        <f>IF(AND($E68=Subj_OccCode,Subj_BldgSF&gt;0,ABS($L68-Subj_BldgSF)&lt;=Subj_BldgSF*Subj_SizeTol),ABS($L68-Subj_BldgSF),NA())</f>
        <v/>
      </c>
      <c r="AJ68">
        <f>IF(ISNA(AI68),NA(),AI68+ROW()/10000000)</f>
        <v/>
      </c>
      <c r="AK68" s="605">
        <f>IF(AND(ISNUMBER($N68),$N68&gt;0,ISNUMBER($Y68)),$Y68/$N68,"")</f>
        <v/>
      </c>
    </row>
    <row r="69" ht="15" customHeight="1" s="545">
      <c r="A69" s="388" t="n">
        <v>7</v>
      </c>
      <c r="B69" s="605" t="n">
        <v>61</v>
      </c>
      <c r="C69" s="605" t="inlineStr">
        <is>
          <t>R0173190</t>
        </is>
      </c>
      <c r="D69" s="605" t="inlineStr">
        <is>
          <t>5454 WASHINGTON ST #11</t>
        </is>
      </c>
      <c r="E69" s="605" t="n">
        <v>425</v>
      </c>
      <c r="G69" s="605" t="inlineStr">
        <is>
          <t>5</t>
        </is>
      </c>
      <c r="H69" s="59">
        <f>Y69/J69</f>
        <v/>
      </c>
      <c r="I69" s="389" t="n">
        <v>44760</v>
      </c>
      <c r="J69" s="605" t="n">
        <v>34740</v>
      </c>
      <c r="K69" s="59" t="n"/>
      <c r="L69" s="605" t="n">
        <v>34740</v>
      </c>
      <c r="M69" s="605" t="n">
        <v>1985</v>
      </c>
      <c r="P69" s="605" t="inlineStr">
        <is>
          <t>Industrial</t>
        </is>
      </c>
      <c r="R69" s="152" t="inlineStr">
        <is>
          <t>Average</t>
        </is>
      </c>
      <c r="S69" s="605" t="n">
        <v>7920</v>
      </c>
      <c r="T69" s="390">
        <f>S69/L69</f>
        <v/>
      </c>
      <c r="U69" s="605" t="inlineStr">
        <is>
          <t>Average</t>
        </is>
      </c>
      <c r="V69" s="390" t="n"/>
      <c r="W69" s="390" t="n"/>
      <c r="X69" s="390" t="n"/>
      <c r="Y69" s="60" t="n">
        <v>795000</v>
      </c>
      <c r="Z69" s="60" t="n"/>
      <c r="AA69" s="60" t="n">
        <v>795000</v>
      </c>
      <c r="AB69" s="60" t="n"/>
      <c r="AC69" s="605" t="inlineStr">
        <is>
          <t>0182514210022</t>
        </is>
      </c>
      <c r="AD69" s="605" t="inlineStr">
        <is>
          <t>2022000062166</t>
        </is>
      </c>
      <c r="AE69" s="653" t="inlineStr">
        <is>
          <t>MYKLEBUST HOLDINGS LLC</t>
        </is>
      </c>
      <c r="AF69" s="653" t="inlineStr">
        <is>
          <t>HAYCAT HOLDINGS LLC</t>
        </is>
      </c>
      <c r="AI69" s="605">
        <f>IF(AND($E69=Subj_OccCode,Subj_BldgSF&gt;0,ABS($L69-Subj_BldgSF)&lt;=Subj_BldgSF*Subj_SizeTol),ABS($L69-Subj_BldgSF),NA())</f>
        <v/>
      </c>
      <c r="AJ69">
        <f>IF(ISNA(AI69),NA(),AI69+ROW()/10000000)</f>
        <v/>
      </c>
      <c r="AK69" s="605">
        <f>IF(AND(ISNUMBER($N69),$N69&gt;0,ISNUMBER($Y69)),$Y69/$N69,"")</f>
        <v/>
      </c>
    </row>
    <row r="70" ht="15" customHeight="1" s="545">
      <c r="A70" s="388" t="n">
        <v>7</v>
      </c>
      <c r="B70" s="605" t="n">
        <v>62</v>
      </c>
      <c r="C70" s="605" t="inlineStr">
        <is>
          <t>R0178847</t>
        </is>
      </c>
      <c r="D70" s="605" t="inlineStr">
        <is>
          <t>2091 CORONADO PKWY N</t>
        </is>
      </c>
      <c r="E70" s="605" t="n">
        <v>442</v>
      </c>
      <c r="G70" s="605" t="inlineStr">
        <is>
          <t>4</t>
        </is>
      </c>
      <c r="H70" s="59">
        <f>Y70/J70</f>
        <v/>
      </c>
      <c r="I70" s="389" t="n">
        <v>45197</v>
      </c>
      <c r="J70" s="605" t="n">
        <v>2000</v>
      </c>
      <c r="K70" s="59" t="n"/>
      <c r="L70" s="605" t="n">
        <v>2000</v>
      </c>
      <c r="M70" s="605" t="n">
        <v>1974</v>
      </c>
      <c r="P70" s="605" t="inlineStr">
        <is>
          <t>Commercial</t>
        </is>
      </c>
      <c r="R70" s="152" t="inlineStr">
        <is>
          <t>Average</t>
        </is>
      </c>
      <c r="S70" s="605" t="n">
        <v>27934</v>
      </c>
      <c r="T70" s="390">
        <f>S70/L70</f>
        <v/>
      </c>
      <c r="U70" s="605" t="inlineStr">
        <is>
          <t>Average</t>
        </is>
      </c>
      <c r="V70" s="390" t="n"/>
      <c r="W70" s="390" t="n"/>
      <c r="X70" s="390" t="n"/>
      <c r="Y70" s="60" t="n">
        <v>495000</v>
      </c>
      <c r="Z70" s="60" t="n"/>
      <c r="AA70" s="60" t="n">
        <v>495000</v>
      </c>
      <c r="AB70" s="60" t="n"/>
      <c r="AC70" s="605" t="inlineStr">
        <is>
          <t>0171926416150</t>
        </is>
      </c>
      <c r="AD70" s="605" t="inlineStr">
        <is>
          <t>2023000055973</t>
        </is>
      </c>
      <c r="AE70" s="653" t="inlineStr">
        <is>
          <t>GG PROPERTY LLC</t>
        </is>
      </c>
      <c r="AF70" s="653" t="inlineStr">
        <is>
          <t>GMOTORS LLC</t>
        </is>
      </c>
      <c r="AI70" s="605">
        <f>IF(AND($E70=Subj_OccCode,Subj_BldgSF&gt;0,ABS($L70-Subj_BldgSF)&lt;=Subj_BldgSF*Subj_SizeTol),ABS($L70-Subj_BldgSF),NA())</f>
        <v/>
      </c>
      <c r="AJ70">
        <f>IF(ISNA(AI70),NA(),AI70+ROW()/10000000)</f>
        <v/>
      </c>
      <c r="AK70" s="605">
        <f>IF(AND(ISNUMBER($N70),$N70&gt;0,ISNUMBER($Y70)),$Y70/$N70,"")</f>
        <v/>
      </c>
    </row>
    <row r="71" ht="15" customHeight="1" s="545">
      <c r="A71" s="388" t="n">
        <v>7</v>
      </c>
      <c r="B71" s="605" t="n">
        <v>63</v>
      </c>
      <c r="C71" s="605" t="inlineStr">
        <is>
          <t>R0024473</t>
        </is>
      </c>
      <c r="D71" s="605" t="inlineStr">
        <is>
          <t>12421 WASHINGTON</t>
        </is>
      </c>
      <c r="E71" s="605" t="n">
        <v>334</v>
      </c>
      <c r="F71" s="605" t="inlineStr">
        <is>
          <t>THORNTON</t>
        </is>
      </c>
      <c r="G71" s="605" t="inlineStr">
        <is>
          <t>3</t>
        </is>
      </c>
      <c r="H71" s="59">
        <f>Y71/J71</f>
        <v/>
      </c>
      <c r="I71" s="389" t="n">
        <v>45376</v>
      </c>
      <c r="J71" s="605" t="n">
        <v>32961</v>
      </c>
      <c r="K71" s="59" t="n"/>
      <c r="L71" s="605" t="n">
        <v>32961</v>
      </c>
      <c r="M71" s="605" t="n">
        <v>1983</v>
      </c>
      <c r="P71" s="605" t="inlineStr">
        <is>
          <t>Business Park</t>
        </is>
      </c>
      <c r="R71" s="152" t="inlineStr">
        <is>
          <t>Good</t>
        </is>
      </c>
      <c r="S71" s="605" t="n">
        <v>112471</v>
      </c>
      <c r="T71" s="390">
        <f>S71/L71</f>
        <v/>
      </c>
      <c r="U71" s="605" t="inlineStr">
        <is>
          <t>Good</t>
        </is>
      </c>
      <c r="V71" s="390" t="n"/>
      <c r="W71" s="390" t="n"/>
      <c r="X71" s="390" t="n"/>
      <c r="Y71" s="60" t="n">
        <v>4550000</v>
      </c>
      <c r="Z71" s="60" t="n"/>
      <c r="AA71" s="60" t="n">
        <v>4550000</v>
      </c>
      <c r="AB71" s="60" t="n"/>
      <c r="AC71" s="605" t="inlineStr">
        <is>
          <t>0157334009022</t>
        </is>
      </c>
      <c r="AD71" s="605" t="inlineStr">
        <is>
          <t>2024000015296</t>
        </is>
      </c>
      <c r="AE71" s="653" t="inlineStr">
        <is>
          <t>BPAZ HOLDINGS 13 LLC</t>
        </is>
      </c>
      <c r="AF71" s="653" t="inlineStr">
        <is>
          <t>12421 WASH EAT LLC</t>
        </is>
      </c>
      <c r="AI71" s="605">
        <f>IF(AND($E71=Subj_OccCode,Subj_BldgSF&gt;0,ABS($L71-Subj_BldgSF)&lt;=Subj_BldgSF*Subj_SizeTol),ABS($L71-Subj_BldgSF),NA())</f>
        <v/>
      </c>
      <c r="AJ71">
        <f>IF(ISNA(AI71),NA(),AI71+ROW()/10000000)</f>
        <v/>
      </c>
      <c r="AK71" s="605">
        <f>IF(AND(ISNUMBER($N71),$N71&gt;0,ISNUMBER($Y71)),$Y71/$N71,"")</f>
        <v/>
      </c>
    </row>
    <row r="72" ht="15" customHeight="1" s="545">
      <c r="A72" s="388" t="n">
        <v>7</v>
      </c>
      <c r="B72" s="605" t="n">
        <v>64</v>
      </c>
      <c r="C72" s="605" t="inlineStr">
        <is>
          <t>R0039073</t>
        </is>
      </c>
      <c r="D72" s="605" t="inlineStr">
        <is>
          <t>10475 IRMA DR #15</t>
        </is>
      </c>
      <c r="E72" s="605" t="n">
        <v>425</v>
      </c>
      <c r="F72" s="605" t="inlineStr">
        <is>
          <t>NORTHGLENN</t>
        </is>
      </c>
      <c r="G72" s="605" t="inlineStr">
        <is>
          <t>4</t>
        </is>
      </c>
      <c r="H72" s="59">
        <f>Y72/J72</f>
        <v/>
      </c>
      <c r="I72" s="389" t="n">
        <v>45044</v>
      </c>
      <c r="J72" s="605" t="n">
        <v>25500</v>
      </c>
      <c r="K72" s="59" t="n"/>
      <c r="L72" s="605" t="n">
        <v>25500</v>
      </c>
      <c r="M72" s="605" t="n">
        <v>1984</v>
      </c>
      <c r="P72" s="605" t="inlineStr">
        <is>
          <t>I-2-Nor</t>
        </is>
      </c>
      <c r="R72" s="152" t="inlineStr">
        <is>
          <t>Average</t>
        </is>
      </c>
      <c r="S72" s="605" t="n">
        <v>4655</v>
      </c>
      <c r="T72" s="390">
        <f>S72/L72</f>
        <v/>
      </c>
      <c r="U72" s="605" t="inlineStr">
        <is>
          <t>Average</t>
        </is>
      </c>
      <c r="V72" s="390" t="n"/>
      <c r="W72" s="390" t="n"/>
      <c r="X72" s="390" t="n"/>
      <c r="Y72" s="60" t="n">
        <v>350000</v>
      </c>
      <c r="Z72" s="60" t="n"/>
      <c r="AA72" s="60" t="n">
        <v>350000</v>
      </c>
      <c r="AB72" s="60" t="n"/>
      <c r="AC72" s="605" t="inlineStr">
        <is>
          <t>0171911411034</t>
        </is>
      </c>
      <c r="AD72" s="605" t="inlineStr">
        <is>
          <t>2023000023737</t>
        </is>
      </c>
      <c r="AE72" s="653" t="inlineStr">
        <is>
          <t>MACK VENTURES LLC</t>
        </is>
      </c>
      <c r="AF72" s="653" t="inlineStr">
        <is>
          <t>BROOKCON INVESTMENTS LLC</t>
        </is>
      </c>
      <c r="AI72" s="605">
        <f>IF(AND($E72=Subj_OccCode,Subj_BldgSF&gt;0,ABS($L72-Subj_BldgSF)&lt;=Subj_BldgSF*Subj_SizeTol),ABS($L72-Subj_BldgSF),NA())</f>
        <v/>
      </c>
      <c r="AJ72">
        <f>IF(ISNA(AI72),NA(),AI72+ROW()/10000000)</f>
        <v/>
      </c>
      <c r="AK72" s="605">
        <f>IF(AND(ISNUMBER($N72),$N72&gt;0,ISNUMBER($Y72)),$Y72/$N72,"")</f>
        <v/>
      </c>
    </row>
    <row r="73" ht="15" customHeight="1" s="545">
      <c r="A73" s="388" t="n">
        <v>7</v>
      </c>
      <c r="B73" s="605" t="n">
        <v>65</v>
      </c>
      <c r="C73" s="605" t="inlineStr">
        <is>
          <t>R0061307</t>
        </is>
      </c>
      <c r="D73" s="605" t="inlineStr">
        <is>
          <t>8040 FEDERAL BLVD</t>
        </is>
      </c>
      <c r="E73" s="605" t="n">
        <v>406</v>
      </c>
      <c r="F73" s="605" t="inlineStr">
        <is>
          <t>WESTMINSTER</t>
        </is>
      </c>
      <c r="G73" s="605" t="inlineStr">
        <is>
          <t>4</t>
        </is>
      </c>
      <c r="H73" s="59">
        <f>Y73/J73</f>
        <v/>
      </c>
      <c r="I73" s="389" t="n">
        <v>45135</v>
      </c>
      <c r="J73" s="605" t="n">
        <v>5105</v>
      </c>
      <c r="K73" s="59" t="n"/>
      <c r="L73" s="605" t="n">
        <v>5105</v>
      </c>
      <c r="M73" s="605" t="n">
        <v>1972</v>
      </c>
      <c r="P73" s="605" t="inlineStr">
        <is>
          <t>B-1-Wes</t>
        </is>
      </c>
      <c r="R73" s="152" t="inlineStr">
        <is>
          <t>Average</t>
        </is>
      </c>
      <c r="S73" s="605" t="n">
        <v>25000</v>
      </c>
      <c r="T73" s="390">
        <f>S73/L73</f>
        <v/>
      </c>
      <c r="U73" s="605" t="inlineStr">
        <is>
          <t>Average</t>
        </is>
      </c>
      <c r="V73" s="390" t="n"/>
      <c r="W73" s="390" t="n"/>
      <c r="X73" s="390" t="n"/>
      <c r="Y73" s="60" t="n">
        <v>820000</v>
      </c>
      <c r="Z73" s="60" t="n"/>
      <c r="AA73" s="60" t="n">
        <v>820000</v>
      </c>
      <c r="AB73" s="60" t="n"/>
      <c r="AC73" s="605" t="inlineStr">
        <is>
          <t>0171929404011</t>
        </is>
      </c>
      <c r="AD73" s="605" t="inlineStr">
        <is>
          <t>2023000043895</t>
        </is>
      </c>
      <c r="AE73" s="653" t="inlineStr">
        <is>
          <t>RESEIGH KAREN L</t>
        </is>
      </c>
      <c r="AF73" s="653" t="inlineStr">
        <is>
          <t>YAABTAL INVESTMENTS CO LLC</t>
        </is>
      </c>
      <c r="AI73" s="605">
        <f>IF(AND($E73=Subj_OccCode,Subj_BldgSF&gt;0,ABS($L73-Subj_BldgSF)&lt;=Subj_BldgSF*Subj_SizeTol),ABS($L73-Subj_BldgSF),NA())</f>
        <v/>
      </c>
      <c r="AJ73">
        <f>IF(ISNA(AI73),NA(),AI73+ROW()/10000000)</f>
        <v/>
      </c>
      <c r="AK73" s="605">
        <f>IF(AND(ISNUMBER($N73),$N73&gt;0,ISNUMBER($Y73)),$Y73/$N73,"")</f>
        <v/>
      </c>
    </row>
    <row r="74" ht="15" customHeight="1" s="545">
      <c r="A74" s="388" t="n">
        <v>7</v>
      </c>
      <c r="B74" s="605" t="n">
        <v>66</v>
      </c>
      <c r="C74" s="605" t="inlineStr">
        <is>
          <t>R0065302</t>
        </is>
      </c>
      <c r="D74" s="605" t="inlineStr">
        <is>
          <t>3705 W 73RD AVE</t>
        </is>
      </c>
      <c r="E74" s="605" t="n">
        <v>353</v>
      </c>
      <c r="F74" s="605" t="inlineStr">
        <is>
          <t>WESTMINSTER</t>
        </is>
      </c>
      <c r="G74" s="605" t="inlineStr">
        <is>
          <t>4</t>
        </is>
      </c>
      <c r="H74" s="59">
        <f>Y74/J74</f>
        <v/>
      </c>
      <c r="I74" s="389" t="n">
        <v>45427</v>
      </c>
      <c r="J74" s="605" t="n">
        <v>1440</v>
      </c>
      <c r="K74" s="59" t="n"/>
      <c r="L74" s="605" t="n">
        <v>1440</v>
      </c>
      <c r="M74" s="605" t="n">
        <v>1950</v>
      </c>
      <c r="P74" s="605" t="inlineStr">
        <is>
          <t>B-1-Wes</t>
        </is>
      </c>
      <c r="R74" s="152" t="inlineStr">
        <is>
          <t>Average</t>
        </is>
      </c>
      <c r="S74" s="605" t="n">
        <v>9375</v>
      </c>
      <c r="T74" s="390">
        <f>S74/L74</f>
        <v/>
      </c>
      <c r="U74" s="605" t="inlineStr">
        <is>
          <t>Average</t>
        </is>
      </c>
      <c r="V74" s="390" t="n"/>
      <c r="W74" s="390" t="n"/>
      <c r="X74" s="390" t="n"/>
      <c r="Y74" s="60" t="n">
        <v>700000</v>
      </c>
      <c r="Z74" s="60" t="n"/>
      <c r="AA74" s="60" t="n">
        <v>700000</v>
      </c>
      <c r="AB74" s="60" t="n"/>
      <c r="AC74" s="605" t="inlineStr">
        <is>
          <t>0171931414022</t>
        </is>
      </c>
      <c r="AD74" s="605" t="inlineStr">
        <is>
          <t>2024000026482</t>
        </is>
      </c>
      <c r="AE74" s="653" t="inlineStr">
        <is>
          <t>AAE LLC</t>
        </is>
      </c>
      <c r="AF74" s="653" t="inlineStr">
        <is>
          <t>GTZ LLC</t>
        </is>
      </c>
      <c r="AI74" s="605">
        <f>IF(AND($E74=Subj_OccCode,Subj_BldgSF&gt;0,ABS($L74-Subj_BldgSF)&lt;=Subj_BldgSF*Subj_SizeTol),ABS($L74-Subj_BldgSF),NA())</f>
        <v/>
      </c>
      <c r="AJ74">
        <f>IF(ISNA(AI74),NA(),AI74+ROW()/10000000)</f>
        <v/>
      </c>
      <c r="AK74" s="605">
        <f>IF(AND(ISNUMBER($N74),$N74&gt;0,ISNUMBER($Y74)),$Y74/$N74,"")</f>
        <v/>
      </c>
    </row>
    <row r="75" ht="15" customHeight="1" s="545">
      <c r="A75" s="388" t="n">
        <v>7</v>
      </c>
      <c r="B75" s="605" t="n">
        <v>67</v>
      </c>
      <c r="C75" s="605" t="inlineStr">
        <is>
          <t>R0065303</t>
        </is>
      </c>
      <c r="D75" s="605" t="inlineStr">
        <is>
          <t>3699 W 73RD AVE</t>
        </is>
      </c>
      <c r="E75" s="605" t="n">
        <v>344</v>
      </c>
      <c r="F75" s="605" t="inlineStr">
        <is>
          <t>WESTMINSTER</t>
        </is>
      </c>
      <c r="G75" s="605" t="inlineStr">
        <is>
          <t>4</t>
        </is>
      </c>
      <c r="H75" s="59">
        <f>Y75/J75</f>
        <v/>
      </c>
      <c r="I75" s="389" t="n">
        <v>44755</v>
      </c>
      <c r="J75" s="605" t="n">
        <v>3300</v>
      </c>
      <c r="K75" s="59" t="n"/>
      <c r="L75" s="605" t="n">
        <v>3300</v>
      </c>
      <c r="M75" s="605" t="n">
        <v>1964</v>
      </c>
      <c r="P75" s="605" t="inlineStr">
        <is>
          <t>B-1-Wes</t>
        </is>
      </c>
      <c r="R75" s="152" t="inlineStr">
        <is>
          <t>Average</t>
        </is>
      </c>
      <c r="S75" s="605" t="n">
        <v>7500</v>
      </c>
      <c r="T75" s="390">
        <f>S75/L75</f>
        <v/>
      </c>
      <c r="U75" s="605" t="inlineStr">
        <is>
          <t>Average</t>
        </is>
      </c>
      <c r="V75" s="390" t="n"/>
      <c r="W75" s="390" t="n"/>
      <c r="X75" s="390" t="n"/>
      <c r="Y75" s="60" t="n">
        <v>800000</v>
      </c>
      <c r="Z75" s="60" t="n"/>
      <c r="AA75" s="60" t="n">
        <v>800000</v>
      </c>
      <c r="AB75" s="60" t="n"/>
      <c r="AC75" s="605" t="inlineStr">
        <is>
          <t>0171931414023</t>
        </is>
      </c>
      <c r="AD75" s="605" t="inlineStr">
        <is>
          <t>2022000067684</t>
        </is>
      </c>
      <c r="AE75" s="653" t="inlineStr">
        <is>
          <t>SEEP INVESTMENTS LLC</t>
        </is>
      </c>
      <c r="AF75" s="653" t="inlineStr">
        <is>
          <t>3699 W 73RD AVE LLC</t>
        </is>
      </c>
      <c r="AI75" s="605">
        <f>IF(AND($E75=Subj_OccCode,Subj_BldgSF&gt;0,ABS($L75-Subj_BldgSF)&lt;=Subj_BldgSF*Subj_SizeTol),ABS($L75-Subj_BldgSF),NA())</f>
        <v/>
      </c>
      <c r="AJ75">
        <f>IF(ISNA(AI75),NA(),AI75+ROW()/10000000)</f>
        <v/>
      </c>
      <c r="AK75" s="605">
        <f>IF(AND(ISNUMBER($N75),$N75&gt;0,ISNUMBER($Y75)),$Y75/$N75,"")</f>
        <v/>
      </c>
    </row>
    <row r="76" ht="15" customHeight="1" s="545">
      <c r="A76" s="388" t="n">
        <v>7</v>
      </c>
      <c r="B76" s="605" t="n">
        <v>68</v>
      </c>
      <c r="C76" s="605" t="inlineStr">
        <is>
          <t>R0077172</t>
        </is>
      </c>
      <c r="D76" s="605" t="inlineStr">
        <is>
          <t>8495 ROSLYN ST</t>
        </is>
      </c>
      <c r="E76" s="605" t="n">
        <v>406</v>
      </c>
      <c r="F76" s="605" t="inlineStr">
        <is>
          <t>COMMERCE CITY</t>
        </is>
      </c>
      <c r="G76" s="605" t="inlineStr">
        <is>
          <t>5</t>
        </is>
      </c>
      <c r="H76" s="59">
        <f>Y76/J76</f>
        <v/>
      </c>
      <c r="I76" s="389" t="n">
        <v>45468</v>
      </c>
      <c r="J76" s="605" t="n">
        <v>15040</v>
      </c>
      <c r="K76" s="59" t="n"/>
      <c r="L76" s="605" t="n">
        <v>15040</v>
      </c>
      <c r="M76" s="605" t="n">
        <v>1987</v>
      </c>
      <c r="P76" s="605" t="inlineStr">
        <is>
          <t>I-2-Com</t>
        </is>
      </c>
      <c r="R76" s="152" t="inlineStr">
        <is>
          <t>Average</t>
        </is>
      </c>
      <c r="S76" s="605" t="n">
        <v>33584.76</v>
      </c>
      <c r="T76" s="390">
        <f>S76/L76</f>
        <v/>
      </c>
      <c r="U76" s="605" t="inlineStr">
        <is>
          <t>Average</t>
        </is>
      </c>
      <c r="V76" s="390" t="n"/>
      <c r="W76" s="390" t="n"/>
      <c r="X76" s="390" t="n"/>
      <c r="Y76" s="60" t="n">
        <v>2500000</v>
      </c>
      <c r="Z76" s="60" t="n"/>
      <c r="AA76" s="60" t="n">
        <v>2500000</v>
      </c>
      <c r="AB76" s="60" t="n"/>
      <c r="AC76" s="605" t="inlineStr">
        <is>
          <t>0172128200023</t>
        </is>
      </c>
      <c r="AD76" s="605" t="inlineStr">
        <is>
          <t>2024000015116</t>
        </is>
      </c>
      <c r="AE76" s="653" t="inlineStr">
        <is>
          <t>ROSLYN STREET PROPERTIES LLC</t>
        </is>
      </c>
      <c r="AF76" s="653" t="inlineStr">
        <is>
          <t>CHARLES BREWER LLC</t>
        </is>
      </c>
      <c r="AI76" s="605">
        <f>IF(AND($E76=Subj_OccCode,Subj_BldgSF&gt;0,ABS($L76-Subj_BldgSF)&lt;=Subj_BldgSF*Subj_SizeTol),ABS($L76-Subj_BldgSF),NA())</f>
        <v/>
      </c>
      <c r="AJ76">
        <f>IF(ISNA(AI76),NA(),AI76+ROW()/10000000)</f>
        <v/>
      </c>
      <c r="AK76" s="605">
        <f>IF(AND(ISNUMBER($N76),$N76&gt;0,ISNUMBER($Y76)),$Y76/$N76,"")</f>
        <v/>
      </c>
    </row>
    <row r="77" ht="15" customHeight="1" s="545">
      <c r="A77" s="388" t="n">
        <v>7</v>
      </c>
      <c r="B77" s="605" t="n">
        <v>69</v>
      </c>
      <c r="C77" s="605" t="inlineStr">
        <is>
          <t>R0077751</t>
        </is>
      </c>
      <c r="D77" s="605" t="inlineStr">
        <is>
          <t>5195 E 77TH AVE</t>
        </is>
      </c>
      <c r="E77" s="605" t="n">
        <v>406</v>
      </c>
      <c r="F77" s="605" t="inlineStr">
        <is>
          <t>COMMERCE CITY</t>
        </is>
      </c>
      <c r="G77" s="605" t="inlineStr">
        <is>
          <t>5</t>
        </is>
      </c>
      <c r="H77" s="59">
        <f>Y77/J77</f>
        <v/>
      </c>
      <c r="I77" s="389" t="n">
        <v>45218</v>
      </c>
      <c r="J77" s="605" t="n">
        <v>1440</v>
      </c>
      <c r="K77" s="59" t="n"/>
      <c r="L77" s="605" t="n">
        <v>1440</v>
      </c>
      <c r="M77" s="605" t="n">
        <v>1940</v>
      </c>
      <c r="P77" s="605" t="inlineStr">
        <is>
          <t>Industrial</t>
        </is>
      </c>
      <c r="R77" s="152" t="inlineStr">
        <is>
          <t>Fair</t>
        </is>
      </c>
      <c r="S77" s="605" t="n">
        <v>12506</v>
      </c>
      <c r="T77" s="390">
        <f>S77/L77</f>
        <v/>
      </c>
      <c r="U77" s="605" t="inlineStr">
        <is>
          <t>Fair</t>
        </is>
      </c>
      <c r="V77" s="390" t="n"/>
      <c r="W77" s="390" t="n"/>
      <c r="X77" s="390" t="n"/>
      <c r="Y77" s="60" t="n">
        <v>185000</v>
      </c>
      <c r="Z77" s="60" t="n"/>
      <c r="AA77" s="60" t="n">
        <v>185000</v>
      </c>
      <c r="AB77" s="60" t="n"/>
      <c r="AC77" s="605" t="inlineStr">
        <is>
          <t>0172131104017</t>
        </is>
      </c>
      <c r="AD77" s="605" t="inlineStr">
        <is>
          <t>2023000059281</t>
        </is>
      </c>
      <c r="AE77" s="653" t="inlineStr">
        <is>
          <t>REID ROBERT F SR AKA ROBERT, AKA ROBERT FREDERICK SR</t>
        </is>
      </c>
      <c r="AF77" s="653" t="inlineStr">
        <is>
          <t>OFFEN 5195 LLC</t>
        </is>
      </c>
      <c r="AI77" s="605">
        <f>IF(AND($E77=Subj_OccCode,Subj_BldgSF&gt;0,ABS($L77-Subj_BldgSF)&lt;=Subj_BldgSF*Subj_SizeTol),ABS($L77-Subj_BldgSF),NA())</f>
        <v/>
      </c>
      <c r="AJ77">
        <f>IF(ISNA(AI77),NA(),AI77+ROW()/10000000)</f>
        <v/>
      </c>
      <c r="AK77" s="605">
        <f>IF(AND(ISNUMBER($N77),$N77&gt;0,ISNUMBER($Y77)),$Y77/$N77,"")</f>
        <v/>
      </c>
    </row>
    <row r="78" ht="15" customHeight="1" s="545">
      <c r="A78" s="388" t="n">
        <v>7</v>
      </c>
      <c r="B78" s="605" t="n">
        <v>70</v>
      </c>
      <c r="C78" s="605" t="inlineStr">
        <is>
          <t>R0089691</t>
        </is>
      </c>
      <c r="D78" s="605" t="inlineStr">
        <is>
          <t xml:space="preserve">7040 FAIRFAX DRIVE </t>
        </is>
      </c>
      <c r="E78" s="605" t="n">
        <v>406</v>
      </c>
      <c r="F78" s="605" t="inlineStr">
        <is>
          <t>COMMERCE CITY</t>
        </is>
      </c>
      <c r="G78" s="605" t="inlineStr">
        <is>
          <t>5</t>
        </is>
      </c>
      <c r="H78" s="59">
        <f>Y78/J78</f>
        <v/>
      </c>
      <c r="I78" s="389" t="n">
        <v>45128</v>
      </c>
      <c r="J78" s="605" t="n">
        <v>2232</v>
      </c>
      <c r="K78" s="59" t="n"/>
      <c r="L78" s="605" t="n">
        <v>2232</v>
      </c>
      <c r="M78" s="605" t="n">
        <v>1956</v>
      </c>
      <c r="P78" s="605" t="inlineStr">
        <is>
          <t>C-3-Com</t>
        </is>
      </c>
      <c r="R78" s="152" t="inlineStr">
        <is>
          <t>Low</t>
        </is>
      </c>
      <c r="S78" s="605" t="n">
        <v>7600</v>
      </c>
      <c r="T78" s="390">
        <f>S78/L78</f>
        <v/>
      </c>
      <c r="U78" s="605" t="inlineStr">
        <is>
          <t>Low</t>
        </is>
      </c>
      <c r="V78" s="390" t="n"/>
      <c r="W78" s="390" t="n"/>
      <c r="X78" s="390" t="n"/>
      <c r="Y78" s="60" t="n">
        <v>354780</v>
      </c>
      <c r="Z78" s="60" t="n"/>
      <c r="AA78" s="60" t="n">
        <v>354780</v>
      </c>
      <c r="AB78" s="60" t="n"/>
      <c r="AC78" s="605" t="inlineStr">
        <is>
          <t>0182306108001</t>
        </is>
      </c>
      <c r="AD78" s="605" t="inlineStr">
        <is>
          <t>2023000042403</t>
        </is>
      </c>
      <c r="AE78" s="653" t="inlineStr">
        <is>
          <t>7040 FAIRFAX DRIVE LLC</t>
        </is>
      </c>
      <c r="AF78" s="653" t="inlineStr">
        <is>
          <t>THE 7040 FAIRFAX DRIVE LLC</t>
        </is>
      </c>
      <c r="AI78" s="605">
        <f>IF(AND($E78=Subj_OccCode,Subj_BldgSF&gt;0,ABS($L78-Subj_BldgSF)&lt;=Subj_BldgSF*Subj_SizeTol),ABS($L78-Subj_BldgSF),NA())</f>
        <v/>
      </c>
      <c r="AJ78">
        <f>IF(ISNA(AI78),NA(),AI78+ROW()/10000000)</f>
        <v/>
      </c>
      <c r="AK78" s="605">
        <f>IF(AND(ISNUMBER($N78),$N78&gt;0,ISNUMBER($Y78)),$Y78/$N78,"")</f>
        <v/>
      </c>
    </row>
    <row r="79" ht="15" customHeight="1" s="545">
      <c r="A79" s="388" t="n">
        <v>7</v>
      </c>
      <c r="B79" s="605" t="n">
        <v>71</v>
      </c>
      <c r="C79" s="605" t="inlineStr">
        <is>
          <t>R0092265</t>
        </is>
      </c>
      <c r="D79" s="605" t="inlineStr">
        <is>
          <t>5470 NEWPORT ST</t>
        </is>
      </c>
      <c r="E79" s="605" t="n">
        <v>325</v>
      </c>
      <c r="F79" s="605" t="inlineStr">
        <is>
          <t>COMMERCE CITY</t>
        </is>
      </c>
      <c r="G79" s="605" t="inlineStr">
        <is>
          <t>5</t>
        </is>
      </c>
      <c r="H79" s="59">
        <f>Y79/J79</f>
        <v/>
      </c>
      <c r="I79" s="389" t="n">
        <v>45408</v>
      </c>
      <c r="J79" s="605" t="n">
        <v>1360</v>
      </c>
      <c r="K79" s="59" t="n"/>
      <c r="L79" s="605" t="n">
        <v>1360</v>
      </c>
      <c r="M79" s="605" t="n">
        <v>1970</v>
      </c>
      <c r="P79" s="605" t="inlineStr">
        <is>
          <t>I-2-Com</t>
        </is>
      </c>
      <c r="R79" s="152" t="inlineStr">
        <is>
          <t>Average</t>
        </is>
      </c>
      <c r="S79" s="605" t="n">
        <v>16885</v>
      </c>
      <c r="T79" s="390">
        <f>S79/L79</f>
        <v/>
      </c>
      <c r="U79" s="605" t="inlineStr">
        <is>
          <t>Average</t>
        </is>
      </c>
      <c r="V79" s="390" t="n"/>
      <c r="W79" s="390" t="n"/>
      <c r="X79" s="390" t="n"/>
      <c r="Y79" s="60" t="n">
        <v>795000</v>
      </c>
      <c r="Z79" s="60" t="n"/>
      <c r="AA79" s="60" t="n">
        <v>795000</v>
      </c>
      <c r="AB79" s="60" t="n"/>
      <c r="AC79" s="605" t="inlineStr">
        <is>
          <t>0182317101007</t>
        </is>
      </c>
      <c r="AD79" s="605" t="inlineStr">
        <is>
          <t>2024000021973</t>
        </is>
      </c>
      <c r="AE79" s="653" t="inlineStr">
        <is>
          <t>PROJECT53 LLC</t>
        </is>
      </c>
      <c r="AF79" s="653" t="inlineStr">
        <is>
          <t>FALCARRAGH INVESTMENTS LLC</t>
        </is>
      </c>
      <c r="AI79" s="605">
        <f>IF(AND($E79=Subj_OccCode,Subj_BldgSF&gt;0,ABS($L79-Subj_BldgSF)&lt;=Subj_BldgSF*Subj_SizeTol),ABS($L79-Subj_BldgSF),NA())</f>
        <v/>
      </c>
      <c r="AJ79">
        <f>IF(ISNA(AI79),NA(),AI79+ROW()/10000000)</f>
        <v/>
      </c>
      <c r="AK79" s="605">
        <f>IF(AND(ISNUMBER($N79),$N79&gt;0,ISNUMBER($Y79)),$Y79/$N79,"")</f>
        <v/>
      </c>
    </row>
    <row r="80" ht="15" customHeight="1" s="545">
      <c r="A80" s="388" t="n">
        <v>7</v>
      </c>
      <c r="B80" s="605" t="n">
        <v>72</v>
      </c>
      <c r="C80" s="605" t="inlineStr">
        <is>
          <t>R0092383</t>
        </is>
      </c>
      <c r="D80" s="605" t="inlineStr">
        <is>
          <t>7011 E 53RD PL</t>
        </is>
      </c>
      <c r="E80" s="605" t="n">
        <v>334</v>
      </c>
      <c r="F80" s="605" t="inlineStr">
        <is>
          <t>COMMERCE CITY</t>
        </is>
      </c>
      <c r="G80" s="605" t="inlineStr">
        <is>
          <t>5</t>
        </is>
      </c>
      <c r="H80" s="59">
        <f>Y80/J80</f>
        <v/>
      </c>
      <c r="I80" s="389" t="n">
        <v>44813</v>
      </c>
      <c r="J80" s="605" t="n">
        <v>25272</v>
      </c>
      <c r="K80" s="59" t="n"/>
      <c r="L80" s="605" t="n">
        <v>25272</v>
      </c>
      <c r="M80" s="605" t="n">
        <v>1973</v>
      </c>
      <c r="P80" s="605" t="inlineStr">
        <is>
          <t>I-2-Com</t>
        </is>
      </c>
      <c r="R80" s="152" t="inlineStr">
        <is>
          <t>Average</t>
        </is>
      </c>
      <c r="S80" s="605" t="n">
        <v>83000</v>
      </c>
      <c r="T80" s="390">
        <f>S80/L80</f>
        <v/>
      </c>
      <c r="U80" s="605" t="inlineStr">
        <is>
          <t>Average</t>
        </is>
      </c>
      <c r="V80" s="390" t="n"/>
      <c r="W80" s="390" t="n"/>
      <c r="X80" s="390" t="n"/>
      <c r="Y80" s="60" t="n">
        <v>3750000</v>
      </c>
      <c r="Z80" s="60" t="n"/>
      <c r="AA80" s="60" t="n">
        <v>3750000</v>
      </c>
      <c r="AB80" s="60" t="n"/>
      <c r="AC80" s="605" t="inlineStr">
        <is>
          <t>0182317106008</t>
        </is>
      </c>
      <c r="AD80" s="605" t="inlineStr">
        <is>
          <t>2022000076319</t>
        </is>
      </c>
      <c r="AE80" s="653" t="inlineStr">
        <is>
          <t>CBA GIAMBROCCO LLLP</t>
        </is>
      </c>
      <c r="AF80" s="653" t="inlineStr">
        <is>
          <t>DUO INDUSTRIAL LLC</t>
        </is>
      </c>
      <c r="AI80" s="605">
        <f>IF(AND($E80=Subj_OccCode,Subj_BldgSF&gt;0,ABS($L80-Subj_BldgSF)&lt;=Subj_BldgSF*Subj_SizeTol),ABS($L80-Subj_BldgSF),NA())</f>
        <v/>
      </c>
      <c r="AJ80">
        <f>IF(ISNA(AI80),NA(),AI80+ROW()/10000000)</f>
        <v/>
      </c>
      <c r="AK80" s="605">
        <f>IF(AND(ISNUMBER($N80),$N80&gt;0,ISNUMBER($Y80)),$Y80/$N80,"")</f>
        <v/>
      </c>
    </row>
    <row r="81" ht="15" customHeight="1" s="545">
      <c r="A81" s="388" t="n">
        <v>7</v>
      </c>
      <c r="B81" s="605" t="n">
        <v>73</v>
      </c>
      <c r="C81" s="605" t="inlineStr">
        <is>
          <t>R0098071</t>
        </is>
      </c>
      <c r="D81" s="605" t="inlineStr">
        <is>
          <t>851 HWY 225 # B-5</t>
        </is>
      </c>
      <c r="E81" s="605" t="n">
        <v>425</v>
      </c>
      <c r="G81" s="605" t="inlineStr">
        <is>
          <t>5</t>
        </is>
      </c>
      <c r="H81" s="59">
        <f>Y81/J81</f>
        <v/>
      </c>
      <c r="I81" s="389" t="n">
        <v>45288</v>
      </c>
      <c r="J81" s="605" t="n">
        <v>26500</v>
      </c>
      <c r="K81" s="59" t="n"/>
      <c r="L81" s="605" t="n">
        <v>26500</v>
      </c>
      <c r="M81" s="605" t="n">
        <v>1984</v>
      </c>
      <c r="P81" s="605" t="inlineStr">
        <is>
          <t>Industrial</t>
        </is>
      </c>
      <c r="R81" s="152" t="inlineStr">
        <is>
          <t>Average</t>
        </is>
      </c>
      <c r="S81" s="605" t="n">
        <v>2893</v>
      </c>
      <c r="T81" s="390">
        <f>S81/L81</f>
        <v/>
      </c>
      <c r="U81" s="605" t="inlineStr">
        <is>
          <t>Average</t>
        </is>
      </c>
      <c r="V81" s="390" t="n"/>
      <c r="W81" s="390" t="n"/>
      <c r="X81" s="390" t="n"/>
      <c r="Y81" s="60" t="n">
        <v>300000</v>
      </c>
      <c r="Z81" s="60" t="n"/>
      <c r="AA81" s="60" t="n">
        <v>300000</v>
      </c>
      <c r="AB81" s="60" t="n"/>
      <c r="AC81" s="605" t="inlineStr">
        <is>
          <t>0182502203035</t>
        </is>
      </c>
      <c r="AD81" s="605" t="inlineStr">
        <is>
          <t>2023000071498</t>
        </is>
      </c>
      <c r="AE81" s="653" t="inlineStr">
        <is>
          <t>MAURER SCOTT AND, MAURER KIMBERLEY W</t>
        </is>
      </c>
      <c r="AF81" s="653" t="inlineStr">
        <is>
          <t>COLORADO CHILLER SERVICES LLC</t>
        </is>
      </c>
      <c r="AI81" s="605">
        <f>IF(AND($E81=Subj_OccCode,Subj_BldgSF&gt;0,ABS($L81-Subj_BldgSF)&lt;=Subj_BldgSF*Subj_SizeTol),ABS($L81-Subj_BldgSF),NA())</f>
        <v/>
      </c>
      <c r="AJ81">
        <f>IF(ISNA(AI81),NA(),AI81+ROW()/10000000)</f>
        <v/>
      </c>
      <c r="AK81" s="605">
        <f>IF(AND(ISNUMBER($N81),$N81&gt;0,ISNUMBER($Y81)),$Y81/$N81,"")</f>
        <v/>
      </c>
    </row>
    <row r="82" ht="15" customHeight="1" s="545">
      <c r="A82" s="388" t="n">
        <v>7</v>
      </c>
      <c r="B82" s="605" t="n">
        <v>74</v>
      </c>
      <c r="C82" s="605" t="inlineStr">
        <is>
          <t>R0100113</t>
        </is>
      </c>
      <c r="D82" s="605" t="inlineStr">
        <is>
          <t>7095 FEDERAL BLVD</t>
        </is>
      </c>
      <c r="E82" s="605" t="n">
        <v>325</v>
      </c>
      <c r="F82" s="605" t="inlineStr">
        <is>
          <t>WESTMINSTER</t>
        </is>
      </c>
      <c r="G82" s="605" t="inlineStr">
        <is>
          <t>4</t>
        </is>
      </c>
      <c r="H82" s="59">
        <f>Y82/J82</f>
        <v/>
      </c>
      <c r="I82" s="389" t="n">
        <v>45275</v>
      </c>
      <c r="J82" s="605" t="n">
        <v>6402</v>
      </c>
      <c r="K82" s="59" t="n"/>
      <c r="L82" s="605" t="n">
        <v>6402</v>
      </c>
      <c r="M82" s="605" t="n">
        <v>1971</v>
      </c>
      <c r="P82" s="605" t="inlineStr">
        <is>
          <t>SPD</t>
        </is>
      </c>
      <c r="R82" s="152" t="inlineStr">
        <is>
          <t>Average</t>
        </is>
      </c>
      <c r="S82" s="605" t="n">
        <v>20250</v>
      </c>
      <c r="T82" s="390">
        <f>S82/L82</f>
        <v/>
      </c>
      <c r="U82" s="605" t="inlineStr">
        <is>
          <t>Average</t>
        </is>
      </c>
      <c r="V82" s="390" t="n"/>
      <c r="W82" s="390" t="n"/>
      <c r="X82" s="390" t="n"/>
      <c r="Y82" s="60" t="n">
        <v>1050000</v>
      </c>
      <c r="Z82" s="60" t="n"/>
      <c r="AA82" s="60" t="n">
        <v>1050000</v>
      </c>
      <c r="AB82" s="60" t="n"/>
      <c r="AC82" s="605" t="inlineStr">
        <is>
          <t>0182505221007</t>
        </is>
      </c>
      <c r="AD82" s="605" t="inlineStr">
        <is>
          <t>2023000069400</t>
        </is>
      </c>
      <c r="AE82" s="653" t="inlineStr">
        <is>
          <t>KRUPP GLASSMAN &amp; GLASSMAN LLC</t>
        </is>
      </c>
      <c r="AF82" s="653" t="inlineStr">
        <is>
          <t>7095FEDERAL LLC</t>
        </is>
      </c>
      <c r="AI82" s="605">
        <f>IF(AND($E82=Subj_OccCode,Subj_BldgSF&gt;0,ABS($L82-Subj_BldgSF)&lt;=Subj_BldgSF*Subj_SizeTol),ABS($L82-Subj_BldgSF),NA())</f>
        <v/>
      </c>
      <c r="AJ82">
        <f>IF(ISNA(AI82),NA(),AI82+ROW()/10000000)</f>
        <v/>
      </c>
      <c r="AK82" s="605">
        <f>IF(AND(ISNUMBER($N82),$N82&gt;0,ISNUMBER($Y82)),$Y82/$N82,"")</f>
        <v/>
      </c>
    </row>
    <row r="83" ht="15" customHeight="1" s="545">
      <c r="A83" s="388" t="n">
        <v>7</v>
      </c>
      <c r="B83" s="605" t="n">
        <v>75</v>
      </c>
      <c r="C83" s="605" t="inlineStr">
        <is>
          <t>R0103555</t>
        </is>
      </c>
      <c r="D83" s="605" t="inlineStr">
        <is>
          <t>5801 LOGAN ST</t>
        </is>
      </c>
      <c r="E83" s="605" t="n">
        <v>334</v>
      </c>
      <c r="G83" s="605" t="inlineStr">
        <is>
          <t>5</t>
        </is>
      </c>
      <c r="H83" s="59">
        <f>Y83/J83</f>
        <v/>
      </c>
      <c r="I83" s="389" t="n">
        <v>45317</v>
      </c>
      <c r="J83" s="605" t="n">
        <v>11200</v>
      </c>
      <c r="K83" s="59" t="n"/>
      <c r="L83" s="605" t="n">
        <v>11200</v>
      </c>
      <c r="M83" s="605" t="n">
        <v>1982</v>
      </c>
      <c r="P83" s="605" t="inlineStr">
        <is>
          <t>Industrial</t>
        </is>
      </c>
      <c r="R83" s="152" t="inlineStr">
        <is>
          <t>Average</t>
        </is>
      </c>
      <c r="S83" s="605" t="n">
        <v>26839</v>
      </c>
      <c r="T83" s="390">
        <f>S83/L83</f>
        <v/>
      </c>
      <c r="U83" s="605" t="inlineStr">
        <is>
          <t>Average</t>
        </is>
      </c>
      <c r="V83" s="390" t="n"/>
      <c r="W83" s="390" t="n"/>
      <c r="X83" s="390" t="n"/>
      <c r="Y83" s="60" t="n">
        <v>2650000</v>
      </c>
      <c r="Z83" s="60" t="n"/>
      <c r="AA83" s="60" t="n">
        <v>2650000</v>
      </c>
      <c r="AB83" s="60" t="n"/>
      <c r="AC83" s="605" t="inlineStr">
        <is>
          <t>0182510402006</t>
        </is>
      </c>
      <c r="AD83" s="605" t="inlineStr">
        <is>
          <t>2024000004228</t>
        </is>
      </c>
      <c r="AE83" s="653" t="inlineStr">
        <is>
          <t>5801 LOGAN STREET LLC</t>
        </is>
      </c>
      <c r="AF83" s="653" t="inlineStr">
        <is>
          <t>DENVER SURFACES LLC</t>
        </is>
      </c>
      <c r="AI83" s="605">
        <f>IF(AND($E83=Subj_OccCode,Subj_BldgSF&gt;0,ABS($L83-Subj_BldgSF)&lt;=Subj_BldgSF*Subj_SizeTol),ABS($L83-Subj_BldgSF),NA())</f>
        <v/>
      </c>
      <c r="AJ83">
        <f>IF(ISNA(AI83),NA(),AI83+ROW()/10000000)</f>
        <v/>
      </c>
      <c r="AK83" s="605">
        <f>IF(AND(ISNUMBER($N83),$N83&gt;0,ISNUMBER($Y83)),$Y83/$N83,"")</f>
        <v/>
      </c>
    </row>
    <row r="84" ht="15" customHeight="1" s="545">
      <c r="A84" s="388" t="n">
        <v>7</v>
      </c>
      <c r="B84" s="605" t="n">
        <v>76</v>
      </c>
      <c r="C84" s="605" t="inlineStr">
        <is>
          <t>R0117238</t>
        </is>
      </c>
      <c r="D84" s="605" t="inlineStr">
        <is>
          <t>1870 W 64TH LN</t>
        </is>
      </c>
      <c r="E84" s="605" t="n">
        <v>407</v>
      </c>
      <c r="G84" s="605" t="inlineStr">
        <is>
          <t>5</t>
        </is>
      </c>
      <c r="H84" s="59">
        <f>Y84/J84</f>
        <v/>
      </c>
      <c r="I84" s="389" t="n">
        <v>45174</v>
      </c>
      <c r="J84" s="605" t="n">
        <v>19660</v>
      </c>
      <c r="K84" s="59" t="n"/>
      <c r="L84" s="605" t="n">
        <v>19660</v>
      </c>
      <c r="M84" s="605" t="n">
        <v>2002</v>
      </c>
      <c r="P84" s="605" t="inlineStr">
        <is>
          <t>Industrial</t>
        </is>
      </c>
      <c r="R84" s="152" t="inlineStr">
        <is>
          <t>Average</t>
        </is>
      </c>
      <c r="S84" s="605" t="n">
        <v>47044.8</v>
      </c>
      <c r="T84" s="390">
        <f>S84/L84</f>
        <v/>
      </c>
      <c r="U84" s="605" t="inlineStr">
        <is>
          <t>Average</t>
        </is>
      </c>
      <c r="V84" s="390" t="n"/>
      <c r="W84" s="390" t="n"/>
      <c r="X84" s="390" t="n"/>
      <c r="Y84" s="60" t="n">
        <v>3450000</v>
      </c>
      <c r="Z84" s="60" t="n"/>
      <c r="AA84" s="60" t="n">
        <v>3450000</v>
      </c>
      <c r="AB84" s="60" t="n"/>
      <c r="AC84" s="605" t="inlineStr">
        <is>
          <t>0182504302011</t>
        </is>
      </c>
      <c r="AD84" s="605" t="inlineStr">
        <is>
          <t>2023000052276</t>
        </is>
      </c>
      <c r="AE84" s="653" t="inlineStr">
        <is>
          <t>MANHATTAN FUND XXI LLC</t>
        </is>
      </c>
      <c r="AF84" s="653" t="inlineStr">
        <is>
          <t>RED 64TH LLC</t>
        </is>
      </c>
      <c r="AI84" s="605">
        <f>IF(AND($E84=Subj_OccCode,Subj_BldgSF&gt;0,ABS($L84-Subj_BldgSF)&lt;=Subj_BldgSF*Subj_SizeTol),ABS($L84-Subj_BldgSF),NA())</f>
        <v/>
      </c>
      <c r="AJ84">
        <f>IF(ISNA(AI84),NA(),AI84+ROW()/10000000)</f>
        <v/>
      </c>
      <c r="AK84" s="605">
        <f>IF(AND(ISNUMBER($N84),$N84&gt;0,ISNUMBER($Y84)),$Y84/$N84,"")</f>
        <v/>
      </c>
    </row>
    <row r="85" ht="15" customHeight="1" s="545">
      <c r="A85" s="388" t="n">
        <v>7</v>
      </c>
      <c r="B85" s="605" t="n">
        <v>77</v>
      </c>
      <c r="C85" s="605" t="inlineStr">
        <is>
          <t>R0004257</t>
        </is>
      </c>
      <c r="D85" s="605" t="inlineStr">
        <is>
          <t>509 S 4TH AVE</t>
        </is>
      </c>
      <c r="E85" s="605" t="n">
        <v>344</v>
      </c>
      <c r="F85" s="605" t="inlineStr">
        <is>
          <t>BRIGHTON</t>
        </is>
      </c>
      <c r="G85" s="605" t="inlineStr">
        <is>
          <t>2</t>
        </is>
      </c>
      <c r="H85" s="59">
        <f>Y85/J85</f>
        <v/>
      </c>
      <c r="I85" s="389" t="n">
        <v>45257</v>
      </c>
      <c r="J85" s="605" t="n">
        <v>816</v>
      </c>
      <c r="K85" s="59" t="n"/>
      <c r="L85" s="605" t="n">
        <v>816</v>
      </c>
      <c r="M85" s="605" t="n">
        <v>1917</v>
      </c>
      <c r="P85" s="605" t="inlineStr">
        <is>
          <t>C-1-Bri</t>
        </is>
      </c>
      <c r="R85" s="152" t="inlineStr">
        <is>
          <t>Average</t>
        </is>
      </c>
      <c r="S85" s="605" t="n">
        <v>7500</v>
      </c>
      <c r="T85" s="390">
        <f>S85/L85</f>
        <v/>
      </c>
      <c r="U85" s="605" t="inlineStr">
        <is>
          <t>Average</t>
        </is>
      </c>
      <c r="V85" s="390" t="n"/>
      <c r="W85" s="390" t="n"/>
      <c r="X85" s="390" t="n"/>
      <c r="Y85" s="60" t="n">
        <v>310000</v>
      </c>
      <c r="Z85" s="60" t="n"/>
      <c r="AA85" s="60" t="n">
        <v>306000</v>
      </c>
      <c r="AB85" s="60" t="n"/>
      <c r="AC85" s="605" t="inlineStr">
        <is>
          <t>0156907303017</t>
        </is>
      </c>
      <c r="AD85" s="605" t="inlineStr">
        <is>
          <t>2023000065859</t>
        </is>
      </c>
      <c r="AE85" s="653" t="inlineStr">
        <is>
          <t>BROCAT LLC</t>
        </is>
      </c>
      <c r="AF85" s="653" t="inlineStr">
        <is>
          <t>TAMARIZ HOLDINGS LTD</t>
        </is>
      </c>
      <c r="AI85" s="605">
        <f>IF(AND($E85=Subj_OccCode,Subj_BldgSF&gt;0,ABS($L85-Subj_BldgSF)&lt;=Subj_BldgSF*Subj_SizeTol),ABS($L85-Subj_BldgSF),NA())</f>
        <v/>
      </c>
      <c r="AJ85">
        <f>IF(ISNA(AI85),NA(),AI85+ROW()/10000000)</f>
        <v/>
      </c>
      <c r="AK85" s="605">
        <f>IF(AND(ISNUMBER($N85),$N85&gt;0,ISNUMBER($Y85)),$Y85/$N85,"")</f>
        <v/>
      </c>
    </row>
    <row r="86" ht="15" customHeight="1" s="545">
      <c r="A86" s="388" t="n">
        <v>7</v>
      </c>
      <c r="B86" s="605" t="n">
        <v>78</v>
      </c>
      <c r="C86" s="605" t="inlineStr">
        <is>
          <t>R0038934</t>
        </is>
      </c>
      <c r="D86" s="605" t="inlineStr">
        <is>
          <t>10789 IRMA DR</t>
        </is>
      </c>
      <c r="E86" s="605" t="n">
        <v>406</v>
      </c>
      <c r="F86" s="605" t="inlineStr">
        <is>
          <t>NORTHGLENN</t>
        </is>
      </c>
      <c r="G86" s="605" t="inlineStr">
        <is>
          <t>4</t>
        </is>
      </c>
      <c r="H86" s="59">
        <f>Y86/J86</f>
        <v/>
      </c>
      <c r="I86" s="389" t="n">
        <v>45083</v>
      </c>
      <c r="J86" s="605" t="n">
        <v>4000</v>
      </c>
      <c r="K86" s="59" t="n"/>
      <c r="L86" s="605" t="n">
        <v>4000</v>
      </c>
      <c r="M86" s="605" t="n">
        <v>1973</v>
      </c>
      <c r="P86" s="605" t="inlineStr">
        <is>
          <t>I-2-Nor</t>
        </is>
      </c>
      <c r="R86" s="152" t="inlineStr">
        <is>
          <t>Average</t>
        </is>
      </c>
      <c r="S86" s="605" t="n">
        <v>22477</v>
      </c>
      <c r="T86" s="390">
        <f>S86/L86</f>
        <v/>
      </c>
      <c r="U86" s="605" t="inlineStr">
        <is>
          <t>Average</t>
        </is>
      </c>
      <c r="V86" s="390" t="n"/>
      <c r="W86" s="390" t="n"/>
      <c r="X86" s="390" t="n"/>
      <c r="Y86" s="60" t="n">
        <v>750000</v>
      </c>
      <c r="Z86" s="60" t="n"/>
      <c r="AA86" s="60" t="n">
        <v>750000</v>
      </c>
      <c r="AB86" s="60" t="n"/>
      <c r="AC86" s="605" t="inlineStr">
        <is>
          <t>0171911403018</t>
        </is>
      </c>
      <c r="AD86" s="605" t="inlineStr">
        <is>
          <t>2023000032069</t>
        </is>
      </c>
      <c r="AE86" s="653" t="inlineStr">
        <is>
          <t>NEUMANN DEBORAH J TRUST THE</t>
        </is>
      </c>
      <c r="AF86" s="653" t="inlineStr">
        <is>
          <t>PAUL TANNER HOLDINGS LLC</t>
        </is>
      </c>
      <c r="AI86" s="605">
        <f>IF(AND($E86=Subj_OccCode,Subj_BldgSF&gt;0,ABS($L86-Subj_BldgSF)&lt;=Subj_BldgSF*Subj_SizeTol),ABS($L86-Subj_BldgSF),NA())</f>
        <v/>
      </c>
      <c r="AJ86">
        <f>IF(ISNA(AI86),NA(),AI86+ROW()/10000000)</f>
        <v/>
      </c>
      <c r="AK86" s="605">
        <f>IF(AND(ISNUMBER($N86),$N86&gt;0,ISNUMBER($Y86)),$Y86/$N86,"")</f>
        <v/>
      </c>
    </row>
    <row r="87" ht="15" customHeight="1" s="545">
      <c r="A87" s="388" t="n">
        <v>7</v>
      </c>
      <c r="B87" s="605" t="n">
        <v>79</v>
      </c>
      <c r="C87" s="605" t="inlineStr">
        <is>
          <t>R0071002</t>
        </is>
      </c>
      <c r="D87" s="605" t="inlineStr">
        <is>
          <t>913 E 75TH AVE</t>
        </is>
      </c>
      <c r="E87" s="605" t="n">
        <v>406</v>
      </c>
      <c r="G87" s="605" t="inlineStr">
        <is>
          <t>5</t>
        </is>
      </c>
      <c r="H87" s="59">
        <f>Y87/J87</f>
        <v/>
      </c>
      <c r="I87" s="389" t="n">
        <v>45163</v>
      </c>
      <c r="J87" s="605" t="n">
        <v>26695</v>
      </c>
      <c r="K87" s="59" t="n"/>
      <c r="L87" s="605" t="n">
        <v>26695</v>
      </c>
      <c r="M87" s="605" t="n">
        <v>2000</v>
      </c>
      <c r="P87" s="605" t="inlineStr">
        <is>
          <t>Industrial</t>
        </is>
      </c>
      <c r="R87" s="152" t="inlineStr">
        <is>
          <t>Average</t>
        </is>
      </c>
      <c r="S87" s="605" t="n">
        <v>77615.21090000001</v>
      </c>
      <c r="T87" s="390">
        <f>S87/L87</f>
        <v/>
      </c>
      <c r="U87" s="605" t="inlineStr">
        <is>
          <t>Average</t>
        </is>
      </c>
      <c r="V87" s="390" t="n"/>
      <c r="W87" s="390" t="n"/>
      <c r="X87" s="390" t="n"/>
      <c r="Y87" s="60" t="n">
        <v>4300000</v>
      </c>
      <c r="Z87" s="60" t="n"/>
      <c r="AA87" s="60" t="n">
        <v>4300000</v>
      </c>
      <c r="AB87" s="60" t="n"/>
      <c r="AC87" s="605" t="inlineStr">
        <is>
          <t>0171935301030</t>
        </is>
      </c>
      <c r="AD87" s="605" t="inlineStr">
        <is>
          <t>2023000048787</t>
        </is>
      </c>
      <c r="AE87" s="653" t="inlineStr">
        <is>
          <t>INVESTORS PENCHANT ONE LLC</t>
        </is>
      </c>
      <c r="AF87" s="653" t="inlineStr">
        <is>
          <t>ES HOLDCO - 1100 WEST MISSISSIPPI AVENUE LLC 36.20% INT AND, ES HOLDCO -  et al.</t>
        </is>
      </c>
      <c r="AI87" s="605">
        <f>IF(AND($E87=Subj_OccCode,Subj_BldgSF&gt;0,ABS($L87-Subj_BldgSF)&lt;=Subj_BldgSF*Subj_SizeTol),ABS($L87-Subj_BldgSF),NA())</f>
        <v/>
      </c>
      <c r="AJ87">
        <f>IF(ISNA(AI87),NA(),AI87+ROW()/10000000)</f>
        <v/>
      </c>
      <c r="AK87" s="605">
        <f>IF(AND(ISNUMBER($N87),$N87&gt;0,ISNUMBER($Y87)),$Y87/$N87,"")</f>
        <v/>
      </c>
    </row>
    <row r="88" ht="15" customHeight="1" s="545">
      <c r="A88" s="388" t="n">
        <v>7</v>
      </c>
      <c r="B88" s="605" t="n">
        <v>80</v>
      </c>
      <c r="C88" s="605" t="inlineStr">
        <is>
          <t>R0002828</t>
        </is>
      </c>
      <c r="D88" s="605" t="inlineStr">
        <is>
          <t>108 WALNUT ST</t>
        </is>
      </c>
      <c r="E88" s="605" t="n">
        <v>406</v>
      </c>
      <c r="F88" s="605" t="inlineStr">
        <is>
          <t>BRIGHTON</t>
        </is>
      </c>
      <c r="G88" s="605" t="inlineStr">
        <is>
          <t>2</t>
        </is>
      </c>
      <c r="H88" s="59">
        <f>Y88/J88</f>
        <v/>
      </c>
      <c r="I88" s="389" t="n">
        <v>44887</v>
      </c>
      <c r="J88" s="605" t="n">
        <v>6540</v>
      </c>
      <c r="K88" s="59" t="n"/>
      <c r="L88" s="605" t="n">
        <v>6540</v>
      </c>
      <c r="M88" s="605" t="n">
        <v>1977</v>
      </c>
      <c r="P88" s="605" t="inlineStr">
        <is>
          <t>I-1-Bri</t>
        </is>
      </c>
      <c r="R88" s="152" t="inlineStr">
        <is>
          <t>Average</t>
        </is>
      </c>
      <c r="S88" s="605" t="n">
        <v>32975</v>
      </c>
      <c r="T88" s="390">
        <f>S88/L88</f>
        <v/>
      </c>
      <c r="U88" s="605" t="inlineStr">
        <is>
          <t>Average</t>
        </is>
      </c>
      <c r="V88" s="390" t="n"/>
      <c r="W88" s="390" t="n"/>
      <c r="X88" s="390" t="n"/>
      <c r="Y88" s="60" t="n">
        <v>1135900</v>
      </c>
      <c r="Z88" s="60" t="n"/>
      <c r="AA88" s="60" t="n">
        <v>1135900</v>
      </c>
      <c r="AB88" s="60" t="n"/>
      <c r="AC88" s="605" t="inlineStr">
        <is>
          <t>0156906313013</t>
        </is>
      </c>
      <c r="AD88" s="605" t="inlineStr">
        <is>
          <t>2022000092995</t>
        </is>
      </c>
      <c r="AE88" s="653" t="inlineStr">
        <is>
          <t>HARTIGAN PROPERTIES LLC</t>
        </is>
      </c>
      <c r="AF88" s="653" t="inlineStr">
        <is>
          <t>40 NORTH LLC</t>
        </is>
      </c>
      <c r="AI88" s="605">
        <f>IF(AND($E88=Subj_OccCode,Subj_BldgSF&gt;0,ABS($L88-Subj_BldgSF)&lt;=Subj_BldgSF*Subj_SizeTol),ABS($L88-Subj_BldgSF),NA())</f>
        <v/>
      </c>
      <c r="AJ88">
        <f>IF(ISNA(AI88),NA(),AI88+ROW()/10000000)</f>
        <v/>
      </c>
      <c r="AK88" s="605">
        <f>IF(AND(ISNUMBER($N88),$N88&gt;0,ISNUMBER($Y88)),$Y88/$N88,"")</f>
        <v/>
      </c>
    </row>
    <row r="89" ht="15" customHeight="1" s="545">
      <c r="A89" s="388" t="n">
        <v>7</v>
      </c>
      <c r="B89" s="605" t="n">
        <v>81</v>
      </c>
      <c r="C89" s="605" t="inlineStr">
        <is>
          <t>R0048498</t>
        </is>
      </c>
      <c r="D89" s="605" t="inlineStr">
        <is>
          <t>3821 W 88TH AVE</t>
        </is>
      </c>
      <c r="E89" s="605" t="n">
        <v>344</v>
      </c>
      <c r="G89" s="605" t="inlineStr">
        <is>
          <t>4</t>
        </is>
      </c>
      <c r="H89" s="59">
        <f>Y89/J89</f>
        <v/>
      </c>
      <c r="I89" s="389" t="n">
        <v>45394</v>
      </c>
      <c r="J89" s="605" t="n">
        <v>4590</v>
      </c>
      <c r="K89" s="59" t="n"/>
      <c r="L89" s="605" t="n">
        <v>4590</v>
      </c>
      <c r="M89" s="605" t="n">
        <v>1993</v>
      </c>
      <c r="P89" s="605" t="inlineStr">
        <is>
          <t>Commercial</t>
        </is>
      </c>
      <c r="R89" s="152" t="inlineStr">
        <is>
          <t>Average</t>
        </is>
      </c>
      <c r="S89" s="605" t="n">
        <v>15400</v>
      </c>
      <c r="T89" s="390">
        <f>S89/L89</f>
        <v/>
      </c>
      <c r="U89" s="605" t="inlineStr">
        <is>
          <t>Average</t>
        </is>
      </c>
      <c r="V89" s="390" t="n"/>
      <c r="W89" s="390" t="n"/>
      <c r="X89" s="390" t="n"/>
      <c r="Y89" s="60" t="n">
        <v>1600000</v>
      </c>
      <c r="Z89" s="60" t="n"/>
      <c r="AA89" s="60" t="n">
        <v>1600000</v>
      </c>
      <c r="AB89" s="60" t="n"/>
      <c r="AC89" s="605" t="inlineStr">
        <is>
          <t>0171919413057</t>
        </is>
      </c>
      <c r="AD89" s="605" t="inlineStr">
        <is>
          <t>2024000019155</t>
        </is>
      </c>
      <c r="AE89" s="653" t="inlineStr">
        <is>
          <t>JRM ESTATES LLC</t>
        </is>
      </c>
      <c r="AF89" s="653" t="inlineStr">
        <is>
          <t>LFE STATION LLC</t>
        </is>
      </c>
      <c r="AI89" s="605">
        <f>IF(AND($E89=Subj_OccCode,Subj_BldgSF&gt;0,ABS($L89-Subj_BldgSF)&lt;=Subj_BldgSF*Subj_SizeTol),ABS($L89-Subj_BldgSF),NA())</f>
        <v/>
      </c>
      <c r="AJ89">
        <f>IF(ISNA(AI89),NA(),AI89+ROW()/10000000)</f>
        <v/>
      </c>
      <c r="AK89" s="605">
        <f>IF(AND(ISNUMBER($N89),$N89&gt;0,ISNUMBER($Y89)),$Y89/$N89,"")</f>
        <v/>
      </c>
    </row>
    <row r="90" ht="15" customHeight="1" s="545">
      <c r="A90" s="388" t="n">
        <v>7</v>
      </c>
      <c r="B90" s="605" t="n">
        <v>82</v>
      </c>
      <c r="C90" s="605" t="inlineStr">
        <is>
          <t>R0084314</t>
        </is>
      </c>
      <c r="D90" s="605" t="inlineStr">
        <is>
          <t>13801 E SMITH DR</t>
        </is>
      </c>
      <c r="E90" s="605" t="n">
        <v>425</v>
      </c>
      <c r="F90" s="605" t="inlineStr">
        <is>
          <t>AURORA</t>
        </is>
      </c>
      <c r="G90" s="605" t="inlineStr">
        <is>
          <t>6</t>
        </is>
      </c>
      <c r="H90" s="59">
        <f>Y90/J90</f>
        <v/>
      </c>
      <c r="I90" s="389" t="n">
        <v>44953</v>
      </c>
      <c r="J90" s="605" t="n">
        <v>8943</v>
      </c>
      <c r="K90" s="59" t="n"/>
      <c r="L90" s="605" t="n">
        <v>8943</v>
      </c>
      <c r="M90" s="605" t="n">
        <v>1982</v>
      </c>
      <c r="P90" s="605" t="inlineStr">
        <is>
          <t>M-1-Aur</t>
        </is>
      </c>
      <c r="R90" s="152" t="inlineStr">
        <is>
          <t>Average</t>
        </is>
      </c>
      <c r="S90" s="605" t="n">
        <v>6313</v>
      </c>
      <c r="T90" s="390">
        <f>S90/L90</f>
        <v/>
      </c>
      <c r="U90" s="605" t="inlineStr">
        <is>
          <t>Average</t>
        </is>
      </c>
      <c r="V90" s="390" t="n"/>
      <c r="W90" s="390" t="n"/>
      <c r="X90" s="390" t="n"/>
      <c r="Y90" s="60" t="n">
        <v>300000</v>
      </c>
      <c r="Z90" s="60" t="n"/>
      <c r="AA90" s="60" t="n">
        <v>300000</v>
      </c>
      <c r="AB90" s="60" t="n"/>
      <c r="AC90" s="605" t="inlineStr">
        <is>
          <t>0182130013014</t>
        </is>
      </c>
      <c r="AD90" s="605" t="inlineStr">
        <is>
          <t>2023000004917</t>
        </is>
      </c>
      <c r="AE90" s="653" t="inlineStr">
        <is>
          <t>FAGGETT ROBERT L</t>
        </is>
      </c>
      <c r="AF90" s="653" t="inlineStr">
        <is>
          <t>A-PLUS TARGET LLC</t>
        </is>
      </c>
      <c r="AI90" s="605">
        <f>IF(AND($E90=Subj_OccCode,Subj_BldgSF&gt;0,ABS($L90-Subj_BldgSF)&lt;=Subj_BldgSF*Subj_SizeTol),ABS($L90-Subj_BldgSF),NA())</f>
        <v/>
      </c>
      <c r="AJ90">
        <f>IF(ISNA(AI90),NA(),AI90+ROW()/10000000)</f>
        <v/>
      </c>
      <c r="AK90" s="605">
        <f>IF(AND(ISNUMBER($N90),$N90&gt;0,ISNUMBER($Y90)),$Y90/$N90,"")</f>
        <v/>
      </c>
    </row>
    <row r="91" ht="15" customHeight="1" s="545">
      <c r="A91" s="388" t="n">
        <v>7</v>
      </c>
      <c r="B91" s="605" t="n">
        <v>83</v>
      </c>
      <c r="C91" s="605" t="inlineStr">
        <is>
          <t>R0092785</t>
        </is>
      </c>
      <c r="D91" s="605" t="inlineStr">
        <is>
          <t>4810 OLIVE ST</t>
        </is>
      </c>
      <c r="E91" s="605" t="n">
        <v>325</v>
      </c>
      <c r="F91" s="605" t="inlineStr">
        <is>
          <t>COMMERCE CITY</t>
        </is>
      </c>
      <c r="G91" s="605" t="inlineStr">
        <is>
          <t>5</t>
        </is>
      </c>
      <c r="H91" s="59">
        <f>Y91/J91</f>
        <v/>
      </c>
      <c r="I91" s="389" t="n">
        <v>44830</v>
      </c>
      <c r="J91" s="605" t="n">
        <v>4214</v>
      </c>
      <c r="K91" s="59" t="n"/>
      <c r="L91" s="605" t="n">
        <v>4214</v>
      </c>
      <c r="M91" s="605" t="n">
        <v>1972</v>
      </c>
      <c r="P91" s="605" t="inlineStr">
        <is>
          <t>I-1S</t>
        </is>
      </c>
      <c r="R91" s="152" t="inlineStr">
        <is>
          <t>Average</t>
        </is>
      </c>
      <c r="S91" s="605" t="n">
        <v>35896</v>
      </c>
      <c r="T91" s="390">
        <f>S91/L91</f>
        <v/>
      </c>
      <c r="U91" s="605" t="inlineStr">
        <is>
          <t>Average</t>
        </is>
      </c>
      <c r="V91" s="390" t="n"/>
      <c r="W91" s="390" t="n"/>
      <c r="X91" s="390" t="n"/>
      <c r="Y91" s="60" t="n">
        <v>1475000</v>
      </c>
      <c r="Z91" s="60" t="n"/>
      <c r="AA91" s="60" t="n">
        <v>1475000</v>
      </c>
      <c r="AB91" s="60" t="n"/>
      <c r="AC91" s="605" t="inlineStr">
        <is>
          <t>0182317409015</t>
        </is>
      </c>
      <c r="AD91" s="605" t="inlineStr">
        <is>
          <t>2022000080335</t>
        </is>
      </c>
      <c r="AE91" s="653" t="inlineStr">
        <is>
          <t xml:space="preserve">HAFER DONALD J, BROWN PATRICIA A, </t>
        </is>
      </c>
      <c r="AF91" s="653" t="inlineStr">
        <is>
          <t>COLORADO BUS PROPERTIES LLC</t>
        </is>
      </c>
      <c r="AI91" s="605">
        <f>IF(AND($E91=Subj_OccCode,Subj_BldgSF&gt;0,ABS($L91-Subj_BldgSF)&lt;=Subj_BldgSF*Subj_SizeTol),ABS($L91-Subj_BldgSF),NA())</f>
        <v/>
      </c>
      <c r="AJ91">
        <f>IF(ISNA(AI91),NA(),AI91+ROW()/10000000)</f>
        <v/>
      </c>
      <c r="AK91" s="605">
        <f>IF(AND(ISNUMBER($N91),$N91&gt;0,ISNUMBER($Y91)),$Y91/$N91,"")</f>
        <v/>
      </c>
    </row>
    <row r="92" ht="15" customHeight="1" s="545">
      <c r="A92" s="388" t="n">
        <v>7</v>
      </c>
      <c r="B92" s="605" t="n">
        <v>84</v>
      </c>
      <c r="C92" s="605" t="inlineStr">
        <is>
          <t>R0095688</t>
        </is>
      </c>
      <c r="D92" s="605" t="inlineStr">
        <is>
          <t>10455 E COLFAX AVE</t>
        </is>
      </c>
      <c r="E92" s="605" t="n">
        <v>353</v>
      </c>
      <c r="F92" s="605" t="inlineStr">
        <is>
          <t>AURORA</t>
        </is>
      </c>
      <c r="G92" s="605" t="inlineStr">
        <is>
          <t>6</t>
        </is>
      </c>
      <c r="H92" s="59">
        <f>Y92/J92</f>
        <v/>
      </c>
      <c r="I92" s="389" t="n">
        <v>45427</v>
      </c>
      <c r="J92" s="605" t="n">
        <v>4291</v>
      </c>
      <c r="K92" s="59" t="n"/>
      <c r="L92" s="605" t="n">
        <v>4291</v>
      </c>
      <c r="M92" s="605" t="n">
        <v>1964</v>
      </c>
      <c r="P92" s="605" t="inlineStr">
        <is>
          <t>OA-G</t>
        </is>
      </c>
      <c r="R92" s="152" t="inlineStr">
        <is>
          <t>Average</t>
        </is>
      </c>
      <c r="S92" s="605" t="n">
        <v>18766.2</v>
      </c>
      <c r="T92" s="390">
        <f>S92/L92</f>
        <v/>
      </c>
      <c r="U92" s="605" t="inlineStr">
        <is>
          <t>Average</t>
        </is>
      </c>
      <c r="V92" s="390" t="n"/>
      <c r="W92" s="390" t="n"/>
      <c r="X92" s="390" t="n"/>
      <c r="Y92" s="60" t="n">
        <v>2100000</v>
      </c>
      <c r="Z92" s="60" t="n"/>
      <c r="AA92" s="60" t="n">
        <v>2100000</v>
      </c>
      <c r="AB92" s="60" t="n"/>
      <c r="AC92" s="605" t="inlineStr">
        <is>
          <t>0182334430010</t>
        </is>
      </c>
      <c r="AD92" s="605" t="inlineStr">
        <is>
          <t>2024000025960</t>
        </is>
      </c>
      <c r="AE92" s="653" t="inlineStr">
        <is>
          <t>PARK WEST INVESTMENTS LLC</t>
        </is>
      </c>
      <c r="AF92" s="653" t="inlineStr">
        <is>
          <t>CO BEST PROP 1 LLC</t>
        </is>
      </c>
      <c r="AI92" s="605">
        <f>IF(AND($E92=Subj_OccCode,Subj_BldgSF&gt;0,ABS($L92-Subj_BldgSF)&lt;=Subj_BldgSF*Subj_SizeTol),ABS($L92-Subj_BldgSF),NA())</f>
        <v/>
      </c>
      <c r="AJ92">
        <f>IF(ISNA(AI92),NA(),AI92+ROW()/10000000)</f>
        <v/>
      </c>
      <c r="AK92" s="605">
        <f>IF(AND(ISNUMBER($N92),$N92&gt;0,ISNUMBER($Y92)),$Y92/$N92,"")</f>
        <v/>
      </c>
    </row>
    <row r="93" ht="15" customHeight="1" s="545">
      <c r="A93" s="388" t="n">
        <v>7</v>
      </c>
      <c r="B93" s="605" t="n">
        <v>85</v>
      </c>
      <c r="C93" s="605" t="inlineStr">
        <is>
          <t>R0098189</t>
        </is>
      </c>
      <c r="D93" s="605" t="inlineStr">
        <is>
          <t>6500 FRANKLIN ST</t>
        </is>
      </c>
      <c r="E93" s="605" t="n">
        <v>406</v>
      </c>
      <c r="G93" s="605" t="inlineStr">
        <is>
          <t>5</t>
        </is>
      </c>
      <c r="H93" s="59">
        <f>Y93/J93</f>
        <v/>
      </c>
      <c r="I93" s="389" t="n">
        <v>45142</v>
      </c>
      <c r="J93" s="605" t="n">
        <v>20040</v>
      </c>
      <c r="K93" s="59" t="n"/>
      <c r="L93" s="605" t="n">
        <v>20040</v>
      </c>
      <c r="M93" s="605" t="n">
        <v>2000</v>
      </c>
      <c r="P93" s="605" t="inlineStr">
        <is>
          <t>Industrial</t>
        </is>
      </c>
      <c r="R93" s="152" t="inlineStr">
        <is>
          <t>Average</t>
        </is>
      </c>
      <c r="S93" s="605" t="n">
        <v>94176.72</v>
      </c>
      <c r="T93" s="390">
        <f>S93/L93</f>
        <v/>
      </c>
      <c r="U93" s="605" t="inlineStr">
        <is>
          <t>Average</t>
        </is>
      </c>
      <c r="V93" s="390" t="n"/>
      <c r="W93" s="390" t="n"/>
      <c r="X93" s="390" t="n"/>
      <c r="Y93" s="60" t="n">
        <v>3100000</v>
      </c>
      <c r="Z93" s="60" t="n"/>
      <c r="AA93" s="60" t="n">
        <v>3100000</v>
      </c>
      <c r="AB93" s="60" t="n"/>
      <c r="AC93" s="605" t="inlineStr">
        <is>
          <t>0182502403002</t>
        </is>
      </c>
      <c r="AD93" s="605" t="inlineStr">
        <is>
          <t>2023000044907</t>
        </is>
      </c>
      <c r="AE93" s="653" t="inlineStr">
        <is>
          <t>RAYFIELD PROPERTIES LLC</t>
        </is>
      </c>
      <c r="AF93" s="653" t="inlineStr">
        <is>
          <t>FRANKLIN FLEX LLC</t>
        </is>
      </c>
      <c r="AI93" s="605">
        <f>IF(AND($E93=Subj_OccCode,Subj_BldgSF&gt;0,ABS($L93-Subj_BldgSF)&lt;=Subj_BldgSF*Subj_SizeTol),ABS($L93-Subj_BldgSF),NA())</f>
        <v/>
      </c>
      <c r="AJ93">
        <f>IF(ISNA(AI93),NA(),AI93+ROW()/10000000)</f>
        <v/>
      </c>
      <c r="AK93" s="605">
        <f>IF(AND(ISNUMBER($N93),$N93&gt;0,ISNUMBER($Y93)),$Y93/$N93,"")</f>
        <v/>
      </c>
    </row>
    <row r="94" ht="15" customHeight="1" s="545">
      <c r="A94" s="388" t="n">
        <v>7</v>
      </c>
      <c r="B94" s="605" t="n">
        <v>86</v>
      </c>
      <c r="C94" s="605" t="inlineStr">
        <is>
          <t>R0099614</t>
        </is>
      </c>
      <c r="D94" s="605" t="inlineStr">
        <is>
          <t>6899 PECOS ST</t>
        </is>
      </c>
      <c r="E94" s="605" t="n">
        <v>407</v>
      </c>
      <c r="G94" s="605" t="inlineStr">
        <is>
          <t>4</t>
        </is>
      </c>
      <c r="H94" s="59">
        <f>Y94/J94</f>
        <v/>
      </c>
      <c r="I94" s="389" t="n">
        <v>44792</v>
      </c>
      <c r="J94" s="605" t="n">
        <v>11040</v>
      </c>
      <c r="K94" s="59" t="n"/>
      <c r="L94" s="605" t="n">
        <v>11040</v>
      </c>
      <c r="M94" s="605" t="n">
        <v>2000</v>
      </c>
      <c r="P94" s="605" t="inlineStr">
        <is>
          <t>Planned Unit Development</t>
        </is>
      </c>
      <c r="R94" s="152" t="inlineStr">
        <is>
          <t>Average</t>
        </is>
      </c>
      <c r="S94" s="605" t="n">
        <v>36887</v>
      </c>
      <c r="T94" s="390">
        <f>S94/L94</f>
        <v/>
      </c>
      <c r="U94" s="605" t="inlineStr">
        <is>
          <t>Average</t>
        </is>
      </c>
      <c r="V94" s="390" t="n"/>
      <c r="W94" s="390" t="n"/>
      <c r="X94" s="390" t="n"/>
      <c r="Y94" s="60" t="n">
        <v>1975000</v>
      </c>
      <c r="Z94" s="60" t="n"/>
      <c r="AA94" s="60" t="n">
        <v>1975000</v>
      </c>
      <c r="AB94" s="60" t="n"/>
      <c r="AC94" s="605" t="inlineStr">
        <is>
          <t>0182504223003</t>
        </is>
      </c>
      <c r="AD94" s="605" t="inlineStr">
        <is>
          <t>2022000070784</t>
        </is>
      </c>
      <c r="AE94" s="653" t="inlineStr">
        <is>
          <t>L AND H LLC</t>
        </is>
      </c>
      <c r="AF94" s="653" t="inlineStr">
        <is>
          <t>PROMEETHEA LLC</t>
        </is>
      </c>
      <c r="AI94" s="605">
        <f>IF(AND($E94=Subj_OccCode,Subj_BldgSF&gt;0,ABS($L94-Subj_BldgSF)&lt;=Subj_BldgSF*Subj_SizeTol),ABS($L94-Subj_BldgSF),NA())</f>
        <v/>
      </c>
      <c r="AJ94">
        <f>IF(ISNA(AI94),NA(),AI94+ROW()/10000000)</f>
        <v/>
      </c>
      <c r="AK94" s="605">
        <f>IF(AND(ISNUMBER($N94),$N94&gt;0,ISNUMBER($Y94)),$Y94/$N94,"")</f>
        <v/>
      </c>
    </row>
    <row r="95" ht="15" customHeight="1" s="545">
      <c r="A95" s="388" t="n">
        <v>7</v>
      </c>
      <c r="B95" s="605" t="n">
        <v>87</v>
      </c>
      <c r="C95" s="605" t="inlineStr">
        <is>
          <t>R0103659</t>
        </is>
      </c>
      <c r="D95" s="605" t="inlineStr">
        <is>
          <t>6335 DOWNING ST</t>
        </is>
      </c>
      <c r="E95" s="605" t="n">
        <v>407</v>
      </c>
      <c r="G95" s="605" t="inlineStr">
        <is>
          <t>5</t>
        </is>
      </c>
      <c r="H95" s="59">
        <f>Y95/J95</f>
        <v/>
      </c>
      <c r="I95" s="389" t="n">
        <v>45468</v>
      </c>
      <c r="J95" s="605" t="n">
        <v>15000</v>
      </c>
      <c r="K95" s="59" t="n"/>
      <c r="L95" s="605" t="n">
        <v>15000</v>
      </c>
      <c r="M95" s="605" t="n">
        <v>1998</v>
      </c>
      <c r="P95" s="605" t="inlineStr">
        <is>
          <t>Industrial</t>
        </is>
      </c>
      <c r="R95" s="152" t="inlineStr">
        <is>
          <t>Average</t>
        </is>
      </c>
      <c r="S95" s="605" t="n">
        <v>93654</v>
      </c>
      <c r="T95" s="390">
        <f>S95/L95</f>
        <v/>
      </c>
      <c r="U95" s="605" t="inlineStr">
        <is>
          <t>Average</t>
        </is>
      </c>
      <c r="V95" s="390" t="n"/>
      <c r="W95" s="390" t="n"/>
      <c r="X95" s="390" t="n"/>
      <c r="Y95" s="60" t="n">
        <v>4650000</v>
      </c>
      <c r="Z95" s="60" t="n"/>
      <c r="AA95" s="60" t="n">
        <v>4650000</v>
      </c>
      <c r="AB95" s="60" t="n"/>
      <c r="AC95" s="605" t="inlineStr">
        <is>
          <t>0182511202020</t>
        </is>
      </c>
      <c r="AD95" s="605" t="inlineStr">
        <is>
          <t>2024000034448</t>
        </is>
      </c>
      <c r="AE95" s="653" t="inlineStr">
        <is>
          <t>MURPHY WILLIAM R JR</t>
        </is>
      </c>
      <c r="AF95" s="653" t="inlineStr">
        <is>
          <t>SCOTT ACKERMAN FAMILY LLC</t>
        </is>
      </c>
      <c r="AI95" s="605">
        <f>IF(AND($E95=Subj_OccCode,Subj_BldgSF&gt;0,ABS($L95-Subj_BldgSF)&lt;=Subj_BldgSF*Subj_SizeTol),ABS($L95-Subj_BldgSF),NA())</f>
        <v/>
      </c>
      <c r="AJ95">
        <f>IF(ISNA(AI95),NA(),AI95+ROW()/10000000)</f>
        <v/>
      </c>
      <c r="AK95" s="605">
        <f>IF(AND(ISNUMBER($N95),$N95&gt;0,ISNUMBER($Y95)),$Y95/$N95,"")</f>
        <v/>
      </c>
    </row>
    <row r="96" ht="15" customHeight="1" s="545">
      <c r="A96" s="388" t="n">
        <v>7</v>
      </c>
      <c r="B96" s="605" t="n">
        <v>88</v>
      </c>
      <c r="C96" s="605" t="inlineStr">
        <is>
          <t>R0103801</t>
        </is>
      </c>
      <c r="D96" s="605" t="inlineStr">
        <is>
          <t>5670 FRANKLIN ST</t>
        </is>
      </c>
      <c r="E96" s="605" t="n">
        <v>407</v>
      </c>
      <c r="G96" s="605" t="inlineStr">
        <is>
          <t>5</t>
        </is>
      </c>
      <c r="H96" s="59">
        <f>Y96/J96</f>
        <v/>
      </c>
      <c r="I96" s="389" t="n">
        <v>44914</v>
      </c>
      <c r="J96" s="605" t="n">
        <v>30065</v>
      </c>
      <c r="K96" s="59" t="n"/>
      <c r="L96" s="605" t="n">
        <v>30065</v>
      </c>
      <c r="M96" s="605" t="n">
        <v>1982</v>
      </c>
      <c r="P96" s="605" t="inlineStr">
        <is>
          <t>Industrial</t>
        </is>
      </c>
      <c r="R96" s="152" t="inlineStr">
        <is>
          <t>Average</t>
        </is>
      </c>
      <c r="S96" s="605" t="n">
        <v>237402</v>
      </c>
      <c r="T96" s="390">
        <f>S96/L96</f>
        <v/>
      </c>
      <c r="U96" s="605" t="inlineStr">
        <is>
          <t>Average</t>
        </is>
      </c>
      <c r="V96" s="390" t="n"/>
      <c r="W96" s="390" t="n"/>
      <c r="X96" s="390" t="n"/>
      <c r="Y96" s="60" t="n">
        <v>8400000</v>
      </c>
      <c r="Z96" s="60" t="n"/>
      <c r="AA96" s="60" t="n">
        <v>8400000</v>
      </c>
      <c r="AB96" s="60" t="n"/>
      <c r="AC96" s="605" t="inlineStr">
        <is>
          <t>0182511411007</t>
        </is>
      </c>
      <c r="AD96" s="605" t="inlineStr">
        <is>
          <t>2022000098088</t>
        </is>
      </c>
      <c r="AE96" s="653" t="inlineStr">
        <is>
          <t>HAMON LLC</t>
        </is>
      </c>
      <c r="AF96" s="653" t="inlineStr">
        <is>
          <t>VIA MOBILITY SERVICES</t>
        </is>
      </c>
      <c r="AI96" s="605">
        <f>IF(AND($E96=Subj_OccCode,Subj_BldgSF&gt;0,ABS($L96-Subj_BldgSF)&lt;=Subj_BldgSF*Subj_SizeTol),ABS($L96-Subj_BldgSF),NA())</f>
        <v/>
      </c>
      <c r="AJ96">
        <f>IF(ISNA(AI96),NA(),AI96+ROW()/10000000)</f>
        <v/>
      </c>
      <c r="AK96" s="605">
        <f>IF(AND(ISNUMBER($N96),$N96&gt;0,ISNUMBER($Y96)),$Y96/$N96,"")</f>
        <v/>
      </c>
    </row>
    <row r="97" ht="15" customHeight="1" s="545">
      <c r="A97" s="388" t="n">
        <v>7</v>
      </c>
      <c r="B97" s="605" t="n">
        <v>89</v>
      </c>
      <c r="C97" s="605" t="inlineStr">
        <is>
          <t>R0141272</t>
        </is>
      </c>
      <c r="D97" s="605" t="inlineStr">
        <is>
          <t xml:space="preserve">7880 WASHINGTON ST </t>
        </is>
      </c>
      <c r="E97" s="605" t="n">
        <v>325</v>
      </c>
      <c r="G97" s="605" t="inlineStr">
        <is>
          <t>4</t>
        </is>
      </c>
      <c r="H97" s="59">
        <f>Y97/J97</f>
        <v/>
      </c>
      <c r="I97" s="389" t="n">
        <v>45210</v>
      </c>
      <c r="J97" s="605" t="n">
        <v>16500</v>
      </c>
      <c r="K97" s="59" t="n"/>
      <c r="L97" s="605" t="n">
        <v>16500</v>
      </c>
      <c r="M97" s="605" t="n">
        <v>2003</v>
      </c>
      <c r="P97" s="605" t="inlineStr">
        <is>
          <t>Planned Unit Development</t>
        </is>
      </c>
      <c r="R97" s="152" t="inlineStr">
        <is>
          <t>Average</t>
        </is>
      </c>
      <c r="S97" s="605" t="n">
        <v>68986</v>
      </c>
      <c r="T97" s="390">
        <f>S97/L97</f>
        <v/>
      </c>
      <c r="U97" s="605" t="inlineStr">
        <is>
          <t>Average</t>
        </is>
      </c>
      <c r="V97" s="390" t="n"/>
      <c r="W97" s="390" t="n"/>
      <c r="X97" s="390" t="n"/>
      <c r="Y97" s="60" t="n">
        <v>2765000</v>
      </c>
      <c r="Z97" s="60" t="n"/>
      <c r="AA97" s="60" t="n">
        <v>2765000</v>
      </c>
      <c r="AB97" s="60" t="n"/>
      <c r="AC97" s="605" t="inlineStr">
        <is>
          <t>0171935225028</t>
        </is>
      </c>
      <c r="AD97" s="605" t="inlineStr">
        <is>
          <t>2023000057902</t>
        </is>
      </c>
      <c r="AE97" s="653" t="inlineStr">
        <is>
          <t>CHAI INVESTMENTS LLC</t>
        </is>
      </c>
      <c r="AF97" s="653" t="inlineStr">
        <is>
          <t>DENVER WASHINGTON ST LLC</t>
        </is>
      </c>
      <c r="AI97" s="605">
        <f>IF(AND($E97=Subj_OccCode,Subj_BldgSF&gt;0,ABS($L97-Subj_BldgSF)&lt;=Subj_BldgSF*Subj_SizeTol),ABS($L97-Subj_BldgSF),NA())</f>
        <v/>
      </c>
      <c r="AJ97">
        <f>IF(ISNA(AI97),NA(),AI97+ROW()/10000000)</f>
        <v/>
      </c>
      <c r="AK97" s="605">
        <f>IF(AND(ISNUMBER($N97),$N97&gt;0,ISNUMBER($Y97)),$Y97/$N97,"")</f>
        <v/>
      </c>
    </row>
    <row r="98" ht="15" customHeight="1" s="545">
      <c r="A98" s="388" t="n">
        <v>7</v>
      </c>
      <c r="B98" s="605" t="n">
        <v>90</v>
      </c>
      <c r="C98" s="605" t="inlineStr">
        <is>
          <t>R0147285</t>
        </is>
      </c>
      <c r="D98" s="605" t="inlineStr">
        <is>
          <t>6351 BEACH ST</t>
        </is>
      </c>
      <c r="E98" s="605" t="n">
        <v>407</v>
      </c>
      <c r="G98" s="605" t="inlineStr">
        <is>
          <t>5</t>
        </is>
      </c>
      <c r="H98" s="59">
        <f>Y98/J98</f>
        <v/>
      </c>
      <c r="I98" s="389" t="n">
        <v>44865</v>
      </c>
      <c r="J98" s="605" t="n">
        <v>12461</v>
      </c>
      <c r="K98" s="59" t="n"/>
      <c r="L98" s="605" t="n">
        <v>12461</v>
      </c>
      <c r="M98" s="605" t="n">
        <v>2001</v>
      </c>
      <c r="P98" s="605" t="inlineStr">
        <is>
          <t>Planned Unit Development</t>
        </is>
      </c>
      <c r="R98" s="152" t="inlineStr">
        <is>
          <t>Very Good</t>
        </is>
      </c>
      <c r="S98" s="605" t="n">
        <v>43560</v>
      </c>
      <c r="T98" s="390">
        <f>S98/L98</f>
        <v/>
      </c>
      <c r="U98" s="605" t="inlineStr">
        <is>
          <t>Very Good</t>
        </is>
      </c>
      <c r="V98" s="390" t="n"/>
      <c r="W98" s="390" t="n"/>
      <c r="X98" s="390" t="n"/>
      <c r="Y98" s="60" t="n">
        <v>3100000</v>
      </c>
      <c r="Z98" s="60" t="n"/>
      <c r="AA98" s="60" t="n">
        <v>3100000</v>
      </c>
      <c r="AB98" s="60" t="n"/>
      <c r="AC98" s="605" t="inlineStr">
        <is>
          <t>0182508105003</t>
        </is>
      </c>
      <c r="AD98" s="605" t="inlineStr">
        <is>
          <t>2022000097630</t>
        </is>
      </c>
      <c r="AE98" s="653" t="inlineStr">
        <is>
          <t>67TH STREET ACQUISITIONS LLC</t>
        </is>
      </c>
      <c r="AF98" s="653" t="inlineStr">
        <is>
          <t>J AND R SERVICES LLC</t>
        </is>
      </c>
      <c r="AI98" s="605">
        <f>IF(AND($E98=Subj_OccCode,Subj_BldgSF&gt;0,ABS($L98-Subj_BldgSF)&lt;=Subj_BldgSF*Subj_SizeTol),ABS($L98-Subj_BldgSF),NA())</f>
        <v/>
      </c>
      <c r="AJ98">
        <f>IF(ISNA(AI98),NA(),AI98+ROW()/10000000)</f>
        <v/>
      </c>
      <c r="AK98" s="605">
        <f>IF(AND(ISNUMBER($N98),$N98&gt;0,ISNUMBER($Y98)),$Y98/$N98,"")</f>
        <v/>
      </c>
    </row>
    <row r="99" ht="15" customHeight="1" s="545">
      <c r="A99" s="388" t="n">
        <v>7</v>
      </c>
      <c r="B99" s="605" t="n">
        <v>91</v>
      </c>
      <c r="C99" s="605" t="inlineStr">
        <is>
          <t>R0167019</t>
        </is>
      </c>
      <c r="D99" s="605" t="inlineStr">
        <is>
          <t>6271 BEACH ST #E</t>
        </is>
      </c>
      <c r="E99" s="605" t="n">
        <v>425</v>
      </c>
      <c r="G99" s="605" t="inlineStr">
        <is>
          <t>5</t>
        </is>
      </c>
      <c r="H99" s="59">
        <f>Y99/J99</f>
        <v/>
      </c>
      <c r="I99" s="389" t="n">
        <v>45184</v>
      </c>
      <c r="J99" s="605" t="n">
        <v>22138</v>
      </c>
      <c r="K99" s="59" t="n"/>
      <c r="L99" s="605" t="n">
        <v>22138</v>
      </c>
      <c r="M99" s="605" t="n">
        <v>2005</v>
      </c>
      <c r="P99" s="605" t="inlineStr">
        <is>
          <t>Planned Unit Development</t>
        </is>
      </c>
      <c r="R99" s="152" t="inlineStr">
        <is>
          <t>Average</t>
        </is>
      </c>
      <c r="S99" s="605" t="n">
        <v>13402</v>
      </c>
      <c r="T99" s="390">
        <f>S99/L99</f>
        <v/>
      </c>
      <c r="U99" s="605" t="inlineStr">
        <is>
          <t>Average</t>
        </is>
      </c>
      <c r="V99" s="390" t="n"/>
      <c r="W99" s="390" t="n"/>
      <c r="X99" s="390" t="n"/>
      <c r="Y99" s="60" t="n">
        <v>795000</v>
      </c>
      <c r="Z99" s="60" t="n"/>
      <c r="AA99" s="60" t="n">
        <v>795000</v>
      </c>
      <c r="AB99" s="60" t="n"/>
      <c r="AC99" s="605" t="inlineStr">
        <is>
          <t>0182508105015</t>
        </is>
      </c>
      <c r="AD99" s="605" t="inlineStr">
        <is>
          <t>2023000053031</t>
        </is>
      </c>
      <c r="AE99" s="653" t="inlineStr">
        <is>
          <t>GRAEME JOHNSTON LLC</t>
        </is>
      </c>
      <c r="AF99" s="653" t="inlineStr">
        <is>
          <t>DMG MARBLE &amp; GRANITE DESIGNER INC</t>
        </is>
      </c>
      <c r="AI99" s="605">
        <f>IF(AND($E99=Subj_OccCode,Subj_BldgSF&gt;0,ABS($L99-Subj_BldgSF)&lt;=Subj_BldgSF*Subj_SizeTol),ABS($L99-Subj_BldgSF),NA())</f>
        <v/>
      </c>
      <c r="AJ99">
        <f>IF(ISNA(AI99),NA(),AI99+ROW()/10000000)</f>
        <v/>
      </c>
      <c r="AK99" s="605">
        <f>IF(AND(ISNUMBER($N99),$N99&gt;0,ISNUMBER($Y99)),$Y99/$N99,"")</f>
        <v/>
      </c>
    </row>
    <row r="100" ht="15" customHeight="1" s="545">
      <c r="A100" s="388" t="n">
        <v>7</v>
      </c>
      <c r="B100" s="605" t="n">
        <v>92</v>
      </c>
      <c r="C100" s="605" t="inlineStr">
        <is>
          <t>R0168920</t>
        </is>
      </c>
      <c r="D100" s="605" t="inlineStr">
        <is>
          <t>12045 MOLINE ST</t>
        </is>
      </c>
      <c r="E100" s="605" t="n">
        <v>386</v>
      </c>
      <c r="F100" s="605" t="inlineStr">
        <is>
          <t>BRIGHTON</t>
        </is>
      </c>
      <c r="G100" s="605" t="inlineStr">
        <is>
          <t>3</t>
        </is>
      </c>
      <c r="H100" s="59">
        <f>Y100/J100</f>
        <v/>
      </c>
      <c r="I100" s="389" t="n">
        <v>45398</v>
      </c>
      <c r="J100" s="605" t="n">
        <v>32145</v>
      </c>
      <c r="K100" s="59" t="n"/>
      <c r="L100" s="605" t="n">
        <v>32145</v>
      </c>
      <c r="M100" s="605" t="n">
        <v>2006</v>
      </c>
      <c r="P100" s="605" t="inlineStr">
        <is>
          <t>I-1-Bri</t>
        </is>
      </c>
      <c r="R100" s="152" t="inlineStr">
        <is>
          <t>Average</t>
        </is>
      </c>
      <c r="S100" s="605" t="n">
        <v>93249</v>
      </c>
      <c r="T100" s="390">
        <f>S100/L100</f>
        <v/>
      </c>
      <c r="U100" s="605" t="inlineStr">
        <is>
          <t>Average</t>
        </is>
      </c>
      <c r="V100" s="390" t="n"/>
      <c r="W100" s="390" t="n"/>
      <c r="X100" s="390" t="n"/>
      <c r="Y100" s="60" t="n">
        <v>3500000</v>
      </c>
      <c r="Z100" s="60" t="n"/>
      <c r="AA100" s="60" t="n">
        <v>3500000</v>
      </c>
      <c r="AB100" s="60" t="n"/>
      <c r="AC100" s="605" t="inlineStr">
        <is>
          <t>0157135401006</t>
        </is>
      </c>
      <c r="AD100" s="605" t="inlineStr">
        <is>
          <t>2024000020443</t>
        </is>
      </c>
      <c r="AE100" s="653" t="inlineStr">
        <is>
          <t>ALL SECURE SELF STORAGE LLC</t>
        </is>
      </c>
      <c r="AF100" s="653" t="inlineStr">
        <is>
          <t>MHC 282 (HENDERSON CO) LLC</t>
        </is>
      </c>
      <c r="AI100" s="605">
        <f>IF(AND($E100=Subj_OccCode,Subj_BldgSF&gt;0,ABS($L100-Subj_BldgSF)&lt;=Subj_BldgSF*Subj_SizeTol),ABS($L100-Subj_BldgSF),NA())</f>
        <v/>
      </c>
      <c r="AJ100">
        <f>IF(ISNA(AI100),NA(),AI100+ROW()/10000000)</f>
        <v/>
      </c>
      <c r="AK100" s="605">
        <f>IF(AND(ISNUMBER($N100),$N100&gt;0,ISNUMBER($Y100)),$Y100/$N100,"")</f>
        <v/>
      </c>
    </row>
    <row r="101" ht="15" customHeight="1" s="545">
      <c r="A101" s="388" t="n">
        <v>7</v>
      </c>
      <c r="B101" s="605" t="n">
        <v>93</v>
      </c>
      <c r="C101" s="605" t="inlineStr">
        <is>
          <t>R0173183</t>
        </is>
      </c>
      <c r="D101" s="605" t="inlineStr">
        <is>
          <t>5454 WASHINGTON ST #4</t>
        </is>
      </c>
      <c r="E101" s="605" t="n">
        <v>425</v>
      </c>
      <c r="G101" s="605" t="inlineStr">
        <is>
          <t>5</t>
        </is>
      </c>
      <c r="H101" s="59">
        <f>Y101/J101</f>
        <v/>
      </c>
      <c r="I101" s="389" t="n">
        <v>44747</v>
      </c>
      <c r="J101" s="605" t="n">
        <v>34740</v>
      </c>
      <c r="K101" s="59" t="n"/>
      <c r="L101" s="605" t="n">
        <v>34740</v>
      </c>
      <c r="M101" s="605" t="n">
        <v>1985</v>
      </c>
      <c r="P101" s="605" t="inlineStr">
        <is>
          <t>Industrial</t>
        </is>
      </c>
      <c r="R101" s="152" t="inlineStr">
        <is>
          <t>Average</t>
        </is>
      </c>
      <c r="S101" s="605" t="n">
        <v>7920</v>
      </c>
      <c r="T101" s="390">
        <f>S101/L101</f>
        <v/>
      </c>
      <c r="U101" s="605" t="inlineStr">
        <is>
          <t>Average</t>
        </is>
      </c>
      <c r="V101" s="390" t="n"/>
      <c r="W101" s="390" t="n"/>
      <c r="X101" s="390" t="n"/>
      <c r="Y101" s="60" t="n">
        <v>755000</v>
      </c>
      <c r="Z101" s="60" t="n"/>
      <c r="AA101" s="60" t="n">
        <v>755000</v>
      </c>
      <c r="AB101" s="60" t="n"/>
      <c r="AC101" s="605" t="inlineStr">
        <is>
          <t>0182514210015</t>
        </is>
      </c>
      <c r="AD101" s="605" t="inlineStr">
        <is>
          <t>2022000058427</t>
        </is>
      </c>
      <c r="AE101" s="653" t="inlineStr">
        <is>
          <t>PRIMA CARE CARE LLC</t>
        </is>
      </c>
      <c r="AF101" s="653" t="inlineStr">
        <is>
          <t>TIMA TX LLC</t>
        </is>
      </c>
      <c r="AI101" s="605">
        <f>IF(AND($E101=Subj_OccCode,Subj_BldgSF&gt;0,ABS($L101-Subj_BldgSF)&lt;=Subj_BldgSF*Subj_SizeTol),ABS($L101-Subj_BldgSF),NA())</f>
        <v/>
      </c>
      <c r="AJ101">
        <f>IF(ISNA(AI101),NA(),AI101+ROW()/10000000)</f>
        <v/>
      </c>
      <c r="AK101" s="605">
        <f>IF(AND(ISNUMBER($N101),$N101&gt;0,ISNUMBER($Y101)),$Y101/$N101,"")</f>
        <v/>
      </c>
    </row>
    <row r="102" ht="15" customHeight="1" s="545">
      <c r="A102" s="388" t="n">
        <v>7</v>
      </c>
      <c r="B102" s="605" t="n">
        <v>94</v>
      </c>
      <c r="C102" s="605" t="inlineStr">
        <is>
          <t>R0223486</t>
        </is>
      </c>
      <c r="D102" s="605" t="inlineStr">
        <is>
          <t>9658 HAVAN ST #B07</t>
        </is>
      </c>
      <c r="E102" s="605" t="n">
        <v>425</v>
      </c>
      <c r="F102" s="605" t="inlineStr">
        <is>
          <t>COMMERCE CITY</t>
        </is>
      </c>
      <c r="G102" s="605" t="inlineStr">
        <is>
          <t>5</t>
        </is>
      </c>
      <c r="H102" s="59">
        <f>Y102/J102</f>
        <v/>
      </c>
      <c r="I102" s="389" t="n">
        <v>45400</v>
      </c>
      <c r="J102" s="605" t="n">
        <v>16800</v>
      </c>
      <c r="K102" s="59" t="n"/>
      <c r="L102" s="605" t="n">
        <v>16800</v>
      </c>
      <c r="M102" s="605" t="n">
        <v>2023</v>
      </c>
      <c r="P102" s="605" t="inlineStr">
        <is>
          <t>Industrial</t>
        </is>
      </c>
      <c r="R102" s="152" t="inlineStr">
        <is>
          <t>Average</t>
        </is>
      </c>
      <c r="S102" s="605" t="n">
        <v>1783</v>
      </c>
      <c r="T102" s="390">
        <f>S102/L102</f>
        <v/>
      </c>
      <c r="U102" s="605" t="inlineStr">
        <is>
          <t>Average</t>
        </is>
      </c>
      <c r="V102" s="390" t="n"/>
      <c r="W102" s="390" t="n"/>
      <c r="X102" s="390" t="n"/>
      <c r="Y102" s="60" t="n">
        <v>188000</v>
      </c>
      <c r="Z102" s="60" t="n"/>
      <c r="AA102" s="60" t="n">
        <v>188000</v>
      </c>
      <c r="AB102" s="60" t="n"/>
      <c r="AC102" s="605" t="inlineStr">
        <is>
          <t>0172115405047</t>
        </is>
      </c>
      <c r="AD102" s="605" t="inlineStr">
        <is>
          <t>2024000020484</t>
        </is>
      </c>
      <c r="AE102" s="653" t="inlineStr">
        <is>
          <t>THE GARAGE SOCIETY HOLDINGS LLC</t>
        </is>
      </c>
      <c r="AF102" s="653" t="inlineStr">
        <is>
          <t>RASHER JEFFRY W AND, RASHER SUZI L</t>
        </is>
      </c>
      <c r="AI102" s="605">
        <f>IF(AND($E102=Subj_OccCode,Subj_BldgSF&gt;0,ABS($L102-Subj_BldgSF)&lt;=Subj_BldgSF*Subj_SizeTol),ABS($L102-Subj_BldgSF),NA())</f>
        <v/>
      </c>
      <c r="AJ102">
        <f>IF(ISNA(AI102),NA(),AI102+ROW()/10000000)</f>
        <v/>
      </c>
      <c r="AK102" s="605">
        <f>IF(AND(ISNUMBER($N102),$N102&gt;0,ISNUMBER($Y102)),$Y102/$N102,"")</f>
        <v/>
      </c>
    </row>
    <row r="103" ht="15" customHeight="1" s="545">
      <c r="A103" s="388" t="n">
        <v>7</v>
      </c>
      <c r="B103" s="605" t="n">
        <v>95</v>
      </c>
      <c r="C103" s="605" t="inlineStr">
        <is>
          <t>R0077966</t>
        </is>
      </c>
      <c r="D103" s="605" t="inlineStr">
        <is>
          <t>7270 DAHLI ST</t>
        </is>
      </c>
      <c r="E103" s="605" t="n">
        <v>407</v>
      </c>
      <c r="F103" s="605" t="inlineStr">
        <is>
          <t>COMMERCE CITY</t>
        </is>
      </c>
      <c r="G103" s="605" t="inlineStr">
        <is>
          <t>5</t>
        </is>
      </c>
      <c r="H103" s="59">
        <f>Y103/J103</f>
        <v/>
      </c>
      <c r="I103" s="389" t="n">
        <v>45338</v>
      </c>
      <c r="J103" s="605" t="n">
        <v>16200</v>
      </c>
      <c r="K103" s="59" t="n"/>
      <c r="L103" s="605" t="n">
        <v>16200</v>
      </c>
      <c r="M103" s="605" t="n">
        <v>1988</v>
      </c>
      <c r="P103" s="605" t="inlineStr">
        <is>
          <t>I-2-Com</t>
        </is>
      </c>
      <c r="R103" s="152" t="inlineStr">
        <is>
          <t>Average</t>
        </is>
      </c>
      <c r="S103" s="605" t="n">
        <v>108900</v>
      </c>
      <c r="T103" s="390">
        <f>S103/L103</f>
        <v/>
      </c>
      <c r="U103" s="605" t="inlineStr">
        <is>
          <t>Average</t>
        </is>
      </c>
      <c r="V103" s="390" t="n"/>
      <c r="W103" s="390" t="n"/>
      <c r="X103" s="390" t="n"/>
      <c r="Y103" s="60" t="n">
        <v>4200000</v>
      </c>
      <c r="Z103" s="60" t="n"/>
      <c r="AA103" s="60" t="n">
        <v>4200000</v>
      </c>
      <c r="AB103" s="60" t="n"/>
      <c r="AC103" s="605" t="inlineStr">
        <is>
          <t>0172131402024</t>
        </is>
      </c>
      <c r="AD103" s="605" t="inlineStr">
        <is>
          <t>2024000008761</t>
        </is>
      </c>
      <c r="AE103" s="653" t="inlineStr">
        <is>
          <t>HONNEN PARTNERS L L C</t>
        </is>
      </c>
      <c r="AF103" s="653" t="inlineStr">
        <is>
          <t>4 RIVERS PROPERTIES COMMERCE CITY II LLC</t>
        </is>
      </c>
      <c r="AI103" s="605">
        <f>IF(AND($E103=Subj_OccCode,Subj_BldgSF&gt;0,ABS($L103-Subj_BldgSF)&lt;=Subj_BldgSF*Subj_SizeTol),ABS($L103-Subj_BldgSF),NA())</f>
        <v/>
      </c>
      <c r="AJ103">
        <f>IF(ISNA(AI103),NA(),AI103+ROW()/10000000)</f>
        <v/>
      </c>
      <c r="AK103" s="605">
        <f>IF(AND(ISNUMBER($N103),$N103&gt;0,ISNUMBER($Y103)),$Y103/$N103,"")</f>
        <v/>
      </c>
    </row>
    <row r="104" ht="15" customHeight="1" s="545">
      <c r="A104" s="388" t="n">
        <v>7</v>
      </c>
      <c r="B104" s="605" t="n">
        <v>96</v>
      </c>
      <c r="C104" s="605" t="inlineStr">
        <is>
          <t>R0090940</t>
        </is>
      </c>
      <c r="D104" s="605" t="inlineStr">
        <is>
          <t>4701 E 60TH AVE</t>
        </is>
      </c>
      <c r="E104" s="605" t="n">
        <v>100</v>
      </c>
      <c r="F104" s="605" t="inlineStr">
        <is>
          <t>COMMERCE CITY</t>
        </is>
      </c>
      <c r="G104" s="605" t="inlineStr">
        <is>
          <t>5</t>
        </is>
      </c>
      <c r="H104" s="59">
        <f>Y104/J104</f>
        <v/>
      </c>
      <c r="I104" s="389" t="n">
        <v>44771</v>
      </c>
      <c r="J104" s="605" t="n">
        <v>28069</v>
      </c>
      <c r="K104" s="59" t="n"/>
      <c r="L104" s="605" t="n">
        <v>28069</v>
      </c>
      <c r="M104" s="605" t="n">
        <v>1939</v>
      </c>
      <c r="P104" s="605" t="inlineStr">
        <is>
          <t>I-3-Com</t>
        </is>
      </c>
      <c r="R104" s="152" t="inlineStr">
        <is>
          <t>Fair</t>
        </is>
      </c>
      <c r="S104" s="605" t="n">
        <v>226512</v>
      </c>
      <c r="T104" s="390">
        <f>S104/L104</f>
        <v/>
      </c>
      <c r="U104" s="605" t="inlineStr">
        <is>
          <t>Fair</t>
        </is>
      </c>
      <c r="V104" s="390" t="n"/>
      <c r="W104" s="390" t="n"/>
      <c r="X104" s="390" t="n"/>
      <c r="Y104" s="60" t="n">
        <v>5000000</v>
      </c>
      <c r="Z104" s="60" t="n"/>
      <c r="AA104" s="60" t="n">
        <v>5000000</v>
      </c>
      <c r="AB104" s="60" t="n"/>
      <c r="AC104" s="605" t="inlineStr">
        <is>
          <t>0182307200041</t>
        </is>
      </c>
      <c r="AD104" s="605" t="inlineStr">
        <is>
          <t>2022000065667</t>
        </is>
      </c>
      <c r="AE104" s="653" t="inlineStr">
        <is>
          <t>BUBB LLC</t>
        </is>
      </c>
      <c r="AF104" s="653" t="inlineStr">
        <is>
          <t>SDF3 4701 E 60TH AVE LLC</t>
        </is>
      </c>
      <c r="AI104" s="605">
        <f>IF(AND($E104=Subj_OccCode,Subj_BldgSF&gt;0,ABS($L104-Subj_BldgSF)&lt;=Subj_BldgSF*Subj_SizeTol),ABS($L104-Subj_BldgSF),NA())</f>
        <v/>
      </c>
      <c r="AJ104">
        <f>IF(ISNA(AI104),NA(),AI104+ROW()/10000000)</f>
        <v/>
      </c>
      <c r="AK104" s="605">
        <f>IF(AND(ISNUMBER($N104),$N104&gt;0,ISNUMBER($Y104)),$Y104/$N104,"")</f>
        <v/>
      </c>
    </row>
    <row r="105" ht="15" customHeight="1" s="545">
      <c r="A105" s="388" t="n">
        <v>7</v>
      </c>
      <c r="B105" s="605" t="n">
        <v>97</v>
      </c>
      <c r="C105" s="605" t="inlineStr">
        <is>
          <t>R0098080</t>
        </is>
      </c>
      <c r="D105" s="605" t="inlineStr">
        <is>
          <t>851 HWY 224 #A4</t>
        </is>
      </c>
      <c r="E105" s="605" t="n">
        <v>425</v>
      </c>
      <c r="G105" s="605" t="inlineStr">
        <is>
          <t>5</t>
        </is>
      </c>
      <c r="H105" s="59">
        <f>Y105/J105</f>
        <v/>
      </c>
      <c r="I105" s="389" t="n">
        <v>45197</v>
      </c>
      <c r="J105" s="605" t="n">
        <v>26500</v>
      </c>
      <c r="K105" s="59" t="n"/>
      <c r="L105" s="605" t="n">
        <v>26500</v>
      </c>
      <c r="M105" s="605" t="n">
        <v>1984</v>
      </c>
      <c r="P105" s="605" t="inlineStr">
        <is>
          <t>Industrial</t>
        </is>
      </c>
      <c r="R105" s="152" t="inlineStr">
        <is>
          <t>Average</t>
        </is>
      </c>
      <c r="S105" s="605" t="n">
        <v>4340</v>
      </c>
      <c r="T105" s="390">
        <f>S105/L105</f>
        <v/>
      </c>
      <c r="U105" s="605" t="inlineStr">
        <is>
          <t>Average</t>
        </is>
      </c>
      <c r="V105" s="390" t="n"/>
      <c r="W105" s="390" t="n"/>
      <c r="X105" s="390" t="n"/>
      <c r="Y105" s="60" t="n">
        <v>385000</v>
      </c>
      <c r="Z105" s="60" t="n"/>
      <c r="AA105" s="60" t="n">
        <v>385000</v>
      </c>
      <c r="AB105" s="60" t="n"/>
      <c r="AC105" s="605" t="inlineStr">
        <is>
          <t>0182502203044</t>
        </is>
      </c>
      <c r="AD105" s="605" t="inlineStr">
        <is>
          <t>2023000055425</t>
        </is>
      </c>
      <c r="AE105" s="653" t="inlineStr">
        <is>
          <t>PRIMA CAR CARE LLC</t>
        </is>
      </c>
      <c r="AF105" s="653" t="inlineStr">
        <is>
          <t>SEARLES INVESTMENTS LLC</t>
        </is>
      </c>
      <c r="AI105" s="605">
        <f>IF(AND($E105=Subj_OccCode,Subj_BldgSF&gt;0,ABS($L105-Subj_BldgSF)&lt;=Subj_BldgSF*Subj_SizeTol),ABS($L105-Subj_BldgSF),NA())</f>
        <v/>
      </c>
      <c r="AJ105">
        <f>IF(ISNA(AI105),NA(),AI105+ROW()/10000000)</f>
        <v/>
      </c>
      <c r="AK105" s="605">
        <f>IF(AND(ISNUMBER($N105),$N105&gt;0,ISNUMBER($Y105)),$Y105/$N105,"")</f>
        <v/>
      </c>
    </row>
    <row r="106" ht="15" customHeight="1" s="545">
      <c r="A106" s="388" t="n">
        <v>7</v>
      </c>
      <c r="B106" s="605" t="n">
        <v>98</v>
      </c>
      <c r="C106" s="605" t="inlineStr">
        <is>
          <t>R0100089</t>
        </is>
      </c>
      <c r="D106" s="605" t="inlineStr">
        <is>
          <t>3250 W 72ND AVE</t>
        </is>
      </c>
      <c r="E106" s="605" t="n">
        <v>407</v>
      </c>
      <c r="F106" s="605" t="inlineStr">
        <is>
          <t>WESTMINSTER</t>
        </is>
      </c>
      <c r="G106" s="605" t="inlineStr">
        <is>
          <t>4</t>
        </is>
      </c>
      <c r="H106" s="59">
        <f>Y106/J106</f>
        <v/>
      </c>
      <c r="I106" s="389" t="n">
        <v>45072</v>
      </c>
      <c r="J106" s="605" t="n">
        <v>10512</v>
      </c>
      <c r="K106" s="59" t="n"/>
      <c r="L106" s="605" t="n">
        <v>10512</v>
      </c>
      <c r="M106" s="605" t="n">
        <v>1977</v>
      </c>
      <c r="P106" s="605" t="inlineStr">
        <is>
          <t>SPD</t>
        </is>
      </c>
      <c r="R106" s="152" t="inlineStr">
        <is>
          <t>Average</t>
        </is>
      </c>
      <c r="S106" s="605" t="n">
        <v>29041</v>
      </c>
      <c r="T106" s="390">
        <f>S106/L106</f>
        <v/>
      </c>
      <c r="U106" s="605" t="inlineStr">
        <is>
          <t>Average</t>
        </is>
      </c>
      <c r="V106" s="390" t="n"/>
      <c r="W106" s="390" t="n"/>
      <c r="X106" s="390" t="n"/>
      <c r="Y106" s="60" t="n">
        <v>1813000</v>
      </c>
      <c r="Z106" s="60" t="n"/>
      <c r="AA106" s="60" t="n">
        <v>1813000</v>
      </c>
      <c r="AB106" s="60" t="n"/>
      <c r="AC106" s="605" t="inlineStr">
        <is>
          <t>0182505216015</t>
        </is>
      </c>
      <c r="AD106" s="605" t="inlineStr">
        <is>
          <t>2023000029584</t>
        </is>
      </c>
      <c r="AE106" s="653" t="inlineStr">
        <is>
          <t>7160 IRVING STREET LLC</t>
        </is>
      </c>
      <c r="AF106" s="653" t="inlineStr">
        <is>
          <t>BLUELINE 3250 W 72ND AVE LLC</t>
        </is>
      </c>
      <c r="AI106" s="605">
        <f>IF(AND($E106=Subj_OccCode,Subj_BldgSF&gt;0,ABS($L106-Subj_BldgSF)&lt;=Subj_BldgSF*Subj_SizeTol),ABS($L106-Subj_BldgSF),NA())</f>
        <v/>
      </c>
      <c r="AJ106">
        <f>IF(ISNA(AI106),NA(),AI106+ROW()/10000000)</f>
        <v/>
      </c>
      <c r="AK106" s="605">
        <f>IF(AND(ISNUMBER($N106),$N106&gt;0,ISNUMBER($Y106)),$Y106/$N106,"")</f>
        <v/>
      </c>
    </row>
    <row r="107" ht="15" customHeight="1" s="545">
      <c r="A107" s="388" t="n">
        <v>7</v>
      </c>
      <c r="B107" s="605" t="n">
        <v>99</v>
      </c>
      <c r="C107" s="605" t="inlineStr">
        <is>
          <t>R0110916</t>
        </is>
      </c>
      <c r="D107" s="605" t="inlineStr">
        <is>
          <t>8999 E 96TH AVE</t>
        </is>
      </c>
      <c r="E107" s="605" t="n">
        <v>407</v>
      </c>
      <c r="F107" s="605" t="inlineStr">
        <is>
          <t>COMMERCE CITY</t>
        </is>
      </c>
      <c r="G107" s="605" t="inlineStr">
        <is>
          <t>5</t>
        </is>
      </c>
      <c r="H107" s="59">
        <f>Y107/J107</f>
        <v/>
      </c>
      <c r="I107" s="389" t="n">
        <v>45230</v>
      </c>
      <c r="J107" s="605" t="n">
        <v>27300</v>
      </c>
      <c r="K107" s="59" t="n"/>
      <c r="L107" s="605" t="n">
        <v>27300</v>
      </c>
      <c r="M107" s="605" t="n">
        <v>1996</v>
      </c>
      <c r="P107" s="605" t="inlineStr">
        <is>
          <t>I-3-Com</t>
        </is>
      </c>
      <c r="R107" s="152" t="inlineStr">
        <is>
          <t>Average</t>
        </is>
      </c>
      <c r="S107" s="605" t="n">
        <v>425973.3</v>
      </c>
      <c r="T107" s="390">
        <f>S107/L107</f>
        <v/>
      </c>
      <c r="U107" s="605" t="inlineStr">
        <is>
          <t>Average</t>
        </is>
      </c>
      <c r="V107" s="390" t="n"/>
      <c r="W107" s="390" t="n"/>
      <c r="X107" s="390" t="n"/>
      <c r="Y107" s="60" t="n">
        <v>6000000</v>
      </c>
      <c r="Z107" s="60" t="n"/>
      <c r="AA107" s="60" t="n">
        <v>6000000</v>
      </c>
      <c r="AB107" s="60" t="n"/>
      <c r="AC107" s="605" t="inlineStr">
        <is>
          <t>0172115006006</t>
        </is>
      </c>
      <c r="AD107" s="605" t="inlineStr">
        <is>
          <t>2023000061419</t>
        </is>
      </c>
      <c r="AE107" s="653" t="inlineStr">
        <is>
          <t>H.N.K. INVESTMENT LLC</t>
        </is>
      </c>
      <c r="AF107" s="653" t="inlineStr">
        <is>
          <t>BOSSELMAN TANK &amp; TRAILER INC</t>
        </is>
      </c>
      <c r="AI107" s="605">
        <f>IF(AND($E107=Subj_OccCode,Subj_BldgSF&gt;0,ABS($L107-Subj_BldgSF)&lt;=Subj_BldgSF*Subj_SizeTol),ABS($L107-Subj_BldgSF),NA())</f>
        <v/>
      </c>
      <c r="AJ107">
        <f>IF(ISNA(AI107),NA(),AI107+ROW()/10000000)</f>
        <v/>
      </c>
      <c r="AK107" s="605">
        <f>IF(AND(ISNUMBER($N107),$N107&gt;0,ISNUMBER($Y107)),$Y107/$N107,"")</f>
        <v/>
      </c>
    </row>
    <row r="108" ht="15" customHeight="1" s="545">
      <c r="A108" s="388" t="n">
        <v>7</v>
      </c>
      <c r="B108" s="605" t="n">
        <v>100</v>
      </c>
      <c r="C108" s="605" t="inlineStr">
        <is>
          <t>R0150417</t>
        </is>
      </c>
      <c r="D108" s="605" t="inlineStr">
        <is>
          <t>4114 E BROMLEY LN</t>
        </is>
      </c>
      <c r="E108" s="605" t="n">
        <v>423</v>
      </c>
      <c r="F108" s="605" t="inlineStr">
        <is>
          <t>BRIGHTON</t>
        </is>
      </c>
      <c r="G108" s="605" t="inlineStr">
        <is>
          <t>2</t>
        </is>
      </c>
      <c r="H108" s="59">
        <f>Y108/J108</f>
        <v/>
      </c>
      <c r="I108" s="389" t="n">
        <v>45201</v>
      </c>
      <c r="J108" s="605" t="n">
        <v>2500</v>
      </c>
      <c r="K108" s="59" t="n"/>
      <c r="L108" s="605" t="n">
        <v>2500</v>
      </c>
      <c r="M108" s="605" t="n">
        <v>2003</v>
      </c>
      <c r="P108" s="605" t="inlineStr">
        <is>
          <t>PUD-Bri</t>
        </is>
      </c>
      <c r="R108" s="152" t="inlineStr">
        <is>
          <t>Average</t>
        </is>
      </c>
      <c r="S108" s="605" t="n">
        <v>33846.12</v>
      </c>
      <c r="T108" s="390">
        <f>S108/L108</f>
        <v/>
      </c>
      <c r="U108" s="605" t="inlineStr">
        <is>
          <t>Average</t>
        </is>
      </c>
      <c r="V108" s="390" t="n"/>
      <c r="W108" s="390" t="n"/>
      <c r="X108" s="390" t="n"/>
      <c r="Y108" s="60" t="n">
        <v>1650000</v>
      </c>
      <c r="Z108" s="60" t="n"/>
      <c r="AA108" s="60" t="n">
        <v>1644000</v>
      </c>
      <c r="AB108" s="60" t="n"/>
      <c r="AC108" s="605" t="inlineStr">
        <is>
          <t>0156915201003</t>
        </is>
      </c>
      <c r="AD108" s="605" t="inlineStr">
        <is>
          <t>2023000056494</t>
        </is>
      </c>
      <c r="AE108" s="653" t="inlineStr">
        <is>
          <t>OGDEN MCHENRY FAMILY TRUST</t>
        </is>
      </c>
      <c r="AF108" s="653" t="inlineStr">
        <is>
          <t>DWV PROPERTIES LLC</t>
        </is>
      </c>
      <c r="AI108" s="605">
        <f>IF(AND($E108=Subj_OccCode,Subj_BldgSF&gt;0,ABS($L108-Subj_BldgSF)&lt;=Subj_BldgSF*Subj_SizeTol),ABS($L108-Subj_BldgSF),NA())</f>
        <v/>
      </c>
      <c r="AJ108">
        <f>IF(ISNA(AI108),NA(),AI108+ROW()/10000000)</f>
        <v/>
      </c>
      <c r="AK108" s="605">
        <f>IF(AND(ISNUMBER($N108),$N108&gt;0,ISNUMBER($Y108)),$Y108/$N108,"")</f>
        <v/>
      </c>
    </row>
    <row r="109" ht="15" customHeight="1" s="545">
      <c r="A109" s="388" t="n">
        <v>7</v>
      </c>
      <c r="B109" s="605" t="n">
        <v>101</v>
      </c>
      <c r="C109" s="605" t="inlineStr">
        <is>
          <t>R0164391</t>
        </is>
      </c>
      <c r="D109" s="605" t="inlineStr">
        <is>
          <t>2611 W 64TH AVE #B</t>
        </is>
      </c>
      <c r="E109" s="605" t="n">
        <v>425</v>
      </c>
      <c r="G109" s="605" t="inlineStr">
        <is>
          <t>5</t>
        </is>
      </c>
      <c r="H109" s="59">
        <f>Y109/J109</f>
        <v/>
      </c>
      <c r="I109" s="389" t="n">
        <v>45042</v>
      </c>
      <c r="J109" s="605" t="n">
        <v>15125</v>
      </c>
      <c r="K109" s="59" t="n"/>
      <c r="L109" s="605" t="n">
        <v>15125</v>
      </c>
      <c r="M109" s="605" t="n">
        <v>2005</v>
      </c>
      <c r="P109" s="605" t="inlineStr">
        <is>
          <t>Industrial</t>
        </is>
      </c>
      <c r="R109" s="152" t="inlineStr">
        <is>
          <t>Average</t>
        </is>
      </c>
      <c r="S109" s="605" t="n">
        <v>10924</v>
      </c>
      <c r="T109" s="390">
        <f>S109/L109</f>
        <v/>
      </c>
      <c r="U109" s="605" t="inlineStr">
        <is>
          <t>Average</t>
        </is>
      </c>
      <c r="V109" s="390" t="n"/>
      <c r="W109" s="390" t="n"/>
      <c r="X109" s="390" t="n"/>
      <c r="Y109" s="60" t="n">
        <v>515000</v>
      </c>
      <c r="Z109" s="60" t="n"/>
      <c r="AA109" s="60" t="n">
        <v>515000</v>
      </c>
      <c r="AB109" s="60" t="n"/>
      <c r="AC109" s="605" t="inlineStr">
        <is>
          <t>0182505407029</t>
        </is>
      </c>
      <c r="AD109" s="605" t="inlineStr">
        <is>
          <t>2023000023115</t>
        </is>
      </c>
      <c r="AE109" s="653" t="inlineStr">
        <is>
          <t>FREEDMAN ROBERT ANDREW AND , FREEDMAN LORI ELAINE</t>
        </is>
      </c>
      <c r="AF109" s="653" t="inlineStr">
        <is>
          <t>NOVE COMMERCIAL LLC</t>
        </is>
      </c>
      <c r="AI109" s="605">
        <f>IF(AND($E109=Subj_OccCode,Subj_BldgSF&gt;0,ABS($L109-Subj_BldgSF)&lt;=Subj_BldgSF*Subj_SizeTol),ABS($L109-Subj_BldgSF),NA())</f>
        <v/>
      </c>
      <c r="AJ109">
        <f>IF(ISNA(AI109),NA(),AI109+ROW()/10000000)</f>
        <v/>
      </c>
      <c r="AK109" s="605">
        <f>IF(AND(ISNUMBER($N109),$N109&gt;0,ISNUMBER($Y109)),$Y109/$N109,"")</f>
        <v/>
      </c>
    </row>
    <row r="110" ht="15" customHeight="1" s="545">
      <c r="A110" s="388" t="n">
        <v>7</v>
      </c>
      <c r="B110" s="605" t="n">
        <v>102</v>
      </c>
      <c r="C110" s="605" t="inlineStr">
        <is>
          <t>R0164395</t>
        </is>
      </c>
      <c r="D110" s="605" t="inlineStr">
        <is>
          <t>2611 W 64TH AVE #F</t>
        </is>
      </c>
      <c r="E110" s="605" t="n">
        <v>425</v>
      </c>
      <c r="G110" s="605" t="inlineStr">
        <is>
          <t>5</t>
        </is>
      </c>
      <c r="H110" s="59">
        <f>Y110/J110</f>
        <v/>
      </c>
      <c r="I110" s="389" t="n">
        <v>45152</v>
      </c>
      <c r="J110" s="605" t="n">
        <v>15125</v>
      </c>
      <c r="K110" s="59" t="n"/>
      <c r="L110" s="605" t="n">
        <v>15125</v>
      </c>
      <c r="M110" s="605" t="n">
        <v>2005</v>
      </c>
      <c r="P110" s="605" t="inlineStr">
        <is>
          <t>Industrial</t>
        </is>
      </c>
      <c r="R110" s="152" t="inlineStr">
        <is>
          <t>Average</t>
        </is>
      </c>
      <c r="S110" s="605" t="n">
        <v>10924</v>
      </c>
      <c r="T110" s="390">
        <f>S110/L110</f>
        <v/>
      </c>
      <c r="U110" s="605" t="inlineStr">
        <is>
          <t>Average</t>
        </is>
      </c>
      <c r="V110" s="390" t="n"/>
      <c r="W110" s="390" t="n"/>
      <c r="X110" s="390" t="n"/>
      <c r="Y110" s="60" t="n">
        <v>699000</v>
      </c>
      <c r="Z110" s="60" t="n"/>
      <c r="AA110" s="60" t="n">
        <v>699000</v>
      </c>
      <c r="AB110" s="60" t="n"/>
      <c r="AC110" s="605" t="inlineStr">
        <is>
          <t>0182505407033</t>
        </is>
      </c>
      <c r="AD110" s="605" t="inlineStr">
        <is>
          <t>2023000046606</t>
        </is>
      </c>
      <c r="AE110" s="653" t="inlineStr">
        <is>
          <t>2611 WEST 64TH AVENUE UNIT F LLC</t>
        </is>
      </c>
      <c r="AF110" s="653" t="inlineStr">
        <is>
          <t>DE LA CRUZ PROPERTY LLC</t>
        </is>
      </c>
      <c r="AI110" s="605">
        <f>IF(AND($E110=Subj_OccCode,Subj_BldgSF&gt;0,ABS($L110-Subj_BldgSF)&lt;=Subj_BldgSF*Subj_SizeTol),ABS($L110-Subj_BldgSF),NA())</f>
        <v/>
      </c>
      <c r="AJ110">
        <f>IF(ISNA(AI110),NA(),AI110+ROW()/10000000)</f>
        <v/>
      </c>
      <c r="AK110" s="605">
        <f>IF(AND(ISNUMBER($N110),$N110&gt;0,ISNUMBER($Y110)),$Y110/$N110,"")</f>
        <v/>
      </c>
    </row>
    <row r="111" ht="15" customHeight="1" s="545">
      <c r="A111" s="388" t="n">
        <v>7</v>
      </c>
      <c r="B111" s="605" t="n">
        <v>103</v>
      </c>
      <c r="C111" s="605" t="inlineStr">
        <is>
          <t>R0185575</t>
        </is>
      </c>
      <c r="D111" s="605" t="inlineStr">
        <is>
          <t>2149 BRIDGE ST</t>
        </is>
      </c>
      <c r="E111" s="605" t="n">
        <v>344</v>
      </c>
      <c r="F111" s="605" t="inlineStr">
        <is>
          <t>BRIGHTON</t>
        </is>
      </c>
      <c r="G111" s="605" t="inlineStr">
        <is>
          <t>2</t>
        </is>
      </c>
      <c r="H111" s="59">
        <f>Y111/J111</f>
        <v/>
      </c>
      <c r="I111" s="389" t="n">
        <v>44985</v>
      </c>
      <c r="J111" s="605" t="n">
        <v>2880</v>
      </c>
      <c r="K111" s="59" t="n"/>
      <c r="L111" s="605" t="n">
        <v>2880</v>
      </c>
      <c r="M111" s="605" t="n">
        <v>1984</v>
      </c>
      <c r="P111" s="605" t="inlineStr">
        <is>
          <t>PUD-Bri</t>
        </is>
      </c>
      <c r="R111" s="152" t="inlineStr">
        <is>
          <t>Average</t>
        </is>
      </c>
      <c r="S111" s="605" t="n">
        <v>11805</v>
      </c>
      <c r="T111" s="390">
        <f>S111/L111</f>
        <v/>
      </c>
      <c r="U111" s="605" t="inlineStr">
        <is>
          <t>Average</t>
        </is>
      </c>
      <c r="V111" s="390" t="n"/>
      <c r="W111" s="390" t="n"/>
      <c r="X111" s="390" t="n"/>
      <c r="Y111" s="60" t="n">
        <v>740000</v>
      </c>
      <c r="Z111" s="60" t="n"/>
      <c r="AA111" s="60" t="n">
        <v>740000</v>
      </c>
      <c r="AB111" s="60" t="n"/>
      <c r="AC111" s="605" t="inlineStr">
        <is>
          <t>0156905402099</t>
        </is>
      </c>
      <c r="AD111" s="605" t="inlineStr">
        <is>
          <t>2023000010526</t>
        </is>
      </c>
      <c r="AE111" s="653" t="inlineStr">
        <is>
          <t>POOR BOY PROPERTIES LLC</t>
        </is>
      </c>
      <c r="AF111" s="653" t="inlineStr">
        <is>
          <t>JAIMBE LLC</t>
        </is>
      </c>
      <c r="AI111" s="605">
        <f>IF(AND($E111=Subj_OccCode,Subj_BldgSF&gt;0,ABS($L111-Subj_BldgSF)&lt;=Subj_BldgSF*Subj_SizeTol),ABS($L111-Subj_BldgSF),NA())</f>
        <v/>
      </c>
      <c r="AJ111">
        <f>IF(ISNA(AI111),NA(),AI111+ROW()/10000000)</f>
        <v/>
      </c>
      <c r="AK111" s="605">
        <f>IF(AND(ISNUMBER($N111),$N111&gt;0,ISNUMBER($Y111)),$Y111/$N111,"")</f>
        <v/>
      </c>
    </row>
    <row r="112" ht="15" customHeight="1" s="545">
      <c r="A112" s="388" t="n">
        <v>7</v>
      </c>
      <c r="B112" s="605" t="n">
        <v>104</v>
      </c>
      <c r="C112" s="605" t="inlineStr">
        <is>
          <t>R0003324</t>
        </is>
      </c>
      <c r="D112" s="605" t="inlineStr">
        <is>
          <t>429 BRIDGE ST</t>
        </is>
      </c>
      <c r="E112" s="605" t="n">
        <v>3441</v>
      </c>
      <c r="F112" s="605" t="inlineStr">
        <is>
          <t>BRIGHTON</t>
        </is>
      </c>
      <c r="G112" s="605" t="inlineStr">
        <is>
          <t>2</t>
        </is>
      </c>
      <c r="H112" s="59">
        <f>Y112/J112</f>
        <v/>
      </c>
      <c r="I112" s="389" t="n">
        <v>44848</v>
      </c>
      <c r="J112" s="605" t="n">
        <v>1619</v>
      </c>
      <c r="K112" s="59" t="n"/>
      <c r="L112" s="605" t="n">
        <v>1619</v>
      </c>
      <c r="M112" s="605" t="n">
        <v>1951</v>
      </c>
      <c r="P112" s="605" t="inlineStr">
        <is>
          <t>C-1-Bri</t>
        </is>
      </c>
      <c r="R112" s="152" t="inlineStr">
        <is>
          <t>Low</t>
        </is>
      </c>
      <c r="S112" s="605" t="n">
        <v>6500</v>
      </c>
      <c r="T112" s="390">
        <f>S112/L112</f>
        <v/>
      </c>
      <c r="U112" s="605" t="inlineStr">
        <is>
          <t>Low</t>
        </is>
      </c>
      <c r="V112" s="390" t="n"/>
      <c r="W112" s="390" t="n"/>
      <c r="X112" s="390" t="n"/>
      <c r="Y112" s="60" t="n">
        <v>474000</v>
      </c>
      <c r="Z112" s="60" t="n"/>
      <c r="AA112" s="60" t="n">
        <v>474000</v>
      </c>
      <c r="AB112" s="60" t="n"/>
      <c r="AC112" s="605" t="inlineStr">
        <is>
          <t>0156906423006</t>
        </is>
      </c>
      <c r="AD112" s="605" t="inlineStr">
        <is>
          <t>2022000084809</t>
        </is>
      </c>
      <c r="AE112" s="653" t="inlineStr">
        <is>
          <t>429 BRIDGE STREET LLC</t>
        </is>
      </c>
      <c r="AF112" s="653" t="inlineStr">
        <is>
          <t>VIGIL JENIFER D.</t>
        </is>
      </c>
      <c r="AI112" s="605">
        <f>IF(AND($E112=Subj_OccCode,Subj_BldgSF&gt;0,ABS($L112-Subj_BldgSF)&lt;=Subj_BldgSF*Subj_SizeTol),ABS($L112-Subj_BldgSF),NA())</f>
        <v/>
      </c>
      <c r="AJ112">
        <f>IF(ISNA(AI112),NA(),AI112+ROW()/10000000)</f>
        <v/>
      </c>
      <c r="AK112" s="605">
        <f>IF(AND(ISNUMBER($N112),$N112&gt;0,ISNUMBER($Y112)),$Y112/$N112,"")</f>
        <v/>
      </c>
    </row>
    <row r="113" ht="15" customHeight="1" s="545">
      <c r="A113" s="388" t="n">
        <v>7</v>
      </c>
      <c r="B113" s="605" t="n">
        <v>105</v>
      </c>
      <c r="C113" s="605" t="inlineStr">
        <is>
          <t>R0003859</t>
        </is>
      </c>
      <c r="D113" s="605" t="inlineStr">
        <is>
          <t>75 S 3RD AVE</t>
        </is>
      </c>
      <c r="E113" s="605" t="n">
        <v>100</v>
      </c>
      <c r="F113" s="605" t="inlineStr">
        <is>
          <t>BRIGHTON</t>
        </is>
      </c>
      <c r="G113" s="605" t="inlineStr">
        <is>
          <t>2</t>
        </is>
      </c>
      <c r="H113" s="59">
        <f>Y113/J113</f>
        <v/>
      </c>
      <c r="I113" s="389" t="n">
        <v>44959</v>
      </c>
      <c r="J113" s="605" t="n">
        <v>1820</v>
      </c>
      <c r="K113" s="59" t="n"/>
      <c r="L113" s="605" t="n">
        <v>1820</v>
      </c>
      <c r="M113" s="605" t="n">
        <v>1916</v>
      </c>
      <c r="P113" s="605" t="inlineStr">
        <is>
          <t>C-1-Bri</t>
        </is>
      </c>
      <c r="R113" s="152" t="inlineStr">
        <is>
          <t>Average</t>
        </is>
      </c>
      <c r="S113" s="605" t="n">
        <v>7500</v>
      </c>
      <c r="T113" s="390">
        <f>S113/L113</f>
        <v/>
      </c>
      <c r="U113" s="605" t="inlineStr">
        <is>
          <t>Average</t>
        </is>
      </c>
      <c r="V113" s="390" t="n"/>
      <c r="W113" s="390" t="n"/>
      <c r="X113" s="390" t="n"/>
      <c r="Y113" s="60" t="n">
        <v>575000</v>
      </c>
      <c r="Z113" s="60" t="n"/>
      <c r="AA113" s="60" t="n">
        <v>575000</v>
      </c>
      <c r="AB113" s="60" t="n"/>
      <c r="AC113" s="605" t="inlineStr">
        <is>
          <t>0156907202009</t>
        </is>
      </c>
      <c r="AD113" s="605" t="inlineStr">
        <is>
          <t>2023000006812</t>
        </is>
      </c>
      <c r="AE113" s="653" t="inlineStr">
        <is>
          <t>75 PARTNERSHIP LLC</t>
        </is>
      </c>
      <c r="AF113" s="653" t="inlineStr">
        <is>
          <t>VIGIL JENIFER D</t>
        </is>
      </c>
      <c r="AI113" s="605">
        <f>IF(AND($E113=Subj_OccCode,Subj_BldgSF&gt;0,ABS($L113-Subj_BldgSF)&lt;=Subj_BldgSF*Subj_SizeTol),ABS($L113-Subj_BldgSF),NA())</f>
        <v/>
      </c>
      <c r="AJ113">
        <f>IF(ISNA(AI113),NA(),AI113+ROW()/10000000)</f>
        <v/>
      </c>
      <c r="AK113" s="605">
        <f>IF(AND(ISNUMBER($N113),$N113&gt;0,ISNUMBER($Y113)),$Y113/$N113,"")</f>
        <v/>
      </c>
    </row>
    <row r="114" ht="15" customHeight="1" s="545">
      <c r="A114" s="388" t="n">
        <v>7</v>
      </c>
      <c r="B114" s="605" t="n">
        <v>106</v>
      </c>
      <c r="C114" s="605" t="inlineStr">
        <is>
          <t>R0037731</t>
        </is>
      </c>
      <c r="D114" s="605" t="inlineStr">
        <is>
          <t>1907 LEROY DR</t>
        </is>
      </c>
      <c r="E114" s="605" t="n">
        <v>210</v>
      </c>
      <c r="F114" s="605" t="inlineStr">
        <is>
          <t>NORTHGLENN</t>
        </is>
      </c>
      <c r="G114" s="605" t="inlineStr">
        <is>
          <t>4</t>
        </is>
      </c>
      <c r="H114" s="59">
        <f>Y114/J114</f>
        <v/>
      </c>
      <c r="I114" s="389" t="n">
        <v>44756</v>
      </c>
      <c r="J114" s="605" t="n">
        <v>27000</v>
      </c>
      <c r="K114" s="59" t="n"/>
      <c r="L114" s="605" t="n">
        <v>27000</v>
      </c>
      <c r="M114" s="605" t="n">
        <v>1986</v>
      </c>
      <c r="P114" s="605" t="inlineStr">
        <is>
          <t>I-2-Nor</t>
        </is>
      </c>
      <c r="R114" s="152" t="inlineStr">
        <is>
          <t>Good</t>
        </is>
      </c>
      <c r="S114" s="605" t="n">
        <v>87120</v>
      </c>
      <c r="T114" s="390">
        <f>S114/L114</f>
        <v/>
      </c>
      <c r="U114" s="605" t="inlineStr">
        <is>
          <t>Good</t>
        </is>
      </c>
      <c r="V114" s="390" t="n"/>
      <c r="W114" s="390" t="n"/>
      <c r="X114" s="390" t="n"/>
      <c r="Y114" s="60" t="n">
        <v>4100000</v>
      </c>
      <c r="Z114" s="60" t="n"/>
      <c r="AA114" s="60" t="n">
        <v>4100000</v>
      </c>
      <c r="AB114" s="60" t="n"/>
      <c r="AC114" s="605" t="inlineStr">
        <is>
          <t>0171911102048</t>
        </is>
      </c>
      <c r="AD114" s="605" t="inlineStr">
        <is>
          <t>2022000061150</t>
        </is>
      </c>
      <c r="AE114" s="653" t="inlineStr">
        <is>
          <t>133# RAIL LLC 90% INT AND, E AND K INVESTING LLC 10% INT</t>
        </is>
      </c>
      <c r="AF114" s="653" t="inlineStr">
        <is>
          <t>CALHOUN STREET INDUSTRIAL LLC</t>
        </is>
      </c>
      <c r="AI114" s="605">
        <f>IF(AND($E114=Subj_OccCode,Subj_BldgSF&gt;0,ABS($L114-Subj_BldgSF)&lt;=Subj_BldgSF*Subj_SizeTol),ABS($L114-Subj_BldgSF),NA())</f>
        <v/>
      </c>
      <c r="AJ114">
        <f>IF(ISNA(AI114),NA(),AI114+ROW()/10000000)</f>
        <v/>
      </c>
      <c r="AK114" s="605">
        <f>IF(AND(ISNUMBER($N114),$N114&gt;0,ISNUMBER($Y114)),$Y114/$N114,"")</f>
        <v/>
      </c>
    </row>
    <row r="115" ht="15" customHeight="1" s="545">
      <c r="A115" s="388" t="n">
        <v>7</v>
      </c>
      <c r="B115" s="605" t="n">
        <v>107</v>
      </c>
      <c r="C115" s="605" t="inlineStr">
        <is>
          <t>R0037823</t>
        </is>
      </c>
      <c r="D115" s="605" t="inlineStr">
        <is>
          <t>10795 IRMA DR</t>
        </is>
      </c>
      <c r="E115" s="605" t="n">
        <v>406</v>
      </c>
      <c r="F115" s="605" t="inlineStr">
        <is>
          <t>NORTHGLENN</t>
        </is>
      </c>
      <c r="G115" s="605" t="inlineStr">
        <is>
          <t>4</t>
        </is>
      </c>
      <c r="H115" s="59">
        <f>Y115/J115</f>
        <v/>
      </c>
      <c r="I115" s="389" t="n">
        <v>44763</v>
      </c>
      <c r="J115" s="605" t="n">
        <v>4000</v>
      </c>
      <c r="K115" s="59" t="n"/>
      <c r="L115" s="605" t="n">
        <v>4000</v>
      </c>
      <c r="M115" s="605" t="n">
        <v>1974</v>
      </c>
      <c r="P115" s="605" t="inlineStr">
        <is>
          <t>I-2-Nor</t>
        </is>
      </c>
      <c r="R115" s="152" t="inlineStr">
        <is>
          <t>Average</t>
        </is>
      </c>
      <c r="S115" s="605" t="n">
        <v>35086</v>
      </c>
      <c r="T115" s="390">
        <f>S115/L115</f>
        <v/>
      </c>
      <c r="U115" s="605" t="inlineStr">
        <is>
          <t>Average</t>
        </is>
      </c>
      <c r="V115" s="390" t="n"/>
      <c r="W115" s="390" t="n"/>
      <c r="X115" s="390" t="n"/>
      <c r="Y115" s="60" t="n">
        <v>1050000</v>
      </c>
      <c r="Z115" s="60" t="n"/>
      <c r="AA115" s="60" t="n">
        <v>1050000</v>
      </c>
      <c r="AB115" s="60" t="n"/>
      <c r="AC115" s="605" t="inlineStr">
        <is>
          <t>0171911110002</t>
        </is>
      </c>
      <c r="AD115" s="605" t="inlineStr">
        <is>
          <t>2022000062987</t>
        </is>
      </c>
      <c r="AE115" s="653" t="inlineStr">
        <is>
          <t>JAMES RUSSELL PROPERTIES LLC</t>
        </is>
      </c>
      <c r="AF115" s="653" t="inlineStr">
        <is>
          <t>VITAL RE LLC</t>
        </is>
      </c>
      <c r="AI115" s="605">
        <f>IF(AND($E115=Subj_OccCode,Subj_BldgSF&gt;0,ABS($L115-Subj_BldgSF)&lt;=Subj_BldgSF*Subj_SizeTol),ABS($L115-Subj_BldgSF),NA())</f>
        <v/>
      </c>
      <c r="AJ115">
        <f>IF(ISNA(AI115),NA(),AI115+ROW()/10000000)</f>
        <v/>
      </c>
      <c r="AK115" s="605">
        <f>IF(AND(ISNUMBER($N115),$N115&gt;0,ISNUMBER($Y115)),$Y115/$N115,"")</f>
        <v/>
      </c>
    </row>
    <row r="116" ht="15" customHeight="1" s="545">
      <c r="A116" s="388" t="n">
        <v>7</v>
      </c>
      <c r="B116" s="605" t="n">
        <v>108</v>
      </c>
      <c r="C116" s="605" t="inlineStr">
        <is>
          <t>R0038935</t>
        </is>
      </c>
      <c r="D116" s="605" t="inlineStr">
        <is>
          <t>10783 IRMA DR</t>
        </is>
      </c>
      <c r="E116" s="605" t="n">
        <v>406</v>
      </c>
      <c r="F116" s="605" t="inlineStr">
        <is>
          <t>NORTHGLENN</t>
        </is>
      </c>
      <c r="G116" s="605" t="inlineStr">
        <is>
          <t>4</t>
        </is>
      </c>
      <c r="H116" s="59">
        <f>Y116/J116</f>
        <v/>
      </c>
      <c r="I116" s="389" t="n">
        <v>45226</v>
      </c>
      <c r="J116" s="605" t="n">
        <v>4320</v>
      </c>
      <c r="K116" s="59" t="n"/>
      <c r="L116" s="605" t="n">
        <v>4320</v>
      </c>
      <c r="M116" s="605" t="n">
        <v>1998</v>
      </c>
      <c r="P116" s="605" t="inlineStr">
        <is>
          <t>I-2-Nor</t>
        </is>
      </c>
      <c r="R116" s="152" t="inlineStr">
        <is>
          <t>Average</t>
        </is>
      </c>
      <c r="S116" s="605" t="n">
        <v>14965</v>
      </c>
      <c r="T116" s="390">
        <f>S116/L116</f>
        <v/>
      </c>
      <c r="U116" s="605" t="inlineStr">
        <is>
          <t>Average</t>
        </is>
      </c>
      <c r="V116" s="390" t="n"/>
      <c r="W116" s="390" t="n"/>
      <c r="X116" s="390" t="n"/>
      <c r="Y116" s="60" t="n">
        <v>1300000</v>
      </c>
      <c r="Z116" s="60" t="n"/>
      <c r="AA116" s="60" t="n">
        <v>1300000</v>
      </c>
      <c r="AB116" s="60" t="n"/>
      <c r="AC116" s="605" t="inlineStr">
        <is>
          <t>0171911403019</t>
        </is>
      </c>
      <c r="AD116" s="605" t="inlineStr">
        <is>
          <t>2023000061132</t>
        </is>
      </c>
      <c r="AE116" s="653" t="inlineStr">
        <is>
          <t>10783 IRMA DRIVE LLC</t>
        </is>
      </c>
      <c r="AF116" s="653" t="inlineStr">
        <is>
          <t>UNIQUE PROPERTY LLC</t>
        </is>
      </c>
      <c r="AI116" s="605">
        <f>IF(AND($E116=Subj_OccCode,Subj_BldgSF&gt;0,ABS($L116-Subj_BldgSF)&lt;=Subj_BldgSF*Subj_SizeTol),ABS($L116-Subj_BldgSF),NA())</f>
        <v/>
      </c>
      <c r="AJ116">
        <f>IF(ISNA(AI116),NA(),AI116+ROW()/10000000)</f>
        <v/>
      </c>
      <c r="AK116" s="605">
        <f>IF(AND(ISNUMBER($N116),$N116&gt;0,ISNUMBER($Y116)),$Y116/$N116,"")</f>
        <v/>
      </c>
    </row>
    <row r="117" ht="15" customHeight="1" s="545">
      <c r="A117" s="388" t="n">
        <v>7</v>
      </c>
      <c r="B117" s="605" t="n">
        <v>109</v>
      </c>
      <c r="C117" s="605" t="inlineStr">
        <is>
          <t>R0048461</t>
        </is>
      </c>
      <c r="D117" s="605" t="inlineStr">
        <is>
          <t>8801 LOWELL BLVD</t>
        </is>
      </c>
      <c r="E117" s="605" t="n">
        <v>419</v>
      </c>
      <c r="F117" s="605" t="inlineStr">
        <is>
          <t>WESTMINSTER</t>
        </is>
      </c>
      <c r="G117" s="605" t="inlineStr">
        <is>
          <t>4</t>
        </is>
      </c>
      <c r="H117" s="59">
        <f>Y117/J117</f>
        <v/>
      </c>
      <c r="I117" s="389" t="n">
        <v>45443</v>
      </c>
      <c r="J117" s="605" t="n">
        <v>1288</v>
      </c>
      <c r="K117" s="59" t="n"/>
      <c r="L117" s="605" t="n">
        <v>1288</v>
      </c>
      <c r="M117" s="605" t="n">
        <v>1961</v>
      </c>
      <c r="P117" s="605" t="inlineStr">
        <is>
          <t>B-1-Wes</t>
        </is>
      </c>
      <c r="R117" s="152" t="inlineStr">
        <is>
          <t>Average</t>
        </is>
      </c>
      <c r="S117" s="605" t="n">
        <v>16250</v>
      </c>
      <c r="T117" s="390">
        <f>S117/L117</f>
        <v/>
      </c>
      <c r="U117" s="605" t="inlineStr">
        <is>
          <t>Average</t>
        </is>
      </c>
      <c r="V117" s="390" t="n"/>
      <c r="W117" s="390" t="n"/>
      <c r="X117" s="390" t="n"/>
      <c r="Y117" s="60" t="n">
        <v>860000</v>
      </c>
      <c r="Z117" s="60" t="n"/>
      <c r="AA117" s="60" t="n">
        <v>860000</v>
      </c>
      <c r="AB117" s="60" t="n"/>
      <c r="AC117" s="605" t="inlineStr">
        <is>
          <t>0171919413006</t>
        </is>
      </c>
      <c r="AD117" s="605" t="inlineStr">
        <is>
          <t>2024000029553</t>
        </is>
      </c>
      <c r="AE117" s="653" t="inlineStr">
        <is>
          <t>THE HILLS STORE INC</t>
        </is>
      </c>
      <c r="AF117" s="653" t="inlineStr">
        <is>
          <t>8801 LOWELL BLVD LLC</t>
        </is>
      </c>
      <c r="AI117" s="605">
        <f>IF(AND($E117=Subj_OccCode,Subj_BldgSF&gt;0,ABS($L117-Subj_BldgSF)&lt;=Subj_BldgSF*Subj_SizeTol),ABS($L117-Subj_BldgSF),NA())</f>
        <v/>
      </c>
      <c r="AJ117">
        <f>IF(ISNA(AI117),NA(),AI117+ROW()/10000000)</f>
        <v/>
      </c>
      <c r="AK117" s="605">
        <f>IF(AND(ISNUMBER($N117),$N117&gt;0,ISNUMBER($Y117)),$Y117/$N117,"")</f>
        <v/>
      </c>
    </row>
    <row r="118" ht="15" customHeight="1" s="545">
      <c r="A118" s="388" t="n">
        <v>7</v>
      </c>
      <c r="B118" s="605" t="n">
        <v>110</v>
      </c>
      <c r="C118" s="605" t="inlineStr">
        <is>
          <t>R0004004</t>
        </is>
      </c>
      <c r="D118" s="605" t="inlineStr">
        <is>
          <t>281 S MAIN ST</t>
        </is>
      </c>
      <c r="E118" s="605" t="n">
        <v>325</v>
      </c>
      <c r="F118" s="605" t="inlineStr">
        <is>
          <t>BRIGHTON</t>
        </is>
      </c>
      <c r="G118" s="605" t="inlineStr">
        <is>
          <t>2</t>
        </is>
      </c>
      <c r="H118" s="59">
        <f>Y118/J118</f>
        <v/>
      </c>
      <c r="I118" s="389" t="n">
        <v>45050</v>
      </c>
      <c r="J118" s="605" t="n">
        <v>3977</v>
      </c>
      <c r="K118" s="59" t="n"/>
      <c r="L118" s="605" t="n">
        <v>3977</v>
      </c>
      <c r="M118" s="605" t="n">
        <v>1939</v>
      </c>
      <c r="P118" s="605" t="inlineStr">
        <is>
          <t>DT</t>
        </is>
      </c>
      <c r="R118" s="152" t="inlineStr">
        <is>
          <t>Average</t>
        </is>
      </c>
      <c r="S118" s="605" t="n">
        <v>13500</v>
      </c>
      <c r="T118" s="390">
        <f>S118/L118</f>
        <v/>
      </c>
      <c r="U118" s="605" t="inlineStr">
        <is>
          <t>Average</t>
        </is>
      </c>
      <c r="V118" s="390" t="n"/>
      <c r="W118" s="390" t="n"/>
      <c r="X118" s="390" t="n"/>
      <c r="Y118" s="60" t="n">
        <v>615000</v>
      </c>
      <c r="Z118" s="60" t="n"/>
      <c r="AA118" s="60" t="n">
        <v>615000</v>
      </c>
      <c r="AB118" s="60" t="n"/>
      <c r="AC118" s="605" t="inlineStr">
        <is>
          <t>0156907215009</t>
        </is>
      </c>
      <c r="AD118" s="605" t="inlineStr">
        <is>
          <t>2023000025001</t>
        </is>
      </c>
      <c r="AE118" s="653" t="inlineStr">
        <is>
          <t>PAVILIONS PL LLC</t>
        </is>
      </c>
      <c r="AF118" s="653" t="inlineStr">
        <is>
          <t>ORNELAS MANUEL AND, ORNELAS DEBORAH A</t>
        </is>
      </c>
      <c r="AI118" s="605">
        <f>IF(AND($E118=Subj_OccCode,Subj_BldgSF&gt;0,ABS($L118-Subj_BldgSF)&lt;=Subj_BldgSF*Subj_SizeTol),ABS($L118-Subj_BldgSF),NA())</f>
        <v/>
      </c>
      <c r="AJ118">
        <f>IF(ISNA(AI118),NA(),AI118+ROW()/10000000)</f>
        <v/>
      </c>
      <c r="AK118" s="605">
        <f>IF(AND(ISNUMBER($N118),$N118&gt;0,ISNUMBER($Y118)),$Y118/$N118,"")</f>
        <v/>
      </c>
    </row>
    <row r="119" ht="15" customHeight="1" s="545">
      <c r="A119" s="388" t="n">
        <v>7</v>
      </c>
      <c r="B119" s="605" t="n">
        <v>111</v>
      </c>
      <c r="C119" s="605" t="inlineStr">
        <is>
          <t>R0050046</t>
        </is>
      </c>
      <c r="D119" s="605" t="inlineStr">
        <is>
          <t>2890 W 92ND PL</t>
        </is>
      </c>
      <c r="E119" s="605" t="n">
        <v>100</v>
      </c>
      <c r="F119" s="605" t="inlineStr">
        <is>
          <t>FEDERAL HEIGHTS</t>
        </is>
      </c>
      <c r="G119" s="605" t="inlineStr">
        <is>
          <t>4</t>
        </is>
      </c>
      <c r="H119" s="59">
        <f>Y119/J119</f>
        <v/>
      </c>
      <c r="I119" s="389" t="n">
        <v>45078</v>
      </c>
      <c r="J119" s="605" t="n">
        <v>792</v>
      </c>
      <c r="K119" s="59" t="n"/>
      <c r="L119" s="605" t="n">
        <v>792</v>
      </c>
      <c r="M119" s="605" t="n">
        <v>1947</v>
      </c>
      <c r="P119" s="605" t="inlineStr">
        <is>
          <t>C-1-Fed</t>
        </is>
      </c>
      <c r="R119" s="152" t="inlineStr">
        <is>
          <t>Fair</t>
        </is>
      </c>
      <c r="S119" s="605" t="n">
        <v>16512</v>
      </c>
      <c r="T119" s="390">
        <f>S119/L119</f>
        <v/>
      </c>
      <c r="U119" s="605" t="inlineStr">
        <is>
          <t>Fair</t>
        </is>
      </c>
      <c r="V119" s="390" t="n"/>
      <c r="W119" s="390" t="n"/>
      <c r="X119" s="390" t="n"/>
      <c r="Y119" s="60" t="n">
        <v>605000</v>
      </c>
      <c r="Z119" s="60" t="n"/>
      <c r="AA119" s="60" t="n">
        <v>605000</v>
      </c>
      <c r="AB119" s="60" t="n"/>
      <c r="AC119" s="605" t="inlineStr">
        <is>
          <t>0171920401007</t>
        </is>
      </c>
      <c r="AD119" s="605" t="inlineStr">
        <is>
          <t>2023000031803</t>
        </is>
      </c>
      <c r="AE119" s="653" t="inlineStr">
        <is>
          <t>VILLANUEVA-MACIAS IGNACIO</t>
        </is>
      </c>
      <c r="AF119" s="653" t="inlineStr">
        <is>
          <t>2890 W 92ND AVENUE LLC</t>
        </is>
      </c>
      <c r="AI119" s="605">
        <f>IF(AND($E119=Subj_OccCode,Subj_BldgSF&gt;0,ABS($L119-Subj_BldgSF)&lt;=Subj_BldgSF*Subj_SizeTol),ABS($L119-Subj_BldgSF),NA())</f>
        <v/>
      </c>
      <c r="AJ119">
        <f>IF(ISNA(AI119),NA(),AI119+ROW()/10000000)</f>
        <v/>
      </c>
      <c r="AK119" s="605">
        <f>IF(AND(ISNUMBER($N119),$N119&gt;0,ISNUMBER($Y119)),$Y119/$N119,"")</f>
        <v/>
      </c>
    </row>
    <row r="120" ht="15" customHeight="1" s="545">
      <c r="A120" s="388" t="n">
        <v>7</v>
      </c>
      <c r="B120" s="605" t="n">
        <v>112</v>
      </c>
      <c r="C120" s="605" t="inlineStr">
        <is>
          <t>R0079916</t>
        </is>
      </c>
      <c r="D120" s="605" t="inlineStr">
        <is>
          <t>6755 E 72ND AVE</t>
        </is>
      </c>
      <c r="E120" s="605" t="n">
        <v>344</v>
      </c>
      <c r="F120" s="605" t="inlineStr">
        <is>
          <t>COMMERCE CITY</t>
        </is>
      </c>
      <c r="G120" s="605" t="inlineStr">
        <is>
          <t>5</t>
        </is>
      </c>
      <c r="H120" s="59">
        <f>Y120/J120</f>
        <v/>
      </c>
      <c r="I120" s="389" t="n">
        <v>44958</v>
      </c>
      <c r="J120" s="605" t="n">
        <v>2400</v>
      </c>
      <c r="K120" s="59" t="n"/>
      <c r="L120" s="605" t="n">
        <v>2400</v>
      </c>
      <c r="M120" s="605" t="n">
        <v>1974</v>
      </c>
      <c r="P120" s="605" t="inlineStr">
        <is>
          <t>C-1-Com</t>
        </is>
      </c>
      <c r="R120" s="152" t="inlineStr">
        <is>
          <t>Average</t>
        </is>
      </c>
      <c r="S120" s="605" t="n">
        <v>22725</v>
      </c>
      <c r="T120" s="390">
        <f>S120/L120</f>
        <v/>
      </c>
      <c r="U120" s="605" t="inlineStr">
        <is>
          <t>Average</t>
        </is>
      </c>
      <c r="V120" s="390" t="n"/>
      <c r="W120" s="390" t="n"/>
      <c r="X120" s="390" t="n"/>
      <c r="Y120" s="60" t="n">
        <v>700000</v>
      </c>
      <c r="Z120" s="60" t="n"/>
      <c r="AA120" s="60" t="n">
        <v>700000</v>
      </c>
      <c r="AB120" s="60" t="n"/>
      <c r="AC120" s="605" t="inlineStr">
        <is>
          <t>0172132426006</t>
        </is>
      </c>
      <c r="AD120" s="605" t="inlineStr">
        <is>
          <t>2023000007360</t>
        </is>
      </c>
      <c r="AE120" s="653" t="inlineStr">
        <is>
          <t>MEDINA ART L AND, MEDINA URSULA</t>
        </is>
      </c>
      <c r="AF120" s="653" t="inlineStr">
        <is>
          <t>LUEVANO INVESTMENTS LLC</t>
        </is>
      </c>
      <c r="AI120" s="605">
        <f>IF(AND($E120=Subj_OccCode,Subj_BldgSF&gt;0,ABS($L120-Subj_BldgSF)&lt;=Subj_BldgSF*Subj_SizeTol),ABS($L120-Subj_BldgSF),NA())</f>
        <v/>
      </c>
      <c r="AJ120">
        <f>IF(ISNA(AI120),NA(),AI120+ROW()/10000000)</f>
        <v/>
      </c>
      <c r="AK120" s="605">
        <f>IF(AND(ISNUMBER($N120),$N120&gt;0,ISNUMBER($Y120)),$Y120/$N120,"")</f>
        <v/>
      </c>
    </row>
    <row r="121" ht="15" customHeight="1" s="545">
      <c r="A121" s="388" t="n">
        <v>7</v>
      </c>
      <c r="B121" s="605" t="n">
        <v>113</v>
      </c>
      <c r="C121" s="605" t="inlineStr">
        <is>
          <t>R0091804</t>
        </is>
      </c>
      <c r="D121" s="605" t="inlineStr">
        <is>
          <t>6075 E 60TH AVE</t>
        </is>
      </c>
      <c r="E121" s="605" t="n">
        <v>344</v>
      </c>
      <c r="F121" s="605" t="inlineStr">
        <is>
          <t>COMMERCE CITY</t>
        </is>
      </c>
      <c r="G121" s="605" t="inlineStr">
        <is>
          <t>5</t>
        </is>
      </c>
      <c r="H121" s="59">
        <f>Y121/J121</f>
        <v/>
      </c>
      <c r="I121" s="389" t="n">
        <v>45230</v>
      </c>
      <c r="J121" s="605" t="n">
        <v>2080</v>
      </c>
      <c r="K121" s="59" t="n"/>
      <c r="L121" s="605" t="n">
        <v>2080</v>
      </c>
      <c r="M121" s="605" t="n">
        <v>1974</v>
      </c>
      <c r="P121" s="605" t="inlineStr">
        <is>
          <t>C-1-Com</t>
        </is>
      </c>
      <c r="R121" s="152" t="inlineStr">
        <is>
          <t>Average</t>
        </is>
      </c>
      <c r="S121" s="605" t="n">
        <v>19375</v>
      </c>
      <c r="T121" s="390">
        <f>S121/L121</f>
        <v/>
      </c>
      <c r="U121" s="605" t="inlineStr">
        <is>
          <t>Average</t>
        </is>
      </c>
      <c r="V121" s="390" t="n"/>
      <c r="W121" s="390" t="n"/>
      <c r="X121" s="390" t="n"/>
      <c r="Y121" s="60" t="n">
        <v>805000</v>
      </c>
      <c r="Z121" s="60" t="n"/>
      <c r="AA121" s="60" t="n">
        <v>805000</v>
      </c>
      <c r="AB121" s="60" t="n"/>
      <c r="AC121" s="605" t="inlineStr">
        <is>
          <t>0182308217013</t>
        </is>
      </c>
      <c r="AD121" s="605" t="inlineStr">
        <is>
          <t>2023000061807</t>
        </is>
      </c>
      <c r="AE121" s="653" t="inlineStr">
        <is>
          <t>ANYHOME INVESTMENT GROUP LLC</t>
        </is>
      </c>
      <c r="AF121" s="653" t="inlineStr">
        <is>
          <t>PROFESSIONAL FINANCIAL SERVICES CORP</t>
        </is>
      </c>
      <c r="AI121" s="605">
        <f>IF(AND($E121=Subj_OccCode,Subj_BldgSF&gt;0,ABS($L121-Subj_BldgSF)&lt;=Subj_BldgSF*Subj_SizeTol),ABS($L121-Subj_BldgSF),NA())</f>
        <v/>
      </c>
      <c r="AJ121">
        <f>IF(ISNA(AI121),NA(),AI121+ROW()/10000000)</f>
        <v/>
      </c>
      <c r="AK121" s="605">
        <f>IF(AND(ISNUMBER($N121),$N121&gt;0,ISNUMBER($Y121)),$Y121/$N121,"")</f>
        <v/>
      </c>
    </row>
    <row r="122" ht="15" customHeight="1" s="545">
      <c r="A122" s="388" t="n">
        <v>7</v>
      </c>
      <c r="B122" s="605" t="n">
        <v>114</v>
      </c>
      <c r="C122" s="605" t="inlineStr">
        <is>
          <t>R0092166</t>
        </is>
      </c>
      <c r="D122" s="605" t="inlineStr">
        <is>
          <t>7001 E 57TH PL</t>
        </is>
      </c>
      <c r="E122" s="605" t="n">
        <v>407</v>
      </c>
      <c r="F122" s="605" t="inlineStr">
        <is>
          <t>COMMERCE CITY</t>
        </is>
      </c>
      <c r="G122" s="605" t="inlineStr">
        <is>
          <t>5</t>
        </is>
      </c>
      <c r="H122" s="59">
        <f>Y122/J122</f>
        <v/>
      </c>
      <c r="I122" s="389" t="n">
        <v>44823</v>
      </c>
      <c r="J122" s="605" t="n">
        <v>24020</v>
      </c>
      <c r="K122" s="59" t="n"/>
      <c r="L122" s="605" t="n">
        <v>24020</v>
      </c>
      <c r="M122" s="605" t="n">
        <v>1982</v>
      </c>
      <c r="P122" s="605" t="inlineStr">
        <is>
          <t>I-1-Com</t>
        </is>
      </c>
      <c r="R122" s="152" t="inlineStr">
        <is>
          <t>Average</t>
        </is>
      </c>
      <c r="S122" s="605" t="n">
        <v>80000</v>
      </c>
      <c r="T122" s="390">
        <f>S122/L122</f>
        <v/>
      </c>
      <c r="U122" s="605" t="inlineStr">
        <is>
          <t>Average</t>
        </is>
      </c>
      <c r="V122" s="390" t="n"/>
      <c r="W122" s="390" t="n"/>
      <c r="X122" s="390" t="n"/>
      <c r="Y122" s="60" t="n">
        <v>3685000</v>
      </c>
      <c r="Z122" s="60" t="n"/>
      <c r="AA122" s="60" t="n">
        <v>3685000</v>
      </c>
      <c r="AB122" s="60" t="n"/>
      <c r="AC122" s="605" t="inlineStr">
        <is>
          <t>0182308413013</t>
        </is>
      </c>
      <c r="AD122" s="605" t="inlineStr">
        <is>
          <t>2022000078168</t>
        </is>
      </c>
      <c r="AE122" s="653" t="inlineStr">
        <is>
          <t>SPEC WHEELS OF AMERICA INC</t>
        </is>
      </c>
      <c r="AF122" s="653" t="inlineStr">
        <is>
          <t>4990 PARIS STREET LLC</t>
        </is>
      </c>
      <c r="AI122" s="605">
        <f>IF(AND($E122=Subj_OccCode,Subj_BldgSF&gt;0,ABS($L122-Subj_BldgSF)&lt;=Subj_BldgSF*Subj_SizeTol),ABS($L122-Subj_BldgSF),NA())</f>
        <v/>
      </c>
      <c r="AJ122">
        <f>IF(ISNA(AI122),NA(),AI122+ROW()/10000000)</f>
        <v/>
      </c>
      <c r="AK122" s="605">
        <f>IF(AND(ISNUMBER($N122),$N122&gt;0,ISNUMBER($Y122)),$Y122/$N122,"")</f>
        <v/>
      </c>
    </row>
    <row r="123" ht="15" customHeight="1" s="545">
      <c r="A123" s="388" t="n">
        <v>7</v>
      </c>
      <c r="B123" s="605" t="n">
        <v>115</v>
      </c>
      <c r="C123" s="605" t="inlineStr">
        <is>
          <t>R0139037</t>
        </is>
      </c>
      <c r="D123" s="605" t="inlineStr">
        <is>
          <t>920 E 120TH AVE</t>
        </is>
      </c>
      <c r="E123" s="605" t="n">
        <v>325</v>
      </c>
      <c r="F123" s="605" t="inlineStr">
        <is>
          <t>NORTHGLENN</t>
        </is>
      </c>
      <c r="G123" s="605" t="inlineStr">
        <is>
          <t>4</t>
        </is>
      </c>
      <c r="H123" s="59">
        <f>Y123/J123</f>
        <v/>
      </c>
      <c r="I123" s="389" t="n">
        <v>45392</v>
      </c>
      <c r="J123" s="605" t="n">
        <v>9197</v>
      </c>
      <c r="K123" s="59" t="n"/>
      <c r="L123" s="605" t="n">
        <v>9197</v>
      </c>
      <c r="M123" s="605" t="n">
        <v>2001</v>
      </c>
      <c r="P123" s="605" t="inlineStr">
        <is>
          <t>C-4-Nor</t>
        </is>
      </c>
      <c r="R123" s="152" t="inlineStr">
        <is>
          <t>Good</t>
        </is>
      </c>
      <c r="S123" s="605" t="n">
        <v>38839</v>
      </c>
      <c r="T123" s="390">
        <f>S123/L123</f>
        <v/>
      </c>
      <c r="U123" s="605" t="inlineStr">
        <is>
          <t>Good</t>
        </is>
      </c>
      <c r="V123" s="390" t="n"/>
      <c r="W123" s="390" t="n"/>
      <c r="X123" s="390" t="n"/>
      <c r="Y123" s="60" t="n">
        <v>2400000</v>
      </c>
      <c r="Z123" s="60" t="n"/>
      <c r="AA123" s="60" t="n">
        <v>2400000</v>
      </c>
      <c r="AB123" s="60" t="n"/>
      <c r="AC123" s="605" t="inlineStr">
        <is>
          <t>0171902209034</t>
        </is>
      </c>
      <c r="AD123" s="605" t="inlineStr">
        <is>
          <t>2024000022603</t>
        </is>
      </c>
      <c r="AE123" s="653" t="inlineStr">
        <is>
          <t>STOPA LEOPOLD ADAM FAMILY TRUST 48/68%, STOPA LEOPOLD ADAM MARITAN TRUST  et al.</t>
        </is>
      </c>
      <c r="AF123" s="653" t="inlineStr">
        <is>
          <t>MHC 920 LLC</t>
        </is>
      </c>
      <c r="AI123" s="605">
        <f>IF(AND($E123=Subj_OccCode,Subj_BldgSF&gt;0,ABS($L123-Subj_BldgSF)&lt;=Subj_BldgSF*Subj_SizeTol),ABS($L123-Subj_BldgSF),NA())</f>
        <v/>
      </c>
      <c r="AJ123">
        <f>IF(ISNA(AI123),NA(),AI123+ROW()/10000000)</f>
        <v/>
      </c>
      <c r="AK123" s="605">
        <f>IF(AND(ISNUMBER($N123),$N123&gt;0,ISNUMBER($Y123)),$Y123/$N123,"")</f>
        <v/>
      </c>
    </row>
    <row r="124" ht="15" customHeight="1" s="545">
      <c r="A124" s="388" t="n">
        <v>7</v>
      </c>
      <c r="B124" s="605" t="n">
        <v>116</v>
      </c>
      <c r="C124" s="605" t="inlineStr">
        <is>
          <t>R0141069</t>
        </is>
      </c>
      <c r="D124" s="605" t="inlineStr">
        <is>
          <t>8400 PEARL ST</t>
        </is>
      </c>
      <c r="E124" s="605" t="n">
        <v>353</v>
      </c>
      <c r="F124" s="605" t="inlineStr">
        <is>
          <t>THORNTON</t>
        </is>
      </c>
      <c r="G124" s="605" t="inlineStr">
        <is>
          <t>4</t>
        </is>
      </c>
      <c r="H124" s="59">
        <f>Y124/J124</f>
        <v/>
      </c>
      <c r="I124" s="389" t="n">
        <v>45288</v>
      </c>
      <c r="J124" s="605" t="n">
        <v>5710</v>
      </c>
      <c r="K124" s="59" t="n"/>
      <c r="L124" s="605" t="n">
        <v>5710</v>
      </c>
      <c r="M124" s="605" t="n">
        <v>2005</v>
      </c>
      <c r="P124" s="605" t="inlineStr">
        <is>
          <t>Community Retail</t>
        </is>
      </c>
      <c r="R124" s="152" t="inlineStr">
        <is>
          <t>Average</t>
        </is>
      </c>
      <c r="S124" s="605" t="n">
        <v>34421</v>
      </c>
      <c r="T124" s="390">
        <f>S124/L124</f>
        <v/>
      </c>
      <c r="U124" s="605" t="inlineStr">
        <is>
          <t>Average</t>
        </is>
      </c>
      <c r="V124" s="390" t="n"/>
      <c r="W124" s="390" t="n"/>
      <c r="X124" s="390" t="n"/>
      <c r="Y124" s="60" t="n">
        <v>2025000</v>
      </c>
      <c r="Z124" s="60" t="n"/>
      <c r="AA124" s="60" t="n">
        <v>2025000</v>
      </c>
      <c r="AB124" s="60" t="n"/>
      <c r="AC124" s="605" t="inlineStr">
        <is>
          <t>0171927119003</t>
        </is>
      </c>
      <c r="AD124" s="605" t="inlineStr">
        <is>
          <t>2023000071728</t>
        </is>
      </c>
      <c r="AE124" s="653" t="inlineStr">
        <is>
          <t>ROZA KAYKOVA LLC</t>
        </is>
      </c>
      <c r="AF124" s="653" t="inlineStr">
        <is>
          <t>TAPIA INC</t>
        </is>
      </c>
      <c r="AI124" s="605">
        <f>IF(AND($E124=Subj_OccCode,Subj_BldgSF&gt;0,ABS($L124-Subj_BldgSF)&lt;=Subj_BldgSF*Subj_SizeTol),ABS($L124-Subj_BldgSF),NA())</f>
        <v/>
      </c>
      <c r="AJ124">
        <f>IF(ISNA(AI124),NA(),AI124+ROW()/10000000)</f>
        <v/>
      </c>
      <c r="AK124" s="605">
        <f>IF(AND(ISNUMBER($N124),$N124&gt;0,ISNUMBER($Y124)),$Y124/$N124,"")</f>
        <v/>
      </c>
    </row>
    <row r="125" ht="15" customHeight="1" s="545">
      <c r="A125" s="388" t="n">
        <v>7</v>
      </c>
      <c r="B125" s="605" t="n">
        <v>117</v>
      </c>
      <c r="C125" s="605" t="inlineStr">
        <is>
          <t>R0178831</t>
        </is>
      </c>
      <c r="D125" s="605" t="inlineStr">
        <is>
          <t>5190 VIOLET HILL ST #D</t>
        </is>
      </c>
      <c r="E125" s="605" t="n">
        <v>328</v>
      </c>
      <c r="G125" s="605" t="inlineStr">
        <is>
          <t>1</t>
        </is>
      </c>
      <c r="H125" s="59">
        <f>Y125/J125</f>
        <v/>
      </c>
      <c r="I125" s="389" t="n">
        <v>45273</v>
      </c>
      <c r="J125" s="605" t="n">
        <v>27000</v>
      </c>
      <c r="K125" s="59" t="n"/>
      <c r="L125" s="605" t="n">
        <v>27000</v>
      </c>
      <c r="M125" s="605" t="n">
        <v>2006</v>
      </c>
      <c r="R125" s="152" t="inlineStr">
        <is>
          <t>Average</t>
        </is>
      </c>
      <c r="T125" s="390">
        <f>S125/L125</f>
        <v/>
      </c>
      <c r="U125" s="605" t="inlineStr">
        <is>
          <t>Average</t>
        </is>
      </c>
      <c r="V125" s="390" t="n"/>
      <c r="W125" s="390" t="n"/>
      <c r="X125" s="390" t="n"/>
      <c r="Y125" s="60" t="n">
        <v>600000</v>
      </c>
      <c r="Z125" s="60" t="n"/>
      <c r="AA125" s="60" t="n">
        <v>600000</v>
      </c>
      <c r="AB125" s="60" t="n"/>
      <c r="AC125" s="605" t="inlineStr">
        <is>
          <t>0181716411002</t>
        </is>
      </c>
      <c r="AD125" s="605" t="inlineStr">
        <is>
          <t>2023000069330</t>
        </is>
      </c>
      <c r="AE125" s="653" t="inlineStr">
        <is>
          <t>KLV INVESTMENTS LLC</t>
        </is>
      </c>
      <c r="AF125" s="653" t="inlineStr">
        <is>
          <t>ENZO FLYING MACHINE LLC</t>
        </is>
      </c>
      <c r="AI125" s="605">
        <f>IF(AND($E125=Subj_OccCode,Subj_BldgSF&gt;0,ABS($L125-Subj_BldgSF)&lt;=Subj_BldgSF*Subj_SizeTol),ABS($L125-Subj_BldgSF),NA())</f>
        <v/>
      </c>
      <c r="AJ125">
        <f>IF(ISNA(AI125),NA(),AI125+ROW()/10000000)</f>
        <v/>
      </c>
      <c r="AK125" s="605">
        <f>IF(AND(ISNUMBER($N125),$N125&gt;0,ISNUMBER($Y125)),$Y125/$N125,"")</f>
        <v/>
      </c>
    </row>
    <row r="126" ht="15" customHeight="1" s="545">
      <c r="A126" s="388" t="n">
        <v>7</v>
      </c>
      <c r="B126" s="605" t="n">
        <v>118</v>
      </c>
      <c r="C126" s="605" t="inlineStr">
        <is>
          <t>R0200738</t>
        </is>
      </c>
      <c r="D126" s="605" t="inlineStr">
        <is>
          <t>1036 S 1ST ST</t>
        </is>
      </c>
      <c r="E126" s="605" t="n">
        <v>325</v>
      </c>
      <c r="F126" s="605" t="inlineStr">
        <is>
          <t>BENNETT</t>
        </is>
      </c>
      <c r="G126" s="605" t="inlineStr">
        <is>
          <t>1</t>
        </is>
      </c>
      <c r="H126" s="59">
        <f>Y126/J126</f>
        <v/>
      </c>
      <c r="I126" s="389" t="n">
        <v>45226</v>
      </c>
      <c r="J126" s="605" t="n">
        <v>9567</v>
      </c>
      <c r="K126" s="59" t="n"/>
      <c r="L126" s="605" t="n">
        <v>9567</v>
      </c>
      <c r="M126" s="605" t="n">
        <v>2023</v>
      </c>
      <c r="R126" s="152" t="inlineStr">
        <is>
          <t>Average</t>
        </is>
      </c>
      <c r="S126" s="605" t="n">
        <v>58678</v>
      </c>
      <c r="T126" s="390">
        <f>S126/L126</f>
        <v/>
      </c>
      <c r="U126" s="605" t="inlineStr">
        <is>
          <t>Average</t>
        </is>
      </c>
      <c r="V126" s="390" t="n"/>
      <c r="W126" s="390" t="n"/>
      <c r="X126" s="390" t="n"/>
      <c r="Y126" s="60" t="n">
        <v>5622000</v>
      </c>
      <c r="Z126" s="60" t="n"/>
      <c r="AA126" s="60" t="n">
        <v>5622000</v>
      </c>
      <c r="AB126" s="60" t="n"/>
      <c r="AC126" s="605" t="inlineStr">
        <is>
          <t>0181534303001</t>
        </is>
      </c>
      <c r="AD126" s="605" t="inlineStr">
        <is>
          <t>2023000061744</t>
        </is>
      </c>
      <c r="AE126" s="653" t="inlineStr">
        <is>
          <t>MMCG TNET COLORADO LLC</t>
        </is>
      </c>
      <c r="AF126" s="653" t="inlineStr">
        <is>
          <t>THE CRONIN FAMILY TRUST</t>
        </is>
      </c>
      <c r="AI126" s="605">
        <f>IF(AND($E126=Subj_OccCode,Subj_BldgSF&gt;0,ABS($L126-Subj_BldgSF)&lt;=Subj_BldgSF*Subj_SizeTol),ABS($L126-Subj_BldgSF),NA())</f>
        <v/>
      </c>
      <c r="AJ126">
        <f>IF(ISNA(AI126),NA(),AI126+ROW()/10000000)</f>
        <v/>
      </c>
      <c r="AK126" s="605">
        <f>IF(AND(ISNUMBER($N126),$N126&gt;0,ISNUMBER($Y126)),$Y126/$N126,"")</f>
        <v/>
      </c>
    </row>
    <row r="127" ht="15" customHeight="1" s="545">
      <c r="A127" s="388" t="n">
        <v>7</v>
      </c>
      <c r="B127" s="605" t="n">
        <v>119</v>
      </c>
      <c r="C127" s="605" t="inlineStr">
        <is>
          <t>R0202864</t>
        </is>
      </c>
      <c r="D127" s="605" t="inlineStr">
        <is>
          <t>8531 ROSEMARY ST</t>
        </is>
      </c>
      <c r="E127" s="605" t="n">
        <v>406</v>
      </c>
      <c r="F127" s="605" t="inlineStr">
        <is>
          <t>COMMERCE CITY</t>
        </is>
      </c>
      <c r="G127" s="605" t="inlineStr">
        <is>
          <t>5</t>
        </is>
      </c>
      <c r="H127" s="59">
        <f>Y127/J127</f>
        <v/>
      </c>
      <c r="I127" s="389" t="n">
        <v>45097</v>
      </c>
      <c r="J127" s="605" t="n">
        <v>13172</v>
      </c>
      <c r="K127" s="59" t="n"/>
      <c r="L127" s="605" t="n">
        <v>13172</v>
      </c>
      <c r="M127" s="605" t="n">
        <v>2021</v>
      </c>
      <c r="R127" s="152" t="inlineStr">
        <is>
          <t>Good</t>
        </is>
      </c>
      <c r="S127" s="605" t="n">
        <v>33790</v>
      </c>
      <c r="T127" s="390">
        <f>S127/L127</f>
        <v/>
      </c>
      <c r="U127" s="605" t="inlineStr">
        <is>
          <t>Good</t>
        </is>
      </c>
      <c r="V127" s="390" t="n"/>
      <c r="W127" s="390" t="n"/>
      <c r="X127" s="390" t="n"/>
      <c r="Y127" s="60" t="n">
        <v>2995000</v>
      </c>
      <c r="Z127" s="60" t="n"/>
      <c r="AA127" s="60" t="n">
        <v>2995000</v>
      </c>
      <c r="AB127" s="60" t="n"/>
      <c r="AC127" s="605" t="inlineStr">
        <is>
          <t>0172128209007</t>
        </is>
      </c>
      <c r="AD127" s="605" t="inlineStr">
        <is>
          <t>2023000034883</t>
        </is>
      </c>
      <c r="AE127" s="653" t="inlineStr">
        <is>
          <t>XM HOLDINGS LLC AND, K&amp;V HOLDINGS LLC</t>
        </is>
      </c>
      <c r="AF127" s="653" t="inlineStr">
        <is>
          <t>II LAWS REAL ESTATE LLC</t>
        </is>
      </c>
      <c r="AI127" s="605">
        <f>IF(AND($E127=Subj_OccCode,Subj_BldgSF&gt;0,ABS($L127-Subj_BldgSF)&lt;=Subj_BldgSF*Subj_SizeTol),ABS($L127-Subj_BldgSF),NA())</f>
        <v/>
      </c>
      <c r="AJ127">
        <f>IF(ISNA(AI127),NA(),AI127+ROW()/10000000)</f>
        <v/>
      </c>
      <c r="AK127" s="605">
        <f>IF(AND(ISNUMBER($N127),$N127&gt;0,ISNUMBER($Y127)),$Y127/$N127,"")</f>
        <v/>
      </c>
    </row>
    <row r="128" ht="15" customHeight="1" s="545">
      <c r="A128" s="388" t="n">
        <v>7</v>
      </c>
      <c r="B128" s="605" t="n">
        <v>120</v>
      </c>
      <c r="C128" s="605" t="inlineStr">
        <is>
          <t>R0202865</t>
        </is>
      </c>
      <c r="D128" s="605" t="inlineStr">
        <is>
          <t>8511 ROSEMARY ST</t>
        </is>
      </c>
      <c r="E128" s="605" t="n">
        <v>406</v>
      </c>
      <c r="F128" s="605" t="inlineStr">
        <is>
          <t>COMMERCE CITY</t>
        </is>
      </c>
      <c r="G128" s="605" t="inlineStr">
        <is>
          <t>5</t>
        </is>
      </c>
      <c r="H128" s="59">
        <f>Y128/J128</f>
        <v/>
      </c>
      <c r="I128" s="389" t="n">
        <v>44915</v>
      </c>
      <c r="J128" s="605" t="n">
        <v>11700</v>
      </c>
      <c r="K128" s="59" t="n"/>
      <c r="L128" s="605" t="n">
        <v>11700</v>
      </c>
      <c r="M128" s="605" t="n">
        <v>2021</v>
      </c>
      <c r="R128" s="152" t="inlineStr">
        <is>
          <t>Good</t>
        </is>
      </c>
      <c r="S128" s="605" t="n">
        <v>37615</v>
      </c>
      <c r="T128" s="390">
        <f>S128/L128</f>
        <v/>
      </c>
      <c r="U128" s="605" t="inlineStr">
        <is>
          <t>Good</t>
        </is>
      </c>
      <c r="V128" s="390" t="n"/>
      <c r="W128" s="390" t="n"/>
      <c r="X128" s="390" t="n"/>
      <c r="Y128" s="60" t="n">
        <v>2995000</v>
      </c>
      <c r="Z128" s="60" t="n"/>
      <c r="AA128" s="60" t="n">
        <v>2995000</v>
      </c>
      <c r="AB128" s="60" t="n"/>
      <c r="AC128" s="605" t="inlineStr">
        <is>
          <t>0172128209008</t>
        </is>
      </c>
      <c r="AD128" s="605" t="inlineStr">
        <is>
          <t>2022000098390</t>
        </is>
      </c>
      <c r="AE128" s="653" t="inlineStr">
        <is>
          <t>LONE STAR HOLDINGS LLC</t>
        </is>
      </c>
      <c r="AF128" s="653" t="inlineStr">
        <is>
          <t>STEEL CITY HOLDINGS LLC</t>
        </is>
      </c>
      <c r="AI128" s="605">
        <f>IF(AND($E128=Subj_OccCode,Subj_BldgSF&gt;0,ABS($L128-Subj_BldgSF)&lt;=Subj_BldgSF*Subj_SizeTol),ABS($L128-Subj_BldgSF),NA())</f>
        <v/>
      </c>
      <c r="AJ128">
        <f>IF(ISNA(AI128),NA(),AI128+ROW()/10000000)</f>
        <v/>
      </c>
      <c r="AK128" s="605">
        <f>IF(AND(ISNUMBER($N128),$N128&gt;0,ISNUMBER($Y128)),$Y128/$N128,"")</f>
        <v/>
      </c>
    </row>
    <row r="129" ht="15" customHeight="1" s="545">
      <c r="A129" s="388" t="n">
        <v>7</v>
      </c>
      <c r="B129" s="605" t="n">
        <v>121</v>
      </c>
      <c r="C129" s="605" t="inlineStr">
        <is>
          <t>R0213027</t>
        </is>
      </c>
      <c r="D129" s="605" t="inlineStr">
        <is>
          <t>12975 QUEBEC ST</t>
        </is>
      </c>
      <c r="E129" s="605" t="n">
        <v>353</v>
      </c>
      <c r="F129" s="605" t="inlineStr">
        <is>
          <t>THORNTON</t>
        </is>
      </c>
      <c r="G129" s="605" t="inlineStr">
        <is>
          <t>3</t>
        </is>
      </c>
      <c r="H129" s="59">
        <f>Y129/J129</f>
        <v/>
      </c>
      <c r="I129" s="389" t="n">
        <v>45105</v>
      </c>
      <c r="J129" s="605" t="n">
        <v>6912</v>
      </c>
      <c r="K129" s="59" t="n"/>
      <c r="L129" s="605" t="n">
        <v>6912</v>
      </c>
      <c r="M129" s="605" t="n">
        <v>2022</v>
      </c>
      <c r="R129" s="152" t="inlineStr">
        <is>
          <t>Average</t>
        </is>
      </c>
      <c r="S129" s="605" t="n">
        <v>34869</v>
      </c>
      <c r="T129" s="390">
        <f>S129/L129</f>
        <v/>
      </c>
      <c r="U129" s="605" t="inlineStr">
        <is>
          <t>Average</t>
        </is>
      </c>
      <c r="V129" s="390" t="n"/>
      <c r="W129" s="390" t="n"/>
      <c r="X129" s="390" t="n"/>
      <c r="Y129" s="60" t="n">
        <v>3035000</v>
      </c>
      <c r="Z129" s="60" t="n"/>
      <c r="AA129" s="60" t="n">
        <v>3035000</v>
      </c>
      <c r="AB129" s="60" t="n"/>
      <c r="AC129" s="605" t="inlineStr">
        <is>
          <t>0157129417014</t>
        </is>
      </c>
      <c r="AD129" s="605" t="inlineStr">
        <is>
          <t>2023000037049</t>
        </is>
      </c>
      <c r="AE129" s="653" t="inlineStr">
        <is>
          <t>NNN 128 QUEBEC LLC</t>
        </is>
      </c>
      <c r="AF129" s="653" t="inlineStr">
        <is>
          <t>KMR REAL ESTATE LLC</t>
        </is>
      </c>
      <c r="AI129" s="605">
        <f>IF(AND($E129=Subj_OccCode,Subj_BldgSF&gt;0,ABS($L129-Subj_BldgSF)&lt;=Subj_BldgSF*Subj_SizeTol),ABS($L129-Subj_BldgSF),NA())</f>
        <v/>
      </c>
      <c r="AJ129">
        <f>IF(ISNA(AI129),NA(),AI129+ROW()/10000000)</f>
        <v/>
      </c>
      <c r="AK129" s="605">
        <f>IF(AND(ISNUMBER($N129),$N129&gt;0,ISNUMBER($Y129)),$Y129/$N129,"")</f>
        <v/>
      </c>
    </row>
    <row r="130" ht="15" customHeight="1" s="545">
      <c r="A130" s="388" t="n">
        <v>7</v>
      </c>
      <c r="B130" s="605" t="n">
        <v>122</v>
      </c>
      <c r="C130" s="605" t="inlineStr">
        <is>
          <t>R0215747</t>
        </is>
      </c>
      <c r="D130" s="605" t="inlineStr">
        <is>
          <t>10550 CHAMBERS RD</t>
        </is>
      </c>
      <c r="E130" s="605" t="n">
        <v>426</v>
      </c>
      <c r="F130" s="605" t="inlineStr">
        <is>
          <t>COMMERCE CITY</t>
        </is>
      </c>
      <c r="G130" s="605" t="inlineStr">
        <is>
          <t>2</t>
        </is>
      </c>
      <c r="H130" s="59">
        <f>Y130/J130</f>
        <v/>
      </c>
      <c r="I130" s="389" t="n">
        <v>45267</v>
      </c>
      <c r="J130" s="605" t="n">
        <v>12842</v>
      </c>
      <c r="K130" s="59" t="n"/>
      <c r="L130" s="605" t="n">
        <v>12842</v>
      </c>
      <c r="M130" s="605" t="n">
        <v>2023</v>
      </c>
      <c r="R130" s="152" t="inlineStr">
        <is>
          <t>Average</t>
        </is>
      </c>
      <c r="S130" s="605" t="n">
        <v>94652</v>
      </c>
      <c r="T130" s="390">
        <f>S130/L130</f>
        <v/>
      </c>
      <c r="U130" s="605" t="inlineStr">
        <is>
          <t>Average</t>
        </is>
      </c>
      <c r="V130" s="390" t="n"/>
      <c r="W130" s="390" t="n"/>
      <c r="X130" s="390" t="n"/>
      <c r="Y130" s="60" t="n">
        <v>7203333</v>
      </c>
      <c r="Z130" s="60" t="n"/>
      <c r="AA130" s="60" t="n">
        <v>7203333</v>
      </c>
      <c r="AB130" s="60" t="n"/>
      <c r="AC130" s="605" t="inlineStr">
        <is>
          <t>0172308306086</t>
        </is>
      </c>
      <c r="AD130" s="605" t="inlineStr">
        <is>
          <t>2023000068152</t>
        </is>
      </c>
      <c r="AE130" s="653" t="inlineStr">
        <is>
          <t>RK EVBK COMMERCE CITY LLC, C/O READ KING, INC</t>
        </is>
      </c>
      <c r="AF130" s="653" t="inlineStr">
        <is>
          <t>REALTY INCOME PROPERTIES 26 LLC</t>
        </is>
      </c>
      <c r="AI130" s="605">
        <f>IF(AND($E130=Subj_OccCode,Subj_BldgSF&gt;0,ABS($L130-Subj_BldgSF)&lt;=Subj_BldgSF*Subj_SizeTol),ABS($L130-Subj_BldgSF),NA())</f>
        <v/>
      </c>
      <c r="AJ130">
        <f>IF(ISNA(AI130),NA(),AI130+ROW()/10000000)</f>
        <v/>
      </c>
      <c r="AK130" s="605">
        <f>IF(AND(ISNUMBER($N130),$N130&gt;0,ISNUMBER($Y130)),$Y130/$N130,"")</f>
        <v/>
      </c>
    </row>
    <row r="131" ht="15" customHeight="1" s="545">
      <c r="A131" s="388" t="n">
        <v>7</v>
      </c>
      <c r="B131" s="605" t="n">
        <v>123</v>
      </c>
      <c r="C131" s="605" t="inlineStr">
        <is>
          <t>R0222676</t>
        </is>
      </c>
      <c r="D131" s="605" t="inlineStr">
        <is>
          <t>37851 E 51ST AVE #E10</t>
        </is>
      </c>
      <c r="E131" s="605" t="n">
        <v>328</v>
      </c>
      <c r="G131" s="605" t="inlineStr">
        <is>
          <t>1</t>
        </is>
      </c>
      <c r="H131" s="59">
        <f>Y131/J131</f>
        <v/>
      </c>
      <c r="I131" s="389" t="n">
        <v>45390</v>
      </c>
      <c r="J131" s="605" t="n">
        <v>2930</v>
      </c>
      <c r="K131" s="59" t="n"/>
      <c r="L131" s="605" t="n">
        <v>2930</v>
      </c>
      <c r="M131" s="605" t="n">
        <v>2024</v>
      </c>
      <c r="R131" s="152" t="inlineStr">
        <is>
          <t>Average</t>
        </is>
      </c>
      <c r="T131" s="390">
        <f>S131/L131</f>
        <v/>
      </c>
      <c r="U131" s="605" t="inlineStr">
        <is>
          <t>Average</t>
        </is>
      </c>
      <c r="V131" s="390" t="n"/>
      <c r="W131" s="390" t="n"/>
      <c r="X131" s="390" t="n"/>
      <c r="Y131" s="60" t="n">
        <v>296725</v>
      </c>
      <c r="Z131" s="60" t="n"/>
      <c r="AA131" s="60" t="n">
        <v>296725</v>
      </c>
      <c r="AB131" s="60" t="n"/>
      <c r="AC131" s="605" t="inlineStr">
        <is>
          <t>0181715300034</t>
        </is>
      </c>
      <c r="AD131" s="605" t="inlineStr">
        <is>
          <t>2024000024059</t>
        </is>
      </c>
      <c r="AE131" s="653" t="inlineStr">
        <is>
          <t>37851 51ST AVE HANGAR OWNERS ASSOCIATION INC</t>
        </is>
      </c>
      <c r="AF131" s="653" t="inlineStr">
        <is>
          <t>CD SYDNEY AVIATION LLC</t>
        </is>
      </c>
      <c r="AI131" s="605">
        <f>IF(AND($E131=Subj_OccCode,Subj_BldgSF&gt;0,ABS($L131-Subj_BldgSF)&lt;=Subj_BldgSF*Subj_SizeTol),ABS($L131-Subj_BldgSF),NA())</f>
        <v/>
      </c>
      <c r="AJ131">
        <f>IF(ISNA(AI131),NA(),AI131+ROW()/10000000)</f>
        <v/>
      </c>
      <c r="AK131" s="605">
        <f>IF(AND(ISNUMBER($N131),$N131&gt;0,ISNUMBER($Y131)),$Y131/$N131,"")</f>
        <v/>
      </c>
    </row>
    <row r="132" ht="15" customHeight="1" s="545">
      <c r="A132" s="388" t="n">
        <v>7</v>
      </c>
      <c r="B132" s="605" t="n">
        <v>124</v>
      </c>
      <c r="C132" s="605" t="inlineStr">
        <is>
          <t>R0003875</t>
        </is>
      </c>
      <c r="D132" s="605" t="inlineStr">
        <is>
          <t>66 S MAIN ST</t>
        </is>
      </c>
      <c r="E132" s="605" t="n">
        <v>353</v>
      </c>
      <c r="F132" s="605" t="inlineStr">
        <is>
          <t>BRIGHTON</t>
        </is>
      </c>
      <c r="G132" s="605" t="inlineStr">
        <is>
          <t>2</t>
        </is>
      </c>
      <c r="H132" s="59">
        <f>Y132/J132</f>
        <v/>
      </c>
      <c r="I132" s="389" t="n">
        <v>45419</v>
      </c>
      <c r="J132" s="605" t="n">
        <v>1525</v>
      </c>
      <c r="K132" s="59" t="n"/>
      <c r="L132" s="605" t="n">
        <v>1525</v>
      </c>
      <c r="M132" s="605" t="n">
        <v>1957</v>
      </c>
      <c r="P132" s="605" t="inlineStr">
        <is>
          <t>DT</t>
        </is>
      </c>
      <c r="R132" s="152" t="inlineStr">
        <is>
          <t>Average</t>
        </is>
      </c>
      <c r="S132" s="605" t="n">
        <v>1775</v>
      </c>
      <c r="T132" s="390">
        <f>S132/L132</f>
        <v/>
      </c>
      <c r="U132" s="605" t="inlineStr">
        <is>
          <t>Average</t>
        </is>
      </c>
      <c r="V132" s="390" t="n"/>
      <c r="W132" s="390" t="n"/>
      <c r="X132" s="390" t="n"/>
      <c r="Y132" s="60" t="n">
        <v>319900</v>
      </c>
      <c r="Z132" s="60" t="n"/>
      <c r="AA132" s="60" t="n">
        <v>319900</v>
      </c>
      <c r="AB132" s="60" t="n"/>
      <c r="AC132" s="605" t="inlineStr">
        <is>
          <t>0156907203013</t>
        </is>
      </c>
      <c r="AD132" s="605" t="inlineStr">
        <is>
          <t>2024000024483</t>
        </is>
      </c>
      <c r="AE132" s="653" t="inlineStr">
        <is>
          <t>66 S MAIN LLC</t>
        </is>
      </c>
      <c r="AF132" s="653" t="inlineStr">
        <is>
          <t>BRENNER ERIC</t>
        </is>
      </c>
      <c r="AI132" s="605">
        <f>IF(AND($E132=Subj_OccCode,Subj_BldgSF&gt;0,ABS($L132-Subj_BldgSF)&lt;=Subj_BldgSF*Subj_SizeTol),ABS($L132-Subj_BldgSF),NA())</f>
        <v/>
      </c>
      <c r="AJ132">
        <f>IF(ISNA(AI132),NA(),AI132+ROW()/10000000)</f>
        <v/>
      </c>
      <c r="AK132" s="605">
        <f>IF(AND(ISNUMBER($N132),$N132&gt;0,ISNUMBER($Y132)),$Y132/$N132,"")</f>
        <v/>
      </c>
    </row>
    <row r="133" ht="15" customHeight="1" s="545">
      <c r="A133" s="388" t="n">
        <v>7</v>
      </c>
      <c r="B133" s="605" t="n">
        <v>125</v>
      </c>
      <c r="C133" s="605" t="inlineStr">
        <is>
          <t>R0040581</t>
        </is>
      </c>
      <c r="D133" s="605" t="inlineStr">
        <is>
          <t>2090 E 104TH AVE</t>
        </is>
      </c>
      <c r="E133" s="605" t="n">
        <v>344</v>
      </c>
      <c r="F133" s="605" t="inlineStr">
        <is>
          <t>THORNTON</t>
        </is>
      </c>
      <c r="G133" s="605" t="inlineStr">
        <is>
          <t>4</t>
        </is>
      </c>
      <c r="H133" s="59">
        <f>Y133/J133</f>
        <v/>
      </c>
      <c r="I133" s="389" t="n">
        <v>44762</v>
      </c>
      <c r="J133" s="605" t="n">
        <v>20673</v>
      </c>
      <c r="K133" s="59" t="n"/>
      <c r="L133" s="605" t="n">
        <v>20673</v>
      </c>
      <c r="M133" s="605" t="n">
        <v>1975</v>
      </c>
      <c r="P133" s="605" t="inlineStr">
        <is>
          <t>Community Retail</t>
        </is>
      </c>
      <c r="R133" s="152" t="inlineStr">
        <is>
          <t>Average</t>
        </is>
      </c>
      <c r="S133" s="605" t="n">
        <v>90169</v>
      </c>
      <c r="T133" s="390">
        <f>S133/L133</f>
        <v/>
      </c>
      <c r="U133" s="605" t="inlineStr">
        <is>
          <t>Average</t>
        </is>
      </c>
      <c r="V133" s="390" t="n"/>
      <c r="W133" s="390" t="n"/>
      <c r="X133" s="390" t="n"/>
      <c r="Y133" s="60" t="n">
        <v>1400000</v>
      </c>
      <c r="Z133" s="60" t="n"/>
      <c r="AA133" s="60" t="n">
        <v>1400000</v>
      </c>
      <c r="AB133" s="60" t="n"/>
      <c r="AC133" s="605" t="inlineStr">
        <is>
          <t>0171914100005</t>
        </is>
      </c>
      <c r="AD133" s="605" t="inlineStr">
        <is>
          <t>2022000063474</t>
        </is>
      </c>
      <c r="AE133" s="653" t="inlineStr">
        <is>
          <t>2090 E 104TH LLC</t>
        </is>
      </c>
      <c r="AF133" s="653" t="inlineStr">
        <is>
          <t>PAUL M COHEN AND JANET A COHEN 1993 TRUST AND, WAALE LLC</t>
        </is>
      </c>
      <c r="AI133" s="605">
        <f>IF(AND($E133=Subj_OccCode,Subj_BldgSF&gt;0,ABS($L133-Subj_BldgSF)&lt;=Subj_BldgSF*Subj_SizeTol),ABS($L133-Subj_BldgSF),NA())</f>
        <v/>
      </c>
      <c r="AJ133">
        <f>IF(ISNA(AI133),NA(),AI133+ROW()/10000000)</f>
        <v/>
      </c>
      <c r="AK133" s="605">
        <f>IF(AND(ISNUMBER($N133),$N133&gt;0,ISNUMBER($Y133)),$Y133/$N133,"")</f>
        <v/>
      </c>
    </row>
    <row r="134" ht="15" customHeight="1" s="545">
      <c r="A134" s="388" t="n">
        <v>7</v>
      </c>
      <c r="B134" s="605" t="n">
        <v>126</v>
      </c>
      <c r="C134" s="605" t="inlineStr">
        <is>
          <t>R0040815</t>
        </is>
      </c>
      <c r="D134" s="605" t="inlineStr">
        <is>
          <t>2100 E 104TH AVE</t>
        </is>
      </c>
      <c r="E134" s="605" t="n">
        <v>350</v>
      </c>
      <c r="F134" s="605" t="inlineStr">
        <is>
          <t>THORNTON</t>
        </is>
      </c>
      <c r="G134" s="605" t="inlineStr">
        <is>
          <t>4</t>
        </is>
      </c>
      <c r="H134" s="59">
        <f>Y134/J134</f>
        <v/>
      </c>
      <c r="I134" s="389" t="n">
        <v>45070</v>
      </c>
      <c r="J134" s="605" t="n">
        <v>4438</v>
      </c>
      <c r="K134" s="59" t="n"/>
      <c r="L134" s="605" t="n">
        <v>4438</v>
      </c>
      <c r="M134" s="605" t="n">
        <v>1973</v>
      </c>
      <c r="P134" s="605" t="inlineStr">
        <is>
          <t>Community Retail</t>
        </is>
      </c>
      <c r="R134" s="152" t="inlineStr">
        <is>
          <t>Average</t>
        </is>
      </c>
      <c r="S134" s="605" t="n">
        <v>34473</v>
      </c>
      <c r="T134" s="390">
        <f>S134/L134</f>
        <v/>
      </c>
      <c r="U134" s="605" t="inlineStr">
        <is>
          <t>Average</t>
        </is>
      </c>
      <c r="V134" s="390" t="n"/>
      <c r="W134" s="390" t="n"/>
      <c r="X134" s="390" t="n"/>
      <c r="Y134" s="60" t="n">
        <v>1525000</v>
      </c>
      <c r="Z134" s="60" t="n"/>
      <c r="AA134" s="60" t="n">
        <v>1525000</v>
      </c>
      <c r="AB134" s="60" t="n"/>
      <c r="AC134" s="605" t="inlineStr">
        <is>
          <t>0171914119001</t>
        </is>
      </c>
      <c r="AD134" s="605" t="inlineStr">
        <is>
          <t>2023000030020</t>
        </is>
      </c>
      <c r="AE134" s="653" t="inlineStr">
        <is>
          <t>HOLTS LLC</t>
        </is>
      </c>
      <c r="AF134" s="653" t="inlineStr">
        <is>
          <t>S&amp;P CORP</t>
        </is>
      </c>
      <c r="AI134" s="605">
        <f>IF(AND($E134=Subj_OccCode,Subj_BldgSF&gt;0,ABS($L134-Subj_BldgSF)&lt;=Subj_BldgSF*Subj_SizeTol),ABS($L134-Subj_BldgSF),NA())</f>
        <v/>
      </c>
      <c r="AJ134">
        <f>IF(ISNA(AI134),NA(),AI134+ROW()/10000000)</f>
        <v/>
      </c>
      <c r="AK134" s="605">
        <f>IF(AND(ISNUMBER($N134),$N134&gt;0,ISNUMBER($Y134)),$Y134/$N134,"")</f>
        <v/>
      </c>
    </row>
    <row r="135" ht="15" customHeight="1" s="545">
      <c r="A135" s="388" t="n">
        <v>7</v>
      </c>
      <c r="B135" s="605" t="n">
        <v>127</v>
      </c>
      <c r="C135" s="605" t="inlineStr">
        <is>
          <t>R0077173</t>
        </is>
      </c>
      <c r="D135" s="605" t="inlineStr">
        <is>
          <t>8485 ROSLYN ST</t>
        </is>
      </c>
      <c r="E135" s="605" t="n">
        <v>406</v>
      </c>
      <c r="F135" s="605" t="inlineStr">
        <is>
          <t>COMMERCE CITY</t>
        </is>
      </c>
      <c r="G135" s="605" t="inlineStr">
        <is>
          <t>5</t>
        </is>
      </c>
      <c r="H135" s="59">
        <f>Y135/J135</f>
        <v/>
      </c>
      <c r="I135" s="389" t="n">
        <v>45085</v>
      </c>
      <c r="J135" s="605" t="n">
        <v>7500</v>
      </c>
      <c r="K135" s="59" t="n"/>
      <c r="L135" s="605" t="n">
        <v>7500</v>
      </c>
      <c r="M135" s="605" t="n">
        <v>1987</v>
      </c>
      <c r="P135" s="605" t="inlineStr">
        <is>
          <t>I-2-Com</t>
        </is>
      </c>
      <c r="R135" s="152" t="inlineStr">
        <is>
          <t>Average</t>
        </is>
      </c>
      <c r="S135" s="605" t="n">
        <v>49295</v>
      </c>
      <c r="T135" s="390">
        <f>S135/L135</f>
        <v/>
      </c>
      <c r="U135" s="605" t="inlineStr">
        <is>
          <t>Average</t>
        </is>
      </c>
      <c r="V135" s="390" t="n"/>
      <c r="W135" s="390" t="n"/>
      <c r="X135" s="390" t="n"/>
      <c r="Y135" s="60" t="n">
        <v>2025000</v>
      </c>
      <c r="Z135" s="60" t="n"/>
      <c r="AA135" s="60" t="n">
        <v>2025000</v>
      </c>
      <c r="AB135" s="60" t="n"/>
      <c r="AC135" s="605" t="inlineStr">
        <is>
          <t>0172128200024</t>
        </is>
      </c>
      <c r="AD135" s="605" t="inlineStr">
        <is>
          <t>2023000032617</t>
        </is>
      </c>
      <c r="AE135" s="653" t="inlineStr">
        <is>
          <t>BRAZZELL DAVID R AND, BRAZZELL BRIAN J</t>
        </is>
      </c>
      <c r="AF135" s="653" t="inlineStr">
        <is>
          <t>IMPRESSION CARPET CLEANING LLC</t>
        </is>
      </c>
      <c r="AI135" s="605">
        <f>IF(AND($E135=Subj_OccCode,Subj_BldgSF&gt;0,ABS($L135-Subj_BldgSF)&lt;=Subj_BldgSF*Subj_SizeTol),ABS($L135-Subj_BldgSF),NA())</f>
        <v/>
      </c>
      <c r="AJ135">
        <f>IF(ISNA(AI135),NA(),AI135+ROW()/10000000)</f>
        <v/>
      </c>
      <c r="AK135" s="605">
        <f>IF(AND(ISNUMBER($N135),$N135&gt;0,ISNUMBER($Y135)),$Y135/$N135,"")</f>
        <v/>
      </c>
    </row>
    <row r="136" ht="15" customHeight="1" s="545">
      <c r="A136" s="388" t="n">
        <v>7</v>
      </c>
      <c r="B136" s="605" t="n">
        <v>128</v>
      </c>
      <c r="C136" s="605" t="inlineStr">
        <is>
          <t>R0085963</t>
        </is>
      </c>
      <c r="D136" s="605" t="inlineStr">
        <is>
          <t>1563 JASPER ST</t>
        </is>
      </c>
      <c r="E136" s="605" t="n">
        <v>386</v>
      </c>
      <c r="F136" s="605" t="inlineStr">
        <is>
          <t>AURORA</t>
        </is>
      </c>
      <c r="G136" s="605" t="inlineStr">
        <is>
          <t>6</t>
        </is>
      </c>
      <c r="H136" s="59">
        <f>Y136/J136</f>
        <v/>
      </c>
      <c r="I136" s="389" t="n">
        <v>45062</v>
      </c>
      <c r="J136" s="605" t="n">
        <v>29650</v>
      </c>
      <c r="K136" s="59" t="n"/>
      <c r="L136" s="605" t="n">
        <v>29650</v>
      </c>
      <c r="M136" s="605" t="n">
        <v>1985</v>
      </c>
      <c r="P136" s="605" t="inlineStr">
        <is>
          <t>B-4-Aur</t>
        </is>
      </c>
      <c r="R136" s="152" t="inlineStr">
        <is>
          <t>Average</t>
        </is>
      </c>
      <c r="S136" s="605" t="n">
        <v>62929</v>
      </c>
      <c r="T136" s="390">
        <f>S136/L136</f>
        <v/>
      </c>
      <c r="U136" s="605" t="inlineStr">
        <is>
          <t>Average</t>
        </is>
      </c>
      <c r="V136" s="390" t="n"/>
      <c r="W136" s="390" t="n"/>
      <c r="X136" s="390" t="n"/>
      <c r="Y136" s="60" t="n">
        <v>2712500</v>
      </c>
      <c r="Z136" s="60" t="n"/>
      <c r="AA136" s="60" t="n">
        <v>2712500</v>
      </c>
      <c r="AB136" s="60" t="n"/>
      <c r="AC136" s="605" t="inlineStr">
        <is>
          <t>0182132315052</t>
        </is>
      </c>
      <c r="AD136" s="605" t="inlineStr">
        <is>
          <t>2023000027674</t>
        </is>
      </c>
      <c r="AE136" s="653" t="inlineStr">
        <is>
          <t>CTTW HOLDINGS LLC AND MARSCH NICHOLAS AND, MARSCH &amp; BAKOUCHE RENTALS LLC ET AL</t>
        </is>
      </c>
      <c r="AF136" s="653" t="inlineStr">
        <is>
          <t>LOCK AWAY COLORADO LLC</t>
        </is>
      </c>
      <c r="AI136" s="605">
        <f>IF(AND($E136=Subj_OccCode,Subj_BldgSF&gt;0,ABS($L136-Subj_BldgSF)&lt;=Subj_BldgSF*Subj_SizeTol),ABS($L136-Subj_BldgSF),NA())</f>
        <v/>
      </c>
      <c r="AJ136">
        <f>IF(ISNA(AI136),NA(),AI136+ROW()/10000000)</f>
        <v/>
      </c>
      <c r="AK136" s="605">
        <f>IF(AND(ISNUMBER($N136),$N136&gt;0,ISNUMBER($Y136)),$Y136/$N136,"")</f>
        <v/>
      </c>
    </row>
    <row r="137" ht="15" customHeight="1" s="545">
      <c r="A137" s="388" t="n">
        <v>7</v>
      </c>
      <c r="B137" s="605" t="n">
        <v>129</v>
      </c>
      <c r="C137" s="605" t="inlineStr">
        <is>
          <t>R0090660</t>
        </is>
      </c>
      <c r="D137" s="605" t="inlineStr">
        <is>
          <t>4981 E 64TH AVE</t>
        </is>
      </c>
      <c r="E137" s="605" t="n">
        <v>419</v>
      </c>
      <c r="F137" s="605" t="inlineStr">
        <is>
          <t>COMMERCE CITY</t>
        </is>
      </c>
      <c r="G137" s="605" t="inlineStr">
        <is>
          <t>5</t>
        </is>
      </c>
      <c r="H137" s="59">
        <f>Y137/J137</f>
        <v/>
      </c>
      <c r="I137" s="389" t="n">
        <v>44858</v>
      </c>
      <c r="J137" s="605" t="n">
        <v>2709</v>
      </c>
      <c r="K137" s="59" t="n"/>
      <c r="L137" s="605" t="n">
        <v>2709</v>
      </c>
      <c r="M137" s="605" t="n">
        <v>1995</v>
      </c>
      <c r="P137" s="605" t="inlineStr">
        <is>
          <t>C-2-Com</t>
        </is>
      </c>
      <c r="R137" s="152" t="inlineStr">
        <is>
          <t>Average</t>
        </is>
      </c>
      <c r="S137" s="605" t="n">
        <v>50268</v>
      </c>
      <c r="T137" s="390">
        <f>S137/L137</f>
        <v/>
      </c>
      <c r="U137" s="605" t="inlineStr">
        <is>
          <t>Average</t>
        </is>
      </c>
      <c r="V137" s="390" t="n"/>
      <c r="W137" s="390" t="n"/>
      <c r="X137" s="390" t="n"/>
      <c r="Y137" s="60" t="n">
        <v>2341930</v>
      </c>
      <c r="Z137" s="60" t="n"/>
      <c r="AA137" s="60" t="n">
        <v>2341930</v>
      </c>
      <c r="AB137" s="60" t="n"/>
      <c r="AC137" s="605" t="inlineStr">
        <is>
          <t>0182306407031</t>
        </is>
      </c>
      <c r="AD137" s="605" t="inlineStr">
        <is>
          <t>2022000086638</t>
        </is>
      </c>
      <c r="AE137" s="653" t="inlineStr">
        <is>
          <t>DCW FAMILY HOLDINGS LLC</t>
        </is>
      </c>
      <c r="AF137" s="653" t="inlineStr">
        <is>
          <t>SKYLINE PRINCIPAL INVESTORS II LLC</t>
        </is>
      </c>
      <c r="AI137" s="605">
        <f>IF(AND($E137=Subj_OccCode,Subj_BldgSF&gt;0,ABS($L137-Subj_BldgSF)&lt;=Subj_BldgSF*Subj_SizeTol),ABS($L137-Subj_BldgSF),NA())</f>
        <v/>
      </c>
      <c r="AJ137">
        <f>IF(ISNA(AI137),NA(),AI137+ROW()/10000000)</f>
        <v/>
      </c>
      <c r="AK137" s="605">
        <f>IF(AND(ISNUMBER($N137),$N137&gt;0,ISNUMBER($Y137)),$Y137/$N137,"")</f>
        <v/>
      </c>
    </row>
    <row r="138" ht="15" customHeight="1" s="545">
      <c r="A138" s="388" t="n">
        <v>7</v>
      </c>
      <c r="B138" s="605" t="n">
        <v>130</v>
      </c>
      <c r="C138" s="605" t="inlineStr">
        <is>
          <t>R0092838</t>
        </is>
      </c>
      <c r="D138" s="605" t="inlineStr">
        <is>
          <t>5565 E 52ND AVE</t>
        </is>
      </c>
      <c r="E138" s="605" t="n">
        <v>334</v>
      </c>
      <c r="F138" s="605" t="inlineStr">
        <is>
          <t>COMMERCE CITY</t>
        </is>
      </c>
      <c r="G138" s="605" t="inlineStr">
        <is>
          <t>5</t>
        </is>
      </c>
      <c r="H138" s="59">
        <f>Y138/J138</f>
        <v/>
      </c>
      <c r="I138" s="389" t="n">
        <v>45275</v>
      </c>
      <c r="J138" s="605" t="n">
        <v>11200</v>
      </c>
      <c r="K138" s="59" t="n"/>
      <c r="L138" s="605" t="n">
        <v>11200</v>
      </c>
      <c r="M138" s="605" t="n">
        <v>1974</v>
      </c>
      <c r="P138" s="605" t="inlineStr">
        <is>
          <t>I-2-Com</t>
        </is>
      </c>
      <c r="R138" s="152" t="inlineStr">
        <is>
          <t>Average</t>
        </is>
      </c>
      <c r="S138" s="605" t="n">
        <v>145011</v>
      </c>
      <c r="T138" s="390">
        <f>S138/L138</f>
        <v/>
      </c>
      <c r="U138" s="605" t="inlineStr">
        <is>
          <t>Average</t>
        </is>
      </c>
      <c r="V138" s="390" t="n"/>
      <c r="W138" s="390" t="n"/>
      <c r="X138" s="390" t="n"/>
      <c r="Y138" s="60" t="n">
        <v>5192000</v>
      </c>
      <c r="Z138" s="60" t="n"/>
      <c r="AA138" s="60" t="n">
        <v>5192000</v>
      </c>
      <c r="AB138" s="60" t="n"/>
      <c r="AC138" s="605" t="inlineStr">
        <is>
          <t>0182318107003</t>
        </is>
      </c>
      <c r="AD138" s="605" t="inlineStr">
        <is>
          <t>2023000069418</t>
        </is>
      </c>
      <c r="AE138" s="653" t="inlineStr">
        <is>
          <t>FIVEKC LLC</t>
        </is>
      </c>
      <c r="AF138" s="653" t="inlineStr">
        <is>
          <t>CAH CO COMMERCE CITY LLC</t>
        </is>
      </c>
      <c r="AI138" s="605">
        <f>IF(AND($E138=Subj_OccCode,Subj_BldgSF&gt;0,ABS($L138-Subj_BldgSF)&lt;=Subj_BldgSF*Subj_SizeTol),ABS($L138-Subj_BldgSF),NA())</f>
        <v/>
      </c>
      <c r="AJ138">
        <f>IF(ISNA(AI138),NA(),AI138+ROW()/10000000)</f>
        <v/>
      </c>
      <c r="AK138" s="605">
        <f>IF(AND(ISNUMBER($N138),$N138&gt;0,ISNUMBER($Y138)),$Y138/$N138,"")</f>
        <v/>
      </c>
    </row>
    <row r="139" ht="15" customHeight="1" s="545">
      <c r="A139" s="388" t="n">
        <v>7</v>
      </c>
      <c r="B139" s="605" t="n">
        <v>131</v>
      </c>
      <c r="C139" s="605" t="inlineStr">
        <is>
          <t>R0099963</t>
        </is>
      </c>
      <c r="D139" s="605" t="inlineStr">
        <is>
          <t>3190 W 72ND AVE</t>
        </is>
      </c>
      <c r="E139" s="605" t="n">
        <v>350</v>
      </c>
      <c r="F139" s="605" t="inlineStr">
        <is>
          <t>WESTMINSTER</t>
        </is>
      </c>
      <c r="G139" s="605" t="inlineStr">
        <is>
          <t>4</t>
        </is>
      </c>
      <c r="H139" s="59">
        <f>Y139/J139</f>
        <v/>
      </c>
      <c r="I139" s="389" t="n">
        <v>45166</v>
      </c>
      <c r="J139" s="605" t="n">
        <v>1163</v>
      </c>
      <c r="K139" s="59" t="n"/>
      <c r="L139" s="605" t="n">
        <v>1163</v>
      </c>
      <c r="M139" s="605" t="n">
        <v>1964</v>
      </c>
      <c r="P139" s="605" t="inlineStr">
        <is>
          <t>SPD</t>
        </is>
      </c>
      <c r="R139" s="152" t="inlineStr">
        <is>
          <t>Average</t>
        </is>
      </c>
      <c r="S139" s="605" t="n">
        <v>14556</v>
      </c>
      <c r="T139" s="390">
        <f>S139/L139</f>
        <v/>
      </c>
      <c r="U139" s="605" t="inlineStr">
        <is>
          <t>Average</t>
        </is>
      </c>
      <c r="V139" s="390" t="n"/>
      <c r="W139" s="390" t="n"/>
      <c r="X139" s="390" t="n"/>
      <c r="Y139" s="60" t="n">
        <v>600000</v>
      </c>
      <c r="Z139" s="60" t="n"/>
      <c r="AA139" s="60" t="n">
        <v>600000</v>
      </c>
      <c r="AB139" s="60" t="n"/>
      <c r="AC139" s="605" t="inlineStr">
        <is>
          <t>0182505201001</t>
        </is>
      </c>
      <c r="AD139" s="605" t="inlineStr">
        <is>
          <t>2023000051057</t>
        </is>
      </c>
      <c r="AE139" s="653" t="inlineStr">
        <is>
          <t>NORMAN GAUGER INC</t>
        </is>
      </c>
      <c r="AF139" s="653" t="inlineStr">
        <is>
          <t>72 AVE LLC, C/O SHI BING KE</t>
        </is>
      </c>
      <c r="AI139" s="605">
        <f>IF(AND($E139=Subj_OccCode,Subj_BldgSF&gt;0,ABS($L139-Subj_BldgSF)&lt;=Subj_BldgSF*Subj_SizeTol),ABS($L139-Subj_BldgSF),NA())</f>
        <v/>
      </c>
      <c r="AJ139">
        <f>IF(ISNA(AI139),NA(),AI139+ROW()/10000000)</f>
        <v/>
      </c>
      <c r="AK139" s="605">
        <f>IF(AND(ISNUMBER($N139),$N139&gt;0,ISNUMBER($Y139)),$Y139/$N139,"")</f>
        <v/>
      </c>
    </row>
    <row r="140" ht="15" customHeight="1" s="545">
      <c r="A140" s="388" t="n">
        <v>7</v>
      </c>
      <c r="B140" s="605" t="n">
        <v>132</v>
      </c>
      <c r="C140" s="605" t="inlineStr">
        <is>
          <t>R0103017</t>
        </is>
      </c>
      <c r="D140" s="605" t="inlineStr">
        <is>
          <t>2896 W 64TH AVE</t>
        </is>
      </c>
      <c r="E140" s="605" t="n">
        <v>407</v>
      </c>
      <c r="G140" s="605" t="inlineStr">
        <is>
          <t>5</t>
        </is>
      </c>
      <c r="H140" s="59">
        <f>Y140/J140</f>
        <v/>
      </c>
      <c r="I140" s="389" t="n">
        <v>45117</v>
      </c>
      <c r="J140" s="605" t="n">
        <v>13613</v>
      </c>
      <c r="K140" s="59" t="n"/>
      <c r="L140" s="605" t="n">
        <v>13613</v>
      </c>
      <c r="M140" s="605" t="n">
        <v>1973</v>
      </c>
      <c r="P140" s="605" t="inlineStr">
        <is>
          <t>Industrial</t>
        </is>
      </c>
      <c r="R140" s="152" t="inlineStr">
        <is>
          <t>Average</t>
        </is>
      </c>
      <c r="S140" s="605" t="n">
        <v>41382</v>
      </c>
      <c r="T140" s="390">
        <f>S140/L140</f>
        <v/>
      </c>
      <c r="U140" s="605" t="inlineStr">
        <is>
          <t>Average</t>
        </is>
      </c>
      <c r="V140" s="390" t="n"/>
      <c r="W140" s="390" t="n"/>
      <c r="X140" s="390" t="n"/>
      <c r="Y140" s="60" t="n">
        <v>2225000</v>
      </c>
      <c r="Z140" s="60" t="n"/>
      <c r="AA140" s="60" t="n">
        <v>2225000</v>
      </c>
      <c r="AB140" s="60" t="n"/>
      <c r="AC140" s="605" t="inlineStr">
        <is>
          <t>0182508100004</t>
        </is>
      </c>
      <c r="AD140" s="605" t="inlineStr">
        <is>
          <t>2023000038899</t>
        </is>
      </c>
      <c r="AE140" s="653" t="inlineStr">
        <is>
          <t>2896 W 64TH AVE LLC</t>
        </is>
      </c>
      <c r="AF140" s="653" t="inlineStr">
        <is>
          <t>THE MCC AMIGOS LLC</t>
        </is>
      </c>
      <c r="AI140" s="605">
        <f>IF(AND($E140=Subj_OccCode,Subj_BldgSF&gt;0,ABS($L140-Subj_BldgSF)&lt;=Subj_BldgSF*Subj_SizeTol),ABS($L140-Subj_BldgSF),NA())</f>
        <v/>
      </c>
      <c r="AJ140">
        <f>IF(ISNA(AI140),NA(),AI140+ROW()/10000000)</f>
        <v/>
      </c>
      <c r="AK140" s="605">
        <f>IF(AND(ISNUMBER($N140),$N140&gt;0,ISNUMBER($Y140)),$Y140/$N140,"")</f>
        <v/>
      </c>
    </row>
    <row r="141" ht="15" customHeight="1" s="545">
      <c r="A141" s="388" t="n">
        <v>7</v>
      </c>
      <c r="B141" s="605" t="n">
        <v>133</v>
      </c>
      <c r="C141" s="605" t="inlineStr">
        <is>
          <t>R0142646</t>
        </is>
      </c>
      <c r="D141" s="605" t="inlineStr">
        <is>
          <t>10160 GRANT ST</t>
        </is>
      </c>
      <c r="E141" s="605" t="n">
        <v>325</v>
      </c>
      <c r="F141" s="605" t="inlineStr">
        <is>
          <t>THORNTON</t>
        </is>
      </c>
      <c r="G141" s="605" t="inlineStr">
        <is>
          <t>4</t>
        </is>
      </c>
      <c r="H141" s="59">
        <f>Y141/J141</f>
        <v/>
      </c>
      <c r="I141" s="389" t="n">
        <v>45442</v>
      </c>
      <c r="J141" s="605" t="n">
        <v>6440</v>
      </c>
      <c r="K141" s="59" t="n"/>
      <c r="L141" s="605" t="n">
        <v>6440</v>
      </c>
      <c r="M141" s="605" t="n">
        <v>2002</v>
      </c>
      <c r="P141" s="605" t="inlineStr">
        <is>
          <t>Planned Development</t>
        </is>
      </c>
      <c r="R141" s="152" t="inlineStr">
        <is>
          <t>Average</t>
        </is>
      </c>
      <c r="S141" s="605" t="n">
        <v>52276</v>
      </c>
      <c r="T141" s="390">
        <f>S141/L141</f>
        <v/>
      </c>
      <c r="U141" s="605" t="inlineStr">
        <is>
          <t>Average</t>
        </is>
      </c>
      <c r="V141" s="390" t="n"/>
      <c r="W141" s="390" t="n"/>
      <c r="X141" s="390" t="n"/>
      <c r="Y141" s="60" t="n">
        <v>2500000</v>
      </c>
      <c r="Z141" s="60" t="n"/>
      <c r="AA141" s="60" t="n">
        <v>2500000</v>
      </c>
      <c r="AB141" s="60" t="n"/>
      <c r="AC141" s="605" t="inlineStr">
        <is>
          <t>0171915102026</t>
        </is>
      </c>
      <c r="AD141" s="605" t="inlineStr">
        <is>
          <t>2024000031475</t>
        </is>
      </c>
      <c r="AE141" s="653" t="inlineStr">
        <is>
          <t>NG21 LP</t>
        </is>
      </c>
      <c r="AF141" s="653" t="inlineStr">
        <is>
          <t>BRAKES PLUS LLC</t>
        </is>
      </c>
      <c r="AI141" s="605">
        <f>IF(AND($E141=Subj_OccCode,Subj_BldgSF&gt;0,ABS($L141-Subj_BldgSF)&lt;=Subj_BldgSF*Subj_SizeTol),ABS($L141-Subj_BldgSF),NA())</f>
        <v/>
      </c>
      <c r="AJ141">
        <f>IF(ISNA(AI141),NA(),AI141+ROW()/10000000)</f>
        <v/>
      </c>
      <c r="AK141" s="605">
        <f>IF(AND(ISNUMBER($N141),$N141&gt;0,ISNUMBER($Y141)),$Y141/$N141,"")</f>
        <v/>
      </c>
    </row>
    <row r="142" ht="15" customHeight="1" s="545">
      <c r="A142" s="388" t="n">
        <v>7</v>
      </c>
      <c r="B142" s="605" t="n">
        <v>134</v>
      </c>
      <c r="C142" s="605" t="inlineStr">
        <is>
          <t>R0037692</t>
        </is>
      </c>
      <c r="D142" s="605" t="inlineStr">
        <is>
          <t>10880 LEROY DR</t>
        </is>
      </c>
      <c r="E142" s="605" t="n">
        <v>407</v>
      </c>
      <c r="F142" s="605" t="inlineStr">
        <is>
          <t>NORTHGLENN</t>
        </is>
      </c>
      <c r="G142" s="605" t="inlineStr">
        <is>
          <t>4</t>
        </is>
      </c>
      <c r="H142" s="59">
        <f>Y142/J142</f>
        <v/>
      </c>
      <c r="I142" s="389" t="n">
        <v>45362</v>
      </c>
      <c r="J142" s="605" t="n">
        <v>29000</v>
      </c>
      <c r="K142" s="59" t="n"/>
      <c r="L142" s="605" t="n">
        <v>29000</v>
      </c>
      <c r="M142" s="605" t="n">
        <v>1977</v>
      </c>
      <c r="P142" s="605" t="inlineStr">
        <is>
          <t>I-2-Nor</t>
        </is>
      </c>
      <c r="R142" s="152" t="inlineStr">
        <is>
          <t>Average</t>
        </is>
      </c>
      <c r="S142" s="605" t="n">
        <v>92434</v>
      </c>
      <c r="T142" s="390">
        <f>S142/L142</f>
        <v/>
      </c>
      <c r="U142" s="605" t="inlineStr">
        <is>
          <t>Average</t>
        </is>
      </c>
      <c r="V142" s="390" t="n"/>
      <c r="W142" s="390" t="n"/>
      <c r="X142" s="390" t="n"/>
      <c r="Y142" s="60" t="n">
        <v>4850000</v>
      </c>
      <c r="Z142" s="60" t="n"/>
      <c r="AA142" s="60" t="n">
        <v>4850000</v>
      </c>
      <c r="AB142" s="60" t="n"/>
      <c r="AC142" s="605" t="inlineStr">
        <is>
          <t>0171911101018</t>
        </is>
      </c>
      <c r="AD142" s="605" t="inlineStr">
        <is>
          <t>2024000012846</t>
        </is>
      </c>
      <c r="AE142" s="653" t="inlineStr">
        <is>
          <t>KICKBUSH DOM AND, KICKBUSH ANA</t>
        </is>
      </c>
      <c r="AF142" s="653" t="inlineStr">
        <is>
          <t>SLLI PROPERTIES LLC</t>
        </is>
      </c>
      <c r="AI142" s="605">
        <f>IF(AND($E142=Subj_OccCode,Subj_BldgSF&gt;0,ABS($L142-Subj_BldgSF)&lt;=Subj_BldgSF*Subj_SizeTol),ABS($L142-Subj_BldgSF),NA())</f>
        <v/>
      </c>
      <c r="AJ142">
        <f>IF(ISNA(AI142),NA(),AI142+ROW()/10000000)</f>
        <v/>
      </c>
      <c r="AK142" s="605">
        <f>IF(AND(ISNUMBER($N142),$N142&gt;0,ISNUMBER($Y142)),$Y142/$N142,"")</f>
        <v/>
      </c>
    </row>
    <row r="143" ht="15" customHeight="1" s="545">
      <c r="A143" s="388" t="n">
        <v>7</v>
      </c>
      <c r="B143" s="605" t="n">
        <v>135</v>
      </c>
      <c r="C143" s="605" t="inlineStr">
        <is>
          <t>R0037816</t>
        </is>
      </c>
      <c r="D143" s="605" t="inlineStr">
        <is>
          <t>10911 IRMA DR</t>
        </is>
      </c>
      <c r="E143" s="605" t="n">
        <v>325</v>
      </c>
      <c r="F143" s="605" t="inlineStr">
        <is>
          <t>NORTHGLENN</t>
        </is>
      </c>
      <c r="G143" s="605" t="inlineStr">
        <is>
          <t>4</t>
        </is>
      </c>
      <c r="H143" s="59">
        <f>Y143/J143</f>
        <v/>
      </c>
      <c r="I143" s="389" t="n">
        <v>45051</v>
      </c>
      <c r="J143" s="605" t="n">
        <v>2592</v>
      </c>
      <c r="K143" s="59" t="n"/>
      <c r="L143" s="605" t="n">
        <v>2592</v>
      </c>
      <c r="M143" s="605" t="n">
        <v>1975</v>
      </c>
      <c r="P143" s="605" t="inlineStr">
        <is>
          <t>I-2-Nor</t>
        </is>
      </c>
      <c r="R143" s="152" t="inlineStr">
        <is>
          <t>Average</t>
        </is>
      </c>
      <c r="S143" s="605" t="n">
        <v>22500</v>
      </c>
      <c r="T143" s="390">
        <f>S143/L143</f>
        <v/>
      </c>
      <c r="U143" s="605" t="inlineStr">
        <is>
          <t>Average</t>
        </is>
      </c>
      <c r="V143" s="390" t="n"/>
      <c r="W143" s="390" t="n"/>
      <c r="X143" s="390" t="n"/>
      <c r="Y143" s="60" t="n">
        <v>850000</v>
      </c>
      <c r="Z143" s="60" t="n"/>
      <c r="AA143" s="60" t="n">
        <v>850000</v>
      </c>
      <c r="AB143" s="60" t="n"/>
      <c r="AC143" s="605" t="inlineStr">
        <is>
          <t>0171911109017</t>
        </is>
      </c>
      <c r="AD143" s="605" t="inlineStr">
        <is>
          <t>2023000031537</t>
        </is>
      </c>
      <c r="AE143" s="653" t="inlineStr">
        <is>
          <t>JACKSON LARRY DEAN</t>
        </is>
      </c>
      <c r="AF143" s="653" t="inlineStr">
        <is>
          <t>RBF ENTERPRISES LLC</t>
        </is>
      </c>
      <c r="AI143" s="605">
        <f>IF(AND($E143=Subj_OccCode,Subj_BldgSF&gt;0,ABS($L143-Subj_BldgSF)&lt;=Subj_BldgSF*Subj_SizeTol),ABS($L143-Subj_BldgSF),NA())</f>
        <v/>
      </c>
      <c r="AJ143">
        <f>IF(ISNA(AI143),NA(),AI143+ROW()/10000000)</f>
        <v/>
      </c>
      <c r="AK143" s="605">
        <f>IF(AND(ISNUMBER($N143),$N143&gt;0,ISNUMBER($Y143)),$Y143/$N143,"")</f>
        <v/>
      </c>
    </row>
    <row r="144" ht="15" customHeight="1" s="545">
      <c r="A144" s="388" t="n">
        <v>7</v>
      </c>
      <c r="B144" s="605" t="n">
        <v>136</v>
      </c>
      <c r="C144" s="605" t="inlineStr">
        <is>
          <t>R0064415</t>
        </is>
      </c>
      <c r="D144" s="605" t="inlineStr">
        <is>
          <t>7901 ZENOBIA ST</t>
        </is>
      </c>
      <c r="E144" s="605" t="n">
        <v>1344</v>
      </c>
      <c r="F144" s="605" t="inlineStr">
        <is>
          <t>WESTMINSTER</t>
        </is>
      </c>
      <c r="G144" s="605" t="inlineStr">
        <is>
          <t>4</t>
        </is>
      </c>
      <c r="H144" s="59">
        <f>Y144/J144</f>
        <v/>
      </c>
      <c r="I144" s="389" t="n">
        <v>45436</v>
      </c>
      <c r="J144" s="605" t="n">
        <v>5700</v>
      </c>
      <c r="K144" s="59" t="n"/>
      <c r="L144" s="605" t="n">
        <v>5700</v>
      </c>
      <c r="M144" s="605" t="n">
        <v>1981</v>
      </c>
      <c r="P144" s="605" t="inlineStr">
        <is>
          <t>B-1-Wes</t>
        </is>
      </c>
      <c r="R144" s="152" t="inlineStr">
        <is>
          <t>Average</t>
        </is>
      </c>
      <c r="S144" s="605" t="n">
        <v>720</v>
      </c>
      <c r="T144" s="390">
        <f>S144/L144</f>
        <v/>
      </c>
      <c r="U144" s="605" t="inlineStr">
        <is>
          <t>Average</t>
        </is>
      </c>
      <c r="V144" s="390" t="n"/>
      <c r="W144" s="390" t="n"/>
      <c r="X144" s="390" t="n"/>
      <c r="Y144" s="60" t="n">
        <v>325000</v>
      </c>
      <c r="Z144" s="60" t="n"/>
      <c r="AA144" s="60" t="n">
        <v>325000</v>
      </c>
      <c r="AB144" s="60" t="n"/>
      <c r="AC144" s="605" t="inlineStr">
        <is>
          <t>0171931213021</t>
        </is>
      </c>
      <c r="AD144" s="605" t="inlineStr">
        <is>
          <t>2024000029819</t>
        </is>
      </c>
      <c r="AE144" s="653" t="inlineStr">
        <is>
          <t>CMS HOLDINGS LLC</t>
        </is>
      </c>
      <c r="AF144" s="653" t="inlineStr">
        <is>
          <t>REINVENTION J HOLDINGS LLC</t>
        </is>
      </c>
      <c r="AI144" s="605">
        <f>IF(AND($E144=Subj_OccCode,Subj_BldgSF&gt;0,ABS($L144-Subj_BldgSF)&lt;=Subj_BldgSF*Subj_SizeTol),ABS($L144-Subj_BldgSF),NA())</f>
        <v/>
      </c>
      <c r="AJ144">
        <f>IF(ISNA(AI144),NA(),AI144+ROW()/10000000)</f>
        <v/>
      </c>
      <c r="AK144" s="605">
        <f>IF(AND(ISNUMBER($N144),$N144&gt;0,ISNUMBER($Y144)),$Y144/$N144,"")</f>
        <v/>
      </c>
    </row>
    <row r="145" ht="15" customHeight="1" s="545">
      <c r="A145" s="388" t="n">
        <v>7</v>
      </c>
      <c r="B145" s="605" t="n">
        <v>137</v>
      </c>
      <c r="C145" s="605" t="inlineStr">
        <is>
          <t>R0065356</t>
        </is>
      </c>
      <c r="D145" s="605" t="inlineStr">
        <is>
          <t>7205 MEADE ST</t>
        </is>
      </c>
      <c r="E145" s="605" t="n">
        <v>344</v>
      </c>
      <c r="F145" s="605" t="inlineStr">
        <is>
          <t>WESTMINSTER</t>
        </is>
      </c>
      <c r="G145" s="605" t="inlineStr">
        <is>
          <t>4</t>
        </is>
      </c>
      <c r="H145" s="59">
        <f>Y145/J145</f>
        <v/>
      </c>
      <c r="I145" s="389" t="n">
        <v>45457</v>
      </c>
      <c r="J145" s="605" t="n">
        <v>1880</v>
      </c>
      <c r="K145" s="59" t="n"/>
      <c r="L145" s="605" t="n">
        <v>1880</v>
      </c>
      <c r="M145" s="605" t="n">
        <v>1952</v>
      </c>
      <c r="P145" s="605" t="inlineStr">
        <is>
          <t>B-1-Wes</t>
        </is>
      </c>
      <c r="R145" s="152" t="inlineStr">
        <is>
          <t>Average</t>
        </is>
      </c>
      <c r="S145" s="605" t="n">
        <v>4800</v>
      </c>
      <c r="T145" s="390">
        <f>S145/L145</f>
        <v/>
      </c>
      <c r="U145" s="605" t="inlineStr">
        <is>
          <t>Average</t>
        </is>
      </c>
      <c r="V145" s="390" t="n"/>
      <c r="W145" s="390" t="n"/>
      <c r="X145" s="390" t="n"/>
      <c r="Y145" s="60" t="n">
        <v>300000</v>
      </c>
      <c r="Z145" s="60" t="n"/>
      <c r="AA145" s="60" t="n">
        <v>300000</v>
      </c>
      <c r="AB145" s="60" t="n"/>
      <c r="AC145" s="605" t="inlineStr">
        <is>
          <t>0171931417024</t>
        </is>
      </c>
      <c r="AD145" s="605" t="inlineStr">
        <is>
          <t>2024000032236</t>
        </is>
      </c>
      <c r="AE145" s="653" t="inlineStr">
        <is>
          <t>7205 MEADE LLC</t>
        </is>
      </c>
      <c r="AF145" s="653" t="inlineStr">
        <is>
          <t>COLLECTIVE CULTURE LLC</t>
        </is>
      </c>
      <c r="AI145" s="605">
        <f>IF(AND($E145=Subj_OccCode,Subj_BldgSF&gt;0,ABS($L145-Subj_BldgSF)&lt;=Subj_BldgSF*Subj_SizeTol),ABS($L145-Subj_BldgSF),NA())</f>
        <v/>
      </c>
      <c r="AJ145">
        <f>IF(ISNA(AI145),NA(),AI145+ROW()/10000000)</f>
        <v/>
      </c>
      <c r="AK145" s="605">
        <f>IF(AND(ISNUMBER($N145),$N145&gt;0,ISNUMBER($Y145)),$Y145/$N145,"")</f>
        <v/>
      </c>
    </row>
    <row r="146" ht="15" customHeight="1" s="545">
      <c r="A146" s="388" t="n">
        <v>7</v>
      </c>
      <c r="B146" s="605" t="n">
        <v>138</v>
      </c>
      <c r="C146" s="605" t="inlineStr">
        <is>
          <t>R0077024</t>
        </is>
      </c>
      <c r="D146" s="605" t="inlineStr">
        <is>
          <t>9152 YOSEMITE ST</t>
        </is>
      </c>
      <c r="E146" s="605" t="n">
        <v>407</v>
      </c>
      <c r="F146" s="605" t="inlineStr">
        <is>
          <t>COMMERCE CITY</t>
        </is>
      </c>
      <c r="G146" s="605" t="inlineStr">
        <is>
          <t>5</t>
        </is>
      </c>
      <c r="H146" s="59">
        <f>Y146/J146</f>
        <v/>
      </c>
      <c r="I146" s="389" t="n">
        <v>45231</v>
      </c>
      <c r="J146" s="605" t="n">
        <v>60209</v>
      </c>
      <c r="K146" s="59" t="n"/>
      <c r="L146" s="605" t="n">
        <v>60209</v>
      </c>
      <c r="M146" s="605" t="n">
        <v>1992</v>
      </c>
      <c r="P146" s="605" t="inlineStr">
        <is>
          <t>I-3-Com</t>
        </is>
      </c>
      <c r="R146" s="152" t="inlineStr">
        <is>
          <t>Average</t>
        </is>
      </c>
      <c r="S146" s="605" t="n">
        <v>491008</v>
      </c>
      <c r="T146" s="390">
        <f>S146/L146</f>
        <v/>
      </c>
      <c r="U146" s="605" t="inlineStr">
        <is>
          <t>Average</t>
        </is>
      </c>
      <c r="V146" s="390" t="n"/>
      <c r="W146" s="390" t="n"/>
      <c r="X146" s="390" t="n"/>
      <c r="Y146" s="60" t="n">
        <v>8300000</v>
      </c>
      <c r="Z146" s="60" t="n"/>
      <c r="AA146" s="60" t="n">
        <v>8300000</v>
      </c>
      <c r="AB146" s="60" t="n"/>
      <c r="AC146" s="605" t="inlineStr">
        <is>
          <t>0172122006007</t>
        </is>
      </c>
      <c r="AD146" s="605" t="inlineStr">
        <is>
          <t>2023000061749</t>
        </is>
      </c>
      <c r="AE146" s="653" t="inlineStr">
        <is>
          <t>WARD REALTY CORPORATION</t>
        </is>
      </c>
      <c r="AF146" s="653" t="inlineStr">
        <is>
          <t>GVII-ZS YOSEMITE OWNER LLC</t>
        </is>
      </c>
      <c r="AI146" s="605">
        <f>IF(AND($E146=Subj_OccCode,Subj_BldgSF&gt;0,ABS($L146-Subj_BldgSF)&lt;=Subj_BldgSF*Subj_SizeTol),ABS($L146-Subj_BldgSF),NA())</f>
        <v/>
      </c>
      <c r="AJ146">
        <f>IF(ISNA(AI146),NA(),AI146+ROW()/10000000)</f>
        <v/>
      </c>
      <c r="AK146" s="605">
        <f>IF(AND(ISNUMBER($N146),$N146&gt;0,ISNUMBER($Y146)),$Y146/$N146,"")</f>
        <v/>
      </c>
    </row>
    <row r="147" ht="15" customHeight="1" s="545">
      <c r="A147" s="388" t="n">
        <v>7</v>
      </c>
      <c r="B147" s="605" t="n">
        <v>139</v>
      </c>
      <c r="C147" s="605" t="inlineStr">
        <is>
          <t>R0077223</t>
        </is>
      </c>
      <c r="D147" s="605" t="inlineStr">
        <is>
          <t>7920 E 88TH AVE</t>
        </is>
      </c>
      <c r="E147" s="605" t="n">
        <v>325</v>
      </c>
      <c r="F147" s="605" t="inlineStr">
        <is>
          <t>COMMERCE CITY</t>
        </is>
      </c>
      <c r="G147" s="605" t="inlineStr">
        <is>
          <t>5</t>
        </is>
      </c>
      <c r="H147" s="59">
        <f>Y147/J147</f>
        <v/>
      </c>
      <c r="I147" s="389" t="n">
        <v>44770</v>
      </c>
      <c r="J147" s="605" t="n">
        <v>6500</v>
      </c>
      <c r="K147" s="59" t="n"/>
      <c r="L147" s="605" t="n">
        <v>6500</v>
      </c>
      <c r="M147" s="605" t="n">
        <v>1984</v>
      </c>
      <c r="P147" s="605" t="inlineStr">
        <is>
          <t>I-2-Com</t>
        </is>
      </c>
      <c r="R147" s="152" t="inlineStr">
        <is>
          <t>Average</t>
        </is>
      </c>
      <c r="S147" s="605" t="n">
        <v>50060</v>
      </c>
      <c r="T147" s="390">
        <f>S147/L147</f>
        <v/>
      </c>
      <c r="U147" s="605" t="inlineStr">
        <is>
          <t>Average</t>
        </is>
      </c>
      <c r="V147" s="390" t="n"/>
      <c r="W147" s="390" t="n"/>
      <c r="X147" s="390" t="n"/>
      <c r="Y147" s="60" t="n">
        <v>2550000</v>
      </c>
      <c r="Z147" s="60" t="n"/>
      <c r="AA147" s="60" t="n">
        <v>2550000</v>
      </c>
      <c r="AB147" s="60" t="n"/>
      <c r="AC147" s="605" t="inlineStr">
        <is>
          <t>0172128213001</t>
        </is>
      </c>
      <c r="AD147" s="605" t="inlineStr">
        <is>
          <t>2022000065029</t>
        </is>
      </c>
      <c r="AE147" s="653" t="inlineStr">
        <is>
          <t xml:space="preserve">BEGLEY OTHEL BAXTER AND , KOZA JEFFREY P </t>
        </is>
      </c>
      <c r="AF147" s="653" t="inlineStr">
        <is>
          <t>NCW GROUP LLC</t>
        </is>
      </c>
      <c r="AI147" s="605">
        <f>IF(AND($E147=Subj_OccCode,Subj_BldgSF&gt;0,ABS($L147-Subj_BldgSF)&lt;=Subj_BldgSF*Subj_SizeTol),ABS($L147-Subj_BldgSF),NA())</f>
        <v/>
      </c>
      <c r="AJ147">
        <f>IF(ISNA(AI147),NA(),AI147+ROW()/10000000)</f>
        <v/>
      </c>
      <c r="AK147" s="605">
        <f>IF(AND(ISNUMBER($N147),$N147&gt;0,ISNUMBER($Y147)),$Y147/$N147,"")</f>
        <v/>
      </c>
    </row>
    <row r="148" ht="15" customHeight="1" s="545">
      <c r="A148" s="388" t="n">
        <v>7</v>
      </c>
      <c r="B148" s="605" t="n">
        <v>140</v>
      </c>
      <c r="C148" s="605" t="inlineStr">
        <is>
          <t>R0077393</t>
        </is>
      </c>
      <c r="D148" s="605" t="inlineStr">
        <is>
          <t>8451 BRIGHTON DR</t>
        </is>
      </c>
      <c r="E148" s="605" t="n">
        <v>344</v>
      </c>
      <c r="G148" s="605" t="inlineStr">
        <is>
          <t>5</t>
        </is>
      </c>
      <c r="H148" s="59">
        <f>Y148/J148</f>
        <v/>
      </c>
      <c r="I148" s="389" t="n">
        <v>45149</v>
      </c>
      <c r="J148" s="605" t="n">
        <v>13600</v>
      </c>
      <c r="K148" s="59" t="n"/>
      <c r="L148" s="605" t="n">
        <v>13600</v>
      </c>
      <c r="M148" s="605" t="n">
        <v>1968</v>
      </c>
      <c r="P148" s="605" t="inlineStr">
        <is>
          <t>Industrial</t>
        </is>
      </c>
      <c r="R148" s="152" t="inlineStr">
        <is>
          <t>Average</t>
        </is>
      </c>
      <c r="S148" s="605" t="n">
        <v>39334</v>
      </c>
      <c r="T148" s="390">
        <f>S148/L148</f>
        <v/>
      </c>
      <c r="U148" s="605" t="inlineStr">
        <is>
          <t>Average</t>
        </is>
      </c>
      <c r="V148" s="390" t="n"/>
      <c r="W148" s="390" t="n"/>
      <c r="X148" s="390" t="n"/>
      <c r="Y148" s="60" t="n">
        <v>2789000</v>
      </c>
      <c r="Z148" s="60" t="n"/>
      <c r="AA148" s="60" t="n">
        <v>2789000</v>
      </c>
      <c r="AB148" s="60" t="n"/>
      <c r="AC148" s="605" t="inlineStr">
        <is>
          <t>0172129200027</t>
        </is>
      </c>
      <c r="AD148" s="605" t="inlineStr">
        <is>
          <t>2023000046196</t>
        </is>
      </c>
      <c r="AE148" s="653" t="inlineStr">
        <is>
          <t>BDM HOLDINGS LLC</t>
        </is>
      </c>
      <c r="AF148" s="653" t="inlineStr">
        <is>
          <t>8451 BRIGHTON ROAD INC</t>
        </is>
      </c>
      <c r="AI148" s="605">
        <f>IF(AND($E148=Subj_OccCode,Subj_BldgSF&gt;0,ABS($L148-Subj_BldgSF)&lt;=Subj_BldgSF*Subj_SizeTol),ABS($L148-Subj_BldgSF),NA())</f>
        <v/>
      </c>
      <c r="AJ148">
        <f>IF(ISNA(AI148),NA(),AI148+ROW()/10000000)</f>
        <v/>
      </c>
      <c r="AK148" s="605">
        <f>IF(AND(ISNUMBER($N148),$N148&gt;0,ISNUMBER($Y148)),$Y148/$N148,"")</f>
        <v/>
      </c>
    </row>
    <row r="149" ht="15" customHeight="1" s="545">
      <c r="A149" s="388" t="n">
        <v>7</v>
      </c>
      <c r="B149" s="605" t="n">
        <v>141</v>
      </c>
      <c r="C149" s="605" t="inlineStr">
        <is>
          <t>R0098079</t>
        </is>
      </c>
      <c r="D149" s="605" t="inlineStr">
        <is>
          <t>851 HWY 224 #A3</t>
        </is>
      </c>
      <c r="E149" s="605" t="n">
        <v>425</v>
      </c>
      <c r="G149" s="605" t="inlineStr">
        <is>
          <t>5</t>
        </is>
      </c>
      <c r="H149" s="59">
        <f>Y149/J149</f>
        <v/>
      </c>
      <c r="I149" s="389" t="n">
        <v>44817</v>
      </c>
      <c r="J149" s="605" t="n">
        <v>26500</v>
      </c>
      <c r="K149" s="59" t="n"/>
      <c r="L149" s="605" t="n">
        <v>26500</v>
      </c>
      <c r="M149" s="605" t="n">
        <v>1984</v>
      </c>
      <c r="P149" s="605" t="inlineStr">
        <is>
          <t>Industrial</t>
        </is>
      </c>
      <c r="R149" s="152" t="inlineStr">
        <is>
          <t>Average</t>
        </is>
      </c>
      <c r="S149" s="605" t="n">
        <v>4340</v>
      </c>
      <c r="T149" s="390">
        <f>S149/L149</f>
        <v/>
      </c>
      <c r="U149" s="605" t="inlineStr">
        <is>
          <t>Average</t>
        </is>
      </c>
      <c r="V149" s="390" t="n"/>
      <c r="W149" s="390" t="n"/>
      <c r="X149" s="390" t="n"/>
      <c r="Y149" s="60" t="n">
        <v>410000</v>
      </c>
      <c r="Z149" s="60" t="n"/>
      <c r="AA149" s="60" t="n">
        <v>410000</v>
      </c>
      <c r="AB149" s="60" t="n"/>
      <c r="AC149" s="605" t="inlineStr">
        <is>
          <t>0182502203043</t>
        </is>
      </c>
      <c r="AD149" s="605" t="inlineStr">
        <is>
          <t>2022000076798</t>
        </is>
      </c>
      <c r="AE149" s="653" t="inlineStr">
        <is>
          <t>BLUE ROOF RENTALS LLC</t>
        </is>
      </c>
      <c r="AF149" s="653" t="inlineStr">
        <is>
          <t>RALEIGH LUCAS</t>
        </is>
      </c>
      <c r="AI149" s="605">
        <f>IF(AND($E149=Subj_OccCode,Subj_BldgSF&gt;0,ABS($L149-Subj_BldgSF)&lt;=Subj_BldgSF*Subj_SizeTol),ABS($L149-Subj_BldgSF),NA())</f>
        <v/>
      </c>
      <c r="AJ149">
        <f>IF(ISNA(AI149),NA(),AI149+ROW()/10000000)</f>
        <v/>
      </c>
      <c r="AK149" s="605">
        <f>IF(AND(ISNUMBER($N149),$N149&gt;0,ISNUMBER($Y149)),$Y149/$N149,"")</f>
        <v/>
      </c>
    </row>
    <row r="150" ht="15" customHeight="1" s="545">
      <c r="A150" s="388" t="n">
        <v>7</v>
      </c>
      <c r="B150" s="605" t="n">
        <v>142</v>
      </c>
      <c r="C150" s="605" t="inlineStr">
        <is>
          <t>R0114828</t>
        </is>
      </c>
      <c r="D150" s="605" t="inlineStr">
        <is>
          <t>8700 GRANT ST</t>
        </is>
      </c>
      <c r="E150" s="605" t="n">
        <v>344</v>
      </c>
      <c r="F150" s="605" t="inlineStr">
        <is>
          <t>THORNTON</t>
        </is>
      </c>
      <c r="G150" s="605" t="inlineStr">
        <is>
          <t>4</t>
        </is>
      </c>
      <c r="H150" s="59">
        <f>Y150/J150</f>
        <v/>
      </c>
      <c r="I150" s="389" t="n">
        <v>44838</v>
      </c>
      <c r="J150" s="605" t="n">
        <v>20636</v>
      </c>
      <c r="K150" s="59" t="n"/>
      <c r="L150" s="605" t="n">
        <v>20636</v>
      </c>
      <c r="M150" s="605" t="n">
        <v>1985</v>
      </c>
      <c r="P150" s="605" t="inlineStr">
        <is>
          <t>Business Park</t>
        </is>
      </c>
      <c r="R150" s="152" t="inlineStr">
        <is>
          <t>Average</t>
        </is>
      </c>
      <c r="S150" s="605" t="n">
        <v>54189</v>
      </c>
      <c r="T150" s="390">
        <f>S150/L150</f>
        <v/>
      </c>
      <c r="U150" s="605" t="inlineStr">
        <is>
          <t>Average</t>
        </is>
      </c>
      <c r="V150" s="390" t="n"/>
      <c r="W150" s="390" t="n"/>
      <c r="X150" s="390" t="n"/>
      <c r="Y150" s="60" t="n">
        <v>2500000</v>
      </c>
      <c r="Z150" s="60" t="n"/>
      <c r="AA150" s="60" t="n">
        <v>2500000</v>
      </c>
      <c r="AB150" s="60" t="n"/>
      <c r="AC150" s="605" t="inlineStr">
        <is>
          <t>0171927114006</t>
        </is>
      </c>
      <c r="AD150" s="605" t="inlineStr">
        <is>
          <t>2022000082393</t>
        </is>
      </c>
      <c r="AE150" s="653" t="inlineStr">
        <is>
          <t>MLS PROPERTIES LLC</t>
        </is>
      </c>
      <c r="AF150" s="653" t="inlineStr">
        <is>
          <t>GRANT PROPERTY LLC</t>
        </is>
      </c>
      <c r="AI150" s="605">
        <f>IF(AND($E150=Subj_OccCode,Subj_BldgSF&gt;0,ABS($L150-Subj_BldgSF)&lt;=Subj_BldgSF*Subj_SizeTol),ABS($L150-Subj_BldgSF),NA())</f>
        <v/>
      </c>
      <c r="AJ150">
        <f>IF(ISNA(AI150),NA(),AI150+ROW()/10000000)</f>
        <v/>
      </c>
      <c r="AK150" s="605">
        <f>IF(AND(ISNUMBER($N150),$N150&gt;0,ISNUMBER($Y150)),$Y150/$N150,"")</f>
        <v/>
      </c>
    </row>
    <row r="151" ht="15" customHeight="1" s="545">
      <c r="A151" s="388" t="n">
        <v>7</v>
      </c>
      <c r="B151" s="605" t="n">
        <v>143</v>
      </c>
      <c r="C151" s="605" t="inlineStr">
        <is>
          <t>R0133774</t>
        </is>
      </c>
      <c r="D151" s="605" t="inlineStr">
        <is>
          <t>6301 BROADWAY ST</t>
        </is>
      </c>
      <c r="E151" s="605" t="n">
        <v>407</v>
      </c>
      <c r="G151" s="605" t="inlineStr">
        <is>
          <t>5</t>
        </is>
      </c>
      <c r="H151" s="59">
        <f>Y151/J151</f>
        <v/>
      </c>
      <c r="I151" s="389" t="n">
        <v>44909</v>
      </c>
      <c r="J151" s="605" t="n">
        <v>38808</v>
      </c>
      <c r="K151" s="59" t="n"/>
      <c r="L151" s="605" t="n">
        <v>38808</v>
      </c>
      <c r="M151" s="605" t="n">
        <v>1972</v>
      </c>
      <c r="P151" s="605" t="inlineStr">
        <is>
          <t>Industrial</t>
        </is>
      </c>
      <c r="R151" s="152" t="inlineStr">
        <is>
          <t>Average</t>
        </is>
      </c>
      <c r="S151" s="605" t="n">
        <v>139566.24</v>
      </c>
      <c r="T151" s="390">
        <f>S151/L151</f>
        <v/>
      </c>
      <c r="U151" s="605" t="inlineStr">
        <is>
          <t>Average</t>
        </is>
      </c>
      <c r="V151" s="390" t="n"/>
      <c r="W151" s="390" t="n"/>
      <c r="X151" s="390" t="n"/>
      <c r="Y151" s="60" t="n">
        <v>6500000</v>
      </c>
      <c r="Z151" s="60" t="n"/>
      <c r="AA151" s="60" t="n">
        <v>6500000</v>
      </c>
      <c r="AB151" s="60" t="n"/>
      <c r="AC151" s="605" t="inlineStr">
        <is>
          <t>0182510204003</t>
        </is>
      </c>
      <c r="AD151" s="605" t="inlineStr">
        <is>
          <t>2022000097182</t>
        </is>
      </c>
      <c r="AE151" s="653" t="inlineStr">
        <is>
          <t>DIESEL FORWARD INC</t>
        </is>
      </c>
      <c r="AF151" s="653" t="inlineStr">
        <is>
          <t>6301 BROADWAY INVESTMENT LLC</t>
        </is>
      </c>
      <c r="AI151" s="605">
        <f>IF(AND($E151=Subj_OccCode,Subj_BldgSF&gt;0,ABS($L151-Subj_BldgSF)&lt;=Subj_BldgSF*Subj_SizeTol),ABS($L151-Subj_BldgSF),NA())</f>
        <v/>
      </c>
      <c r="AJ151">
        <f>IF(ISNA(AI151),NA(),AI151+ROW()/10000000)</f>
        <v/>
      </c>
      <c r="AK151" s="605">
        <f>IF(AND(ISNUMBER($N151),$N151&gt;0,ISNUMBER($Y151)),$Y151/$N151,"")</f>
        <v/>
      </c>
    </row>
    <row r="152" ht="15" customHeight="1" s="545">
      <c r="A152" s="388" t="n">
        <v>7</v>
      </c>
      <c r="B152" s="605" t="n">
        <v>144</v>
      </c>
      <c r="C152" s="605" t="inlineStr">
        <is>
          <t>R0051129</t>
        </is>
      </c>
      <c r="D152" s="605" t="inlineStr">
        <is>
          <t>9150 HURON ST</t>
        </is>
      </c>
      <c r="E152" s="605" t="n">
        <v>442</v>
      </c>
      <c r="F152" s="605" t="inlineStr">
        <is>
          <t>THORNTON</t>
        </is>
      </c>
      <c r="G152" s="605" t="inlineStr">
        <is>
          <t>4</t>
        </is>
      </c>
      <c r="H152" s="59">
        <f>Y152/J152</f>
        <v/>
      </c>
      <c r="I152" s="389" t="n">
        <v>44974</v>
      </c>
      <c r="J152" s="605" t="n">
        <v>3050</v>
      </c>
      <c r="K152" s="59" t="n"/>
      <c r="L152" s="605" t="n">
        <v>3050</v>
      </c>
      <c r="M152" s="605" t="n">
        <v>1970</v>
      </c>
      <c r="P152" s="605" t="inlineStr">
        <is>
          <t>Community Retail</t>
        </is>
      </c>
      <c r="R152" s="152" t="inlineStr">
        <is>
          <t>Average</t>
        </is>
      </c>
      <c r="S152" s="605" t="n">
        <v>33000</v>
      </c>
      <c r="T152" s="390">
        <f>S152/L152</f>
        <v/>
      </c>
      <c r="U152" s="605" t="inlineStr">
        <is>
          <t>Average</t>
        </is>
      </c>
      <c r="V152" s="390" t="n"/>
      <c r="W152" s="390" t="n"/>
      <c r="X152" s="390" t="n"/>
      <c r="Y152" s="60" t="n">
        <v>1350000</v>
      </c>
      <c r="Z152" s="60" t="n"/>
      <c r="AA152" s="60" t="n">
        <v>1350000</v>
      </c>
      <c r="AB152" s="60" t="n"/>
      <c r="AC152" s="605" t="inlineStr">
        <is>
          <t>0171922302004</t>
        </is>
      </c>
      <c r="AD152" s="605" t="inlineStr">
        <is>
          <t>2023000009052</t>
        </is>
      </c>
      <c r="AE152" s="653" t="inlineStr">
        <is>
          <t>RUBY AMOR INVESTMENTS LLC</t>
        </is>
      </c>
      <c r="AF152" s="653" t="inlineStr">
        <is>
          <t>GOMEZ PRICSILIANO</t>
        </is>
      </c>
      <c r="AI152" s="605">
        <f>IF(AND($E152=Subj_OccCode,Subj_BldgSF&gt;0,ABS($L152-Subj_BldgSF)&lt;=Subj_BldgSF*Subj_SizeTol),ABS($L152-Subj_BldgSF),NA())</f>
        <v/>
      </c>
      <c r="AJ152">
        <f>IF(ISNA(AI152),NA(),AI152+ROW()/10000000)</f>
        <v/>
      </c>
      <c r="AK152" s="605">
        <f>IF(AND(ISNUMBER($N152),$N152&gt;0,ISNUMBER($Y152)),$Y152/$N152,"")</f>
        <v/>
      </c>
    </row>
    <row r="153" ht="15" customHeight="1" s="545">
      <c r="A153" s="388" t="n">
        <v>7</v>
      </c>
      <c r="B153" s="605" t="n">
        <v>145</v>
      </c>
      <c r="C153" s="605" t="inlineStr">
        <is>
          <t>R0063286</t>
        </is>
      </c>
      <c r="D153" s="605" t="inlineStr">
        <is>
          <t>8020 SHERIDAN BLVD</t>
        </is>
      </c>
      <c r="E153" s="605" t="n">
        <v>381</v>
      </c>
      <c r="F153" s="605" t="inlineStr">
        <is>
          <t>WESTMINSTER</t>
        </is>
      </c>
      <c r="G153" s="605" t="inlineStr">
        <is>
          <t>4</t>
        </is>
      </c>
      <c r="H153" s="59">
        <f>Y153/J153</f>
        <v/>
      </c>
      <c r="I153" s="389" t="n">
        <v>45033</v>
      </c>
      <c r="J153" s="605" t="n">
        <v>2000</v>
      </c>
      <c r="K153" s="59" t="n"/>
      <c r="L153" s="605" t="n">
        <v>2000</v>
      </c>
      <c r="M153" s="605" t="n">
        <v>1979</v>
      </c>
      <c r="P153" s="605" t="inlineStr">
        <is>
          <t>C-1-Wes</t>
        </is>
      </c>
      <c r="R153" s="152" t="inlineStr">
        <is>
          <t>Average</t>
        </is>
      </c>
      <c r="S153" s="605" t="n">
        <v>7195</v>
      </c>
      <c r="T153" s="390">
        <f>S153/L153</f>
        <v/>
      </c>
      <c r="U153" s="605" t="inlineStr">
        <is>
          <t>Average</t>
        </is>
      </c>
      <c r="V153" s="390" t="n"/>
      <c r="W153" s="390" t="n"/>
      <c r="X153" s="390" t="n"/>
      <c r="Y153" s="60" t="n">
        <v>850000</v>
      </c>
      <c r="Z153" s="60" t="n"/>
      <c r="AA153" s="60" t="n">
        <v>850000</v>
      </c>
      <c r="AB153" s="60" t="n"/>
      <c r="AC153" s="605" t="inlineStr">
        <is>
          <t>0171930320007</t>
        </is>
      </c>
      <c r="AD153" s="605" t="inlineStr">
        <is>
          <t>2023000021042</t>
        </is>
      </c>
      <c r="AE153" s="653" t="inlineStr">
        <is>
          <t>BERMAN ANDREW P</t>
        </is>
      </c>
      <c r="AF153" s="653" t="inlineStr">
        <is>
          <t>WF-CA SHERIDAN &amp; 80TH LLC</t>
        </is>
      </c>
      <c r="AI153" s="605">
        <f>IF(AND($E153=Subj_OccCode,Subj_BldgSF&gt;0,ABS($L153-Subj_BldgSF)&lt;=Subj_BldgSF*Subj_SizeTol),ABS($L153-Subj_BldgSF),NA())</f>
        <v/>
      </c>
      <c r="AJ153">
        <f>IF(ISNA(AI153),NA(),AI153+ROW()/10000000)</f>
        <v/>
      </c>
      <c r="AK153" s="605">
        <f>IF(AND(ISNUMBER($N153),$N153&gt;0,ISNUMBER($Y153)),$Y153/$N153,"")</f>
        <v/>
      </c>
    </row>
    <row r="154" ht="15" customHeight="1" s="545">
      <c r="A154" s="388" t="n">
        <v>7</v>
      </c>
      <c r="B154" s="605" t="n">
        <v>146</v>
      </c>
      <c r="C154" s="605" t="inlineStr">
        <is>
          <t>R0095571</t>
        </is>
      </c>
      <c r="D154" s="605" t="inlineStr">
        <is>
          <t>9848 E 17TH AVE</t>
        </is>
      </c>
      <c r="E154" s="605" t="n">
        <v>309</v>
      </c>
      <c r="F154" s="605" t="inlineStr">
        <is>
          <t>AURORA</t>
        </is>
      </c>
      <c r="G154" s="605" t="inlineStr">
        <is>
          <t>6</t>
        </is>
      </c>
      <c r="H154" s="59">
        <f>Y154/J154</f>
        <v/>
      </c>
      <c r="I154" s="389" t="n">
        <v>45184</v>
      </c>
      <c r="J154" s="605" t="n">
        <v>1352</v>
      </c>
      <c r="K154" s="59" t="n"/>
      <c r="L154" s="605" t="n">
        <v>1352</v>
      </c>
      <c r="M154" s="605" t="n">
        <v>1930</v>
      </c>
      <c r="P154" s="605" t="inlineStr">
        <is>
          <t>OA-MS</t>
        </is>
      </c>
      <c r="R154" s="152" t="inlineStr">
        <is>
          <t>Good</t>
        </is>
      </c>
      <c r="S154" s="605" t="n">
        <v>10357</v>
      </c>
      <c r="T154" s="390">
        <f>S154/L154</f>
        <v/>
      </c>
      <c r="U154" s="605" t="inlineStr">
        <is>
          <t>Good</t>
        </is>
      </c>
      <c r="V154" s="390" t="n"/>
      <c r="W154" s="390" t="n"/>
      <c r="X154" s="390" t="n"/>
      <c r="Y154" s="60" t="n">
        <v>599000</v>
      </c>
      <c r="Z154" s="60" t="n"/>
      <c r="AA154" s="60" t="n">
        <v>599000</v>
      </c>
      <c r="AB154" s="60" t="n"/>
      <c r="AC154" s="605" t="inlineStr">
        <is>
          <t>0182334422006</t>
        </is>
      </c>
      <c r="AD154" s="605" t="inlineStr">
        <is>
          <t>2023000053044</t>
        </is>
      </c>
      <c r="AE154" s="653" t="inlineStr">
        <is>
          <t>IGLESIA DE DIOS PENTECOSTAL M. I.</t>
        </is>
      </c>
      <c r="AF154" s="653" t="inlineStr">
        <is>
          <t>ELLA AURORA LLC</t>
        </is>
      </c>
      <c r="AI154" s="605">
        <f>IF(AND($E154=Subj_OccCode,Subj_BldgSF&gt;0,ABS($L154-Subj_BldgSF)&lt;=Subj_BldgSF*Subj_SizeTol),ABS($L154-Subj_BldgSF),NA())</f>
        <v/>
      </c>
      <c r="AJ154">
        <f>IF(ISNA(AI154),NA(),AI154+ROW()/10000000)</f>
        <v/>
      </c>
      <c r="AK154" s="605">
        <f>IF(AND(ISNUMBER($N154),$N154&gt;0,ISNUMBER($Y154)),$Y154/$N154,"")</f>
        <v/>
      </c>
    </row>
    <row r="155" ht="15" customHeight="1" s="545">
      <c r="A155" s="388" t="n">
        <v>7</v>
      </c>
      <c r="B155" s="605" t="n">
        <v>147</v>
      </c>
      <c r="C155" s="605" t="inlineStr">
        <is>
          <t>R0113805</t>
        </is>
      </c>
      <c r="D155" s="605" t="inlineStr">
        <is>
          <t>17 N 12TH AVE</t>
        </is>
      </c>
      <c r="E155" s="605" t="n">
        <v>353</v>
      </c>
      <c r="F155" s="605" t="inlineStr">
        <is>
          <t>BRIGHTON</t>
        </is>
      </c>
      <c r="G155" s="605" t="inlineStr">
        <is>
          <t>2</t>
        </is>
      </c>
      <c r="H155" s="59">
        <f>Y155/J155</f>
        <v/>
      </c>
      <c r="I155" s="389" t="n">
        <v>45174</v>
      </c>
      <c r="J155" s="605" t="n">
        <v>4612</v>
      </c>
      <c r="K155" s="59" t="n"/>
      <c r="L155" s="605" t="n">
        <v>4612</v>
      </c>
      <c r="M155" s="605" t="n">
        <v>1944</v>
      </c>
      <c r="P155" s="605" t="inlineStr">
        <is>
          <t>C-2-Bri</t>
        </is>
      </c>
      <c r="R155" s="152" t="inlineStr">
        <is>
          <t>Average</t>
        </is>
      </c>
      <c r="S155" s="605" t="n">
        <v>12624</v>
      </c>
      <c r="T155" s="390">
        <f>S155/L155</f>
        <v/>
      </c>
      <c r="U155" s="605" t="inlineStr">
        <is>
          <t>Average</t>
        </is>
      </c>
      <c r="V155" s="390" t="n"/>
      <c r="W155" s="390" t="n"/>
      <c r="X155" s="390" t="n"/>
      <c r="Y155" s="60" t="n">
        <v>900000</v>
      </c>
      <c r="Z155" s="60" t="n"/>
      <c r="AA155" s="60" t="n">
        <v>900000</v>
      </c>
      <c r="AB155" s="60" t="n"/>
      <c r="AC155" s="605" t="inlineStr">
        <is>
          <t>0156905300036</t>
        </is>
      </c>
      <c r="AD155" s="605" t="inlineStr">
        <is>
          <t>2023000050942</t>
        </is>
      </c>
      <c r="AE155" s="653" t="inlineStr">
        <is>
          <t>17 N 12 LLC</t>
        </is>
      </c>
      <c r="AF155" s="653" t="inlineStr">
        <is>
          <t>CBCB HOLDINDS LLC</t>
        </is>
      </c>
      <c r="AI155" s="605">
        <f>IF(AND($E155=Subj_OccCode,Subj_BldgSF&gt;0,ABS($L155-Subj_BldgSF)&lt;=Subj_BldgSF*Subj_SizeTol),ABS($L155-Subj_BldgSF),NA())</f>
        <v/>
      </c>
      <c r="AJ155">
        <f>IF(ISNA(AI155),NA(),AI155+ROW()/10000000)</f>
        <v/>
      </c>
      <c r="AK155" s="605">
        <f>IF(AND(ISNUMBER($N155),$N155&gt;0,ISNUMBER($Y155)),$Y155/$N155,"")</f>
        <v/>
      </c>
    </row>
    <row r="156" ht="15" customHeight="1" s="545">
      <c r="A156" s="388" t="n">
        <v>7</v>
      </c>
      <c r="B156" s="605" t="n">
        <v>148</v>
      </c>
      <c r="C156" s="605" t="inlineStr">
        <is>
          <t>R0147985</t>
        </is>
      </c>
      <c r="D156" s="605" t="inlineStr">
        <is>
          <t>15800 E 40TH AVE</t>
        </is>
      </c>
      <c r="E156" s="605" t="n">
        <v>407</v>
      </c>
      <c r="F156" s="605" t="inlineStr">
        <is>
          <t>AURORA</t>
        </is>
      </c>
      <c r="G156" s="605" t="inlineStr">
        <is>
          <t>6</t>
        </is>
      </c>
      <c r="H156" s="59">
        <f>Y156/J156</f>
        <v/>
      </c>
      <c r="I156" s="389" t="n">
        <v>45412</v>
      </c>
      <c r="J156" s="605" t="n">
        <v>75000</v>
      </c>
      <c r="K156" s="59" t="n"/>
      <c r="L156" s="605" t="n">
        <v>75000</v>
      </c>
      <c r="M156" s="605" t="n">
        <v>2003</v>
      </c>
      <c r="P156" s="605" t="inlineStr">
        <is>
          <t>PD</t>
        </is>
      </c>
      <c r="R156" s="152" t="inlineStr">
        <is>
          <t>Average</t>
        </is>
      </c>
      <c r="S156" s="605" t="n">
        <v>415287.97</v>
      </c>
      <c r="T156" s="390">
        <f>S156/L156</f>
        <v/>
      </c>
      <c r="U156" s="605" t="inlineStr">
        <is>
          <t>Average</t>
        </is>
      </c>
      <c r="V156" s="390" t="n"/>
      <c r="W156" s="390" t="n"/>
      <c r="X156" s="390" t="n"/>
      <c r="Y156" s="60" t="n">
        <v>11625000</v>
      </c>
      <c r="Z156" s="60" t="n"/>
      <c r="AA156" s="60" t="n">
        <v>11625000</v>
      </c>
      <c r="AB156" s="60" t="n"/>
      <c r="AC156" s="605" t="inlineStr">
        <is>
          <t>0182120301001</t>
        </is>
      </c>
      <c r="AD156" s="605" t="inlineStr">
        <is>
          <t>2024000022608</t>
        </is>
      </c>
      <c r="AE156" s="653" t="inlineStr">
        <is>
          <t>SHALOM REALTY  (AURORA CENTER I AT GATEWAY COLORADO), C/O DALFEN INDUSTRIAL LLC</t>
        </is>
      </c>
      <c r="AF156" s="653" t="inlineStr">
        <is>
          <t>JAMM PROPERTIES LIMITED LLC</t>
        </is>
      </c>
      <c r="AI156" s="605">
        <f>IF(AND($E156=Subj_OccCode,Subj_BldgSF&gt;0,ABS($L156-Subj_BldgSF)&lt;=Subj_BldgSF*Subj_SizeTol),ABS($L156-Subj_BldgSF),NA())</f>
        <v/>
      </c>
      <c r="AJ156">
        <f>IF(ISNA(AI156),NA(),AI156+ROW()/10000000)</f>
        <v/>
      </c>
      <c r="AK156" s="605">
        <f>IF(AND(ISNUMBER($N156),$N156&gt;0,ISNUMBER($Y156)),$Y156/$N156,"")</f>
        <v/>
      </c>
    </row>
    <row r="157" ht="15" customHeight="1" s="545">
      <c r="A157" s="388" t="n">
        <v>7</v>
      </c>
      <c r="B157" s="605" t="n">
        <v>149</v>
      </c>
      <c r="C157" s="605" t="inlineStr">
        <is>
          <t>R0191667</t>
        </is>
      </c>
      <c r="D157" s="605" t="inlineStr">
        <is>
          <t>8799 BRIGHTON BLVD</t>
        </is>
      </c>
      <c r="E157" s="605" t="n">
        <v>531</v>
      </c>
      <c r="F157" s="605" t="inlineStr">
        <is>
          <t>COMMERCE CITY</t>
        </is>
      </c>
      <c r="G157" s="605" t="inlineStr">
        <is>
          <t>5</t>
        </is>
      </c>
      <c r="H157" s="59">
        <f>Y157/J157</f>
        <v/>
      </c>
      <c r="I157" s="389" t="n">
        <v>44750</v>
      </c>
      <c r="J157" s="605" t="n">
        <v>1242</v>
      </c>
      <c r="K157" s="59" t="n"/>
      <c r="L157" s="605" t="n">
        <v>1242</v>
      </c>
      <c r="M157" s="605" t="n">
        <v>2017</v>
      </c>
      <c r="R157" s="152" t="inlineStr">
        <is>
          <t>Average</t>
        </is>
      </c>
      <c r="S157" s="605" t="n">
        <v>70867</v>
      </c>
      <c r="T157" s="390">
        <f>S157/L157</f>
        <v/>
      </c>
      <c r="U157" s="605" t="inlineStr">
        <is>
          <t>Average</t>
        </is>
      </c>
      <c r="V157" s="390" t="n"/>
      <c r="W157" s="390" t="n"/>
      <c r="X157" s="390" t="n"/>
      <c r="Y157" s="60" t="n">
        <v>1925000</v>
      </c>
      <c r="Z157" s="60" t="n"/>
      <c r="AA157" s="60" t="n">
        <v>1925000</v>
      </c>
      <c r="AB157" s="60" t="n"/>
      <c r="AC157" s="605" t="inlineStr">
        <is>
          <t>0172120403001</t>
        </is>
      </c>
      <c r="AD157" s="605" t="inlineStr">
        <is>
          <t>2022000059892</t>
        </is>
      </c>
      <c r="AE157" s="653" t="inlineStr">
        <is>
          <t>ACA 88 LLC</t>
        </is>
      </c>
      <c r="AF157" s="653" t="inlineStr">
        <is>
          <t>JEREMY FEIN INC</t>
        </is>
      </c>
      <c r="AI157" s="605">
        <f>IF(AND($E157=Subj_OccCode,Subj_BldgSF&gt;0,ABS($L157-Subj_BldgSF)&lt;=Subj_BldgSF*Subj_SizeTol),ABS($L157-Subj_BldgSF),NA())</f>
        <v/>
      </c>
      <c r="AJ157">
        <f>IF(ISNA(AI157),NA(),AI157+ROW()/10000000)</f>
        <v/>
      </c>
      <c r="AK157" s="605">
        <f>IF(AND(ISNUMBER($N157),$N157&gt;0,ISNUMBER($Y157)),$Y157/$N157,"")</f>
        <v/>
      </c>
    </row>
    <row r="158" ht="15" customHeight="1" s="545">
      <c r="A158" s="388" t="n">
        <v>7</v>
      </c>
      <c r="B158" s="605" t="n">
        <v>150</v>
      </c>
      <c r="C158" s="605" t="inlineStr">
        <is>
          <t>R0208790</t>
        </is>
      </c>
      <c r="D158" s="605" t="inlineStr">
        <is>
          <t>5120 VIOLET HILL #N1-3</t>
        </is>
      </c>
      <c r="E158" s="605" t="n">
        <v>328</v>
      </c>
      <c r="G158" s="605" t="inlineStr">
        <is>
          <t>1</t>
        </is>
      </c>
      <c r="H158" s="59">
        <f>Y158/J158</f>
        <v/>
      </c>
      <c r="I158" s="389" t="n">
        <v>45106</v>
      </c>
      <c r="J158" s="605" t="n">
        <v>2270</v>
      </c>
      <c r="K158" s="59" t="n"/>
      <c r="L158" s="605" t="n">
        <v>2270</v>
      </c>
      <c r="R158" s="152" t="inlineStr">
        <is>
          <t>Average</t>
        </is>
      </c>
      <c r="T158" s="390">
        <f>S158/L158</f>
        <v/>
      </c>
      <c r="U158" s="605" t="inlineStr">
        <is>
          <t>Average</t>
        </is>
      </c>
      <c r="V158" s="390" t="n"/>
      <c r="W158" s="390" t="n"/>
      <c r="X158" s="390" t="n"/>
      <c r="Y158" s="60" t="n">
        <v>240000</v>
      </c>
      <c r="Z158" s="60" t="n"/>
      <c r="AA158" s="60" t="n">
        <v>240000</v>
      </c>
      <c r="AB158" s="60" t="n"/>
      <c r="AC158" s="605" t="inlineStr">
        <is>
          <t>0181716411020</t>
        </is>
      </c>
      <c r="AD158" s="605" t="inlineStr">
        <is>
          <t>2023000036702</t>
        </is>
      </c>
      <c r="AE158" s="653" t="inlineStr">
        <is>
          <t>GEE KYLE</t>
        </is>
      </c>
      <c r="AF158" s="653" t="inlineStr">
        <is>
          <t>AMUNDSON JEFFREY AND, AMUNDSON RICHELLE</t>
        </is>
      </c>
      <c r="AI158" s="605">
        <f>IF(AND($E158=Subj_OccCode,Subj_BldgSF&gt;0,ABS($L158-Subj_BldgSF)&lt;=Subj_BldgSF*Subj_SizeTol),ABS($L158-Subj_BldgSF),NA())</f>
        <v/>
      </c>
      <c r="AJ158">
        <f>IF(ISNA(AI158),NA(),AI158+ROW()/10000000)</f>
        <v/>
      </c>
      <c r="AK158" s="605">
        <f>IF(AND(ISNUMBER($N158),$N158&gt;0,ISNUMBER($Y158)),$Y158/$N158,"")</f>
        <v/>
      </c>
    </row>
    <row r="159" ht="15" customHeight="1" s="545">
      <c r="A159" s="388" t="n">
        <v>7</v>
      </c>
      <c r="B159" s="605" t="n">
        <v>151</v>
      </c>
      <c r="C159" s="605" t="inlineStr">
        <is>
          <t>R0213028</t>
        </is>
      </c>
      <c r="D159" s="605" t="inlineStr">
        <is>
          <t>903 S 8TH AVE</t>
        </is>
      </c>
      <c r="E159" s="605" t="n">
        <v>446</v>
      </c>
      <c r="F159" s="605" t="inlineStr">
        <is>
          <t>BRIGHTON</t>
        </is>
      </c>
      <c r="G159" s="605" t="inlineStr">
        <is>
          <t>2</t>
        </is>
      </c>
      <c r="H159" s="59">
        <f>Y159/J159</f>
        <v/>
      </c>
      <c r="I159" s="389" t="n">
        <v>44854</v>
      </c>
      <c r="J159" s="605" t="n">
        <v>13108</v>
      </c>
      <c r="K159" s="59" t="n"/>
      <c r="L159" s="605" t="n">
        <v>13108</v>
      </c>
      <c r="M159" s="605" t="n">
        <v>2022</v>
      </c>
      <c r="R159" s="152" t="inlineStr">
        <is>
          <t>Average</t>
        </is>
      </c>
      <c r="S159" s="605" t="n">
        <v>57805</v>
      </c>
      <c r="T159" s="390">
        <f>S159/L159</f>
        <v/>
      </c>
      <c r="U159" s="605" t="inlineStr">
        <is>
          <t>Average</t>
        </is>
      </c>
      <c r="V159" s="390" t="n"/>
      <c r="W159" s="390" t="n"/>
      <c r="X159" s="390" t="n"/>
      <c r="Y159" s="60" t="n">
        <v>7200000</v>
      </c>
      <c r="Z159" s="60" t="n"/>
      <c r="AA159" s="60" t="n">
        <v>7200000</v>
      </c>
      <c r="AB159" s="60" t="n"/>
      <c r="AC159" s="605" t="inlineStr">
        <is>
          <t>0156918102011</t>
        </is>
      </c>
      <c r="AD159" s="605" t="inlineStr">
        <is>
          <t>2022000086189</t>
        </is>
      </c>
      <c r="AE159" s="653" t="inlineStr">
        <is>
          <t>EVC BRIGHTON LLC</t>
        </is>
      </c>
      <c r="AF159" s="653" t="inlineStr">
        <is>
          <t>NG BRIGHTON HOLDINGS LLC</t>
        </is>
      </c>
      <c r="AI159" s="605">
        <f>IF(AND($E159=Subj_OccCode,Subj_BldgSF&gt;0,ABS($L159-Subj_BldgSF)&lt;=Subj_BldgSF*Subj_SizeTol),ABS($L159-Subj_BldgSF),NA())</f>
        <v/>
      </c>
      <c r="AJ159">
        <f>IF(ISNA(AI159),NA(),AI159+ROW()/10000000)</f>
        <v/>
      </c>
      <c r="AK159" s="605">
        <f>IF(AND(ISNUMBER($N159),$N159&gt;0,ISNUMBER($Y159)),$Y159/$N159,"")</f>
        <v/>
      </c>
    </row>
    <row r="160" ht="15" customHeight="1" s="545">
      <c r="A160" s="388" t="n">
        <v>7</v>
      </c>
      <c r="B160" s="605" t="n">
        <v>152</v>
      </c>
      <c r="C160" s="605" t="inlineStr">
        <is>
          <t>R0217175</t>
        </is>
      </c>
      <c r="D160" s="605" t="inlineStr">
        <is>
          <t>13551 QUEBEC ST</t>
        </is>
      </c>
      <c r="E160" s="605" t="n">
        <v>353</v>
      </c>
      <c r="F160" s="605" t="inlineStr">
        <is>
          <t>THORNTON</t>
        </is>
      </c>
      <c r="G160" s="605" t="inlineStr">
        <is>
          <t>3</t>
        </is>
      </c>
      <c r="H160" s="59">
        <f>Y160/J160</f>
        <v/>
      </c>
      <c r="I160" s="389" t="n">
        <v>45470</v>
      </c>
      <c r="J160" s="605" t="n">
        <v>4183</v>
      </c>
      <c r="K160" s="59" t="n"/>
      <c r="L160" s="605" t="n">
        <v>4183</v>
      </c>
      <c r="M160" s="605" t="n">
        <v>2023</v>
      </c>
      <c r="R160" s="152" t="inlineStr">
        <is>
          <t>Average</t>
        </is>
      </c>
      <c r="S160" s="605" t="n">
        <v>25512</v>
      </c>
      <c r="T160" s="390">
        <f>S160/L160</f>
        <v/>
      </c>
      <c r="U160" s="605" t="inlineStr">
        <is>
          <t>Average</t>
        </is>
      </c>
      <c r="V160" s="390" t="n"/>
      <c r="W160" s="390" t="n"/>
      <c r="X160" s="390" t="n"/>
      <c r="Y160" s="60" t="n">
        <v>3175000</v>
      </c>
      <c r="Z160" s="60" t="n"/>
      <c r="AA160" s="60" t="n">
        <v>3175000</v>
      </c>
      <c r="AB160" s="60" t="n"/>
      <c r="AC160" s="605" t="inlineStr">
        <is>
          <t>0157129113126</t>
        </is>
      </c>
      <c r="AD160" s="605" t="inlineStr">
        <is>
          <t>2024000035541</t>
        </is>
      </c>
      <c r="AE160" s="653" t="inlineStr">
        <is>
          <t>WDG AMBER CREEK LLC</t>
        </is>
      </c>
      <c r="AF160" s="653" t="inlineStr">
        <is>
          <t>BOERE JOHN AND, BOERE DENISE</t>
        </is>
      </c>
      <c r="AI160" s="605">
        <f>IF(AND($E160=Subj_OccCode,Subj_BldgSF&gt;0,ABS($L160-Subj_BldgSF)&lt;=Subj_BldgSF*Subj_SizeTol),ABS($L160-Subj_BldgSF),NA())</f>
        <v/>
      </c>
      <c r="AJ160">
        <f>IF(ISNA(AI160),NA(),AI160+ROW()/10000000)</f>
        <v/>
      </c>
      <c r="AK160" s="605">
        <f>IF(AND(ISNUMBER($N160),$N160&gt;0,ISNUMBER($Y160)),$Y160/$N160,"")</f>
        <v/>
      </c>
    </row>
    <row r="161" ht="15" customHeight="1" s="545">
      <c r="A161" s="388" t="n">
        <v>7</v>
      </c>
      <c r="B161" s="605" t="n">
        <v>153</v>
      </c>
      <c r="C161" s="605" t="inlineStr">
        <is>
          <t>R0222670</t>
        </is>
      </c>
      <c r="D161" s="605" t="inlineStr">
        <is>
          <t>37851 E 51ST AVE #W3</t>
        </is>
      </c>
      <c r="E161" s="605" t="n">
        <v>328</v>
      </c>
      <c r="G161" s="605" t="inlineStr">
        <is>
          <t>1</t>
        </is>
      </c>
      <c r="H161" s="59">
        <f>Y161/J161</f>
        <v/>
      </c>
      <c r="I161" s="389" t="n">
        <v>45390</v>
      </c>
      <c r="J161" s="605" t="n">
        <v>2930</v>
      </c>
      <c r="K161" s="59" t="n"/>
      <c r="L161" s="605" t="n">
        <v>2930</v>
      </c>
      <c r="M161" s="605" t="n">
        <v>2024</v>
      </c>
      <c r="R161" s="152" t="inlineStr">
        <is>
          <t>Average</t>
        </is>
      </c>
      <c r="T161" s="390">
        <f>S161/L161</f>
        <v/>
      </c>
      <c r="U161" s="605" t="inlineStr">
        <is>
          <t>Average</t>
        </is>
      </c>
      <c r="V161" s="390" t="n"/>
      <c r="W161" s="390" t="n"/>
      <c r="X161" s="390" t="n"/>
      <c r="Y161" s="60" t="n">
        <v>318611</v>
      </c>
      <c r="Z161" s="60" t="n"/>
      <c r="AA161" s="60" t="n">
        <v>318611</v>
      </c>
      <c r="AB161" s="60" t="n"/>
      <c r="AC161" s="605" t="inlineStr">
        <is>
          <t>0181715300028</t>
        </is>
      </c>
      <c r="AD161" s="605" t="inlineStr">
        <is>
          <t>2024000024056</t>
        </is>
      </c>
      <c r="AE161" s="653" t="inlineStr">
        <is>
          <t>37851 51ST AVE HANGAR OWNERS ASSOCIATION INC</t>
        </is>
      </c>
      <c r="AF161" s="653" t="inlineStr">
        <is>
          <t>ROMEO HANGAR ASSOCIATION LLC</t>
        </is>
      </c>
      <c r="AI161" s="605">
        <f>IF(AND($E161=Subj_OccCode,Subj_BldgSF&gt;0,ABS($L161-Subj_BldgSF)&lt;=Subj_BldgSF*Subj_SizeTol),ABS($L161-Subj_BldgSF),NA())</f>
        <v/>
      </c>
      <c r="AJ161">
        <f>IF(ISNA(AI161),NA(),AI161+ROW()/10000000)</f>
        <v/>
      </c>
      <c r="AK161" s="605">
        <f>IF(AND(ISNUMBER($N161),$N161&gt;0,ISNUMBER($Y161)),$Y161/$N161,"")</f>
        <v/>
      </c>
    </row>
    <row r="162" ht="15" customHeight="1" s="545">
      <c r="A162" s="388" t="n">
        <v>7</v>
      </c>
      <c r="B162" s="605" t="n">
        <v>154</v>
      </c>
      <c r="C162" s="605" t="inlineStr">
        <is>
          <t>R0222677</t>
        </is>
      </c>
      <c r="D162" s="605" t="inlineStr">
        <is>
          <t>37851 E 51ST AVE #E8</t>
        </is>
      </c>
      <c r="E162" s="605" t="n">
        <v>328</v>
      </c>
      <c r="G162" s="605" t="inlineStr">
        <is>
          <t>1</t>
        </is>
      </c>
      <c r="H162" s="59">
        <f>Y162/J162</f>
        <v/>
      </c>
      <c r="I162" s="389" t="n">
        <v>45390</v>
      </c>
      <c r="J162" s="605" t="n">
        <v>2930</v>
      </c>
      <c r="K162" s="59" t="n"/>
      <c r="L162" s="605" t="n">
        <v>2930</v>
      </c>
      <c r="M162" s="605" t="n">
        <v>2024</v>
      </c>
      <c r="R162" s="152" t="inlineStr">
        <is>
          <t>Average</t>
        </is>
      </c>
      <c r="T162" s="390">
        <f>S162/L162</f>
        <v/>
      </c>
      <c r="U162" s="605" t="inlineStr">
        <is>
          <t>Average</t>
        </is>
      </c>
      <c r="V162" s="390" t="n"/>
      <c r="W162" s="390" t="n"/>
      <c r="X162" s="390" t="n"/>
      <c r="Y162" s="60" t="n">
        <v>305259</v>
      </c>
      <c r="Z162" s="60" t="n"/>
      <c r="AA162" s="60" t="n">
        <v>305259</v>
      </c>
      <c r="AB162" s="60" t="n"/>
      <c r="AC162" s="605" t="inlineStr">
        <is>
          <t>0181715300035</t>
        </is>
      </c>
      <c r="AD162" s="605" t="inlineStr">
        <is>
          <t>2024000022635</t>
        </is>
      </c>
      <c r="AE162" s="653" t="inlineStr">
        <is>
          <t>37851 51ST AVE HANGAR OWNERS ASSOCIATION INC</t>
        </is>
      </c>
      <c r="AF162" s="653" t="inlineStr">
        <is>
          <t>HASH WILLARD G</t>
        </is>
      </c>
      <c r="AI162" s="605">
        <f>IF(AND($E162=Subj_OccCode,Subj_BldgSF&gt;0,ABS($L162-Subj_BldgSF)&lt;=Subj_BldgSF*Subj_SizeTol),ABS($L162-Subj_BldgSF),NA())</f>
        <v/>
      </c>
      <c r="AJ162">
        <f>IF(ISNA(AI162),NA(),AI162+ROW()/10000000)</f>
        <v/>
      </c>
      <c r="AK162" s="605">
        <f>IF(AND(ISNUMBER($N162),$N162&gt;0,ISNUMBER($Y162)),$Y162/$N162,"")</f>
        <v/>
      </c>
    </row>
    <row r="163" ht="15" customHeight="1" s="545">
      <c r="A163" s="388" t="n">
        <v>7</v>
      </c>
      <c r="B163" s="605" t="n">
        <v>155</v>
      </c>
      <c r="C163" s="605" t="inlineStr">
        <is>
          <t>R0222679</t>
        </is>
      </c>
      <c r="D163" s="605" t="inlineStr">
        <is>
          <t>37851 E 51ST AVE #E4</t>
        </is>
      </c>
      <c r="E163" s="605" t="n">
        <v>328</v>
      </c>
      <c r="G163" s="605" t="inlineStr">
        <is>
          <t>1</t>
        </is>
      </c>
      <c r="H163" s="59">
        <f>Y163/J163</f>
        <v/>
      </c>
      <c r="I163" s="389" t="n">
        <v>45390</v>
      </c>
      <c r="J163" s="605" t="n">
        <v>2930</v>
      </c>
      <c r="K163" s="59" t="n"/>
      <c r="L163" s="605" t="n">
        <v>2930</v>
      </c>
      <c r="M163" s="605" t="n">
        <v>2024</v>
      </c>
      <c r="R163" s="152" t="inlineStr">
        <is>
          <t>Average</t>
        </is>
      </c>
      <c r="T163" s="390">
        <f>S163/L163</f>
        <v/>
      </c>
      <c r="U163" s="605" t="inlineStr">
        <is>
          <t>Average</t>
        </is>
      </c>
      <c r="V163" s="390" t="n"/>
      <c r="W163" s="390" t="n"/>
      <c r="X163" s="390" t="n"/>
      <c r="Y163" s="60" t="n">
        <v>336119</v>
      </c>
      <c r="Z163" s="60" t="n"/>
      <c r="AA163" s="60" t="n">
        <v>336119</v>
      </c>
      <c r="AB163" s="60" t="n"/>
      <c r="AC163" s="605" t="inlineStr">
        <is>
          <t>0181715300037</t>
        </is>
      </c>
      <c r="AD163" s="605" t="inlineStr">
        <is>
          <t>2024000024080</t>
        </is>
      </c>
      <c r="AE163" s="653" t="inlineStr">
        <is>
          <t>37851 51ST AVE HANGAR OWNERS ASSOCIATION INC</t>
        </is>
      </c>
      <c r="AF163" s="653" t="inlineStr">
        <is>
          <t>THE FISH AND MARYC LIVING TRUST</t>
        </is>
      </c>
      <c r="AI163" s="605">
        <f>IF(AND($E163=Subj_OccCode,Subj_BldgSF&gt;0,ABS($L163-Subj_BldgSF)&lt;=Subj_BldgSF*Subj_SizeTol),ABS($L163-Subj_BldgSF),NA())</f>
        <v/>
      </c>
      <c r="AJ163">
        <f>IF(ISNA(AI163),NA(),AI163+ROW()/10000000)</f>
        <v/>
      </c>
      <c r="AK163" s="605">
        <f>IF(AND(ISNUMBER($N163),$N163&gt;0,ISNUMBER($Y163)),$Y163/$N163,"")</f>
        <v/>
      </c>
    </row>
    <row r="164" ht="15" customHeight="1" s="545">
      <c r="A164" s="388" t="n">
        <v>7</v>
      </c>
      <c r="B164" s="605" t="n">
        <v>156</v>
      </c>
      <c r="C164" s="605" t="inlineStr">
        <is>
          <t>R0222680</t>
        </is>
      </c>
      <c r="D164" s="605" t="inlineStr">
        <is>
          <t>37851 E 51ST AVE #E2</t>
        </is>
      </c>
      <c r="E164" s="605" t="n">
        <v>328</v>
      </c>
      <c r="G164" s="605" t="inlineStr">
        <is>
          <t>1</t>
        </is>
      </c>
      <c r="H164" s="59">
        <f>Y164/J164</f>
        <v/>
      </c>
      <c r="I164" s="389" t="n">
        <v>45390</v>
      </c>
      <c r="J164" s="605" t="n">
        <v>2930</v>
      </c>
      <c r="K164" s="59" t="n"/>
      <c r="L164" s="605" t="n">
        <v>2930</v>
      </c>
      <c r="M164" s="605" t="n">
        <v>2024</v>
      </c>
      <c r="R164" s="152" t="inlineStr">
        <is>
          <t>Average</t>
        </is>
      </c>
      <c r="T164" s="390">
        <f>S164/L164</f>
        <v/>
      </c>
      <c r="U164" s="605" t="inlineStr">
        <is>
          <t>Average</t>
        </is>
      </c>
      <c r="V164" s="390" t="n"/>
      <c r="W164" s="390" t="n"/>
      <c r="X164" s="390" t="n"/>
      <c r="Y164" s="60" t="n">
        <v>294174</v>
      </c>
      <c r="Z164" s="60" t="n"/>
      <c r="AA164" s="60" t="n">
        <v>294174</v>
      </c>
      <c r="AB164" s="60" t="n"/>
      <c r="AC164" s="605" t="inlineStr">
        <is>
          <t>0181715300038</t>
        </is>
      </c>
      <c r="AD164" s="605" t="inlineStr">
        <is>
          <t>2024000022536</t>
        </is>
      </c>
      <c r="AE164" s="653" t="inlineStr">
        <is>
          <t>37851 51ST AVE HANGAR OWNERS ASSOCIATION INC</t>
        </is>
      </c>
      <c r="AF164" s="653" t="inlineStr">
        <is>
          <t>HORIZON AVIATION LLC</t>
        </is>
      </c>
      <c r="AI164" s="605">
        <f>IF(AND($E164=Subj_OccCode,Subj_BldgSF&gt;0,ABS($L164-Subj_BldgSF)&lt;=Subj_BldgSF*Subj_SizeTol),ABS($L164-Subj_BldgSF),NA())</f>
        <v/>
      </c>
      <c r="AJ164">
        <f>IF(ISNA(AI164),NA(),AI164+ROW()/10000000)</f>
        <v/>
      </c>
      <c r="AK164" s="605">
        <f>IF(AND(ISNUMBER($N164),$N164&gt;0,ISNUMBER($Y164)),$Y164/$N164,"")</f>
        <v/>
      </c>
    </row>
    <row r="165" ht="15" customHeight="1" s="545">
      <c r="A165" s="388" t="n">
        <v>7</v>
      </c>
      <c r="B165" s="605" t="n">
        <v>157</v>
      </c>
      <c r="C165" s="605" t="inlineStr">
        <is>
          <t>R0223485</t>
        </is>
      </c>
      <c r="D165" s="605" t="inlineStr">
        <is>
          <t>9658 HAVANA ST #B06</t>
        </is>
      </c>
      <c r="E165" s="605" t="n">
        <v>425</v>
      </c>
      <c r="F165" s="605" t="inlineStr">
        <is>
          <t>COMMERCE CITY</t>
        </is>
      </c>
      <c r="G165" s="605" t="inlineStr">
        <is>
          <t>5</t>
        </is>
      </c>
      <c r="H165" s="59">
        <f>Y165/J165</f>
        <v/>
      </c>
      <c r="I165" s="389" t="n">
        <v>45377</v>
      </c>
      <c r="J165" s="605" t="n">
        <v>16800</v>
      </c>
      <c r="K165" s="59" t="n"/>
      <c r="L165" s="605" t="n">
        <v>16800</v>
      </c>
      <c r="M165" s="605" t="n">
        <v>2023</v>
      </c>
      <c r="R165" s="152" t="inlineStr">
        <is>
          <t>Average</t>
        </is>
      </c>
      <c r="S165" s="605" t="n">
        <v>2674</v>
      </c>
      <c r="T165" s="390">
        <f>S165/L165</f>
        <v/>
      </c>
      <c r="U165" s="605" t="inlineStr">
        <is>
          <t>Average</t>
        </is>
      </c>
      <c r="V165" s="390" t="n"/>
      <c r="W165" s="390" t="n"/>
      <c r="X165" s="390" t="n"/>
      <c r="Y165" s="60" t="n">
        <v>282000</v>
      </c>
      <c r="Z165" s="60" t="n"/>
      <c r="AA165" s="60" t="n">
        <v>282000</v>
      </c>
      <c r="AB165" s="60" t="n"/>
      <c r="AC165" s="605" t="inlineStr">
        <is>
          <t>0172115405046</t>
        </is>
      </c>
      <c r="AD165" s="605" t="inlineStr">
        <is>
          <t>2024000015534</t>
        </is>
      </c>
      <c r="AE165" s="653" t="inlineStr">
        <is>
          <t>THE GARAGE SOCIETY HOLDINGS LLC</t>
        </is>
      </c>
      <c r="AF165" s="653" t="inlineStr">
        <is>
          <t xml:space="preserve">ZHANG ZI SHAO AND, CHEUNG JENNY WEI </t>
        </is>
      </c>
      <c r="AI165" s="605">
        <f>IF(AND($E165=Subj_OccCode,Subj_BldgSF&gt;0,ABS($L165-Subj_BldgSF)&lt;=Subj_BldgSF*Subj_SizeTol),ABS($L165-Subj_BldgSF),NA())</f>
        <v/>
      </c>
      <c r="AJ165">
        <f>IF(ISNA(AI165),NA(),AI165+ROW()/10000000)</f>
        <v/>
      </c>
      <c r="AK165" s="605">
        <f>IF(AND(ISNUMBER($N165),$N165&gt;0,ISNUMBER($Y165)),$Y165/$N165,"")</f>
        <v/>
      </c>
    </row>
    <row r="166" ht="15" customHeight="1" s="545">
      <c r="A166" s="388" t="n">
        <v>7</v>
      </c>
      <c r="B166" s="605" t="n">
        <v>158</v>
      </c>
      <c r="C166" s="605" t="inlineStr">
        <is>
          <t>R0001910</t>
        </is>
      </c>
      <c r="D166" s="605" t="inlineStr">
        <is>
          <t>1181 BRIDGE ST</t>
        </is>
      </c>
      <c r="E166" s="605" t="n">
        <v>3441</v>
      </c>
      <c r="F166" s="605" t="inlineStr">
        <is>
          <t>BRIGHTON</t>
        </is>
      </c>
      <c r="G166" s="605" t="inlineStr">
        <is>
          <t>2</t>
        </is>
      </c>
      <c r="H166" s="59">
        <f>Y166/J166</f>
        <v/>
      </c>
      <c r="I166" s="389" t="n">
        <v>45078</v>
      </c>
      <c r="J166" s="605" t="n">
        <v>890</v>
      </c>
      <c r="K166" s="59" t="n"/>
      <c r="L166" s="605" t="n">
        <v>890</v>
      </c>
      <c r="M166" s="605" t="n">
        <v>1949</v>
      </c>
      <c r="P166" s="605" t="inlineStr">
        <is>
          <t>C-2-Bri</t>
        </is>
      </c>
      <c r="R166" s="152" t="inlineStr">
        <is>
          <t>Average</t>
        </is>
      </c>
      <c r="S166" s="605" t="n">
        <v>6098</v>
      </c>
      <c r="T166" s="390">
        <f>S166/L166</f>
        <v/>
      </c>
      <c r="U166" s="605" t="inlineStr">
        <is>
          <t>Average</t>
        </is>
      </c>
      <c r="V166" s="390" t="n"/>
      <c r="W166" s="390" t="n"/>
      <c r="X166" s="390" t="n"/>
      <c r="Y166" s="60" t="n">
        <v>345000</v>
      </c>
      <c r="Z166" s="60" t="n"/>
      <c r="AA166" s="60" t="n">
        <v>344000</v>
      </c>
      <c r="AB166" s="60" t="n"/>
      <c r="AC166" s="605" t="inlineStr">
        <is>
          <t>0156905300011</t>
        </is>
      </c>
      <c r="AD166" s="605" t="inlineStr">
        <is>
          <t>2023000031295</t>
        </is>
      </c>
      <c r="AE166" s="653" t="inlineStr">
        <is>
          <t>GREYSON HOLDINGS LLC</t>
        </is>
      </c>
      <c r="AF166" s="653" t="inlineStr">
        <is>
          <t>PEAK RE HOLDINGS LLC</t>
        </is>
      </c>
      <c r="AI166" s="605">
        <f>IF(AND($E166=Subj_OccCode,Subj_BldgSF&gt;0,ABS($L166-Subj_BldgSF)&lt;=Subj_BldgSF*Subj_SizeTol),ABS($L166-Subj_BldgSF),NA())</f>
        <v/>
      </c>
      <c r="AJ166">
        <f>IF(ISNA(AI166),NA(),AI166+ROW()/10000000)</f>
        <v/>
      </c>
      <c r="AK166" s="605">
        <f>IF(AND(ISNUMBER($N166),$N166&gt;0,ISNUMBER($Y166)),$Y166/$N166,"")</f>
        <v/>
      </c>
    </row>
    <row r="167" ht="15" customHeight="1" s="545">
      <c r="A167" s="388" t="n">
        <v>7</v>
      </c>
      <c r="B167" s="605" t="n">
        <v>159</v>
      </c>
      <c r="C167" s="605" t="inlineStr">
        <is>
          <t>R0037116</t>
        </is>
      </c>
      <c r="D167" s="605" t="inlineStr">
        <is>
          <t>11184 HURON ST #16</t>
        </is>
      </c>
      <c r="E167" s="605" t="n">
        <v>1344</v>
      </c>
      <c r="F167" s="605" t="inlineStr">
        <is>
          <t>NORTHGLENN</t>
        </is>
      </c>
      <c r="G167" s="605" t="inlineStr">
        <is>
          <t>4</t>
        </is>
      </c>
      <c r="H167" s="59">
        <f>Y167/J167</f>
        <v/>
      </c>
      <c r="I167" s="389" t="n">
        <v>44816</v>
      </c>
      <c r="J167" s="605" t="n">
        <v>84375</v>
      </c>
      <c r="K167" s="59" t="n"/>
      <c r="L167" s="605" t="n">
        <v>84375</v>
      </c>
      <c r="M167" s="605" t="n">
        <v>1984</v>
      </c>
      <c r="P167" s="605" t="inlineStr">
        <is>
          <t>C-3-Nor</t>
        </is>
      </c>
      <c r="R167" s="152" t="inlineStr">
        <is>
          <t>Average</t>
        </is>
      </c>
      <c r="S167" s="605" t="n">
        <v>1108</v>
      </c>
      <c r="T167" s="390">
        <f>S167/L167</f>
        <v/>
      </c>
      <c r="U167" s="605" t="inlineStr">
        <is>
          <t>Average</t>
        </is>
      </c>
      <c r="V167" s="390" t="n"/>
      <c r="W167" s="390" t="n"/>
      <c r="X167" s="390" t="n"/>
      <c r="Y167" s="60" t="n">
        <v>285000</v>
      </c>
      <c r="Z167" s="60" t="n"/>
      <c r="AA167" s="60" t="n">
        <v>285000</v>
      </c>
      <c r="AB167" s="60" t="n"/>
      <c r="AC167" s="605" t="inlineStr">
        <is>
          <t>0171910217016</t>
        </is>
      </c>
      <c r="AD167" s="605" t="inlineStr">
        <is>
          <t>2022000076569</t>
        </is>
      </c>
      <c r="AE167" s="653" t="inlineStr">
        <is>
          <t>CONNER PAUL S</t>
        </is>
      </c>
      <c r="AF167" s="653" t="inlineStr">
        <is>
          <t>BELK DENISE L</t>
        </is>
      </c>
      <c r="AI167" s="605">
        <f>IF(AND($E167=Subj_OccCode,Subj_BldgSF&gt;0,ABS($L167-Subj_BldgSF)&lt;=Subj_BldgSF*Subj_SizeTol),ABS($L167-Subj_BldgSF),NA())</f>
        <v/>
      </c>
      <c r="AJ167">
        <f>IF(ISNA(AI167),NA(),AI167+ROW()/10000000)</f>
        <v/>
      </c>
      <c r="AK167" s="605">
        <f>IF(AND(ISNUMBER($N167),$N167&gt;0,ISNUMBER($Y167)),$Y167/$N167,"")</f>
        <v/>
      </c>
    </row>
    <row r="168" ht="15" customHeight="1" s="545">
      <c r="A168" s="388" t="n">
        <v>7</v>
      </c>
      <c r="B168" s="605" t="n">
        <v>160</v>
      </c>
      <c r="C168" s="605" t="inlineStr">
        <is>
          <t>R0058375</t>
        </is>
      </c>
      <c r="D168" s="605" t="inlineStr">
        <is>
          <t>8451 DELAWARE ST</t>
        </is>
      </c>
      <c r="E168" s="605" t="n">
        <v>344</v>
      </c>
      <c r="F168" s="605" t="inlineStr">
        <is>
          <t>THORNTON</t>
        </is>
      </c>
      <c r="G168" s="605" t="inlineStr">
        <is>
          <t>4</t>
        </is>
      </c>
      <c r="H168" s="59">
        <f>Y168/J168</f>
        <v/>
      </c>
      <c r="I168" s="389" t="n">
        <v>45415</v>
      </c>
      <c r="J168" s="605" t="n">
        <v>2250</v>
      </c>
      <c r="K168" s="59" t="n"/>
      <c r="L168" s="605" t="n">
        <v>2250</v>
      </c>
      <c r="M168" s="605" t="n">
        <v>1964</v>
      </c>
      <c r="P168" s="605" t="inlineStr">
        <is>
          <t>Community Retail</t>
        </is>
      </c>
      <c r="R168" s="152" t="inlineStr">
        <is>
          <t>Average</t>
        </is>
      </c>
      <c r="S168" s="605" t="n">
        <v>16335</v>
      </c>
      <c r="T168" s="390">
        <f>S168/L168</f>
        <v/>
      </c>
      <c r="U168" s="605" t="inlineStr">
        <is>
          <t>Average</t>
        </is>
      </c>
      <c r="V168" s="390" t="n"/>
      <c r="W168" s="390" t="n"/>
      <c r="X168" s="390" t="n"/>
      <c r="Y168" s="60" t="n">
        <v>465000</v>
      </c>
      <c r="Z168" s="60" t="n"/>
      <c r="AA168" s="60" t="n">
        <v>465000</v>
      </c>
      <c r="AB168" s="60" t="n"/>
      <c r="AC168" s="605" t="inlineStr">
        <is>
          <t>0171927211001</t>
        </is>
      </c>
      <c r="AD168" s="605" t="inlineStr">
        <is>
          <t>2024000024013</t>
        </is>
      </c>
      <c r="AE168" s="653" t="inlineStr">
        <is>
          <t>8451 DELAWARE STREET LLC</t>
        </is>
      </c>
      <c r="AF168" s="653" t="inlineStr">
        <is>
          <t>SAELEE THORNTON LLC</t>
        </is>
      </c>
      <c r="AI168" s="605">
        <f>IF(AND($E168=Subj_OccCode,Subj_BldgSF&gt;0,ABS($L168-Subj_BldgSF)&lt;=Subj_BldgSF*Subj_SizeTol),ABS($L168-Subj_BldgSF),NA())</f>
        <v/>
      </c>
      <c r="AJ168">
        <f>IF(ISNA(AI168),NA(),AI168+ROW()/10000000)</f>
        <v/>
      </c>
      <c r="AK168" s="605">
        <f>IF(AND(ISNUMBER($N168),$N168&gt;0,ISNUMBER($Y168)),$Y168/$N168,"")</f>
        <v/>
      </c>
    </row>
    <row r="169" ht="15" customHeight="1" s="545">
      <c r="A169" s="388" t="n">
        <v>7</v>
      </c>
      <c r="B169" s="605" t="n">
        <v>161</v>
      </c>
      <c r="C169" s="605" t="inlineStr">
        <is>
          <t>R0141094</t>
        </is>
      </c>
      <c r="D169" s="605" t="inlineStr">
        <is>
          <t>37700 CESNA WAY #6W</t>
        </is>
      </c>
      <c r="E169" s="605" t="n">
        <v>328</v>
      </c>
      <c r="G169" s="605" t="inlineStr">
        <is>
          <t>1</t>
        </is>
      </c>
      <c r="H169" s="59">
        <f>Y169/J169</f>
        <v/>
      </c>
      <c r="I169" s="389" t="n">
        <v>45065</v>
      </c>
      <c r="J169" s="605" t="n">
        <v>2900</v>
      </c>
      <c r="K169" s="59" t="n"/>
      <c r="L169" s="605" t="n">
        <v>2900</v>
      </c>
      <c r="M169" s="605" t="n">
        <v>2001</v>
      </c>
      <c r="R169" s="152" t="inlineStr">
        <is>
          <t>Average</t>
        </is>
      </c>
      <c r="T169" s="390">
        <f>S169/L169</f>
        <v/>
      </c>
      <c r="U169" s="605" t="inlineStr">
        <is>
          <t>Average</t>
        </is>
      </c>
      <c r="V169" s="390" t="n"/>
      <c r="W169" s="390" t="n"/>
      <c r="X169" s="390" t="n"/>
      <c r="Y169" s="60" t="n">
        <v>362500</v>
      </c>
      <c r="Z169" s="60" t="n"/>
      <c r="AA169" s="60" t="n">
        <v>362500</v>
      </c>
      <c r="AB169" s="60" t="n"/>
      <c r="AC169" s="605" t="inlineStr">
        <is>
          <t>0181715201010</t>
        </is>
      </c>
      <c r="AD169" s="605" t="inlineStr">
        <is>
          <t>2023000030516</t>
        </is>
      </c>
      <c r="AE169" s="653" t="inlineStr">
        <is>
          <t>MUTZIG STEVEN M</t>
        </is>
      </c>
      <c r="AF169" s="653" t="inlineStr">
        <is>
          <t>KODIAK BRANDS INC</t>
        </is>
      </c>
      <c r="AI169" s="605">
        <f>IF(AND($E169=Subj_OccCode,Subj_BldgSF&gt;0,ABS($L169-Subj_BldgSF)&lt;=Subj_BldgSF*Subj_SizeTol),ABS($L169-Subj_BldgSF),NA())</f>
        <v/>
      </c>
      <c r="AJ169">
        <f>IF(ISNA(AI169),NA(),AI169+ROW()/10000000)</f>
        <v/>
      </c>
      <c r="AK169" s="605">
        <f>IF(AND(ISNUMBER($N169),$N169&gt;0,ISNUMBER($Y169)),$Y169/$N169,"")</f>
        <v/>
      </c>
    </row>
    <row r="170" ht="15" customHeight="1" s="545">
      <c r="A170" s="388" t="n">
        <v>7</v>
      </c>
      <c r="B170" s="605" t="n">
        <v>162</v>
      </c>
      <c r="C170" s="605" t="inlineStr">
        <is>
          <t>R0161867</t>
        </is>
      </c>
      <c r="D170" s="605" t="inlineStr">
        <is>
          <t>37701 E 51ST AVE #3E</t>
        </is>
      </c>
      <c r="E170" s="605" t="n">
        <v>328</v>
      </c>
      <c r="G170" s="605" t="inlineStr">
        <is>
          <t>1</t>
        </is>
      </c>
      <c r="H170" s="59">
        <f>Y170/J170</f>
        <v/>
      </c>
      <c r="I170" s="389" t="n">
        <v>45176</v>
      </c>
      <c r="J170" s="605" t="n">
        <v>2875</v>
      </c>
      <c r="K170" s="59" t="n"/>
      <c r="L170" s="605" t="n">
        <v>2875</v>
      </c>
      <c r="M170" s="605" t="n">
        <v>2004</v>
      </c>
      <c r="R170" s="152" t="inlineStr">
        <is>
          <t>Average</t>
        </is>
      </c>
      <c r="T170" s="390">
        <f>S170/L170</f>
        <v/>
      </c>
      <c r="U170" s="605" t="inlineStr">
        <is>
          <t>Average</t>
        </is>
      </c>
      <c r="V170" s="390" t="n"/>
      <c r="W170" s="390" t="n"/>
      <c r="X170" s="390" t="n"/>
      <c r="Y170" s="60" t="n">
        <v>310000</v>
      </c>
      <c r="Z170" s="60" t="n"/>
      <c r="AA170" s="60" t="n">
        <v>310000</v>
      </c>
      <c r="AB170" s="60" t="n"/>
      <c r="AC170" s="605" t="inlineStr">
        <is>
          <t>0181715307006</t>
        </is>
      </c>
      <c r="AD170" s="605" t="inlineStr">
        <is>
          <t>2023000051510</t>
        </is>
      </c>
      <c r="AE170" s="653" t="inlineStr">
        <is>
          <t>E AND E INVESTMENTS INC, C/O DAVID ENGBRECHT</t>
        </is>
      </c>
      <c r="AF170" s="653" t="inlineStr">
        <is>
          <t>SPACEPORT 3 EAST LLC</t>
        </is>
      </c>
      <c r="AI170" s="605">
        <f>IF(AND($E170=Subj_OccCode,Subj_BldgSF&gt;0,ABS($L170-Subj_BldgSF)&lt;=Subj_BldgSF*Subj_SizeTol),ABS($L170-Subj_BldgSF),NA())</f>
        <v/>
      </c>
      <c r="AJ170">
        <f>IF(ISNA(AI170),NA(),AI170+ROW()/10000000)</f>
        <v/>
      </c>
      <c r="AK170" s="605">
        <f>IF(AND(ISNUMBER($N170),$N170&gt;0,ISNUMBER($Y170)),$Y170/$N170,"")</f>
        <v/>
      </c>
    </row>
    <row r="171" ht="15" customHeight="1" s="545">
      <c r="A171" s="388" t="n">
        <v>7</v>
      </c>
      <c r="B171" s="605" t="n">
        <v>163</v>
      </c>
      <c r="C171" s="605" t="inlineStr">
        <is>
          <t>R0178320</t>
        </is>
      </c>
      <c r="D171" s="605" t="inlineStr">
        <is>
          <t>2551 E 120TH AVE</t>
        </is>
      </c>
      <c r="E171" s="605" t="n">
        <v>353</v>
      </c>
      <c r="F171" s="605" t="inlineStr">
        <is>
          <t>THORNTON</t>
        </is>
      </c>
      <c r="G171" s="605" t="inlineStr">
        <is>
          <t>3</t>
        </is>
      </c>
      <c r="H171" s="59">
        <f>Y171/J171</f>
        <v/>
      </c>
      <c r="I171" s="389" t="n">
        <v>45033</v>
      </c>
      <c r="J171" s="605" t="n">
        <v>4050</v>
      </c>
      <c r="K171" s="59" t="n"/>
      <c r="L171" s="605" t="n">
        <v>4050</v>
      </c>
      <c r="M171" s="605" t="n">
        <v>2000</v>
      </c>
      <c r="P171" s="605" t="inlineStr">
        <is>
          <t>Community Retail</t>
        </is>
      </c>
      <c r="R171" s="152" t="inlineStr">
        <is>
          <t>Average</t>
        </is>
      </c>
      <c r="S171" s="605" t="n">
        <v>19306</v>
      </c>
      <c r="T171" s="390">
        <f>S171/L171</f>
        <v/>
      </c>
      <c r="U171" s="605" t="inlineStr">
        <is>
          <t>Average</t>
        </is>
      </c>
      <c r="V171" s="390" t="n"/>
      <c r="W171" s="390" t="n"/>
      <c r="X171" s="390" t="n"/>
      <c r="Y171" s="60" t="n">
        <v>1125000</v>
      </c>
      <c r="Z171" s="60" t="n"/>
      <c r="AA171" s="60" t="n">
        <v>1125000</v>
      </c>
      <c r="AB171" s="60" t="n"/>
      <c r="AC171" s="605" t="inlineStr">
        <is>
          <t>0157336309073</t>
        </is>
      </c>
      <c r="AD171" s="605" t="inlineStr">
        <is>
          <t>2023000022215</t>
        </is>
      </c>
      <c r="AE171" s="653" t="inlineStr">
        <is>
          <t>PAC PROPERTIES LLC</t>
        </is>
      </c>
      <c r="AF171" s="653" t="inlineStr">
        <is>
          <t>DADDY DANKZ INC</t>
        </is>
      </c>
      <c r="AI171" s="605">
        <f>IF(AND($E171=Subj_OccCode,Subj_BldgSF&gt;0,ABS($L171-Subj_BldgSF)&lt;=Subj_BldgSF*Subj_SizeTol),ABS($L171-Subj_BldgSF),NA())</f>
        <v/>
      </c>
      <c r="AJ171">
        <f>IF(ISNA(AI171),NA(),AI171+ROW()/10000000)</f>
        <v/>
      </c>
      <c r="AK171" s="605">
        <f>IF(AND(ISNUMBER($N171),$N171&gt;0,ISNUMBER($Y171)),$Y171/$N171,"")</f>
        <v/>
      </c>
    </row>
    <row r="172" ht="15" customHeight="1" s="545">
      <c r="A172" s="388" t="n">
        <v>7</v>
      </c>
      <c r="B172" s="605" t="n">
        <v>164</v>
      </c>
      <c r="C172" s="605" t="inlineStr">
        <is>
          <t>R0181762</t>
        </is>
      </c>
      <c r="D172" s="605" t="inlineStr">
        <is>
          <t>100 E 120TH AVE</t>
        </is>
      </c>
      <c r="E172" s="605" t="n">
        <v>350</v>
      </c>
      <c r="F172" s="605" t="inlineStr">
        <is>
          <t>NORTHGLENN</t>
        </is>
      </c>
      <c r="G172" s="605" t="inlineStr">
        <is>
          <t>4</t>
        </is>
      </c>
      <c r="H172" s="59">
        <f>Y172/J172</f>
        <v/>
      </c>
      <c r="I172" s="389" t="n">
        <v>44797</v>
      </c>
      <c r="J172" s="605" t="n">
        <v>5246</v>
      </c>
      <c r="K172" s="59" t="n"/>
      <c r="L172" s="605" t="n">
        <v>5246</v>
      </c>
      <c r="M172" s="605" t="n">
        <v>2014</v>
      </c>
      <c r="P172" s="605" t="inlineStr">
        <is>
          <t>PUD-Nor</t>
        </is>
      </c>
      <c r="R172" s="152" t="inlineStr">
        <is>
          <t>Good</t>
        </is>
      </c>
      <c r="S172" s="605" t="n">
        <v>61903</v>
      </c>
      <c r="T172" s="390">
        <f>S172/L172</f>
        <v/>
      </c>
      <c r="U172" s="605" t="inlineStr">
        <is>
          <t>Good</t>
        </is>
      </c>
      <c r="V172" s="390" t="n"/>
      <c r="W172" s="390" t="n"/>
      <c r="X172" s="390" t="n"/>
      <c r="Y172" s="60" t="n">
        <v>1650000</v>
      </c>
      <c r="Z172" s="60" t="n"/>
      <c r="AA172" s="60" t="n">
        <v>1650000</v>
      </c>
      <c r="AB172" s="60" t="n"/>
      <c r="AC172" s="605" t="inlineStr">
        <is>
          <t>0171903109009</t>
        </is>
      </c>
      <c r="AD172" s="605" t="inlineStr">
        <is>
          <t>2022000071951</t>
        </is>
      </c>
      <c r="AE172" s="653" t="inlineStr">
        <is>
          <t>J AND N DENVER IV LLC</t>
        </is>
      </c>
      <c r="AF172" s="653" t="inlineStr">
        <is>
          <t>LOS DOS POTRILLOS COCINA Y CANTINA-NORTHGLENN LLC</t>
        </is>
      </c>
      <c r="AI172" s="605">
        <f>IF(AND($E172=Subj_OccCode,Subj_BldgSF&gt;0,ABS($L172-Subj_BldgSF)&lt;=Subj_BldgSF*Subj_SizeTol),ABS($L172-Subj_BldgSF),NA())</f>
        <v/>
      </c>
      <c r="AJ172">
        <f>IF(ISNA(AI172),NA(),AI172+ROW()/10000000)</f>
        <v/>
      </c>
      <c r="AK172" s="605">
        <f>IF(AND(ISNUMBER($N172),$N172&gt;0,ISNUMBER($Y172)),$Y172/$N172,"")</f>
        <v/>
      </c>
    </row>
    <row r="173" ht="15" customHeight="1" s="545">
      <c r="A173" s="388" t="n">
        <v>7</v>
      </c>
      <c r="B173" s="605" t="n">
        <v>165</v>
      </c>
      <c r="C173" s="605" t="inlineStr">
        <is>
          <t>R0207368</t>
        </is>
      </c>
      <c r="D173" s="605" t="inlineStr">
        <is>
          <t>9551 WILLOW ST</t>
        </is>
      </c>
      <c r="E173" s="605" t="n">
        <v>325</v>
      </c>
      <c r="F173" s="605" t="inlineStr">
        <is>
          <t>COMMERCE CITY</t>
        </is>
      </c>
      <c r="G173" s="605" t="inlineStr">
        <is>
          <t>5</t>
        </is>
      </c>
      <c r="H173" s="59">
        <f>Y173/J173</f>
        <v/>
      </c>
      <c r="I173" s="389" t="n">
        <v>45107</v>
      </c>
      <c r="J173" s="605" t="n">
        <v>47558</v>
      </c>
      <c r="K173" s="59" t="n"/>
      <c r="L173" s="605" t="n">
        <v>47558</v>
      </c>
      <c r="M173" s="605" t="n">
        <v>2019</v>
      </c>
      <c r="R173" s="152" t="inlineStr">
        <is>
          <t>Average</t>
        </is>
      </c>
      <c r="S173" s="605" t="n">
        <v>454723</v>
      </c>
      <c r="T173" s="390">
        <f>S173/L173</f>
        <v/>
      </c>
      <c r="U173" s="605" t="inlineStr">
        <is>
          <t>Average</t>
        </is>
      </c>
      <c r="V173" s="390" t="n"/>
      <c r="W173" s="390" t="n"/>
      <c r="X173" s="390" t="n"/>
      <c r="Y173" s="60" t="n">
        <v>10500000</v>
      </c>
      <c r="Z173" s="60" t="n"/>
      <c r="AA173" s="60" t="n">
        <v>10500000</v>
      </c>
      <c r="AB173" s="60" t="n"/>
      <c r="AC173" s="605" t="inlineStr">
        <is>
          <t>0172121102015</t>
        </is>
      </c>
      <c r="AD173" s="605" t="inlineStr">
        <is>
          <t>2023000037358</t>
        </is>
      </c>
      <c r="AE173" s="653" t="inlineStr">
        <is>
          <t>SDW FAMILY PROEPRTIES LLC</t>
        </is>
      </c>
      <c r="AF173" s="653" t="inlineStr">
        <is>
          <t>DIVERSIFIED RE HOLDINGS LLC</t>
        </is>
      </c>
      <c r="AI173" s="605">
        <f>IF(AND($E173=Subj_OccCode,Subj_BldgSF&gt;0,ABS($L173-Subj_BldgSF)&lt;=Subj_BldgSF*Subj_SizeTol),ABS($L173-Subj_BldgSF),NA())</f>
        <v/>
      </c>
      <c r="AJ173">
        <f>IF(ISNA(AI173),NA(),AI173+ROW()/10000000)</f>
        <v/>
      </c>
      <c r="AK173" s="605">
        <f>IF(AND(ISNUMBER($N173),$N173&gt;0,ISNUMBER($Y173)),$Y173/$N173,"")</f>
        <v/>
      </c>
    </row>
    <row r="174" ht="15" customHeight="1" s="545">
      <c r="A174" s="388" t="n">
        <v>7</v>
      </c>
      <c r="B174" s="605" t="n">
        <v>166</v>
      </c>
      <c r="C174" s="605" t="inlineStr">
        <is>
          <t>R0213043</t>
        </is>
      </c>
      <c r="D174" s="605" t="inlineStr">
        <is>
          <t>9658 HAVANA ST #1B</t>
        </is>
      </c>
      <c r="E174" s="605" t="n">
        <v>425</v>
      </c>
      <c r="F174" s="605" t="inlineStr">
        <is>
          <t>COMMERCE CITY</t>
        </is>
      </c>
      <c r="G174" s="605" t="inlineStr">
        <is>
          <t>5</t>
        </is>
      </c>
      <c r="H174" s="59">
        <f>Y174/J174</f>
        <v/>
      </c>
      <c r="I174" s="389" t="n">
        <v>45029</v>
      </c>
      <c r="J174" s="605" t="n">
        <v>7560</v>
      </c>
      <c r="K174" s="59" t="n"/>
      <c r="L174" s="605" t="n">
        <v>7560</v>
      </c>
      <c r="M174" s="605" t="n">
        <v>2022</v>
      </c>
      <c r="R174" s="152" t="inlineStr">
        <is>
          <t>Average</t>
        </is>
      </c>
      <c r="S174" s="605" t="n">
        <v>5076</v>
      </c>
      <c r="T174" s="390">
        <f>S174/L174</f>
        <v/>
      </c>
      <c r="U174" s="605" t="inlineStr">
        <is>
          <t>Average</t>
        </is>
      </c>
      <c r="V174" s="390" t="n"/>
      <c r="W174" s="390" t="n"/>
      <c r="X174" s="390" t="n"/>
      <c r="Y174" s="60" t="n">
        <v>245000</v>
      </c>
      <c r="Z174" s="60" t="n"/>
      <c r="AA174" s="60" t="n">
        <v>245000</v>
      </c>
      <c r="AB174" s="60" t="n"/>
      <c r="AC174" s="605" t="inlineStr">
        <is>
          <t>0172115405001</t>
        </is>
      </c>
      <c r="AD174" s="605" t="inlineStr">
        <is>
          <t>2023000020171</t>
        </is>
      </c>
      <c r="AE174" s="653" t="inlineStr">
        <is>
          <t>MCAVIN ENTERPRISES LLC</t>
        </is>
      </c>
      <c r="AF174" s="653" t="inlineStr">
        <is>
          <t>FISHER DESIGNWORKS LLC DBA, SAWHORSE DEVELOPMENT LLC</t>
        </is>
      </c>
      <c r="AI174" s="605">
        <f>IF(AND($E174=Subj_OccCode,Subj_BldgSF&gt;0,ABS($L174-Subj_BldgSF)&lt;=Subj_BldgSF*Subj_SizeTol),ABS($L174-Subj_BldgSF),NA())</f>
        <v/>
      </c>
      <c r="AJ174">
        <f>IF(ISNA(AI174),NA(),AI174+ROW()/10000000)</f>
        <v/>
      </c>
      <c r="AK174" s="605">
        <f>IF(AND(ISNUMBER($N174),$N174&gt;0,ISNUMBER($Y174)),$Y174/$N174,"")</f>
        <v/>
      </c>
    </row>
    <row r="175" ht="15" customHeight="1" s="545">
      <c r="A175" s="388" t="n">
        <v>7</v>
      </c>
      <c r="B175" s="605" t="n">
        <v>167</v>
      </c>
      <c r="C175" s="605" t="inlineStr">
        <is>
          <t>R0213044</t>
        </is>
      </c>
      <c r="D175" s="605" t="inlineStr">
        <is>
          <t>9658 HAVAN ST #1C</t>
        </is>
      </c>
      <c r="E175" s="605" t="n">
        <v>425</v>
      </c>
      <c r="F175" s="605" t="inlineStr">
        <is>
          <t>COMMERCE CITY</t>
        </is>
      </c>
      <c r="G175" s="605" t="inlineStr">
        <is>
          <t>5</t>
        </is>
      </c>
      <c r="H175" s="59">
        <f>Y175/J175</f>
        <v/>
      </c>
      <c r="I175" s="389" t="n">
        <v>44760</v>
      </c>
      <c r="J175" s="605" t="n">
        <v>7560</v>
      </c>
      <c r="K175" s="59" t="n"/>
      <c r="L175" s="605" t="n">
        <v>7560</v>
      </c>
      <c r="M175" s="605" t="n">
        <v>2022</v>
      </c>
      <c r="R175" s="152" t="inlineStr">
        <is>
          <t>Average</t>
        </is>
      </c>
      <c r="S175" s="605" t="n">
        <v>0</v>
      </c>
      <c r="T175" s="390">
        <f>S175/L175</f>
        <v/>
      </c>
      <c r="U175" s="605" t="inlineStr">
        <is>
          <t>Average</t>
        </is>
      </c>
      <c r="V175" s="390" t="n"/>
      <c r="W175" s="390" t="n"/>
      <c r="X175" s="390" t="n"/>
      <c r="Y175" s="60" t="n">
        <v>270000</v>
      </c>
      <c r="Z175" s="60" t="n"/>
      <c r="AA175" s="60" t="n">
        <v>270000</v>
      </c>
      <c r="AB175" s="60" t="n"/>
      <c r="AC175" s="605" t="inlineStr">
        <is>
          <t>0172115405002</t>
        </is>
      </c>
      <c r="AD175" s="605" t="inlineStr">
        <is>
          <t>2022000062002</t>
        </is>
      </c>
      <c r="AE175" s="653" t="inlineStr">
        <is>
          <t>THE GARAGE SOCIETY HOLDINGS LLC</t>
        </is>
      </c>
      <c r="AF175" s="653" t="inlineStr">
        <is>
          <t>SLAVIC CHRISTIAN CHURCH</t>
        </is>
      </c>
      <c r="AI175" s="605">
        <f>IF(AND($E175=Subj_OccCode,Subj_BldgSF&gt;0,ABS($L175-Subj_BldgSF)&lt;=Subj_BldgSF*Subj_SizeTol),ABS($L175-Subj_BldgSF),NA())</f>
        <v/>
      </c>
      <c r="AJ175">
        <f>IF(ISNA(AI175),NA(),AI175+ROW()/10000000)</f>
        <v/>
      </c>
      <c r="AK175" s="605">
        <f>IF(AND(ISNUMBER($N175),$N175&gt;0,ISNUMBER($Y175)),$Y175/$N175,"")</f>
        <v/>
      </c>
    </row>
    <row r="176" ht="15" customHeight="1" s="545">
      <c r="A176" s="388" t="n">
        <v>7</v>
      </c>
      <c r="B176" s="605" t="n">
        <v>168</v>
      </c>
      <c r="C176" s="605" t="inlineStr">
        <is>
          <t>R0213046</t>
        </is>
      </c>
      <c r="D176" s="605" t="inlineStr">
        <is>
          <t>9658 HAVANA ST #1E</t>
        </is>
      </c>
      <c r="E176" s="605" t="n">
        <v>425</v>
      </c>
      <c r="F176" s="605" t="inlineStr">
        <is>
          <t>COMMERCE CITY</t>
        </is>
      </c>
      <c r="G176" s="605" t="inlineStr">
        <is>
          <t>5</t>
        </is>
      </c>
      <c r="H176" s="59">
        <f>Y176/J176</f>
        <v/>
      </c>
      <c r="I176" s="389" t="n">
        <v>44755</v>
      </c>
      <c r="J176" s="605" t="n">
        <v>7560</v>
      </c>
      <c r="K176" s="59" t="n"/>
      <c r="L176" s="605" t="n">
        <v>7560</v>
      </c>
      <c r="M176" s="605" t="n">
        <v>2022</v>
      </c>
      <c r="R176" s="152" t="inlineStr">
        <is>
          <t>Average</t>
        </is>
      </c>
      <c r="S176" s="605" t="n">
        <v>0</v>
      </c>
      <c r="T176" s="390">
        <f>S176/L176</f>
        <v/>
      </c>
      <c r="U176" s="605" t="inlineStr">
        <is>
          <t>Average</t>
        </is>
      </c>
      <c r="V176" s="390" t="n"/>
      <c r="W176" s="390" t="n"/>
      <c r="X176" s="390" t="n"/>
      <c r="Y176" s="60" t="n">
        <v>249750</v>
      </c>
      <c r="Z176" s="60" t="n"/>
      <c r="AA176" s="60" t="n">
        <v>249750</v>
      </c>
      <c r="AB176" s="60" t="n"/>
      <c r="AC176" s="605" t="inlineStr">
        <is>
          <t>0172115405004</t>
        </is>
      </c>
      <c r="AD176" s="605" t="inlineStr">
        <is>
          <t>2022000061238</t>
        </is>
      </c>
      <c r="AE176" s="653" t="inlineStr">
        <is>
          <t>THE GARAGE SOCIETY HOLDINGS LLC</t>
        </is>
      </c>
      <c r="AF176" s="653" t="inlineStr">
        <is>
          <t xml:space="preserve">E&amp;P QUALITY PLUMBING INC AND , E&amp;P QUALITY PLUMBING </t>
        </is>
      </c>
      <c r="AI176" s="605">
        <f>IF(AND($E176=Subj_OccCode,Subj_BldgSF&gt;0,ABS($L176-Subj_BldgSF)&lt;=Subj_BldgSF*Subj_SizeTol),ABS($L176-Subj_BldgSF),NA())</f>
        <v/>
      </c>
      <c r="AJ176">
        <f>IF(ISNA(AI176),NA(),AI176+ROW()/10000000)</f>
        <v/>
      </c>
      <c r="AK176" s="605">
        <f>IF(AND(ISNUMBER($N176),$N176&gt;0,ISNUMBER($Y176)),$Y176/$N176,"")</f>
        <v/>
      </c>
    </row>
    <row r="177" ht="15" customHeight="1" s="545">
      <c r="A177" s="388" t="n">
        <v>7</v>
      </c>
      <c r="B177" s="605" t="n">
        <v>169</v>
      </c>
      <c r="C177" s="605" t="inlineStr">
        <is>
          <t>R0222669</t>
        </is>
      </c>
      <c r="D177" s="605" t="inlineStr">
        <is>
          <t>37851 E 51ST AVE #W1</t>
        </is>
      </c>
      <c r="E177" s="605" t="n">
        <v>328</v>
      </c>
      <c r="G177" s="605" t="inlineStr">
        <is>
          <t>1</t>
        </is>
      </c>
      <c r="H177" s="59">
        <f>Y177/J177</f>
        <v/>
      </c>
      <c r="I177" s="389" t="n">
        <v>45390</v>
      </c>
      <c r="J177" s="605" t="n">
        <v>2930</v>
      </c>
      <c r="K177" s="59" t="n"/>
      <c r="L177" s="605" t="n">
        <v>2930</v>
      </c>
      <c r="M177" s="605" t="n">
        <v>2024</v>
      </c>
      <c r="R177" s="152" t="inlineStr">
        <is>
          <t>Average</t>
        </is>
      </c>
      <c r="T177" s="390">
        <f>S177/L177</f>
        <v/>
      </c>
      <c r="U177" s="605" t="inlineStr">
        <is>
          <t>Average</t>
        </is>
      </c>
      <c r="V177" s="390" t="n"/>
      <c r="W177" s="390" t="n"/>
      <c r="X177" s="390" t="n"/>
      <c r="Y177" s="60" t="n">
        <v>339243</v>
      </c>
      <c r="Z177" s="60" t="n"/>
      <c r="AA177" s="60" t="n">
        <v>339243</v>
      </c>
      <c r="AB177" s="60" t="n"/>
      <c r="AC177" s="605" t="inlineStr">
        <is>
          <t>0181715300027</t>
        </is>
      </c>
      <c r="AD177" s="605" t="inlineStr">
        <is>
          <t>2024000024075</t>
        </is>
      </c>
      <c r="AE177" s="653" t="inlineStr">
        <is>
          <t>37851 51ST AVE HANGAR OWNERS ASSOCIATION INC</t>
        </is>
      </c>
      <c r="AF177" s="653" t="inlineStr">
        <is>
          <t>ACCRETION MANAGEMENT LLC</t>
        </is>
      </c>
      <c r="AI177" s="605">
        <f>IF(AND($E177=Subj_OccCode,Subj_BldgSF&gt;0,ABS($L177-Subj_BldgSF)&lt;=Subj_BldgSF*Subj_SizeTol),ABS($L177-Subj_BldgSF),NA())</f>
        <v/>
      </c>
      <c r="AJ177">
        <f>IF(ISNA(AI177),NA(),AI177+ROW()/10000000)</f>
        <v/>
      </c>
      <c r="AK177" s="605">
        <f>IF(AND(ISNUMBER($N177),$N177&gt;0,ISNUMBER($Y177)),$Y177/$N177,"")</f>
        <v/>
      </c>
    </row>
    <row r="178" ht="15" customHeight="1" s="545">
      <c r="A178" s="388" t="n">
        <v>7</v>
      </c>
      <c r="B178" s="605" t="n">
        <v>170</v>
      </c>
      <c r="C178" s="605" t="inlineStr">
        <is>
          <t>R0222673</t>
        </is>
      </c>
      <c r="D178" s="605" t="inlineStr">
        <is>
          <t>37851 E 51ST AVE #W9</t>
        </is>
      </c>
      <c r="E178" s="605" t="n">
        <v>328</v>
      </c>
      <c r="G178" s="605" t="inlineStr">
        <is>
          <t>1</t>
        </is>
      </c>
      <c r="H178" s="59">
        <f>Y178/J178</f>
        <v/>
      </c>
      <c r="I178" s="389" t="n">
        <v>45390</v>
      </c>
      <c r="J178" s="605" t="n">
        <v>2930</v>
      </c>
      <c r="K178" s="59" t="n"/>
      <c r="L178" s="605" t="n">
        <v>2930</v>
      </c>
      <c r="M178" s="605" t="n">
        <v>2024</v>
      </c>
      <c r="R178" s="152" t="inlineStr">
        <is>
          <t>Average</t>
        </is>
      </c>
      <c r="T178" s="390">
        <f>S178/L178</f>
        <v/>
      </c>
      <c r="U178" s="605" t="inlineStr">
        <is>
          <t>Average</t>
        </is>
      </c>
      <c r="V178" s="390" t="n"/>
      <c r="W178" s="390" t="n"/>
      <c r="X178" s="390" t="n"/>
      <c r="Y178" s="60" t="n">
        <v>300259</v>
      </c>
      <c r="Z178" s="60" t="n"/>
      <c r="AA178" s="60" t="n">
        <v>300259</v>
      </c>
      <c r="AB178" s="60" t="n"/>
      <c r="AC178" s="605" t="inlineStr">
        <is>
          <t>0181715300031</t>
        </is>
      </c>
      <c r="AD178" s="605" t="inlineStr">
        <is>
          <t>2024000024085</t>
        </is>
      </c>
      <c r="AE178" s="653" t="inlineStr">
        <is>
          <t>37851 51ST AVE HANGAR OWNERS ASSOCIATION INC</t>
        </is>
      </c>
      <c r="AF178" s="653" t="inlineStr">
        <is>
          <t>COLBYCO JET MANAGEMENT LLC</t>
        </is>
      </c>
      <c r="AI178" s="605">
        <f>IF(AND($E178=Subj_OccCode,Subj_BldgSF&gt;0,ABS($L178-Subj_BldgSF)&lt;=Subj_BldgSF*Subj_SizeTol),ABS($L178-Subj_BldgSF),NA())</f>
        <v/>
      </c>
      <c r="AJ178">
        <f>IF(ISNA(AI178),NA(),AI178+ROW()/10000000)</f>
        <v/>
      </c>
      <c r="AK178" s="605">
        <f>IF(AND(ISNUMBER($N178),$N178&gt;0,ISNUMBER($Y178)),$Y178/$N178,"")</f>
        <v/>
      </c>
    </row>
    <row r="179" ht="15" customHeight="1" s="545">
      <c r="A179" s="388" t="n">
        <v>7</v>
      </c>
      <c r="B179" s="605" t="n">
        <v>171</v>
      </c>
      <c r="C179" s="605" t="inlineStr">
        <is>
          <t>R0222674</t>
        </is>
      </c>
      <c r="D179" s="605" t="inlineStr">
        <is>
          <t>37851 E 51ST AVE #W11</t>
        </is>
      </c>
      <c r="E179" s="605" t="n">
        <v>328</v>
      </c>
      <c r="G179" s="605" t="inlineStr">
        <is>
          <t>1</t>
        </is>
      </c>
      <c r="H179" s="59">
        <f>Y179/J179</f>
        <v/>
      </c>
      <c r="I179" s="389" t="n">
        <v>45390</v>
      </c>
      <c r="J179" s="605" t="n">
        <v>2930</v>
      </c>
      <c r="K179" s="59" t="n"/>
      <c r="L179" s="605" t="n">
        <v>2930</v>
      </c>
      <c r="M179" s="605" t="n">
        <v>2024</v>
      </c>
      <c r="R179" s="152" t="inlineStr">
        <is>
          <t>Average</t>
        </is>
      </c>
      <c r="T179" s="390">
        <f>S179/L179</f>
        <v/>
      </c>
      <c r="U179" s="605" t="inlineStr">
        <is>
          <t>Average</t>
        </is>
      </c>
      <c r="V179" s="390" t="n"/>
      <c r="W179" s="390" t="n"/>
      <c r="X179" s="390" t="n"/>
      <c r="Y179" s="60" t="n">
        <v>310778</v>
      </c>
      <c r="Z179" s="60" t="n"/>
      <c r="AA179" s="60" t="n">
        <v>310778</v>
      </c>
      <c r="AB179" s="60" t="n"/>
      <c r="AC179" s="605" t="inlineStr">
        <is>
          <t>0181715300032</t>
        </is>
      </c>
      <c r="AD179" s="605" t="inlineStr">
        <is>
          <t>2024000024068</t>
        </is>
      </c>
      <c r="AE179" s="653" t="inlineStr">
        <is>
          <t>37851 51ST AVE HANGAR OWNERS ASSOCIATION INC</t>
        </is>
      </c>
      <c r="AF179" s="653" t="inlineStr">
        <is>
          <t>MUELLER HANGARS LLC</t>
        </is>
      </c>
      <c r="AI179" s="605">
        <f>IF(AND($E179=Subj_OccCode,Subj_BldgSF&gt;0,ABS($L179-Subj_BldgSF)&lt;=Subj_BldgSF*Subj_SizeTol),ABS($L179-Subj_BldgSF),NA())</f>
        <v/>
      </c>
      <c r="AJ179">
        <f>IF(ISNA(AI179),NA(),AI179+ROW()/10000000)</f>
        <v/>
      </c>
      <c r="AK179" s="605">
        <f>IF(AND(ISNUMBER($N179),$N179&gt;0,ISNUMBER($Y179)),$Y179/$N179,"")</f>
        <v/>
      </c>
    </row>
    <row r="180" ht="15" customHeight="1" s="545">
      <c r="A180" s="388" t="n">
        <v>7</v>
      </c>
      <c r="B180" s="605" t="n">
        <v>172</v>
      </c>
      <c r="C180" s="605" t="inlineStr">
        <is>
          <t>R0222675</t>
        </is>
      </c>
      <c r="D180" s="605" t="inlineStr">
        <is>
          <t>37851 E 51ST AVE #E12</t>
        </is>
      </c>
      <c r="E180" s="605" t="n">
        <v>328</v>
      </c>
      <c r="G180" s="605" t="inlineStr">
        <is>
          <t>1</t>
        </is>
      </c>
      <c r="H180" s="59">
        <f>Y180/J180</f>
        <v/>
      </c>
      <c r="I180" s="389" t="n">
        <v>45390</v>
      </c>
      <c r="J180" s="605" t="n">
        <v>2930</v>
      </c>
      <c r="K180" s="59" t="n"/>
      <c r="L180" s="605" t="n">
        <v>2930</v>
      </c>
      <c r="M180" s="605" t="n">
        <v>2024</v>
      </c>
      <c r="R180" s="152" t="inlineStr">
        <is>
          <t>Average</t>
        </is>
      </c>
      <c r="T180" s="390">
        <f>S180/L180</f>
        <v/>
      </c>
      <c r="U180" s="605" t="inlineStr">
        <is>
          <t>Average</t>
        </is>
      </c>
      <c r="V180" s="390" t="n"/>
      <c r="W180" s="390" t="n"/>
      <c r="X180" s="390" t="n"/>
      <c r="Y180" s="60" t="n">
        <v>310778</v>
      </c>
      <c r="Z180" s="60" t="n"/>
      <c r="AA180" s="60" t="n">
        <v>310778</v>
      </c>
      <c r="AB180" s="60" t="n"/>
      <c r="AC180" s="605" t="inlineStr">
        <is>
          <t>0181715300033</t>
        </is>
      </c>
      <c r="AD180" s="605" t="inlineStr">
        <is>
          <t>2024000024063</t>
        </is>
      </c>
      <c r="AE180" s="653" t="inlineStr">
        <is>
          <t>37851 51ST AVE HANGAR OWNERS ASSOCIATION INC</t>
        </is>
      </c>
      <c r="AF180" s="653" t="inlineStr">
        <is>
          <t>MUELLER HANGARS LLC</t>
        </is>
      </c>
      <c r="AI180" s="605">
        <f>IF(AND($E180=Subj_OccCode,Subj_BldgSF&gt;0,ABS($L180-Subj_BldgSF)&lt;=Subj_BldgSF*Subj_SizeTol),ABS($L180-Subj_BldgSF),NA())</f>
        <v/>
      </c>
      <c r="AJ180">
        <f>IF(ISNA(AI180),NA(),AI180+ROW()/10000000)</f>
        <v/>
      </c>
      <c r="AK180" s="605">
        <f>IF(AND(ISNUMBER($N180),$N180&gt;0,ISNUMBER($Y180)),$Y180/$N180,"")</f>
        <v/>
      </c>
    </row>
    <row r="181" ht="15" customHeight="1" s="545">
      <c r="A181" s="388" t="n">
        <v>7</v>
      </c>
      <c r="B181" s="605" t="n">
        <v>173</v>
      </c>
      <c r="C181" s="605" t="inlineStr">
        <is>
          <t>R0223501</t>
        </is>
      </c>
      <c r="D181" s="605" t="inlineStr">
        <is>
          <t>9658 HAVAN ST #C03</t>
        </is>
      </c>
      <c r="E181" s="605" t="n">
        <v>425</v>
      </c>
      <c r="F181" s="605" t="inlineStr">
        <is>
          <t>COMMERCE CITY</t>
        </is>
      </c>
      <c r="G181" s="605" t="inlineStr">
        <is>
          <t>5</t>
        </is>
      </c>
      <c r="H181" s="59">
        <f>Y181/J181</f>
        <v/>
      </c>
      <c r="I181" s="389" t="n">
        <v>45377</v>
      </c>
      <c r="J181" s="605" t="n">
        <v>21266</v>
      </c>
      <c r="K181" s="59" t="n"/>
      <c r="L181" s="605" t="n">
        <v>21266</v>
      </c>
      <c r="M181" s="605" t="n">
        <v>2023</v>
      </c>
      <c r="R181" s="152" t="inlineStr">
        <is>
          <t>Average</t>
        </is>
      </c>
      <c r="S181" s="605" t="n">
        <v>3398</v>
      </c>
      <c r="T181" s="390">
        <f>S181/L181</f>
        <v/>
      </c>
      <c r="U181" s="605" t="inlineStr">
        <is>
          <t>Average</t>
        </is>
      </c>
      <c r="V181" s="390" t="n"/>
      <c r="W181" s="390" t="n"/>
      <c r="X181" s="390" t="n"/>
      <c r="Y181" s="60" t="n">
        <v>370360</v>
      </c>
      <c r="Z181" s="60" t="n"/>
      <c r="AA181" s="60" t="n">
        <v>370360</v>
      </c>
      <c r="AB181" s="60" t="n"/>
      <c r="AC181" s="605" t="inlineStr">
        <is>
          <t>0172115405062</t>
        </is>
      </c>
      <c r="AD181" s="605" t="inlineStr">
        <is>
          <t>2024000015431</t>
        </is>
      </c>
      <c r="AE181" s="653" t="inlineStr">
        <is>
          <t>THE GARAGE SOCIETY HOLDINGS LLC</t>
        </is>
      </c>
      <c r="AF181" s="653" t="inlineStr">
        <is>
          <t>MAVES AEDRENA</t>
        </is>
      </c>
      <c r="AI181" s="605">
        <f>IF(AND($E181=Subj_OccCode,Subj_BldgSF&gt;0,ABS($L181-Subj_BldgSF)&lt;=Subj_BldgSF*Subj_SizeTol),ABS($L181-Subj_BldgSF),NA())</f>
        <v/>
      </c>
      <c r="AJ181">
        <f>IF(ISNA(AI181),NA(),AI181+ROW()/10000000)</f>
        <v/>
      </c>
      <c r="AK181" s="605">
        <f>IF(AND(ISNUMBER($N181),$N181&gt;0,ISNUMBER($Y181)),$Y181/$N181,"")</f>
        <v/>
      </c>
    </row>
    <row r="182" ht="15" customHeight="1" s="545">
      <c r="A182" s="388" t="n">
        <v>7</v>
      </c>
      <c r="B182" s="605" t="n">
        <v>174</v>
      </c>
      <c r="C182" s="605" t="inlineStr">
        <is>
          <t>R0224264</t>
        </is>
      </c>
      <c r="D182" s="605" t="inlineStr">
        <is>
          <t>2861 W 120TH AVE</t>
        </is>
      </c>
      <c r="E182" s="605" t="n">
        <v>344</v>
      </c>
      <c r="F182" s="605" t="inlineStr">
        <is>
          <t>COMMERCE CITY</t>
        </is>
      </c>
      <c r="G182" s="605" t="inlineStr">
        <is>
          <t>3</t>
        </is>
      </c>
      <c r="H182" s="59">
        <f>Y182/J182</f>
        <v/>
      </c>
      <c r="I182" s="389" t="n">
        <v>45405</v>
      </c>
      <c r="J182" s="605" t="n">
        <v>57173</v>
      </c>
      <c r="K182" s="59" t="n"/>
      <c r="L182" s="605" t="n">
        <v>57173</v>
      </c>
      <c r="M182" s="605" t="n">
        <v>2007</v>
      </c>
      <c r="R182" s="152" t="inlineStr">
        <is>
          <t>Average</t>
        </is>
      </c>
      <c r="T182" s="390">
        <f>S182/L182</f>
        <v/>
      </c>
      <c r="U182" s="605" t="inlineStr">
        <is>
          <t>Average</t>
        </is>
      </c>
      <c r="V182" s="390" t="n"/>
      <c r="W182" s="390" t="n"/>
      <c r="X182" s="390" t="n"/>
      <c r="Y182" s="60" t="n">
        <v>1120978</v>
      </c>
      <c r="Z182" s="60" t="n"/>
      <c r="AA182" s="60" t="n">
        <v>1120978</v>
      </c>
      <c r="AB182" s="60" t="n"/>
      <c r="AC182" s="605" t="inlineStr">
        <is>
          <t>0157332401029</t>
        </is>
      </c>
      <c r="AD182" s="605" t="inlineStr">
        <is>
          <t>2024000021262</t>
        </is>
      </c>
      <c r="AE182" s="653" t="inlineStr">
        <is>
          <t>2861 FINANCIAL LLC</t>
        </is>
      </c>
      <c r="AF182" s="653" t="inlineStr">
        <is>
          <t>FINAN PROPERTIES LLC</t>
        </is>
      </c>
      <c r="AI182" s="605">
        <f>IF(AND($E182=Subj_OccCode,Subj_BldgSF&gt;0,ABS($L182-Subj_BldgSF)&lt;=Subj_BldgSF*Subj_SizeTol),ABS($L182-Subj_BldgSF),NA())</f>
        <v/>
      </c>
      <c r="AJ182">
        <f>IF(ISNA(AI182),NA(),AI182+ROW()/10000000)</f>
        <v/>
      </c>
      <c r="AK182" s="605">
        <f>IF(AND(ISNUMBER($N182),$N182&gt;0,ISNUMBER($Y182)),$Y182/$N182,"")</f>
        <v/>
      </c>
    </row>
    <row r="183" ht="15" customHeight="1" s="545">
      <c r="A183" s="388" t="n">
        <v>7</v>
      </c>
      <c r="B183" s="605" t="n">
        <v>175</v>
      </c>
      <c r="C183" s="605" t="inlineStr">
        <is>
          <t>R0002840</t>
        </is>
      </c>
      <c r="D183" s="605" t="inlineStr">
        <is>
          <t>5 N MAIN ST</t>
        </is>
      </c>
      <c r="E183" s="605" t="n">
        <v>344</v>
      </c>
      <c r="F183" s="605" t="inlineStr">
        <is>
          <t>BRIGHTON</t>
        </is>
      </c>
      <c r="G183" s="605" t="inlineStr">
        <is>
          <t>2</t>
        </is>
      </c>
      <c r="H183" s="59">
        <f>Y183/J183</f>
        <v/>
      </c>
      <c r="I183" s="389" t="n">
        <v>44995</v>
      </c>
      <c r="J183" s="605" t="n">
        <v>5068</v>
      </c>
      <c r="K183" s="59" t="n"/>
      <c r="L183" s="605" t="n">
        <v>5068</v>
      </c>
      <c r="M183" s="605" t="n">
        <v>1917</v>
      </c>
      <c r="P183" s="605" t="inlineStr">
        <is>
          <t>DT</t>
        </is>
      </c>
      <c r="R183" s="152" t="inlineStr">
        <is>
          <t>Average</t>
        </is>
      </c>
      <c r="S183" s="605" t="n">
        <v>3185</v>
      </c>
      <c r="T183" s="390">
        <f>S183/L183</f>
        <v/>
      </c>
      <c r="U183" s="605" t="inlineStr">
        <is>
          <t>Average</t>
        </is>
      </c>
      <c r="V183" s="390" t="n"/>
      <c r="W183" s="390" t="n"/>
      <c r="X183" s="390" t="n"/>
      <c r="Y183" s="60" t="n">
        <v>650000</v>
      </c>
      <c r="Z183" s="60" t="n"/>
      <c r="AA183" s="60" t="n">
        <v>650000</v>
      </c>
      <c r="AB183" s="60" t="n"/>
      <c r="AC183" s="605" t="inlineStr">
        <is>
          <t>0156906314014</t>
        </is>
      </c>
      <c r="AD183" s="605" t="inlineStr">
        <is>
          <t>2023000013109</t>
        </is>
      </c>
      <c r="AE183" s="653" t="inlineStr">
        <is>
          <t>1382 BOSTON LLC</t>
        </is>
      </c>
      <c r="AF183" s="653" t="inlineStr">
        <is>
          <t>ROTH ERIC</t>
        </is>
      </c>
      <c r="AI183" s="605">
        <f>IF(AND($E183=Subj_OccCode,Subj_BldgSF&gt;0,ABS($L183-Subj_BldgSF)&lt;=Subj_BldgSF*Subj_SizeTol),ABS($L183-Subj_BldgSF),NA())</f>
        <v/>
      </c>
      <c r="AJ183">
        <f>IF(ISNA(AI183),NA(),AI183+ROW()/10000000)</f>
        <v/>
      </c>
      <c r="AK183" s="605">
        <f>IF(AND(ISNUMBER($N183),$N183&gt;0,ISNUMBER($Y183)),$Y183/$N183,"")</f>
        <v/>
      </c>
    </row>
    <row r="184" ht="15" customHeight="1" s="545">
      <c r="A184" s="388" t="n">
        <v>7</v>
      </c>
      <c r="B184" s="605" t="n">
        <v>176</v>
      </c>
      <c r="C184" s="605" t="inlineStr">
        <is>
          <t>R0037106</t>
        </is>
      </c>
      <c r="D184" s="605" t="inlineStr">
        <is>
          <t>11178 HURON ST #6</t>
        </is>
      </c>
      <c r="E184" s="605" t="n">
        <v>1344</v>
      </c>
      <c r="F184" s="605" t="inlineStr">
        <is>
          <t>NORTHGLENN</t>
        </is>
      </c>
      <c r="G184" s="605" t="inlineStr">
        <is>
          <t>4</t>
        </is>
      </c>
      <c r="H184" s="59">
        <f>Y184/J184</f>
        <v/>
      </c>
      <c r="I184" s="389" t="n">
        <v>45104</v>
      </c>
      <c r="J184" s="605" t="n">
        <v>84375</v>
      </c>
      <c r="K184" s="59" t="n"/>
      <c r="L184" s="605" t="n">
        <v>84375</v>
      </c>
      <c r="M184" s="605" t="n">
        <v>1984</v>
      </c>
      <c r="P184" s="605" t="inlineStr">
        <is>
          <t>C-3-Nor</t>
        </is>
      </c>
      <c r="R184" s="152" t="inlineStr">
        <is>
          <t>Average</t>
        </is>
      </c>
      <c r="S184" s="605" t="n">
        <v>1108</v>
      </c>
      <c r="T184" s="390">
        <f>S184/L184</f>
        <v/>
      </c>
      <c r="U184" s="605" t="inlineStr">
        <is>
          <t>Average</t>
        </is>
      </c>
      <c r="V184" s="390" t="n"/>
      <c r="W184" s="390" t="n"/>
      <c r="X184" s="390" t="n"/>
      <c r="Y184" s="60" t="n">
        <v>250000</v>
      </c>
      <c r="Z184" s="60" t="n"/>
      <c r="AA184" s="60" t="n">
        <v>250000</v>
      </c>
      <c r="AB184" s="60" t="n"/>
      <c r="AC184" s="605" t="inlineStr">
        <is>
          <t>0171910217006</t>
        </is>
      </c>
      <c r="AD184" s="605" t="inlineStr">
        <is>
          <t>2023000036437</t>
        </is>
      </c>
      <c r="AE184" s="653" t="inlineStr">
        <is>
          <t>BRUNSON REAL ESTATE HOLDINGS LLC</t>
        </is>
      </c>
      <c r="AF184" s="653" t="inlineStr">
        <is>
          <t>REAL ESTATE MATTERS CORP</t>
        </is>
      </c>
      <c r="AI184" s="605">
        <f>IF(AND($E184=Subj_OccCode,Subj_BldgSF&gt;0,ABS($L184-Subj_BldgSF)&lt;=Subj_BldgSF*Subj_SizeTol),ABS($L184-Subj_BldgSF),NA())</f>
        <v/>
      </c>
      <c r="AJ184">
        <f>IF(ISNA(AI184),NA(),AI184+ROW()/10000000)</f>
        <v/>
      </c>
      <c r="AK184" s="605">
        <f>IF(AND(ISNUMBER($N184),$N184&gt;0,ISNUMBER($Y184)),$Y184/$N184,"")</f>
        <v/>
      </c>
    </row>
    <row r="185" ht="15" customHeight="1" s="545">
      <c r="A185" s="388" t="n">
        <v>7</v>
      </c>
      <c r="B185" s="605" t="n">
        <v>177</v>
      </c>
      <c r="C185" s="605" t="inlineStr">
        <is>
          <t>R0037108</t>
        </is>
      </c>
      <c r="D185" s="605" t="inlineStr">
        <is>
          <t>11184 HURON ST #8</t>
        </is>
      </c>
      <c r="E185" s="605" t="n">
        <v>1344</v>
      </c>
      <c r="F185" s="605" t="inlineStr">
        <is>
          <t>NORTHGLENN</t>
        </is>
      </c>
      <c r="G185" s="605" t="inlineStr">
        <is>
          <t>4</t>
        </is>
      </c>
      <c r="H185" s="59">
        <f>Y185/J185</f>
        <v/>
      </c>
      <c r="I185" s="389" t="n">
        <v>45044</v>
      </c>
      <c r="J185" s="605" t="n">
        <v>84375</v>
      </c>
      <c r="K185" s="59" t="n"/>
      <c r="L185" s="605" t="n">
        <v>84375</v>
      </c>
      <c r="M185" s="605" t="n">
        <v>1984</v>
      </c>
      <c r="P185" s="605" t="inlineStr">
        <is>
          <t>C-3-Nor</t>
        </is>
      </c>
      <c r="R185" s="152" t="inlineStr">
        <is>
          <t>Average</t>
        </is>
      </c>
      <c r="S185" s="605" t="n">
        <v>1108</v>
      </c>
      <c r="T185" s="390">
        <f>S185/L185</f>
        <v/>
      </c>
      <c r="U185" s="605" t="inlineStr">
        <is>
          <t>Average</t>
        </is>
      </c>
      <c r="V185" s="390" t="n"/>
      <c r="W185" s="390" t="n"/>
      <c r="X185" s="390" t="n"/>
      <c r="Y185" s="60" t="n">
        <v>300000</v>
      </c>
      <c r="Z185" s="60" t="n"/>
      <c r="AA185" s="60" t="n">
        <v>300000</v>
      </c>
      <c r="AB185" s="60" t="n"/>
      <c r="AC185" s="605" t="inlineStr">
        <is>
          <t>0171910217008</t>
        </is>
      </c>
      <c r="AD185" s="605" t="inlineStr">
        <is>
          <t>2023000024002</t>
        </is>
      </c>
      <c r="AE185" s="653" t="inlineStr">
        <is>
          <t>BTC VISIONS LLC</t>
        </is>
      </c>
      <c r="AF185" s="653" t="inlineStr">
        <is>
          <t>GLOBAL PROPERTIES AND MANAGEMENT LLC</t>
        </is>
      </c>
      <c r="AI185" s="605">
        <f>IF(AND($E185=Subj_OccCode,Subj_BldgSF&gt;0,ABS($L185-Subj_BldgSF)&lt;=Subj_BldgSF*Subj_SizeTol),ABS($L185-Subj_BldgSF),NA())</f>
        <v/>
      </c>
      <c r="AJ185">
        <f>IF(ISNA(AI185),NA(),AI185+ROW()/10000000)</f>
        <v/>
      </c>
      <c r="AK185" s="605">
        <f>IF(AND(ISNUMBER($N185),$N185&gt;0,ISNUMBER($Y185)),$Y185/$N185,"")</f>
        <v/>
      </c>
    </row>
    <row r="186" ht="15" customHeight="1" s="545">
      <c r="A186" s="388" t="n">
        <v>7</v>
      </c>
      <c r="B186" s="605" t="n">
        <v>178</v>
      </c>
      <c r="C186" s="605" t="inlineStr">
        <is>
          <t>R0176439</t>
        </is>
      </c>
      <c r="D186" s="605" t="inlineStr">
        <is>
          <t>804 E 78TH AVE</t>
        </is>
      </c>
      <c r="E186" s="605" t="n">
        <v>425</v>
      </c>
      <c r="G186" s="605" t="inlineStr">
        <is>
          <t>5</t>
        </is>
      </c>
      <c r="H186" s="59">
        <f>Y186/J186</f>
        <v/>
      </c>
      <c r="I186" s="389" t="n">
        <v>45135</v>
      </c>
      <c r="J186" s="605" t="n">
        <v>37592</v>
      </c>
      <c r="K186" s="59" t="n"/>
      <c r="L186" s="605" t="n">
        <v>37592</v>
      </c>
      <c r="M186" s="605" t="n">
        <v>2006</v>
      </c>
      <c r="P186" s="605" t="inlineStr">
        <is>
          <t>Industrial</t>
        </is>
      </c>
      <c r="R186" s="152" t="inlineStr">
        <is>
          <t>Average</t>
        </is>
      </c>
      <c r="S186" s="605" t="n">
        <v>5399</v>
      </c>
      <c r="T186" s="390">
        <f>S186/L186</f>
        <v/>
      </c>
      <c r="U186" s="605" t="inlineStr">
        <is>
          <t>Average</t>
        </is>
      </c>
      <c r="V186" s="390" t="n"/>
      <c r="W186" s="390" t="n"/>
      <c r="X186" s="390" t="n"/>
      <c r="Y186" s="60" t="n">
        <v>375000</v>
      </c>
      <c r="Z186" s="60" t="n"/>
      <c r="AA186" s="60" t="n">
        <v>375000</v>
      </c>
      <c r="AB186" s="60" t="n"/>
      <c r="AC186" s="605" t="inlineStr">
        <is>
          <t>0171935233022</t>
        </is>
      </c>
      <c r="AD186" s="605" t="inlineStr">
        <is>
          <t>2023000047316</t>
        </is>
      </c>
      <c r="AE186" s="653" t="inlineStr">
        <is>
          <t>BOOMHAUSER EDDIE LLC</t>
        </is>
      </c>
      <c r="AF186" s="653" t="inlineStr">
        <is>
          <t>BAHRAINI MOHAMMAD YOUSOF</t>
        </is>
      </c>
      <c r="AI186" s="605">
        <f>IF(AND($E186=Subj_OccCode,Subj_BldgSF&gt;0,ABS($L186-Subj_BldgSF)&lt;=Subj_BldgSF*Subj_SizeTol),ABS($L186-Subj_BldgSF),NA())</f>
        <v/>
      </c>
      <c r="AJ186">
        <f>IF(ISNA(AI186),NA(),AI186+ROW()/10000000)</f>
        <v/>
      </c>
      <c r="AK186" s="605">
        <f>IF(AND(ISNUMBER($N186),$N186&gt;0,ISNUMBER($Y186)),$Y186/$N186,"")</f>
        <v/>
      </c>
    </row>
    <row r="187" ht="15" customHeight="1" s="545">
      <c r="A187" s="388" t="n">
        <v>7</v>
      </c>
      <c r="B187" s="605" t="n">
        <v>179</v>
      </c>
      <c r="C187" s="605" t="inlineStr">
        <is>
          <t>R0184690</t>
        </is>
      </c>
      <c r="D187" s="605" t="inlineStr">
        <is>
          <t>4155 E 128TH AVE</t>
        </is>
      </c>
      <c r="E187" s="605" t="n">
        <v>426</v>
      </c>
      <c r="F187" s="605" t="inlineStr">
        <is>
          <t>THORNTON</t>
        </is>
      </c>
      <c r="G187" s="605" t="inlineStr">
        <is>
          <t>3</t>
        </is>
      </c>
      <c r="H187" s="59">
        <f>Y187/J187</f>
        <v/>
      </c>
      <c r="I187" s="389" t="n">
        <v>45225</v>
      </c>
      <c r="J187" s="605" t="n">
        <v>26048</v>
      </c>
      <c r="K187" s="59" t="n"/>
      <c r="L187" s="605" t="n">
        <v>26048</v>
      </c>
      <c r="M187" s="605" t="n">
        <v>2015</v>
      </c>
      <c r="P187" s="605" t="inlineStr">
        <is>
          <t>Planned Development</t>
        </is>
      </c>
      <c r="R187" s="152" t="inlineStr">
        <is>
          <t>Good</t>
        </is>
      </c>
      <c r="S187" s="605" t="n">
        <v>89095</v>
      </c>
      <c r="T187" s="390">
        <f>S187/L187</f>
        <v/>
      </c>
      <c r="U187" s="605" t="inlineStr">
        <is>
          <t>Good</t>
        </is>
      </c>
      <c r="V187" s="390" t="n"/>
      <c r="W187" s="390" t="n"/>
      <c r="X187" s="390" t="n"/>
      <c r="Y187" s="60" t="n">
        <v>4750000</v>
      </c>
      <c r="Z187" s="60" t="n"/>
      <c r="AA187" s="60" t="n">
        <v>4750000</v>
      </c>
      <c r="AB187" s="60" t="n"/>
      <c r="AC187" s="605" t="inlineStr">
        <is>
          <t>0157130321022</t>
        </is>
      </c>
      <c r="AD187" s="605" t="inlineStr">
        <is>
          <t>2023000060719</t>
        </is>
      </c>
      <c r="AE187" s="653" t="inlineStr">
        <is>
          <t>ECE I LLC, ATTN ASSET MANAGER</t>
        </is>
      </c>
      <c r="AF187" s="653" t="inlineStr">
        <is>
          <t>KARTER REALTY THORNTON LLC</t>
        </is>
      </c>
      <c r="AI187" s="605">
        <f>IF(AND($E187=Subj_OccCode,Subj_BldgSF&gt;0,ABS($L187-Subj_BldgSF)&lt;=Subj_BldgSF*Subj_SizeTol),ABS($L187-Subj_BldgSF),NA())</f>
        <v/>
      </c>
      <c r="AJ187">
        <f>IF(ISNA(AI187),NA(),AI187+ROW()/10000000)</f>
        <v/>
      </c>
      <c r="AK187" s="605">
        <f>IF(AND(ISNUMBER($N187),$N187&gt;0,ISNUMBER($Y187)),$Y187/$N187,"")</f>
        <v/>
      </c>
    </row>
    <row r="188" ht="15" customHeight="1" s="545">
      <c r="A188" s="388" t="n">
        <v>7</v>
      </c>
      <c r="B188" s="605" t="n">
        <v>180</v>
      </c>
      <c r="C188" s="605" t="inlineStr">
        <is>
          <t>R0103418</t>
        </is>
      </c>
      <c r="D188" s="605" t="inlineStr">
        <is>
          <t>5678 PECOS ST</t>
        </is>
      </c>
      <c r="E188" s="605" t="n">
        <v>406</v>
      </c>
      <c r="G188" s="605" t="inlineStr">
        <is>
          <t>5</t>
        </is>
      </c>
      <c r="H188" s="59">
        <f>Y188/J188</f>
        <v/>
      </c>
      <c r="I188" s="389" t="n">
        <v>45317</v>
      </c>
      <c r="J188" s="605" t="n">
        <v>4800</v>
      </c>
      <c r="K188" s="59" t="n"/>
      <c r="L188" s="605" t="n">
        <v>4800</v>
      </c>
      <c r="M188" s="605" t="n">
        <v>2007</v>
      </c>
      <c r="P188" s="605" t="inlineStr">
        <is>
          <t>Industrial</t>
        </is>
      </c>
      <c r="R188" s="152" t="inlineStr">
        <is>
          <t>Average</t>
        </is>
      </c>
      <c r="S188" s="605" t="n">
        <v>13316</v>
      </c>
      <c r="T188" s="390">
        <f>S188/L188</f>
        <v/>
      </c>
      <c r="U188" s="605" t="inlineStr">
        <is>
          <t>Average</t>
        </is>
      </c>
      <c r="V188" s="390" t="n"/>
      <c r="W188" s="390" t="n"/>
      <c r="X188" s="390" t="n"/>
      <c r="Y188" s="60" t="n">
        <v>850000</v>
      </c>
      <c r="Z188" s="60" t="n"/>
      <c r="AA188" s="60" t="n">
        <v>850000</v>
      </c>
      <c r="AB188" s="60" t="n"/>
      <c r="AC188" s="605" t="inlineStr">
        <is>
          <t>0182509400017</t>
        </is>
      </c>
      <c r="AD188" s="605" t="inlineStr">
        <is>
          <t>2024000004872</t>
        </is>
      </c>
      <c r="AE188" s="653" t="inlineStr">
        <is>
          <t>BANG ENTERPRIZE INC</t>
        </is>
      </c>
      <c r="AF188" s="653" t="inlineStr">
        <is>
          <t>PECOS REAL ESTATE LLC, C/O AUTO CHLOR SYSTEM</t>
        </is>
      </c>
      <c r="AI188" s="605">
        <f>IF(AND($E188=Subj_OccCode,Subj_BldgSF&gt;0,ABS($L188-Subj_BldgSF)&lt;=Subj_BldgSF*Subj_SizeTol),ABS($L188-Subj_BldgSF),NA())</f>
        <v/>
      </c>
      <c r="AJ188">
        <f>IF(ISNA(AI188),NA(),AI188+ROW()/10000000)</f>
        <v/>
      </c>
      <c r="AK188" s="605">
        <f>IF(AND(ISNUMBER($N188),$N188&gt;0,ISNUMBER($Y188)),$Y188/$N188,"")</f>
        <v/>
      </c>
    </row>
    <row r="189" ht="15" customHeight="1" s="545">
      <c r="A189" s="388" t="n">
        <v>7</v>
      </c>
      <c r="B189" s="605" t="n">
        <v>181</v>
      </c>
      <c r="C189" s="605" t="inlineStr">
        <is>
          <t>R0118777</t>
        </is>
      </c>
      <c r="D189" s="605" t="inlineStr">
        <is>
          <t>6091 E 72ND AVE</t>
        </is>
      </c>
      <c r="E189" s="605" t="n">
        <v>353</v>
      </c>
      <c r="F189" s="605" t="inlineStr">
        <is>
          <t>COMMERCE CITY</t>
        </is>
      </c>
      <c r="G189" s="605" t="inlineStr">
        <is>
          <t>5</t>
        </is>
      </c>
      <c r="H189" s="59">
        <f>Y189/J189</f>
        <v/>
      </c>
      <c r="I189" s="389" t="n">
        <v>44960</v>
      </c>
      <c r="J189" s="605" t="n">
        <v>7000</v>
      </c>
      <c r="K189" s="59" t="n"/>
      <c r="L189" s="605" t="n">
        <v>7000</v>
      </c>
      <c r="M189" s="605" t="n">
        <v>1999</v>
      </c>
      <c r="P189" s="605" t="inlineStr">
        <is>
          <t>C-2-Com</t>
        </is>
      </c>
      <c r="R189" s="152" t="inlineStr">
        <is>
          <t>Average</t>
        </is>
      </c>
      <c r="S189" s="605" t="n">
        <v>37592.28</v>
      </c>
      <c r="T189" s="390">
        <f>S189/L189</f>
        <v/>
      </c>
      <c r="U189" s="605" t="inlineStr">
        <is>
          <t>Average</t>
        </is>
      </c>
      <c r="V189" s="390" t="n"/>
      <c r="W189" s="390" t="n"/>
      <c r="X189" s="390" t="n"/>
      <c r="Y189" s="60" t="n">
        <v>1800000</v>
      </c>
      <c r="Z189" s="60" t="n"/>
      <c r="AA189" s="60" t="n">
        <v>1800000</v>
      </c>
      <c r="AB189" s="60" t="n"/>
      <c r="AC189" s="605" t="inlineStr">
        <is>
          <t>0172132309022</t>
        </is>
      </c>
      <c r="AD189" s="605" t="inlineStr">
        <is>
          <t>2023000006247</t>
        </is>
      </c>
      <c r="AE189" s="653" t="inlineStr">
        <is>
          <t>THEODORA CHECKERS LLC</t>
        </is>
      </c>
      <c r="AF189" s="653" t="inlineStr">
        <is>
          <t>MTK MANAGEMENT LLC, LMK MANAGEMENT LLC</t>
        </is>
      </c>
      <c r="AI189" s="605">
        <f>IF(AND($E189=Subj_OccCode,Subj_BldgSF&gt;0,ABS($L189-Subj_BldgSF)&lt;=Subj_BldgSF*Subj_SizeTol),ABS($L189-Subj_BldgSF),NA())</f>
        <v/>
      </c>
      <c r="AJ189">
        <f>IF(ISNA(AI189),NA(),AI189+ROW()/10000000)</f>
        <v/>
      </c>
      <c r="AK189" s="605">
        <f>IF(AND(ISNUMBER($N189),$N189&gt;0,ISNUMBER($Y189)),$Y189/$N189,"")</f>
        <v/>
      </c>
    </row>
    <row r="190" ht="15" customHeight="1" s="545">
      <c r="A190" s="388" t="n">
        <v>7</v>
      </c>
      <c r="B190" s="605" t="n">
        <v>182</v>
      </c>
      <c r="C190" s="605" t="inlineStr">
        <is>
          <t>R0125137</t>
        </is>
      </c>
      <c r="D190" s="605" t="inlineStr">
        <is>
          <t>9670 DALLAS ST #7</t>
        </is>
      </c>
      <c r="E190" s="605" t="n">
        <v>425</v>
      </c>
      <c r="F190" s="605" t="inlineStr">
        <is>
          <t>COMMERCE CITY</t>
        </is>
      </c>
      <c r="G190" s="605" t="inlineStr">
        <is>
          <t>5</t>
        </is>
      </c>
      <c r="H190" s="59">
        <f>Y190/J190</f>
        <v/>
      </c>
      <c r="I190" s="389" t="n">
        <v>45159</v>
      </c>
      <c r="J190" s="605" t="n">
        <v>30000</v>
      </c>
      <c r="K190" s="59" t="n"/>
      <c r="L190" s="605" t="n">
        <v>30000</v>
      </c>
      <c r="M190" s="605" t="n">
        <v>2000</v>
      </c>
      <c r="P190" s="605" t="inlineStr">
        <is>
          <t>I-3-Com</t>
        </is>
      </c>
      <c r="R190" s="152" t="inlineStr">
        <is>
          <t>Average</t>
        </is>
      </c>
      <c r="S190" s="605" t="n">
        <v>7949</v>
      </c>
      <c r="T190" s="390">
        <f>S190/L190</f>
        <v/>
      </c>
      <c r="U190" s="605" t="inlineStr">
        <is>
          <t>Average</t>
        </is>
      </c>
      <c r="V190" s="390" t="n"/>
      <c r="W190" s="390" t="n"/>
      <c r="X190" s="390" t="n"/>
      <c r="Y190" s="60" t="n">
        <v>480000</v>
      </c>
      <c r="Z190" s="60" t="n"/>
      <c r="AA190" s="60" t="n">
        <v>480000</v>
      </c>
      <c r="AB190" s="60" t="n"/>
      <c r="AC190" s="605" t="inlineStr">
        <is>
          <t>0172115303007</t>
        </is>
      </c>
      <c r="AD190" s="605" t="inlineStr">
        <is>
          <t>2023000050900</t>
        </is>
      </c>
      <c r="AE190" s="653" t="inlineStr">
        <is>
          <t>TRIPLE L PROPERTIES LLC</t>
        </is>
      </c>
      <c r="AF190" s="653" t="inlineStr">
        <is>
          <t>THE HOLDING COMPANY LTD</t>
        </is>
      </c>
      <c r="AI190" s="605">
        <f>IF(AND($E190=Subj_OccCode,Subj_BldgSF&gt;0,ABS($L190-Subj_BldgSF)&lt;=Subj_BldgSF*Subj_SizeTol),ABS($L190-Subj_BldgSF),NA())</f>
        <v/>
      </c>
      <c r="AJ190">
        <f>IF(ISNA(AI190),NA(),AI190+ROW()/10000000)</f>
        <v/>
      </c>
      <c r="AK190" s="605">
        <f>IF(AND(ISNUMBER($N190),$N190&gt;0,ISNUMBER($Y190)),$Y190/$N190,"")</f>
        <v/>
      </c>
    </row>
    <row r="191" ht="15" customHeight="1" s="545">
      <c r="A191" s="388" t="n">
        <v>7</v>
      </c>
      <c r="B191" s="605" t="n">
        <v>183</v>
      </c>
      <c r="C191" s="605" t="inlineStr">
        <is>
          <t>R0168582</t>
        </is>
      </c>
      <c r="D191" s="605" t="inlineStr">
        <is>
          <t>6195 CLERMONT ST</t>
        </is>
      </c>
      <c r="E191" s="605" t="n">
        <v>407</v>
      </c>
      <c r="F191" s="605" t="inlineStr">
        <is>
          <t>COMMERCE CITY</t>
        </is>
      </c>
      <c r="G191" s="605" t="inlineStr">
        <is>
          <t>5</t>
        </is>
      </c>
      <c r="H191" s="59">
        <f>Y191/J191</f>
        <v/>
      </c>
      <c r="I191" s="389" t="n">
        <v>45301</v>
      </c>
      <c r="J191" s="605" t="n">
        <v>80138</v>
      </c>
      <c r="K191" s="59" t="n"/>
      <c r="L191" s="605" t="n">
        <v>80138</v>
      </c>
      <c r="M191" s="605" t="n">
        <v>1994</v>
      </c>
      <c r="P191" s="605" t="inlineStr">
        <is>
          <t>I-3-Com</t>
        </is>
      </c>
      <c r="R191" s="152" t="inlineStr">
        <is>
          <t>Average</t>
        </is>
      </c>
      <c r="S191" s="605" t="n">
        <v>136035</v>
      </c>
      <c r="T191" s="390">
        <f>S191/L191</f>
        <v/>
      </c>
      <c r="U191" s="605" t="inlineStr">
        <is>
          <t>Average</t>
        </is>
      </c>
      <c r="V191" s="390" t="n"/>
      <c r="W191" s="390" t="n"/>
      <c r="X191" s="390" t="n"/>
      <c r="Y191" s="60" t="n">
        <v>12200000</v>
      </c>
      <c r="Z191" s="60" t="n"/>
      <c r="AA191" s="60" t="n">
        <v>12200000</v>
      </c>
      <c r="AB191" s="60" t="n"/>
      <c r="AC191" s="605" t="inlineStr">
        <is>
          <t>0182307204001</t>
        </is>
      </c>
      <c r="AD191" s="605" t="inlineStr">
        <is>
          <t>2024000001735</t>
        </is>
      </c>
      <c r="AE191" s="653" t="inlineStr">
        <is>
          <t>6195 CLERMONT LLC</t>
        </is>
      </c>
      <c r="AF191" s="653" t="inlineStr">
        <is>
          <t>INTERMOUNTAIN ELECTRONICS INC OF PRICE UTAH</t>
        </is>
      </c>
      <c r="AI191" s="605">
        <f>IF(AND($E191=Subj_OccCode,Subj_BldgSF&gt;0,ABS($L191-Subj_BldgSF)&lt;=Subj_BldgSF*Subj_SizeTol),ABS($L191-Subj_BldgSF),NA())</f>
        <v/>
      </c>
      <c r="AJ191">
        <f>IF(ISNA(AI191),NA(),AI191+ROW()/10000000)</f>
        <v/>
      </c>
      <c r="AK191" s="605">
        <f>IF(AND(ISNUMBER($N191),$N191&gt;0,ISNUMBER($Y191)),$Y191/$N191,"")</f>
        <v/>
      </c>
    </row>
    <row r="192" ht="15" customHeight="1" s="545">
      <c r="A192" s="388" t="n">
        <v>7</v>
      </c>
      <c r="B192" s="605" t="n">
        <v>184</v>
      </c>
      <c r="C192" s="605" t="inlineStr">
        <is>
          <t>R0174676</t>
        </is>
      </c>
      <c r="D192" s="605" t="inlineStr">
        <is>
          <t>13701 COLORADO BLVD</t>
        </is>
      </c>
      <c r="E192" s="605" t="n">
        <v>353</v>
      </c>
      <c r="F192" s="605" t="inlineStr">
        <is>
          <t>THORNTON</t>
        </is>
      </c>
      <c r="G192" s="605" t="inlineStr">
        <is>
          <t>3</t>
        </is>
      </c>
      <c r="H192" s="59">
        <f>Y192/J192</f>
        <v/>
      </c>
      <c r="I192" s="389" t="n">
        <v>45280</v>
      </c>
      <c r="J192" s="605" t="n">
        <v>7060</v>
      </c>
      <c r="K192" s="59" t="n"/>
      <c r="L192" s="605" t="n">
        <v>7060</v>
      </c>
      <c r="M192" s="605" t="n">
        <v>2007</v>
      </c>
      <c r="P192" s="605" t="inlineStr">
        <is>
          <t>Planned Development</t>
        </is>
      </c>
      <c r="R192" s="152" t="inlineStr">
        <is>
          <t>Average</t>
        </is>
      </c>
      <c r="S192" s="605" t="n">
        <v>33043</v>
      </c>
      <c r="T192" s="390">
        <f>S192/L192</f>
        <v/>
      </c>
      <c r="U192" s="605" t="inlineStr">
        <is>
          <t>Average</t>
        </is>
      </c>
      <c r="V192" s="390" t="n"/>
      <c r="W192" s="390" t="n"/>
      <c r="X192" s="390" t="n"/>
      <c r="Y192" s="60" t="n">
        <v>2847323</v>
      </c>
      <c r="Z192" s="60" t="n"/>
      <c r="AA192" s="60" t="n">
        <v>2847323</v>
      </c>
      <c r="AB192" s="60" t="n"/>
      <c r="AC192" s="605" t="inlineStr">
        <is>
          <t>0157324418010</t>
        </is>
      </c>
      <c r="AD192" s="605" t="inlineStr">
        <is>
          <t>2023000070206</t>
        </is>
      </c>
      <c r="AE192" s="653" t="inlineStr">
        <is>
          <t>THE 2023 COUSSAN CRUT 6</t>
        </is>
      </c>
      <c r="AF192" s="653" t="inlineStr">
        <is>
          <t>ELZE LLC</t>
        </is>
      </c>
      <c r="AI192" s="605">
        <f>IF(AND($E192=Subj_OccCode,Subj_BldgSF&gt;0,ABS($L192-Subj_BldgSF)&lt;=Subj_BldgSF*Subj_SizeTol),ABS($L192-Subj_BldgSF),NA())</f>
        <v/>
      </c>
      <c r="AJ192">
        <f>IF(ISNA(AI192),NA(),AI192+ROW()/10000000)</f>
        <v/>
      </c>
      <c r="AK192" s="605">
        <f>IF(AND(ISNUMBER($N192),$N192&gt;0,ISNUMBER($Y192)),$Y192/$N192,"")</f>
        <v/>
      </c>
    </row>
    <row r="193" ht="15" customHeight="1" s="545">
      <c r="A193" s="388" t="n">
        <v>7</v>
      </c>
      <c r="B193" s="605" t="n">
        <v>185</v>
      </c>
      <c r="C193" s="605" t="inlineStr">
        <is>
          <t>R0175483</t>
        </is>
      </c>
      <c r="D193" s="605" t="inlineStr">
        <is>
          <t>5590 E 55TH AVE</t>
        </is>
      </c>
      <c r="E193" s="605" t="n">
        <v>325</v>
      </c>
      <c r="F193" s="605" t="inlineStr">
        <is>
          <t>COMMERCE CITY</t>
        </is>
      </c>
      <c r="G193" s="605" t="inlineStr">
        <is>
          <t>5</t>
        </is>
      </c>
      <c r="H193" s="59">
        <f>Y193/J193</f>
        <v/>
      </c>
      <c r="I193" s="389" t="n">
        <v>44887</v>
      </c>
      <c r="J193" s="605" t="n">
        <v>27280</v>
      </c>
      <c r="K193" s="59" t="n"/>
      <c r="L193" s="605" t="n">
        <v>27280</v>
      </c>
      <c r="M193" s="605" t="n">
        <v>1981</v>
      </c>
      <c r="P193" s="605" t="inlineStr">
        <is>
          <t>I-2-Com</t>
        </is>
      </c>
      <c r="R193" s="152" t="inlineStr">
        <is>
          <t>Average</t>
        </is>
      </c>
      <c r="S193" s="605" t="n">
        <v>236242</v>
      </c>
      <c r="T193" s="390">
        <f>S193/L193</f>
        <v/>
      </c>
      <c r="U193" s="605" t="inlineStr">
        <is>
          <t>Average</t>
        </is>
      </c>
      <c r="V193" s="390" t="n"/>
      <c r="W193" s="390" t="n"/>
      <c r="X193" s="390" t="n"/>
      <c r="Y193" s="60" t="n">
        <v>7000000</v>
      </c>
      <c r="Z193" s="60" t="n"/>
      <c r="AA193" s="60" t="n">
        <v>7000000</v>
      </c>
      <c r="AB193" s="60" t="n"/>
      <c r="AC193" s="605" t="inlineStr">
        <is>
          <t>0182318101003</t>
        </is>
      </c>
      <c r="AD193" s="605" t="inlineStr">
        <is>
          <t>2022000092835</t>
        </is>
      </c>
      <c r="AE193" s="653" t="inlineStr">
        <is>
          <t>KONN RICHARD AND , ADINOLFE MICHAEL</t>
        </is>
      </c>
      <c r="AF193" s="653" t="inlineStr">
        <is>
          <t>5590 EAST PARTNERS LLC</t>
        </is>
      </c>
      <c r="AI193" s="605">
        <f>IF(AND($E193=Subj_OccCode,Subj_BldgSF&gt;0,ABS($L193-Subj_BldgSF)&lt;=Subj_BldgSF*Subj_SizeTol),ABS($L193-Subj_BldgSF),NA())</f>
        <v/>
      </c>
      <c r="AJ193">
        <f>IF(ISNA(AI193),NA(),AI193+ROW()/10000000)</f>
        <v/>
      </c>
      <c r="AK193" s="605">
        <f>IF(AND(ISNUMBER($N193),$N193&gt;0,ISNUMBER($Y193)),$Y193/$N193,"")</f>
        <v/>
      </c>
    </row>
    <row r="194" ht="15" customHeight="1" s="545">
      <c r="A194" s="388" t="n">
        <v>7</v>
      </c>
      <c r="B194" s="605" t="n">
        <v>186</v>
      </c>
      <c r="C194" s="605" t="inlineStr">
        <is>
          <t>R0180899</t>
        </is>
      </c>
      <c r="D194" s="605" t="inlineStr">
        <is>
          <t>2360 BRIDGE ST</t>
        </is>
      </c>
      <c r="E194" s="605" t="n">
        <v>412</v>
      </c>
      <c r="F194" s="605" t="inlineStr">
        <is>
          <t>BRIGHTON</t>
        </is>
      </c>
      <c r="G194" s="605" t="inlineStr">
        <is>
          <t>2</t>
        </is>
      </c>
      <c r="H194" s="59">
        <f>Y194/J194</f>
        <v/>
      </c>
      <c r="I194" s="389" t="n">
        <v>45001</v>
      </c>
      <c r="J194" s="605" t="n">
        <v>20043</v>
      </c>
      <c r="K194" s="59" t="n"/>
      <c r="L194" s="605" t="n">
        <v>20043</v>
      </c>
      <c r="M194" s="605" t="n">
        <v>1973</v>
      </c>
      <c r="P194" s="605" t="inlineStr">
        <is>
          <t>PUD-Bri</t>
        </is>
      </c>
      <c r="R194" s="152" t="inlineStr">
        <is>
          <t>Good</t>
        </is>
      </c>
      <c r="S194" s="605" t="n">
        <v>124760</v>
      </c>
      <c r="T194" s="390">
        <f>S194/L194</f>
        <v/>
      </c>
      <c r="U194" s="605" t="inlineStr">
        <is>
          <t>Good</t>
        </is>
      </c>
      <c r="V194" s="390" t="n"/>
      <c r="W194" s="390" t="n"/>
      <c r="X194" s="390" t="n"/>
      <c r="Y194" s="60" t="n">
        <v>3790000</v>
      </c>
      <c r="Z194" s="60" t="n"/>
      <c r="AA194" s="60" t="n">
        <v>3790000</v>
      </c>
      <c r="AB194" s="60" t="n"/>
      <c r="AC194" s="605" t="inlineStr">
        <is>
          <t>0156908105121</t>
        </is>
      </c>
      <c r="AD194" s="605" t="inlineStr">
        <is>
          <t>2023000014041</t>
        </is>
      </c>
      <c r="AE194" s="653" t="inlineStr">
        <is>
          <t>VILLAGE CENTER PARTNERS LLC</t>
        </is>
      </c>
      <c r="AF194" s="653" t="inlineStr">
        <is>
          <t>JYS VILLAGE INC</t>
        </is>
      </c>
      <c r="AI194" s="605">
        <f>IF(AND($E194=Subj_OccCode,Subj_BldgSF&gt;0,ABS($L194-Subj_BldgSF)&lt;=Subj_BldgSF*Subj_SizeTol),ABS($L194-Subj_BldgSF),NA())</f>
        <v/>
      </c>
      <c r="AJ194">
        <f>IF(ISNA(AI194),NA(),AI194+ROW()/10000000)</f>
        <v/>
      </c>
      <c r="AK194" s="605">
        <f>IF(AND(ISNUMBER($N194),$N194&gt;0,ISNUMBER($Y194)),$Y194/$N194,"")</f>
        <v/>
      </c>
    </row>
    <row r="195" ht="15" customHeight="1" s="545">
      <c r="A195" s="388" t="n">
        <v>7</v>
      </c>
      <c r="B195" s="605" t="n">
        <v>187</v>
      </c>
      <c r="C195" s="605" t="inlineStr">
        <is>
          <t>R0050171</t>
        </is>
      </c>
      <c r="D195" s="605" t="inlineStr">
        <is>
          <t>8950 FEDERAL BLVD</t>
        </is>
      </c>
      <c r="E195" s="605" t="n">
        <v>325</v>
      </c>
      <c r="F195" s="605" t="inlineStr">
        <is>
          <t>FEDERAL HEIGHTS</t>
        </is>
      </c>
      <c r="G195" s="605" t="inlineStr">
        <is>
          <t>4</t>
        </is>
      </c>
      <c r="H195" s="59">
        <f>Y195/J195</f>
        <v/>
      </c>
      <c r="I195" s="389" t="n">
        <v>45299</v>
      </c>
      <c r="J195" s="605" t="n">
        <v>4200</v>
      </c>
      <c r="K195" s="59" t="n"/>
      <c r="L195" s="605" t="n">
        <v>4200</v>
      </c>
      <c r="M195" s="605" t="n">
        <v>1985</v>
      </c>
      <c r="P195" s="605" t="inlineStr">
        <is>
          <t>C-1-Fed</t>
        </is>
      </c>
      <c r="R195" s="152" t="inlineStr">
        <is>
          <t>Average</t>
        </is>
      </c>
      <c r="S195" s="605" t="n">
        <v>35719</v>
      </c>
      <c r="T195" s="390">
        <f>S195/L195</f>
        <v/>
      </c>
      <c r="U195" s="605" t="inlineStr">
        <is>
          <t>Average</t>
        </is>
      </c>
      <c r="V195" s="390" t="n"/>
      <c r="W195" s="390" t="n"/>
      <c r="X195" s="390" t="n"/>
      <c r="Y195" s="60" t="n">
        <v>1100000</v>
      </c>
      <c r="Z195" s="60" t="n"/>
      <c r="AA195" s="60" t="n">
        <v>1100000</v>
      </c>
      <c r="AB195" s="60" t="n"/>
      <c r="AC195" s="605" t="inlineStr">
        <is>
          <t>0171920415003</t>
        </is>
      </c>
      <c r="AD195" s="605" t="inlineStr">
        <is>
          <t>2024000001132</t>
        </is>
      </c>
      <c r="AE195" s="653" t="inlineStr">
        <is>
          <t>AMERICAN LAND CRUISERS INC</t>
        </is>
      </c>
      <c r="AF195" s="653" t="inlineStr">
        <is>
          <t>WIDHALM PROPERTIES LLC</t>
        </is>
      </c>
      <c r="AI195" s="605">
        <f>IF(AND($E195=Subj_OccCode,Subj_BldgSF&gt;0,ABS($L195-Subj_BldgSF)&lt;=Subj_BldgSF*Subj_SizeTol),ABS($L195-Subj_BldgSF),NA())</f>
        <v/>
      </c>
      <c r="AJ195">
        <f>IF(ISNA(AI195),NA(),AI195+ROW()/10000000)</f>
        <v/>
      </c>
      <c r="AK195" s="605">
        <f>IF(AND(ISNUMBER($N195),$N195&gt;0,ISNUMBER($Y195)),$Y195/$N195,"")</f>
        <v/>
      </c>
    </row>
    <row r="196" ht="15" customHeight="1" s="545">
      <c r="A196" s="388" t="n">
        <v>7</v>
      </c>
      <c r="B196" s="605" t="n">
        <v>188</v>
      </c>
      <c r="C196" s="605" t="inlineStr">
        <is>
          <t>R0095050</t>
        </is>
      </c>
      <c r="D196" s="605" t="inlineStr">
        <is>
          <t>1535 CHESTER ST</t>
        </is>
      </c>
      <c r="E196" s="605" t="n">
        <v>325</v>
      </c>
      <c r="F196" s="605" t="inlineStr">
        <is>
          <t>AURORA</t>
        </is>
      </c>
      <c r="G196" s="605" t="inlineStr">
        <is>
          <t>6</t>
        </is>
      </c>
      <c r="H196" s="59">
        <f>Y196/J196</f>
        <v/>
      </c>
      <c r="I196" s="389" t="n">
        <v>45054</v>
      </c>
      <c r="J196" s="605" t="n">
        <v>3766</v>
      </c>
      <c r="K196" s="59" t="n"/>
      <c r="L196" s="605" t="n">
        <v>3766</v>
      </c>
      <c r="M196" s="605" t="n">
        <v>1964</v>
      </c>
      <c r="P196" s="605" t="inlineStr">
        <is>
          <t>OA-MS</t>
        </is>
      </c>
      <c r="R196" s="152" t="inlineStr">
        <is>
          <t>Average</t>
        </is>
      </c>
      <c r="S196" s="605" t="n">
        <v>9375</v>
      </c>
      <c r="T196" s="390">
        <f>S196/L196</f>
        <v/>
      </c>
      <c r="U196" s="605" t="inlineStr">
        <is>
          <t>Average</t>
        </is>
      </c>
      <c r="V196" s="390" t="n"/>
      <c r="W196" s="390" t="n"/>
      <c r="X196" s="390" t="n"/>
      <c r="Y196" s="60" t="n">
        <v>539000</v>
      </c>
      <c r="Z196" s="60" t="n"/>
      <c r="AA196" s="60" t="n">
        <v>539000</v>
      </c>
      <c r="AB196" s="60" t="n"/>
      <c r="AC196" s="605" t="inlineStr">
        <is>
          <t>0182334328012</t>
        </is>
      </c>
      <c r="AD196" s="605" t="inlineStr">
        <is>
          <t>2023000027439</t>
        </is>
      </c>
      <c r="AE196" s="653" t="inlineStr">
        <is>
          <t>MARTINEZ ORLANDO UND 80% INT AND, MUNOZ LUIS UND 20% INT</t>
        </is>
      </c>
      <c r="AF196" s="653" t="inlineStr">
        <is>
          <t>DURAN GUILLEN FABIOLA</t>
        </is>
      </c>
      <c r="AI196" s="605">
        <f>IF(AND($E196=Subj_OccCode,Subj_BldgSF&gt;0,ABS($L196-Subj_BldgSF)&lt;=Subj_BldgSF*Subj_SizeTol),ABS($L196-Subj_BldgSF),NA())</f>
        <v/>
      </c>
      <c r="AJ196">
        <f>IF(ISNA(AI196),NA(),AI196+ROW()/10000000)</f>
        <v/>
      </c>
      <c r="AK196" s="605">
        <f>IF(AND(ISNUMBER($N196),$N196&gt;0,ISNUMBER($Y196)),$Y196/$N196,"")</f>
        <v/>
      </c>
    </row>
    <row r="197" ht="15" customHeight="1" s="545">
      <c r="A197" s="388" t="n">
        <v>7</v>
      </c>
      <c r="B197" s="605" t="n">
        <v>189</v>
      </c>
      <c r="C197" s="605" t="inlineStr">
        <is>
          <t>R0095648</t>
        </is>
      </c>
      <c r="D197" s="605" t="inlineStr">
        <is>
          <t>1540 GALENA ST</t>
        </is>
      </c>
      <c r="E197" s="605" t="n">
        <v>344</v>
      </c>
      <c r="F197" s="605" t="inlineStr">
        <is>
          <t>AURORA</t>
        </is>
      </c>
      <c r="G197" s="605" t="inlineStr">
        <is>
          <t>6</t>
        </is>
      </c>
      <c r="H197" s="59">
        <f>Y197/J197</f>
        <v/>
      </c>
      <c r="I197" s="389" t="n">
        <v>44778</v>
      </c>
      <c r="J197" s="605" t="n">
        <v>1041</v>
      </c>
      <c r="K197" s="59" t="n"/>
      <c r="L197" s="605" t="n">
        <v>1041</v>
      </c>
      <c r="M197" s="605" t="n">
        <v>1918</v>
      </c>
      <c r="P197" s="605" t="inlineStr">
        <is>
          <t>OA-MS</t>
        </is>
      </c>
      <c r="R197" s="152" t="inlineStr">
        <is>
          <t>Average</t>
        </is>
      </c>
      <c r="S197" s="605" t="n">
        <v>6350</v>
      </c>
      <c r="T197" s="390">
        <f>S197/L197</f>
        <v/>
      </c>
      <c r="U197" s="605" t="inlineStr">
        <is>
          <t>Average</t>
        </is>
      </c>
      <c r="V197" s="390" t="n"/>
      <c r="W197" s="390" t="n"/>
      <c r="X197" s="390" t="n"/>
      <c r="Y197" s="60" t="n">
        <v>351500</v>
      </c>
      <c r="Z197" s="60" t="n"/>
      <c r="AA197" s="60" t="n">
        <v>351500</v>
      </c>
      <c r="AB197" s="60" t="n"/>
      <c r="AC197" s="605" t="inlineStr">
        <is>
          <t>0182334428006</t>
        </is>
      </c>
      <c r="AD197" s="605" t="inlineStr">
        <is>
          <t>2022000068436</t>
        </is>
      </c>
      <c r="AE197" s="653" t="inlineStr">
        <is>
          <t>BEFORT PLUMBING AND HEATING COMPANY INC</t>
        </is>
      </c>
      <c r="AF197" s="653" t="inlineStr">
        <is>
          <t>DE HARO MARIA M.</t>
        </is>
      </c>
      <c r="AI197" s="605">
        <f>IF(AND($E197=Subj_OccCode,Subj_BldgSF&gt;0,ABS($L197-Subj_BldgSF)&lt;=Subj_BldgSF*Subj_SizeTol),ABS($L197-Subj_BldgSF),NA())</f>
        <v/>
      </c>
      <c r="AJ197">
        <f>IF(ISNA(AI197),NA(),AI197+ROW()/10000000)</f>
        <v/>
      </c>
      <c r="AK197" s="605">
        <f>IF(AND(ISNUMBER($N197),$N197&gt;0,ISNUMBER($Y197)),$Y197/$N197,"")</f>
        <v/>
      </c>
    </row>
    <row r="198" ht="15" customHeight="1" s="545">
      <c r="A198" s="388" t="n">
        <v>7</v>
      </c>
      <c r="B198" s="605" t="n">
        <v>190</v>
      </c>
      <c r="C198" s="605" t="inlineStr">
        <is>
          <t>R0109567</t>
        </is>
      </c>
      <c r="D198" s="605" t="inlineStr">
        <is>
          <t>8879 FOX DR</t>
        </is>
      </c>
      <c r="E198" s="605" t="n">
        <v>406</v>
      </c>
      <c r="F198" s="605" t="inlineStr">
        <is>
          <t>THORNTON</t>
        </is>
      </c>
      <c r="G198" s="605" t="inlineStr">
        <is>
          <t>4</t>
        </is>
      </c>
      <c r="H198" s="59">
        <f>Y198/J198</f>
        <v/>
      </c>
      <c r="I198" s="389" t="n">
        <v>44981</v>
      </c>
      <c r="J198" s="605" t="n">
        <v>13516</v>
      </c>
      <c r="K198" s="59" t="n"/>
      <c r="L198" s="605" t="n">
        <v>13516</v>
      </c>
      <c r="M198" s="605" t="n">
        <v>1997</v>
      </c>
      <c r="P198" s="605" t="inlineStr">
        <is>
          <t>Community Retail</t>
        </is>
      </c>
      <c r="R198" s="152" t="inlineStr">
        <is>
          <t>Average</t>
        </is>
      </c>
      <c r="S198" s="605" t="n">
        <v>50790.9609</v>
      </c>
      <c r="T198" s="390">
        <f>S198/L198</f>
        <v/>
      </c>
      <c r="U198" s="605" t="inlineStr">
        <is>
          <t>Average</t>
        </is>
      </c>
      <c r="V198" s="390" t="n"/>
      <c r="W198" s="390" t="n"/>
      <c r="X198" s="390" t="n"/>
      <c r="Y198" s="60" t="n">
        <v>2600000</v>
      </c>
      <c r="Z198" s="60" t="n"/>
      <c r="AA198" s="60" t="n">
        <v>2600000</v>
      </c>
      <c r="AB198" s="60" t="n"/>
      <c r="AC198" s="605" t="inlineStr">
        <is>
          <t>0171922304015</t>
        </is>
      </c>
      <c r="AD198" s="605" t="inlineStr">
        <is>
          <t>2023000010580</t>
        </is>
      </c>
      <c r="AE198" s="653" t="inlineStr">
        <is>
          <t>WEPRIN PROPERTIES LLC</t>
        </is>
      </c>
      <c r="AF198" s="653" t="inlineStr">
        <is>
          <t>8879 FOX DRIVE LLC</t>
        </is>
      </c>
      <c r="AI198" s="605">
        <f>IF(AND($E198=Subj_OccCode,Subj_BldgSF&gt;0,ABS($L198-Subj_BldgSF)&lt;=Subj_BldgSF*Subj_SizeTol),ABS($L198-Subj_BldgSF),NA())</f>
        <v/>
      </c>
      <c r="AJ198">
        <f>IF(ISNA(AI198),NA(),AI198+ROW()/10000000)</f>
        <v/>
      </c>
      <c r="AK198" s="605">
        <f>IF(AND(ISNUMBER($N198),$N198&gt;0,ISNUMBER($Y198)),$Y198/$N198,"")</f>
        <v/>
      </c>
    </row>
    <row r="199" ht="15" customHeight="1" s="545">
      <c r="A199" s="388" t="n">
        <v>7</v>
      </c>
      <c r="B199" s="605" t="n">
        <v>191</v>
      </c>
      <c r="C199" s="605" t="inlineStr">
        <is>
          <t>R0129930</t>
        </is>
      </c>
      <c r="D199" s="605" t="inlineStr">
        <is>
          <t>37550 ASTRA WAY #3E</t>
        </is>
      </c>
      <c r="E199" s="605" t="n">
        <v>328</v>
      </c>
      <c r="G199" s="605" t="inlineStr">
        <is>
          <t>1</t>
        </is>
      </c>
      <c r="H199" s="59">
        <f>Y199/J199</f>
        <v/>
      </c>
      <c r="I199" s="389" t="n">
        <v>45191</v>
      </c>
      <c r="J199" s="605" t="n">
        <v>2900</v>
      </c>
      <c r="K199" s="59" t="n"/>
      <c r="L199" s="605" t="n">
        <v>2900</v>
      </c>
      <c r="M199" s="605" t="n">
        <v>2000</v>
      </c>
      <c r="R199" s="152" t="inlineStr">
        <is>
          <t>Average</t>
        </is>
      </c>
      <c r="T199" s="390">
        <f>S199/L199</f>
        <v/>
      </c>
      <c r="U199" s="605" t="inlineStr">
        <is>
          <t>Average</t>
        </is>
      </c>
      <c r="V199" s="390" t="n"/>
      <c r="W199" s="390" t="n"/>
      <c r="X199" s="390" t="n"/>
      <c r="Y199" s="60" t="n">
        <v>525000</v>
      </c>
      <c r="Z199" s="60" t="n"/>
      <c r="AA199" s="60" t="n">
        <v>525000</v>
      </c>
      <c r="AB199" s="60" t="n"/>
      <c r="AC199" s="605" t="inlineStr">
        <is>
          <t>0181716405008</t>
        </is>
      </c>
      <c r="AD199" s="605" t="inlineStr">
        <is>
          <t>2023000056284</t>
        </is>
      </c>
      <c r="AE199" s="653" t="inlineStr">
        <is>
          <t>GUSTTE PHILIP O AND, GUSTTE TIFFANY A</t>
        </is>
      </c>
      <c r="AF199" s="653" t="inlineStr">
        <is>
          <t>BECK KEN AND, BECK ADRIENNE</t>
        </is>
      </c>
      <c r="AI199" s="605">
        <f>IF(AND($E199=Subj_OccCode,Subj_BldgSF&gt;0,ABS($L199-Subj_BldgSF)&lt;=Subj_BldgSF*Subj_SizeTol),ABS($L199-Subj_BldgSF),NA())</f>
        <v/>
      </c>
      <c r="AJ199">
        <f>IF(ISNA(AI199),NA(),AI199+ROW()/10000000)</f>
        <v/>
      </c>
      <c r="AK199" s="605">
        <f>IF(AND(ISNUMBER($N199),$N199&gt;0,ISNUMBER($Y199)),$Y199/$N199,"")</f>
        <v/>
      </c>
    </row>
    <row r="200" ht="15" customHeight="1" s="545">
      <c r="A200" s="388" t="n">
        <v>7</v>
      </c>
      <c r="B200" s="605" t="n">
        <v>192</v>
      </c>
      <c r="C200" s="605" t="inlineStr">
        <is>
          <t>R0178958</t>
        </is>
      </c>
      <c r="D200" s="605" t="inlineStr">
        <is>
          <t>37650 ASTRA WAY</t>
        </is>
      </c>
      <c r="E200" s="605" t="n">
        <v>328</v>
      </c>
      <c r="G200" s="605" t="inlineStr">
        <is>
          <t>1</t>
        </is>
      </c>
      <c r="H200" s="59">
        <f>Y200/J200</f>
        <v/>
      </c>
      <c r="I200" s="389" t="n">
        <v>44854</v>
      </c>
      <c r="J200" s="605" t="n">
        <v>4900</v>
      </c>
      <c r="K200" s="59" t="n"/>
      <c r="L200" s="605" t="n">
        <v>4900</v>
      </c>
      <c r="M200" s="605" t="n">
        <v>1997</v>
      </c>
      <c r="R200" s="152" t="inlineStr">
        <is>
          <t>Average</t>
        </is>
      </c>
      <c r="T200" s="390">
        <f>S200/L200</f>
        <v/>
      </c>
      <c r="U200" s="605" t="inlineStr">
        <is>
          <t>Average</t>
        </is>
      </c>
      <c r="V200" s="390" t="n"/>
      <c r="W200" s="390" t="n"/>
      <c r="X200" s="390" t="n"/>
      <c r="Y200" s="60" t="n">
        <v>533000</v>
      </c>
      <c r="Z200" s="60" t="n"/>
      <c r="AA200" s="60" t="n">
        <v>533000</v>
      </c>
      <c r="AB200" s="60" t="n"/>
      <c r="AC200" s="605" t="inlineStr">
        <is>
          <t>0181716400040</t>
        </is>
      </c>
      <c r="AD200" s="605" t="inlineStr">
        <is>
          <t>2022000087700</t>
        </is>
      </c>
      <c r="AE200" s="653" t="inlineStr">
        <is>
          <t>END-IRA INC FBO RODNEY W LUECK IRA</t>
        </is>
      </c>
      <c r="AF200" s="653" t="inlineStr">
        <is>
          <t>RANDEL VERNON E AND, RANDEL CHERYL V</t>
        </is>
      </c>
      <c r="AI200" s="605">
        <f>IF(AND($E200=Subj_OccCode,Subj_BldgSF&gt;0,ABS($L200-Subj_BldgSF)&lt;=Subj_BldgSF*Subj_SizeTol),ABS($L200-Subj_BldgSF),NA())</f>
        <v/>
      </c>
      <c r="AJ200">
        <f>IF(ISNA(AI200),NA(),AI200+ROW()/10000000)</f>
        <v/>
      </c>
      <c r="AK200" s="605">
        <f>IF(AND(ISNUMBER($N200),$N200&gt;0,ISNUMBER($Y200)),$Y200/$N200,"")</f>
        <v/>
      </c>
    </row>
    <row r="201" ht="15" customHeight="1" s="545">
      <c r="A201" s="388" t="n">
        <v>7</v>
      </c>
      <c r="B201" s="605" t="n">
        <v>193</v>
      </c>
      <c r="C201" s="605" t="inlineStr">
        <is>
          <t>R0180591</t>
        </is>
      </c>
      <c r="D201" s="605" t="inlineStr">
        <is>
          <t>780 W 84TH AVE</t>
        </is>
      </c>
      <c r="E201" s="605" t="n">
        <v>408</v>
      </c>
      <c r="F201" s="605" t="inlineStr">
        <is>
          <t>THORNTON</t>
        </is>
      </c>
      <c r="G201" s="605" t="inlineStr">
        <is>
          <t>4</t>
        </is>
      </c>
      <c r="H201" s="59">
        <f>Y201/J201</f>
        <v/>
      </c>
      <c r="I201" s="389" t="n">
        <v>45218</v>
      </c>
      <c r="J201" s="605" t="n">
        <v>1920</v>
      </c>
      <c r="K201" s="59" t="n"/>
      <c r="L201" s="605" t="n">
        <v>1920</v>
      </c>
      <c r="M201" s="605" t="n">
        <v>1963</v>
      </c>
      <c r="P201" s="605" t="inlineStr">
        <is>
          <t>Community Retail</t>
        </is>
      </c>
      <c r="R201" s="152" t="inlineStr">
        <is>
          <t>Average</t>
        </is>
      </c>
      <c r="S201" s="605" t="n">
        <v>16563</v>
      </c>
      <c r="T201" s="390">
        <f>S201/L201</f>
        <v/>
      </c>
      <c r="U201" s="605" t="inlineStr">
        <is>
          <t>Average</t>
        </is>
      </c>
      <c r="V201" s="390" t="n"/>
      <c r="W201" s="390" t="n"/>
      <c r="X201" s="390" t="n"/>
      <c r="Y201" s="60" t="n">
        <v>788889</v>
      </c>
      <c r="Z201" s="60" t="n"/>
      <c r="AA201" s="60" t="n">
        <v>788889</v>
      </c>
      <c r="AB201" s="60" t="n"/>
      <c r="AC201" s="605" t="inlineStr">
        <is>
          <t>0171927306015</t>
        </is>
      </c>
      <c r="AD201" s="605" t="inlineStr">
        <is>
          <t>2023000060514</t>
        </is>
      </c>
      <c r="AE201" s="653" t="inlineStr">
        <is>
          <t>RRS HOLDINGS LLC</t>
        </is>
      </c>
      <c r="AF201" s="653" t="inlineStr">
        <is>
          <t>FOXFIELD GEARS HOLDINGS LLC</t>
        </is>
      </c>
      <c r="AI201" s="605">
        <f>IF(AND($E201=Subj_OccCode,Subj_BldgSF&gt;0,ABS($L201-Subj_BldgSF)&lt;=Subj_BldgSF*Subj_SizeTol),ABS($L201-Subj_BldgSF),NA())</f>
        <v/>
      </c>
      <c r="AJ201">
        <f>IF(ISNA(AI201),NA(),AI201+ROW()/10000000)</f>
        <v/>
      </c>
      <c r="AK201" s="605">
        <f>IF(AND(ISNUMBER($N201),$N201&gt;0,ISNUMBER($Y201)),$Y201/$N201,"")</f>
        <v/>
      </c>
    </row>
    <row r="202" ht="15" customHeight="1" s="545">
      <c r="A202" s="388" t="n">
        <v>7</v>
      </c>
      <c r="B202" s="605" t="n">
        <v>194</v>
      </c>
      <c r="C202" s="605" t="inlineStr">
        <is>
          <t>R0204250</t>
        </is>
      </c>
      <c r="D202" s="605" t="inlineStr">
        <is>
          <t>2205 E 104TH AVE</t>
        </is>
      </c>
      <c r="E202" s="605" t="n">
        <v>419</v>
      </c>
      <c r="F202" s="605" t="inlineStr">
        <is>
          <t>NORTHGLENN</t>
        </is>
      </c>
      <c r="G202" s="605" t="inlineStr">
        <is>
          <t>4</t>
        </is>
      </c>
      <c r="H202" s="59">
        <f>Y202/J202</f>
        <v/>
      </c>
      <c r="I202" s="389" t="n">
        <v>44924</v>
      </c>
      <c r="J202" s="605" t="n">
        <v>3479</v>
      </c>
      <c r="K202" s="59" t="n"/>
      <c r="L202" s="605" t="n">
        <v>3479</v>
      </c>
      <c r="M202" s="605" t="n">
        <v>2022</v>
      </c>
      <c r="R202" s="152" t="inlineStr">
        <is>
          <t>Average</t>
        </is>
      </c>
      <c r="S202" s="605" t="n">
        <v>42879</v>
      </c>
      <c r="T202" s="390">
        <f>S202/L202</f>
        <v/>
      </c>
      <c r="U202" s="605" t="inlineStr">
        <is>
          <t>Average</t>
        </is>
      </c>
      <c r="V202" s="390" t="n"/>
      <c r="W202" s="390" t="n"/>
      <c r="X202" s="390" t="n"/>
      <c r="Y202" s="60" t="n">
        <v>6715000</v>
      </c>
      <c r="Z202" s="60" t="n"/>
      <c r="AA202" s="60" t="n">
        <v>6715000</v>
      </c>
      <c r="AB202" s="60" t="n"/>
      <c r="AC202" s="605" t="inlineStr">
        <is>
          <t>0171911405022</t>
        </is>
      </c>
      <c r="AD202" s="605" t="inlineStr">
        <is>
          <t>2022000100096</t>
        </is>
      </c>
      <c r="AE202" s="653" t="inlineStr">
        <is>
          <t>41581 NORTHGLENN CO LLC</t>
        </is>
      </c>
      <c r="AF202" s="653" t="inlineStr">
        <is>
          <t>WPMO INVESTMENTS LLC</t>
        </is>
      </c>
      <c r="AI202" s="605">
        <f>IF(AND($E202=Subj_OccCode,Subj_BldgSF&gt;0,ABS($L202-Subj_BldgSF)&lt;=Subj_BldgSF*Subj_SizeTol),ABS($L202-Subj_BldgSF),NA())</f>
        <v/>
      </c>
      <c r="AJ202">
        <f>IF(ISNA(AI202),NA(),AI202+ROW()/10000000)</f>
        <v/>
      </c>
      <c r="AK202" s="605">
        <f>IF(AND(ISNUMBER($N202),$N202&gt;0,ISNUMBER($Y202)),$Y202/$N202,"")</f>
        <v/>
      </c>
    </row>
    <row r="203" ht="15" customHeight="1" s="545">
      <c r="A203" s="388" t="n">
        <v>7</v>
      </c>
      <c r="B203" s="605" t="n">
        <v>195</v>
      </c>
      <c r="C203" s="605" t="inlineStr">
        <is>
          <t>R0208122</t>
        </is>
      </c>
      <c r="D203" s="605" t="inlineStr">
        <is>
          <t>14190 ORCHARD PKWY</t>
        </is>
      </c>
      <c r="E203" s="605" t="n">
        <v>341</v>
      </c>
      <c r="F203" s="605" t="inlineStr">
        <is>
          <t>WESTMINSTER</t>
        </is>
      </c>
      <c r="G203" s="605" t="inlineStr">
        <is>
          <t>3</t>
        </is>
      </c>
      <c r="H203" s="59">
        <f>Y203/J203</f>
        <v/>
      </c>
      <c r="I203" s="389" t="n">
        <v>45401</v>
      </c>
      <c r="J203" s="605" t="n">
        <v>74610</v>
      </c>
      <c r="K203" s="59" t="n"/>
      <c r="L203" s="605" t="n">
        <v>74610</v>
      </c>
      <c r="M203" s="605" t="n">
        <v>2021</v>
      </c>
      <c r="R203" s="152" t="inlineStr">
        <is>
          <t>Good</t>
        </is>
      </c>
      <c r="S203" s="605" t="n">
        <v>67984</v>
      </c>
      <c r="T203" s="390">
        <f>S203/L203</f>
        <v/>
      </c>
      <c r="U203" s="605" t="inlineStr">
        <is>
          <t>Good</t>
        </is>
      </c>
      <c r="V203" s="390" t="n"/>
      <c r="W203" s="390" t="n"/>
      <c r="X203" s="390" t="n"/>
      <c r="Y203" s="60" t="n">
        <v>30550000</v>
      </c>
      <c r="Z203" s="60" t="n"/>
      <c r="AA203" s="60" t="n">
        <v>30550000</v>
      </c>
      <c r="AB203" s="60" t="n"/>
      <c r="AC203" s="605" t="inlineStr">
        <is>
          <t>0157322201010</t>
        </is>
      </c>
      <c r="AD203" s="605" t="inlineStr">
        <is>
          <t>2024000023645</t>
        </is>
      </c>
      <c r="AE203" s="653" t="inlineStr">
        <is>
          <t>NORTH DENVER MOB LLC</t>
        </is>
      </c>
      <c r="AF203" s="653" t="inlineStr">
        <is>
          <t>WESTMINSTER 14190 MP RK6 LLC, C/O REMEDY MEDICAL PROPERTIES</t>
        </is>
      </c>
      <c r="AI203" s="605">
        <f>IF(AND($E203=Subj_OccCode,Subj_BldgSF&gt;0,ABS($L203-Subj_BldgSF)&lt;=Subj_BldgSF*Subj_SizeTol),ABS($L203-Subj_BldgSF),NA())</f>
        <v/>
      </c>
      <c r="AJ203">
        <f>IF(ISNA(AI203),NA(),AI203+ROW()/10000000)</f>
        <v/>
      </c>
      <c r="AK203" s="605">
        <f>IF(AND(ISNUMBER($N203),$N203&gt;0,ISNUMBER($Y203)),$Y203/$N203,"")</f>
        <v/>
      </c>
    </row>
    <row r="204" ht="15" customHeight="1" s="545">
      <c r="A204" s="388" t="n">
        <v>7</v>
      </c>
      <c r="B204" s="605" t="n">
        <v>196</v>
      </c>
      <c r="C204" s="605" t="inlineStr">
        <is>
          <t>R0208788</t>
        </is>
      </c>
      <c r="D204" s="605" t="inlineStr">
        <is>
          <t>5140 VIOLET HILL ST #S2</t>
        </is>
      </c>
      <c r="E204" s="605" t="n">
        <v>328</v>
      </c>
      <c r="G204" s="605" t="inlineStr">
        <is>
          <t>1</t>
        </is>
      </c>
      <c r="H204" s="59">
        <f>Y204/J204</f>
        <v/>
      </c>
      <c r="I204" s="389" t="n">
        <v>45107</v>
      </c>
      <c r="J204" s="605" t="n">
        <v>2465</v>
      </c>
      <c r="K204" s="59" t="n"/>
      <c r="L204" s="605" t="n">
        <v>2465</v>
      </c>
      <c r="R204" s="152" t="inlineStr">
        <is>
          <t>Average</t>
        </is>
      </c>
      <c r="T204" s="390">
        <f>S204/L204</f>
        <v/>
      </c>
      <c r="U204" s="605" t="inlineStr">
        <is>
          <t>Average</t>
        </is>
      </c>
      <c r="V204" s="390" t="n"/>
      <c r="W204" s="390" t="n"/>
      <c r="X204" s="390" t="n"/>
      <c r="Y204" s="60" t="n">
        <v>240000</v>
      </c>
      <c r="Z204" s="60" t="n"/>
      <c r="AA204" s="60" t="n">
        <v>240000</v>
      </c>
      <c r="AB204" s="60" t="n"/>
      <c r="AC204" s="605" t="inlineStr">
        <is>
          <t>0181716411018</t>
        </is>
      </c>
      <c r="AD204" s="605" t="inlineStr">
        <is>
          <t>2023000038486</t>
        </is>
      </c>
      <c r="AE204" s="653" t="inlineStr">
        <is>
          <t>TBM 03X LLC</t>
        </is>
      </c>
      <c r="AF204" s="653" t="inlineStr">
        <is>
          <t>WINDERMERE PROPERTIES LLC</t>
        </is>
      </c>
      <c r="AI204" s="605">
        <f>IF(AND($E204=Subj_OccCode,Subj_BldgSF&gt;0,ABS($L204-Subj_BldgSF)&lt;=Subj_BldgSF*Subj_SizeTol),ABS($L204-Subj_BldgSF),NA())</f>
        <v/>
      </c>
      <c r="AJ204">
        <f>IF(ISNA(AI204),NA(),AI204+ROW()/10000000)</f>
        <v/>
      </c>
      <c r="AK204" s="605">
        <f>IF(AND(ISNUMBER($N204),$N204&gt;0,ISNUMBER($Y204)),$Y204/$N204,"")</f>
        <v/>
      </c>
    </row>
    <row r="205" ht="15" customHeight="1" s="545">
      <c r="A205" s="388" t="n">
        <v>7</v>
      </c>
      <c r="B205" s="605" t="n">
        <v>197</v>
      </c>
      <c r="C205" s="605" t="inlineStr">
        <is>
          <t>R0213047</t>
        </is>
      </c>
      <c r="D205" s="605" t="inlineStr">
        <is>
          <t>9658 HAVANA ST #1F</t>
        </is>
      </c>
      <c r="E205" s="605" t="n">
        <v>425</v>
      </c>
      <c r="F205" s="605" t="inlineStr">
        <is>
          <t>COMMERCE CITY</t>
        </is>
      </c>
      <c r="G205" s="605" t="inlineStr">
        <is>
          <t>5</t>
        </is>
      </c>
      <c r="H205" s="59">
        <f>Y205/J205</f>
        <v/>
      </c>
      <c r="I205" s="389" t="n">
        <v>44762</v>
      </c>
      <c r="J205" s="605" t="n">
        <v>7560</v>
      </c>
      <c r="K205" s="59" t="n"/>
      <c r="L205" s="605" t="n">
        <v>7560</v>
      </c>
      <c r="M205" s="605" t="n">
        <v>2022</v>
      </c>
      <c r="R205" s="152" t="inlineStr">
        <is>
          <t>Average</t>
        </is>
      </c>
      <c r="S205" s="605" t="n">
        <v>0</v>
      </c>
      <c r="T205" s="390">
        <f>S205/L205</f>
        <v/>
      </c>
      <c r="U205" s="605" t="inlineStr">
        <is>
          <t>Average</t>
        </is>
      </c>
      <c r="V205" s="390" t="n"/>
      <c r="W205" s="390" t="n"/>
      <c r="X205" s="390" t="n"/>
      <c r="Y205" s="60" t="n">
        <v>249750</v>
      </c>
      <c r="Z205" s="60" t="n"/>
      <c r="AA205" s="60" t="n">
        <v>249750</v>
      </c>
      <c r="AB205" s="60" t="n"/>
      <c r="AC205" s="605" t="inlineStr">
        <is>
          <t>0172115405005</t>
        </is>
      </c>
      <c r="AD205" s="605" t="inlineStr">
        <is>
          <t>2022000063858</t>
        </is>
      </c>
      <c r="AE205" s="653" t="inlineStr">
        <is>
          <t>THE GARAGE SOCIETY HOLDINGS LLC</t>
        </is>
      </c>
      <c r="AF205" s="653" t="inlineStr">
        <is>
          <t>O'HARA SEAN M AND, O'HARA STEPHANIE H</t>
        </is>
      </c>
      <c r="AI205" s="605">
        <f>IF(AND($E205=Subj_OccCode,Subj_BldgSF&gt;0,ABS($L205-Subj_BldgSF)&lt;=Subj_BldgSF*Subj_SizeTol),ABS($L205-Subj_BldgSF),NA())</f>
        <v/>
      </c>
      <c r="AJ205">
        <f>IF(ISNA(AI205),NA(),AI205+ROW()/10000000)</f>
        <v/>
      </c>
      <c r="AK205" s="605">
        <f>IF(AND(ISNUMBER($N205),$N205&gt;0,ISNUMBER($Y205)),$Y205/$N205,"")</f>
        <v/>
      </c>
    </row>
    <row r="206" ht="15" customHeight="1" s="545">
      <c r="A206" s="388" t="n">
        <v>7</v>
      </c>
      <c r="B206" s="605" t="n">
        <v>198</v>
      </c>
      <c r="C206" s="605" t="inlineStr">
        <is>
          <t>R0222671</t>
        </is>
      </c>
      <c r="D206" s="605" t="inlineStr">
        <is>
          <t>37851 E 51ST AVE #W5</t>
        </is>
      </c>
      <c r="E206" s="605" t="n">
        <v>328</v>
      </c>
      <c r="G206" s="605" t="inlineStr">
        <is>
          <t>1</t>
        </is>
      </c>
      <c r="H206" s="59">
        <f>Y206/J206</f>
        <v/>
      </c>
      <c r="I206" s="389" t="n">
        <v>45390</v>
      </c>
      <c r="J206" s="605" t="n">
        <v>2930</v>
      </c>
      <c r="K206" s="59" t="n"/>
      <c r="L206" s="605" t="n">
        <v>2930</v>
      </c>
      <c r="M206" s="605" t="n">
        <v>2024</v>
      </c>
      <c r="R206" s="152" t="inlineStr">
        <is>
          <t>Average</t>
        </is>
      </c>
      <c r="T206" s="390">
        <f>S206/L206</f>
        <v/>
      </c>
      <c r="U206" s="605" t="inlineStr">
        <is>
          <t>Average</t>
        </is>
      </c>
      <c r="V206" s="390" t="n"/>
      <c r="W206" s="390" t="n"/>
      <c r="X206" s="390" t="n"/>
      <c r="Y206" s="60" t="n">
        <v>313711</v>
      </c>
      <c r="Z206" s="60" t="n"/>
      <c r="AA206" s="60" t="n">
        <v>313711</v>
      </c>
      <c r="AB206" s="60" t="n"/>
      <c r="AC206" s="605" t="inlineStr">
        <is>
          <t>0181715300029</t>
        </is>
      </c>
      <c r="AD206" s="605" t="inlineStr">
        <is>
          <t>2024000024071</t>
        </is>
      </c>
      <c r="AE206" s="653" t="inlineStr">
        <is>
          <t>37851 51ST AVE HANGAR OWNERS ASSOCIATION INC</t>
        </is>
      </c>
      <c r="AF206" s="653" t="inlineStr">
        <is>
          <t>SPIRIT LIFE INC</t>
        </is>
      </c>
      <c r="AI206" s="605">
        <f>IF(AND($E206=Subj_OccCode,Subj_BldgSF&gt;0,ABS($L206-Subj_BldgSF)&lt;=Subj_BldgSF*Subj_SizeTol),ABS($L206-Subj_BldgSF),NA())</f>
        <v/>
      </c>
      <c r="AJ206">
        <f>IF(ISNA(AI206),NA(),AI206+ROW()/10000000)</f>
        <v/>
      </c>
      <c r="AK206" s="605">
        <f>IF(AND(ISNUMBER($N206),$N206&gt;0,ISNUMBER($Y206)),$Y206/$N206,"")</f>
        <v/>
      </c>
    </row>
    <row r="207" ht="15" customHeight="1" s="545">
      <c r="A207" s="388" t="n">
        <v>7</v>
      </c>
      <c r="B207" s="605" t="n">
        <v>199</v>
      </c>
      <c r="C207" s="605" t="inlineStr">
        <is>
          <t>R0222672</t>
        </is>
      </c>
      <c r="D207" s="605" t="inlineStr">
        <is>
          <t>37851 E 51ST AVE #W7</t>
        </is>
      </c>
      <c r="E207" s="605" t="n">
        <v>328</v>
      </c>
      <c r="G207" s="605" t="inlineStr">
        <is>
          <t>1</t>
        </is>
      </c>
      <c r="H207" s="59">
        <f>Y207/J207</f>
        <v/>
      </c>
      <c r="I207" s="389" t="n">
        <v>45390</v>
      </c>
      <c r="J207" s="605" t="n">
        <v>2930</v>
      </c>
      <c r="K207" s="59" t="n"/>
      <c r="L207" s="605" t="n">
        <v>2930</v>
      </c>
      <c r="M207" s="605" t="n">
        <v>2024</v>
      </c>
      <c r="R207" s="152" t="inlineStr">
        <is>
          <t>Average</t>
        </is>
      </c>
      <c r="T207" s="390">
        <f>S207/L207</f>
        <v/>
      </c>
      <c r="U207" s="605" t="inlineStr">
        <is>
          <t>Average</t>
        </is>
      </c>
      <c r="V207" s="390" t="n"/>
      <c r="W207" s="390" t="n"/>
      <c r="X207" s="390" t="n"/>
      <c r="Y207" s="60" t="n">
        <v>311587</v>
      </c>
      <c r="Z207" s="60" t="n"/>
      <c r="AA207" s="60" t="n">
        <v>311587</v>
      </c>
      <c r="AB207" s="60" t="n"/>
      <c r="AC207" s="605" t="inlineStr">
        <is>
          <t>0181715300030</t>
        </is>
      </c>
      <c r="AD207" s="605" t="inlineStr">
        <is>
          <t>2024000022564</t>
        </is>
      </c>
      <c r="AE207" s="653" t="inlineStr">
        <is>
          <t>37851 51ST AVE HANGAR OWNERS ASSOCIATION INC</t>
        </is>
      </c>
      <c r="AF207" s="653" t="inlineStr">
        <is>
          <t>KODIAK BRANDS INC</t>
        </is>
      </c>
      <c r="AI207" s="605">
        <f>IF(AND($E207=Subj_OccCode,Subj_BldgSF&gt;0,ABS($L207-Subj_BldgSF)&lt;=Subj_BldgSF*Subj_SizeTol),ABS($L207-Subj_BldgSF),NA())</f>
        <v/>
      </c>
      <c r="AJ207">
        <f>IF(ISNA(AI207),NA(),AI207+ROW()/10000000)</f>
        <v/>
      </c>
      <c r="AK207" s="605">
        <f>IF(AND(ISNUMBER($N207),$N207&gt;0,ISNUMBER($Y207)),$Y207/$N207,"")</f>
        <v/>
      </c>
    </row>
    <row r="208" ht="15" customHeight="1" s="545">
      <c r="A208" s="388" t="n">
        <v>7</v>
      </c>
      <c r="B208" s="605" t="n">
        <v>200</v>
      </c>
      <c r="C208" s="605" t="inlineStr">
        <is>
          <t>R0101615</t>
        </is>
      </c>
      <c r="D208" s="605" t="inlineStr">
        <is>
          <t>5190 W 65TH AVE</t>
        </is>
      </c>
      <c r="E208" s="605" t="n">
        <v>408</v>
      </c>
      <c r="F208" s="605" t="inlineStr">
        <is>
          <t>ARVADA</t>
        </is>
      </c>
      <c r="G208" s="605" t="inlineStr">
        <is>
          <t>5</t>
        </is>
      </c>
      <c r="H208" s="59">
        <f>Y208/J208</f>
        <v/>
      </c>
      <c r="I208" s="389" t="n">
        <v>44762</v>
      </c>
      <c r="J208" s="605" t="n">
        <v>1584</v>
      </c>
      <c r="L208" s="605" t="n">
        <v>1584</v>
      </c>
      <c r="M208" s="605" t="n">
        <v>1969</v>
      </c>
      <c r="P208" s="605" t="inlineStr">
        <is>
          <t>B-2-Arv</t>
        </is>
      </c>
      <c r="R208" s="152" t="inlineStr">
        <is>
          <t>Average</t>
        </is>
      </c>
      <c r="S208" s="605" t="n">
        <v>21875</v>
      </c>
      <c r="T208" s="390">
        <f>S208/L208</f>
        <v/>
      </c>
      <c r="U208" s="605" t="inlineStr">
        <is>
          <t>Average</t>
        </is>
      </c>
      <c r="Y208" s="60" t="n">
        <v>540000</v>
      </c>
      <c r="AA208" s="60" t="n">
        <v>540000</v>
      </c>
      <c r="AC208" s="605" t="inlineStr">
        <is>
          <t>0182506316001</t>
        </is>
      </c>
      <c r="AD208" s="605" t="inlineStr">
        <is>
          <t>2022000062407</t>
        </is>
      </c>
      <c r="AE208" s="653" t="inlineStr">
        <is>
          <t>JOSHNIK CO LLLP</t>
        </is>
      </c>
      <c r="AF208" s="653" t="inlineStr">
        <is>
          <t>OCHOA RUBIO LUIS AND, OCHOA JOSE LUIS AND RUBIO MARIO D</t>
        </is>
      </c>
      <c r="AI208" s="605">
        <f>IF(AND($E208=Subj_OccCode,Subj_BldgSF&gt;0,ABS($L208-Subj_BldgSF)&lt;=Subj_BldgSF*Subj_SizeTol),ABS($L208-Subj_BldgSF),NA())</f>
        <v/>
      </c>
      <c r="AJ208">
        <f>IF(ISNA(AI208),NA(),AI208+ROW()/10000000)</f>
        <v/>
      </c>
      <c r="AK208" s="605">
        <f>IF(AND(ISNUMBER($N208),$N208&gt;0,ISNUMBER($Y208)),$Y208/$N208,"")</f>
        <v/>
      </c>
    </row>
    <row r="209" ht="15" customHeight="1" s="545">
      <c r="A209" s="388" t="n">
        <v>7</v>
      </c>
      <c r="B209" s="605" t="n">
        <v>201</v>
      </c>
      <c r="C209" s="605" t="inlineStr">
        <is>
          <t>R0200738</t>
        </is>
      </c>
      <c r="D209" s="605" t="inlineStr">
        <is>
          <t xml:space="preserve">1036 S 1ST ST </t>
        </is>
      </c>
      <c r="E209" s="605" t="n">
        <v>325</v>
      </c>
      <c r="F209" s="605" t="inlineStr">
        <is>
          <t>BENNETT</t>
        </is>
      </c>
      <c r="G209" s="605" t="inlineStr">
        <is>
          <t>1</t>
        </is>
      </c>
      <c r="H209" s="59">
        <f>Y209/J209</f>
        <v/>
      </c>
      <c r="I209" s="389" t="n">
        <v>44769</v>
      </c>
      <c r="J209" s="605" t="n">
        <v>9567</v>
      </c>
      <c r="L209" s="605" t="n">
        <v>9567</v>
      </c>
      <c r="M209" s="605" t="n">
        <v>2023</v>
      </c>
      <c r="R209" s="152" t="inlineStr">
        <is>
          <t>Average</t>
        </is>
      </c>
      <c r="S209" s="605" t="n">
        <v>58678</v>
      </c>
      <c r="T209" s="390">
        <f>S209/L209</f>
        <v/>
      </c>
      <c r="U209" s="605" t="inlineStr">
        <is>
          <t>Average</t>
        </is>
      </c>
      <c r="Y209" s="60" t="n">
        <v>997526</v>
      </c>
      <c r="AA209" s="60" t="n">
        <v>997526</v>
      </c>
      <c r="AC209" s="605" t="inlineStr">
        <is>
          <t>0181534303001</t>
        </is>
      </c>
      <c r="AD209" s="605" t="inlineStr">
        <is>
          <t>2022000064811</t>
        </is>
      </c>
      <c r="AE209" s="653" t="inlineStr">
        <is>
          <t>GAYESKI CAPITAL EQUITIES LLC</t>
        </is>
      </c>
      <c r="AF209" s="653" t="inlineStr">
        <is>
          <t>MMCG TNET COLORADO LLC</t>
        </is>
      </c>
      <c r="AI209" s="605">
        <f>IF(AND($E209=Subj_OccCode,Subj_BldgSF&gt;0,ABS($L209-Subj_BldgSF)&lt;=Subj_BldgSF*Subj_SizeTol),ABS($L209-Subj_BldgSF),NA())</f>
        <v/>
      </c>
      <c r="AJ209">
        <f>IF(ISNA(AI209),NA(),AI209+ROW()/10000000)</f>
        <v/>
      </c>
      <c r="AK209" s="605">
        <f>IF(AND(ISNUMBER($N209),$N209&gt;0,ISNUMBER($Y209)),$Y209/$N209,"")</f>
        <v/>
      </c>
    </row>
    <row r="210" ht="15" customHeight="1" s="545">
      <c r="A210" s="388" t="n">
        <v>7</v>
      </c>
      <c r="B210" s="605" t="n">
        <v>202</v>
      </c>
      <c r="C210" s="605" t="inlineStr">
        <is>
          <t>R0168582</t>
        </is>
      </c>
      <c r="D210" s="605" t="inlineStr">
        <is>
          <t>6195  CLERMONT ST</t>
        </is>
      </c>
      <c r="E210" s="605" t="n">
        <v>407</v>
      </c>
      <c r="F210" s="605" t="inlineStr">
        <is>
          <t>COMMERCE CITY</t>
        </is>
      </c>
      <c r="G210" s="605" t="inlineStr">
        <is>
          <t>5</t>
        </is>
      </c>
      <c r="H210" s="59">
        <f>Y210/J210</f>
        <v/>
      </c>
      <c r="I210" s="389" t="n">
        <v>44775</v>
      </c>
      <c r="J210" s="605" t="n">
        <v>80138</v>
      </c>
      <c r="L210" s="605" t="n">
        <v>80138</v>
      </c>
      <c r="M210" s="605" t="n">
        <v>1994</v>
      </c>
      <c r="P210" s="605" t="inlineStr">
        <is>
          <t>I-3-Com</t>
        </is>
      </c>
      <c r="R210" s="152" t="inlineStr">
        <is>
          <t>Average</t>
        </is>
      </c>
      <c r="S210" s="605" t="n">
        <v>136035</v>
      </c>
      <c r="T210" s="390">
        <f>S210/L210</f>
        <v/>
      </c>
      <c r="U210" s="605" t="inlineStr">
        <is>
          <t>Average</t>
        </is>
      </c>
      <c r="Y210" s="60" t="n">
        <v>8618000</v>
      </c>
      <c r="AA210" s="60" t="n">
        <v>8618000</v>
      </c>
      <c r="AC210" s="605" t="inlineStr">
        <is>
          <t>0182307204001</t>
        </is>
      </c>
      <c r="AD210" s="605" t="inlineStr">
        <is>
          <t>2022000066244</t>
        </is>
      </c>
      <c r="AE210" s="653" t="inlineStr">
        <is>
          <t>MCCALLIN REAL ESTATE LLC</t>
        </is>
      </c>
      <c r="AF210" s="653" t="inlineStr">
        <is>
          <t>6195 CLERMONT LLC</t>
        </is>
      </c>
      <c r="AI210" s="605">
        <f>IF(AND($E210=Subj_OccCode,Subj_BldgSF&gt;0,ABS($L210-Subj_BldgSF)&lt;=Subj_BldgSF*Subj_SizeTol),ABS($L210-Subj_BldgSF),NA())</f>
        <v/>
      </c>
      <c r="AJ210">
        <f>IF(ISNA(AI210),NA(),AI210+ROW()/10000000)</f>
        <v/>
      </c>
      <c r="AK210" s="605">
        <f>IF(AND(ISNUMBER($N210),$N210&gt;0,ISNUMBER($Y210)),$Y210/$N210,"")</f>
        <v/>
      </c>
    </row>
    <row r="211" ht="15" customHeight="1" s="545">
      <c r="A211" s="388" t="n">
        <v>7</v>
      </c>
      <c r="B211" s="605" t="n">
        <v>203</v>
      </c>
      <c r="C211" s="605" t="inlineStr">
        <is>
          <t>R0003857</t>
        </is>
      </c>
      <c r="D211" s="605" t="inlineStr">
        <is>
          <t xml:space="preserve">49 S 3RD AVE </t>
        </is>
      </c>
      <c r="E211" s="605" t="n">
        <v>100</v>
      </c>
      <c r="F211" s="605" t="inlineStr">
        <is>
          <t>BRIGHTON</t>
        </is>
      </c>
      <c r="G211" s="605" t="inlineStr">
        <is>
          <t>2</t>
        </is>
      </c>
      <c r="H211" s="59">
        <f>Y211/J211</f>
        <v/>
      </c>
      <c r="I211" s="389" t="n">
        <v>44804</v>
      </c>
      <c r="J211" s="605" t="n">
        <v>1318</v>
      </c>
      <c r="L211" s="605" t="n">
        <v>1318</v>
      </c>
      <c r="M211" s="605" t="n">
        <v>1956</v>
      </c>
      <c r="P211" s="605" t="inlineStr">
        <is>
          <t>C-1-Bri</t>
        </is>
      </c>
      <c r="R211" s="152" t="inlineStr">
        <is>
          <t>Average</t>
        </is>
      </c>
      <c r="S211" s="605" t="n">
        <v>7500</v>
      </c>
      <c r="T211" s="390">
        <f>S211/L211</f>
        <v/>
      </c>
      <c r="U211" s="605" t="inlineStr">
        <is>
          <t>Average</t>
        </is>
      </c>
      <c r="Y211" s="60" t="n">
        <v>560000</v>
      </c>
      <c r="AA211" s="60" t="n">
        <v>560000</v>
      </c>
      <c r="AC211" s="605" t="inlineStr">
        <is>
          <t>0156907202007</t>
        </is>
      </c>
      <c r="AD211" s="605" t="inlineStr">
        <is>
          <t>2022000074132</t>
        </is>
      </c>
      <c r="AE211" s="653" t="inlineStr">
        <is>
          <t>GORDON GROUP INVESTMENTS LLC</t>
        </is>
      </c>
      <c r="AF211" s="653" t="inlineStr">
        <is>
          <t>49 SOUTH THIRD AVE LLC</t>
        </is>
      </c>
      <c r="AI211" s="605">
        <f>IF(AND($E211=Subj_OccCode,Subj_BldgSF&gt;0,ABS($L211-Subj_BldgSF)&lt;=Subj_BldgSF*Subj_SizeTol),ABS($L211-Subj_BldgSF),NA())</f>
        <v/>
      </c>
      <c r="AJ211">
        <f>IF(ISNA(AI211),NA(),AI211+ROW()/10000000)</f>
        <v/>
      </c>
      <c r="AK211" s="605">
        <f>IF(AND(ISNUMBER($N211),$N211&gt;0,ISNUMBER($Y211)),$Y211/$N211,"")</f>
        <v/>
      </c>
    </row>
    <row r="212" ht="15" customHeight="1" s="545">
      <c r="A212" s="388" t="n">
        <v>7</v>
      </c>
      <c r="B212" s="605" t="n">
        <v>204</v>
      </c>
      <c r="C212" s="605" t="inlineStr">
        <is>
          <t>R0131360</t>
        </is>
      </c>
      <c r="D212" s="605" t="inlineStr">
        <is>
          <t xml:space="preserve">1821  BRIDGE ST </t>
        </is>
      </c>
      <c r="E212" s="605" t="n">
        <v>353</v>
      </c>
      <c r="F212" s="605" t="inlineStr">
        <is>
          <t>BRIGHTON</t>
        </is>
      </c>
      <c r="G212" s="605" t="inlineStr">
        <is>
          <t>2</t>
        </is>
      </c>
      <c r="H212" s="59">
        <f>Y212/J212</f>
        <v/>
      </c>
      <c r="I212" s="389" t="n">
        <v>44799</v>
      </c>
      <c r="J212" s="605" t="n">
        <v>14418</v>
      </c>
      <c r="L212" s="605" t="n">
        <v>14418</v>
      </c>
      <c r="M212" s="605" t="n">
        <v>2001</v>
      </c>
      <c r="P212" s="605" t="inlineStr">
        <is>
          <t>C-2-Bri</t>
        </is>
      </c>
      <c r="R212" s="152" t="inlineStr">
        <is>
          <t>Average</t>
        </is>
      </c>
      <c r="S212" s="605" t="n">
        <v>94394.52</v>
      </c>
      <c r="T212" s="390">
        <f>S212/L212</f>
        <v/>
      </c>
      <c r="U212" s="605" t="inlineStr">
        <is>
          <t>Good</t>
        </is>
      </c>
      <c r="Y212" s="60" t="n">
        <v>6316234</v>
      </c>
      <c r="AA212" s="60" t="n">
        <v>6316234</v>
      </c>
      <c r="AC212" s="605" t="inlineStr">
        <is>
          <t>0156905335003</t>
        </is>
      </c>
      <c r="AD212" s="605" t="inlineStr">
        <is>
          <t>2022000075125</t>
        </is>
      </c>
      <c r="AE212" s="653" t="inlineStr">
        <is>
          <t>WALGREEN CO</t>
        </is>
      </c>
      <c r="AF212" s="653" t="inlineStr">
        <is>
          <t>CP THUNDER FS LLC</t>
        </is>
      </c>
      <c r="AI212" s="605">
        <f>IF(AND($E212=Subj_OccCode,Subj_BldgSF&gt;0,ABS($L212-Subj_BldgSF)&lt;=Subj_BldgSF*Subj_SizeTol),ABS($L212-Subj_BldgSF),NA())</f>
        <v/>
      </c>
      <c r="AJ212">
        <f>IF(ISNA(AI212),NA(),AI212+ROW()/10000000)</f>
        <v/>
      </c>
      <c r="AK212" s="605">
        <f>IF(AND(ISNUMBER($N212),$N212&gt;0,ISNUMBER($Y212)),$Y212/$N212,"")</f>
        <v/>
      </c>
    </row>
    <row r="213" ht="15" customHeight="1" s="545">
      <c r="A213" s="388" t="n">
        <v>7</v>
      </c>
      <c r="B213" s="605" t="n">
        <v>205</v>
      </c>
      <c r="C213" s="605" t="inlineStr">
        <is>
          <t>R0142646</t>
        </is>
      </c>
      <c r="D213" s="605" t="inlineStr">
        <is>
          <t xml:space="preserve">10160  GRANT ST </t>
        </is>
      </c>
      <c r="E213" s="605" t="n">
        <v>325</v>
      </c>
      <c r="F213" s="605" t="inlineStr">
        <is>
          <t>THORNTON</t>
        </is>
      </c>
      <c r="G213" s="605" t="inlineStr">
        <is>
          <t>4</t>
        </is>
      </c>
      <c r="H213" s="59">
        <f>Y213/J213</f>
        <v/>
      </c>
      <c r="I213" s="389" t="n">
        <v>44830</v>
      </c>
      <c r="J213" s="605" t="n">
        <v>6440</v>
      </c>
      <c r="L213" s="605" t="n">
        <v>6440</v>
      </c>
      <c r="M213" s="605" t="n">
        <v>2002</v>
      </c>
      <c r="P213" s="605" t="inlineStr">
        <is>
          <t>Planned Development</t>
        </is>
      </c>
      <c r="R213" s="152" t="inlineStr">
        <is>
          <t>Average</t>
        </is>
      </c>
      <c r="S213" s="605" t="n">
        <v>52276</v>
      </c>
      <c r="T213" s="390">
        <f>S213/L213</f>
        <v/>
      </c>
      <c r="U213" s="605" t="inlineStr">
        <is>
          <t>Average</t>
        </is>
      </c>
      <c r="Y213" s="60" t="n">
        <v>1930000</v>
      </c>
      <c r="AA213" s="60" t="n">
        <v>1930000</v>
      </c>
      <c r="AC213" s="605" t="inlineStr">
        <is>
          <t>0171915102026</t>
        </is>
      </c>
      <c r="AD213" s="605" t="inlineStr">
        <is>
          <t>2022000081534</t>
        </is>
      </c>
      <c r="AE213" s="653" t="inlineStr">
        <is>
          <t>RC COLORADO ENTERPRISES LLC</t>
        </is>
      </c>
      <c r="AF213" s="653" t="inlineStr">
        <is>
          <t>NG21 LP</t>
        </is>
      </c>
      <c r="AI213" s="605">
        <f>IF(AND($E213=Subj_OccCode,Subj_BldgSF&gt;0,ABS($L213-Subj_BldgSF)&lt;=Subj_BldgSF*Subj_SizeTol),ABS($L213-Subj_BldgSF),NA())</f>
        <v/>
      </c>
      <c r="AJ213">
        <f>IF(ISNA(AI213),NA(),AI213+ROW()/10000000)</f>
        <v/>
      </c>
      <c r="AK213" s="605">
        <f>IF(AND(ISNUMBER($N213),$N213&gt;0,ISNUMBER($Y213)),$Y213/$N213,"")</f>
        <v/>
      </c>
    </row>
    <row r="214" ht="15" customHeight="1" s="545">
      <c r="A214" s="388" t="n">
        <v>7</v>
      </c>
      <c r="B214" s="605" t="n">
        <v>206</v>
      </c>
      <c r="C214" s="605" t="inlineStr">
        <is>
          <t>R0109570</t>
        </is>
      </c>
      <c r="D214" s="605" t="inlineStr">
        <is>
          <t xml:space="preserve">1257 W 120TH AVE </t>
        </is>
      </c>
      <c r="E214" s="605" t="n">
        <v>350</v>
      </c>
      <c r="F214" s="605" t="inlineStr">
        <is>
          <t>WESTMINSTER</t>
        </is>
      </c>
      <c r="G214" s="605" t="inlineStr">
        <is>
          <t>3</t>
        </is>
      </c>
      <c r="H214" s="59">
        <f>Y214/J214</f>
        <v/>
      </c>
      <c r="I214" s="389" t="n">
        <v>44838</v>
      </c>
      <c r="J214" s="605" t="n">
        <v>10380</v>
      </c>
      <c r="L214" s="605" t="n">
        <v>10380</v>
      </c>
      <c r="M214" s="605" t="n">
        <v>1997</v>
      </c>
      <c r="P214" s="605" t="inlineStr">
        <is>
          <t>PUD-Wes</t>
        </is>
      </c>
      <c r="R214" s="152" t="inlineStr">
        <is>
          <t>Average</t>
        </is>
      </c>
      <c r="S214" s="605" t="n">
        <v>98968.32000000001</v>
      </c>
      <c r="T214" s="390">
        <f>S214/L214</f>
        <v/>
      </c>
      <c r="U214" s="605" t="inlineStr">
        <is>
          <t>Average</t>
        </is>
      </c>
      <c r="Y214" s="60" t="n">
        <v>2650000</v>
      </c>
      <c r="AA214" s="60" t="n">
        <v>2650000</v>
      </c>
      <c r="AC214" s="605" t="inlineStr">
        <is>
          <t>0157333005008</t>
        </is>
      </c>
      <c r="AD214" s="605" t="inlineStr">
        <is>
          <t>2022000082331</t>
        </is>
      </c>
      <c r="AE214" s="653" t="inlineStr">
        <is>
          <t>HD ALAMEDA LLC</t>
        </is>
      </c>
      <c r="AF214" s="653" t="inlineStr">
        <is>
          <t>1257 120TH RE LLC</t>
        </is>
      </c>
      <c r="AI214" s="605">
        <f>IF(AND($E214=Subj_OccCode,Subj_BldgSF&gt;0,ABS($L214-Subj_BldgSF)&lt;=Subj_BldgSF*Subj_SizeTol),ABS($L214-Subj_BldgSF),NA())</f>
        <v/>
      </c>
      <c r="AJ214">
        <f>IF(ISNA(AI214),NA(),AI214+ROW()/10000000)</f>
        <v/>
      </c>
      <c r="AK214" s="605">
        <f>IF(AND(ISNUMBER($N214),$N214&gt;0,ISNUMBER($Y214)),$Y214/$N214,"")</f>
        <v/>
      </c>
    </row>
    <row r="215" ht="15" customHeight="1" s="545">
      <c r="A215" s="388" t="n">
        <v>7</v>
      </c>
      <c r="B215" s="605" t="n">
        <v>207</v>
      </c>
      <c r="C215" s="605" t="inlineStr">
        <is>
          <t>R0114709</t>
        </is>
      </c>
      <c r="D215" s="605" t="inlineStr">
        <is>
          <t>120TH AVE  WESTMINSTER</t>
        </is>
      </c>
      <c r="E215" s="605" t="n">
        <v>1111</v>
      </c>
      <c r="F215" s="605" t="inlineStr">
        <is>
          <t>WESTMINSTER</t>
        </is>
      </c>
      <c r="G215" s="605" t="inlineStr">
        <is>
          <t>3</t>
        </is>
      </c>
      <c r="H215" s="59">
        <f>Y215/J215</f>
        <v/>
      </c>
      <c r="I215" s="389" t="n">
        <v>44838</v>
      </c>
      <c r="J215" s="605" t="n">
        <v>1</v>
      </c>
      <c r="L215" s="605" t="n">
        <v>1</v>
      </c>
      <c r="M215" s="605" t="n">
        <v>2000</v>
      </c>
      <c r="P215" s="605" t="inlineStr">
        <is>
          <t>PUD-Wes</t>
        </is>
      </c>
      <c r="R215" s="152" t="inlineStr">
        <is>
          <t>Average</t>
        </is>
      </c>
      <c r="S215" s="605" t="n">
        <v>17859.5996</v>
      </c>
      <c r="T215" s="390">
        <f>S215/L215</f>
        <v/>
      </c>
      <c r="U215" s="605" t="inlineStr">
        <is>
          <t>Average</t>
        </is>
      </c>
      <c r="Y215" s="60" t="n">
        <v>2650000</v>
      </c>
      <c r="AA215" s="60" t="n">
        <v>2650000</v>
      </c>
      <c r="AC215" s="605" t="inlineStr">
        <is>
          <t>0157333005014</t>
        </is>
      </c>
      <c r="AD215" s="605" t="inlineStr">
        <is>
          <t>2022000082331</t>
        </is>
      </c>
      <c r="AE215" s="653" t="inlineStr">
        <is>
          <t>HD ALAMEDA LLC</t>
        </is>
      </c>
      <c r="AF215" s="653" t="inlineStr">
        <is>
          <t>1257 120TH RE LLC</t>
        </is>
      </c>
      <c r="AI215" s="605">
        <f>IF(AND($E215=Subj_OccCode,Subj_BldgSF&gt;0,ABS($L215-Subj_BldgSF)&lt;=Subj_BldgSF*Subj_SizeTol),ABS($L215-Subj_BldgSF),NA())</f>
        <v/>
      </c>
      <c r="AJ215">
        <f>IF(ISNA(AI215),NA(),AI215+ROW()/10000000)</f>
        <v/>
      </c>
      <c r="AK215" s="605">
        <f>IF(AND(ISNUMBER($N215),$N215&gt;0,ISNUMBER($Y215)),$Y215/$N215,"")</f>
        <v/>
      </c>
    </row>
    <row r="216" ht="15" customHeight="1" s="545">
      <c r="A216" s="388" t="n">
        <v>7</v>
      </c>
      <c r="B216" s="605" t="n">
        <v>208</v>
      </c>
      <c r="C216" s="605" t="inlineStr">
        <is>
          <t>R0150304</t>
        </is>
      </c>
      <c r="D216" s="605" t="inlineStr">
        <is>
          <t xml:space="preserve">7140  IVY ST B </t>
        </is>
      </c>
      <c r="E216" s="605" t="n">
        <v>425</v>
      </c>
      <c r="F216" s="605" t="inlineStr">
        <is>
          <t>COMMERCE CITY</t>
        </is>
      </c>
      <c r="G216" s="605" t="inlineStr">
        <is>
          <t>5</t>
        </is>
      </c>
      <c r="H216" s="59">
        <f>Y216/J216</f>
        <v/>
      </c>
      <c r="I216" s="389" t="n">
        <v>44855</v>
      </c>
      <c r="J216" s="605" t="n">
        <v>9000</v>
      </c>
      <c r="L216" s="605" t="n">
        <v>9000</v>
      </c>
      <c r="M216" s="605" t="n">
        <v>2002</v>
      </c>
      <c r="P216" s="605" t="inlineStr">
        <is>
          <t>I-1-Com</t>
        </is>
      </c>
      <c r="R216" s="152" t="inlineStr">
        <is>
          <t>Average</t>
        </is>
      </c>
      <c r="S216" s="605" t="n">
        <v>6448</v>
      </c>
      <c r="T216" s="390">
        <f>S216/L216</f>
        <v/>
      </c>
      <c r="U216" s="605" t="inlineStr">
        <is>
          <t>Average</t>
        </is>
      </c>
      <c r="Y216" s="60" t="n">
        <v>325000</v>
      </c>
      <c r="AA216" s="60" t="n">
        <v>325000</v>
      </c>
      <c r="AC216" s="605" t="inlineStr">
        <is>
          <t>0182305221045</t>
        </is>
      </c>
      <c r="AD216" s="605" t="inlineStr">
        <is>
          <t>2022000086743</t>
        </is>
      </c>
      <c r="AE216" s="653" t="inlineStr">
        <is>
          <t>GROWEST PROPERTIES LLC</t>
        </is>
      </c>
      <c r="AF216" s="653" t="inlineStr">
        <is>
          <t>DHK ENTERPRISES LLC</t>
        </is>
      </c>
      <c r="AI216" s="605">
        <f>IF(AND($E216=Subj_OccCode,Subj_BldgSF&gt;0,ABS($L216-Subj_BldgSF)&lt;=Subj_BldgSF*Subj_SizeTol),ABS($L216-Subj_BldgSF),NA())</f>
        <v/>
      </c>
      <c r="AJ216">
        <f>IF(ISNA(AI216),NA(),AI216+ROW()/10000000)</f>
        <v/>
      </c>
      <c r="AK216" s="605">
        <f>IF(AND(ISNUMBER($N216),$N216&gt;0,ISNUMBER($Y216)),$Y216/$N216,"")</f>
        <v/>
      </c>
    </row>
    <row r="217" ht="15" customHeight="1" s="545">
      <c r="A217" s="388" t="n">
        <v>7</v>
      </c>
      <c r="B217" s="605" t="n">
        <v>209</v>
      </c>
      <c r="C217" s="605" t="inlineStr">
        <is>
          <t>R0004233</t>
        </is>
      </c>
      <c r="D217" s="605" t="inlineStr">
        <is>
          <t>479 S 4TH AVE</t>
        </is>
      </c>
      <c r="E217" s="605" t="n">
        <v>350</v>
      </c>
      <c r="F217" s="605" t="inlineStr">
        <is>
          <t>BRIGHTON</t>
        </is>
      </c>
      <c r="G217" s="605" t="inlineStr">
        <is>
          <t>2</t>
        </is>
      </c>
      <c r="H217" s="59">
        <f>Y217/J217</f>
        <v/>
      </c>
      <c r="I217" s="389" t="n">
        <v>44860</v>
      </c>
      <c r="J217" s="605" t="n">
        <v>3272</v>
      </c>
      <c r="L217" s="605" t="n">
        <v>3272</v>
      </c>
      <c r="M217" s="605" t="n">
        <v>1912</v>
      </c>
      <c r="P217" s="605" t="inlineStr">
        <is>
          <t>C-1-Bri</t>
        </is>
      </c>
      <c r="R217" s="152" t="inlineStr">
        <is>
          <t>Average</t>
        </is>
      </c>
      <c r="S217" s="605" t="n">
        <v>7500</v>
      </c>
      <c r="T217" s="390">
        <f>S217/L217</f>
        <v/>
      </c>
      <c r="U217" s="605" t="inlineStr">
        <is>
          <t>Average</t>
        </is>
      </c>
      <c r="Y217" s="60" t="n">
        <v>630000</v>
      </c>
      <c r="AA217" s="60" t="n">
        <v>630000</v>
      </c>
      <c r="AC217" s="605" t="inlineStr">
        <is>
          <t>0156907301004</t>
        </is>
      </c>
      <c r="AD217" s="605" t="inlineStr">
        <is>
          <t>2022000088389</t>
        </is>
      </c>
      <c r="AE217" s="653" t="inlineStr">
        <is>
          <t>NAN ZHI ZHONG</t>
        </is>
      </c>
      <c r="AF217" s="653" t="inlineStr">
        <is>
          <t>NANS RESTAURANT LLC</t>
        </is>
      </c>
      <c r="AI217" s="605">
        <f>IF(AND($E217=Subj_OccCode,Subj_BldgSF&gt;0,ABS($L217-Subj_BldgSF)&lt;=Subj_BldgSF*Subj_SizeTol),ABS($L217-Subj_BldgSF),NA())</f>
        <v/>
      </c>
      <c r="AJ217">
        <f>IF(ISNA(AI217),NA(),AI217+ROW()/10000000)</f>
        <v/>
      </c>
      <c r="AK217" s="605">
        <f>IF(AND(ISNUMBER($N217),$N217&gt;0,ISNUMBER($Y217)),$Y217/$N217,"")</f>
        <v/>
      </c>
    </row>
    <row r="218" ht="15" customHeight="1" s="545">
      <c r="A218" s="388" t="n">
        <v>7</v>
      </c>
      <c r="B218" s="605" t="n">
        <v>210</v>
      </c>
      <c r="C218" s="605" t="inlineStr">
        <is>
          <t>R0160167</t>
        </is>
      </c>
      <c r="D218" s="605" t="inlineStr">
        <is>
          <t xml:space="preserve">14651 E COLFAX AVE </t>
        </is>
      </c>
      <c r="E218" s="605" t="n">
        <v>353</v>
      </c>
      <c r="F218" s="605" t="inlineStr">
        <is>
          <t>AURORA</t>
        </is>
      </c>
      <c r="G218" s="605" t="inlineStr">
        <is>
          <t>6</t>
        </is>
      </c>
      <c r="H218" s="59">
        <f>Y218/J218</f>
        <v/>
      </c>
      <c r="I218" s="389" t="n">
        <v>44872</v>
      </c>
      <c r="J218" s="605" t="n">
        <v>6742</v>
      </c>
      <c r="L218" s="605" t="n">
        <v>6742</v>
      </c>
      <c r="M218" s="605" t="n">
        <v>2004</v>
      </c>
      <c r="P218" s="605" t="inlineStr">
        <is>
          <t>B-4-Aur</t>
        </is>
      </c>
      <c r="R218" s="152" t="inlineStr">
        <is>
          <t>Average</t>
        </is>
      </c>
      <c r="S218" s="605" t="n">
        <v>41537</v>
      </c>
      <c r="T218" s="390">
        <f>S218/L218</f>
        <v/>
      </c>
      <c r="U218" s="605" t="inlineStr">
        <is>
          <t>Average</t>
        </is>
      </c>
      <c r="Y218" s="60" t="n">
        <v>2400000</v>
      </c>
      <c r="AA218" s="60" t="n">
        <v>2400000</v>
      </c>
      <c r="AC218" s="605" t="inlineStr">
        <is>
          <t>0182131413004</t>
        </is>
      </c>
      <c r="AD218" s="605" t="inlineStr">
        <is>
          <t>2022000089834</t>
        </is>
      </c>
      <c r="AE218" s="653" t="inlineStr">
        <is>
          <t>ASTRO REALTY LLC</t>
        </is>
      </c>
      <c r="AF218" s="653" t="inlineStr">
        <is>
          <t>DEEMS LEGACY LLC</t>
        </is>
      </c>
      <c r="AI218" s="605">
        <f>IF(AND($E218=Subj_OccCode,Subj_BldgSF&gt;0,ABS($L218-Subj_BldgSF)&lt;=Subj_BldgSF*Subj_SizeTol),ABS($L218-Subj_BldgSF),NA())</f>
        <v/>
      </c>
      <c r="AJ218">
        <f>IF(ISNA(AI218),NA(),AI218+ROW()/10000000)</f>
        <v/>
      </c>
      <c r="AK218" s="605">
        <f>IF(AND(ISNUMBER($N218),$N218&gt;0,ISNUMBER($Y218)),$Y218/$N218,"")</f>
        <v/>
      </c>
    </row>
    <row r="219" ht="15" customHeight="1" s="545">
      <c r="A219" s="388" t="n">
        <v>7</v>
      </c>
      <c r="B219" s="605" t="n">
        <v>211</v>
      </c>
      <c r="C219" s="605" t="inlineStr">
        <is>
          <t>R0129253</t>
        </is>
      </c>
      <c r="D219" s="605" t="inlineStr">
        <is>
          <t xml:space="preserve">12900  ZUNI ST  </t>
        </is>
      </c>
      <c r="E219" s="605" t="n">
        <v>340</v>
      </c>
      <c r="F219" s="605" t="inlineStr">
        <is>
          <t>WESTMINSTER</t>
        </is>
      </c>
      <c r="G219" s="605" t="inlineStr">
        <is>
          <t>3</t>
        </is>
      </c>
      <c r="H219" s="59">
        <f>Y219/J219</f>
        <v/>
      </c>
      <c r="I219" s="389" t="n">
        <v>44872</v>
      </c>
      <c r="J219" s="605" t="n">
        <v>55944</v>
      </c>
      <c r="L219" s="605" t="n">
        <v>55944</v>
      </c>
      <c r="M219" s="605" t="n">
        <v>2000</v>
      </c>
      <c r="P219" s="605" t="inlineStr">
        <is>
          <t>PUD-Wes</t>
        </is>
      </c>
      <c r="R219" s="152" t="inlineStr">
        <is>
          <t>Average</t>
        </is>
      </c>
      <c r="S219" s="605" t="n">
        <v>419391.32</v>
      </c>
      <c r="T219" s="390">
        <f>S219/L219</f>
        <v/>
      </c>
      <c r="U219" s="605" t="inlineStr">
        <is>
          <t>Good</t>
        </is>
      </c>
      <c r="Y219" s="60" t="n">
        <v>10918545</v>
      </c>
      <c r="AA219" s="60" t="n">
        <v>10918545</v>
      </c>
      <c r="AC219" s="605" t="inlineStr">
        <is>
          <t>0157328301001</t>
        </is>
      </c>
      <c r="AD219" s="605" t="inlineStr">
        <is>
          <t>2022000089861</t>
        </is>
      </c>
      <c r="AE219" s="653" t="inlineStr">
        <is>
          <t>WILLOW RUN INVESTORS LLC</t>
        </is>
      </c>
      <c r="AF219" s="653" t="inlineStr">
        <is>
          <t xml:space="preserve">PNW INVESTMENTS LLC, CPP 12FIVE INVESTMENTS LLC, </t>
        </is>
      </c>
      <c r="AI219" s="605">
        <f>IF(AND($E219=Subj_OccCode,Subj_BldgSF&gt;0,ABS($L219-Subj_BldgSF)&lt;=Subj_BldgSF*Subj_SizeTol),ABS($L219-Subj_BldgSF),NA())</f>
        <v/>
      </c>
      <c r="AJ219">
        <f>IF(ISNA(AI219),NA(),AI219+ROW()/10000000)</f>
        <v/>
      </c>
      <c r="AK219" s="605">
        <f>IF(AND(ISNUMBER($N219),$N219&gt;0,ISNUMBER($Y219)),$Y219/$N219,"")</f>
        <v/>
      </c>
    </row>
    <row r="220" ht="15" customHeight="1" s="545">
      <c r="A220" s="388" t="n">
        <v>7</v>
      </c>
      <c r="B220" s="605" t="n">
        <v>212</v>
      </c>
      <c r="C220" s="605" t="inlineStr">
        <is>
          <t>R0092667</t>
        </is>
      </c>
      <c r="D220" s="605" t="inlineStr">
        <is>
          <t xml:space="preserve">4901  LOCUST ST </t>
        </is>
      </c>
      <c r="E220" s="605" t="n">
        <v>407</v>
      </c>
      <c r="F220" s="605" t="inlineStr">
        <is>
          <t>COMMERCE CITY</t>
        </is>
      </c>
      <c r="G220" s="605" t="inlineStr">
        <is>
          <t>5</t>
        </is>
      </c>
      <c r="H220" s="59">
        <f>Y220/J220</f>
        <v/>
      </c>
      <c r="I220" s="389" t="n">
        <v>44875</v>
      </c>
      <c r="J220" s="605" t="n">
        <v>16200</v>
      </c>
      <c r="L220" s="605" t="n">
        <v>16200</v>
      </c>
      <c r="M220" s="605" t="n">
        <v>1970</v>
      </c>
      <c r="P220" s="605" t="inlineStr">
        <is>
          <t>I-1S</t>
        </is>
      </c>
      <c r="R220" s="152" t="inlineStr">
        <is>
          <t>Average</t>
        </is>
      </c>
      <c r="S220" s="605" t="n">
        <v>59734</v>
      </c>
      <c r="T220" s="390">
        <f>S220/L220</f>
        <v/>
      </c>
      <c r="U220" s="605" t="inlineStr">
        <is>
          <t>Average</t>
        </is>
      </c>
      <c r="Y220" s="60" t="n">
        <v>3843337</v>
      </c>
      <c r="AA220" s="60" t="n">
        <v>3843337</v>
      </c>
      <c r="AC220" s="605" t="inlineStr">
        <is>
          <t>0182317302009</t>
        </is>
      </c>
      <c r="AD220" s="605" t="inlineStr">
        <is>
          <t>2022000090754</t>
        </is>
      </c>
      <c r="AE220" s="653" t="inlineStr">
        <is>
          <t>HIGHLAND PROPERTIES 1222 LLC</t>
        </is>
      </c>
      <c r="AF220" s="653" t="inlineStr">
        <is>
          <t>PAVCO GROUP LLC</t>
        </is>
      </c>
      <c r="AI220" s="605">
        <f>IF(AND($E220=Subj_OccCode,Subj_BldgSF&gt;0,ABS($L220-Subj_BldgSF)&lt;=Subj_BldgSF*Subj_SizeTol),ABS($L220-Subj_BldgSF),NA())</f>
        <v/>
      </c>
      <c r="AJ220">
        <f>IF(ISNA(AI220),NA(),AI220+ROW()/10000000)</f>
        <v/>
      </c>
      <c r="AK220" s="605">
        <f>IF(AND(ISNUMBER($N220),$N220&gt;0,ISNUMBER($Y220)),$Y220/$N220,"")</f>
        <v/>
      </c>
    </row>
    <row r="221" ht="15" customHeight="1" s="545">
      <c r="A221" s="388" t="n">
        <v>7</v>
      </c>
      <c r="B221" s="605" t="n">
        <v>213</v>
      </c>
      <c r="C221" s="605" t="inlineStr">
        <is>
          <t>R0024453</t>
        </is>
      </c>
      <c r="D221" s="605" t="inlineStr">
        <is>
          <t xml:space="preserve">650 E 124TH AVE  </t>
        </is>
      </c>
      <c r="E221" s="605" t="n">
        <v>309</v>
      </c>
      <c r="F221" s="605" t="inlineStr">
        <is>
          <t>THORNTON</t>
        </is>
      </c>
      <c r="G221" s="605" t="inlineStr">
        <is>
          <t>3</t>
        </is>
      </c>
      <c r="H221" s="59">
        <f>Y221/J221</f>
        <v/>
      </c>
      <c r="I221" s="389" t="n">
        <v>44897</v>
      </c>
      <c r="J221" s="605" t="n">
        <v>18718</v>
      </c>
      <c r="L221" s="605" t="n">
        <v>18718</v>
      </c>
      <c r="M221" s="605" t="n">
        <v>2003</v>
      </c>
      <c r="P221" s="605" t="inlineStr">
        <is>
          <t>Business Park</t>
        </is>
      </c>
      <c r="R221" s="152" t="inlineStr">
        <is>
          <t>Good</t>
        </is>
      </c>
      <c r="S221" s="605" t="n">
        <v>268983</v>
      </c>
      <c r="T221" s="390">
        <f>S221/L221</f>
        <v/>
      </c>
      <c r="U221" s="605" t="inlineStr">
        <is>
          <t>Average</t>
        </is>
      </c>
      <c r="Y221" s="60" t="n">
        <v>5000000</v>
      </c>
      <c r="AA221" s="60" t="n">
        <v>5000000</v>
      </c>
      <c r="AC221" s="605" t="inlineStr">
        <is>
          <t>0157334003016</t>
        </is>
      </c>
      <c r="AD221" s="605" t="inlineStr">
        <is>
          <t>2022000095330</t>
        </is>
      </c>
      <c r="AE221" s="653" t="inlineStr">
        <is>
          <t>MIDWEST BUILDING PROFESSIONALS LLC</t>
        </is>
      </c>
      <c r="AF221" s="653" t="inlineStr">
        <is>
          <t>WORD ALIVE CHURCH</t>
        </is>
      </c>
      <c r="AI221" s="605">
        <f>IF(AND($E221=Subj_OccCode,Subj_BldgSF&gt;0,ABS($L221-Subj_BldgSF)&lt;=Subj_BldgSF*Subj_SizeTol),ABS($L221-Subj_BldgSF),NA())</f>
        <v/>
      </c>
      <c r="AJ221">
        <f>IF(ISNA(AI221),NA(),AI221+ROW()/10000000)</f>
        <v/>
      </c>
      <c r="AK221" s="605">
        <f>IF(AND(ISNUMBER($N221),$N221&gt;0,ISNUMBER($Y221)),$Y221/$N221,"")</f>
        <v/>
      </c>
    </row>
    <row r="222" ht="15" customHeight="1" s="545">
      <c r="A222" s="388" t="n">
        <v>7</v>
      </c>
      <c r="B222" s="605" t="n">
        <v>214</v>
      </c>
      <c r="C222" s="605" t="inlineStr">
        <is>
          <t>R0121751</t>
        </is>
      </c>
      <c r="D222" s="605" t="inlineStr">
        <is>
          <t>605 W 62ND AVE</t>
        </is>
      </c>
      <c r="E222" s="605" t="n">
        <v>325</v>
      </c>
      <c r="G222" s="605" t="inlineStr">
        <is>
          <t>5</t>
        </is>
      </c>
      <c r="H222" s="59">
        <f>Y222/J222</f>
        <v/>
      </c>
      <c r="I222" s="389" t="n">
        <v>44903</v>
      </c>
      <c r="J222" s="605" t="n">
        <v>1600</v>
      </c>
      <c r="L222" s="605" t="n">
        <v>1600</v>
      </c>
      <c r="M222" s="605" t="n">
        <v>1988</v>
      </c>
      <c r="P222" s="605" t="inlineStr">
        <is>
          <t>Industrial</t>
        </is>
      </c>
      <c r="R222" s="152" t="inlineStr">
        <is>
          <t>Average</t>
        </is>
      </c>
      <c r="S222" s="605" t="n">
        <v>378972</v>
      </c>
      <c r="T222" s="390">
        <f>S222/L222</f>
        <v/>
      </c>
      <c r="U222" s="605" t="inlineStr">
        <is>
          <t>Average</t>
        </is>
      </c>
      <c r="Y222" s="60" t="n">
        <v>9000000</v>
      </c>
      <c r="AA222" s="60" t="n">
        <v>9000000</v>
      </c>
      <c r="AC222" s="605" t="inlineStr">
        <is>
          <t>0182510201006</t>
        </is>
      </c>
      <c r="AD222" s="605" t="inlineStr">
        <is>
          <t>2022000096205</t>
        </is>
      </c>
      <c r="AE222" s="653" t="inlineStr">
        <is>
          <t>WEST 62ND AVE LLC, GRAND JUNCTION VENTURE LLC</t>
        </is>
      </c>
      <c r="AF222" s="653" t="inlineStr">
        <is>
          <t>IOS-PVB-605 WEST 62ND AVENUE LLC</t>
        </is>
      </c>
      <c r="AI222" s="605">
        <f>IF(AND($E222=Subj_OccCode,Subj_BldgSF&gt;0,ABS($L222-Subj_BldgSF)&lt;=Subj_BldgSF*Subj_SizeTol),ABS($L222-Subj_BldgSF),NA())</f>
        <v/>
      </c>
      <c r="AJ222">
        <f>IF(ISNA(AI222),NA(),AI222+ROW()/10000000)</f>
        <v/>
      </c>
      <c r="AK222" s="605">
        <f>IF(AND(ISNUMBER($N222),$N222&gt;0,ISNUMBER($Y222)),$Y222/$N222,"")</f>
        <v/>
      </c>
    </row>
    <row r="223" ht="15" customHeight="1" s="545">
      <c r="A223" s="388" t="n">
        <v>7</v>
      </c>
      <c r="B223" s="605" t="n">
        <v>215</v>
      </c>
      <c r="C223" s="605" t="inlineStr">
        <is>
          <t>R0216734</t>
        </is>
      </c>
      <c r="D223" s="605" t="inlineStr">
        <is>
          <t>7100 E 136TH AVE</t>
        </is>
      </c>
      <c r="E223" s="605" t="n">
        <v>304</v>
      </c>
      <c r="F223" s="605" t="inlineStr">
        <is>
          <t>THORNTON</t>
        </is>
      </c>
      <c r="G223" s="605" t="inlineStr">
        <is>
          <t>3</t>
        </is>
      </c>
      <c r="H223" s="59">
        <f>Y223/J223</f>
        <v/>
      </c>
      <c r="I223" s="389" t="n">
        <v>44904</v>
      </c>
      <c r="J223" s="605" t="n">
        <v>4203</v>
      </c>
      <c r="L223" s="605" t="n">
        <v>4203</v>
      </c>
      <c r="S223" s="605" t="n">
        <v>58375</v>
      </c>
      <c r="T223" s="390">
        <f>S223/L223</f>
        <v/>
      </c>
      <c r="Y223" s="60" t="n">
        <v>1900000</v>
      </c>
      <c r="AA223" s="60" t="n">
        <v>1900000</v>
      </c>
      <c r="AC223" s="605" t="inlineStr">
        <is>
          <t>0157129113122</t>
        </is>
      </c>
      <c r="AD223" s="605" t="inlineStr">
        <is>
          <t>2022000096279</t>
        </is>
      </c>
      <c r="AE223" s="653" t="inlineStr">
        <is>
          <t>STRATUS AMBER CREEK LLC</t>
        </is>
      </c>
      <c r="AF223" s="653" t="inlineStr">
        <is>
          <t>BANK OF AMERICA NATIONAL ASSOCIATION</t>
        </is>
      </c>
      <c r="AI223" s="605">
        <f>IF(AND($E223=Subj_OccCode,Subj_BldgSF&gt;0,ABS($L223-Subj_BldgSF)&lt;=Subj_BldgSF*Subj_SizeTol),ABS($L223-Subj_BldgSF),NA())</f>
        <v/>
      </c>
      <c r="AJ223">
        <f>IF(ISNA(AI223),NA(),AI223+ROW()/10000000)</f>
        <v/>
      </c>
      <c r="AK223" s="605">
        <f>IF(AND(ISNUMBER($N223),$N223&gt;0,ISNUMBER($Y223)),$Y223/$N223,"")</f>
        <v/>
      </c>
    </row>
    <row r="224" ht="15" customHeight="1" s="545">
      <c r="A224" s="388" t="n">
        <v>7</v>
      </c>
      <c r="B224" s="605" t="n">
        <v>216</v>
      </c>
      <c r="C224" s="605" t="inlineStr">
        <is>
          <t>R0217166</t>
        </is>
      </c>
      <c r="D224" s="605" t="inlineStr">
        <is>
          <t>16521 E 16TH PL</t>
        </is>
      </c>
      <c r="E224" s="605" t="n">
        <v>118</v>
      </c>
      <c r="F224" s="605" t="inlineStr">
        <is>
          <t>AURORA</t>
        </is>
      </c>
      <c r="G224" s="605" t="inlineStr">
        <is>
          <t>6</t>
        </is>
      </c>
      <c r="H224" s="59">
        <f>Y224/J224</f>
        <v/>
      </c>
      <c r="I224" s="389" t="n">
        <v>44907</v>
      </c>
      <c r="J224" s="605" t="n">
        <v>41943</v>
      </c>
      <c r="L224" s="605" t="n">
        <v>41943</v>
      </c>
      <c r="S224" s="605" t="n">
        <v>482743</v>
      </c>
      <c r="T224" s="390">
        <f>S224/L224</f>
        <v/>
      </c>
      <c r="Y224" s="60" t="n">
        <v>1416667</v>
      </c>
      <c r="AA224" s="60" t="n">
        <v>1416667</v>
      </c>
      <c r="AC224" s="605" t="inlineStr">
        <is>
          <t>0182132414001</t>
        </is>
      </c>
      <c r="AD224" s="605" t="inlineStr">
        <is>
          <t>2022000097611</t>
        </is>
      </c>
      <c r="AE224" s="653" t="inlineStr">
        <is>
          <t>QUIKTRIP CORPORATION</t>
        </is>
      </c>
      <c r="AF224" s="653" t="inlineStr">
        <is>
          <t>ROERS AURORA APARTMENTS OWNER LLC</t>
        </is>
      </c>
      <c r="AI224" s="605">
        <f>IF(AND($E224=Subj_OccCode,Subj_BldgSF&gt;0,ABS($L224-Subj_BldgSF)&lt;=Subj_BldgSF*Subj_SizeTol),ABS($L224-Subj_BldgSF),NA())</f>
        <v/>
      </c>
      <c r="AJ224">
        <f>IF(ISNA(AI224),NA(),AI224+ROW()/10000000)</f>
        <v/>
      </c>
      <c r="AK224" s="605">
        <f>IF(AND(ISNUMBER($N224),$N224&gt;0,ISNUMBER($Y224)),$Y224/$N224,"")</f>
        <v/>
      </c>
    </row>
    <row r="225" ht="15" customHeight="1" s="545">
      <c r="A225" s="388" t="n">
        <v>7</v>
      </c>
      <c r="B225" s="605" t="n">
        <v>217</v>
      </c>
      <c r="C225" s="605" t="inlineStr">
        <is>
          <t>R0077138</t>
        </is>
      </c>
      <c r="D225" s="605" t="inlineStr">
        <is>
          <t>8488  UINTA ST</t>
        </is>
      </c>
      <c r="E225" s="605" t="n">
        <v>3441</v>
      </c>
      <c r="F225" s="605" t="inlineStr">
        <is>
          <t>COMMERCE CITY</t>
        </is>
      </c>
      <c r="G225" s="605" t="inlineStr">
        <is>
          <t>5</t>
        </is>
      </c>
      <c r="H225" s="59">
        <f>Y225/J225</f>
        <v/>
      </c>
      <c r="I225" s="389" t="n">
        <v>44930</v>
      </c>
      <c r="J225" s="605" t="n">
        <v>1000</v>
      </c>
      <c r="L225" s="605" t="n">
        <v>1000</v>
      </c>
      <c r="M225" s="605" t="n">
        <v>1986</v>
      </c>
      <c r="P225" s="605" t="inlineStr">
        <is>
          <t>I-1-Com</t>
        </is>
      </c>
      <c r="R225" s="152" t="inlineStr">
        <is>
          <t>Average</t>
        </is>
      </c>
      <c r="S225" s="605" t="n">
        <v>8347.5</v>
      </c>
      <c r="T225" s="390">
        <f>S225/L225</f>
        <v/>
      </c>
      <c r="U225" s="605" t="inlineStr">
        <is>
          <t>Average</t>
        </is>
      </c>
      <c r="Y225" s="60" t="n">
        <v>695000</v>
      </c>
      <c r="AA225" s="60" t="n">
        <v>695000</v>
      </c>
      <c r="AC225" s="605" t="inlineStr">
        <is>
          <t>0172128109002</t>
        </is>
      </c>
      <c r="AD225" s="605" t="inlineStr">
        <is>
          <t>2023000000846</t>
        </is>
      </c>
      <c r="AE225" s="653" t="inlineStr">
        <is>
          <t xml:space="preserve">GOLDEN HILLS LLC AND , REAL PROPERTY ACQUISITIONS INITIATIVES LLC </t>
        </is>
      </c>
      <c r="AF225" s="653" t="inlineStr">
        <is>
          <t>HUMPTY DUMP ROLL OFF SERVICES LLC</t>
        </is>
      </c>
      <c r="AI225" s="605">
        <f>IF(AND($E225=Subj_OccCode,Subj_BldgSF&gt;0,ABS($L225-Subj_BldgSF)&lt;=Subj_BldgSF*Subj_SizeTol),ABS($L225-Subj_BldgSF),NA())</f>
        <v/>
      </c>
      <c r="AJ225">
        <f>IF(ISNA(AI225),NA(),AI225+ROW()/10000000)</f>
        <v/>
      </c>
      <c r="AK225" s="605">
        <f>IF(AND(ISNUMBER($N225),$N225&gt;0,ISNUMBER($Y225)),$Y225/$N225,"")</f>
        <v/>
      </c>
    </row>
    <row r="226" ht="15" customHeight="1" s="545">
      <c r="A226" s="388" t="n">
        <v>7</v>
      </c>
      <c r="B226" s="605" t="n">
        <v>218</v>
      </c>
      <c r="C226" s="605" t="inlineStr">
        <is>
          <t>R0039059</t>
        </is>
      </c>
      <c r="D226" s="605" t="inlineStr">
        <is>
          <t xml:space="preserve">10475  IRMA DR 1 </t>
        </is>
      </c>
      <c r="E226" s="605" t="n">
        <v>425</v>
      </c>
      <c r="F226" s="605" t="inlineStr">
        <is>
          <t>NORTHGLENN</t>
        </is>
      </c>
      <c r="G226" s="605" t="inlineStr">
        <is>
          <t>4</t>
        </is>
      </c>
      <c r="H226" s="59">
        <f>Y226/J226</f>
        <v/>
      </c>
      <c r="I226" s="389" t="n">
        <v>44932</v>
      </c>
      <c r="J226" s="605" t="n">
        <v>25500</v>
      </c>
      <c r="L226" s="605" t="n">
        <v>25500</v>
      </c>
      <c r="M226" s="605" t="n">
        <v>1984</v>
      </c>
      <c r="P226" s="605" t="inlineStr">
        <is>
          <t>I-2-Nor</t>
        </is>
      </c>
      <c r="R226" s="152" t="inlineStr">
        <is>
          <t>Average</t>
        </is>
      </c>
      <c r="S226" s="605" t="n">
        <v>4655</v>
      </c>
      <c r="T226" s="390">
        <f>S226/L226</f>
        <v/>
      </c>
      <c r="U226" s="605" t="inlineStr">
        <is>
          <t>Average</t>
        </is>
      </c>
      <c r="Y226" s="60" t="n">
        <v>546000</v>
      </c>
      <c r="AA226" s="60" t="n">
        <v>546000</v>
      </c>
      <c r="AC226" s="605" t="inlineStr">
        <is>
          <t>0171911411020</t>
        </is>
      </c>
      <c r="AD226" s="605" t="inlineStr">
        <is>
          <t>2023000000922</t>
        </is>
      </c>
      <c r="AE226" s="653" t="inlineStr">
        <is>
          <t>STEWART DON W LIVING TRUST 1/2 INT, STEWART DON W MARITAL TRUST 1/2 INT</t>
        </is>
      </c>
      <c r="AF226" s="653" t="inlineStr">
        <is>
          <t>JOHNS ERIC</t>
        </is>
      </c>
      <c r="AI226" s="605">
        <f>IF(AND($E226=Subj_OccCode,Subj_BldgSF&gt;0,ABS($L226-Subj_BldgSF)&lt;=Subj_BldgSF*Subj_SizeTol),ABS($L226-Subj_BldgSF),NA())</f>
        <v/>
      </c>
      <c r="AJ226">
        <f>IF(ISNA(AI226),NA(),AI226+ROW()/10000000)</f>
        <v/>
      </c>
      <c r="AK226" s="605">
        <f>IF(AND(ISNUMBER($N226),$N226&gt;0,ISNUMBER($Y226)),$Y226/$N226,"")</f>
        <v/>
      </c>
    </row>
    <row r="227" ht="15" customHeight="1" s="545">
      <c r="A227" s="388" t="n">
        <v>7</v>
      </c>
      <c r="B227" s="605" t="n">
        <v>219</v>
      </c>
      <c r="C227" s="605" t="inlineStr">
        <is>
          <t>R0039060</t>
        </is>
      </c>
      <c r="D227" s="605" t="inlineStr">
        <is>
          <t xml:space="preserve">10475  IRMA DR 2 </t>
        </is>
      </c>
      <c r="E227" s="605" t="n">
        <v>425</v>
      </c>
      <c r="F227" s="605" t="inlineStr">
        <is>
          <t>NORTHGLENN</t>
        </is>
      </c>
      <c r="G227" s="605" t="inlineStr">
        <is>
          <t>4</t>
        </is>
      </c>
      <c r="H227" s="59">
        <f>Y227/J227</f>
        <v/>
      </c>
      <c r="I227" s="389" t="n">
        <v>44932</v>
      </c>
      <c r="J227" s="605" t="n">
        <v>25500</v>
      </c>
      <c r="L227" s="605" t="n">
        <v>25500</v>
      </c>
      <c r="M227" s="605" t="n">
        <v>1984</v>
      </c>
      <c r="P227" s="605" t="inlineStr">
        <is>
          <t>I-2-Nor</t>
        </is>
      </c>
      <c r="R227" s="152" t="inlineStr">
        <is>
          <t>Average</t>
        </is>
      </c>
      <c r="S227" s="605" t="n">
        <v>4655</v>
      </c>
      <c r="T227" s="390">
        <f>S227/L227</f>
        <v/>
      </c>
      <c r="U227" s="605" t="inlineStr">
        <is>
          <t>Average</t>
        </is>
      </c>
      <c r="Y227" s="60" t="n">
        <v>546000</v>
      </c>
      <c r="AA227" s="60" t="n">
        <v>546000</v>
      </c>
      <c r="AC227" s="605" t="inlineStr">
        <is>
          <t>0171911411021</t>
        </is>
      </c>
      <c r="AD227" s="605" t="inlineStr">
        <is>
          <t>2023000000922</t>
        </is>
      </c>
      <c r="AE227" s="653" t="inlineStr">
        <is>
          <t>STEWART DON W LIVING TRUST 1/2 INT, STEWART DON W MARITAL TRUST 1/2 INT</t>
        </is>
      </c>
      <c r="AF227" s="653" t="inlineStr">
        <is>
          <t>JOHNS ERIC</t>
        </is>
      </c>
      <c r="AI227" s="605">
        <f>IF(AND($E227=Subj_OccCode,Subj_BldgSF&gt;0,ABS($L227-Subj_BldgSF)&lt;=Subj_BldgSF*Subj_SizeTol),ABS($L227-Subj_BldgSF),NA())</f>
        <v/>
      </c>
      <c r="AJ227">
        <f>IF(ISNA(AI227),NA(),AI227+ROW()/10000000)</f>
        <v/>
      </c>
      <c r="AK227" s="605">
        <f>IF(AND(ISNUMBER($N227),$N227&gt;0,ISNUMBER($Y227)),$Y227/$N227,"")</f>
        <v/>
      </c>
    </row>
    <row r="228" ht="15" customHeight="1" s="545">
      <c r="A228" s="388" t="n">
        <v>7</v>
      </c>
      <c r="B228" s="605" t="n">
        <v>220</v>
      </c>
      <c r="C228" s="605" t="inlineStr">
        <is>
          <t>R0124487</t>
        </is>
      </c>
      <c r="D228" s="605" t="inlineStr">
        <is>
          <t xml:space="preserve">4750 W 60TH AVE  </t>
        </is>
      </c>
      <c r="E228" s="605" t="n">
        <v>334</v>
      </c>
      <c r="F228" s="605" t="inlineStr">
        <is>
          <t>ARVADA</t>
        </is>
      </c>
      <c r="G228" s="605" t="inlineStr">
        <is>
          <t>5</t>
        </is>
      </c>
      <c r="H228" s="59">
        <f>Y228/J228</f>
        <v/>
      </c>
      <c r="I228" s="389" t="n">
        <v>44931</v>
      </c>
      <c r="J228" s="605" t="n">
        <v>13400</v>
      </c>
      <c r="L228" s="605" t="n">
        <v>13400</v>
      </c>
      <c r="M228" s="605" t="n">
        <v>1979</v>
      </c>
      <c r="P228" s="605" t="inlineStr">
        <is>
          <t>I-1-Arv</t>
        </is>
      </c>
      <c r="R228" s="152" t="inlineStr">
        <is>
          <t>Average</t>
        </is>
      </c>
      <c r="S228" s="605" t="n">
        <v>150608</v>
      </c>
      <c r="T228" s="390">
        <f>S228/L228</f>
        <v/>
      </c>
      <c r="U228" s="605" t="inlineStr">
        <is>
          <t>Average</t>
        </is>
      </c>
      <c r="Y228" s="60" t="n">
        <v>10000000</v>
      </c>
      <c r="AA228" s="60" t="n">
        <v>10000000</v>
      </c>
      <c r="AC228" s="605" t="inlineStr">
        <is>
          <t>0182507306013</t>
        </is>
      </c>
      <c r="AD228" s="605" t="inlineStr">
        <is>
          <t>2023000001455</t>
        </is>
      </c>
      <c r="AE228" s="653" t="inlineStr">
        <is>
          <t>MATHEWS FAMILY LLC</t>
        </is>
      </c>
      <c r="AF228" s="653" t="inlineStr">
        <is>
          <t>MARK VII EQUIPMENT INC</t>
        </is>
      </c>
      <c r="AI228" s="605">
        <f>IF(AND($E228=Subj_OccCode,Subj_BldgSF&gt;0,ABS($L228-Subj_BldgSF)&lt;=Subj_BldgSF*Subj_SizeTol),ABS($L228-Subj_BldgSF),NA())</f>
        <v/>
      </c>
      <c r="AJ228">
        <f>IF(ISNA(AI228),NA(),AI228+ROW()/10000000)</f>
        <v/>
      </c>
      <c r="AK228" s="605">
        <f>IF(AND(ISNUMBER($N228),$N228&gt;0,ISNUMBER($Y228)),$Y228/$N228,"")</f>
        <v/>
      </c>
    </row>
    <row r="229" ht="15" customHeight="1" s="545">
      <c r="A229" s="388" t="n">
        <v>7</v>
      </c>
      <c r="B229" s="605" t="n">
        <v>221</v>
      </c>
      <c r="C229" s="605" t="inlineStr">
        <is>
          <t>R0102984</t>
        </is>
      </c>
      <c r="D229" s="605" t="inlineStr">
        <is>
          <t>5981  TENNYSON ST</t>
        </is>
      </c>
      <c r="E229" s="605" t="n">
        <v>407</v>
      </c>
      <c r="F229" s="605" t="inlineStr">
        <is>
          <t>ARVADA</t>
        </is>
      </c>
      <c r="G229" s="605" t="inlineStr">
        <is>
          <t>5</t>
        </is>
      </c>
      <c r="H229" s="59">
        <f>Y229/J229</f>
        <v/>
      </c>
      <c r="I229" s="389" t="n">
        <v>44931</v>
      </c>
      <c r="J229" s="605" t="n">
        <v>73437</v>
      </c>
      <c r="L229" s="605" t="n">
        <v>73437</v>
      </c>
      <c r="M229" s="605" t="n">
        <v>1974</v>
      </c>
      <c r="P229" s="605" t="inlineStr">
        <is>
          <t>I-1-Arv</t>
        </is>
      </c>
      <c r="R229" s="152" t="inlineStr">
        <is>
          <t>Average</t>
        </is>
      </c>
      <c r="S229" s="605" t="n">
        <v>162880</v>
      </c>
      <c r="T229" s="390">
        <f>S229/L229</f>
        <v/>
      </c>
      <c r="U229" s="605" t="inlineStr">
        <is>
          <t>Average</t>
        </is>
      </c>
      <c r="Y229" s="60" t="n">
        <v>10000000</v>
      </c>
      <c r="AA229" s="60" t="n">
        <v>10000000</v>
      </c>
      <c r="AC229" s="605" t="inlineStr">
        <is>
          <t>0182507304002</t>
        </is>
      </c>
      <c r="AD229" s="605" t="inlineStr">
        <is>
          <t>2023000001455</t>
        </is>
      </c>
      <c r="AE229" s="653" t="inlineStr">
        <is>
          <t>MATHEWS FAMILY LLC</t>
        </is>
      </c>
      <c r="AF229" s="653" t="inlineStr">
        <is>
          <t>MARK VII EQUIPMENT INC</t>
        </is>
      </c>
      <c r="AI229" s="605">
        <f>IF(AND($E229=Subj_OccCode,Subj_BldgSF&gt;0,ABS($L229-Subj_BldgSF)&lt;=Subj_BldgSF*Subj_SizeTol),ABS($L229-Subj_BldgSF),NA())</f>
        <v/>
      </c>
      <c r="AJ229">
        <f>IF(ISNA(AI229),NA(),AI229+ROW()/10000000)</f>
        <v/>
      </c>
      <c r="AK229" s="605">
        <f>IF(AND(ISNUMBER($N229),$N229&gt;0,ISNUMBER($Y229)),$Y229/$N229,"")</f>
        <v/>
      </c>
    </row>
    <row r="230" ht="15" customHeight="1" s="545">
      <c r="A230" s="388" t="n">
        <v>7</v>
      </c>
      <c r="B230" s="605" t="n">
        <v>222</v>
      </c>
      <c r="C230" s="605" t="inlineStr">
        <is>
          <t>R0037747</t>
        </is>
      </c>
      <c r="D230" s="605" t="inlineStr">
        <is>
          <t xml:space="preserve">1680 E 112TH AVE  </t>
        </is>
      </c>
      <c r="E230" s="605" t="n">
        <v>325</v>
      </c>
      <c r="F230" s="605" t="inlineStr">
        <is>
          <t>NORTHGLENN</t>
        </is>
      </c>
      <c r="G230" s="605" t="inlineStr">
        <is>
          <t>4</t>
        </is>
      </c>
      <c r="H230" s="59">
        <f>Y230/J230</f>
        <v/>
      </c>
      <c r="I230" s="389" t="n">
        <v>44943</v>
      </c>
      <c r="J230" s="605" t="n">
        <v>1152</v>
      </c>
      <c r="L230" s="605" t="n">
        <v>1152</v>
      </c>
      <c r="M230" s="605" t="n">
        <v>1963</v>
      </c>
      <c r="P230" s="605" t="inlineStr">
        <is>
          <t>C-4-Nor</t>
        </is>
      </c>
      <c r="R230" s="152" t="inlineStr">
        <is>
          <t>Average</t>
        </is>
      </c>
      <c r="S230" s="605" t="n">
        <v>18750</v>
      </c>
      <c r="T230" s="390">
        <f>S230/L230</f>
        <v/>
      </c>
      <c r="U230" s="605" t="inlineStr">
        <is>
          <t>Average</t>
        </is>
      </c>
      <c r="Y230" s="60" t="n">
        <v>750000</v>
      </c>
      <c r="AA230" s="60" t="n">
        <v>750000</v>
      </c>
      <c r="AC230" s="605" t="inlineStr">
        <is>
          <t>0171911103017</t>
        </is>
      </c>
      <c r="AD230" s="605" t="inlineStr">
        <is>
          <t>2023000003311</t>
        </is>
      </c>
      <c r="AE230" s="653" t="inlineStr">
        <is>
          <t>COOK LISA AND DANSKY VICKI AND , PERLMUTTER JAY AND PERLMUTTER JONATHAN ET AL</t>
        </is>
      </c>
      <c r="AF230" s="653" t="inlineStr">
        <is>
          <t>NORTHGLENN URBAN RENEWAL AUTHORITY</t>
        </is>
      </c>
      <c r="AI230" s="605">
        <f>IF(AND($E230=Subj_OccCode,Subj_BldgSF&gt;0,ABS($L230-Subj_BldgSF)&lt;=Subj_BldgSF*Subj_SizeTol),ABS($L230-Subj_BldgSF),NA())</f>
        <v/>
      </c>
      <c r="AJ230">
        <f>IF(ISNA(AI230),NA(),AI230+ROW()/10000000)</f>
        <v/>
      </c>
      <c r="AK230" s="605">
        <f>IF(AND(ISNUMBER($N230),$N230&gt;0,ISNUMBER($Y230)),$Y230/$N230,"")</f>
        <v/>
      </c>
    </row>
    <row r="231" ht="15" customHeight="1" s="545">
      <c r="A231" s="388" t="n">
        <v>7</v>
      </c>
      <c r="B231" s="605" t="n">
        <v>223</v>
      </c>
      <c r="C231" s="605" t="inlineStr">
        <is>
          <t>R0037748</t>
        </is>
      </c>
      <c r="D231" s="605" t="inlineStr">
        <is>
          <t xml:space="preserve">1660 E 112TH AVE </t>
        </is>
      </c>
      <c r="E231" s="605" t="n">
        <v>353</v>
      </c>
      <c r="F231" s="605" t="inlineStr">
        <is>
          <t>NORTHGLENN</t>
        </is>
      </c>
      <c r="G231" s="605" t="inlineStr">
        <is>
          <t>4</t>
        </is>
      </c>
      <c r="H231" s="59">
        <f>Y231/J231</f>
        <v/>
      </c>
      <c r="I231" s="389" t="n">
        <v>44943</v>
      </c>
      <c r="J231" s="605" t="n">
        <v>2400</v>
      </c>
      <c r="L231" s="605" t="n">
        <v>2400</v>
      </c>
      <c r="M231" s="605" t="n">
        <v>1964</v>
      </c>
      <c r="P231" s="605" t="inlineStr">
        <is>
          <t>R-1-C-Nor</t>
        </is>
      </c>
      <c r="R231" s="152" t="inlineStr">
        <is>
          <t>Average</t>
        </is>
      </c>
      <c r="S231" s="605" t="n">
        <v>15000</v>
      </c>
      <c r="T231" s="390">
        <f>S231/L231</f>
        <v/>
      </c>
      <c r="U231" s="605" t="inlineStr">
        <is>
          <t>Average</t>
        </is>
      </c>
      <c r="Y231" s="60" t="n">
        <v>750000</v>
      </c>
      <c r="AA231" s="60" t="n">
        <v>750000</v>
      </c>
      <c r="AC231" s="605" t="inlineStr">
        <is>
          <t>0171911103018</t>
        </is>
      </c>
      <c r="AD231" s="605" t="inlineStr">
        <is>
          <t>2023000003311</t>
        </is>
      </c>
      <c r="AE231" s="653" t="inlineStr">
        <is>
          <t>COOK LISA AND DANSKY VICKI AND , PERLMUTTER JAY AND PERLMUTTER JONATHAN ET AL</t>
        </is>
      </c>
      <c r="AF231" s="653" t="inlineStr">
        <is>
          <t>NORTHGLENN URBAN RENEWAL AUTHORITY</t>
        </is>
      </c>
      <c r="AI231" s="605">
        <f>IF(AND($E231=Subj_OccCode,Subj_BldgSF&gt;0,ABS($L231-Subj_BldgSF)&lt;=Subj_BldgSF*Subj_SizeTol),ABS($L231-Subj_BldgSF),NA())</f>
        <v/>
      </c>
      <c r="AJ231">
        <f>IF(ISNA(AI231),NA(),AI231+ROW()/10000000)</f>
        <v/>
      </c>
      <c r="AK231" s="605">
        <f>IF(AND(ISNUMBER($N231),$N231&gt;0,ISNUMBER($Y231)),$Y231/$N231,"")</f>
        <v/>
      </c>
    </row>
    <row r="232" ht="15" customHeight="1" s="545">
      <c r="A232" s="388" t="n">
        <v>7</v>
      </c>
      <c r="B232" s="605" t="n">
        <v>224</v>
      </c>
      <c r="C232" s="605" t="inlineStr">
        <is>
          <t>R0092693</t>
        </is>
      </c>
      <c r="D232" s="605" t="inlineStr">
        <is>
          <t xml:space="preserve">6405 E 48TH AVE  </t>
        </is>
      </c>
      <c r="E232" s="605" t="n">
        <v>407</v>
      </c>
      <c r="F232" s="605" t="inlineStr">
        <is>
          <t>COMMERCE CITY</t>
        </is>
      </c>
      <c r="G232" s="605" t="inlineStr">
        <is>
          <t>5</t>
        </is>
      </c>
      <c r="H232" s="59">
        <f>Y232/J232</f>
        <v/>
      </c>
      <c r="I232" s="389" t="n">
        <v>44944</v>
      </c>
      <c r="J232" s="605" t="n">
        <v>14400</v>
      </c>
      <c r="L232" s="605" t="n">
        <v>14400</v>
      </c>
      <c r="M232" s="605" t="n">
        <v>1981</v>
      </c>
      <c r="P232" s="605" t="inlineStr">
        <is>
          <t>I-1S</t>
        </is>
      </c>
      <c r="R232" s="152" t="inlineStr">
        <is>
          <t>Average</t>
        </is>
      </c>
      <c r="S232" s="605" t="n">
        <v>62126</v>
      </c>
      <c r="T232" s="390">
        <f>S232/L232</f>
        <v/>
      </c>
      <c r="U232" s="605" t="inlineStr">
        <is>
          <t>Average</t>
        </is>
      </c>
      <c r="Y232" s="60" t="n">
        <v>4050000</v>
      </c>
      <c r="AA232" s="60" t="n">
        <v>4050000</v>
      </c>
      <c r="AC232" s="605" t="inlineStr">
        <is>
          <t>0182317304046</t>
        </is>
      </c>
      <c r="AD232" s="605" t="inlineStr">
        <is>
          <t>2023000003819</t>
        </is>
      </c>
      <c r="AE232" s="653" t="inlineStr">
        <is>
          <t>UTAH WOOD PRESERVING CO</t>
        </is>
      </c>
      <c r="AF232" s="653" t="inlineStr">
        <is>
          <t>WOOD CROSS LLC</t>
        </is>
      </c>
      <c r="AI232" s="605">
        <f>IF(AND($E232=Subj_OccCode,Subj_BldgSF&gt;0,ABS($L232-Subj_BldgSF)&lt;=Subj_BldgSF*Subj_SizeTol),ABS($L232-Subj_BldgSF),NA())</f>
        <v/>
      </c>
      <c r="AJ232">
        <f>IF(ISNA(AI232),NA(),AI232+ROW()/10000000)</f>
        <v/>
      </c>
      <c r="AK232" s="605">
        <f>IF(AND(ISNUMBER($N232),$N232&gt;0,ISNUMBER($Y232)),$Y232/$N232,"")</f>
        <v/>
      </c>
    </row>
    <row r="233" ht="15" customHeight="1" s="545">
      <c r="A233" s="388" t="n">
        <v>7</v>
      </c>
      <c r="B233" s="605" t="n">
        <v>225</v>
      </c>
      <c r="C233" s="605" t="inlineStr">
        <is>
          <t>R0212551</t>
        </is>
      </c>
      <c r="D233" s="605" t="inlineStr">
        <is>
          <t xml:space="preserve">5805 N JACKSON GAP ST </t>
        </is>
      </c>
      <c r="E233" s="605" t="n">
        <v>325</v>
      </c>
      <c r="F233" s="605" t="inlineStr">
        <is>
          <t>AURORA</t>
        </is>
      </c>
      <c r="G233" s="605" t="inlineStr">
        <is>
          <t>6</t>
        </is>
      </c>
      <c r="H233" s="59">
        <f>Y233/J233</f>
        <v/>
      </c>
      <c r="I233" s="389" t="n">
        <v>44946</v>
      </c>
      <c r="J233" s="605" t="n">
        <v>10120</v>
      </c>
      <c r="L233" s="605" t="n">
        <v>10120</v>
      </c>
      <c r="M233" s="605" t="n">
        <v>2021</v>
      </c>
      <c r="R233" s="152" t="inlineStr">
        <is>
          <t>Average</t>
        </is>
      </c>
      <c r="S233" s="605" t="n">
        <v>2854518</v>
      </c>
      <c r="T233" s="390">
        <f>S233/L233</f>
        <v/>
      </c>
      <c r="U233" s="605" t="inlineStr">
        <is>
          <t>Average</t>
        </is>
      </c>
      <c r="Y233" s="60" t="n">
        <v>72219900</v>
      </c>
      <c r="AA233" s="60" t="n">
        <v>72219900</v>
      </c>
      <c r="AC233" s="605" t="inlineStr">
        <is>
          <t>0181908301001</t>
        </is>
      </c>
      <c r="AD233" s="605" t="inlineStr">
        <is>
          <t>2023000003867</t>
        </is>
      </c>
      <c r="AE233" s="653" t="inlineStr">
        <is>
          <t>SCANNELL PROPERTIES #505 LLC</t>
        </is>
      </c>
      <c r="AF233" s="653" t="inlineStr">
        <is>
          <t>SFG AURORA CO LLC</t>
        </is>
      </c>
      <c r="AI233" s="605">
        <f>IF(AND($E233=Subj_OccCode,Subj_BldgSF&gt;0,ABS($L233-Subj_BldgSF)&lt;=Subj_BldgSF*Subj_SizeTol),ABS($L233-Subj_BldgSF),NA())</f>
        <v/>
      </c>
      <c r="AJ233">
        <f>IF(ISNA(AI233),NA(),AI233+ROW()/10000000)</f>
        <v/>
      </c>
      <c r="AK233" s="605">
        <f>IF(AND(ISNUMBER($N233),$N233&gt;0,ISNUMBER($Y233)),$Y233/$N233,"")</f>
        <v/>
      </c>
    </row>
    <row r="234" ht="15" customHeight="1" s="545">
      <c r="A234" s="388" t="n">
        <v>7</v>
      </c>
      <c r="B234" s="605" t="n">
        <v>226</v>
      </c>
      <c r="C234" s="605" t="inlineStr">
        <is>
          <t>R0212536</t>
        </is>
      </c>
      <c r="D234" s="605" t="inlineStr">
        <is>
          <t xml:space="preserve">8780 E 93RD PL  </t>
        </is>
      </c>
      <c r="E234" s="605" t="n">
        <v>325</v>
      </c>
      <c r="F234" s="605" t="inlineStr">
        <is>
          <t>COMMERCE CITY</t>
        </is>
      </c>
      <c r="G234" s="605" t="inlineStr">
        <is>
          <t>5</t>
        </is>
      </c>
      <c r="H234" s="59">
        <f>Y234/J234</f>
        <v/>
      </c>
      <c r="I234" s="389" t="n">
        <v>44972</v>
      </c>
      <c r="J234" s="605" t="n">
        <v>42000</v>
      </c>
      <c r="L234" s="605" t="n">
        <v>42000</v>
      </c>
      <c r="S234" s="605" t="n">
        <v>377460</v>
      </c>
      <c r="T234" s="390">
        <f>S234/L234</f>
        <v/>
      </c>
      <c r="Y234" s="60" t="n">
        <v>21000000</v>
      </c>
      <c r="AA234" s="60" t="n">
        <v>21000000</v>
      </c>
      <c r="AC234" s="605" t="inlineStr">
        <is>
          <t>0172121102016</t>
        </is>
      </c>
      <c r="AD234" s="605" t="inlineStr">
        <is>
          <t>2023000008265</t>
        </is>
      </c>
      <c r="AE234" s="653" t="inlineStr">
        <is>
          <t>IOV 8780 93RD PLACE LLC</t>
        </is>
      </c>
      <c r="AF234" s="653" t="inlineStr">
        <is>
          <t>UMDASCH REAL ESTATE USA LTD</t>
        </is>
      </c>
      <c r="AI234" s="605">
        <f>IF(AND($E234=Subj_OccCode,Subj_BldgSF&gt;0,ABS($L234-Subj_BldgSF)&lt;=Subj_BldgSF*Subj_SizeTol),ABS($L234-Subj_BldgSF),NA())</f>
        <v/>
      </c>
      <c r="AJ234">
        <f>IF(ISNA(AI234),NA(),AI234+ROW()/10000000)</f>
        <v/>
      </c>
      <c r="AK234" s="605">
        <f>IF(AND(ISNUMBER($N234),$N234&gt;0,ISNUMBER($Y234)),$Y234/$N234,"")</f>
        <v/>
      </c>
    </row>
    <row r="235" ht="15" customHeight="1" s="545">
      <c r="A235" s="388" t="n">
        <v>7</v>
      </c>
      <c r="B235" s="605" t="n">
        <v>227</v>
      </c>
      <c r="C235" s="605" t="inlineStr">
        <is>
          <t>R0217175</t>
        </is>
      </c>
      <c r="D235" s="605" t="inlineStr">
        <is>
          <t xml:space="preserve">13551  QUEBEC ST  </t>
        </is>
      </c>
      <c r="E235" s="605" t="n">
        <v>353</v>
      </c>
      <c r="F235" s="605" t="inlineStr">
        <is>
          <t>THORNTON</t>
        </is>
      </c>
      <c r="G235" s="605" t="inlineStr">
        <is>
          <t>3</t>
        </is>
      </c>
      <c r="H235" s="59">
        <f>Y235/J235</f>
        <v/>
      </c>
      <c r="I235" s="389" t="n">
        <v>44985</v>
      </c>
      <c r="J235" s="605" t="n">
        <v>4183</v>
      </c>
      <c r="L235" s="605" t="n">
        <v>4183</v>
      </c>
      <c r="S235" s="605" t="n">
        <v>25512</v>
      </c>
      <c r="T235" s="390">
        <f>S235/L235</f>
        <v/>
      </c>
      <c r="Y235" s="60" t="n">
        <v>1758844</v>
      </c>
      <c r="AA235" s="60" t="n">
        <v>1758844</v>
      </c>
      <c r="AC235" s="605" t="inlineStr">
        <is>
          <t>0157129113126</t>
        </is>
      </c>
      <c r="AD235" s="605" t="inlineStr">
        <is>
          <t>2023000010732</t>
        </is>
      </c>
      <c r="AE235" s="653" t="inlineStr">
        <is>
          <t>STRATUS AMBER CREEK LLC</t>
        </is>
      </c>
      <c r="AF235" s="653" t="inlineStr">
        <is>
          <t>WDG AMBER CREEK LLC</t>
        </is>
      </c>
      <c r="AI235" s="605">
        <f>IF(AND($E235=Subj_OccCode,Subj_BldgSF&gt;0,ABS($L235-Subj_BldgSF)&lt;=Subj_BldgSF*Subj_SizeTol),ABS($L235-Subj_BldgSF),NA())</f>
        <v/>
      </c>
      <c r="AJ235">
        <f>IF(ISNA(AI235),NA(),AI235+ROW()/10000000)</f>
        <v/>
      </c>
      <c r="AK235" s="605">
        <f>IF(AND(ISNUMBER($N235),$N235&gt;0,ISNUMBER($Y235)),$Y235/$N235,"")</f>
        <v/>
      </c>
    </row>
    <row r="236" ht="15" customHeight="1" s="545">
      <c r="A236" s="388" t="n">
        <v>7</v>
      </c>
      <c r="B236" s="605" t="n">
        <v>228</v>
      </c>
      <c r="C236" s="605" t="inlineStr">
        <is>
          <t>R0131307</t>
        </is>
      </c>
      <c r="D236" s="605" t="inlineStr">
        <is>
          <t xml:space="preserve">180  BROMLEY BUSINESS PKWY </t>
        </is>
      </c>
      <c r="E236" s="605" t="n">
        <v>105</v>
      </c>
      <c r="F236" s="605" t="inlineStr">
        <is>
          <t>BRIGHTON</t>
        </is>
      </c>
      <c r="G236" s="605" t="inlineStr">
        <is>
          <t>2</t>
        </is>
      </c>
      <c r="H236" s="59">
        <f>Y236/J236</f>
        <v/>
      </c>
      <c r="I236" s="389" t="n">
        <v>44986</v>
      </c>
      <c r="J236" s="605" t="n">
        <v>9600</v>
      </c>
      <c r="L236" s="605" t="n">
        <v>9600</v>
      </c>
      <c r="M236" s="605" t="n">
        <v>2003</v>
      </c>
      <c r="P236" s="605" t="inlineStr">
        <is>
          <t>PUD-Bri</t>
        </is>
      </c>
      <c r="R236" s="152" t="inlineStr">
        <is>
          <t>Average</t>
        </is>
      </c>
      <c r="S236" s="605" t="n">
        <v>309450.24</v>
      </c>
      <c r="T236" s="390">
        <f>S236/L236</f>
        <v/>
      </c>
      <c r="U236" s="605" t="inlineStr">
        <is>
          <t>Average</t>
        </is>
      </c>
      <c r="Y236" s="60" t="n">
        <v>13758500</v>
      </c>
      <c r="AA236" s="60" t="n">
        <v>13758500</v>
      </c>
      <c r="AC236" s="605" t="inlineStr">
        <is>
          <t>0156911106009</t>
        </is>
      </c>
      <c r="AD236" s="605" t="inlineStr">
        <is>
          <t>2023000011280</t>
        </is>
      </c>
      <c r="AE236" s="653" t="inlineStr">
        <is>
          <t>PONY EXPRESS MINI STORAGE II LLC</t>
        </is>
      </c>
      <c r="AF236" s="653" t="inlineStr">
        <is>
          <t>GC MP BRIGHTON LLC</t>
        </is>
      </c>
      <c r="AI236" s="605">
        <f>IF(AND($E236=Subj_OccCode,Subj_BldgSF&gt;0,ABS($L236-Subj_BldgSF)&lt;=Subj_BldgSF*Subj_SizeTol),ABS($L236-Subj_BldgSF),NA())</f>
        <v/>
      </c>
      <c r="AJ236">
        <f>IF(ISNA(AI236),NA(),AI236+ROW()/10000000)</f>
        <v/>
      </c>
      <c r="AK236" s="605">
        <f>IF(AND(ISNUMBER($N236),$N236&gt;0,ISNUMBER($Y236)),$Y236/$N236,"")</f>
        <v/>
      </c>
    </row>
    <row r="237" ht="15" customHeight="1" s="545">
      <c r="A237" s="388" t="n">
        <v>7</v>
      </c>
      <c r="B237" s="605" t="n">
        <v>229</v>
      </c>
      <c r="C237" s="605" t="inlineStr">
        <is>
          <t>R0002838</t>
        </is>
      </c>
      <c r="D237" s="605" t="inlineStr">
        <is>
          <t xml:space="preserve">15 N MAIN ST </t>
        </is>
      </c>
      <c r="E237" s="605" t="n">
        <v>353</v>
      </c>
      <c r="F237" s="605" t="inlineStr">
        <is>
          <t>BRIGHTON</t>
        </is>
      </c>
      <c r="G237" s="605" t="inlineStr">
        <is>
          <t>2</t>
        </is>
      </c>
      <c r="H237" s="59">
        <f>Y237/J237</f>
        <v/>
      </c>
      <c r="I237" s="389" t="n">
        <v>45009</v>
      </c>
      <c r="J237" s="605" t="n">
        <v>4000</v>
      </c>
      <c r="L237" s="605" t="n">
        <v>4000</v>
      </c>
      <c r="M237" s="605" t="n">
        <v>1917</v>
      </c>
      <c r="P237" s="605" t="inlineStr">
        <is>
          <t>DT</t>
        </is>
      </c>
      <c r="R237" s="152" t="inlineStr">
        <is>
          <t>Average</t>
        </is>
      </c>
      <c r="S237" s="605" t="n">
        <v>10150</v>
      </c>
      <c r="T237" s="390">
        <f>S237/L237</f>
        <v/>
      </c>
      <c r="U237" s="605" t="inlineStr">
        <is>
          <t>Average</t>
        </is>
      </c>
      <c r="Y237" s="60" t="n">
        <v>1012000</v>
      </c>
      <c r="AA237" s="60" t="n">
        <v>1012000</v>
      </c>
      <c r="AC237" s="605" t="inlineStr">
        <is>
          <t>0156906314010</t>
        </is>
      </c>
      <c r="AD237" s="605" t="inlineStr">
        <is>
          <t>2023000015687</t>
        </is>
      </c>
      <c r="AE237" s="653" t="inlineStr">
        <is>
          <t>SHELL LLC</t>
        </is>
      </c>
      <c r="AF237" s="653" t="inlineStr">
        <is>
          <t>ROTH ERIC</t>
        </is>
      </c>
      <c r="AI237" s="605">
        <f>IF(AND($E237=Subj_OccCode,Subj_BldgSF&gt;0,ABS($L237-Subj_BldgSF)&lt;=Subj_BldgSF*Subj_SizeTol),ABS($L237-Subj_BldgSF),NA())</f>
        <v/>
      </c>
      <c r="AJ237">
        <f>IF(ISNA(AI237),NA(),AI237+ROW()/10000000)</f>
        <v/>
      </c>
      <c r="AK237" s="605">
        <f>IF(AND(ISNUMBER($N237),$N237&gt;0,ISNUMBER($Y237)),$Y237/$N237,"")</f>
        <v/>
      </c>
    </row>
    <row r="238" ht="15" customHeight="1" s="545">
      <c r="A238" s="388" t="n">
        <v>7</v>
      </c>
      <c r="B238" s="605" t="n">
        <v>230</v>
      </c>
      <c r="C238" s="605" t="inlineStr">
        <is>
          <t>R0024505</t>
        </is>
      </c>
      <c r="D238" s="605" t="inlineStr">
        <is>
          <t xml:space="preserve">12040  MELODY DR  </t>
        </is>
      </c>
      <c r="E238" s="605" t="n">
        <v>349</v>
      </c>
      <c r="F238" s="605" t="inlineStr">
        <is>
          <t>WESTMINSTER</t>
        </is>
      </c>
      <c r="G238" s="605" t="inlineStr">
        <is>
          <t>3</t>
        </is>
      </c>
      <c r="H238" s="59">
        <f>Y238/J238</f>
        <v/>
      </c>
      <c r="I238" s="389" t="n">
        <v>44999</v>
      </c>
      <c r="J238" s="605" t="n">
        <v>2364</v>
      </c>
      <c r="L238" s="605" t="n">
        <v>2364</v>
      </c>
      <c r="M238" s="605" t="n">
        <v>1986</v>
      </c>
      <c r="P238" s="605" t="inlineStr">
        <is>
          <t>PUD-Wes</t>
        </is>
      </c>
      <c r="R238" s="152" t="inlineStr">
        <is>
          <t>Average</t>
        </is>
      </c>
      <c r="S238" s="605" t="n">
        <v>36462</v>
      </c>
      <c r="T238" s="390">
        <f>S238/L238</f>
        <v/>
      </c>
      <c r="U238" s="605" t="inlineStr">
        <is>
          <t>Average</t>
        </is>
      </c>
      <c r="Y238" s="60" t="n">
        <v>2151400</v>
      </c>
      <c r="AA238" s="60" t="n">
        <v>2151400</v>
      </c>
      <c r="AC238" s="605" t="inlineStr">
        <is>
          <t>0157334301003</t>
        </is>
      </c>
      <c r="AD238" s="605" t="inlineStr">
        <is>
          <t>2023000017021</t>
        </is>
      </c>
      <c r="AE238" s="653" t="inlineStr">
        <is>
          <t>ARCP WY WESTMINSTER CO LLC, C/O RYAN LLC-PTS</t>
        </is>
      </c>
      <c r="AF238" s="653" t="inlineStr">
        <is>
          <t>MDC COAST 29 LLC</t>
        </is>
      </c>
      <c r="AI238" s="605">
        <f>IF(AND($E238=Subj_OccCode,Subj_BldgSF&gt;0,ABS($L238-Subj_BldgSF)&lt;=Subj_BldgSF*Subj_SizeTol),ABS($L238-Subj_BldgSF),NA())</f>
        <v/>
      </c>
      <c r="AJ238">
        <f>IF(ISNA(AI238),NA(),AI238+ROW()/10000000)</f>
        <v/>
      </c>
      <c r="AK238" s="605">
        <f>IF(AND(ISNUMBER($N238),$N238&gt;0,ISNUMBER($Y238)),$Y238/$N238,"")</f>
        <v/>
      </c>
    </row>
    <row r="239" ht="15" customHeight="1" s="545">
      <c r="A239" s="388" t="n">
        <v>7</v>
      </c>
      <c r="B239" s="605" t="n">
        <v>231</v>
      </c>
      <c r="C239" s="605" t="inlineStr">
        <is>
          <t>R0008943</t>
        </is>
      </c>
      <c r="D239" s="605" t="inlineStr">
        <is>
          <t>15040  BRIGHTON RD</t>
        </is>
      </c>
      <c r="E239" s="605" t="n">
        <v>1332</v>
      </c>
      <c r="F239" s="605" t="inlineStr">
        <is>
          <t>BRIGHTON</t>
        </is>
      </c>
      <c r="G239" s="605" t="inlineStr">
        <is>
          <t>3</t>
        </is>
      </c>
      <c r="H239" s="59">
        <f>Y239/J239</f>
        <v/>
      </c>
      <c r="I239" s="389" t="n">
        <v>45023</v>
      </c>
      <c r="J239" s="605" t="n">
        <v>39</v>
      </c>
      <c r="L239" s="605" t="n">
        <v>39</v>
      </c>
      <c r="M239" s="605" t="n">
        <v>1983</v>
      </c>
      <c r="P239" s="605" t="inlineStr">
        <is>
          <t>PUD-Bri</t>
        </is>
      </c>
      <c r="R239" s="152" t="inlineStr">
        <is>
          <t>Average</t>
        </is>
      </c>
      <c r="S239" s="605" t="n">
        <v>59459</v>
      </c>
      <c r="T239" s="390">
        <f>S239/L239</f>
        <v/>
      </c>
      <c r="U239" s="605" t="inlineStr">
        <is>
          <t>Average</t>
        </is>
      </c>
      <c r="Y239" s="60" t="n">
        <v>2150000</v>
      </c>
      <c r="AA239" s="60" t="n">
        <v>2150000</v>
      </c>
      <c r="AC239" s="605" t="inlineStr">
        <is>
          <t>0157113006005</t>
        </is>
      </c>
      <c r="AD239" s="605" t="inlineStr">
        <is>
          <t>2023000018941</t>
        </is>
      </c>
      <c r="AE239" s="653" t="inlineStr">
        <is>
          <t>HAN CHUN INC</t>
        </is>
      </c>
      <c r="AF239" s="653" t="inlineStr">
        <is>
          <t>BRIGHTON ROAD HOTEL LLC</t>
        </is>
      </c>
      <c r="AI239" s="605">
        <f>IF(AND($E239=Subj_OccCode,Subj_BldgSF&gt;0,ABS($L239-Subj_BldgSF)&lt;=Subj_BldgSF*Subj_SizeTol),ABS($L239-Subj_BldgSF),NA())</f>
        <v/>
      </c>
      <c r="AJ239">
        <f>IF(ISNA(AI239),NA(),AI239+ROW()/10000000)</f>
        <v/>
      </c>
      <c r="AK239" s="605">
        <f>IF(AND(ISNUMBER($N239),$N239&gt;0,ISNUMBER($Y239)),$Y239/$N239,"")</f>
        <v/>
      </c>
    </row>
    <row r="240" ht="15" customHeight="1" s="545">
      <c r="A240" s="388" t="n">
        <v>7</v>
      </c>
      <c r="B240" s="605" t="n">
        <v>232</v>
      </c>
      <c r="C240" s="605" t="inlineStr">
        <is>
          <t>R0211021</t>
        </is>
      </c>
      <c r="D240" s="605" t="inlineStr">
        <is>
          <t>100  CENTENNIAL DR</t>
        </is>
      </c>
      <c r="E240" s="605" t="n">
        <v>353</v>
      </c>
      <c r="F240" s="605" t="inlineStr">
        <is>
          <t>BENNETT</t>
        </is>
      </c>
      <c r="G240" s="605" t="inlineStr">
        <is>
          <t>1</t>
        </is>
      </c>
      <c r="H240" s="59">
        <f>Y240/J240</f>
        <v/>
      </c>
      <c r="I240" s="389" t="n">
        <v>45021</v>
      </c>
      <c r="J240" s="605" t="n">
        <v>9170</v>
      </c>
      <c r="L240" s="605" t="n">
        <v>9170</v>
      </c>
      <c r="M240" s="605" t="n">
        <v>2022</v>
      </c>
      <c r="R240" s="152" t="inlineStr">
        <is>
          <t>Average</t>
        </is>
      </c>
      <c r="S240" s="605" t="n">
        <v>43050</v>
      </c>
      <c r="T240" s="390">
        <f>S240/L240</f>
        <v/>
      </c>
      <c r="U240" s="605" t="inlineStr">
        <is>
          <t>Average</t>
        </is>
      </c>
      <c r="Y240" s="60" t="n">
        <v>2482700</v>
      </c>
      <c r="AA240" s="60" t="n">
        <v>2482700</v>
      </c>
      <c r="AC240" s="605" t="inlineStr">
        <is>
          <t>0181528401016</t>
        </is>
      </c>
      <c r="AD240" s="605" t="inlineStr">
        <is>
          <t>2023000018989</t>
        </is>
      </c>
      <c r="AE240" s="653" t="inlineStr">
        <is>
          <t>BENNETT CO DG LLC</t>
        </is>
      </c>
      <c r="AF240" s="653" t="inlineStr">
        <is>
          <t>58TH LANE LLC AND, LOMA ALTA COMMONS LLC</t>
        </is>
      </c>
      <c r="AI240" s="605">
        <f>IF(AND($E240=Subj_OccCode,Subj_BldgSF&gt;0,ABS($L240-Subj_BldgSF)&lt;=Subj_BldgSF*Subj_SizeTol),ABS($L240-Subj_BldgSF),NA())</f>
        <v/>
      </c>
      <c r="AJ240">
        <f>IF(ISNA(AI240),NA(),AI240+ROW()/10000000)</f>
        <v/>
      </c>
      <c r="AK240" s="605">
        <f>IF(AND(ISNUMBER($N240),$N240&gt;0,ISNUMBER($Y240)),$Y240/$N240,"")</f>
        <v/>
      </c>
    </row>
    <row r="241" ht="15" customHeight="1" s="545">
      <c r="A241" s="388" t="n">
        <v>7</v>
      </c>
      <c r="B241" s="605" t="n">
        <v>233</v>
      </c>
      <c r="C241" s="605" t="inlineStr">
        <is>
          <t>R0091298</t>
        </is>
      </c>
      <c r="D241" s="605" t="inlineStr">
        <is>
          <t>6171  OLIVE ST</t>
        </is>
      </c>
      <c r="E241" s="605" t="n">
        <v>309</v>
      </c>
      <c r="F241" s="605" t="inlineStr">
        <is>
          <t>COMMERCE CITY</t>
        </is>
      </c>
      <c r="G241" s="605" t="inlineStr">
        <is>
          <t>5</t>
        </is>
      </c>
      <c r="H241" s="59">
        <f>Y241/J241</f>
        <v/>
      </c>
      <c r="I241" s="389" t="n">
        <v>45051</v>
      </c>
      <c r="J241" s="605" t="n">
        <v>3338</v>
      </c>
      <c r="L241" s="605" t="n">
        <v>3338</v>
      </c>
      <c r="M241" s="605" t="n">
        <v>1942</v>
      </c>
      <c r="P241" s="605" t="inlineStr">
        <is>
          <t>R-2-Com</t>
        </is>
      </c>
      <c r="R241" s="152" t="inlineStr">
        <is>
          <t>Average</t>
        </is>
      </c>
      <c r="S241" s="605" t="n">
        <v>21150</v>
      </c>
      <c r="T241" s="390">
        <f>S241/L241</f>
        <v/>
      </c>
      <c r="U241" s="605" t="inlineStr">
        <is>
          <t>Average</t>
        </is>
      </c>
      <c r="Y241" s="60" t="n">
        <v>450000</v>
      </c>
      <c r="AA241" s="60" t="n">
        <v>450000</v>
      </c>
      <c r="AC241" s="605" t="inlineStr">
        <is>
          <t>0182308114018</t>
        </is>
      </c>
      <c r="AD241" s="605" t="inlineStr">
        <is>
          <t>2023000025227</t>
        </is>
      </c>
      <c r="AE241" s="653" t="inlineStr">
        <is>
          <t>DANKO-HOLLOWAY LLC</t>
        </is>
      </c>
      <c r="AF241" s="653" t="inlineStr">
        <is>
          <t>SALGADO RETANA MOISES AND, SALGADO RETANA MIRIAM</t>
        </is>
      </c>
      <c r="AI241" s="605">
        <f>IF(AND($E241=Subj_OccCode,Subj_BldgSF&gt;0,ABS($L241-Subj_BldgSF)&lt;=Subj_BldgSF*Subj_SizeTol),ABS($L241-Subj_BldgSF),NA())</f>
        <v/>
      </c>
      <c r="AJ241">
        <f>IF(ISNA(AI241),NA(),AI241+ROW()/10000000)</f>
        <v/>
      </c>
      <c r="AK241" s="605">
        <f>IF(AND(ISNUMBER($N241),$N241&gt;0,ISNUMBER($Y241)),$Y241/$N241,"")</f>
        <v/>
      </c>
    </row>
    <row r="242" ht="15" customHeight="1" s="545">
      <c r="A242" s="388" t="n">
        <v>7</v>
      </c>
      <c r="B242" s="605" t="n">
        <v>234</v>
      </c>
      <c r="C242" s="605" t="inlineStr">
        <is>
          <t>R0165147</t>
        </is>
      </c>
      <c r="D242" s="605" t="inlineStr">
        <is>
          <t xml:space="preserve">4455 W 58TH AVE B </t>
        </is>
      </c>
      <c r="E242" s="605" t="n">
        <v>425</v>
      </c>
      <c r="F242" s="605" t="inlineStr">
        <is>
          <t>ARVADA</t>
        </is>
      </c>
      <c r="G242" s="605" t="inlineStr">
        <is>
          <t>5</t>
        </is>
      </c>
      <c r="H242" s="59">
        <f>Y242/J242</f>
        <v/>
      </c>
      <c r="I242" s="389" t="n">
        <v>45051</v>
      </c>
      <c r="J242" s="605" t="n">
        <v>12100</v>
      </c>
      <c r="L242" s="605" t="n">
        <v>12100</v>
      </c>
      <c r="M242" s="605" t="n">
        <v>2005</v>
      </c>
      <c r="P242" s="605" t="inlineStr">
        <is>
          <t>I-1-Arv</t>
        </is>
      </c>
      <c r="R242" s="152" t="inlineStr">
        <is>
          <t>Average</t>
        </is>
      </c>
      <c r="S242" s="605" t="n">
        <v>8395</v>
      </c>
      <c r="T242" s="390">
        <f>S242/L242</f>
        <v/>
      </c>
      <c r="U242" s="605" t="inlineStr">
        <is>
          <t>Average</t>
        </is>
      </c>
      <c r="Y242" s="60" t="n">
        <v>1150000</v>
      </c>
      <c r="AA242" s="60" t="n">
        <v>1150000</v>
      </c>
      <c r="AC242" s="605" t="inlineStr">
        <is>
          <t>0182507305007</t>
        </is>
      </c>
      <c r="AD242" s="605" t="inlineStr">
        <is>
          <t>2023000025629</t>
        </is>
      </c>
      <c r="AE242" s="653" t="inlineStr">
        <is>
          <t>WA WOOD SHOP LLC</t>
        </is>
      </c>
      <c r="AF242" s="653" t="inlineStr">
        <is>
          <t>MDSK HOLDINGS LLC</t>
        </is>
      </c>
      <c r="AI242" s="605">
        <f>IF(AND($E242=Subj_OccCode,Subj_BldgSF&gt;0,ABS($L242-Subj_BldgSF)&lt;=Subj_BldgSF*Subj_SizeTol),ABS($L242-Subj_BldgSF),NA())</f>
        <v/>
      </c>
      <c r="AJ242">
        <f>IF(ISNA(AI242),NA(),AI242+ROW()/10000000)</f>
        <v/>
      </c>
      <c r="AK242" s="605">
        <f>IF(AND(ISNUMBER($N242),$N242&gt;0,ISNUMBER($Y242)),$Y242/$N242,"")</f>
        <v/>
      </c>
    </row>
    <row r="243" ht="15" customHeight="1" s="545">
      <c r="A243" s="388" t="n">
        <v>7</v>
      </c>
      <c r="B243" s="605" t="n">
        <v>235</v>
      </c>
      <c r="C243" s="605" t="inlineStr">
        <is>
          <t>R0165148</t>
        </is>
      </c>
      <c r="D243" s="605" t="inlineStr">
        <is>
          <t>4455 W 58TH AVE C</t>
        </is>
      </c>
      <c r="E243" s="605" t="n">
        <v>425</v>
      </c>
      <c r="F243" s="605" t="inlineStr">
        <is>
          <t>ARVADA</t>
        </is>
      </c>
      <c r="G243" s="605" t="inlineStr">
        <is>
          <t>5</t>
        </is>
      </c>
      <c r="H243" s="59">
        <f>Y243/J243</f>
        <v/>
      </c>
      <c r="I243" s="389" t="n">
        <v>45051</v>
      </c>
      <c r="J243" s="605" t="n">
        <v>12100</v>
      </c>
      <c r="L243" s="605" t="n">
        <v>12100</v>
      </c>
      <c r="M243" s="605" t="n">
        <v>2005</v>
      </c>
      <c r="P243" s="605" t="inlineStr">
        <is>
          <t>I-1-Arv</t>
        </is>
      </c>
      <c r="R243" s="152" t="inlineStr">
        <is>
          <t>Average</t>
        </is>
      </c>
      <c r="S243" s="605" t="n">
        <v>8395</v>
      </c>
      <c r="T243" s="390">
        <f>S243/L243</f>
        <v/>
      </c>
      <c r="U243" s="605" t="inlineStr">
        <is>
          <t>Average</t>
        </is>
      </c>
      <c r="Y243" s="60" t="n">
        <v>1150000</v>
      </c>
      <c r="AA243" s="60" t="n">
        <v>1150000</v>
      </c>
      <c r="AC243" s="605" t="inlineStr">
        <is>
          <t>0182507305008</t>
        </is>
      </c>
      <c r="AD243" s="605" t="inlineStr">
        <is>
          <t>2023000025629</t>
        </is>
      </c>
      <c r="AE243" s="653" t="inlineStr">
        <is>
          <t>WA WOOD SHOP LLC</t>
        </is>
      </c>
      <c r="AF243" s="653" t="inlineStr">
        <is>
          <t>MDSK HOLDINGS LLC</t>
        </is>
      </c>
      <c r="AI243" s="605">
        <f>IF(AND($E243=Subj_OccCode,Subj_BldgSF&gt;0,ABS($L243-Subj_BldgSF)&lt;=Subj_BldgSF*Subj_SizeTol),ABS($L243-Subj_BldgSF),NA())</f>
        <v/>
      </c>
      <c r="AJ243">
        <f>IF(ISNA(AI243),NA(),AI243+ROW()/10000000)</f>
        <v/>
      </c>
      <c r="AK243" s="605">
        <f>IF(AND(ISNUMBER($N243),$N243&gt;0,ISNUMBER($Y243)),$Y243/$N243,"")</f>
        <v/>
      </c>
    </row>
    <row r="244" ht="15" customHeight="1" s="545">
      <c r="A244" s="388" t="n">
        <v>7</v>
      </c>
      <c r="B244" s="605" t="n">
        <v>236</v>
      </c>
      <c r="C244" s="605" t="inlineStr">
        <is>
          <t>R0202445</t>
        </is>
      </c>
      <c r="D244" s="605" t="inlineStr">
        <is>
          <t>1210 E 73RD AVE</t>
        </is>
      </c>
      <c r="E244" s="605" t="n">
        <v>407</v>
      </c>
      <c r="G244" s="605" t="inlineStr">
        <is>
          <t>5</t>
        </is>
      </c>
      <c r="H244" s="59">
        <f>Y244/J244</f>
        <v/>
      </c>
      <c r="I244" s="389" t="n">
        <v>45055</v>
      </c>
      <c r="J244" s="605" t="n">
        <v>41280</v>
      </c>
      <c r="L244" s="605" t="n">
        <v>41280</v>
      </c>
      <c r="M244" s="605" t="n">
        <v>2020</v>
      </c>
      <c r="R244" s="152" t="inlineStr">
        <is>
          <t>Average</t>
        </is>
      </c>
      <c r="S244" s="605" t="n">
        <v>130185</v>
      </c>
      <c r="T244" s="390">
        <f>S244/L244</f>
        <v/>
      </c>
      <c r="U244" s="605" t="inlineStr">
        <is>
          <t>Average</t>
        </is>
      </c>
      <c r="Y244" s="60" t="n">
        <v>39559000</v>
      </c>
      <c r="AA244" s="60" t="n">
        <v>39559000</v>
      </c>
      <c r="AC244" s="605" t="inlineStr">
        <is>
          <t>0171935303028</t>
        </is>
      </c>
      <c r="AD244" s="605" t="inlineStr">
        <is>
          <t>2023000026193</t>
        </is>
      </c>
      <c r="AE244" s="653" t="inlineStr">
        <is>
          <t>CENTRAL CONNECTION LLC</t>
        </is>
      </c>
      <c r="AF244" s="653" t="inlineStr">
        <is>
          <t>GFP CL DENVER 1210 + 1550 LLC AND, C/O EVERWEST ADVISORS LLC</t>
        </is>
      </c>
      <c r="AI244" s="605">
        <f>IF(AND($E244=Subj_OccCode,Subj_BldgSF&gt;0,ABS($L244-Subj_BldgSF)&lt;=Subj_BldgSF*Subj_SizeTol),ABS($L244-Subj_BldgSF),NA())</f>
        <v/>
      </c>
      <c r="AJ244">
        <f>IF(ISNA(AI244),NA(),AI244+ROW()/10000000)</f>
        <v/>
      </c>
      <c r="AK244" s="605">
        <f>IF(AND(ISNUMBER($N244),$N244&gt;0,ISNUMBER($Y244)),$Y244/$N244,"")</f>
        <v/>
      </c>
    </row>
    <row r="245" ht="15" customHeight="1" s="545">
      <c r="A245" s="388" t="n">
        <v>7</v>
      </c>
      <c r="B245" s="605" t="n">
        <v>237</v>
      </c>
      <c r="C245" s="605" t="inlineStr">
        <is>
          <t>R0201981</t>
        </is>
      </c>
      <c r="D245" s="605" t="inlineStr">
        <is>
          <t>1550 E 73RD AVE</t>
        </is>
      </c>
      <c r="E245" s="605" t="n">
        <v>407</v>
      </c>
      <c r="G245" s="605" t="inlineStr">
        <is>
          <t>5</t>
        </is>
      </c>
      <c r="H245" s="59">
        <f>Y245/J245</f>
        <v/>
      </c>
      <c r="I245" s="389" t="n">
        <v>45055</v>
      </c>
      <c r="J245" s="605" t="n">
        <v>153300</v>
      </c>
      <c r="L245" s="605" t="n">
        <v>153300</v>
      </c>
      <c r="M245" s="605" t="n">
        <v>2020</v>
      </c>
      <c r="R245" s="152" t="inlineStr">
        <is>
          <t>Average</t>
        </is>
      </c>
      <c r="S245" s="605" t="n">
        <v>491862</v>
      </c>
      <c r="T245" s="390">
        <f>S245/L245</f>
        <v/>
      </c>
      <c r="U245" s="605" t="inlineStr">
        <is>
          <t>Average</t>
        </is>
      </c>
      <c r="Y245" s="60" t="n">
        <v>39559000</v>
      </c>
      <c r="AA245" s="60" t="n">
        <v>39559000</v>
      </c>
      <c r="AC245" s="605" t="inlineStr">
        <is>
          <t>0171935304011</t>
        </is>
      </c>
      <c r="AD245" s="605" t="inlineStr">
        <is>
          <t>2023000026193</t>
        </is>
      </c>
      <c r="AE245" s="653" t="inlineStr">
        <is>
          <t>CENTRAL CONNECTION LLC</t>
        </is>
      </c>
      <c r="AF245" s="653" t="inlineStr">
        <is>
          <t>GFP CL DENVER 1210 + 1550 LLC AND, C/O EVERWEST ADVISORS LLC</t>
        </is>
      </c>
      <c r="AI245" s="605">
        <f>IF(AND($E245=Subj_OccCode,Subj_BldgSF&gt;0,ABS($L245-Subj_BldgSF)&lt;=Subj_BldgSF*Subj_SizeTol),ABS($L245-Subj_BldgSF),NA())</f>
        <v/>
      </c>
      <c r="AJ245">
        <f>IF(ISNA(AI245),NA(),AI245+ROW()/10000000)</f>
        <v/>
      </c>
      <c r="AK245" s="605">
        <f>IF(AND(ISNUMBER($N245),$N245&gt;0,ISNUMBER($Y245)),$Y245/$N245,"")</f>
        <v/>
      </c>
    </row>
    <row r="246" ht="15" customHeight="1" s="545">
      <c r="A246" s="388" t="n">
        <v>7</v>
      </c>
      <c r="B246" s="605" t="n">
        <v>238</v>
      </c>
      <c r="C246" s="605" t="inlineStr">
        <is>
          <t>R0099664</t>
        </is>
      </c>
      <c r="D246" s="605" t="inlineStr">
        <is>
          <t>6990  FEDERAL BLVD</t>
        </is>
      </c>
      <c r="E246" s="605" t="n">
        <v>353</v>
      </c>
      <c r="G246" s="605" t="inlineStr">
        <is>
          <t>5</t>
        </is>
      </c>
      <c r="H246" s="59">
        <f>Y246/J246</f>
        <v/>
      </c>
      <c r="I246" s="389" t="n">
        <v>45061</v>
      </c>
      <c r="J246" s="605" t="n">
        <v>1724</v>
      </c>
      <c r="L246" s="605" t="n">
        <v>1724</v>
      </c>
      <c r="M246" s="605" t="n">
        <v>1967</v>
      </c>
      <c r="P246" s="605" t="inlineStr">
        <is>
          <t>Industrial</t>
        </is>
      </c>
      <c r="R246" s="152" t="inlineStr">
        <is>
          <t>Average</t>
        </is>
      </c>
      <c r="S246" s="605" t="n">
        <v>43004</v>
      </c>
      <c r="T246" s="390">
        <f>S246/L246</f>
        <v/>
      </c>
      <c r="U246" s="605" t="inlineStr">
        <is>
          <t>Average</t>
        </is>
      </c>
      <c r="Y246" s="60" t="n">
        <v>1170550</v>
      </c>
      <c r="AA246" s="60" t="n">
        <v>1170550</v>
      </c>
      <c r="AC246" s="605" t="inlineStr">
        <is>
          <t>0182505100021</t>
        </is>
      </c>
      <c r="AD246" s="605" t="inlineStr">
        <is>
          <t>2023000027381</t>
        </is>
      </c>
      <c r="AE246" s="653" t="inlineStr">
        <is>
          <t>6990 FEDERAL BLVD LLC</t>
        </is>
      </c>
      <c r="AF246" s="653" t="inlineStr">
        <is>
          <t>DENVER FOOD &amp; GAS LLC</t>
        </is>
      </c>
      <c r="AI246" s="605">
        <f>IF(AND($E246=Subj_OccCode,Subj_BldgSF&gt;0,ABS($L246-Subj_BldgSF)&lt;=Subj_BldgSF*Subj_SizeTol),ABS($L246-Subj_BldgSF),NA())</f>
        <v/>
      </c>
      <c r="AJ246">
        <f>IF(ISNA(AI246),NA(),AI246+ROW()/10000000)</f>
        <v/>
      </c>
      <c r="AK246" s="605">
        <f>IF(AND(ISNUMBER($N246),$N246&gt;0,ISNUMBER($Y246)),$Y246/$N246,"")</f>
        <v/>
      </c>
    </row>
    <row r="247" ht="15" customHeight="1" s="545">
      <c r="A247" s="388" t="n">
        <v>7</v>
      </c>
      <c r="B247" s="605" t="n">
        <v>239</v>
      </c>
      <c r="C247" s="605" t="inlineStr">
        <is>
          <t>R0037745</t>
        </is>
      </c>
      <c r="D247" s="605" t="inlineStr">
        <is>
          <t xml:space="preserve">11155  IRMA DR  </t>
        </is>
      </c>
      <c r="E247" s="605" t="n">
        <v>434</v>
      </c>
      <c r="F247" s="605" t="inlineStr">
        <is>
          <t>NORTHGLENN</t>
        </is>
      </c>
      <c r="G247" s="605" t="inlineStr">
        <is>
          <t>4</t>
        </is>
      </c>
      <c r="H247" s="59">
        <f>Y247/J247</f>
        <v/>
      </c>
      <c r="I247" s="389" t="n">
        <v>45098</v>
      </c>
      <c r="J247" s="605" t="n">
        <v>2640</v>
      </c>
      <c r="L247" s="605" t="n">
        <v>2640</v>
      </c>
      <c r="M247" s="605" t="n">
        <v>1970</v>
      </c>
      <c r="P247" s="605" t="inlineStr">
        <is>
          <t>R-1-C-Nor</t>
        </is>
      </c>
      <c r="R247" s="152" t="inlineStr">
        <is>
          <t>Average</t>
        </is>
      </c>
      <c r="S247" s="605" t="n">
        <v>26550</v>
      </c>
      <c r="T247" s="390">
        <f>S247/L247</f>
        <v/>
      </c>
      <c r="U247" s="605" t="inlineStr">
        <is>
          <t>Average</t>
        </is>
      </c>
      <c r="Y247" s="60" t="n">
        <v>670000</v>
      </c>
      <c r="AA247" s="60" t="n">
        <v>670000</v>
      </c>
      <c r="AC247" s="605" t="inlineStr">
        <is>
          <t>0171911103015</t>
        </is>
      </c>
      <c r="AD247" s="605" t="inlineStr">
        <is>
          <t>2023000035174</t>
        </is>
      </c>
      <c r="AE247" s="653" t="inlineStr">
        <is>
          <t>BLANCO PROPERTIES IRMA LLC</t>
        </is>
      </c>
      <c r="AF247" s="653" t="inlineStr">
        <is>
          <t>METROPOLITAN DENVER NORTH ISLAMIC CENTER</t>
        </is>
      </c>
      <c r="AI247" s="605">
        <f>IF(AND($E247=Subj_OccCode,Subj_BldgSF&gt;0,ABS($L247-Subj_BldgSF)&lt;=Subj_BldgSF*Subj_SizeTol),ABS($L247-Subj_BldgSF),NA())</f>
        <v/>
      </c>
      <c r="AJ247">
        <f>IF(ISNA(AI247),NA(),AI247+ROW()/10000000)</f>
        <v/>
      </c>
      <c r="AK247" s="605">
        <f>IF(AND(ISNUMBER($N247),$N247&gt;0,ISNUMBER($Y247)),$Y247/$N247,"")</f>
        <v/>
      </c>
    </row>
    <row r="248" ht="15" customHeight="1" s="545">
      <c r="A248" s="388" t="n">
        <v>7</v>
      </c>
      <c r="B248" s="605" t="n">
        <v>240</v>
      </c>
      <c r="C248" s="605" t="inlineStr">
        <is>
          <t>R0040835</t>
        </is>
      </c>
      <c r="D248" s="605" t="inlineStr">
        <is>
          <t xml:space="preserve">1400 E 104TH AVE </t>
        </is>
      </c>
      <c r="E248" s="605" t="n">
        <v>319</v>
      </c>
      <c r="F248" s="605" t="inlineStr">
        <is>
          <t>THORNTON</t>
        </is>
      </c>
      <c r="G248" s="605" t="inlineStr">
        <is>
          <t>4</t>
        </is>
      </c>
      <c r="H248" s="59">
        <f>Y248/J248</f>
        <v/>
      </c>
      <c r="I248" s="389" t="n">
        <v>45107</v>
      </c>
      <c r="J248" s="605" t="n">
        <v>192532</v>
      </c>
      <c r="L248" s="605" t="n">
        <v>192532</v>
      </c>
      <c r="M248" s="605" t="n">
        <v>1994</v>
      </c>
      <c r="P248" s="605" t="inlineStr">
        <is>
          <t>Community Retail</t>
        </is>
      </c>
      <c r="R248" s="152" t="inlineStr">
        <is>
          <t>Average</t>
        </is>
      </c>
      <c r="S248" s="605" t="n">
        <v>1009721</v>
      </c>
      <c r="T248" s="390">
        <f>S248/L248</f>
        <v/>
      </c>
      <c r="U248" s="605" t="inlineStr">
        <is>
          <t>Average</t>
        </is>
      </c>
      <c r="Y248" s="60" t="n">
        <v>16500000</v>
      </c>
      <c r="AA248" s="60" t="n">
        <v>16500000</v>
      </c>
      <c r="AC248" s="605" t="inlineStr">
        <is>
          <t>0171914203002</t>
        </is>
      </c>
      <c r="AD248" s="605" t="inlineStr">
        <is>
          <t>2023000037173</t>
        </is>
      </c>
      <c r="AE248" s="653" t="inlineStr">
        <is>
          <t>SERITAGE KMT FINANCE LLC</t>
        </is>
      </c>
      <c r="AF248" s="653" t="inlineStr">
        <is>
          <t>COLORADO RETAIL STORES LLC</t>
        </is>
      </c>
      <c r="AI248" s="605">
        <f>IF(AND($E248=Subj_OccCode,Subj_BldgSF&gt;0,ABS($L248-Subj_BldgSF)&lt;=Subj_BldgSF*Subj_SizeTol),ABS($L248-Subj_BldgSF),NA())</f>
        <v/>
      </c>
      <c r="AJ248">
        <f>IF(ISNA(AI248),NA(),AI248+ROW()/10000000)</f>
        <v/>
      </c>
      <c r="AK248" s="605">
        <f>IF(AND(ISNUMBER($N248),$N248&gt;0,ISNUMBER($Y248)),$Y248/$N248,"")</f>
        <v/>
      </c>
    </row>
    <row r="249" ht="15" customHeight="1" s="545">
      <c r="A249" s="388" t="n">
        <v>7</v>
      </c>
      <c r="B249" s="605" t="n">
        <v>241</v>
      </c>
      <c r="C249" s="605" t="inlineStr">
        <is>
          <t>R0217191</t>
        </is>
      </c>
      <c r="D249" s="605" t="inlineStr">
        <is>
          <t xml:space="preserve">9201  FEDERAL BLVD </t>
        </is>
      </c>
      <c r="E249" s="605" t="n">
        <v>419</v>
      </c>
      <c r="F249" s="605" t="inlineStr">
        <is>
          <t>WESTMINSTER</t>
        </is>
      </c>
      <c r="G249" s="605" t="inlineStr">
        <is>
          <t>4</t>
        </is>
      </c>
      <c r="H249" s="59">
        <f>Y249/J249</f>
        <v/>
      </c>
      <c r="I249" s="389" t="n">
        <v>45106</v>
      </c>
      <c r="J249" s="605" t="n">
        <v>2640</v>
      </c>
      <c r="L249" s="605" t="n">
        <v>2640</v>
      </c>
      <c r="M249" s="605" t="n">
        <v>1984</v>
      </c>
      <c r="R249" s="152" t="inlineStr">
        <is>
          <t>Average</t>
        </is>
      </c>
      <c r="T249" s="390">
        <f>S249/L249</f>
        <v/>
      </c>
      <c r="U249" s="605" t="inlineStr">
        <is>
          <t>Average</t>
        </is>
      </c>
      <c r="Y249" s="60" t="n">
        <v>1000000</v>
      </c>
      <c r="AA249" s="60" t="n">
        <v>1000000</v>
      </c>
      <c r="AC249" s="605" t="inlineStr">
        <is>
          <t>0171920218050</t>
        </is>
      </c>
      <c r="AD249" s="605" t="inlineStr">
        <is>
          <t>2023000037451</t>
        </is>
      </c>
      <c r="AE249" s="653" t="inlineStr">
        <is>
          <t>QCSIF SIX LLC, C/O IEQ MANAGEMENT INC</t>
        </is>
      </c>
      <c r="AF249" s="653" t="inlineStr">
        <is>
          <t>9201 FEDERAL LLC</t>
        </is>
      </c>
      <c r="AI249" s="605">
        <f>IF(AND($E249=Subj_OccCode,Subj_BldgSF&gt;0,ABS($L249-Subj_BldgSF)&lt;=Subj_BldgSF*Subj_SizeTol),ABS($L249-Subj_BldgSF),NA())</f>
        <v/>
      </c>
      <c r="AJ249">
        <f>IF(ISNA(AI249),NA(),AI249+ROW()/10000000)</f>
        <v/>
      </c>
      <c r="AK249" s="605">
        <f>IF(AND(ISNUMBER($N249),$N249&gt;0,ISNUMBER($Y249)),$Y249/$N249,"")</f>
        <v/>
      </c>
    </row>
    <row r="250" ht="15" customHeight="1" s="545">
      <c r="A250" s="388" t="n">
        <v>7</v>
      </c>
      <c r="B250" s="605" t="n">
        <v>242</v>
      </c>
      <c r="C250" s="605" t="inlineStr">
        <is>
          <t>R0110788</t>
        </is>
      </c>
      <c r="D250" s="605" t="inlineStr">
        <is>
          <t xml:space="preserve">5333 E 58TH AVE  </t>
        </is>
      </c>
      <c r="E250" s="605" t="n">
        <v>387</v>
      </c>
      <c r="F250" s="605" t="inlineStr">
        <is>
          <t>COMMERCE CITY</t>
        </is>
      </c>
      <c r="G250" s="605" t="inlineStr">
        <is>
          <t>5</t>
        </is>
      </c>
      <c r="H250" s="59">
        <f>Y250/J250</f>
        <v/>
      </c>
      <c r="I250" s="389" t="n">
        <v>45114</v>
      </c>
      <c r="J250" s="605" t="n">
        <v>1102</v>
      </c>
      <c r="L250" s="605" t="n">
        <v>1102</v>
      </c>
      <c r="M250" s="605" t="n">
        <v>1974</v>
      </c>
      <c r="P250" s="605" t="inlineStr">
        <is>
          <t>I-1-Com</t>
        </is>
      </c>
      <c r="R250" s="152" t="inlineStr">
        <is>
          <t>Average</t>
        </is>
      </c>
      <c r="S250" s="605" t="n">
        <v>449287</v>
      </c>
      <c r="T250" s="390">
        <f>S250/L250</f>
        <v/>
      </c>
      <c r="U250" s="605" t="inlineStr">
        <is>
          <t>Average</t>
        </is>
      </c>
      <c r="Y250" s="60" t="n">
        <v>7300000</v>
      </c>
      <c r="AA250" s="60" t="n">
        <v>7300000</v>
      </c>
      <c r="AC250" s="605" t="inlineStr">
        <is>
          <t>0182307404007</t>
        </is>
      </c>
      <c r="AD250" s="605" t="inlineStr">
        <is>
          <t>2023000038155</t>
        </is>
      </c>
      <c r="AE250" s="653" t="inlineStr">
        <is>
          <t>OVERLAND LEASING LLC</t>
        </is>
      </c>
      <c r="AF250" s="653" t="inlineStr">
        <is>
          <t>OLD DOMINION FREIGHT LINE INC</t>
        </is>
      </c>
      <c r="AI250" s="605">
        <f>IF(AND($E250=Subj_OccCode,Subj_BldgSF&gt;0,ABS($L250-Subj_BldgSF)&lt;=Subj_BldgSF*Subj_SizeTol),ABS($L250-Subj_BldgSF),NA())</f>
        <v/>
      </c>
      <c r="AJ250">
        <f>IF(ISNA(AI250),NA(),AI250+ROW()/10000000)</f>
        <v/>
      </c>
      <c r="AK250" s="605">
        <f>IF(AND(ISNUMBER($N250),$N250&gt;0,ISNUMBER($Y250)),$Y250/$N250,"")</f>
        <v/>
      </c>
    </row>
    <row r="251" ht="15" customHeight="1" s="545">
      <c r="A251" s="388" t="n">
        <v>7</v>
      </c>
      <c r="B251" s="605" t="n">
        <v>243</v>
      </c>
      <c r="C251" s="605" t="inlineStr">
        <is>
          <t>R0094487</t>
        </is>
      </c>
      <c r="D251" s="605" t="inlineStr">
        <is>
          <t xml:space="preserve">9655 E 25TH AVE 108 </t>
        </is>
      </c>
      <c r="E251" s="605" t="n">
        <v>425</v>
      </c>
      <c r="F251" s="605" t="inlineStr">
        <is>
          <t>AURORA</t>
        </is>
      </c>
      <c r="G251" s="605" t="inlineStr">
        <is>
          <t>6</t>
        </is>
      </c>
      <c r="H251" s="59">
        <f>Y251/J251</f>
        <v/>
      </c>
      <c r="I251" s="389" t="n">
        <v>45138</v>
      </c>
      <c r="J251" s="605" t="n">
        <v>16192</v>
      </c>
      <c r="L251" s="605" t="n">
        <v>16192</v>
      </c>
      <c r="M251" s="605" t="n">
        <v>1984</v>
      </c>
      <c r="P251" s="605" t="inlineStr">
        <is>
          <t>OA-G</t>
        </is>
      </c>
      <c r="R251" s="152" t="inlineStr">
        <is>
          <t>Average</t>
        </is>
      </c>
      <c r="S251" s="605" t="n">
        <v>5095</v>
      </c>
      <c r="T251" s="390">
        <f>S251/L251</f>
        <v/>
      </c>
      <c r="U251" s="605" t="inlineStr">
        <is>
          <t>Average</t>
        </is>
      </c>
      <c r="Y251" s="60" t="n">
        <v>900000</v>
      </c>
      <c r="AA251" s="60" t="n">
        <v>900000</v>
      </c>
      <c r="AC251" s="605" t="inlineStr">
        <is>
          <t>0182334201031</t>
        </is>
      </c>
      <c r="AD251" s="605" t="inlineStr">
        <is>
          <t>2023000043597</t>
        </is>
      </c>
      <c r="AE251" s="653" t="inlineStr">
        <is>
          <t>JOYCE JOHN</t>
        </is>
      </c>
      <c r="AF251" s="653" t="inlineStr">
        <is>
          <t>KURTEX INC</t>
        </is>
      </c>
      <c r="AI251" s="605">
        <f>IF(AND($E251=Subj_OccCode,Subj_BldgSF&gt;0,ABS($L251-Subj_BldgSF)&lt;=Subj_BldgSF*Subj_SizeTol),ABS($L251-Subj_BldgSF),NA())</f>
        <v/>
      </c>
      <c r="AJ251">
        <f>IF(ISNA(AI251),NA(),AI251+ROW()/10000000)</f>
        <v/>
      </c>
      <c r="AK251" s="605">
        <f>IF(AND(ISNUMBER($N251),$N251&gt;0,ISNUMBER($Y251)),$Y251/$N251,"")</f>
        <v/>
      </c>
    </row>
    <row r="252" ht="15" customHeight="1" s="545">
      <c r="A252" s="388" t="n">
        <v>7</v>
      </c>
      <c r="B252" s="605" t="n">
        <v>244</v>
      </c>
      <c r="C252" s="605" t="inlineStr">
        <is>
          <t>R0094488</t>
        </is>
      </c>
      <c r="D252" s="605" t="inlineStr">
        <is>
          <t>9655 E 25TH AVE 109</t>
        </is>
      </c>
      <c r="E252" s="605" t="n">
        <v>425</v>
      </c>
      <c r="F252" s="605" t="inlineStr">
        <is>
          <t>AURORA</t>
        </is>
      </c>
      <c r="G252" s="605" t="inlineStr">
        <is>
          <t>6</t>
        </is>
      </c>
      <c r="H252" s="59">
        <f>Y252/J252</f>
        <v/>
      </c>
      <c r="I252" s="389" t="n">
        <v>45138</v>
      </c>
      <c r="J252" s="605" t="n">
        <v>16192</v>
      </c>
      <c r="L252" s="605" t="n">
        <v>16192</v>
      </c>
      <c r="M252" s="605" t="n">
        <v>1984</v>
      </c>
      <c r="P252" s="605" t="inlineStr">
        <is>
          <t>OA-G</t>
        </is>
      </c>
      <c r="R252" s="152" t="inlineStr">
        <is>
          <t>Average</t>
        </is>
      </c>
      <c r="S252" s="605" t="n">
        <v>5095</v>
      </c>
      <c r="T252" s="390">
        <f>S252/L252</f>
        <v/>
      </c>
      <c r="U252" s="605" t="inlineStr">
        <is>
          <t>Average</t>
        </is>
      </c>
      <c r="Y252" s="60" t="n">
        <v>900000</v>
      </c>
      <c r="AA252" s="60" t="n">
        <v>900000</v>
      </c>
      <c r="AC252" s="605" t="inlineStr">
        <is>
          <t>0182334201032</t>
        </is>
      </c>
      <c r="AD252" s="605" t="inlineStr">
        <is>
          <t>2023000043597</t>
        </is>
      </c>
      <c r="AE252" s="653" t="inlineStr">
        <is>
          <t>JOYCE JOHN</t>
        </is>
      </c>
      <c r="AF252" s="653" t="inlineStr">
        <is>
          <t>KURTEX INC</t>
        </is>
      </c>
      <c r="AI252" s="605">
        <f>IF(AND($E252=Subj_OccCode,Subj_BldgSF&gt;0,ABS($L252-Subj_BldgSF)&lt;=Subj_BldgSF*Subj_SizeTol),ABS($L252-Subj_BldgSF),NA())</f>
        <v/>
      </c>
      <c r="AJ252">
        <f>IF(ISNA(AI252),NA(),AI252+ROW()/10000000)</f>
        <v/>
      </c>
      <c r="AK252" s="605">
        <f>IF(AND(ISNUMBER($N252),$N252&gt;0,ISNUMBER($Y252)),$Y252/$N252,"")</f>
        <v/>
      </c>
    </row>
    <row r="253" ht="15" customHeight="1" s="545">
      <c r="A253" s="388" t="n">
        <v>7</v>
      </c>
      <c r="B253" s="605" t="n">
        <v>245</v>
      </c>
      <c r="C253" s="605" t="inlineStr">
        <is>
          <t>R0221601</t>
        </is>
      </c>
      <c r="D253" s="605" t="inlineStr">
        <is>
          <t xml:space="preserve">11455  HURON ST </t>
        </is>
      </c>
      <c r="E253" s="605" t="n">
        <v>331</v>
      </c>
      <c r="F253" s="605" t="inlineStr">
        <is>
          <t>WESTMINSTER</t>
        </is>
      </c>
      <c r="G253" s="605" t="inlineStr">
        <is>
          <t>4</t>
        </is>
      </c>
      <c r="H253" s="59">
        <f>Y253/J253</f>
        <v/>
      </c>
      <c r="I253" s="389" t="n">
        <v>45155</v>
      </c>
      <c r="J253" s="605" t="n">
        <v>99497</v>
      </c>
      <c r="L253" s="605" t="n">
        <v>99497</v>
      </c>
      <c r="S253" s="605" t="n">
        <v>479913</v>
      </c>
      <c r="T253" s="390">
        <f>S253/L253</f>
        <v/>
      </c>
      <c r="Y253" s="60" t="n">
        <v>2740300</v>
      </c>
      <c r="AA253" s="60" t="n">
        <v>2740300</v>
      </c>
      <c r="AC253" s="605" t="inlineStr">
        <is>
          <t>0171904408004</t>
        </is>
      </c>
      <c r="AD253" s="605" t="inlineStr">
        <is>
          <t>2023000047095</t>
        </is>
      </c>
      <c r="AE253" s="653" t="inlineStr">
        <is>
          <t>TRI-STATE GENERATION AND, TRANSMISSION ASSOCIATION INC</t>
        </is>
      </c>
      <c r="AF253" s="653" t="inlineStr">
        <is>
          <t>ACADIA - SCL HEALTH JV LLC, C/O ACADIA HEALTHCARAE COMPANY INC</t>
        </is>
      </c>
      <c r="AI253" s="605">
        <f>IF(AND($E253=Subj_OccCode,Subj_BldgSF&gt;0,ABS($L253-Subj_BldgSF)&lt;=Subj_BldgSF*Subj_SizeTol),ABS($L253-Subj_BldgSF),NA())</f>
        <v/>
      </c>
      <c r="AJ253">
        <f>IF(ISNA(AI253),NA(),AI253+ROW()/10000000)</f>
        <v/>
      </c>
      <c r="AK253" s="605">
        <f>IF(AND(ISNUMBER($N253),$N253&gt;0,ISNUMBER($Y253)),$Y253/$N253,"")</f>
        <v/>
      </c>
    </row>
    <row r="254" ht="15" customHeight="1" s="545">
      <c r="A254" s="388" t="n">
        <v>7</v>
      </c>
      <c r="B254" s="605" t="n">
        <v>246</v>
      </c>
      <c r="C254" s="605" t="inlineStr">
        <is>
          <t>R0079773</t>
        </is>
      </c>
      <c r="D254" s="605" t="inlineStr">
        <is>
          <t xml:space="preserve">7390  HIGHWAY 2 </t>
        </is>
      </c>
      <c r="E254" s="605" t="n">
        <v>442</v>
      </c>
      <c r="F254" s="605" t="inlineStr">
        <is>
          <t>COMMERCE CITY</t>
        </is>
      </c>
      <c r="G254" s="605" t="inlineStr">
        <is>
          <t>5</t>
        </is>
      </c>
      <c r="H254" s="59">
        <f>Y254/J254</f>
        <v/>
      </c>
      <c r="I254" s="389" t="n">
        <v>45159</v>
      </c>
      <c r="J254" s="605" t="n">
        <v>1740</v>
      </c>
      <c r="L254" s="605" t="n">
        <v>1740</v>
      </c>
      <c r="M254" s="605" t="n">
        <v>1933</v>
      </c>
      <c r="P254" s="605" t="inlineStr">
        <is>
          <t>PUD-Com</t>
        </is>
      </c>
      <c r="R254" s="152" t="inlineStr">
        <is>
          <t>Average</t>
        </is>
      </c>
      <c r="S254" s="605" t="n">
        <v>10500</v>
      </c>
      <c r="T254" s="390">
        <f>S254/L254</f>
        <v/>
      </c>
      <c r="U254" s="605" t="inlineStr">
        <is>
          <t>Fair</t>
        </is>
      </c>
      <c r="Y254" s="60" t="n">
        <v>400000</v>
      </c>
      <c r="AA254" s="60" t="n">
        <v>400000</v>
      </c>
      <c r="AC254" s="605" t="inlineStr">
        <is>
          <t>0172132415006</t>
        </is>
      </c>
      <c r="AD254" s="605" t="inlineStr">
        <is>
          <t>2023000047762</t>
        </is>
      </c>
      <c r="AE254" s="653" t="inlineStr">
        <is>
          <t>VANDEWEGHE BEVERLY LIVING TRUST THE</t>
        </is>
      </c>
      <c r="AF254" s="653" t="inlineStr">
        <is>
          <t>MUNOZ ROGELIO AND, MUNOZ ALICIA</t>
        </is>
      </c>
      <c r="AI254" s="605">
        <f>IF(AND($E254=Subj_OccCode,Subj_BldgSF&gt;0,ABS($L254-Subj_BldgSF)&lt;=Subj_BldgSF*Subj_SizeTol),ABS($L254-Subj_BldgSF),NA())</f>
        <v/>
      </c>
      <c r="AJ254">
        <f>IF(ISNA(AI254),NA(),AI254+ROW()/10000000)</f>
        <v/>
      </c>
      <c r="AK254" s="605">
        <f>IF(AND(ISNUMBER($N254),$N254&gt;0,ISNUMBER($Y254)),$Y254/$N254,"")</f>
        <v/>
      </c>
    </row>
    <row r="255" ht="15" customHeight="1" s="545">
      <c r="A255" s="388" t="n">
        <v>7</v>
      </c>
      <c r="B255" s="605" t="n">
        <v>247</v>
      </c>
      <c r="C255" s="605" t="inlineStr">
        <is>
          <t>R0179853</t>
        </is>
      </c>
      <c r="D255" s="605" t="inlineStr">
        <is>
          <t>11885  BRADBURN BLVD</t>
        </is>
      </c>
      <c r="E255" s="605" t="n">
        <v>718</v>
      </c>
      <c r="F255" s="605" t="inlineStr">
        <is>
          <t>WESTMINSTER</t>
        </is>
      </c>
      <c r="G255" s="605" t="inlineStr">
        <is>
          <t>3</t>
        </is>
      </c>
      <c r="H255" s="59">
        <f>Y255/J255</f>
        <v/>
      </c>
      <c r="I255" s="389" t="n">
        <v>45184</v>
      </c>
      <c r="J255" s="605" t="n">
        <v>12824</v>
      </c>
      <c r="L255" s="605" t="n">
        <v>12824</v>
      </c>
      <c r="M255" s="605" t="n">
        <v>2012</v>
      </c>
      <c r="P255" s="605" t="inlineStr">
        <is>
          <t>PUD-Wes</t>
        </is>
      </c>
      <c r="R255" s="152" t="inlineStr">
        <is>
          <t>Average</t>
        </is>
      </c>
      <c r="S255" s="605" t="n">
        <v>96632</v>
      </c>
      <c r="T255" s="390">
        <f>S255/L255</f>
        <v/>
      </c>
      <c r="U255" s="605" t="inlineStr">
        <is>
          <t>Average</t>
        </is>
      </c>
      <c r="Y255" s="60" t="n">
        <v>3330000</v>
      </c>
      <c r="AA255" s="60" t="n">
        <v>3330000</v>
      </c>
      <c r="AC255" s="605" t="inlineStr">
        <is>
          <t>0171906107040</t>
        </is>
      </c>
      <c r="AD255" s="605" t="inlineStr">
        <is>
          <t>2023000052717</t>
        </is>
      </c>
      <c r="AE255" s="653" t="inlineStr">
        <is>
          <t>EXPLORER BRADBURN PROPERTY LLC</t>
        </is>
      </c>
      <c r="AF255" s="653" t="inlineStr">
        <is>
          <t>MANIHANI MOHINDER AND, SINGH RAVINDER</t>
        </is>
      </c>
      <c r="AI255" s="605">
        <f>IF(AND($E255=Subj_OccCode,Subj_BldgSF&gt;0,ABS($L255-Subj_BldgSF)&lt;=Subj_BldgSF*Subj_SizeTol),ABS($L255-Subj_BldgSF),NA())</f>
        <v/>
      </c>
      <c r="AJ255">
        <f>IF(ISNA(AI255),NA(),AI255+ROW()/10000000)</f>
        <v/>
      </c>
      <c r="AK255" s="605">
        <f>IF(AND(ISNUMBER($N255),$N255&gt;0,ISNUMBER($Y255)),$Y255/$N255,"")</f>
        <v/>
      </c>
    </row>
    <row r="256" ht="15" customHeight="1" s="545">
      <c r="A256" s="388" t="n">
        <v>7</v>
      </c>
      <c r="B256" s="605" t="n">
        <v>248</v>
      </c>
      <c r="C256" s="605" t="inlineStr">
        <is>
          <t>R0003476</t>
        </is>
      </c>
      <c r="D256" s="605" t="inlineStr">
        <is>
          <t xml:space="preserve">716  BRIDGE ST </t>
        </is>
      </c>
      <c r="E256" s="605" t="n">
        <v>344</v>
      </c>
      <c r="F256" s="605" t="inlineStr">
        <is>
          <t>BRIGHTON</t>
        </is>
      </c>
      <c r="G256" s="605" t="inlineStr">
        <is>
          <t>2</t>
        </is>
      </c>
      <c r="H256" s="59">
        <f>Y256/J256</f>
        <v/>
      </c>
      <c r="I256" s="389" t="n">
        <v>45184</v>
      </c>
      <c r="J256" s="605" t="n">
        <v>2600</v>
      </c>
      <c r="L256" s="605" t="n">
        <v>2600</v>
      </c>
      <c r="M256" s="605" t="n">
        <v>1985</v>
      </c>
      <c r="P256" s="605" t="inlineStr">
        <is>
          <t>C-2-Bri</t>
        </is>
      </c>
      <c r="R256" s="152" t="inlineStr">
        <is>
          <t>Average</t>
        </is>
      </c>
      <c r="S256" s="605" t="n">
        <v>9000</v>
      </c>
      <c r="T256" s="390">
        <f>S256/L256</f>
        <v/>
      </c>
      <c r="U256" s="605" t="inlineStr">
        <is>
          <t>Average</t>
        </is>
      </c>
      <c r="Y256" s="60" t="n">
        <v>620000</v>
      </c>
      <c r="AA256" s="60" t="n">
        <v>620000</v>
      </c>
      <c r="AC256" s="605" t="inlineStr">
        <is>
          <t>0156907104020</t>
        </is>
      </c>
      <c r="AD256" s="605" t="inlineStr">
        <is>
          <t>2023000052960</t>
        </is>
      </c>
      <c r="AE256" s="653" t="inlineStr">
        <is>
          <t>GDG LLC</t>
        </is>
      </c>
      <c r="AF256" s="653" t="inlineStr">
        <is>
          <t>ATA BRIDGE HOLDINGS LLC</t>
        </is>
      </c>
      <c r="AI256" s="605">
        <f>IF(AND($E256=Subj_OccCode,Subj_BldgSF&gt;0,ABS($L256-Subj_BldgSF)&lt;=Subj_BldgSF*Subj_SizeTol),ABS($L256-Subj_BldgSF),NA())</f>
        <v/>
      </c>
      <c r="AJ256">
        <f>IF(ISNA(AI256),NA(),AI256+ROW()/10000000)</f>
        <v/>
      </c>
      <c r="AK256" s="605">
        <f>IF(AND(ISNUMBER($N256),$N256&gt;0,ISNUMBER($Y256)),$Y256/$N256,"")</f>
        <v/>
      </c>
    </row>
    <row r="257" ht="15" customHeight="1" s="545">
      <c r="A257" s="388" t="n">
        <v>7</v>
      </c>
      <c r="B257" s="605" t="n">
        <v>249</v>
      </c>
      <c r="C257" s="605" t="inlineStr">
        <is>
          <t>R0097753</t>
        </is>
      </c>
      <c r="D257" s="605" t="inlineStr">
        <is>
          <t>1597  PEORIA ST</t>
        </is>
      </c>
      <c r="E257" s="605" t="n">
        <v>434</v>
      </c>
      <c r="F257" s="605" t="inlineStr">
        <is>
          <t>AURORA</t>
        </is>
      </c>
      <c r="G257" s="605" t="inlineStr">
        <is>
          <t>6</t>
        </is>
      </c>
      <c r="H257" s="59">
        <f>Y257/J257</f>
        <v/>
      </c>
      <c r="I257" s="389" t="n">
        <v>45187</v>
      </c>
      <c r="J257" s="605" t="n">
        <v>1400</v>
      </c>
      <c r="L257" s="605" t="n">
        <v>1400</v>
      </c>
      <c r="M257" s="605" t="n">
        <v>1960</v>
      </c>
      <c r="P257" s="605" t="inlineStr">
        <is>
          <t>FBA</t>
        </is>
      </c>
      <c r="R257" s="152" t="inlineStr">
        <is>
          <t>Average</t>
        </is>
      </c>
      <c r="S257" s="605" t="n">
        <v>3690</v>
      </c>
      <c r="T257" s="390">
        <f>S257/L257</f>
        <v/>
      </c>
      <c r="U257" s="605" t="inlineStr">
        <is>
          <t>Average</t>
        </is>
      </c>
      <c r="Y257" s="60" t="n">
        <v>730000</v>
      </c>
      <c r="AA257" s="60" t="n">
        <v>730000</v>
      </c>
      <c r="AC257" s="605" t="inlineStr">
        <is>
          <t>0182335429007</t>
        </is>
      </c>
      <c r="AD257" s="605" t="inlineStr">
        <is>
          <t>2023000052985</t>
        </is>
      </c>
      <c r="AE257" s="653" t="inlineStr">
        <is>
          <t>KH CARWASH LLC</t>
        </is>
      </c>
      <c r="AF257" s="653" t="inlineStr">
        <is>
          <t>YATES ENTERPRISES LLC</t>
        </is>
      </c>
      <c r="AI257" s="605">
        <f>IF(AND($E257=Subj_OccCode,Subj_BldgSF&gt;0,ABS($L257-Subj_BldgSF)&lt;=Subj_BldgSF*Subj_SizeTol),ABS($L257-Subj_BldgSF),NA())</f>
        <v/>
      </c>
      <c r="AJ257">
        <f>IF(ISNA(AI257),NA(),AI257+ROW()/10000000)</f>
        <v/>
      </c>
      <c r="AK257" s="605">
        <f>IF(AND(ISNUMBER($N257),$N257&gt;0,ISNUMBER($Y257)),$Y257/$N257,"")</f>
        <v/>
      </c>
    </row>
    <row r="258" ht="15" customHeight="1" s="545">
      <c r="A258" s="388" t="n">
        <v>7</v>
      </c>
      <c r="B258" s="605" t="n">
        <v>250</v>
      </c>
      <c r="C258" s="605" t="inlineStr">
        <is>
          <t>R0165226</t>
        </is>
      </c>
      <c r="D258" s="605" t="inlineStr">
        <is>
          <t xml:space="preserve">10319  TOWER RD </t>
        </is>
      </c>
      <c r="E258" s="605" t="n">
        <v>349</v>
      </c>
      <c r="F258" s="605" t="inlineStr">
        <is>
          <t>COMMERCE CITY</t>
        </is>
      </c>
      <c r="G258" s="605" t="inlineStr">
        <is>
          <t>2</t>
        </is>
      </c>
      <c r="H258" s="59">
        <f>Y258/J258</f>
        <v/>
      </c>
      <c r="I258" s="389" t="n">
        <v>45182</v>
      </c>
      <c r="J258" s="605" t="n">
        <v>1658</v>
      </c>
      <c r="L258" s="605" t="n">
        <v>1658</v>
      </c>
      <c r="M258" s="605" t="n">
        <v>2006</v>
      </c>
      <c r="P258" s="605" t="inlineStr">
        <is>
          <t>PUD-Com</t>
        </is>
      </c>
      <c r="R258" s="152" t="inlineStr">
        <is>
          <t>Average</t>
        </is>
      </c>
      <c r="S258" s="605" t="n">
        <v>43786</v>
      </c>
      <c r="T258" s="390">
        <f>S258/L258</f>
        <v/>
      </c>
      <c r="U258" s="605" t="inlineStr">
        <is>
          <t>Average</t>
        </is>
      </c>
      <c r="Y258" s="60" t="n">
        <v>2527000</v>
      </c>
      <c r="AA258" s="60" t="n">
        <v>2527000</v>
      </c>
      <c r="AC258" s="605" t="inlineStr">
        <is>
          <t>0172316121009</t>
        </is>
      </c>
      <c r="AD258" s="605" t="inlineStr">
        <is>
          <t>2023000053054</t>
        </is>
      </c>
      <c r="AE258" s="653" t="inlineStr">
        <is>
          <t>HG FIRST VENTURE LLC</t>
        </is>
      </c>
      <c r="AF258" s="653" t="inlineStr">
        <is>
          <t>HANLON BUSH INVESTMENTS LLC, C/O TONY HANLON</t>
        </is>
      </c>
      <c r="AI258" s="605">
        <f>IF(AND($E258=Subj_OccCode,Subj_BldgSF&gt;0,ABS($L258-Subj_BldgSF)&lt;=Subj_BldgSF*Subj_SizeTol),ABS($L258-Subj_BldgSF),NA())</f>
        <v/>
      </c>
      <c r="AJ258">
        <f>IF(ISNA(AI258),NA(),AI258+ROW()/10000000)</f>
        <v/>
      </c>
      <c r="AK258" s="605">
        <f>IF(AND(ISNUMBER($N258),$N258&gt;0,ISNUMBER($Y258)),$Y258/$N258,"")</f>
        <v/>
      </c>
    </row>
    <row r="259" ht="15" customHeight="1" s="545">
      <c r="A259" s="388" t="n">
        <v>7</v>
      </c>
      <c r="B259" s="605" t="n">
        <v>251</v>
      </c>
      <c r="C259" s="605" t="inlineStr">
        <is>
          <t>R0092272</t>
        </is>
      </c>
      <c r="D259" s="605" t="inlineStr">
        <is>
          <t xml:space="preserve">7101 E 54TH PL  </t>
        </is>
      </c>
      <c r="E259" s="605" t="n">
        <v>325</v>
      </c>
      <c r="F259" s="605" t="inlineStr">
        <is>
          <t>COMMERCE CITY</t>
        </is>
      </c>
      <c r="G259" s="605" t="inlineStr">
        <is>
          <t>5</t>
        </is>
      </c>
      <c r="H259" s="59">
        <f>Y259/J259</f>
        <v/>
      </c>
      <c r="I259" s="389" t="n">
        <v>45212</v>
      </c>
      <c r="J259" s="605" t="n">
        <v>2100</v>
      </c>
      <c r="L259" s="605" t="n">
        <v>2100</v>
      </c>
      <c r="M259" s="605" t="n">
        <v>1985</v>
      </c>
      <c r="P259" s="605" t="inlineStr">
        <is>
          <t>I-2-Com</t>
        </is>
      </c>
      <c r="R259" s="152" t="inlineStr">
        <is>
          <t>Average</t>
        </is>
      </c>
      <c r="S259" s="605" t="n">
        <v>23000</v>
      </c>
      <c r="T259" s="390">
        <f>S259/L259</f>
        <v/>
      </c>
      <c r="U259" s="605" t="inlineStr">
        <is>
          <t>Average</t>
        </is>
      </c>
      <c r="Y259" s="60" t="n">
        <v>1775000</v>
      </c>
      <c r="AA259" s="60" t="n">
        <v>1775000</v>
      </c>
      <c r="AC259" s="605" t="inlineStr">
        <is>
          <t>0182317101017</t>
        </is>
      </c>
      <c r="AD259" s="605" t="inlineStr">
        <is>
          <t>2023000058214</t>
        </is>
      </c>
      <c r="AE259" s="653" t="inlineStr">
        <is>
          <t>DETRO NADINE L</t>
        </is>
      </c>
      <c r="AF259" s="653" t="inlineStr">
        <is>
          <t>MHA INVESTMENTS LLC</t>
        </is>
      </c>
      <c r="AI259" s="605">
        <f>IF(AND($E259=Subj_OccCode,Subj_BldgSF&gt;0,ABS($L259-Subj_BldgSF)&lt;=Subj_BldgSF*Subj_SizeTol),ABS($L259-Subj_BldgSF),NA())</f>
        <v/>
      </c>
      <c r="AJ259">
        <f>IF(ISNA(AI259),NA(),AI259+ROW()/10000000)</f>
        <v/>
      </c>
      <c r="AK259" s="605">
        <f>IF(AND(ISNUMBER($N259),$N259&gt;0,ISNUMBER($Y259)),$Y259/$N259,"")</f>
        <v/>
      </c>
    </row>
    <row r="260" ht="15" customHeight="1" s="545">
      <c r="A260" s="388" t="n">
        <v>7</v>
      </c>
      <c r="B260" s="605" t="n">
        <v>252</v>
      </c>
      <c r="C260" s="605" t="inlineStr">
        <is>
          <t>R0092271</t>
        </is>
      </c>
      <c r="D260" s="605" t="inlineStr">
        <is>
          <t xml:space="preserve">7101 E 54TH PL </t>
        </is>
      </c>
      <c r="E260" s="605" t="n">
        <v>3441</v>
      </c>
      <c r="F260" s="605" t="inlineStr">
        <is>
          <t>COMMERCE CITY</t>
        </is>
      </c>
      <c r="G260" s="605" t="inlineStr">
        <is>
          <t>5</t>
        </is>
      </c>
      <c r="H260" s="59">
        <f>Y260/J260</f>
        <v/>
      </c>
      <c r="I260" s="389" t="n">
        <v>45212</v>
      </c>
      <c r="J260" s="605" t="n">
        <v>1336</v>
      </c>
      <c r="L260" s="605" t="n">
        <v>1336</v>
      </c>
      <c r="M260" s="605" t="n">
        <v>1984</v>
      </c>
      <c r="P260" s="605" t="inlineStr">
        <is>
          <t>I-2-Com</t>
        </is>
      </c>
      <c r="R260" s="152" t="inlineStr">
        <is>
          <t>Average</t>
        </is>
      </c>
      <c r="S260" s="605" t="n">
        <v>21850</v>
      </c>
      <c r="T260" s="390">
        <f>S260/L260</f>
        <v/>
      </c>
      <c r="U260" s="605" t="inlineStr">
        <is>
          <t>Average</t>
        </is>
      </c>
      <c r="Y260" s="60" t="n">
        <v>1775000</v>
      </c>
      <c r="AA260" s="60" t="n">
        <v>1775000</v>
      </c>
      <c r="AC260" s="605" t="inlineStr">
        <is>
          <t>0182317101016</t>
        </is>
      </c>
      <c r="AD260" s="605" t="inlineStr">
        <is>
          <t>2023000058214</t>
        </is>
      </c>
      <c r="AE260" s="653" t="inlineStr">
        <is>
          <t>DETRO NADINE L</t>
        </is>
      </c>
      <c r="AF260" s="653" t="inlineStr">
        <is>
          <t>MHA INVESTMENTS LLC</t>
        </is>
      </c>
      <c r="AI260" s="605">
        <f>IF(AND($E260=Subj_OccCode,Subj_BldgSF&gt;0,ABS($L260-Subj_BldgSF)&lt;=Subj_BldgSF*Subj_SizeTol),ABS($L260-Subj_BldgSF),NA())</f>
        <v/>
      </c>
      <c r="AJ260">
        <f>IF(ISNA(AI260),NA(),AI260+ROW()/10000000)</f>
        <v/>
      </c>
      <c r="AK260" s="605">
        <f>IF(AND(ISNUMBER($N260),$N260&gt;0,ISNUMBER($Y260)),$Y260/$N260,"")</f>
        <v/>
      </c>
    </row>
    <row r="261" ht="15" customHeight="1" s="545">
      <c r="A261" s="388" t="n">
        <v>7</v>
      </c>
      <c r="B261" s="605" t="n">
        <v>253</v>
      </c>
      <c r="C261" s="605" t="inlineStr">
        <is>
          <t>R0152780</t>
        </is>
      </c>
      <c r="D261" s="605" t="inlineStr">
        <is>
          <t xml:space="preserve">3640 W 112TH AVE  </t>
        </is>
      </c>
      <c r="E261" s="605" t="n">
        <v>344</v>
      </c>
      <c r="F261" s="605" t="inlineStr">
        <is>
          <t>WESTMINSTER</t>
        </is>
      </c>
      <c r="G261" s="605" t="inlineStr">
        <is>
          <t>3</t>
        </is>
      </c>
      <c r="H261" s="59">
        <f>Y261/J261</f>
        <v/>
      </c>
      <c r="I261" s="389" t="n">
        <v>45226</v>
      </c>
      <c r="J261" s="605" t="n">
        <v>2410</v>
      </c>
      <c r="L261" s="605" t="n">
        <v>2410</v>
      </c>
      <c r="M261" s="605" t="n">
        <v>1945</v>
      </c>
      <c r="P261" s="605" t="inlineStr">
        <is>
          <t>PUD-Wes</t>
        </is>
      </c>
      <c r="R261" s="152" t="inlineStr">
        <is>
          <t>Good</t>
        </is>
      </c>
      <c r="S261" s="605" t="n">
        <v>22330</v>
      </c>
      <c r="T261" s="390">
        <f>S261/L261</f>
        <v/>
      </c>
      <c r="U261" s="605" t="inlineStr">
        <is>
          <t>Good</t>
        </is>
      </c>
      <c r="Y261" s="60" t="n">
        <v>1000000</v>
      </c>
      <c r="AA261" s="60" t="n">
        <v>1000000</v>
      </c>
      <c r="AC261" s="605" t="inlineStr">
        <is>
          <t>0171907129018</t>
        </is>
      </c>
      <c r="AD261" s="605" t="inlineStr">
        <is>
          <t>2023000061784</t>
        </is>
      </c>
      <c r="AE261" s="653" t="inlineStr">
        <is>
          <t>ETS FAMILY HOLDINGS LLC</t>
        </is>
      </c>
      <c r="AF261" s="653" t="inlineStr">
        <is>
          <t>3640 LLC</t>
        </is>
      </c>
      <c r="AI261" s="605">
        <f>IF(AND($E261=Subj_OccCode,Subj_BldgSF&gt;0,ABS($L261-Subj_BldgSF)&lt;=Subj_BldgSF*Subj_SizeTol),ABS($L261-Subj_BldgSF),NA())</f>
        <v/>
      </c>
      <c r="AJ261">
        <f>IF(ISNA(AI261),NA(),AI261+ROW()/10000000)</f>
        <v/>
      </c>
      <c r="AK261" s="605">
        <f>IF(AND(ISNUMBER($N261),$N261&gt;0,ISNUMBER($Y261)),$Y261/$N261,"")</f>
        <v/>
      </c>
    </row>
    <row r="262" ht="15" customHeight="1" s="545">
      <c r="A262" s="388" t="n">
        <v>7</v>
      </c>
      <c r="B262" s="605" t="n">
        <v>254</v>
      </c>
      <c r="C262" s="605" t="inlineStr">
        <is>
          <t>R0090205</t>
        </is>
      </c>
      <c r="D262" s="605" t="inlineStr">
        <is>
          <t xml:space="preserve">6655  BRIGHTON RD  </t>
        </is>
      </c>
      <c r="E262" s="605" t="n">
        <v>346</v>
      </c>
      <c r="F262" s="605" t="inlineStr">
        <is>
          <t>COMMERCE CITY</t>
        </is>
      </c>
      <c r="G262" s="605" t="inlineStr">
        <is>
          <t>5</t>
        </is>
      </c>
      <c r="H262" s="59">
        <f>Y262/J262</f>
        <v/>
      </c>
      <c r="I262" s="389" t="n">
        <v>45233</v>
      </c>
      <c r="J262" s="605" t="n">
        <v>1092</v>
      </c>
      <c r="L262" s="605" t="n">
        <v>1092</v>
      </c>
      <c r="M262" s="605" t="n">
        <v>1969</v>
      </c>
      <c r="P262" s="605" t="inlineStr">
        <is>
          <t>C-3-Com</t>
        </is>
      </c>
      <c r="R262" s="152" t="inlineStr">
        <is>
          <t>Average</t>
        </is>
      </c>
      <c r="S262" s="605" t="n">
        <v>6000</v>
      </c>
      <c r="T262" s="390">
        <f>S262/L262</f>
        <v/>
      </c>
      <c r="U262" s="605" t="inlineStr">
        <is>
          <t>Average</t>
        </is>
      </c>
      <c r="Y262" s="60" t="n">
        <v>880000</v>
      </c>
      <c r="AA262" s="60" t="n">
        <v>880000</v>
      </c>
      <c r="AC262" s="605" t="inlineStr">
        <is>
          <t>0182306301037</t>
        </is>
      </c>
      <c r="AD262" s="605" t="inlineStr">
        <is>
          <t>2023000062260</t>
        </is>
      </c>
      <c r="AE262" s="653" t="inlineStr">
        <is>
          <t>2 US 4VR LLC</t>
        </is>
      </c>
      <c r="AF262" s="653" t="inlineStr">
        <is>
          <t>AAA PROPERTY</t>
        </is>
      </c>
      <c r="AI262" s="605">
        <f>IF(AND($E262=Subj_OccCode,Subj_BldgSF&gt;0,ABS($L262-Subj_BldgSF)&lt;=Subj_BldgSF*Subj_SizeTol),ABS($L262-Subj_BldgSF),NA())</f>
        <v/>
      </c>
      <c r="AJ262">
        <f>IF(ISNA(AI262),NA(),AI262+ROW()/10000000)</f>
        <v/>
      </c>
      <c r="AK262" s="605">
        <f>IF(AND(ISNUMBER($N262),$N262&gt;0,ISNUMBER($Y262)),$Y262/$N262,"")</f>
        <v/>
      </c>
    </row>
    <row r="263" ht="15" customHeight="1" s="545">
      <c r="A263" s="388" t="n">
        <v>7</v>
      </c>
      <c r="B263" s="605" t="n">
        <v>255</v>
      </c>
      <c r="C263" s="605" t="inlineStr">
        <is>
          <t>R0090207</t>
        </is>
      </c>
      <c r="D263" s="605" t="inlineStr">
        <is>
          <t xml:space="preserve">6671  BRIGHTON BLVD  </t>
        </is>
      </c>
      <c r="E263" s="605" t="n">
        <v>353</v>
      </c>
      <c r="F263" s="605" t="inlineStr">
        <is>
          <t>COMMERCE CITY</t>
        </is>
      </c>
      <c r="G263" s="605" t="inlineStr">
        <is>
          <t>5</t>
        </is>
      </c>
      <c r="H263" s="59">
        <f>Y263/J263</f>
        <v/>
      </c>
      <c r="I263" s="389" t="n">
        <v>45233</v>
      </c>
      <c r="J263" s="605" t="n">
        <v>6660</v>
      </c>
      <c r="L263" s="605" t="n">
        <v>6660</v>
      </c>
      <c r="M263" s="605" t="n">
        <v>1955</v>
      </c>
      <c r="P263" s="605" t="inlineStr">
        <is>
          <t>C-3-Com</t>
        </is>
      </c>
      <c r="R263" s="152" t="inlineStr">
        <is>
          <t>Average</t>
        </is>
      </c>
      <c r="S263" s="605" t="n">
        <v>54172</v>
      </c>
      <c r="T263" s="390">
        <f>S263/L263</f>
        <v/>
      </c>
      <c r="U263" s="605" t="inlineStr">
        <is>
          <t>Average</t>
        </is>
      </c>
      <c r="Y263" s="60" t="n">
        <v>880000</v>
      </c>
      <c r="AA263" s="60" t="n">
        <v>880000</v>
      </c>
      <c r="AC263" s="605" t="inlineStr">
        <is>
          <t>0182306301042</t>
        </is>
      </c>
      <c r="AD263" s="605" t="inlineStr">
        <is>
          <t>2023000062260</t>
        </is>
      </c>
      <c r="AE263" s="653" t="inlineStr">
        <is>
          <t>2 US 4VR LLC</t>
        </is>
      </c>
      <c r="AF263" s="653" t="inlineStr">
        <is>
          <t>AAA PROPERTY</t>
        </is>
      </c>
      <c r="AI263" s="605">
        <f>IF(AND($E263=Subj_OccCode,Subj_BldgSF&gt;0,ABS($L263-Subj_BldgSF)&lt;=Subj_BldgSF*Subj_SizeTol),ABS($L263-Subj_BldgSF),NA())</f>
        <v/>
      </c>
      <c r="AJ263">
        <f>IF(ISNA(AI263),NA(),AI263+ROW()/10000000)</f>
        <v/>
      </c>
      <c r="AK263" s="605">
        <f>IF(AND(ISNUMBER($N263),$N263&gt;0,ISNUMBER($Y263)),$Y263/$N263,"")</f>
        <v/>
      </c>
    </row>
    <row r="264" ht="15" customHeight="1" s="545">
      <c r="A264" s="388" t="n">
        <v>7</v>
      </c>
      <c r="B264" s="605" t="n">
        <v>256</v>
      </c>
      <c r="C264" s="605" t="inlineStr">
        <is>
          <t>R0103294</t>
        </is>
      </c>
      <c r="D264" s="605" t="inlineStr">
        <is>
          <t>911 W 62ND AVE</t>
        </is>
      </c>
      <c r="E264" s="605" t="n">
        <v>406</v>
      </c>
      <c r="G264" s="605" t="inlineStr">
        <is>
          <t>5</t>
        </is>
      </c>
      <c r="H264" s="59">
        <f>Y264/J264</f>
        <v/>
      </c>
      <c r="I264" s="389" t="n">
        <v>45251</v>
      </c>
      <c r="J264" s="605" t="n">
        <v>2925</v>
      </c>
      <c r="L264" s="605" t="n">
        <v>2925</v>
      </c>
      <c r="M264" s="605" t="n">
        <v>2006</v>
      </c>
      <c r="P264" s="605" t="inlineStr">
        <is>
          <t>Industrial</t>
        </is>
      </c>
      <c r="R264" s="152" t="inlineStr">
        <is>
          <t>Average</t>
        </is>
      </c>
      <c r="S264" s="605" t="n">
        <v>100410</v>
      </c>
      <c r="T264" s="390">
        <f>S264/L264</f>
        <v/>
      </c>
      <c r="U264" s="605" t="inlineStr">
        <is>
          <t>Average</t>
        </is>
      </c>
      <c r="Y264" s="60" t="n">
        <v>3250000</v>
      </c>
      <c r="AA264" s="60" t="n">
        <v>3250000</v>
      </c>
      <c r="AC264" s="605" t="inlineStr">
        <is>
          <t>0182509100034</t>
        </is>
      </c>
      <c r="AD264" s="605" t="inlineStr">
        <is>
          <t>2023000065221</t>
        </is>
      </c>
      <c r="AE264" s="653" t="inlineStr">
        <is>
          <t>909W62AVE LLC</t>
        </is>
      </c>
      <c r="AF264" s="653" t="inlineStr">
        <is>
          <t>REGON2 LLC</t>
        </is>
      </c>
      <c r="AI264" s="605">
        <f>IF(AND($E264=Subj_OccCode,Subj_BldgSF&gt;0,ABS($L264-Subj_BldgSF)&lt;=Subj_BldgSF*Subj_SizeTol),ABS($L264-Subj_BldgSF),NA())</f>
        <v/>
      </c>
      <c r="AJ264">
        <f>IF(ISNA(AI264),NA(),AI264+ROW()/10000000)</f>
        <v/>
      </c>
      <c r="AK264" s="605">
        <f>IF(AND(ISNUMBER($N264),$N264&gt;0,ISNUMBER($Y264)),$Y264/$N264,"")</f>
        <v/>
      </c>
    </row>
    <row r="265" ht="15" customHeight="1" s="545">
      <c r="A265" s="388" t="n">
        <v>7</v>
      </c>
      <c r="B265" s="605" t="n">
        <v>257</v>
      </c>
      <c r="C265" s="605" t="inlineStr">
        <is>
          <t>R0077757</t>
        </is>
      </c>
      <c r="D265" s="605" t="inlineStr">
        <is>
          <t xml:space="preserve">7630  DAHLIA ST  </t>
        </is>
      </c>
      <c r="E265" s="605" t="n">
        <v>406</v>
      </c>
      <c r="F265" s="605" t="inlineStr">
        <is>
          <t>COMMERCE CITY</t>
        </is>
      </c>
      <c r="G265" s="605" t="inlineStr">
        <is>
          <t>5</t>
        </is>
      </c>
      <c r="H265" s="59">
        <f>Y265/J265</f>
        <v/>
      </c>
      <c r="I265" s="389" t="n">
        <v>45260</v>
      </c>
      <c r="J265" s="605" t="n">
        <v>4960</v>
      </c>
      <c r="L265" s="605" t="n">
        <v>4960</v>
      </c>
      <c r="M265" s="605" t="n">
        <v>1994</v>
      </c>
      <c r="P265" s="605" t="inlineStr">
        <is>
          <t>I-2-Com</t>
        </is>
      </c>
      <c r="R265" s="152" t="inlineStr">
        <is>
          <t>Average</t>
        </is>
      </c>
      <c r="S265" s="605" t="n">
        <v>41790</v>
      </c>
      <c r="T265" s="390">
        <f>S265/L265</f>
        <v/>
      </c>
      <c r="U265" s="605" t="inlineStr">
        <is>
          <t>Average</t>
        </is>
      </c>
      <c r="Y265" s="60" t="n">
        <v>1800000</v>
      </c>
      <c r="AA265" s="60" t="n">
        <v>1800000</v>
      </c>
      <c r="AC265" s="605" t="inlineStr">
        <is>
          <t>0172131106001</t>
        </is>
      </c>
      <c r="AD265" s="605" t="inlineStr">
        <is>
          <t>2023000066282</t>
        </is>
      </c>
      <c r="AE265" s="653" t="inlineStr">
        <is>
          <t>FORTENBERRY INVESTMENT CO LLP</t>
        </is>
      </c>
      <c r="AF265" s="653" t="inlineStr">
        <is>
          <t>HILLEN HOLDINGS LLC</t>
        </is>
      </c>
      <c r="AI265" s="605">
        <f>IF(AND($E265=Subj_OccCode,Subj_BldgSF&gt;0,ABS($L265-Subj_BldgSF)&lt;=Subj_BldgSF*Subj_SizeTol),ABS($L265-Subj_BldgSF),NA())</f>
        <v/>
      </c>
      <c r="AJ265">
        <f>IF(ISNA(AI265),NA(),AI265+ROW()/10000000)</f>
        <v/>
      </c>
      <c r="AK265" s="605">
        <f>IF(AND(ISNUMBER($N265),$N265&gt;0,ISNUMBER($Y265)),$Y265/$N265,"")</f>
        <v/>
      </c>
    </row>
    <row r="266" ht="15" customHeight="1" s="545">
      <c r="A266" s="388" t="n">
        <v>7</v>
      </c>
      <c r="B266" s="605" t="n">
        <v>258</v>
      </c>
      <c r="C266" s="605" t="inlineStr">
        <is>
          <t>R0187315</t>
        </is>
      </c>
      <c r="D266" s="605" t="inlineStr">
        <is>
          <t>868 E 78TH AVE</t>
        </is>
      </c>
      <c r="E266" s="605" t="n">
        <v>425</v>
      </c>
      <c r="G266" s="605" t="inlineStr">
        <is>
          <t>5</t>
        </is>
      </c>
      <c r="H266" s="59">
        <f>Y266/J266</f>
        <v/>
      </c>
      <c r="I266" s="389" t="n">
        <v>45286</v>
      </c>
      <c r="J266" s="605" t="n">
        <v>37592</v>
      </c>
      <c r="L266" s="605" t="n">
        <v>37592</v>
      </c>
      <c r="M266" s="605" t="n">
        <v>2006</v>
      </c>
      <c r="P266" s="605" t="inlineStr">
        <is>
          <t>Industrial</t>
        </is>
      </c>
      <c r="R266" s="152" t="inlineStr">
        <is>
          <t>Average</t>
        </is>
      </c>
      <c r="S266" s="605" t="n">
        <v>2919</v>
      </c>
      <c r="T266" s="390">
        <f>S266/L266</f>
        <v/>
      </c>
      <c r="U266" s="605" t="inlineStr">
        <is>
          <t>Average</t>
        </is>
      </c>
      <c r="Y266" s="60" t="n">
        <v>1123000</v>
      </c>
      <c r="AA266" s="60" t="n">
        <v>1123000</v>
      </c>
      <c r="AC266" s="605" t="inlineStr">
        <is>
          <t>0171935233026</t>
        </is>
      </c>
      <c r="AD266" s="605" t="inlineStr">
        <is>
          <t>2023000071142</t>
        </is>
      </c>
      <c r="AE266" s="653" t="inlineStr">
        <is>
          <t>TRANSIT MANAGEMENT LLC</t>
        </is>
      </c>
      <c r="AF266" s="653" t="inlineStr">
        <is>
          <t>BRODIGAN PROPERTIES LLC</t>
        </is>
      </c>
      <c r="AI266" s="605">
        <f>IF(AND($E266=Subj_OccCode,Subj_BldgSF&gt;0,ABS($L266-Subj_BldgSF)&lt;=Subj_BldgSF*Subj_SizeTol),ABS($L266-Subj_BldgSF),NA())</f>
        <v/>
      </c>
      <c r="AJ266">
        <f>IF(ISNA(AI266),NA(),AI266+ROW()/10000000)</f>
        <v/>
      </c>
      <c r="AK266" s="605">
        <f>IF(AND(ISNUMBER($N266),$N266&gt;0,ISNUMBER($Y266)),$Y266/$N266,"")</f>
        <v/>
      </c>
    </row>
    <row r="267" ht="15" customHeight="1" s="545">
      <c r="A267" s="388" t="n">
        <v>7</v>
      </c>
      <c r="B267" s="605" t="n">
        <v>259</v>
      </c>
      <c r="C267" s="605" t="inlineStr">
        <is>
          <t>R0187314</t>
        </is>
      </c>
      <c r="D267" s="605" t="inlineStr">
        <is>
          <t>866 E 78TH AVE</t>
        </is>
      </c>
      <c r="E267" s="605" t="n">
        <v>425</v>
      </c>
      <c r="G267" s="605" t="inlineStr">
        <is>
          <t>5</t>
        </is>
      </c>
      <c r="H267" s="59">
        <f>Y267/J267</f>
        <v/>
      </c>
      <c r="I267" s="389" t="n">
        <v>45286</v>
      </c>
      <c r="J267" s="605" t="n">
        <v>37592</v>
      </c>
      <c r="L267" s="605" t="n">
        <v>37592</v>
      </c>
      <c r="M267" s="605" t="n">
        <v>2006</v>
      </c>
      <c r="P267" s="605" t="inlineStr">
        <is>
          <t>Industrial</t>
        </is>
      </c>
      <c r="R267" s="152" t="inlineStr">
        <is>
          <t>Average</t>
        </is>
      </c>
      <c r="S267" s="605" t="n">
        <v>7296</v>
      </c>
      <c r="T267" s="390">
        <f>S267/L267</f>
        <v/>
      </c>
      <c r="U267" s="605" t="inlineStr">
        <is>
          <t>Average</t>
        </is>
      </c>
      <c r="Y267" s="60" t="n">
        <v>1123000</v>
      </c>
      <c r="AA267" s="60" t="n">
        <v>1123000</v>
      </c>
      <c r="AC267" s="605" t="inlineStr">
        <is>
          <t>0171935233025</t>
        </is>
      </c>
      <c r="AD267" s="605" t="inlineStr">
        <is>
          <t>2023000071142</t>
        </is>
      </c>
      <c r="AE267" s="653" t="inlineStr">
        <is>
          <t>TRANSIT MANAGEMENT LLC</t>
        </is>
      </c>
      <c r="AF267" s="653" t="inlineStr">
        <is>
          <t>BRODIGAN PROPERTIES LLC</t>
        </is>
      </c>
      <c r="AI267" s="605">
        <f>IF(AND($E267=Subj_OccCode,Subj_BldgSF&gt;0,ABS($L267-Subj_BldgSF)&lt;=Subj_BldgSF*Subj_SizeTol),ABS($L267-Subj_BldgSF),NA())</f>
        <v/>
      </c>
      <c r="AJ267">
        <f>IF(ISNA(AI267),NA(),AI267+ROW()/10000000)</f>
        <v/>
      </c>
      <c r="AK267" s="605">
        <f>IF(AND(ISNUMBER($N267),$N267&gt;0,ISNUMBER($Y267)),$Y267/$N267,"")</f>
        <v/>
      </c>
    </row>
    <row r="268" ht="15" customHeight="1" s="545">
      <c r="A268" s="388" t="n">
        <v>7</v>
      </c>
      <c r="B268" s="605" t="n">
        <v>260</v>
      </c>
      <c r="C268" s="605" t="inlineStr">
        <is>
          <t>R0187316</t>
        </is>
      </c>
      <c r="D268" s="605" t="inlineStr">
        <is>
          <t>882 E 78TH AVE</t>
        </is>
      </c>
      <c r="E268" s="605" t="n">
        <v>425</v>
      </c>
      <c r="G268" s="605" t="inlineStr">
        <is>
          <t>5</t>
        </is>
      </c>
      <c r="H268" s="59">
        <f>Y268/J268</f>
        <v/>
      </c>
      <c r="I268" s="389" t="n">
        <v>45286</v>
      </c>
      <c r="J268" s="605" t="n">
        <v>37592</v>
      </c>
      <c r="L268" s="605" t="n">
        <v>37592</v>
      </c>
      <c r="M268" s="605" t="n">
        <v>2006</v>
      </c>
      <c r="P268" s="605" t="inlineStr">
        <is>
          <t>Industrial</t>
        </is>
      </c>
      <c r="R268" s="152" t="inlineStr">
        <is>
          <t>Average</t>
        </is>
      </c>
      <c r="S268" s="605" t="n">
        <v>11382</v>
      </c>
      <c r="T268" s="390">
        <f>S268/L268</f>
        <v/>
      </c>
      <c r="U268" s="605" t="inlineStr">
        <is>
          <t>Average</t>
        </is>
      </c>
      <c r="Y268" s="60" t="n">
        <v>1123000</v>
      </c>
      <c r="AA268" s="60" t="n">
        <v>1123000</v>
      </c>
      <c r="AC268" s="605" t="inlineStr">
        <is>
          <t>0171935233027</t>
        </is>
      </c>
      <c r="AD268" s="605" t="inlineStr">
        <is>
          <t>2023000071142</t>
        </is>
      </c>
      <c r="AE268" s="653" t="inlineStr">
        <is>
          <t>TRANSIT MANAGEMENT LLC</t>
        </is>
      </c>
      <c r="AF268" s="653" t="inlineStr">
        <is>
          <t>BRODIGAN PROPERTIES LLC</t>
        </is>
      </c>
      <c r="AI268" s="605">
        <f>IF(AND($E268=Subj_OccCode,Subj_BldgSF&gt;0,ABS($L268-Subj_BldgSF)&lt;=Subj_BldgSF*Subj_SizeTol),ABS($L268-Subj_BldgSF),NA())</f>
        <v/>
      </c>
      <c r="AJ268">
        <f>IF(ISNA(AI268),NA(),AI268+ROW()/10000000)</f>
        <v/>
      </c>
      <c r="AK268" s="605">
        <f>IF(AND(ISNUMBER($N268),$N268&gt;0,ISNUMBER($Y268)),$Y268/$N268,"")</f>
        <v/>
      </c>
    </row>
    <row r="269" ht="15" customHeight="1" s="545">
      <c r="A269" s="388" t="n">
        <v>7</v>
      </c>
      <c r="B269" s="605" t="n">
        <v>261</v>
      </c>
      <c r="C269" s="605" t="inlineStr">
        <is>
          <t>R0167015</t>
        </is>
      </c>
      <c r="D269" s="605" t="inlineStr">
        <is>
          <t>6271  BEACH ST A</t>
        </is>
      </c>
      <c r="E269" s="605" t="n">
        <v>425</v>
      </c>
      <c r="G269" s="605" t="inlineStr">
        <is>
          <t>5</t>
        </is>
      </c>
      <c r="H269" s="59">
        <f>Y269/J269</f>
        <v/>
      </c>
      <c r="I269" s="389" t="n">
        <v>45307</v>
      </c>
      <c r="J269" s="605" t="n">
        <v>22138</v>
      </c>
      <c r="L269" s="605" t="n">
        <v>22138</v>
      </c>
      <c r="M269" s="605" t="n">
        <v>2005</v>
      </c>
      <c r="P269" s="605" t="inlineStr">
        <is>
          <t>Planned Unit Development</t>
        </is>
      </c>
      <c r="R269" s="152" t="inlineStr">
        <is>
          <t>Average</t>
        </is>
      </c>
      <c r="S269" s="605" t="n">
        <v>11727</v>
      </c>
      <c r="T269" s="390">
        <f>S269/L269</f>
        <v/>
      </c>
      <c r="U269" s="605" t="inlineStr">
        <is>
          <t>Average</t>
        </is>
      </c>
      <c r="Y269" s="60" t="n">
        <v>1200000</v>
      </c>
      <c r="AA269" s="60" t="n">
        <v>1200000</v>
      </c>
      <c r="AC269" s="605" t="inlineStr">
        <is>
          <t>0182508105019</t>
        </is>
      </c>
      <c r="AD269" s="605" t="inlineStr">
        <is>
          <t>2024000002493</t>
        </is>
      </c>
      <c r="AE269" s="653" t="inlineStr">
        <is>
          <t>SDM REALTY GROUP LLC</t>
        </is>
      </c>
      <c r="AF269" s="653" t="inlineStr">
        <is>
          <t>A&amp;G HOLDINGS LTD</t>
        </is>
      </c>
      <c r="AI269" s="605">
        <f>IF(AND($E269=Subj_OccCode,Subj_BldgSF&gt;0,ABS($L269-Subj_BldgSF)&lt;=Subj_BldgSF*Subj_SizeTol),ABS($L269-Subj_BldgSF),NA())</f>
        <v/>
      </c>
      <c r="AJ269">
        <f>IF(ISNA(AI269),NA(),AI269+ROW()/10000000)</f>
        <v/>
      </c>
      <c r="AK269" s="605">
        <f>IF(AND(ISNUMBER($N269),$N269&gt;0,ISNUMBER($Y269)),$Y269/$N269,"")</f>
        <v/>
      </c>
    </row>
    <row r="270" ht="15" customHeight="1" s="545">
      <c r="A270" s="388" t="n">
        <v>7</v>
      </c>
      <c r="B270" s="605" t="n">
        <v>262</v>
      </c>
      <c r="C270" s="605" t="inlineStr">
        <is>
          <t>R0167016</t>
        </is>
      </c>
      <c r="D270" s="605" t="inlineStr">
        <is>
          <t>6271  BEACH ST B</t>
        </is>
      </c>
      <c r="E270" s="605" t="n">
        <v>425</v>
      </c>
      <c r="G270" s="605" t="inlineStr">
        <is>
          <t>5</t>
        </is>
      </c>
      <c r="H270" s="59">
        <f>Y270/J270</f>
        <v/>
      </c>
      <c r="I270" s="389" t="n">
        <v>45307</v>
      </c>
      <c r="J270" s="605" t="n">
        <v>22138</v>
      </c>
      <c r="L270" s="605" t="n">
        <v>22138</v>
      </c>
      <c r="M270" s="605" t="n">
        <v>2005</v>
      </c>
      <c r="P270" s="605" t="inlineStr">
        <is>
          <t>Planned Unit Development</t>
        </is>
      </c>
      <c r="R270" s="152" t="inlineStr">
        <is>
          <t>Average</t>
        </is>
      </c>
      <c r="S270" s="605" t="n">
        <v>11727</v>
      </c>
      <c r="T270" s="390">
        <f>S270/L270</f>
        <v/>
      </c>
      <c r="U270" s="605" t="inlineStr">
        <is>
          <t>Average</t>
        </is>
      </c>
      <c r="Y270" s="60" t="n">
        <v>1200000</v>
      </c>
      <c r="AA270" s="60" t="n">
        <v>1200000</v>
      </c>
      <c r="AC270" s="605" t="inlineStr">
        <is>
          <t>0182508105018</t>
        </is>
      </c>
      <c r="AD270" s="605" t="inlineStr">
        <is>
          <t>2024000002493</t>
        </is>
      </c>
      <c r="AE270" s="653" t="inlineStr">
        <is>
          <t>SDM REALTY GROUP LLC</t>
        </is>
      </c>
      <c r="AF270" s="653" t="inlineStr">
        <is>
          <t>A&amp;G HOLDINGS LTD</t>
        </is>
      </c>
      <c r="AI270" s="605">
        <f>IF(AND($E270=Subj_OccCode,Subj_BldgSF&gt;0,ABS($L270-Subj_BldgSF)&lt;=Subj_BldgSF*Subj_SizeTol),ABS($L270-Subj_BldgSF),NA())</f>
        <v/>
      </c>
      <c r="AJ270">
        <f>IF(ISNA(AI270),NA(),AI270+ROW()/10000000)</f>
        <v/>
      </c>
      <c r="AK270" s="605">
        <f>IF(AND(ISNUMBER($N270),$N270&gt;0,ISNUMBER($Y270)),$Y270/$N270,"")</f>
        <v/>
      </c>
    </row>
    <row r="271" ht="15" customHeight="1" s="545">
      <c r="A271" s="388" t="n">
        <v>7</v>
      </c>
      <c r="B271" s="605" t="n">
        <v>263</v>
      </c>
      <c r="C271" s="605" t="inlineStr">
        <is>
          <t>R0084307</t>
        </is>
      </c>
      <c r="D271" s="605" t="inlineStr">
        <is>
          <t xml:space="preserve">13903  SMITH DR </t>
        </is>
      </c>
      <c r="E271" s="605" t="n">
        <v>406</v>
      </c>
      <c r="F271" s="605" t="inlineStr">
        <is>
          <t>AURORA</t>
        </is>
      </c>
      <c r="G271" s="605" t="inlineStr">
        <is>
          <t>6</t>
        </is>
      </c>
      <c r="H271" s="59">
        <f>Y271/J271</f>
        <v/>
      </c>
      <c r="I271" s="389" t="n">
        <v>45310</v>
      </c>
      <c r="J271" s="605" t="n">
        <v>5300</v>
      </c>
      <c r="L271" s="605" t="n">
        <v>5300</v>
      </c>
      <c r="M271" s="605" t="n">
        <v>1983</v>
      </c>
      <c r="P271" s="605" t="inlineStr">
        <is>
          <t>M-1-Aur</t>
        </is>
      </c>
      <c r="R271" s="152" t="inlineStr">
        <is>
          <t>Average</t>
        </is>
      </c>
      <c r="S271" s="605" t="n">
        <v>19301</v>
      </c>
      <c r="T271" s="390">
        <f>S271/L271</f>
        <v/>
      </c>
      <c r="U271" s="605" t="inlineStr">
        <is>
          <t>Average</t>
        </is>
      </c>
      <c r="Y271" s="60" t="n">
        <v>1200000</v>
      </c>
      <c r="AA271" s="60" t="n">
        <v>1200000</v>
      </c>
      <c r="AC271" s="605" t="inlineStr">
        <is>
          <t>0182130013006</t>
        </is>
      </c>
      <c r="AD271" s="605" t="inlineStr">
        <is>
          <t>2024000003121</t>
        </is>
      </c>
      <c r="AE271" s="653" t="inlineStr">
        <is>
          <t>CROCKET RICHARD E</t>
        </is>
      </c>
      <c r="AF271" s="653" t="inlineStr">
        <is>
          <t>PATRIOT HOLDINGS SMITH DRIVE LLC</t>
        </is>
      </c>
      <c r="AI271" s="605">
        <f>IF(AND($E271=Subj_OccCode,Subj_BldgSF&gt;0,ABS($L271-Subj_BldgSF)&lt;=Subj_BldgSF*Subj_SizeTol),ABS($L271-Subj_BldgSF),NA())</f>
        <v/>
      </c>
      <c r="AJ271">
        <f>IF(ISNA(AI271),NA(),AI271+ROW()/10000000)</f>
        <v/>
      </c>
      <c r="AK271" s="605">
        <f>IF(AND(ISNUMBER($N271),$N271&gt;0,ISNUMBER($Y271)),$Y271/$N271,"")</f>
        <v/>
      </c>
    </row>
    <row r="272" ht="15" customHeight="1" s="545">
      <c r="A272" s="388" t="n">
        <v>7</v>
      </c>
      <c r="B272" s="605" t="n">
        <v>264</v>
      </c>
      <c r="C272" s="605" t="inlineStr">
        <is>
          <t>R0103521</t>
        </is>
      </c>
      <c r="D272" s="605" t="inlineStr">
        <is>
          <t>5925  BROADWAY ST</t>
        </is>
      </c>
      <c r="E272" s="605" t="n">
        <v>407</v>
      </c>
      <c r="G272" s="605" t="inlineStr">
        <is>
          <t>5</t>
        </is>
      </c>
      <c r="H272" s="59">
        <f>Y272/J272</f>
        <v/>
      </c>
      <c r="I272" s="389" t="n">
        <v>45322</v>
      </c>
      <c r="J272" s="605" t="n">
        <v>55704</v>
      </c>
      <c r="L272" s="605" t="n">
        <v>55704</v>
      </c>
      <c r="M272" s="605" t="n">
        <v>1972</v>
      </c>
      <c r="P272" s="605" t="inlineStr">
        <is>
          <t>Industrial</t>
        </is>
      </c>
      <c r="R272" s="152" t="inlineStr">
        <is>
          <t>Average</t>
        </is>
      </c>
      <c r="S272" s="605" t="n">
        <v>137294</v>
      </c>
      <c r="T272" s="390">
        <f>S272/L272</f>
        <v/>
      </c>
      <c r="U272" s="605" t="inlineStr">
        <is>
          <t>Average</t>
        </is>
      </c>
      <c r="Y272" s="60" t="n">
        <v>9570000</v>
      </c>
      <c r="AA272" s="60" t="n">
        <v>9570000</v>
      </c>
      <c r="AC272" s="605" t="inlineStr">
        <is>
          <t>0182510301032</t>
        </is>
      </c>
      <c r="AD272" s="605" t="inlineStr">
        <is>
          <t>2024000005550</t>
        </is>
      </c>
      <c r="AE272" s="653" t="inlineStr">
        <is>
          <t>WSM INDUSTRIES INC</t>
        </is>
      </c>
      <c r="AF272" s="653" t="inlineStr">
        <is>
          <t>WSM REAL ESTATE INVESTMENTS LLC</t>
        </is>
      </c>
      <c r="AI272" s="605">
        <f>IF(AND($E272=Subj_OccCode,Subj_BldgSF&gt;0,ABS($L272-Subj_BldgSF)&lt;=Subj_BldgSF*Subj_SizeTol),ABS($L272-Subj_BldgSF),NA())</f>
        <v/>
      </c>
      <c r="AJ272">
        <f>IF(ISNA(AI272),NA(),AI272+ROW()/10000000)</f>
        <v/>
      </c>
      <c r="AK272" s="605">
        <f>IF(AND(ISNUMBER($N272),$N272&gt;0,ISNUMBER($Y272)),$Y272/$N272,"")</f>
        <v/>
      </c>
    </row>
    <row r="273" ht="15" customHeight="1" s="545">
      <c r="A273" s="388" t="n">
        <v>7</v>
      </c>
      <c r="B273" s="605" t="n">
        <v>265</v>
      </c>
      <c r="C273" s="605" t="inlineStr">
        <is>
          <t>R0159463</t>
        </is>
      </c>
      <c r="D273" s="605" t="inlineStr">
        <is>
          <t>12001 E 33RD AVE E</t>
        </is>
      </c>
      <c r="E273" s="605" t="n">
        <v>425</v>
      </c>
      <c r="F273" s="605" t="inlineStr">
        <is>
          <t>AURORA</t>
        </is>
      </c>
      <c r="G273" s="605" t="inlineStr">
        <is>
          <t>6</t>
        </is>
      </c>
      <c r="H273" s="59">
        <f>Y273/J273</f>
        <v/>
      </c>
      <c r="I273" s="389" t="n">
        <v>45327</v>
      </c>
      <c r="J273" s="605" t="n">
        <v>32500</v>
      </c>
      <c r="L273" s="605" t="n">
        <v>32500</v>
      </c>
      <c r="M273" s="605" t="n">
        <v>2004</v>
      </c>
      <c r="P273" s="605" t="inlineStr">
        <is>
          <t>M-2</t>
        </is>
      </c>
      <c r="R273" s="152" t="inlineStr">
        <is>
          <t>Average</t>
        </is>
      </c>
      <c r="S273" s="605" t="n">
        <v>4740</v>
      </c>
      <c r="T273" s="390">
        <f>S273/L273</f>
        <v/>
      </c>
      <c r="U273" s="605" t="inlineStr">
        <is>
          <t>Average</t>
        </is>
      </c>
      <c r="Y273" s="60" t="n">
        <v>1150000</v>
      </c>
      <c r="AA273" s="60" t="n">
        <v>1150000</v>
      </c>
      <c r="AC273" s="605" t="inlineStr">
        <is>
          <t>0182326103027</t>
        </is>
      </c>
      <c r="AD273" s="605" t="inlineStr">
        <is>
          <t>2024000005872</t>
        </is>
      </c>
      <c r="AE273" s="653" t="inlineStr">
        <is>
          <t>SOUTH STREET CAPITAL PARTNERS LLC</t>
        </is>
      </c>
      <c r="AF273" s="653" t="inlineStr">
        <is>
          <t>33RD AVENUE LLC</t>
        </is>
      </c>
      <c r="AI273" s="605">
        <f>IF(AND($E273=Subj_OccCode,Subj_BldgSF&gt;0,ABS($L273-Subj_BldgSF)&lt;=Subj_BldgSF*Subj_SizeTol),ABS($L273-Subj_BldgSF),NA())</f>
        <v/>
      </c>
      <c r="AJ273">
        <f>IF(ISNA(AI273),NA(),AI273+ROW()/10000000)</f>
        <v/>
      </c>
      <c r="AK273" s="605">
        <f>IF(AND(ISNUMBER($N273),$N273&gt;0,ISNUMBER($Y273)),$Y273/$N273,"")</f>
        <v/>
      </c>
    </row>
    <row r="274" ht="15" customHeight="1" s="545">
      <c r="A274" s="388" t="n">
        <v>7</v>
      </c>
      <c r="B274" s="605" t="n">
        <v>266</v>
      </c>
      <c r="C274" s="605" t="inlineStr">
        <is>
          <t>R0159464</t>
        </is>
      </c>
      <c r="D274" s="605" t="inlineStr">
        <is>
          <t xml:space="preserve">12001 E 33RD AVE F </t>
        </is>
      </c>
      <c r="E274" s="605" t="n">
        <v>425</v>
      </c>
      <c r="F274" s="605" t="inlineStr">
        <is>
          <t>AURORA</t>
        </is>
      </c>
      <c r="G274" s="605" t="inlineStr">
        <is>
          <t>6</t>
        </is>
      </c>
      <c r="H274" s="59">
        <f>Y274/J274</f>
        <v/>
      </c>
      <c r="I274" s="389" t="n">
        <v>45327</v>
      </c>
      <c r="J274" s="605" t="n">
        <v>32500</v>
      </c>
      <c r="L274" s="605" t="n">
        <v>32500</v>
      </c>
      <c r="M274" s="605" t="n">
        <v>2004</v>
      </c>
      <c r="P274" s="605" t="inlineStr">
        <is>
          <t>M-2</t>
        </is>
      </c>
      <c r="R274" s="152" t="inlineStr">
        <is>
          <t>Average</t>
        </is>
      </c>
      <c r="S274" s="605" t="n">
        <v>4740</v>
      </c>
      <c r="T274" s="390">
        <f>S274/L274</f>
        <v/>
      </c>
      <c r="U274" s="605" t="inlineStr">
        <is>
          <t>Average</t>
        </is>
      </c>
      <c r="Y274" s="60" t="n">
        <v>1150000</v>
      </c>
      <c r="AA274" s="60" t="n">
        <v>1150000</v>
      </c>
      <c r="AC274" s="605" t="inlineStr">
        <is>
          <t>0182326103028</t>
        </is>
      </c>
      <c r="AD274" s="605" t="inlineStr">
        <is>
          <t>2024000005872</t>
        </is>
      </c>
      <c r="AE274" s="653" t="inlineStr">
        <is>
          <t>SOUTH STREET CAPITAL PARTNERS LLC</t>
        </is>
      </c>
      <c r="AF274" s="653" t="inlineStr">
        <is>
          <t>33RD AVENUE LLC</t>
        </is>
      </c>
      <c r="AI274" s="605">
        <f>IF(AND($E274=Subj_OccCode,Subj_BldgSF&gt;0,ABS($L274-Subj_BldgSF)&lt;=Subj_BldgSF*Subj_SizeTol),ABS($L274-Subj_BldgSF),NA())</f>
        <v/>
      </c>
      <c r="AJ274">
        <f>IF(ISNA(AI274),NA(),AI274+ROW()/10000000)</f>
        <v/>
      </c>
      <c r="AK274" s="605">
        <f>IF(AND(ISNUMBER($N274),$N274&gt;0,ISNUMBER($Y274)),$Y274/$N274,"")</f>
        <v/>
      </c>
    </row>
    <row r="275" ht="15" customHeight="1" s="545">
      <c r="A275" s="388" t="n">
        <v>7</v>
      </c>
      <c r="B275" s="605" t="n">
        <v>267</v>
      </c>
      <c r="C275" s="605" t="inlineStr">
        <is>
          <t>R0001913</t>
        </is>
      </c>
      <c r="D275" s="605" t="inlineStr">
        <is>
          <t xml:space="preserve">1205 E BRIDGE ST </t>
        </is>
      </c>
      <c r="E275" s="605" t="n">
        <v>353</v>
      </c>
      <c r="F275" s="605" t="inlineStr">
        <is>
          <t>BRIGHTON</t>
        </is>
      </c>
      <c r="G275" s="605" t="inlineStr">
        <is>
          <t>2</t>
        </is>
      </c>
      <c r="H275" s="59">
        <f>Y275/J275</f>
        <v/>
      </c>
      <c r="I275" s="389" t="n">
        <v>45328</v>
      </c>
      <c r="J275" s="605" t="n">
        <v>3650</v>
      </c>
      <c r="L275" s="605" t="n">
        <v>3650</v>
      </c>
      <c r="M275" s="605" t="n">
        <v>1961</v>
      </c>
      <c r="P275" s="605" t="inlineStr">
        <is>
          <t>C-2-Bri</t>
        </is>
      </c>
      <c r="R275" s="152" t="inlineStr">
        <is>
          <t>Average</t>
        </is>
      </c>
      <c r="S275" s="605" t="n">
        <v>13504</v>
      </c>
      <c r="T275" s="390">
        <f>S275/L275</f>
        <v/>
      </c>
      <c r="U275" s="605" t="inlineStr">
        <is>
          <t>Average</t>
        </is>
      </c>
      <c r="Y275" s="60" t="n">
        <v>688000</v>
      </c>
      <c r="AA275" s="60" t="n">
        <v>688000</v>
      </c>
      <c r="AC275" s="605" t="inlineStr">
        <is>
          <t>0156905300016</t>
        </is>
      </c>
      <c r="AD275" s="605" t="inlineStr">
        <is>
          <t>2024000006251</t>
        </is>
      </c>
      <c r="AE275" s="653" t="inlineStr">
        <is>
          <t>M-J PERRI CO</t>
        </is>
      </c>
      <c r="AF275" s="653" t="inlineStr">
        <is>
          <t>1201 E BRIDGE STREET LLC</t>
        </is>
      </c>
      <c r="AI275" s="605">
        <f>IF(AND($E275=Subj_OccCode,Subj_BldgSF&gt;0,ABS($L275-Subj_BldgSF)&lt;=Subj_BldgSF*Subj_SizeTol),ABS($L275-Subj_BldgSF),NA())</f>
        <v/>
      </c>
      <c r="AJ275">
        <f>IF(ISNA(AI275),NA(),AI275+ROW()/10000000)</f>
        <v/>
      </c>
      <c r="AK275" s="605">
        <f>IF(AND(ISNUMBER($N275),$N275&gt;0,ISNUMBER($Y275)),$Y275/$N275,"")</f>
        <v/>
      </c>
    </row>
    <row r="276" ht="15" customHeight="1" s="545">
      <c r="A276" s="388" t="n">
        <v>7</v>
      </c>
      <c r="B276" s="605" t="n">
        <v>268</v>
      </c>
      <c r="C276" s="605" t="inlineStr">
        <is>
          <t>R0077960</t>
        </is>
      </c>
      <c r="D276" s="605" t="inlineStr">
        <is>
          <t xml:space="preserve">5055 E 72ND AVE  </t>
        </is>
      </c>
      <c r="E276" s="605" t="n">
        <v>325</v>
      </c>
      <c r="F276" s="605" t="inlineStr">
        <is>
          <t>COMMERCE CITY</t>
        </is>
      </c>
      <c r="G276" s="605" t="inlineStr">
        <is>
          <t>5</t>
        </is>
      </c>
      <c r="H276" s="59">
        <f>Y276/J276</f>
        <v/>
      </c>
      <c r="I276" s="389" t="n">
        <v>45338</v>
      </c>
      <c r="J276" s="605" t="n">
        <v>33425</v>
      </c>
      <c r="L276" s="605" t="n">
        <v>33425</v>
      </c>
      <c r="M276" s="605" t="n">
        <v>1970</v>
      </c>
      <c r="P276" s="605" t="inlineStr">
        <is>
          <t>I-2-Com</t>
        </is>
      </c>
      <c r="R276" s="152" t="inlineStr">
        <is>
          <t>Average</t>
        </is>
      </c>
      <c r="S276" s="605" t="n">
        <v>270508</v>
      </c>
      <c r="T276" s="390">
        <f>S276/L276</f>
        <v/>
      </c>
      <c r="U276" s="605" t="inlineStr">
        <is>
          <t>Average</t>
        </is>
      </c>
      <c r="Y276" s="60" t="n">
        <v>10900000</v>
      </c>
      <c r="AA276" s="60" t="n">
        <v>10900000</v>
      </c>
      <c r="AC276" s="605" t="inlineStr">
        <is>
          <t>0172131402004</t>
        </is>
      </c>
      <c r="AD276" s="605" t="inlineStr">
        <is>
          <t>2024000008744</t>
        </is>
      </c>
      <c r="AE276" s="653" t="inlineStr">
        <is>
          <t>HONNEN PARTNERS L L C</t>
        </is>
      </c>
      <c r="AF276" s="653" t="inlineStr">
        <is>
          <t>4 RIVERS PROPERTIES COMMERCE CITY I LLC</t>
        </is>
      </c>
      <c r="AI276" s="605">
        <f>IF(AND($E276=Subj_OccCode,Subj_BldgSF&gt;0,ABS($L276-Subj_BldgSF)&lt;=Subj_BldgSF*Subj_SizeTol),ABS($L276-Subj_BldgSF),NA())</f>
        <v/>
      </c>
      <c r="AJ276">
        <f>IF(ISNA(AI276),NA(),AI276+ROW()/10000000)</f>
        <v/>
      </c>
      <c r="AK276" s="605">
        <f>IF(AND(ISNUMBER($N276),$N276&gt;0,ISNUMBER($Y276)),$Y276/$N276,"")</f>
        <v/>
      </c>
    </row>
    <row r="277" ht="15" customHeight="1" s="545">
      <c r="A277" s="388" t="n">
        <v>7</v>
      </c>
      <c r="B277" s="605" t="n">
        <v>269</v>
      </c>
      <c r="C277" s="605" t="inlineStr">
        <is>
          <t>R0151801</t>
        </is>
      </c>
      <c r="D277" s="605" t="inlineStr">
        <is>
          <t>6811  BROADWAY ST</t>
        </is>
      </c>
      <c r="E277" s="605" t="n">
        <v>425</v>
      </c>
      <c r="G277" s="605" t="inlineStr">
        <is>
          <t>5</t>
        </is>
      </c>
      <c r="H277" s="59">
        <f>Y277/J277</f>
        <v/>
      </c>
      <c r="I277" s="389" t="n">
        <v>45345</v>
      </c>
      <c r="J277" s="605" t="n">
        <v>13800</v>
      </c>
      <c r="L277" s="605" t="n">
        <v>13800</v>
      </c>
      <c r="M277" s="605" t="n">
        <v>2002</v>
      </c>
      <c r="P277" s="605" t="inlineStr">
        <is>
          <t>Planned Unit Development</t>
        </is>
      </c>
      <c r="R277" s="152" t="inlineStr">
        <is>
          <t>Very Good</t>
        </is>
      </c>
      <c r="S277" s="605" t="n">
        <v>4402</v>
      </c>
      <c r="T277" s="390">
        <f>S277/L277</f>
        <v/>
      </c>
      <c r="U277" s="605" t="inlineStr">
        <is>
          <t>Average</t>
        </is>
      </c>
      <c r="Y277" s="60" t="n">
        <v>800000</v>
      </c>
      <c r="AA277" s="60" t="n">
        <v>800000</v>
      </c>
      <c r="AC277" s="605" t="inlineStr">
        <is>
          <t>0182503218032</t>
        </is>
      </c>
      <c r="AD277" s="605" t="inlineStr">
        <is>
          <t>2024000009756</t>
        </is>
      </c>
      <c r="AE277" s="653" t="inlineStr">
        <is>
          <t>BROADWAYS LLC</t>
        </is>
      </c>
      <c r="AF277" s="653" t="inlineStr">
        <is>
          <t>DENVER FIRE PROTECTION LLC</t>
        </is>
      </c>
      <c r="AI277" s="605">
        <f>IF(AND($E277=Subj_OccCode,Subj_BldgSF&gt;0,ABS($L277-Subj_BldgSF)&lt;=Subj_BldgSF*Subj_SizeTol),ABS($L277-Subj_BldgSF),NA())</f>
        <v/>
      </c>
      <c r="AJ277">
        <f>IF(ISNA(AI277),NA(),AI277+ROW()/10000000)</f>
        <v/>
      </c>
      <c r="AK277" s="605">
        <f>IF(AND(ISNUMBER($N277),$N277&gt;0,ISNUMBER($Y277)),$Y277/$N277,"")</f>
        <v/>
      </c>
    </row>
    <row r="278" ht="15" customHeight="1" s="545">
      <c r="A278" s="388" t="n">
        <v>7</v>
      </c>
      <c r="B278" s="605" t="n">
        <v>270</v>
      </c>
      <c r="C278" s="605" t="inlineStr">
        <is>
          <t>R0151802</t>
        </is>
      </c>
      <c r="D278" s="605" t="inlineStr">
        <is>
          <t>6815  BROADWAY ST</t>
        </is>
      </c>
      <c r="E278" s="605" t="n">
        <v>425</v>
      </c>
      <c r="G278" s="605" t="inlineStr">
        <is>
          <t>5</t>
        </is>
      </c>
      <c r="H278" s="59">
        <f>Y278/J278</f>
        <v/>
      </c>
      <c r="I278" s="389" t="n">
        <v>45345</v>
      </c>
      <c r="J278" s="605" t="n">
        <v>13800</v>
      </c>
      <c r="L278" s="605" t="n">
        <v>13800</v>
      </c>
      <c r="M278" s="605" t="n">
        <v>2002</v>
      </c>
      <c r="P278" s="605" t="inlineStr">
        <is>
          <t>Planned Unit Development</t>
        </is>
      </c>
      <c r="R278" s="152" t="inlineStr">
        <is>
          <t>Very Good</t>
        </is>
      </c>
      <c r="S278" s="605" t="n">
        <v>4402</v>
      </c>
      <c r="T278" s="390">
        <f>S278/L278</f>
        <v/>
      </c>
      <c r="U278" s="605" t="inlineStr">
        <is>
          <t>Average</t>
        </is>
      </c>
      <c r="Y278" s="60" t="n">
        <v>800000</v>
      </c>
      <c r="AA278" s="60" t="n">
        <v>800000</v>
      </c>
      <c r="AC278" s="605" t="inlineStr">
        <is>
          <t>0182503218031</t>
        </is>
      </c>
      <c r="AD278" s="605" t="inlineStr">
        <is>
          <t>2024000009756</t>
        </is>
      </c>
      <c r="AE278" s="653" t="inlineStr">
        <is>
          <t>BROADWAYS LLC</t>
        </is>
      </c>
      <c r="AF278" s="653" t="inlineStr">
        <is>
          <t>DENVER FIRE PROTECTION LLC</t>
        </is>
      </c>
      <c r="AI278" s="605">
        <f>IF(AND($E278=Subj_OccCode,Subj_BldgSF&gt;0,ABS($L278-Subj_BldgSF)&lt;=Subj_BldgSF*Subj_SizeTol),ABS($L278-Subj_BldgSF),NA())</f>
        <v/>
      </c>
      <c r="AJ278">
        <f>IF(ISNA(AI278),NA(),AI278+ROW()/10000000)</f>
        <v/>
      </c>
      <c r="AK278" s="605">
        <f>IF(AND(ISNUMBER($N278),$N278&gt;0,ISNUMBER($Y278)),$Y278/$N278,"")</f>
        <v/>
      </c>
    </row>
    <row r="279" ht="15" customHeight="1" s="545">
      <c r="A279" s="388" t="n">
        <v>7</v>
      </c>
      <c r="B279" s="605" t="n">
        <v>271</v>
      </c>
      <c r="C279" s="605" t="inlineStr">
        <is>
          <t>R0037115</t>
        </is>
      </c>
      <c r="D279" s="605" t="inlineStr">
        <is>
          <t xml:space="preserve">11184  HURON ST 15 </t>
        </is>
      </c>
      <c r="E279" s="605" t="n">
        <v>1344</v>
      </c>
      <c r="F279" s="605" t="inlineStr">
        <is>
          <t>NORTHGLENN</t>
        </is>
      </c>
      <c r="G279" s="605" t="inlineStr">
        <is>
          <t>4</t>
        </is>
      </c>
      <c r="H279" s="59">
        <f>Y279/J279</f>
        <v/>
      </c>
      <c r="I279" s="389" t="n">
        <v>45394</v>
      </c>
      <c r="J279" s="605" t="n">
        <v>84375</v>
      </c>
      <c r="L279" s="605" t="n">
        <v>84375</v>
      </c>
      <c r="M279" s="605" t="n">
        <v>1984</v>
      </c>
      <c r="P279" s="605" t="inlineStr">
        <is>
          <t>C-3-Nor</t>
        </is>
      </c>
      <c r="R279" s="152" t="inlineStr">
        <is>
          <t>Average</t>
        </is>
      </c>
      <c r="S279" s="605" t="n">
        <v>1108</v>
      </c>
      <c r="T279" s="390">
        <f>S279/L279</f>
        <v/>
      </c>
      <c r="U279" s="605" t="inlineStr">
        <is>
          <t>Average</t>
        </is>
      </c>
      <c r="Y279" s="60" t="n">
        <v>605000</v>
      </c>
      <c r="AA279" s="60" t="n">
        <v>605000</v>
      </c>
      <c r="AC279" s="605" t="inlineStr">
        <is>
          <t>0171910217015</t>
        </is>
      </c>
      <c r="AD279" s="605" t="inlineStr">
        <is>
          <t>2024000019860</t>
        </is>
      </c>
      <c r="AE279" s="653" t="inlineStr">
        <is>
          <t>MBD ENTERPRISES LLC</t>
        </is>
      </c>
      <c r="AF279" s="653" t="inlineStr">
        <is>
          <t>GLOBAL PROPERTIES AND MANAGEMENT LLC</t>
        </is>
      </c>
      <c r="AI279" s="605">
        <f>IF(AND($E279=Subj_OccCode,Subj_BldgSF&gt;0,ABS($L279-Subj_BldgSF)&lt;=Subj_BldgSF*Subj_SizeTol),ABS($L279-Subj_BldgSF),NA())</f>
        <v/>
      </c>
      <c r="AJ279">
        <f>IF(ISNA(AI279),NA(),AI279+ROW()/10000000)</f>
        <v/>
      </c>
      <c r="AK279" s="605">
        <f>IF(AND(ISNUMBER($N279),$N279&gt;0,ISNUMBER($Y279)),$Y279/$N279,"")</f>
        <v/>
      </c>
    </row>
    <row r="280" ht="15" customHeight="1" s="545">
      <c r="A280" s="388" t="n">
        <v>7</v>
      </c>
      <c r="B280" s="605" t="n">
        <v>272</v>
      </c>
      <c r="C280" s="605" t="inlineStr">
        <is>
          <t>R0037114</t>
        </is>
      </c>
      <c r="D280" s="605" t="inlineStr">
        <is>
          <t xml:space="preserve">11184  HURON ST 14 </t>
        </is>
      </c>
      <c r="E280" s="605" t="n">
        <v>1344</v>
      </c>
      <c r="F280" s="605" t="inlineStr">
        <is>
          <t>NORTHGLENN</t>
        </is>
      </c>
      <c r="G280" s="605" t="inlineStr">
        <is>
          <t>4</t>
        </is>
      </c>
      <c r="H280" s="59">
        <f>Y280/J280</f>
        <v/>
      </c>
      <c r="I280" s="389" t="n">
        <v>45394</v>
      </c>
      <c r="J280" s="605" t="n">
        <v>84375</v>
      </c>
      <c r="L280" s="605" t="n">
        <v>84375</v>
      </c>
      <c r="M280" s="605" t="n">
        <v>1984</v>
      </c>
      <c r="P280" s="605" t="inlineStr">
        <is>
          <t>C-3-Nor</t>
        </is>
      </c>
      <c r="R280" s="152" t="inlineStr">
        <is>
          <t>Average</t>
        </is>
      </c>
      <c r="S280" s="605" t="n">
        <v>1108</v>
      </c>
      <c r="T280" s="390">
        <f>S280/L280</f>
        <v/>
      </c>
      <c r="U280" s="605" t="inlineStr">
        <is>
          <t>Average</t>
        </is>
      </c>
      <c r="Y280" s="60" t="n">
        <v>605000</v>
      </c>
      <c r="AA280" s="60" t="n">
        <v>605000</v>
      </c>
      <c r="AC280" s="605" t="inlineStr">
        <is>
          <t>0171910217014</t>
        </is>
      </c>
      <c r="AD280" s="605" t="inlineStr">
        <is>
          <t>2024000019860</t>
        </is>
      </c>
      <c r="AE280" s="653" t="inlineStr">
        <is>
          <t>MBD ENTERPRISES LLC</t>
        </is>
      </c>
      <c r="AF280" s="653" t="inlineStr">
        <is>
          <t>GLOBAL PROPERTIES AND MANAGEMENT LLC</t>
        </is>
      </c>
      <c r="AI280" s="605">
        <f>IF(AND($E280=Subj_OccCode,Subj_BldgSF&gt;0,ABS($L280-Subj_BldgSF)&lt;=Subj_BldgSF*Subj_SizeTol),ABS($L280-Subj_BldgSF),NA())</f>
        <v/>
      </c>
      <c r="AJ280">
        <f>IF(ISNA(AI280),NA(),AI280+ROW()/10000000)</f>
        <v/>
      </c>
      <c r="AK280" s="605">
        <f>IF(AND(ISNUMBER($N280),$N280&gt;0,ISNUMBER($Y280)),$Y280/$N280,"")</f>
        <v/>
      </c>
    </row>
    <row r="281" ht="15" customHeight="1" s="545">
      <c r="A281" s="388" t="n">
        <v>7</v>
      </c>
      <c r="B281" s="605" t="n">
        <v>273</v>
      </c>
      <c r="C281" s="605" t="inlineStr">
        <is>
          <t>R0058384</t>
        </is>
      </c>
      <c r="D281" s="605" t="inlineStr">
        <is>
          <t>461 W 84TH AVE</t>
        </is>
      </c>
      <c r="E281" s="605" t="n">
        <v>344</v>
      </c>
      <c r="F281" s="605" t="inlineStr">
        <is>
          <t>THORNTON</t>
        </is>
      </c>
      <c r="G281" s="605" t="inlineStr">
        <is>
          <t>4</t>
        </is>
      </c>
      <c r="H281" s="59">
        <f>Y281/J281</f>
        <v/>
      </c>
      <c r="I281" s="389" t="n">
        <v>45412</v>
      </c>
      <c r="J281" s="605" t="n">
        <v>6436</v>
      </c>
      <c r="L281" s="605" t="n">
        <v>6436</v>
      </c>
      <c r="M281" s="605" t="n">
        <v>1971</v>
      </c>
      <c r="P281" s="605" t="inlineStr">
        <is>
          <t>Regional Commercial</t>
        </is>
      </c>
      <c r="R281" s="152" t="inlineStr">
        <is>
          <t>Average</t>
        </is>
      </c>
      <c r="S281" s="605" t="n">
        <v>37800</v>
      </c>
      <c r="T281" s="390">
        <f>S281/L281</f>
        <v/>
      </c>
      <c r="U281" s="605" t="inlineStr">
        <is>
          <t>Average</t>
        </is>
      </c>
      <c r="Y281" s="60" t="n">
        <v>1700000</v>
      </c>
      <c r="AA281" s="60" t="n">
        <v>1700000</v>
      </c>
      <c r="AC281" s="605" t="inlineStr">
        <is>
          <t>0171927214005</t>
        </is>
      </c>
      <c r="AD281" s="605" t="inlineStr">
        <is>
          <t>2024000022581</t>
        </is>
      </c>
      <c r="AE281" s="653" t="inlineStr">
        <is>
          <t>DSE LLC</t>
        </is>
      </c>
      <c r="AF281" s="653" t="inlineStr">
        <is>
          <t>431 LLC</t>
        </is>
      </c>
      <c r="AI281" s="605">
        <f>IF(AND($E281=Subj_OccCode,Subj_BldgSF&gt;0,ABS($L281-Subj_BldgSF)&lt;=Subj_BldgSF*Subj_SizeTol),ABS($L281-Subj_BldgSF),NA())</f>
        <v/>
      </c>
      <c r="AJ281">
        <f>IF(ISNA(AI281),NA(),AI281+ROW()/10000000)</f>
        <v/>
      </c>
      <c r="AK281" s="605">
        <f>IF(AND(ISNUMBER($N281),$N281&gt;0,ISNUMBER($Y281)),$Y281/$N281,"")</f>
        <v/>
      </c>
    </row>
    <row r="282" ht="15" customHeight="1" s="545">
      <c r="A282" s="388" t="n">
        <v>7</v>
      </c>
      <c r="B282" s="605" t="n">
        <v>274</v>
      </c>
      <c r="C282" s="605" t="inlineStr">
        <is>
          <t>R0134436</t>
        </is>
      </c>
      <c r="D282" s="605" t="inlineStr">
        <is>
          <t>5901  YORK ST</t>
        </is>
      </c>
      <c r="E282" s="605" t="n">
        <v>333</v>
      </c>
      <c r="G282" s="605" t="inlineStr">
        <is>
          <t>5</t>
        </is>
      </c>
      <c r="H282" s="59">
        <f>Y282/J282</f>
        <v/>
      </c>
      <c r="I282" s="389" t="n">
        <v>45408</v>
      </c>
      <c r="J282" s="605" t="n">
        <v>5830</v>
      </c>
      <c r="L282" s="605" t="n">
        <v>5830</v>
      </c>
      <c r="M282" s="605" t="n">
        <v>2007</v>
      </c>
      <c r="P282" s="605" t="inlineStr">
        <is>
          <t>Industrial</t>
        </is>
      </c>
      <c r="R282" s="152" t="inlineStr">
        <is>
          <t>Average</t>
        </is>
      </c>
      <c r="S282" s="605" t="n">
        <v>117612</v>
      </c>
      <c r="T282" s="390">
        <f>S282/L282</f>
        <v/>
      </c>
      <c r="U282" s="605" t="inlineStr">
        <is>
          <t>Average</t>
        </is>
      </c>
      <c r="Y282" s="60" t="n">
        <v>1200000</v>
      </c>
      <c r="AA282" s="60" t="n">
        <v>1200000</v>
      </c>
      <c r="AC282" s="605" t="inlineStr">
        <is>
          <t>0182511403004</t>
        </is>
      </c>
      <c r="AD282" s="605" t="inlineStr">
        <is>
          <t>2024000023443</t>
        </is>
      </c>
      <c r="AE282" s="653" t="inlineStr">
        <is>
          <t>BURNCO COLORADO LLC, C/O PROPERTY TAX DEPT</t>
        </is>
      </c>
      <c r="AF282" s="653" t="inlineStr">
        <is>
          <t>TRICYCLE LANE TEXAS LLC</t>
        </is>
      </c>
      <c r="AI282" s="605">
        <f>IF(AND($E282=Subj_OccCode,Subj_BldgSF&gt;0,ABS($L282-Subj_BldgSF)&lt;=Subj_BldgSF*Subj_SizeTol),ABS($L282-Subj_BldgSF),NA())</f>
        <v/>
      </c>
      <c r="AJ282">
        <f>IF(ISNA(AI282),NA(),AI282+ROW()/10000000)</f>
        <v/>
      </c>
      <c r="AK282" s="605">
        <f>IF(AND(ISNUMBER($N282),$N282&gt;0,ISNUMBER($Y282)),$Y282/$N282,"")</f>
        <v/>
      </c>
    </row>
    <row r="283" ht="15" customHeight="1" s="545">
      <c r="A283" s="388" t="n">
        <v>7</v>
      </c>
      <c r="B283" s="605" t="n">
        <v>275</v>
      </c>
      <c r="C283" s="605" t="inlineStr">
        <is>
          <t>R0079701</t>
        </is>
      </c>
      <c r="D283" s="605" t="inlineStr">
        <is>
          <t xml:space="preserve">7576  HIGHWAY 2   </t>
        </is>
      </c>
      <c r="E283" s="605" t="n">
        <v>353</v>
      </c>
      <c r="F283" s="605" t="inlineStr">
        <is>
          <t>COMMERCE CITY</t>
        </is>
      </c>
      <c r="G283" s="605" t="inlineStr">
        <is>
          <t>5</t>
        </is>
      </c>
      <c r="H283" s="59">
        <f>Y283/J283</f>
        <v/>
      </c>
      <c r="I283" s="389" t="n">
        <v>45415</v>
      </c>
      <c r="J283" s="605" t="n">
        <v>6500</v>
      </c>
      <c r="L283" s="605" t="n">
        <v>6500</v>
      </c>
      <c r="M283" s="605" t="n">
        <v>1954</v>
      </c>
      <c r="P283" s="605" t="inlineStr">
        <is>
          <t>C-3-Com</t>
        </is>
      </c>
      <c r="R283" s="152" t="inlineStr">
        <is>
          <t>Average</t>
        </is>
      </c>
      <c r="S283" s="605" t="n">
        <v>43750</v>
      </c>
      <c r="T283" s="390">
        <f>S283/L283</f>
        <v/>
      </c>
      <c r="U283" s="605" t="inlineStr">
        <is>
          <t>Average</t>
        </is>
      </c>
      <c r="Y283" s="60" t="n">
        <v>1672000</v>
      </c>
      <c r="AA283" s="60" t="n">
        <v>1672000</v>
      </c>
      <c r="AC283" s="605" t="inlineStr">
        <is>
          <t>0172132410002</t>
        </is>
      </c>
      <c r="AD283" s="605" t="inlineStr">
        <is>
          <t>2024000024474</t>
        </is>
      </c>
      <c r="AE283" s="653" t="inlineStr">
        <is>
          <t>BONNIE K LISLE ROTH IRA</t>
        </is>
      </c>
      <c r="AF283" s="653" t="inlineStr">
        <is>
          <t>VJRE HOLDINGS LLC</t>
        </is>
      </c>
      <c r="AI283" s="605">
        <f>IF(AND($E283=Subj_OccCode,Subj_BldgSF&gt;0,ABS($L283-Subj_BldgSF)&lt;=Subj_BldgSF*Subj_SizeTol),ABS($L283-Subj_BldgSF),NA())</f>
        <v/>
      </c>
      <c r="AJ283">
        <f>IF(ISNA(AI283),NA(),AI283+ROW()/10000000)</f>
        <v/>
      </c>
      <c r="AK283" s="605">
        <f>IF(AND(ISNUMBER($N283),$N283&gt;0,ISNUMBER($Y283)),$Y283/$N283,"")</f>
        <v/>
      </c>
    </row>
    <row r="284" ht="15" customHeight="1" s="545">
      <c r="A284" s="388" t="n">
        <v>7</v>
      </c>
      <c r="B284" s="605" t="n">
        <v>276</v>
      </c>
      <c r="C284" s="605" t="inlineStr">
        <is>
          <t>R0161514</t>
        </is>
      </c>
      <c r="D284" s="605" t="inlineStr">
        <is>
          <t xml:space="preserve">18245 E 40TH AVE  </t>
        </is>
      </c>
      <c r="E284" s="605" t="n">
        <v>407</v>
      </c>
      <c r="F284" s="605" t="inlineStr">
        <is>
          <t>AURORA</t>
        </is>
      </c>
      <c r="G284" s="605" t="inlineStr">
        <is>
          <t>6</t>
        </is>
      </c>
      <c r="H284" s="59">
        <f>Y284/J284</f>
        <v/>
      </c>
      <c r="I284" s="389" t="n">
        <v>45429</v>
      </c>
      <c r="J284" s="605" t="n">
        <v>155916</v>
      </c>
      <c r="L284" s="605" t="n">
        <v>155916</v>
      </c>
      <c r="M284" s="605" t="n">
        <v>2005</v>
      </c>
      <c r="P284" s="605" t="inlineStr">
        <is>
          <t>M-2</t>
        </is>
      </c>
      <c r="R284" s="152" t="inlineStr">
        <is>
          <t>Average</t>
        </is>
      </c>
      <c r="S284" s="605" t="n">
        <v>408696</v>
      </c>
      <c r="T284" s="390">
        <f>S284/L284</f>
        <v/>
      </c>
      <c r="U284" s="605" t="inlineStr">
        <is>
          <t>Average</t>
        </is>
      </c>
      <c r="Y284" s="60" t="n">
        <v>16000000</v>
      </c>
      <c r="AA284" s="60" t="n">
        <v>16000000</v>
      </c>
      <c r="AC284" s="605" t="inlineStr">
        <is>
          <t>0182121402001</t>
        </is>
      </c>
      <c r="AD284" s="605" t="inlineStr">
        <is>
          <t>2024000026538</t>
        </is>
      </c>
      <c r="AE284" s="653" t="inlineStr">
        <is>
          <t>40TH STREET PARTNERS LLC FKA MUHLENBERG INVESTMENT LLC</t>
        </is>
      </c>
      <c r="AF284" s="653" t="inlineStr">
        <is>
          <t>18245 40TH OWNER LLC</t>
        </is>
      </c>
      <c r="AI284" s="605">
        <f>IF(AND($E284=Subj_OccCode,Subj_BldgSF&gt;0,ABS($L284-Subj_BldgSF)&lt;=Subj_BldgSF*Subj_SizeTol),ABS($L284-Subj_BldgSF),NA())</f>
        <v/>
      </c>
      <c r="AJ284">
        <f>IF(ISNA(AI284),NA(),AI284+ROW()/10000000)</f>
        <v/>
      </c>
      <c r="AK284" s="605">
        <f>IF(AND(ISNUMBER($N284),$N284&gt;0,ISNUMBER($Y284)),$Y284/$N284,"")</f>
        <v/>
      </c>
    </row>
    <row r="285" ht="15" customHeight="1" s="545">
      <c r="A285" s="388" t="n">
        <v>7</v>
      </c>
      <c r="B285" s="605" t="n">
        <v>277</v>
      </c>
      <c r="C285" s="605" t="inlineStr">
        <is>
          <t>R0169033</t>
        </is>
      </c>
      <c r="D285" s="605" t="inlineStr">
        <is>
          <t xml:space="preserve">9790  WASHINGTON ST  </t>
        </is>
      </c>
      <c r="E285" s="605" t="n">
        <v>349</v>
      </c>
      <c r="F285" s="605" t="inlineStr">
        <is>
          <t>THORNTON</t>
        </is>
      </c>
      <c r="G285" s="605" t="inlineStr">
        <is>
          <t>4</t>
        </is>
      </c>
      <c r="H285" s="59">
        <f>Y285/J285</f>
        <v/>
      </c>
      <c r="I285" s="389" t="n">
        <v>45435</v>
      </c>
      <c r="J285" s="605" t="n">
        <v>4726</v>
      </c>
      <c r="L285" s="605" t="n">
        <v>4726</v>
      </c>
      <c r="M285" s="605" t="n">
        <v>2006</v>
      </c>
      <c r="P285" s="605" t="inlineStr">
        <is>
          <t>Planned Development</t>
        </is>
      </c>
      <c r="R285" s="152" t="inlineStr">
        <is>
          <t>Good</t>
        </is>
      </c>
      <c r="S285" s="605" t="n">
        <v>55253</v>
      </c>
      <c r="T285" s="390">
        <f>S285/L285</f>
        <v/>
      </c>
      <c r="U285" s="605" t="inlineStr">
        <is>
          <t>Good</t>
        </is>
      </c>
      <c r="Y285" s="60" t="n">
        <v>3940000</v>
      </c>
      <c r="AA285" s="60" t="n">
        <v>3940000</v>
      </c>
      <c r="AC285" s="605" t="inlineStr">
        <is>
          <t>0171914318070</t>
        </is>
      </c>
      <c r="AD285" s="605" t="inlineStr">
        <is>
          <t>2024000027827</t>
        </is>
      </c>
      <c r="AE285" s="653" t="inlineStr">
        <is>
          <t>PHANTOM IV PARTNERS LLC</t>
        </is>
      </c>
      <c r="AF285" s="653" t="inlineStr">
        <is>
          <t>CRESTLINE INVESTMENT GROUP LLC</t>
        </is>
      </c>
      <c r="AI285" s="605">
        <f>IF(AND($E285=Subj_OccCode,Subj_BldgSF&gt;0,ABS($L285-Subj_BldgSF)&lt;=Subj_BldgSF*Subj_SizeTol),ABS($L285-Subj_BldgSF),NA())</f>
        <v/>
      </c>
      <c r="AJ285">
        <f>IF(ISNA(AI285),NA(),AI285+ROW()/10000000)</f>
        <v/>
      </c>
      <c r="AK285" s="605">
        <f>IF(AND(ISNUMBER($N285),$N285&gt;0,ISNUMBER($Y285)),$Y285/$N285,"")</f>
        <v/>
      </c>
    </row>
    <row r="286" ht="15" customHeight="1" s="545">
      <c r="A286" s="388" t="n">
        <v>7</v>
      </c>
      <c r="B286" s="605" t="n">
        <v>278</v>
      </c>
      <c r="C286" s="605" t="inlineStr">
        <is>
          <t>R0213618</t>
        </is>
      </c>
      <c r="D286" s="605" t="inlineStr">
        <is>
          <t xml:space="preserve">9940  HAVANA ST  </t>
        </is>
      </c>
      <c r="E286" s="605" t="n">
        <v>325</v>
      </c>
      <c r="F286" s="605" t="inlineStr">
        <is>
          <t>COMMERCE CITY</t>
        </is>
      </c>
      <c r="G286" s="605" t="inlineStr">
        <is>
          <t>5</t>
        </is>
      </c>
      <c r="H286" s="59">
        <f>Y286/J286</f>
        <v/>
      </c>
      <c r="I286" s="389" t="n">
        <v>45436</v>
      </c>
      <c r="J286" s="605" t="n">
        <v>11318</v>
      </c>
      <c r="L286" s="605" t="n">
        <v>11318</v>
      </c>
      <c r="M286" s="605" t="n">
        <v>2023</v>
      </c>
      <c r="R286" s="152" t="inlineStr">
        <is>
          <t>Average</t>
        </is>
      </c>
      <c r="S286" s="605" t="n">
        <v>1151289</v>
      </c>
      <c r="T286" s="390">
        <f>S286/L286</f>
        <v/>
      </c>
      <c r="U286" s="605" t="inlineStr">
        <is>
          <t>Average</t>
        </is>
      </c>
      <c r="Y286" s="60" t="n">
        <v>72240000</v>
      </c>
      <c r="AA286" s="60" t="n">
        <v>72240000</v>
      </c>
      <c r="AC286" s="605" t="inlineStr">
        <is>
          <t>0172114309001</t>
        </is>
      </c>
      <c r="AD286" s="605" t="inlineStr">
        <is>
          <t>2024000027885</t>
        </is>
      </c>
      <c r="AE286" s="653" t="inlineStr">
        <is>
          <t>SCANNELL PROPERTIES #534 LLC</t>
        </is>
      </c>
      <c r="AF286" s="653" t="inlineStr">
        <is>
          <t>BEL COMMERCE LLC, C/O MORGAN STANLEY</t>
        </is>
      </c>
      <c r="AI286" s="605">
        <f>IF(AND($E286=Subj_OccCode,Subj_BldgSF&gt;0,ABS($L286-Subj_BldgSF)&lt;=Subj_BldgSF*Subj_SizeTol),ABS($L286-Subj_BldgSF),NA())</f>
        <v/>
      </c>
      <c r="AJ286">
        <f>IF(ISNA(AI286),NA(),AI286+ROW()/10000000)</f>
        <v/>
      </c>
      <c r="AK286" s="605">
        <f>IF(AND(ISNUMBER($N286),$N286&gt;0,ISNUMBER($Y286)),$Y286/$N286,"")</f>
        <v/>
      </c>
    </row>
    <row r="287" ht="15" customHeight="1" s="545">
      <c r="A287" s="388" t="n">
        <v>7</v>
      </c>
      <c r="B287" s="605" t="n">
        <v>279</v>
      </c>
      <c r="C287" s="605" t="inlineStr">
        <is>
          <t>R0219436</t>
        </is>
      </c>
      <c r="D287" s="605" t="inlineStr">
        <is>
          <t>2323 W 72ND AVE</t>
        </is>
      </c>
      <c r="E287" s="605" t="n">
        <v>3441</v>
      </c>
      <c r="G287" s="605" t="inlineStr">
        <is>
          <t>4</t>
        </is>
      </c>
      <c r="H287" s="59">
        <f>Y287/J287</f>
        <v/>
      </c>
      <c r="I287" s="389" t="n">
        <v>45450</v>
      </c>
      <c r="J287" s="605" t="n">
        <v>1836</v>
      </c>
      <c r="L287" s="605" t="n">
        <v>1836</v>
      </c>
      <c r="M287" s="605" t="n">
        <v>1957</v>
      </c>
      <c r="P287" s="605" t="inlineStr">
        <is>
          <t>Commercial</t>
        </is>
      </c>
      <c r="R287" s="152" t="inlineStr">
        <is>
          <t>Average</t>
        </is>
      </c>
      <c r="S287" s="605" t="n">
        <v>22416</v>
      </c>
      <c r="T287" s="390">
        <f>S287/L287</f>
        <v/>
      </c>
      <c r="U287" s="605" t="inlineStr">
        <is>
          <t>Average</t>
        </is>
      </c>
      <c r="Y287" s="60" t="n">
        <v>655000</v>
      </c>
      <c r="AA287" s="60" t="n">
        <v>655000</v>
      </c>
      <c r="AC287" s="605" t="inlineStr">
        <is>
          <t>0171933323001</t>
        </is>
      </c>
      <c r="AD287" s="605" t="inlineStr">
        <is>
          <t>2024000031010</t>
        </is>
      </c>
      <c r="AE287" s="653" t="inlineStr">
        <is>
          <t>METRO DENVER RENTAL MANAGEMENT LLC</t>
        </is>
      </c>
      <c r="AF287" s="653" t="inlineStr">
        <is>
          <t>JM COLORADO PROPERTIES LLC</t>
        </is>
      </c>
      <c r="AI287" s="605">
        <f>IF(AND($E287=Subj_OccCode,Subj_BldgSF&gt;0,ABS($L287-Subj_BldgSF)&lt;=Subj_BldgSF*Subj_SizeTol),ABS($L287-Subj_BldgSF),NA())</f>
        <v/>
      </c>
      <c r="AJ287">
        <f>IF(ISNA(AI287),NA(),AI287+ROW()/10000000)</f>
        <v/>
      </c>
      <c r="AK287" s="605">
        <f>IF(AND(ISNUMBER($N287),$N287&gt;0,ISNUMBER($Y287)),$Y287/$N287,"")</f>
        <v/>
      </c>
    </row>
    <row r="288" ht="15" customHeight="1" s="545">
      <c r="A288" s="388" t="n">
        <v>7</v>
      </c>
      <c r="B288" s="605" t="n">
        <v>280</v>
      </c>
      <c r="C288" s="605" t="inlineStr">
        <is>
          <t>R0178251</t>
        </is>
      </c>
      <c r="D288" s="605" t="inlineStr">
        <is>
          <t xml:space="preserve">2400 W 104TH AVE  </t>
        </is>
      </c>
      <c r="E288" s="605" t="n">
        <v>303</v>
      </c>
      <c r="F288" s="605" t="inlineStr">
        <is>
          <t>FEDERAL HEIGHTS</t>
        </is>
      </c>
      <c r="G288" s="605" t="inlineStr">
        <is>
          <t>4</t>
        </is>
      </c>
      <c r="H288" s="59">
        <f>Y288/J288</f>
        <v/>
      </c>
      <c r="I288" s="389" t="n">
        <v>45453</v>
      </c>
      <c r="J288" s="605" t="n">
        <v>11520</v>
      </c>
      <c r="L288" s="605" t="n">
        <v>11520</v>
      </c>
      <c r="M288" s="605" t="n">
        <v>1974</v>
      </c>
      <c r="P288" s="605" t="inlineStr">
        <is>
          <t>C-1-Fed</t>
        </is>
      </c>
      <c r="R288" s="152" t="inlineStr">
        <is>
          <t>Average</t>
        </is>
      </c>
      <c r="S288" s="605" t="n">
        <v>199500</v>
      </c>
      <c r="T288" s="390">
        <f>S288/L288</f>
        <v/>
      </c>
      <c r="U288" s="605" t="inlineStr">
        <is>
          <t>Average</t>
        </is>
      </c>
      <c r="Y288" s="60" t="n">
        <v>7300000</v>
      </c>
      <c r="AA288" s="60" t="n">
        <v>7300000</v>
      </c>
      <c r="AC288" s="605" t="inlineStr">
        <is>
          <t>0171917100040</t>
        </is>
      </c>
      <c r="AD288" s="605" t="inlineStr">
        <is>
          <t>2024000031386</t>
        </is>
      </c>
      <c r="AE288" s="653" t="inlineStr">
        <is>
          <t>LHM DNI LLC</t>
        </is>
      </c>
      <c r="AF288" s="653" t="inlineStr">
        <is>
          <t>DRAWE HOLDINGS LLC</t>
        </is>
      </c>
      <c r="AI288" s="605">
        <f>IF(AND($E288=Subj_OccCode,Subj_BldgSF&gt;0,ABS($L288-Subj_BldgSF)&lt;=Subj_BldgSF*Subj_SizeTol),ABS($L288-Subj_BldgSF),NA())</f>
        <v/>
      </c>
      <c r="AJ288">
        <f>IF(ISNA(AI288),NA(),AI288+ROW()/10000000)</f>
        <v/>
      </c>
      <c r="AK288" s="605">
        <f>IF(AND(ISNUMBER($N288),$N288&gt;0,ISNUMBER($Y288)),$Y288/$N288,"")</f>
        <v/>
      </c>
    </row>
    <row r="289" ht="15" customHeight="1" s="545">
      <c r="A289" s="388" t="n">
        <v>7</v>
      </c>
      <c r="B289" s="605" t="n">
        <v>281</v>
      </c>
      <c r="C289" s="605" t="inlineStr">
        <is>
          <t>R0108277</t>
        </is>
      </c>
      <c r="D289" s="605" t="inlineStr">
        <is>
          <t>9051  I-76</t>
        </is>
      </c>
      <c r="E289" s="605" t="n">
        <v>1332</v>
      </c>
      <c r="G289" s="605" t="inlineStr">
        <is>
          <t>5</t>
        </is>
      </c>
      <c r="H289" s="59">
        <f>Y289/J289</f>
        <v/>
      </c>
      <c r="I289" s="389" t="n">
        <v>45447</v>
      </c>
      <c r="J289" s="605" t="n">
        <v>60</v>
      </c>
      <c r="L289" s="605" t="n">
        <v>60</v>
      </c>
      <c r="M289" s="605" t="n">
        <v>1993</v>
      </c>
      <c r="P289" s="605" t="inlineStr">
        <is>
          <t>Commercial</t>
        </is>
      </c>
      <c r="R289" s="152" t="inlineStr">
        <is>
          <t>Average</t>
        </is>
      </c>
      <c r="S289" s="605" t="n">
        <v>136935</v>
      </c>
      <c r="T289" s="390">
        <f>S289/L289</f>
        <v/>
      </c>
      <c r="U289" s="605" t="inlineStr">
        <is>
          <t>Average</t>
        </is>
      </c>
      <c r="Y289" s="60" t="n">
        <v>5000000</v>
      </c>
      <c r="AA289" s="60" t="n">
        <v>5000000</v>
      </c>
      <c r="AC289" s="605" t="inlineStr">
        <is>
          <t>0172120011003</t>
        </is>
      </c>
      <c r="AD289" s="605" t="inlineStr">
        <is>
          <t>2024000031967</t>
        </is>
      </c>
      <c r="AE289" s="653" t="inlineStr">
        <is>
          <t>KONG &amp; QUY PROPERTY LLC</t>
        </is>
      </c>
      <c r="AF289" s="653" t="inlineStr">
        <is>
          <t>SUNMAN TWO LLC</t>
        </is>
      </c>
      <c r="AI289" s="605">
        <f>IF(AND($E289=Subj_OccCode,Subj_BldgSF&gt;0,ABS($L289-Subj_BldgSF)&lt;=Subj_BldgSF*Subj_SizeTol),ABS($L289-Subj_BldgSF),NA())</f>
        <v/>
      </c>
      <c r="AJ289">
        <f>IF(ISNA(AI289),NA(),AI289+ROW()/10000000)</f>
        <v/>
      </c>
      <c r="AK289" s="605">
        <f>IF(AND(ISNUMBER($N289),$N289&gt;0,ISNUMBER($Y289)),$Y289/$N289,"")</f>
        <v/>
      </c>
    </row>
    <row r="290" ht="15.75" customHeight="1" s="545">
      <c r="A290" s="388" t="n">
        <v>7</v>
      </c>
      <c r="B290" s="605" t="n">
        <v>282</v>
      </c>
      <c r="C290" s="605" t="inlineStr">
        <is>
          <t>R0160828</t>
        </is>
      </c>
      <c r="D290" s="605" t="inlineStr">
        <is>
          <t xml:space="preserve">4711 W 58TH AVE  </t>
        </is>
      </c>
      <c r="E290" s="605" t="n">
        <v>406</v>
      </c>
      <c r="F290" s="605" t="inlineStr">
        <is>
          <t>ARVADA</t>
        </is>
      </c>
      <c r="G290" s="605" t="inlineStr">
        <is>
          <t>5</t>
        </is>
      </c>
      <c r="H290" s="59">
        <f>Y290/J290</f>
        <v/>
      </c>
      <c r="I290" s="389" t="n">
        <v>45469</v>
      </c>
      <c r="J290" s="605" t="n">
        <v>18384</v>
      </c>
      <c r="L290" s="605" t="n">
        <v>18384</v>
      </c>
      <c r="M290" s="605" t="n">
        <v>1979</v>
      </c>
      <c r="P290" s="605" t="inlineStr">
        <is>
          <t>I-2-Arv</t>
        </is>
      </c>
      <c r="R290" s="152" t="inlineStr">
        <is>
          <t>Average</t>
        </is>
      </c>
      <c r="S290" s="605" t="n">
        <v>180823</v>
      </c>
      <c r="T290" s="390">
        <f>S290/L290</f>
        <v/>
      </c>
      <c r="U290" s="605" t="inlineStr">
        <is>
          <t>Average</t>
        </is>
      </c>
      <c r="Y290" s="60" t="n">
        <v>6600000</v>
      </c>
      <c r="AA290" s="60" t="n">
        <v>6600000</v>
      </c>
      <c r="AC290" s="605" t="inlineStr">
        <is>
          <t>0182507302004</t>
        </is>
      </c>
      <c r="AD290" s="605" t="inlineStr">
        <is>
          <t>2024000035779</t>
        </is>
      </c>
      <c r="AE290" s="653" t="inlineStr">
        <is>
          <t>INDUSTRIAL CHEMICALS, CORPORATION</t>
        </is>
      </c>
      <c r="AF290" s="653" t="inlineStr">
        <is>
          <t>BRENNTAG PACIFIC INC, C/O BRENNTAG NORTH AMERICA INC</t>
        </is>
      </c>
      <c r="AI290" s="605">
        <f>IF(AND($E290=Subj_OccCode,Subj_BldgSF&gt;0,ABS($L290-Subj_BldgSF)&lt;=Subj_BldgSF*Subj_SizeTol),ABS($L290-Subj_BldgSF),NA())</f>
        <v/>
      </c>
      <c r="AJ290" s="605">
        <f>IF(ISNA(AI290),NA(),AI290+ROW()/10000000)</f>
        <v/>
      </c>
    </row>
    <row r="291" ht="15" customHeight="1" s="545">
      <c r="A291" s="388" t="n">
        <v>7</v>
      </c>
      <c r="B291" s="605" t="n">
        <v>283</v>
      </c>
      <c r="C291" s="605" t="inlineStr">
        <is>
          <t>R0160827</t>
        </is>
      </c>
      <c r="D291" s="605" t="inlineStr">
        <is>
          <t xml:space="preserve">4631 W 58TH AVE </t>
        </is>
      </c>
      <c r="E291" s="605" t="n">
        <v>407</v>
      </c>
      <c r="F291" s="605" t="inlineStr">
        <is>
          <t>ARVADA</t>
        </is>
      </c>
      <c r="G291" s="605" t="inlineStr">
        <is>
          <t>5</t>
        </is>
      </c>
      <c r="H291" s="59">
        <f>Y291/J291</f>
        <v/>
      </c>
      <c r="I291" s="389" t="n">
        <v>45469</v>
      </c>
      <c r="J291" s="605" t="n">
        <v>24960</v>
      </c>
      <c r="L291" s="605" t="n">
        <v>24960</v>
      </c>
      <c r="M291" s="605" t="n">
        <v>2004</v>
      </c>
      <c r="P291" s="605" t="inlineStr">
        <is>
          <t>I-2-Arv</t>
        </is>
      </c>
      <c r="R291" s="152" t="inlineStr">
        <is>
          <t>Average</t>
        </is>
      </c>
      <c r="S291" s="605" t="n">
        <v>140026</v>
      </c>
      <c r="T291" s="390">
        <f>S291/L291</f>
        <v/>
      </c>
      <c r="U291" s="605" t="inlineStr">
        <is>
          <t>Average</t>
        </is>
      </c>
      <c r="Y291" s="60" t="n">
        <v>7500000</v>
      </c>
      <c r="AA291" s="60" t="n">
        <v>7500000</v>
      </c>
      <c r="AC291" s="605" t="inlineStr">
        <is>
          <t>0182507302003</t>
        </is>
      </c>
      <c r="AD291" s="605" t="inlineStr">
        <is>
          <t>2024000035787</t>
        </is>
      </c>
      <c r="AE291" s="653" t="inlineStr">
        <is>
          <t>BIESEMEIER INDUSTRIAL PARK, INC</t>
        </is>
      </c>
      <c r="AF291" s="653" t="inlineStr">
        <is>
          <t>BRENNTAG PACIFIC INC, C/O BRENNTAG NORTH AMERICA INC</t>
        </is>
      </c>
      <c r="AI291" s="605">
        <f>IF(AND($E291=Subj_OccCode,Subj_BldgSF&gt;0,ABS($L291-Subj_BldgSF)&lt;=Subj_BldgSF*Subj_SizeTol),ABS($L291-Subj_BldgSF),NA())</f>
        <v/>
      </c>
      <c r="AJ291" s="605">
        <f>IF(ISNA(AI291),NA(),AI291+ROW()/10000000)</f>
        <v/>
      </c>
    </row>
    <row r="292" ht="15" customHeight="1" s="545">
      <c r="A292" s="388" t="n">
        <v>7</v>
      </c>
      <c r="B292" s="605" t="n">
        <v>285</v>
      </c>
      <c r="C292" s="605" t="inlineStr">
        <is>
          <t>R0222678</t>
        </is>
      </c>
      <c r="D292" s="605" t="inlineStr">
        <is>
          <t>37851 E 51ST AVE #E6</t>
        </is>
      </c>
      <c r="E292" s="605" t="n">
        <v>328</v>
      </c>
      <c r="G292" s="605" t="inlineStr">
        <is>
          <t>1</t>
        </is>
      </c>
      <c r="H292" s="59">
        <f>Y292/J292</f>
        <v/>
      </c>
      <c r="I292" s="389" t="n">
        <v>45390</v>
      </c>
      <c r="J292" s="605" t="n">
        <v>2930</v>
      </c>
      <c r="K292" s="59" t="n"/>
      <c r="L292" s="605" t="n">
        <v>2930</v>
      </c>
      <c r="M292" s="605" t="n">
        <v>2024</v>
      </c>
      <c r="R292" s="152" t="inlineStr">
        <is>
          <t>Average</t>
        </is>
      </c>
      <c r="T292" s="390">
        <f>S292/L292</f>
        <v/>
      </c>
      <c r="U292" s="605" t="inlineStr">
        <is>
          <t>Average</t>
        </is>
      </c>
      <c r="V292" s="390" t="n"/>
      <c r="W292" s="390" t="n"/>
      <c r="X292" s="390" t="n"/>
      <c r="Y292" s="60" t="n">
        <v>315708</v>
      </c>
      <c r="Z292" s="60" t="n"/>
      <c r="AA292" s="60" t="n">
        <v>315708</v>
      </c>
      <c r="AB292" s="60" t="n"/>
      <c r="AC292" s="605" t="inlineStr">
        <is>
          <t>0181715300036</t>
        </is>
      </c>
      <c r="AD292" s="605" t="inlineStr">
        <is>
          <t>2024000022645</t>
        </is>
      </c>
      <c r="AE292" s="653" t="inlineStr">
        <is>
          <t>37851 51ST AVE HANGAR OWNERS ASSOCIATION INC</t>
        </is>
      </c>
      <c r="AF292" s="653" t="inlineStr">
        <is>
          <t>CRAIG RD LLC</t>
        </is>
      </c>
      <c r="AI292" s="605">
        <f>IF(AND($E292=Subj_OccCode,Subj_BldgSF&gt;0,ABS($L292-Subj_BldgSF)&lt;=Subj_BldgSF*Subj_SizeTol),ABS($L292-Subj_BldgSF),NA())</f>
        <v/>
      </c>
      <c r="AJ292" s="605">
        <f>IF(ISNA(AI292),NA(),AI292+ROW()/10000000)</f>
        <v/>
      </c>
    </row>
    <row r="293" ht="15" customHeight="1" s="545">
      <c r="A293" s="385" t="n">
        <v>8</v>
      </c>
      <c r="B293" s="605" t="n">
        <v>286</v>
      </c>
      <c r="C293" s="605" t="inlineStr">
        <is>
          <t>R0079887</t>
        </is>
      </c>
      <c r="D293" s="605" t="inlineStr">
        <is>
          <t>7250  MONACO ST</t>
        </is>
      </c>
      <c r="E293" s="605" t="n">
        <v>353</v>
      </c>
      <c r="F293" s="605" t="inlineStr">
        <is>
          <t>COMMERCE CITY</t>
        </is>
      </c>
      <c r="G293" s="605" t="inlineStr">
        <is>
          <t>2</t>
        </is>
      </c>
      <c r="H293" s="59">
        <f>Y293/J293</f>
        <v/>
      </c>
      <c r="I293" s="386" t="n">
        <v>43405</v>
      </c>
      <c r="J293" s="605" t="n">
        <v>2592</v>
      </c>
      <c r="L293" s="605" t="n">
        <v>2592</v>
      </c>
      <c r="M293" s="605" t="n">
        <v>1953</v>
      </c>
      <c r="P293" s="605" t="inlineStr">
        <is>
          <t>PUD-Com</t>
        </is>
      </c>
      <c r="R293" s="152" t="inlineStr">
        <is>
          <t>Average</t>
        </is>
      </c>
      <c r="S293" s="605" t="n">
        <v>7075</v>
      </c>
      <c r="T293" s="387">
        <f>S293/J293</f>
        <v/>
      </c>
      <c r="U293" s="605" t="inlineStr">
        <is>
          <t>Average</t>
        </is>
      </c>
      <c r="Y293" s="605" t="n">
        <v>405000</v>
      </c>
      <c r="AA293" s="605" t="n">
        <v>405000</v>
      </c>
      <c r="AC293" s="605" t="inlineStr">
        <is>
          <t>0172132421013</t>
        </is>
      </c>
      <c r="AD293" s="605" t="inlineStr">
        <is>
          <t>2018000089106</t>
        </is>
      </c>
      <c r="AE293" s="653" t="inlineStr">
        <is>
          <t>HOME ADDENDA LLC</t>
        </is>
      </c>
      <c r="AF293" s="653" t="inlineStr">
        <is>
          <t>ML-2 LLC</t>
        </is>
      </c>
      <c r="AI293" s="605">
        <f>IF(AND($E293=Subj_OccCode,Subj_BldgSF&gt;0,ABS($L293-Subj_BldgSF)&lt;=Subj_BldgSF*Subj_SizeTol),ABS($L293-Subj_BldgSF),NA())</f>
        <v/>
      </c>
      <c r="AJ293" s="605">
        <f>IF(ISNA(AI293),NA(),AI293+ROW()/10000000)</f>
        <v/>
      </c>
    </row>
    <row r="294" ht="15" customHeight="1" s="545">
      <c r="A294" s="385" t="n">
        <v>8</v>
      </c>
      <c r="B294" s="605" t="n">
        <v>287</v>
      </c>
      <c r="C294" s="605" t="inlineStr">
        <is>
          <t>R0092849</t>
        </is>
      </c>
      <c r="D294" s="605" t="inlineStr">
        <is>
          <t>5200  COLORADO BLVD</t>
        </is>
      </c>
      <c r="E294" s="605" t="n">
        <v>406</v>
      </c>
      <c r="F294" s="605" t="inlineStr">
        <is>
          <t>COMMERCE CITY</t>
        </is>
      </c>
      <c r="G294" s="605" t="inlineStr">
        <is>
          <t>2</t>
        </is>
      </c>
      <c r="H294" s="59">
        <f>Y294/J294</f>
        <v/>
      </c>
      <c r="I294" s="386" t="n">
        <v>43343</v>
      </c>
      <c r="J294" s="605" t="n">
        <v>27600</v>
      </c>
      <c r="L294" s="605" t="n">
        <v>27600</v>
      </c>
      <c r="M294" s="605" t="n">
        <v>1980</v>
      </c>
      <c r="P294" s="605" t="inlineStr">
        <is>
          <t>I-3-Com</t>
        </is>
      </c>
      <c r="R294" s="152" t="inlineStr">
        <is>
          <t>Average</t>
        </is>
      </c>
      <c r="S294" s="605" t="n">
        <v>176418</v>
      </c>
      <c r="T294" s="387">
        <f>S294/J294</f>
        <v/>
      </c>
      <c r="U294" s="605" t="inlineStr">
        <is>
          <t>Average</t>
        </is>
      </c>
      <c r="Y294" s="605" t="n">
        <v>2800000</v>
      </c>
      <c r="AA294" s="605" t="n">
        <v>2800000</v>
      </c>
      <c r="AC294" s="605" t="inlineStr">
        <is>
          <t>0182318200023</t>
        </is>
      </c>
      <c r="AD294" s="605" t="inlineStr">
        <is>
          <t>2018000071026</t>
        </is>
      </c>
      <c r="AE294" s="653" t="inlineStr">
        <is>
          <t>MC CREA CORA BELLE TRUST</t>
        </is>
      </c>
      <c r="AF294" s="653" t="inlineStr">
        <is>
          <t>SEG LLC</t>
        </is>
      </c>
      <c r="AI294" s="605">
        <f>IF(AND($E294=Subj_OccCode,Subj_BldgSF&gt;0,ABS($L294-Subj_BldgSF)&lt;=Subj_BldgSF*Subj_SizeTol),ABS($L294-Subj_BldgSF),NA())</f>
        <v/>
      </c>
      <c r="AJ294" s="605">
        <f>IF(ISNA(AI294),NA(),AI294+ROW()/10000000)</f>
        <v/>
      </c>
    </row>
    <row r="295" ht="15" customHeight="1" s="545">
      <c r="A295" s="385" t="n">
        <v>8</v>
      </c>
      <c r="B295" s="605" t="n">
        <v>288</v>
      </c>
      <c r="C295" s="605" t="inlineStr">
        <is>
          <t>R0097858</t>
        </is>
      </c>
      <c r="D295" s="605" t="inlineStr">
        <is>
          <t>3700 E 68TH AVE</t>
        </is>
      </c>
      <c r="E295" s="605" t="n">
        <v>407</v>
      </c>
      <c r="F295" s="605" t="inlineStr">
        <is>
          <t>COMMERCE CITY</t>
        </is>
      </c>
      <c r="G295" s="605" t="inlineStr">
        <is>
          <t>5</t>
        </is>
      </c>
      <c r="H295" s="59">
        <f>Y295/J295</f>
        <v/>
      </c>
      <c r="I295" s="386" t="n">
        <v>43684</v>
      </c>
      <c r="J295" s="605" t="n">
        <v>32395</v>
      </c>
      <c r="L295" s="605" t="n">
        <v>32395</v>
      </c>
      <c r="M295" s="605" t="n">
        <v>1984</v>
      </c>
      <c r="P295" s="605" t="inlineStr">
        <is>
          <t>I-2-Com</t>
        </is>
      </c>
      <c r="R295" s="152" t="inlineStr">
        <is>
          <t>Average</t>
        </is>
      </c>
      <c r="S295" s="605" t="n">
        <v>111949</v>
      </c>
      <c r="T295" s="387">
        <f>S295/J295</f>
        <v/>
      </c>
      <c r="U295" s="605" t="inlineStr">
        <is>
          <t>Average</t>
        </is>
      </c>
      <c r="Y295" s="605" t="n">
        <v>2940000</v>
      </c>
      <c r="AA295" s="605" t="n">
        <v>2940000</v>
      </c>
      <c r="AC295" s="605" t="inlineStr">
        <is>
          <t>0182501103001</t>
        </is>
      </c>
      <c r="AD295" s="605" t="inlineStr">
        <is>
          <t>2019000064393</t>
        </is>
      </c>
      <c r="AE295" s="653" t="inlineStr">
        <is>
          <t xml:space="preserve">SPRING CREEK PARTNERSHIP LTD UND 85%  , AND SMITH GARY D/LINDA B UND 15% INT </t>
        </is>
      </c>
      <c r="AF295" s="653" t="inlineStr">
        <is>
          <t>INDUSTRIAL CONSTRUCTORS PROPERRTIES LLC</t>
        </is>
      </c>
      <c r="AI295" s="605">
        <f>IF(AND($E295=Subj_OccCode,Subj_BldgSF&gt;0,ABS($L295-Subj_BldgSF)&lt;=Subj_BldgSF*Subj_SizeTol),ABS($L295-Subj_BldgSF),NA())</f>
        <v/>
      </c>
      <c r="AJ295" s="605">
        <f>IF(ISNA(AI295),NA(),AI295+ROW()/10000000)</f>
        <v/>
      </c>
    </row>
    <row r="296" ht="15" customHeight="1" s="545">
      <c r="A296" s="385" t="n">
        <v>8</v>
      </c>
      <c r="B296" s="605" t="n">
        <v>289</v>
      </c>
      <c r="C296" s="605" t="inlineStr">
        <is>
          <t>R0099989</t>
        </is>
      </c>
      <c r="D296" s="605" t="inlineStr">
        <is>
          <t>7140  HOOKER ST</t>
        </is>
      </c>
      <c r="E296" s="605" t="n">
        <v>353</v>
      </c>
      <c r="F296" s="605" t="inlineStr">
        <is>
          <t>WESTMINSTER</t>
        </is>
      </c>
      <c r="G296" s="605" t="inlineStr">
        <is>
          <t>4</t>
        </is>
      </c>
      <c r="H296" s="59">
        <f>Y296/J296</f>
        <v/>
      </c>
      <c r="I296" s="386" t="n">
        <v>44439</v>
      </c>
      <c r="J296" s="605" t="n">
        <v>7680</v>
      </c>
      <c r="L296" s="605" t="n">
        <v>7680</v>
      </c>
      <c r="M296" s="605" t="n">
        <v>1966</v>
      </c>
      <c r="P296" s="605" t="inlineStr">
        <is>
          <t>SPD</t>
        </is>
      </c>
      <c r="R296" s="152" t="inlineStr">
        <is>
          <t>Average</t>
        </is>
      </c>
      <c r="S296" s="605" t="n">
        <v>35600</v>
      </c>
      <c r="T296" s="387">
        <f>S296/J296</f>
        <v/>
      </c>
      <c r="U296" s="605" t="inlineStr">
        <is>
          <t>Average</t>
        </is>
      </c>
      <c r="Y296" s="605" t="n">
        <v>1000000</v>
      </c>
      <c r="AA296" s="605" t="n">
        <v>1000000</v>
      </c>
      <c r="AC296" s="605" t="inlineStr">
        <is>
          <t>0182505201035</t>
        </is>
      </c>
      <c r="AD296" s="605" t="inlineStr">
        <is>
          <t>2021000102768</t>
        </is>
      </c>
      <c r="AE296" s="653" t="inlineStr">
        <is>
          <t>TRAUPE RUTH</t>
        </is>
      </c>
      <c r="AF296" s="653" t="inlineStr">
        <is>
          <t>EISENSTEIN MICHAEL</t>
        </is>
      </c>
      <c r="AI296" s="605">
        <f>IF(AND($E296=Subj_OccCode,Subj_BldgSF&gt;0,ABS($L296-Subj_BldgSF)&lt;=Subj_BldgSF*Subj_SizeTol),ABS($L296-Subj_BldgSF),NA())</f>
        <v/>
      </c>
      <c r="AJ296" s="605">
        <f>IF(ISNA(AI296),NA(),AI296+ROW()/10000000)</f>
        <v/>
      </c>
    </row>
    <row r="297" ht="15" customHeight="1" s="545">
      <c r="A297" s="385" t="n">
        <v>8</v>
      </c>
      <c r="B297" s="605" t="n">
        <v>290</v>
      </c>
      <c r="C297" s="605" t="inlineStr">
        <is>
          <t>R0003782</t>
        </is>
      </c>
      <c r="D297" s="605" t="inlineStr">
        <is>
          <t>481 S 8TH AVE</t>
        </is>
      </c>
      <c r="E297" s="605" t="n">
        <v>341</v>
      </c>
      <c r="F297" s="605" t="inlineStr">
        <is>
          <t>BRIGHTON</t>
        </is>
      </c>
      <c r="G297" s="605" t="inlineStr">
        <is>
          <t>2</t>
        </is>
      </c>
      <c r="H297" s="59">
        <f>Y297/J297</f>
        <v/>
      </c>
      <c r="I297" s="386" t="n">
        <v>44665</v>
      </c>
      <c r="J297" s="605" t="n">
        <v>2640</v>
      </c>
      <c r="L297" s="605" t="n">
        <v>2640</v>
      </c>
      <c r="M297" s="605" t="n">
        <v>1984</v>
      </c>
      <c r="P297" s="605" t="inlineStr">
        <is>
          <t>PUD-Bri</t>
        </is>
      </c>
      <c r="R297" s="152" t="inlineStr">
        <is>
          <t>Average</t>
        </is>
      </c>
      <c r="S297" s="605" t="n">
        <v>16500</v>
      </c>
      <c r="T297" s="387">
        <f>S297/J297</f>
        <v/>
      </c>
      <c r="U297" s="605" t="inlineStr">
        <is>
          <t>Average</t>
        </is>
      </c>
      <c r="Y297" s="605" t="n">
        <v>634600</v>
      </c>
      <c r="AA297" s="605" t="n">
        <v>634600</v>
      </c>
      <c r="AC297" s="605" t="inlineStr">
        <is>
          <t>0156907127006</t>
        </is>
      </c>
      <c r="AD297" s="605" t="inlineStr">
        <is>
          <t>2022000034761</t>
        </is>
      </c>
      <c r="AE297" s="653" t="inlineStr">
        <is>
          <t>MARTIN PHYLLIS M</t>
        </is>
      </c>
      <c r="AF297" s="653" t="inlineStr">
        <is>
          <t>481 S 8TH AVE BRIGHTON LLC</t>
        </is>
      </c>
      <c r="AI297" s="605">
        <f>IF(AND($E297=Subj_OccCode,Subj_BldgSF&gt;0,ABS($L297-Subj_BldgSF)&lt;=Subj_BldgSF*Subj_SizeTol),ABS($L297-Subj_BldgSF),NA())</f>
        <v/>
      </c>
      <c r="AJ297" s="605">
        <f>IF(ISNA(AI297),NA(),AI297+ROW()/10000000)</f>
        <v/>
      </c>
    </row>
    <row r="298" ht="15" customHeight="1" s="545">
      <c r="A298" s="385" t="n">
        <v>8</v>
      </c>
      <c r="B298" s="605" t="n">
        <v>291</v>
      </c>
      <c r="C298" s="605" t="inlineStr">
        <is>
          <t>R0069032</t>
        </is>
      </c>
      <c r="D298" s="605" t="inlineStr">
        <is>
          <t>7535  HILLTOP CIR</t>
        </is>
      </c>
      <c r="E298" s="605" t="n">
        <v>344</v>
      </c>
      <c r="G298" s="605" t="inlineStr">
        <is>
          <t>4</t>
        </is>
      </c>
      <c r="H298" s="59">
        <f>Y298/J298</f>
        <v/>
      </c>
      <c r="I298" s="386" t="n">
        <v>43966</v>
      </c>
      <c r="J298" s="605" t="n">
        <v>12288</v>
      </c>
      <c r="L298" s="605" t="n">
        <v>12288</v>
      </c>
      <c r="M298" s="605" t="n">
        <v>1983</v>
      </c>
      <c r="P298" s="605" t="inlineStr">
        <is>
          <t>Commercial</t>
        </is>
      </c>
      <c r="R298" s="152" t="inlineStr">
        <is>
          <t>Average</t>
        </is>
      </c>
      <c r="S298" s="605" t="n">
        <v>42000</v>
      </c>
      <c r="T298" s="387">
        <f>S298/J298</f>
        <v/>
      </c>
      <c r="U298" s="605" t="inlineStr">
        <is>
          <t>Average</t>
        </is>
      </c>
      <c r="Y298" s="605" t="n">
        <v>1550000</v>
      </c>
      <c r="AA298" s="605" t="n">
        <v>1550000</v>
      </c>
      <c r="AC298" s="605" t="inlineStr">
        <is>
          <t>0171933413012</t>
        </is>
      </c>
      <c r="AD298" s="605" t="inlineStr">
        <is>
          <t>2020000045368</t>
        </is>
      </c>
      <c r="AE298" s="653" t="inlineStr">
        <is>
          <t>CHANNEN COMPANIES LLC</t>
        </is>
      </c>
      <c r="AF298" s="653" t="inlineStr">
        <is>
          <t>WASH SQUARE 121 LLC</t>
        </is>
      </c>
      <c r="AI298" s="605">
        <f>IF(AND($E298=Subj_OccCode,Subj_BldgSF&gt;0,ABS($L298-Subj_BldgSF)&lt;=Subj_BldgSF*Subj_SizeTol),ABS($L298-Subj_BldgSF),NA())</f>
        <v/>
      </c>
      <c r="AJ298" s="605">
        <f>IF(ISNA(AI298),NA(),AI298+ROW()/10000000)</f>
        <v/>
      </c>
    </row>
    <row r="299" ht="15" customHeight="1" s="545">
      <c r="A299" s="385" t="n">
        <v>8</v>
      </c>
      <c r="B299" s="605" t="n">
        <v>292</v>
      </c>
      <c r="C299" s="605" t="inlineStr">
        <is>
          <t>R0065356</t>
        </is>
      </c>
      <c r="D299" s="605" t="inlineStr">
        <is>
          <t>7205  MEADE ST</t>
        </is>
      </c>
      <c r="E299" s="605" t="n">
        <v>344</v>
      </c>
      <c r="F299" s="605" t="inlineStr">
        <is>
          <t>WESTMINSTER</t>
        </is>
      </c>
      <c r="G299" s="605" t="inlineStr">
        <is>
          <t>4</t>
        </is>
      </c>
      <c r="H299" s="59">
        <f>Y299/J299</f>
        <v/>
      </c>
      <c r="I299" s="386" t="n">
        <v>43746</v>
      </c>
      <c r="J299" s="605" t="n">
        <v>1880</v>
      </c>
      <c r="L299" s="605" t="n">
        <v>1880</v>
      </c>
      <c r="M299" s="605" t="n">
        <v>1952</v>
      </c>
      <c r="P299" s="605" t="inlineStr">
        <is>
          <t>B-1-Wes</t>
        </is>
      </c>
      <c r="R299" s="152" t="inlineStr">
        <is>
          <t>Average</t>
        </is>
      </c>
      <c r="S299" s="605" t="n">
        <v>4800</v>
      </c>
      <c r="T299" s="387">
        <f>S299/J299</f>
        <v/>
      </c>
      <c r="U299" s="605" t="inlineStr">
        <is>
          <t>Average</t>
        </is>
      </c>
      <c r="Y299" s="605" t="n">
        <v>285000</v>
      </c>
      <c r="AA299" s="605" t="n">
        <v>285000</v>
      </c>
      <c r="AC299" s="605" t="inlineStr">
        <is>
          <t>0171931417024</t>
        </is>
      </c>
      <c r="AD299" s="605" t="inlineStr">
        <is>
          <t>2019000087174</t>
        </is>
      </c>
      <c r="AE299" s="653" t="inlineStr">
        <is>
          <t>WANG TONGCHEN</t>
        </is>
      </c>
      <c r="AF299" s="653" t="inlineStr">
        <is>
          <t>7205 MEADE LLC</t>
        </is>
      </c>
      <c r="AI299" s="605">
        <f>IF(AND($E299=Subj_OccCode,Subj_BldgSF&gt;0,ABS($L299-Subj_BldgSF)&lt;=Subj_BldgSF*Subj_SizeTol),ABS($L299-Subj_BldgSF),NA())</f>
        <v/>
      </c>
      <c r="AJ299" s="605">
        <f>IF(ISNA(AI299),NA(),AI299+ROW()/10000000)</f>
        <v/>
      </c>
    </row>
    <row r="300" ht="15" customHeight="1" s="545">
      <c r="A300" s="385" t="n">
        <v>8</v>
      </c>
      <c r="B300" s="605" t="n">
        <v>293</v>
      </c>
      <c r="C300" s="605" t="inlineStr">
        <is>
          <t>R0077392</t>
        </is>
      </c>
      <c r="D300" s="605" t="inlineStr">
        <is>
          <t>8461  BRIGHTON RD</t>
        </is>
      </c>
      <c r="E300" s="605" t="n">
        <v>406</v>
      </c>
      <c r="G300" s="605" t="inlineStr">
        <is>
          <t>5</t>
        </is>
      </c>
      <c r="H300" s="59">
        <f>Y300/J300</f>
        <v/>
      </c>
      <c r="I300" s="386" t="n">
        <v>43118</v>
      </c>
      <c r="J300" s="605" t="n">
        <v>2159</v>
      </c>
      <c r="L300" s="605" t="n">
        <v>2159</v>
      </c>
      <c r="M300" s="605" t="n">
        <v>1962</v>
      </c>
      <c r="P300" s="605" t="inlineStr">
        <is>
          <t>Industrial</t>
        </is>
      </c>
      <c r="R300" s="152" t="inlineStr">
        <is>
          <t>Average</t>
        </is>
      </c>
      <c r="S300" s="605" t="n">
        <v>28183</v>
      </c>
      <c r="T300" s="387">
        <f>S300/J300</f>
        <v/>
      </c>
      <c r="U300" s="605" t="inlineStr">
        <is>
          <t>Average</t>
        </is>
      </c>
      <c r="Y300" s="605" t="n">
        <v>700000</v>
      </c>
      <c r="AA300" s="605" t="n">
        <v>700000</v>
      </c>
      <c r="AC300" s="605" t="inlineStr">
        <is>
          <t>0172129200026</t>
        </is>
      </c>
      <c r="AD300" s="605" t="inlineStr">
        <is>
          <t>2018000006104</t>
        </is>
      </c>
      <c r="AE300" s="653" t="inlineStr">
        <is>
          <t>LUNNON STEPHEN</t>
        </is>
      </c>
      <c r="AF300" s="653" t="inlineStr">
        <is>
          <t>BRIGHTON INVESTMENTS LLC</t>
        </is>
      </c>
      <c r="AI300" s="605">
        <f>IF(AND($E300=Subj_OccCode,Subj_BldgSF&gt;0,ABS($L300-Subj_BldgSF)&lt;=Subj_BldgSF*Subj_SizeTol),ABS($L300-Subj_BldgSF),NA())</f>
        <v/>
      </c>
      <c r="AJ300" s="605">
        <f>IF(ISNA(AI300),NA(),AI300+ROW()/10000000)</f>
        <v/>
      </c>
    </row>
    <row r="301" ht="15" customHeight="1" s="545">
      <c r="A301" s="385" t="n">
        <v>8</v>
      </c>
      <c r="B301" s="605" t="n">
        <v>294</v>
      </c>
      <c r="C301" s="605" t="inlineStr">
        <is>
          <t>R0079701</t>
        </is>
      </c>
      <c r="D301" s="605" t="inlineStr">
        <is>
          <t xml:space="preserve">7576  HIGHWAY 2 </t>
        </is>
      </c>
      <c r="E301" s="605" t="n">
        <v>353</v>
      </c>
      <c r="F301" s="605" t="inlineStr">
        <is>
          <t>COMMERCE CITY</t>
        </is>
      </c>
      <c r="G301" s="605" t="inlineStr">
        <is>
          <t>5</t>
        </is>
      </c>
      <c r="H301" s="59">
        <f>Y301/J301</f>
        <v/>
      </c>
      <c r="I301" s="386" t="n">
        <v>44610</v>
      </c>
      <c r="J301" s="605" t="n">
        <v>6500</v>
      </c>
      <c r="L301" s="605" t="n">
        <v>6500</v>
      </c>
      <c r="M301" s="605" t="n">
        <v>1954</v>
      </c>
      <c r="P301" s="605" t="inlineStr">
        <is>
          <t>C-3-Com</t>
        </is>
      </c>
      <c r="R301" s="152" t="inlineStr">
        <is>
          <t>Average</t>
        </is>
      </c>
      <c r="S301" s="605" t="n">
        <v>43750</v>
      </c>
      <c r="T301" s="387">
        <f>S301/J301</f>
        <v/>
      </c>
      <c r="U301" s="605" t="inlineStr">
        <is>
          <t>Average</t>
        </is>
      </c>
      <c r="Y301" s="605" t="n">
        <v>950000</v>
      </c>
      <c r="AA301" s="605" t="n">
        <v>950000</v>
      </c>
      <c r="AC301" s="605" t="inlineStr">
        <is>
          <t>0172132410002</t>
        </is>
      </c>
      <c r="AD301" s="605" t="inlineStr">
        <is>
          <t>2022000017336</t>
        </is>
      </c>
      <c r="AE301" s="653" t="inlineStr">
        <is>
          <t>MAGNOLIA ENTERPRISES LLC</t>
        </is>
      </c>
      <c r="AF301" s="653" t="inlineStr">
        <is>
          <t>BONNIE K LISLE ROTH IRA</t>
        </is>
      </c>
      <c r="AI301" s="605">
        <f>IF(AND($E301=Subj_OccCode,Subj_BldgSF&gt;0,ABS($L301-Subj_BldgSF)&lt;=Subj_BldgSF*Subj_SizeTol),ABS($L301-Subj_BldgSF),NA())</f>
        <v/>
      </c>
      <c r="AJ301" s="605">
        <f>IF(ISNA(AI301),NA(),AI301+ROW()/10000000)</f>
        <v/>
      </c>
    </row>
    <row r="302" ht="15" customHeight="1" s="545">
      <c r="A302" s="385" t="n">
        <v>8</v>
      </c>
      <c r="B302" s="605" t="n">
        <v>295</v>
      </c>
      <c r="C302" s="605" t="inlineStr">
        <is>
          <t>R0079858</t>
        </is>
      </c>
      <c r="D302" s="605" t="inlineStr">
        <is>
          <t>7290  MAGNOLIA ST</t>
        </is>
      </c>
      <c r="E302" s="605" t="n">
        <v>344</v>
      </c>
      <c r="F302" s="605" t="inlineStr">
        <is>
          <t>COMMERCE CITY</t>
        </is>
      </c>
      <c r="G302" s="605" t="inlineStr">
        <is>
          <t>5</t>
        </is>
      </c>
      <c r="H302" s="59">
        <f>Y302/J302</f>
        <v/>
      </c>
      <c r="I302" s="386" t="n">
        <v>44596</v>
      </c>
      <c r="J302" s="605" t="n">
        <v>1664</v>
      </c>
      <c r="L302" s="605" t="n">
        <v>1664</v>
      </c>
      <c r="M302" s="605" t="n">
        <v>1942</v>
      </c>
      <c r="P302" s="605" t="inlineStr">
        <is>
          <t>PUD-Com</t>
        </is>
      </c>
      <c r="R302" s="152" t="inlineStr">
        <is>
          <t>Average</t>
        </is>
      </c>
      <c r="S302" s="605" t="n">
        <v>7500</v>
      </c>
      <c r="T302" s="387">
        <f>S302/J302</f>
        <v/>
      </c>
      <c r="U302" s="605" t="inlineStr">
        <is>
          <t>Average</t>
        </is>
      </c>
      <c r="Y302" s="605" t="n">
        <v>400000</v>
      </c>
      <c r="AA302" s="605" t="n">
        <v>400000</v>
      </c>
      <c r="AC302" s="605" t="inlineStr">
        <is>
          <t>0172132420002</t>
        </is>
      </c>
      <c r="AD302" s="605" t="inlineStr">
        <is>
          <t>2022000011068</t>
        </is>
      </c>
      <c r="AE302" s="653" t="inlineStr">
        <is>
          <t>MAGNOLIA ENTERPRISES LLC</t>
        </is>
      </c>
      <c r="AF302" s="653" t="inlineStr">
        <is>
          <t>SOTO IRENE PANDO AND , ISAIS SALVADOR</t>
        </is>
      </c>
      <c r="AI302" s="605">
        <f>IF(AND($E302=Subj_OccCode,Subj_BldgSF&gt;0,ABS($L302-Subj_BldgSF)&lt;=Subj_BldgSF*Subj_SizeTol),ABS($L302-Subj_BldgSF),NA())</f>
        <v/>
      </c>
      <c r="AJ302" s="605">
        <f>IF(ISNA(AI302),NA(),AI302+ROW()/10000000)</f>
        <v/>
      </c>
    </row>
    <row r="303" ht="15" customHeight="1" s="545">
      <c r="A303" s="385" t="n">
        <v>8</v>
      </c>
      <c r="B303" s="605" t="n">
        <v>296</v>
      </c>
      <c r="C303" s="605" t="inlineStr">
        <is>
          <t>R0059360</t>
        </is>
      </c>
      <c r="D303" s="605" t="inlineStr">
        <is>
          <t>1551  MILKY WAY</t>
        </is>
      </c>
      <c r="E303" s="605" t="n">
        <v>444</v>
      </c>
      <c r="F303" s="605" t="inlineStr">
        <is>
          <t>THORNTON</t>
        </is>
      </c>
      <c r="G303" s="605" t="inlineStr">
        <is>
          <t>4</t>
        </is>
      </c>
      <c r="H303" s="59">
        <f>Y303/J303</f>
        <v/>
      </c>
      <c r="I303" s="386" t="n">
        <v>44075</v>
      </c>
      <c r="J303" s="605" t="n">
        <v>5769</v>
      </c>
      <c r="L303" s="605" t="n">
        <v>5769</v>
      </c>
      <c r="M303" s="605" t="n">
        <v>1986</v>
      </c>
      <c r="P303" s="605" t="inlineStr">
        <is>
          <t>Planned Development</t>
        </is>
      </c>
      <c r="R303" s="152" t="inlineStr">
        <is>
          <t>Good</t>
        </is>
      </c>
      <c r="S303" s="605" t="n">
        <v>42194</v>
      </c>
      <c r="T303" s="387">
        <f>S303/J303</f>
        <v/>
      </c>
      <c r="U303" s="605" t="inlineStr">
        <is>
          <t>Good</t>
        </is>
      </c>
      <c r="Y303" s="605" t="n">
        <v>1100000</v>
      </c>
      <c r="AA303" s="605" t="n">
        <v>1100000</v>
      </c>
      <c r="AC303" s="605" t="inlineStr">
        <is>
          <t>0171928106002</t>
        </is>
      </c>
      <c r="AD303" s="605" t="inlineStr">
        <is>
          <t>2020000087823</t>
        </is>
      </c>
      <c r="AE303" s="653" t="inlineStr">
        <is>
          <t>WRIGHT FAMILY 2009 IRREVOCABLE TRUST THE</t>
        </is>
      </c>
      <c r="AF303" s="653" t="inlineStr">
        <is>
          <t>1551 MILKY WAY LLC</t>
        </is>
      </c>
      <c r="AI303" s="605">
        <f>IF(AND($E303=Subj_OccCode,Subj_BldgSF&gt;0,ABS($L303-Subj_BldgSF)&lt;=Subj_BldgSF*Subj_SizeTol),ABS($L303-Subj_BldgSF),NA())</f>
        <v/>
      </c>
      <c r="AJ303" s="605">
        <f>IF(ISNA(AI303),NA(),AI303+ROW()/10000000)</f>
        <v/>
      </c>
    </row>
    <row r="304" ht="15" customHeight="1" s="545">
      <c r="A304" s="385" t="n">
        <v>8</v>
      </c>
      <c r="B304" s="605" t="n">
        <v>297</v>
      </c>
      <c r="C304" s="605" t="inlineStr">
        <is>
          <t>R0070997</t>
        </is>
      </c>
      <c r="D304" s="605" t="inlineStr">
        <is>
          <t>909 E 75TH AVE</t>
        </is>
      </c>
      <c r="E304" s="605" t="n">
        <v>334</v>
      </c>
      <c r="G304" s="605" t="inlineStr">
        <is>
          <t>5</t>
        </is>
      </c>
      <c r="H304" s="59">
        <f>Y304/J304</f>
        <v/>
      </c>
      <c r="I304" s="386" t="n">
        <v>43544</v>
      </c>
      <c r="J304" s="605" t="n">
        <v>9250</v>
      </c>
      <c r="L304" s="605" t="n">
        <v>9250</v>
      </c>
      <c r="M304" s="605" t="n">
        <v>1976</v>
      </c>
      <c r="P304" s="605" t="inlineStr">
        <is>
          <t>Industrial</t>
        </is>
      </c>
      <c r="R304" s="152" t="inlineStr">
        <is>
          <t>Average</t>
        </is>
      </c>
      <c r="S304" s="605" t="n">
        <v>46384</v>
      </c>
      <c r="T304" s="387">
        <f>S304/J304</f>
        <v/>
      </c>
      <c r="U304" s="605" t="inlineStr">
        <is>
          <t>Average</t>
        </is>
      </c>
      <c r="Y304" s="605" t="n">
        <v>1779500</v>
      </c>
      <c r="AA304" s="605" t="n">
        <v>1779500</v>
      </c>
      <c r="AC304" s="605" t="inlineStr">
        <is>
          <t>0171935301023</t>
        </is>
      </c>
      <c r="AD304" s="605" t="inlineStr">
        <is>
          <t>2019000020504</t>
        </is>
      </c>
      <c r="AE304" s="653" t="inlineStr">
        <is>
          <t>909 E 75TH LLC</t>
        </is>
      </c>
      <c r="AF304" s="653" t="inlineStr">
        <is>
          <t>LEE DONALD C AND, LONG STEPHANIE M</t>
        </is>
      </c>
      <c r="AI304" s="605">
        <f>IF(AND($E304=Subj_OccCode,Subj_BldgSF&gt;0,ABS($L304-Subj_BldgSF)&lt;=Subj_BldgSF*Subj_SizeTol),ABS($L304-Subj_BldgSF),NA())</f>
        <v/>
      </c>
      <c r="AJ304" s="605">
        <f>IF(ISNA(AI304),NA(),AI304+ROW()/10000000)</f>
        <v/>
      </c>
    </row>
    <row r="305" ht="15" customHeight="1" s="545">
      <c r="A305" s="385" t="n">
        <v>8</v>
      </c>
      <c r="B305" s="605" t="n">
        <v>298</v>
      </c>
      <c r="C305" s="605" t="inlineStr">
        <is>
          <t>R0103701</t>
        </is>
      </c>
      <c r="D305" s="605" t="inlineStr">
        <is>
          <t>5700  WASHINGTON ST</t>
        </is>
      </c>
      <c r="E305" s="605" t="n">
        <v>407</v>
      </c>
      <c r="G305" s="605" t="inlineStr">
        <is>
          <t>5</t>
        </is>
      </c>
      <c r="H305" s="59">
        <f>Y305/J305</f>
        <v/>
      </c>
      <c r="I305" s="386" t="n">
        <v>44456</v>
      </c>
      <c r="J305" s="605" t="n">
        <v>12000</v>
      </c>
      <c r="L305" s="605" t="n">
        <v>12000</v>
      </c>
      <c r="M305" s="605" t="n">
        <v>1977</v>
      </c>
      <c r="P305" s="605" t="inlineStr">
        <is>
          <t>Industrial</t>
        </is>
      </c>
      <c r="R305" s="152" t="inlineStr">
        <is>
          <t>Average</t>
        </is>
      </c>
      <c r="S305" s="605" t="n">
        <v>34848</v>
      </c>
      <c r="T305" s="387">
        <f>S305/J305</f>
        <v/>
      </c>
      <c r="U305" s="605" t="inlineStr">
        <is>
          <t>Average</t>
        </is>
      </c>
      <c r="Y305" s="605" t="n">
        <v>2500000</v>
      </c>
      <c r="AA305" s="605" t="n">
        <v>2500000</v>
      </c>
      <c r="AC305" s="605" t="inlineStr">
        <is>
          <t>0182511300064</t>
        </is>
      </c>
      <c r="AD305" s="605" t="inlineStr">
        <is>
          <t>2021000111243</t>
        </is>
      </c>
      <c r="AE305" s="653" t="inlineStr">
        <is>
          <t>BATS INVESTMENTS LLC</t>
        </is>
      </c>
      <c r="AF305" s="653" t="inlineStr">
        <is>
          <t>W &amp; J INVESTMENTS LLC</t>
        </is>
      </c>
      <c r="AI305" s="605">
        <f>IF(AND($E305=Subj_OccCode,Subj_BldgSF&gt;0,ABS($L305-Subj_BldgSF)&lt;=Subj_BldgSF*Subj_SizeTol),ABS($L305-Subj_BldgSF),NA())</f>
        <v/>
      </c>
      <c r="AJ305" s="605">
        <f>IF(ISNA(AI305),NA(),AI305+ROW()/10000000)</f>
        <v/>
      </c>
    </row>
    <row r="306" ht="15" customHeight="1" s="545">
      <c r="A306" s="385" t="n">
        <v>8</v>
      </c>
      <c r="B306" s="605" t="n">
        <v>299</v>
      </c>
      <c r="C306" s="605" t="inlineStr">
        <is>
          <t>R0037745</t>
        </is>
      </c>
      <c r="D306" s="605" t="inlineStr">
        <is>
          <t>11155  IRMA DR</t>
        </is>
      </c>
      <c r="E306" s="605" t="n">
        <v>434</v>
      </c>
      <c r="F306" s="605" t="inlineStr">
        <is>
          <t>NORTHGLENN</t>
        </is>
      </c>
      <c r="G306" s="605" t="inlineStr">
        <is>
          <t>4</t>
        </is>
      </c>
      <c r="H306" s="59">
        <f>Y306/J306</f>
        <v/>
      </c>
      <c r="I306" s="386" t="n">
        <v>43189</v>
      </c>
      <c r="J306" s="605" t="n">
        <v>2640</v>
      </c>
      <c r="L306" s="605" t="n">
        <v>2640</v>
      </c>
      <c r="M306" s="605" t="n">
        <v>1970</v>
      </c>
      <c r="P306" s="605" t="inlineStr">
        <is>
          <t>Northglenn</t>
        </is>
      </c>
      <c r="R306" s="152" t="inlineStr">
        <is>
          <t>Average</t>
        </is>
      </c>
      <c r="S306" s="605" t="n">
        <v>26550</v>
      </c>
      <c r="T306" s="387">
        <f>S306/J306</f>
        <v/>
      </c>
      <c r="U306" s="605" t="inlineStr">
        <is>
          <t>Average</t>
        </is>
      </c>
      <c r="Y306" s="605" t="n">
        <v>345400</v>
      </c>
      <c r="AA306" s="605" t="n">
        <v>345400</v>
      </c>
      <c r="AC306" s="605" t="inlineStr">
        <is>
          <t>0171911103015</t>
        </is>
      </c>
      <c r="AD306" s="605" t="inlineStr">
        <is>
          <t>2018000026473</t>
        </is>
      </c>
      <c r="AE306" s="653" t="inlineStr">
        <is>
          <t>ZAYAC PROPERTIES IRMA LLLP, C/O PROCLEAN AUTO WASH</t>
        </is>
      </c>
      <c r="AF306" s="653" t="inlineStr">
        <is>
          <t>BLANCO PROPERTIES IRMA LLC</t>
        </is>
      </c>
      <c r="AI306" s="605">
        <f>IF(AND($E306=Subj_OccCode,Subj_BldgSF&gt;0,ABS($L306-Subj_BldgSF)&lt;=Subj_BldgSF*Subj_SizeTol),ABS($L306-Subj_BldgSF),NA())</f>
        <v/>
      </c>
      <c r="AJ306" s="605">
        <f>IF(ISNA(AI306),NA(),AI306+ROW()/10000000)</f>
        <v/>
      </c>
    </row>
    <row r="307" ht="15" customHeight="1" s="545">
      <c r="A307" s="385" t="n">
        <v>8</v>
      </c>
      <c r="B307" s="605" t="n">
        <v>300</v>
      </c>
      <c r="C307" s="605" t="inlineStr">
        <is>
          <t>R0110352</t>
        </is>
      </c>
      <c r="D307" s="605" t="inlineStr">
        <is>
          <t>12141 PENNSYLVANIA ST</t>
        </is>
      </c>
      <c r="E307" s="605" t="n">
        <v>210</v>
      </c>
      <c r="F307" s="605" t="inlineStr">
        <is>
          <t>THORNTON</t>
        </is>
      </c>
      <c r="G307" s="605" t="inlineStr">
        <is>
          <t>3</t>
        </is>
      </c>
      <c r="H307" s="59">
        <f>Y307/J307</f>
        <v/>
      </c>
      <c r="I307" s="386" t="n">
        <v>44706</v>
      </c>
      <c r="J307" s="605" t="n">
        <v>14680</v>
      </c>
      <c r="L307" s="605" t="n">
        <v>14680</v>
      </c>
      <c r="M307" s="605" t="n">
        <v>1998</v>
      </c>
      <c r="P307" s="605" t="inlineStr">
        <is>
          <t>Business Park</t>
        </is>
      </c>
      <c r="R307" s="152" t="inlineStr">
        <is>
          <t>Average</t>
        </is>
      </c>
      <c r="S307" s="605" t="n">
        <v>86945</v>
      </c>
      <c r="T307" s="387">
        <f>S307/J307</f>
        <v/>
      </c>
      <c r="U307" s="605" t="inlineStr">
        <is>
          <t>Average</t>
        </is>
      </c>
      <c r="Y307" s="605" t="n">
        <v>3795000</v>
      </c>
      <c r="AA307" s="605" t="n">
        <v>3795000</v>
      </c>
      <c r="AC307" s="605" t="inlineStr">
        <is>
          <t>0157334010019</t>
        </is>
      </c>
      <c r="AD307" s="605" t="inlineStr">
        <is>
          <t>2022000046653</t>
        </is>
      </c>
      <c r="AE307" s="653" t="inlineStr">
        <is>
          <t>12141 PENNSYLVANIA LLC</t>
        </is>
      </c>
      <c r="AF307" s="653" t="inlineStr">
        <is>
          <t>SDNS INC</t>
        </is>
      </c>
      <c r="AI307" s="605">
        <f>IF(AND($E307=Subj_OccCode,Subj_BldgSF&gt;0,ABS($L307-Subj_BldgSF)&lt;=Subj_BldgSF*Subj_SizeTol),ABS($L307-Subj_BldgSF),NA())</f>
        <v/>
      </c>
      <c r="AJ307" s="605">
        <f>IF(ISNA(AI307),NA(),AI307+ROW()/10000000)</f>
        <v/>
      </c>
    </row>
    <row r="308" ht="15" customHeight="1" s="545">
      <c r="A308" s="385" t="n">
        <v>8</v>
      </c>
      <c r="B308" s="605" t="n">
        <v>301</v>
      </c>
      <c r="C308" s="605" t="inlineStr">
        <is>
          <t>R0098079</t>
        </is>
      </c>
      <c r="D308" s="605" t="inlineStr">
        <is>
          <t>851 E 71ST AVE #A3</t>
        </is>
      </c>
      <c r="E308" s="605" t="n">
        <v>425</v>
      </c>
      <c r="G308" s="605" t="inlineStr">
        <is>
          <t>5</t>
        </is>
      </c>
      <c r="H308" s="59">
        <f>Y308/J308</f>
        <v/>
      </c>
      <c r="I308" s="386" t="n">
        <v>43144</v>
      </c>
      <c r="J308" s="605" t="n">
        <v>1500</v>
      </c>
      <c r="L308" s="605" t="n">
        <v>1500</v>
      </c>
      <c r="M308" s="605" t="n">
        <v>1984</v>
      </c>
      <c r="P308" s="605" t="inlineStr">
        <is>
          <t>Industrial</t>
        </is>
      </c>
      <c r="R308" s="152" t="inlineStr">
        <is>
          <t>Average</t>
        </is>
      </c>
      <c r="S308" s="605" t="n">
        <v>4340</v>
      </c>
      <c r="T308" s="387">
        <f>S308/J308</f>
        <v/>
      </c>
      <c r="U308" s="605" t="inlineStr">
        <is>
          <t>Average</t>
        </is>
      </c>
      <c r="Y308" s="605" t="n">
        <v>215000</v>
      </c>
      <c r="AA308" s="605" t="n">
        <v>215000</v>
      </c>
      <c r="AC308" s="605" t="inlineStr">
        <is>
          <t>0182502203043</t>
        </is>
      </c>
      <c r="AD308" s="605" t="inlineStr">
        <is>
          <t>2018000012737</t>
        </is>
      </c>
      <c r="AE308" s="653" t="inlineStr">
        <is>
          <t>BALES BOHR 851 A4 LLC</t>
        </is>
      </c>
      <c r="AF308" s="653" t="inlineStr">
        <is>
          <t>851 E HWY 224 LLC</t>
        </is>
      </c>
      <c r="AI308" s="605">
        <f>IF(AND($E308=Subj_OccCode,Subj_BldgSF&gt;0,ABS($L308-Subj_BldgSF)&lt;=Subj_BldgSF*Subj_SizeTol),ABS($L308-Subj_BldgSF),NA())</f>
        <v/>
      </c>
      <c r="AJ308" s="605">
        <f>IF(ISNA(AI308),NA(),AI308+ROW()/10000000)</f>
        <v/>
      </c>
    </row>
    <row r="309" ht="15" customHeight="1" s="545">
      <c r="A309" s="385" t="n">
        <v>8</v>
      </c>
      <c r="B309" s="605" t="n">
        <v>302</v>
      </c>
      <c r="C309" s="605" t="inlineStr">
        <is>
          <t>R0098079</t>
        </is>
      </c>
      <c r="D309" s="605" t="inlineStr">
        <is>
          <t>852 E 71ST AVE #A3</t>
        </is>
      </c>
      <c r="E309" s="605" t="n">
        <v>425</v>
      </c>
      <c r="G309" s="605" t="inlineStr">
        <is>
          <t>5</t>
        </is>
      </c>
      <c r="H309" s="59">
        <f>Y309/J309</f>
        <v/>
      </c>
      <c r="I309" s="386" t="n">
        <v>44270</v>
      </c>
      <c r="J309" s="605" t="n">
        <v>1500</v>
      </c>
      <c r="L309" s="605" t="n">
        <v>1500</v>
      </c>
      <c r="M309" s="605" t="n">
        <v>1984</v>
      </c>
      <c r="P309" s="605" t="inlineStr">
        <is>
          <t>Industrial</t>
        </is>
      </c>
      <c r="R309" s="152" t="inlineStr">
        <is>
          <t>Average</t>
        </is>
      </c>
      <c r="S309" s="605" t="n">
        <v>4340</v>
      </c>
      <c r="T309" s="387">
        <f>S309/J309</f>
        <v/>
      </c>
      <c r="U309" s="605" t="inlineStr">
        <is>
          <t>Average</t>
        </is>
      </c>
      <c r="Y309" s="605" t="n">
        <v>290000</v>
      </c>
      <c r="AA309" s="605" t="n">
        <v>290000</v>
      </c>
      <c r="AC309" s="605" t="inlineStr">
        <is>
          <t>0182502203043</t>
        </is>
      </c>
      <c r="AD309" s="605" t="inlineStr">
        <is>
          <t>2021000032505</t>
        </is>
      </c>
      <c r="AE309" s="653" t="inlineStr">
        <is>
          <t>KIM DANIEL</t>
        </is>
      </c>
      <c r="AF309" s="653" t="inlineStr">
        <is>
          <t>BLUE ROOF RENTALS LLC</t>
        </is>
      </c>
      <c r="AI309" s="605">
        <f>IF(AND($E309=Subj_OccCode,Subj_BldgSF&gt;0,ABS($L309-Subj_BldgSF)&lt;=Subj_BldgSF*Subj_SizeTol),ABS($L309-Subj_BldgSF),NA())</f>
        <v/>
      </c>
      <c r="AJ309" s="605">
        <f>IF(ISNA(AI309),NA(),AI309+ROW()/10000000)</f>
        <v/>
      </c>
    </row>
    <row r="310" ht="15" customHeight="1" s="545">
      <c r="A310" s="385" t="n">
        <v>8</v>
      </c>
      <c r="B310" s="605" t="n">
        <v>303</v>
      </c>
      <c r="C310" s="605" t="inlineStr">
        <is>
          <t>R0003907</t>
        </is>
      </c>
      <c r="D310" s="605" t="inlineStr">
        <is>
          <t>175 S MAIN ST</t>
        </is>
      </c>
      <c r="E310" s="605" t="n">
        <v>353</v>
      </c>
      <c r="F310" s="605" t="inlineStr">
        <is>
          <t>BRIGHTON</t>
        </is>
      </c>
      <c r="G310" s="605" t="inlineStr">
        <is>
          <t>2</t>
        </is>
      </c>
      <c r="H310" s="59">
        <f>Y310/J310</f>
        <v/>
      </c>
      <c r="I310" s="386" t="n">
        <v>44648</v>
      </c>
      <c r="J310" s="605" t="n">
        <v>1120</v>
      </c>
      <c r="L310" s="605" t="n">
        <v>1120</v>
      </c>
      <c r="M310" s="605" t="n">
        <v>1913</v>
      </c>
      <c r="P310" s="605" t="inlineStr">
        <is>
          <t>DT</t>
        </is>
      </c>
      <c r="R310" s="152" t="inlineStr">
        <is>
          <t>Average</t>
        </is>
      </c>
      <c r="S310" s="605" t="n">
        <v>8100</v>
      </c>
      <c r="T310" s="387">
        <f>S310/J310</f>
        <v/>
      </c>
      <c r="U310" s="605" t="inlineStr">
        <is>
          <t>Average</t>
        </is>
      </c>
      <c r="Y310" s="605" t="n">
        <v>345000</v>
      </c>
      <c r="AA310" s="605" t="n">
        <v>345000</v>
      </c>
      <c r="AC310" s="605" t="inlineStr">
        <is>
          <t>0156907207010</t>
        </is>
      </c>
      <c r="AD310" s="605" t="inlineStr">
        <is>
          <t>2022000033064</t>
        </is>
      </c>
      <c r="AE310" s="653" t="inlineStr">
        <is>
          <t>PNJ INVESTMENTS LLC</t>
        </is>
      </c>
      <c r="AF310" s="653" t="inlineStr">
        <is>
          <t>CHAVEZ DAVID AND , CHAVEZ PAMELA</t>
        </is>
      </c>
      <c r="AI310" s="605">
        <f>IF(AND($E310=Subj_OccCode,Subj_BldgSF&gt;0,ABS($L310-Subj_BldgSF)&lt;=Subj_BldgSF*Subj_SizeTol),ABS($L310-Subj_BldgSF),NA())</f>
        <v/>
      </c>
      <c r="AJ310" s="605">
        <f>IF(ISNA(AI310),NA(),AI310+ROW()/10000000)</f>
        <v/>
      </c>
    </row>
    <row r="311" ht="15" customHeight="1" s="545">
      <c r="A311" s="385" t="n">
        <v>8</v>
      </c>
      <c r="B311" s="605" t="n">
        <v>304</v>
      </c>
      <c r="C311" s="605" t="inlineStr">
        <is>
          <t>R0059555</t>
        </is>
      </c>
      <c r="D311" s="605" t="inlineStr">
        <is>
          <t>2235 W 84TH AVE</t>
        </is>
      </c>
      <c r="E311" s="605" t="n">
        <v>353</v>
      </c>
      <c r="G311" s="605" t="inlineStr">
        <is>
          <t>4</t>
        </is>
      </c>
      <c r="H311" s="59">
        <f>Y311/J311</f>
        <v/>
      </c>
      <c r="I311" s="386" t="n">
        <v>43705</v>
      </c>
      <c r="J311" s="605" t="n">
        <v>3025</v>
      </c>
      <c r="L311" s="605" t="n">
        <v>3025</v>
      </c>
      <c r="M311" s="605" t="n">
        <v>1974</v>
      </c>
      <c r="P311" s="605" t="inlineStr">
        <is>
          <t>Residential</t>
        </is>
      </c>
      <c r="R311" s="152" t="inlineStr">
        <is>
          <t>Average</t>
        </is>
      </c>
      <c r="S311" s="605" t="n">
        <v>12100</v>
      </c>
      <c r="T311" s="387">
        <f>S311/J311</f>
        <v/>
      </c>
      <c r="U311" s="605" t="inlineStr">
        <is>
          <t>Average</t>
        </is>
      </c>
      <c r="Y311" s="605" t="n">
        <v>400000</v>
      </c>
      <c r="AA311" s="605" t="n">
        <v>400000</v>
      </c>
      <c r="AC311" s="605" t="inlineStr">
        <is>
          <t>0171928201008</t>
        </is>
      </c>
      <c r="AD311" s="605" t="inlineStr">
        <is>
          <t>2019000071392</t>
        </is>
      </c>
      <c r="AE311" s="653" t="inlineStr">
        <is>
          <t>WAFCO LTD</t>
        </is>
      </c>
      <c r="AF311" s="653" t="inlineStr">
        <is>
          <t>KUKU LLC</t>
        </is>
      </c>
      <c r="AI311" s="605">
        <f>IF(AND($E311=Subj_OccCode,Subj_BldgSF&gt;0,ABS($L311-Subj_BldgSF)&lt;=Subj_BldgSF*Subj_SizeTol),ABS($L311-Subj_BldgSF),NA())</f>
        <v/>
      </c>
      <c r="AJ311" s="605">
        <f>IF(ISNA(AI311),NA(),AI311+ROW()/10000000)</f>
        <v/>
      </c>
    </row>
    <row r="312" ht="15" customHeight="1" s="545">
      <c r="A312" s="385" t="n">
        <v>8</v>
      </c>
      <c r="B312" s="605" t="n">
        <v>305</v>
      </c>
      <c r="C312" s="605" t="inlineStr">
        <is>
          <t>R0075329</t>
        </is>
      </c>
      <c r="D312" s="605" t="inlineStr">
        <is>
          <t>9685  BRIGHTON RD</t>
        </is>
      </c>
      <c r="E312" s="605" t="n">
        <v>325</v>
      </c>
      <c r="G312" s="605" t="inlineStr">
        <is>
          <t>5</t>
        </is>
      </c>
      <c r="H312" s="59">
        <f>Y312/J312</f>
        <v/>
      </c>
      <c r="I312" s="386" t="n">
        <v>43587</v>
      </c>
      <c r="J312" s="605" t="n">
        <v>9000</v>
      </c>
      <c r="L312" s="605" t="n">
        <v>9000</v>
      </c>
      <c r="M312" s="605" t="n">
        <v>1981</v>
      </c>
      <c r="R312" s="152" t="inlineStr">
        <is>
          <t>Average</t>
        </is>
      </c>
      <c r="S312" s="605" t="n">
        <v>30099.96</v>
      </c>
      <c r="T312" s="387">
        <f>S312/J312</f>
        <v/>
      </c>
      <c r="U312" s="605" t="inlineStr">
        <is>
          <t>Average</t>
        </is>
      </c>
      <c r="Y312" s="605" t="n">
        <v>1100000</v>
      </c>
      <c r="AA312" s="605" t="n">
        <v>1100000</v>
      </c>
      <c r="AC312" s="605" t="inlineStr">
        <is>
          <t>0172116000022</t>
        </is>
      </c>
      <c r="AD312" s="605" t="inlineStr">
        <is>
          <t>2019000032873</t>
        </is>
      </c>
      <c r="AE312" s="653" t="inlineStr">
        <is>
          <t>BURR JOANN L AND, GULLION CAROLYN KAY LIVING TRUST</t>
        </is>
      </c>
      <c r="AF312" s="653" t="inlineStr">
        <is>
          <t>9685 BRIGHTON LLC</t>
        </is>
      </c>
      <c r="AI312" s="605">
        <f>IF(AND($E312=Subj_OccCode,Subj_BldgSF&gt;0,ABS($L312-Subj_BldgSF)&lt;=Subj_BldgSF*Subj_SizeTol),ABS($L312-Subj_BldgSF),NA())</f>
        <v/>
      </c>
      <c r="AJ312" s="605">
        <f>IF(ISNA(AI312),NA(),AI312+ROW()/10000000)</f>
        <v/>
      </c>
    </row>
    <row r="313" ht="15" customHeight="1" s="545">
      <c r="A313" s="385" t="n">
        <v>8</v>
      </c>
      <c r="B313" s="605" t="n">
        <v>306</v>
      </c>
      <c r="C313" s="605" t="inlineStr">
        <is>
          <t>R0002808</t>
        </is>
      </c>
      <c r="D313" s="605" t="inlineStr">
        <is>
          <t>123 N MAIN ST</t>
        </is>
      </c>
      <c r="E313" s="605" t="n">
        <v>353</v>
      </c>
      <c r="F313" s="605" t="inlineStr">
        <is>
          <t>BRIGHTON</t>
        </is>
      </c>
      <c r="G313" s="605" t="inlineStr">
        <is>
          <t>2</t>
        </is>
      </c>
      <c r="H313" s="59">
        <f>Y313/J313</f>
        <v/>
      </c>
      <c r="I313" s="386" t="n">
        <v>44176</v>
      </c>
      <c r="J313" s="605" t="n">
        <v>3900</v>
      </c>
      <c r="L313" s="605" t="n">
        <v>3900</v>
      </c>
      <c r="M313" s="605" t="n">
        <v>1897</v>
      </c>
      <c r="P313" s="605" t="inlineStr">
        <is>
          <t>DT</t>
        </is>
      </c>
      <c r="R313" s="152" t="inlineStr">
        <is>
          <t>Average</t>
        </is>
      </c>
      <c r="S313" s="605" t="n">
        <v>10000</v>
      </c>
      <c r="T313" s="387">
        <f>S313/J313</f>
        <v/>
      </c>
      <c r="U313" s="605" t="inlineStr">
        <is>
          <t>Good</t>
        </is>
      </c>
      <c r="Y313" s="605" t="n">
        <v>717000</v>
      </c>
      <c r="AA313" s="605" t="n">
        <v>717000</v>
      </c>
      <c r="AC313" s="605" t="inlineStr">
        <is>
          <t>0156906311007</t>
        </is>
      </c>
      <c r="AD313" s="605" t="inlineStr">
        <is>
          <t>2021000002489</t>
        </is>
      </c>
      <c r="AE313" s="653" t="inlineStr">
        <is>
          <t>HERR FAMILY LLC</t>
        </is>
      </c>
      <c r="AF313" s="653" t="inlineStr">
        <is>
          <t>123 N MAIN LLC</t>
        </is>
      </c>
      <c r="AI313" s="605">
        <f>IF(AND($E313=Subj_OccCode,Subj_BldgSF&gt;0,ABS($L313-Subj_BldgSF)&lt;=Subj_BldgSF*Subj_SizeTol),ABS($L313-Subj_BldgSF),NA())</f>
        <v/>
      </c>
      <c r="AJ313" s="605">
        <f>IF(ISNA(AI313),NA(),AI313+ROW()/10000000)</f>
        <v/>
      </c>
    </row>
    <row r="314" ht="15" customHeight="1" s="545">
      <c r="A314" s="385" t="n">
        <v>8</v>
      </c>
      <c r="B314" s="605" t="n">
        <v>307</v>
      </c>
      <c r="C314" s="605" t="inlineStr">
        <is>
          <t>R0050977</t>
        </is>
      </c>
      <c r="D314" s="605" t="inlineStr">
        <is>
          <t>9351  GRANT ST</t>
        </is>
      </c>
      <c r="E314" s="605" t="n">
        <v>344</v>
      </c>
      <c r="F314" s="605" t="inlineStr">
        <is>
          <t>THORNTON</t>
        </is>
      </c>
      <c r="G314" s="605" t="inlineStr">
        <is>
          <t>4</t>
        </is>
      </c>
      <c r="H314" s="59">
        <f>Y314/J314</f>
        <v/>
      </c>
      <c r="I314" s="386" t="n">
        <v>43199</v>
      </c>
      <c r="J314" s="605" t="n">
        <v>96190</v>
      </c>
      <c r="L314" s="605" t="n">
        <v>96190</v>
      </c>
      <c r="M314" s="605" t="n">
        <v>1985</v>
      </c>
      <c r="P314" s="605" t="inlineStr">
        <is>
          <t>Thornton</t>
        </is>
      </c>
      <c r="R314" s="152" t="inlineStr">
        <is>
          <t>Good</t>
        </is>
      </c>
      <c r="S314" s="605" t="n">
        <v>49833</v>
      </c>
      <c r="T314" s="387">
        <f>S314/J314</f>
        <v/>
      </c>
      <c r="U314" s="605" t="inlineStr">
        <is>
          <t>Average</t>
        </is>
      </c>
      <c r="Y314" s="605" t="n">
        <v>9075000</v>
      </c>
      <c r="AA314" s="605" t="n">
        <v>9075000</v>
      </c>
      <c r="AC314" s="605" t="inlineStr">
        <is>
          <t>0171922102003</t>
        </is>
      </c>
      <c r="AD314" s="605" t="inlineStr">
        <is>
          <t>2018000028658</t>
        </is>
      </c>
      <c r="AE314" s="653" t="inlineStr">
        <is>
          <t>HORIZON TERRACE PACIFIC LTD</t>
        </is>
      </c>
      <c r="AF314" s="653" t="inlineStr">
        <is>
          <t>1641 CALIFORNIA LLC</t>
        </is>
      </c>
      <c r="AI314" s="605">
        <f>IF(AND($E314=Subj_OccCode,Subj_BldgSF&gt;0,ABS($L314-Subj_BldgSF)&lt;=Subj_BldgSF*Subj_SizeTol),ABS($L314-Subj_BldgSF),NA())</f>
        <v/>
      </c>
      <c r="AJ314" s="605">
        <f>IF(ISNA(AI314),NA(),AI314+ROW()/10000000)</f>
        <v/>
      </c>
    </row>
    <row r="315" ht="15" customHeight="1" s="545">
      <c r="A315" s="385" t="n">
        <v>8</v>
      </c>
      <c r="B315" s="605" t="n">
        <v>308</v>
      </c>
      <c r="C315" s="605" t="inlineStr">
        <is>
          <t>R0002810</t>
        </is>
      </c>
      <c r="D315" s="605" t="inlineStr">
        <is>
          <t>119 N MAIN ST</t>
        </is>
      </c>
      <c r="E315" s="605" t="n">
        <v>353</v>
      </c>
      <c r="F315" s="605" t="inlineStr">
        <is>
          <t>BRIGHTON</t>
        </is>
      </c>
      <c r="G315" s="605" t="inlineStr">
        <is>
          <t>2</t>
        </is>
      </c>
      <c r="H315" s="59">
        <f>Y315/J315</f>
        <v/>
      </c>
      <c r="I315" s="386" t="n">
        <v>43892</v>
      </c>
      <c r="J315" s="605" t="n">
        <v>2160</v>
      </c>
      <c r="L315" s="605" t="n">
        <v>2160</v>
      </c>
      <c r="M315" s="605" t="n">
        <v>1926</v>
      </c>
      <c r="P315" s="605" t="inlineStr">
        <is>
          <t>DT</t>
        </is>
      </c>
      <c r="R315" s="152" t="inlineStr">
        <is>
          <t>Average</t>
        </is>
      </c>
      <c r="S315" s="605" t="n">
        <v>5125</v>
      </c>
      <c r="T315" s="387">
        <f>S315/J315</f>
        <v/>
      </c>
      <c r="U315" s="605" t="inlineStr">
        <is>
          <t>Average</t>
        </is>
      </c>
      <c r="Y315" s="605" t="n">
        <v>400000</v>
      </c>
      <c r="AA315" s="605" t="n">
        <v>400000</v>
      </c>
      <c r="AC315" s="605" t="inlineStr">
        <is>
          <t>0156906311009</t>
        </is>
      </c>
      <c r="AD315" s="605" t="inlineStr">
        <is>
          <t>2020000020537</t>
        </is>
      </c>
      <c r="AE315" s="653" t="inlineStr">
        <is>
          <t>DYCO HOLDINGS LLC</t>
        </is>
      </c>
      <c r="AF315" s="653" t="inlineStr">
        <is>
          <t>JOINT VENTURES LLC</t>
        </is>
      </c>
      <c r="AI315" s="605">
        <f>IF(AND($E315=Subj_OccCode,Subj_BldgSF&gt;0,ABS($L315-Subj_BldgSF)&lt;=Subj_BldgSF*Subj_SizeTol),ABS($L315-Subj_BldgSF),NA())</f>
        <v/>
      </c>
      <c r="AJ315" s="605">
        <f>IF(ISNA(AI315),NA(),AI315+ROW()/10000000)</f>
        <v/>
      </c>
    </row>
    <row r="316" ht="15" customHeight="1" s="545">
      <c r="A316" s="385" t="n">
        <v>8</v>
      </c>
      <c r="B316" s="605" t="n">
        <v>309</v>
      </c>
      <c r="C316" s="605" t="inlineStr">
        <is>
          <t>R0001910</t>
        </is>
      </c>
      <c r="D316" s="605" t="inlineStr">
        <is>
          <t>1181  BRIDGE ST</t>
        </is>
      </c>
      <c r="E316" s="605" t="n">
        <v>100</v>
      </c>
      <c r="F316" s="605" t="inlineStr">
        <is>
          <t>BRIGHTON</t>
        </is>
      </c>
      <c r="G316" s="605" t="inlineStr">
        <is>
          <t>122</t>
        </is>
      </c>
      <c r="H316" s="59">
        <f>Y316/J316</f>
        <v/>
      </c>
      <c r="I316" s="386" t="n">
        <v>43637</v>
      </c>
      <c r="J316" s="605" t="n">
        <v>670</v>
      </c>
      <c r="L316" s="605" t="n">
        <v>670</v>
      </c>
      <c r="M316" s="605" t="n">
        <v>1949</v>
      </c>
      <c r="P316" s="605" t="inlineStr">
        <is>
          <t>C-2-Bri</t>
        </is>
      </c>
      <c r="R316" s="152" t="inlineStr">
        <is>
          <t>Average</t>
        </is>
      </c>
      <c r="S316" s="605" t="n">
        <v>6098</v>
      </c>
      <c r="T316" s="387">
        <f>S316/J316</f>
        <v/>
      </c>
      <c r="U316" s="605" t="inlineStr">
        <is>
          <t>Average</t>
        </is>
      </c>
      <c r="Y316" s="605" t="n">
        <v>249000</v>
      </c>
      <c r="AA316" s="605" t="n">
        <v>249000</v>
      </c>
      <c r="AC316" s="605" t="inlineStr">
        <is>
          <t>0156905300011</t>
        </is>
      </c>
      <c r="AD316" s="605" t="inlineStr">
        <is>
          <t>2019000049917</t>
        </is>
      </c>
      <c r="AE316" s="653" t="inlineStr">
        <is>
          <t>RAICHLE INTERESTS LLC</t>
        </is>
      </c>
      <c r="AF316" s="653" t="inlineStr">
        <is>
          <t>GREYSON HOLDINGS LLC</t>
        </is>
      </c>
      <c r="AI316" s="605">
        <f>IF(AND($E316=Subj_OccCode,Subj_BldgSF&gt;0,ABS($L316-Subj_BldgSF)&lt;=Subj_BldgSF*Subj_SizeTol),ABS($L316-Subj_BldgSF),NA())</f>
        <v/>
      </c>
      <c r="AJ316" s="605">
        <f>IF(ISNA(AI316),NA(),AI316+ROW()/10000000)</f>
        <v/>
      </c>
    </row>
    <row r="317" ht="15" customHeight="1" s="545">
      <c r="A317" s="385" t="n">
        <v>8</v>
      </c>
      <c r="B317" s="605" t="n">
        <v>310</v>
      </c>
      <c r="C317" s="605" t="inlineStr">
        <is>
          <t>R0037128</t>
        </is>
      </c>
      <c r="D317" s="605" t="inlineStr">
        <is>
          <t>11166 HURON ST #28</t>
        </is>
      </c>
      <c r="E317" s="605" t="n">
        <v>344</v>
      </c>
      <c r="F317" s="605" t="inlineStr">
        <is>
          <t>NORTHGLENN</t>
        </is>
      </c>
      <c r="G317" s="605" t="inlineStr">
        <is>
          <t>4</t>
        </is>
      </c>
      <c r="H317" s="59">
        <f>Y317/J317</f>
        <v/>
      </c>
      <c r="I317" s="386" t="n">
        <v>43693</v>
      </c>
      <c r="J317" s="605" t="n">
        <v>1841</v>
      </c>
      <c r="L317" s="605" t="n">
        <v>1841</v>
      </c>
      <c r="M317" s="605" t="n">
        <v>1984</v>
      </c>
      <c r="P317" s="605" t="inlineStr">
        <is>
          <t>C-3-Nor</t>
        </is>
      </c>
      <c r="R317" s="152" t="inlineStr">
        <is>
          <t>Average</t>
        </is>
      </c>
      <c r="S317" s="605" t="n">
        <v>1118.78</v>
      </c>
      <c r="T317" s="387">
        <f>S317/J317</f>
        <v/>
      </c>
      <c r="U317" s="605" t="inlineStr">
        <is>
          <t>Average</t>
        </is>
      </c>
      <c r="Y317" s="605" t="n">
        <v>300000</v>
      </c>
      <c r="AA317" s="605" t="n">
        <v>300000</v>
      </c>
      <c r="AC317" s="605" t="inlineStr">
        <is>
          <t>0171910217028</t>
        </is>
      </c>
      <c r="AD317" s="605" t="inlineStr">
        <is>
          <t>2019000067076</t>
        </is>
      </c>
      <c r="AE317" s="653" t="inlineStr">
        <is>
          <t>MARTIN MICHAEL T AND, MARTIN BETH E</t>
        </is>
      </c>
      <c r="AF317" s="653" t="inlineStr">
        <is>
          <t>CHUONG KELLY</t>
        </is>
      </c>
      <c r="AI317" s="605">
        <f>IF(AND($E317=Subj_OccCode,Subj_BldgSF&gt;0,ABS($L317-Subj_BldgSF)&lt;=Subj_BldgSF*Subj_SizeTol),ABS($L317-Subj_BldgSF),NA())</f>
        <v/>
      </c>
      <c r="AJ317" s="605">
        <f>IF(ISNA(AI317),NA(),AI317+ROW()/10000000)</f>
        <v/>
      </c>
    </row>
    <row r="318" ht="15" customHeight="1" s="545">
      <c r="A318" s="385" t="n">
        <v>8</v>
      </c>
      <c r="B318" s="605" t="n">
        <v>311</v>
      </c>
      <c r="C318" s="605" t="inlineStr">
        <is>
          <t>R0037129</t>
        </is>
      </c>
      <c r="D318" s="605" t="inlineStr">
        <is>
          <t>11166 HURON ST #29</t>
        </is>
      </c>
      <c r="E318" s="605" t="n">
        <v>344</v>
      </c>
      <c r="F318" s="605" t="inlineStr">
        <is>
          <t>NORTHGLENN</t>
        </is>
      </c>
      <c r="G318" s="605" t="inlineStr">
        <is>
          <t>4</t>
        </is>
      </c>
      <c r="H318" s="59">
        <f>Y318/J318</f>
        <v/>
      </c>
      <c r="I318" s="386" t="n">
        <v>44540</v>
      </c>
      <c r="J318" s="605" t="n">
        <v>1841</v>
      </c>
      <c r="L318" s="605" t="n">
        <v>1841</v>
      </c>
      <c r="M318" s="605" t="n">
        <v>1984</v>
      </c>
      <c r="P318" s="605" t="inlineStr">
        <is>
          <t>C-3-Nor</t>
        </is>
      </c>
      <c r="R318" s="152" t="inlineStr">
        <is>
          <t>Average</t>
        </is>
      </c>
      <c r="S318" s="605" t="n">
        <v>1118.78</v>
      </c>
      <c r="T318" s="387">
        <f>S318/J318</f>
        <v/>
      </c>
      <c r="U318" s="605" t="inlineStr">
        <is>
          <t>fair</t>
        </is>
      </c>
      <c r="Y318" s="605" t="n">
        <v>300000</v>
      </c>
      <c r="AA318" s="605" t="n">
        <v>300000</v>
      </c>
      <c r="AC318" s="605" t="inlineStr">
        <is>
          <t>0171910217029</t>
        </is>
      </c>
      <c r="AD318" s="605" t="inlineStr">
        <is>
          <t>2021000144383</t>
        </is>
      </c>
      <c r="AE318" s="653" t="inlineStr">
        <is>
          <t>LAMM DEVELOPMENTS LTD</t>
        </is>
      </c>
      <c r="AF318" s="653" t="inlineStr">
        <is>
          <t>BELLA IN YOU DAY SPA</t>
        </is>
      </c>
      <c r="AI318" s="605">
        <f>IF(AND($E318=Subj_OccCode,Subj_BldgSF&gt;0,ABS($L318-Subj_BldgSF)&lt;=Subj_BldgSF*Subj_SizeTol),ABS($L318-Subj_BldgSF),NA())</f>
        <v/>
      </c>
      <c r="AJ318" s="605">
        <f>IF(ISNA(AI318),NA(),AI318+ROW()/10000000)</f>
        <v/>
      </c>
    </row>
    <row r="319" ht="15" customHeight="1" s="545">
      <c r="A319" s="385" t="n">
        <v>8</v>
      </c>
      <c r="B319" s="605" t="n">
        <v>312</v>
      </c>
      <c r="C319" s="605" t="inlineStr">
        <is>
          <t>R0095208</t>
        </is>
      </c>
      <c r="D319" s="605" t="inlineStr">
        <is>
          <t>10190  MONTVIEW BLVD</t>
        </is>
      </c>
      <c r="E319" s="605" t="n">
        <v>344</v>
      </c>
      <c r="F319" s="605" t="inlineStr">
        <is>
          <t>AURORA</t>
        </is>
      </c>
      <c r="G319" s="605" t="inlineStr">
        <is>
          <t>6</t>
        </is>
      </c>
      <c r="H319" s="59">
        <f>Y319/J319</f>
        <v/>
      </c>
      <c r="I319" s="386" t="n">
        <v>44740</v>
      </c>
      <c r="J319" s="605" t="n">
        <v>3668</v>
      </c>
      <c r="L319" s="605" t="n">
        <v>3668</v>
      </c>
      <c r="M319" s="605" t="n">
        <v>1962</v>
      </c>
      <c r="P319" s="605" t="inlineStr">
        <is>
          <t>OA-MS</t>
        </is>
      </c>
      <c r="R319" s="152" t="inlineStr">
        <is>
          <t>Average</t>
        </is>
      </c>
      <c r="S319" s="605" t="n">
        <v>15868</v>
      </c>
      <c r="T319" s="387">
        <f>S319/J319</f>
        <v/>
      </c>
      <c r="U319" s="605" t="inlineStr">
        <is>
          <t>Average</t>
        </is>
      </c>
      <c r="Y319" s="605" t="n">
        <v>2000000</v>
      </c>
      <c r="AA319" s="605" t="n">
        <v>2000000</v>
      </c>
      <c r="AC319" s="605" t="inlineStr">
        <is>
          <t>0182334404020</t>
        </is>
      </c>
      <c r="AD319" s="605" t="inlineStr">
        <is>
          <t>2022000057389</t>
        </is>
      </c>
      <c r="AE319" s="653" t="inlineStr">
        <is>
          <t>ONUOHA FRANCISCA I</t>
        </is>
      </c>
      <c r="AF319" s="653" t="inlineStr">
        <is>
          <t>MILE HIGH COUNCIL ON ALCOHOLISM AND DRUG ABUSE</t>
        </is>
      </c>
      <c r="AI319" s="605">
        <f>IF(AND($E319=Subj_OccCode,Subj_BldgSF&gt;0,ABS($L319-Subj_BldgSF)&lt;=Subj_BldgSF*Subj_SizeTol),ABS($L319-Subj_BldgSF),NA())</f>
        <v/>
      </c>
      <c r="AJ319" s="605">
        <f>IF(ISNA(AI319),NA(),AI319+ROW()/10000000)</f>
        <v/>
      </c>
    </row>
    <row r="320" ht="15" customHeight="1" s="545">
      <c r="A320" s="385" t="n">
        <v>8</v>
      </c>
      <c r="B320" s="605" t="n">
        <v>313</v>
      </c>
      <c r="C320" s="605" t="inlineStr">
        <is>
          <t>R0100831</t>
        </is>
      </c>
      <c r="D320" s="605" t="inlineStr">
        <is>
          <t>3698 W 72ND AVE</t>
        </is>
      </c>
      <c r="E320" s="605" t="n">
        <v>325</v>
      </c>
      <c r="F320" s="605" t="inlineStr">
        <is>
          <t>WESTMINSTER</t>
        </is>
      </c>
      <c r="G320" s="605" t="inlineStr">
        <is>
          <t>4</t>
        </is>
      </c>
      <c r="H320" s="59">
        <f>Y320/J320</f>
        <v/>
      </c>
      <c r="I320" s="386" t="n">
        <v>44355</v>
      </c>
      <c r="J320" s="605" t="n">
        <v>7597</v>
      </c>
      <c r="L320" s="605" t="n">
        <v>7597</v>
      </c>
      <c r="M320" s="605" t="n">
        <v>1926</v>
      </c>
      <c r="P320" s="605" t="inlineStr">
        <is>
          <t>C-1-Wes</t>
        </is>
      </c>
      <c r="R320" s="152" t="inlineStr">
        <is>
          <t>Average</t>
        </is>
      </c>
      <c r="S320" s="605" t="n">
        <v>21780</v>
      </c>
      <c r="T320" s="387">
        <f>S320/J320</f>
        <v/>
      </c>
      <c r="U320" s="605" t="inlineStr">
        <is>
          <t>Average</t>
        </is>
      </c>
      <c r="Y320" s="605" t="n">
        <v>800000</v>
      </c>
      <c r="AA320" s="605" t="n">
        <v>800000</v>
      </c>
      <c r="AC320" s="605" t="inlineStr">
        <is>
          <t>0182506100012</t>
        </is>
      </c>
      <c r="AD320" s="605" t="inlineStr">
        <is>
          <t>2021000069334</t>
        </is>
      </c>
      <c r="AE320" s="653" t="inlineStr">
        <is>
          <t>ANDERSON SHYRLEE F</t>
        </is>
      </c>
      <c r="AF320" s="653" t="inlineStr">
        <is>
          <t>RELAY HILL C LLC</t>
        </is>
      </c>
      <c r="AI320" s="605">
        <f>IF(AND($E320=Subj_OccCode,Subj_BldgSF&gt;0,ABS($L320-Subj_BldgSF)&lt;=Subj_BldgSF*Subj_SizeTol),ABS($L320-Subj_BldgSF),NA())</f>
        <v/>
      </c>
      <c r="AJ320" s="605">
        <f>IF(ISNA(AI320),NA(),AI320+ROW()/10000000)</f>
        <v/>
      </c>
    </row>
    <row r="321" ht="15" customHeight="1" s="545">
      <c r="A321" s="385" t="n">
        <v>8</v>
      </c>
      <c r="B321" s="605" t="n">
        <v>314</v>
      </c>
      <c r="C321" s="605" t="inlineStr">
        <is>
          <t>R0100901</t>
        </is>
      </c>
      <c r="D321" s="605" t="inlineStr">
        <is>
          <t>7155  NEWTON ST</t>
        </is>
      </c>
      <c r="E321" s="605" t="n">
        <v>406</v>
      </c>
      <c r="F321" s="605" t="inlineStr">
        <is>
          <t>WESTMINSTER</t>
        </is>
      </c>
      <c r="G321" s="605" t="inlineStr">
        <is>
          <t>4</t>
        </is>
      </c>
      <c r="H321" s="59">
        <f>Y321/J321</f>
        <v/>
      </c>
      <c r="I321" s="386" t="n">
        <v>43238</v>
      </c>
      <c r="J321" s="605" t="n">
        <v>7720</v>
      </c>
      <c r="L321" s="605" t="n">
        <v>7720</v>
      </c>
      <c r="M321" s="605" t="n">
        <v>1972</v>
      </c>
      <c r="P321" s="605" t="inlineStr">
        <is>
          <t>Westminster</t>
        </is>
      </c>
      <c r="R321" s="152" t="inlineStr">
        <is>
          <t>Average</t>
        </is>
      </c>
      <c r="S321" s="605" t="n">
        <v>15500</v>
      </c>
      <c r="T321" s="387">
        <f>S321/J321</f>
        <v/>
      </c>
      <c r="U321" s="605" t="inlineStr">
        <is>
          <t>Average</t>
        </is>
      </c>
      <c r="Y321" s="605" t="n">
        <v>950000</v>
      </c>
      <c r="AA321" s="605" t="n">
        <v>950000</v>
      </c>
      <c r="AC321" s="605" t="inlineStr">
        <is>
          <t>0182506108003</t>
        </is>
      </c>
      <c r="AD321" s="605" t="inlineStr">
        <is>
          <t>2018000040742</t>
        </is>
      </c>
      <c r="AE321" s="653" t="inlineStr">
        <is>
          <t>MEYER ROBERT CARL JR LIVING TRUST 50% , MEYER ROBIN LEE LIVING TRUST 50% INT</t>
        </is>
      </c>
      <c r="AF321" s="653" t="inlineStr">
        <is>
          <t>RMER PROPERTIES LLC</t>
        </is>
      </c>
      <c r="AI321" s="605">
        <f>IF(AND($E321=Subj_OccCode,Subj_BldgSF&gt;0,ABS($L321-Subj_BldgSF)&lt;=Subj_BldgSF*Subj_SizeTol),ABS($L321-Subj_BldgSF),NA())</f>
        <v/>
      </c>
      <c r="AJ321" s="605">
        <f>IF(ISNA(AI321),NA(),AI321+ROW()/10000000)</f>
        <v/>
      </c>
    </row>
    <row r="322" ht="15" customHeight="1" s="545">
      <c r="A322" s="385" t="n">
        <v>8</v>
      </c>
      <c r="B322" s="605" t="n">
        <v>315</v>
      </c>
      <c r="C322" s="605" t="inlineStr">
        <is>
          <t>R0113852</t>
        </is>
      </c>
      <c r="D322" s="605" t="inlineStr">
        <is>
          <t>70 S 20TH AVE</t>
        </is>
      </c>
      <c r="E322" s="605" t="n">
        <v>341</v>
      </c>
      <c r="F322" s="605" t="inlineStr">
        <is>
          <t>BRIGHTON</t>
        </is>
      </c>
      <c r="G322" s="605" t="inlineStr">
        <is>
          <t>2</t>
        </is>
      </c>
      <c r="H322" s="59">
        <f>Y322/J322</f>
        <v/>
      </c>
      <c r="I322" s="386" t="n">
        <v>44602</v>
      </c>
      <c r="J322" s="605" t="n">
        <v>5776</v>
      </c>
      <c r="L322" s="605" t="n">
        <v>5776</v>
      </c>
      <c r="M322" s="605" t="n">
        <v>1986</v>
      </c>
      <c r="P322" s="605" t="inlineStr">
        <is>
          <t>C-2-Bri</t>
        </is>
      </c>
      <c r="R322" s="152" t="inlineStr">
        <is>
          <t>Average</t>
        </is>
      </c>
      <c r="S322" s="605" t="n">
        <v>23314</v>
      </c>
      <c r="T322" s="387">
        <f>S322/J322</f>
        <v/>
      </c>
      <c r="U322" s="605" t="inlineStr">
        <is>
          <t>Average</t>
        </is>
      </c>
      <c r="Y322" s="605" t="n">
        <v>1300000</v>
      </c>
      <c r="AA322" s="605" t="n">
        <v>1300000</v>
      </c>
      <c r="AC322" s="605" t="inlineStr">
        <is>
          <t>0156908120007</t>
        </is>
      </c>
      <c r="AD322" s="605" t="inlineStr">
        <is>
          <t>2022000013254</t>
        </is>
      </c>
      <c r="AE322" s="653" t="inlineStr">
        <is>
          <t>JOHNSON WARREN T.</t>
        </is>
      </c>
      <c r="AF322" s="653" t="inlineStr">
        <is>
          <t>BUNGALOW VENTURES LLC</t>
        </is>
      </c>
      <c r="AI322" s="605">
        <f>IF(AND($E322=Subj_OccCode,Subj_BldgSF&gt;0,ABS($L322-Subj_BldgSF)&lt;=Subj_BldgSF*Subj_SizeTol),ABS($L322-Subj_BldgSF),NA())</f>
        <v/>
      </c>
      <c r="AJ322" s="605">
        <f>IF(ISNA(AI322),NA(),AI322+ROW()/10000000)</f>
        <v/>
      </c>
    </row>
    <row r="323" ht="15" customHeight="1" s="545">
      <c r="A323" s="385" t="n">
        <v>8</v>
      </c>
      <c r="B323" s="605" t="n">
        <v>316</v>
      </c>
      <c r="C323" s="605" t="inlineStr">
        <is>
          <t>R0119529</t>
        </is>
      </c>
      <c r="D323" s="605" t="inlineStr">
        <is>
          <t>4950 E 56TH AVE</t>
        </is>
      </c>
      <c r="E323" s="605" t="n">
        <v>325</v>
      </c>
      <c r="F323" s="605" t="inlineStr">
        <is>
          <t>COMMERCE CITY</t>
        </is>
      </c>
      <c r="G323" s="605" t="inlineStr">
        <is>
          <t>5</t>
        </is>
      </c>
      <c r="H323" s="59">
        <f>Y323/J323</f>
        <v/>
      </c>
      <c r="I323" s="386" t="n">
        <v>43655</v>
      </c>
      <c r="J323" s="605" t="n">
        <v>5000</v>
      </c>
      <c r="L323" s="605" t="n">
        <v>5000</v>
      </c>
      <c r="M323" s="605" t="n">
        <v>2006</v>
      </c>
      <c r="P323" s="605" t="inlineStr">
        <is>
          <t>Commerce City</t>
        </is>
      </c>
      <c r="R323" s="152" t="inlineStr">
        <is>
          <t>Average</t>
        </is>
      </c>
      <c r="S323" s="605" t="n">
        <v>36111.24</v>
      </c>
      <c r="T323" s="387">
        <f>S323/J323</f>
        <v/>
      </c>
      <c r="U323" s="605" t="inlineStr">
        <is>
          <t>Average</t>
        </is>
      </c>
      <c r="Y323" s="605" t="n">
        <v>1350000</v>
      </c>
      <c r="AA323" s="605" t="n">
        <v>1350000</v>
      </c>
      <c r="AC323" s="605" t="inlineStr">
        <is>
          <t>0182318100096</t>
        </is>
      </c>
      <c r="AD323" s="605" t="inlineStr">
        <is>
          <t>2019000053682</t>
        </is>
      </c>
      <c r="AE323" s="653" t="inlineStr">
        <is>
          <t>TITCO LLC</t>
        </is>
      </c>
      <c r="AF323" s="653" t="inlineStr">
        <is>
          <t>4950 E 56TH AVE LLC</t>
        </is>
      </c>
      <c r="AI323" s="605">
        <f>IF(AND($E323=Subj_OccCode,Subj_BldgSF&gt;0,ABS($L323-Subj_BldgSF)&lt;=Subj_BldgSF*Subj_SizeTol),ABS($L323-Subj_BldgSF),NA())</f>
        <v/>
      </c>
      <c r="AJ323" s="605">
        <f>IF(ISNA(AI323),NA(),AI323+ROW()/10000000)</f>
        <v/>
      </c>
    </row>
    <row r="324" ht="15" customHeight="1" s="545">
      <c r="A324" s="385" t="n">
        <v>8</v>
      </c>
      <c r="B324" s="605" t="n">
        <v>317</v>
      </c>
      <c r="C324" s="605" t="inlineStr">
        <is>
          <t>R0025233</t>
        </is>
      </c>
      <c r="D324" s="605" t="inlineStr">
        <is>
          <t>12590 N 1ST ST</t>
        </is>
      </c>
      <c r="E324" s="605" t="n">
        <v>325</v>
      </c>
      <c r="F324" s="605" t="inlineStr">
        <is>
          <t>THORNTON</t>
        </is>
      </c>
      <c r="G324" s="605" t="inlineStr">
        <is>
          <t>3</t>
        </is>
      </c>
      <c r="H324" s="59">
        <f>Y324/J324</f>
        <v/>
      </c>
      <c r="I324" s="386" t="n">
        <v>44742</v>
      </c>
      <c r="J324" s="605" t="n">
        <v>3200</v>
      </c>
      <c r="L324" s="605" t="n">
        <v>3200</v>
      </c>
      <c r="M324" s="605" t="n">
        <v>1973</v>
      </c>
      <c r="P324" s="605" t="inlineStr">
        <is>
          <t>Eastlake Services</t>
        </is>
      </c>
      <c r="R324" s="152" t="inlineStr">
        <is>
          <t>Average</t>
        </is>
      </c>
      <c r="S324" s="605" t="n">
        <v>15625</v>
      </c>
      <c r="T324" s="387">
        <f>S324/J324</f>
        <v/>
      </c>
      <c r="U324" s="605" t="inlineStr">
        <is>
          <t>Average</t>
        </is>
      </c>
      <c r="Y324" s="605" t="n">
        <v>1595000</v>
      </c>
      <c r="AA324" s="605" t="n">
        <v>1595000</v>
      </c>
      <c r="AC324" s="605" t="inlineStr">
        <is>
          <t>0157335103020</t>
        </is>
      </c>
      <c r="AD324" s="605" t="inlineStr">
        <is>
          <t>2022000058314</t>
        </is>
      </c>
      <c r="AE324" s="653" t="inlineStr">
        <is>
          <t>CHAMBERLAIN MARK A AND TAMMY D</t>
        </is>
      </c>
      <c r="AF324" s="653" t="inlineStr">
        <is>
          <t>A&amp;C AUTOWORKS INC</t>
        </is>
      </c>
      <c r="AI324" s="605">
        <f>IF(AND($E324=Subj_OccCode,Subj_BldgSF&gt;0,ABS($L324-Subj_BldgSF)&lt;=Subj_BldgSF*Subj_SizeTol),ABS($L324-Subj_BldgSF),NA())</f>
        <v/>
      </c>
      <c r="AJ324" s="605">
        <f>IF(ISNA(AI324),NA(),AI324+ROW()/10000000)</f>
        <v/>
      </c>
    </row>
    <row r="325" ht="15" customHeight="1" s="545">
      <c r="A325" s="385" t="n">
        <v>8</v>
      </c>
      <c r="B325" s="605" t="n">
        <v>318</v>
      </c>
      <c r="C325" s="605" t="inlineStr">
        <is>
          <t>R0059106</t>
        </is>
      </c>
      <c r="D325" s="605" t="inlineStr">
        <is>
          <t>680 E 84TH AVE</t>
        </is>
      </c>
      <c r="E325" s="605" t="n">
        <v>419</v>
      </c>
      <c r="F325" s="605" t="inlineStr">
        <is>
          <t>THORNTON</t>
        </is>
      </c>
      <c r="G325" s="605" t="inlineStr">
        <is>
          <t>4</t>
        </is>
      </c>
      <c r="H325" s="59">
        <f>Y325/J325</f>
        <v/>
      </c>
      <c r="I325" s="386" t="n">
        <v>44586</v>
      </c>
      <c r="J325" s="605" t="n">
        <v>1849</v>
      </c>
      <c r="L325" s="605" t="n">
        <v>1849</v>
      </c>
      <c r="M325" s="605" t="n">
        <v>1990</v>
      </c>
      <c r="P325" s="605" t="inlineStr">
        <is>
          <t>Regional Commercial</t>
        </is>
      </c>
      <c r="R325" s="152" t="inlineStr">
        <is>
          <t>Average</t>
        </is>
      </c>
      <c r="S325" s="605" t="n">
        <v>29962</v>
      </c>
      <c r="T325" s="387">
        <f>S325/J325</f>
        <v/>
      </c>
      <c r="U325" s="605" t="inlineStr">
        <is>
          <t>Average</t>
        </is>
      </c>
      <c r="Y325" s="605" t="n">
        <v>2400000</v>
      </c>
      <c r="AA325" s="605" t="n">
        <v>2400000</v>
      </c>
      <c r="AC325" s="605" t="inlineStr">
        <is>
          <t>0171927418001</t>
        </is>
      </c>
      <c r="AD325" s="605" t="inlineStr">
        <is>
          <t>2022000008336</t>
        </is>
      </c>
      <c r="AE325" s="653" t="inlineStr">
        <is>
          <t>TEKLEZGHI MEHARENA AND, ATSEBAHA SABA YEMESGEN</t>
        </is>
      </c>
      <c r="AF325" s="653" t="inlineStr">
        <is>
          <t>Z &amp; T LLC</t>
        </is>
      </c>
      <c r="AI325" s="605">
        <f>IF(AND($E325=Subj_OccCode,Subj_BldgSF&gt;0,ABS($L325-Subj_BldgSF)&lt;=Subj_BldgSF*Subj_SizeTol),ABS($L325-Subj_BldgSF),NA())</f>
        <v/>
      </c>
      <c r="AJ325" s="605">
        <f>IF(ISNA(AI325),NA(),AI325+ROW()/10000000)</f>
        <v/>
      </c>
    </row>
    <row r="326" ht="15" customHeight="1" s="545">
      <c r="A326" s="385" t="n">
        <v>8</v>
      </c>
      <c r="B326" s="605" t="n">
        <v>319</v>
      </c>
      <c r="C326" s="605" t="inlineStr">
        <is>
          <t>R0050044</t>
        </is>
      </c>
      <c r="D326" s="605" t="inlineStr">
        <is>
          <t>9170  FEDERAL BLVD</t>
        </is>
      </c>
      <c r="E326" s="605" t="n">
        <v>350</v>
      </c>
      <c r="F326" s="605" t="inlineStr">
        <is>
          <t>FEDERAL HEIGHTS</t>
        </is>
      </c>
      <c r="G326" s="605" t="inlineStr">
        <is>
          <t>4</t>
        </is>
      </c>
      <c r="H326" s="59">
        <f>Y326/J326</f>
        <v/>
      </c>
      <c r="I326" s="386" t="n">
        <v>43558</v>
      </c>
      <c r="J326" s="605" t="n">
        <v>720</v>
      </c>
      <c r="L326" s="605" t="n">
        <v>720</v>
      </c>
      <c r="M326" s="605" t="n">
        <v>1968</v>
      </c>
      <c r="P326" s="605" t="inlineStr">
        <is>
          <t>Federal Heights</t>
        </is>
      </c>
      <c r="R326" s="152" t="inlineStr">
        <is>
          <t>Average</t>
        </is>
      </c>
      <c r="S326" s="605" t="n">
        <v>7565</v>
      </c>
      <c r="T326" s="387">
        <f>S326/J326</f>
        <v/>
      </c>
      <c r="U326" s="605" t="inlineStr">
        <is>
          <t>Average</t>
        </is>
      </c>
      <c r="Y326" s="605" t="n">
        <v>369000</v>
      </c>
      <c r="AA326" s="605" t="n">
        <v>369000</v>
      </c>
      <c r="AC326" s="605" t="inlineStr">
        <is>
          <t>0171920401004</t>
        </is>
      </c>
      <c r="AD326" s="605" t="inlineStr">
        <is>
          <t>2019000024357</t>
        </is>
      </c>
      <c r="AE326" s="653" t="inlineStr">
        <is>
          <t>COLOROSO FAMILY PARTNERSHIP I LTD</t>
        </is>
      </c>
      <c r="AF326" s="653" t="inlineStr">
        <is>
          <t>ZHENG BIAO AND, YUAN JIN RONG</t>
        </is>
      </c>
      <c r="AI326" s="605">
        <f>IF(AND($E326=Subj_OccCode,Subj_BldgSF&gt;0,ABS($L326-Subj_BldgSF)&lt;=Subj_BldgSF*Subj_SizeTol),ABS($L326-Subj_BldgSF),NA())</f>
        <v/>
      </c>
      <c r="AJ326" s="605">
        <f>IF(ISNA(AI326),NA(),AI326+ROW()/10000000)</f>
        <v/>
      </c>
    </row>
    <row r="327" ht="15" customHeight="1" s="545">
      <c r="A327" s="385" t="n">
        <v>8</v>
      </c>
      <c r="B327" s="605" t="n">
        <v>320</v>
      </c>
      <c r="C327" s="605" t="inlineStr">
        <is>
          <t>R0005773</t>
        </is>
      </c>
      <c r="D327" s="605" t="inlineStr">
        <is>
          <t>1300  BRIDGE ST</t>
        </is>
      </c>
      <c r="E327" s="605" t="n">
        <v>344</v>
      </c>
      <c r="F327" s="605" t="inlineStr">
        <is>
          <t>BRIGHTON</t>
        </is>
      </c>
      <c r="G327" s="605" t="inlineStr">
        <is>
          <t>2</t>
        </is>
      </c>
      <c r="H327" s="59">
        <f>Y327/J327</f>
        <v/>
      </c>
      <c r="I327" s="386" t="n">
        <v>44438</v>
      </c>
      <c r="J327" s="605" t="n">
        <v>2547</v>
      </c>
      <c r="L327" s="605" t="n">
        <v>2547</v>
      </c>
      <c r="M327" s="605" t="n">
        <v>1954</v>
      </c>
      <c r="P327" s="605" t="inlineStr">
        <is>
          <t>C-O</t>
        </is>
      </c>
      <c r="R327" s="152" t="inlineStr">
        <is>
          <t>Average</t>
        </is>
      </c>
      <c r="S327" s="605" t="n">
        <v>11000</v>
      </c>
      <c r="T327" s="387">
        <f>S327/J327</f>
        <v/>
      </c>
      <c r="U327" s="605" t="inlineStr">
        <is>
          <t>Good</t>
        </is>
      </c>
      <c r="Y327" s="605" t="n">
        <v>505000</v>
      </c>
      <c r="AA327" s="605" t="n">
        <v>505000</v>
      </c>
      <c r="AC327" s="605" t="inlineStr">
        <is>
          <t>0156908203001</t>
        </is>
      </c>
      <c r="AD327" s="605" t="inlineStr">
        <is>
          <t>2021000103730</t>
        </is>
      </c>
      <c r="AE327" s="653" t="inlineStr">
        <is>
          <t>ZIMIK KHACHUNGLA</t>
        </is>
      </c>
      <c r="AF327" s="653" t="inlineStr">
        <is>
          <t>ONE FACIAL AESTHETICS &amp; SPA LLC</t>
        </is>
      </c>
      <c r="AI327" s="605">
        <f>IF(AND($E327=Subj_OccCode,Subj_BldgSF&gt;0,ABS($L327-Subj_BldgSF)&lt;=Subj_BldgSF*Subj_SizeTol),ABS($L327-Subj_BldgSF),NA())</f>
        <v/>
      </c>
      <c r="AJ327" s="605">
        <f>IF(ISNA(AI327),NA(),AI327+ROW()/10000000)</f>
        <v/>
      </c>
    </row>
    <row r="328" ht="15" customHeight="1" s="545">
      <c r="A328" s="385" t="n">
        <v>8</v>
      </c>
      <c r="B328" s="605" t="n">
        <v>321</v>
      </c>
      <c r="C328" s="605" t="inlineStr">
        <is>
          <t>R0035891</t>
        </is>
      </c>
      <c r="D328" s="605" t="inlineStr">
        <is>
          <t>1470  ROSEANNA DR</t>
        </is>
      </c>
      <c r="E328" s="605" t="n">
        <v>325</v>
      </c>
      <c r="F328" s="605" t="inlineStr">
        <is>
          <t>NORTHGLENN</t>
        </is>
      </c>
      <c r="G328" s="605" t="inlineStr">
        <is>
          <t>4</t>
        </is>
      </c>
      <c r="H328" s="59">
        <f>Y328/J328</f>
        <v/>
      </c>
      <c r="I328" s="386" t="n">
        <v>44483</v>
      </c>
      <c r="J328" s="605" t="n">
        <v>1152</v>
      </c>
      <c r="L328" s="605" t="n">
        <v>1152</v>
      </c>
      <c r="M328" s="605" t="n">
        <v>1963</v>
      </c>
      <c r="P328" s="605" t="inlineStr">
        <is>
          <t>R-1-B-Nor</t>
        </is>
      </c>
      <c r="R328" s="152" t="inlineStr">
        <is>
          <t>Average</t>
        </is>
      </c>
      <c r="S328" s="605" t="n">
        <v>24678</v>
      </c>
      <c r="T328" s="387">
        <f>S328/J328</f>
        <v/>
      </c>
      <c r="U328" s="605" t="inlineStr">
        <is>
          <t>Average</t>
        </is>
      </c>
      <c r="Y328" s="605" t="n">
        <v>325000</v>
      </c>
      <c r="AA328" s="605" t="n">
        <v>325000</v>
      </c>
      <c r="AC328" s="605" t="inlineStr">
        <is>
          <t>0171909407004</t>
        </is>
      </c>
      <c r="AD328" s="605" t="inlineStr">
        <is>
          <t>2021000122847</t>
        </is>
      </c>
      <c r="AE328" s="653" t="inlineStr">
        <is>
          <t>GROTHENDICK DANIEL M</t>
        </is>
      </c>
      <c r="AF328" s="653" t="inlineStr">
        <is>
          <t>LOPEZ RODNEY KENT</t>
        </is>
      </c>
      <c r="AI328" s="605">
        <f>IF(AND($E328=Subj_OccCode,Subj_BldgSF&gt;0,ABS($L328-Subj_BldgSF)&lt;=Subj_BldgSF*Subj_SizeTol),ABS($L328-Subj_BldgSF),NA())</f>
        <v/>
      </c>
      <c r="AJ328" s="605">
        <f>IF(ISNA(AI328),NA(),AI328+ROW()/10000000)</f>
        <v/>
      </c>
    </row>
    <row r="329" ht="15" customHeight="1" s="545">
      <c r="A329" s="385" t="n">
        <v>8</v>
      </c>
      <c r="B329" s="605" t="n">
        <v>322</v>
      </c>
      <c r="C329" s="605" t="inlineStr">
        <is>
          <t>R0008948</t>
        </is>
      </c>
      <c r="D329" s="605" t="inlineStr">
        <is>
          <t>404  BROMLEY LN</t>
        </is>
      </c>
      <c r="E329" s="605" t="n">
        <v>423</v>
      </c>
      <c r="F329" s="605" t="inlineStr">
        <is>
          <t>BRIGHTON</t>
        </is>
      </c>
      <c r="G329" s="605" t="inlineStr">
        <is>
          <t>2</t>
        </is>
      </c>
      <c r="H329" s="59">
        <f>Y329/J329</f>
        <v/>
      </c>
      <c r="I329" s="386" t="n">
        <v>43472</v>
      </c>
      <c r="J329" s="605" t="n">
        <v>1882</v>
      </c>
      <c r="L329" s="605" t="n">
        <v>1882</v>
      </c>
      <c r="M329" s="605" t="n">
        <v>1994</v>
      </c>
      <c r="P329" s="605" t="inlineStr">
        <is>
          <t>Brighton</t>
        </is>
      </c>
      <c r="R329" s="152" t="inlineStr">
        <is>
          <t>Average</t>
        </is>
      </c>
      <c r="S329" s="605" t="n">
        <v>16650</v>
      </c>
      <c r="T329" s="387">
        <f>S329/J329</f>
        <v/>
      </c>
      <c r="U329" s="605" t="inlineStr">
        <is>
          <t>Average</t>
        </is>
      </c>
      <c r="Y329" s="605" t="n">
        <v>1430300</v>
      </c>
      <c r="AA329" s="605" t="n">
        <v>1430300</v>
      </c>
      <c r="AC329" s="605" t="inlineStr">
        <is>
          <t>0157113008006</t>
        </is>
      </c>
      <c r="AD329" s="605" t="inlineStr">
        <is>
          <t>2019000002027</t>
        </is>
      </c>
      <c r="AE329" s="653" t="inlineStr">
        <is>
          <t>RPM PROPERTIES RLLLP</t>
        </is>
      </c>
      <c r="AF329" s="653" t="inlineStr">
        <is>
          <t>SCF RC FUNDING IV LLC</t>
        </is>
      </c>
      <c r="AI329" s="605">
        <f>IF(AND($E329=Subj_OccCode,Subj_BldgSF&gt;0,ABS($L329-Subj_BldgSF)&lt;=Subj_BldgSF*Subj_SizeTol),ABS($L329-Subj_BldgSF),NA())</f>
        <v/>
      </c>
      <c r="AJ329" s="605">
        <f>IF(ISNA(AI329),NA(),AI329+ROW()/10000000)</f>
        <v/>
      </c>
    </row>
    <row r="330" ht="15" customHeight="1" s="545">
      <c r="A330" s="385" t="n">
        <v>8</v>
      </c>
      <c r="B330" s="605" t="n">
        <v>323</v>
      </c>
      <c r="C330" s="605" t="inlineStr">
        <is>
          <t>R0100554</t>
        </is>
      </c>
      <c r="D330" s="605" t="inlineStr">
        <is>
          <t>6455  FEDERAL BLVD</t>
        </is>
      </c>
      <c r="E330" s="605" t="n">
        <v>343</v>
      </c>
      <c r="G330" s="605" t="inlineStr">
        <is>
          <t>5</t>
        </is>
      </c>
      <c r="H330" s="59">
        <f>Y330/J330</f>
        <v/>
      </c>
      <c r="I330" s="386" t="n">
        <v>44483</v>
      </c>
      <c r="J330" s="605" t="n">
        <v>3093</v>
      </c>
      <c r="L330" s="605" t="n">
        <v>3093</v>
      </c>
      <c r="M330" s="605" t="n">
        <v>1946</v>
      </c>
      <c r="P330" s="605" t="inlineStr">
        <is>
          <t>Commercial</t>
        </is>
      </c>
      <c r="R330" s="152" t="inlineStr">
        <is>
          <t>Low</t>
        </is>
      </c>
      <c r="S330" s="605" t="n">
        <v>11520</v>
      </c>
      <c r="T330" s="387">
        <f>S330/J330</f>
        <v/>
      </c>
      <c r="U330" s="605" t="inlineStr">
        <is>
          <t>Average</t>
        </is>
      </c>
      <c r="Y330" s="605" t="n">
        <v>540000</v>
      </c>
      <c r="AA330" s="605" t="n">
        <v>540000</v>
      </c>
      <c r="AC330" s="605" t="inlineStr">
        <is>
          <t>0182505321021</t>
        </is>
      </c>
      <c r="AD330" s="605" t="inlineStr">
        <is>
          <t>2021000125202</t>
        </is>
      </c>
      <c r="AE330" s="653" t="inlineStr">
        <is>
          <t>SUNRISE COTTAGES LLC</t>
        </is>
      </c>
      <c r="AF330" s="653" t="inlineStr">
        <is>
          <t>DENVER CASITAS LLC</t>
        </is>
      </c>
      <c r="AI330" s="605">
        <f>IF(AND($E330=Subj_OccCode,Subj_BldgSF&gt;0,ABS($L330-Subj_BldgSF)&lt;=Subj_BldgSF*Subj_SizeTol),ABS($L330-Subj_BldgSF),NA())</f>
        <v/>
      </c>
      <c r="AJ330" s="605">
        <f>IF(ISNA(AI330),NA(),AI330+ROW()/10000000)</f>
        <v/>
      </c>
    </row>
    <row r="331" ht="15" customHeight="1" s="545">
      <c r="A331" s="385" t="n">
        <v>8</v>
      </c>
      <c r="B331" s="605" t="n">
        <v>324</v>
      </c>
      <c r="C331" s="605" t="inlineStr">
        <is>
          <t>R0100713</t>
        </is>
      </c>
      <c r="D331" s="605" t="inlineStr">
        <is>
          <t>6530  FEDERAL BLVD</t>
        </is>
      </c>
      <c r="E331" s="605" t="n">
        <v>344</v>
      </c>
      <c r="G331" s="605" t="inlineStr">
        <is>
          <t>1</t>
        </is>
      </c>
      <c r="H331" s="59">
        <f>Y331/J331</f>
        <v/>
      </c>
      <c r="I331" s="386" t="n">
        <v>43350</v>
      </c>
      <c r="J331" s="605" t="n">
        <v>4501</v>
      </c>
      <c r="L331" s="605" t="n">
        <v>4501</v>
      </c>
      <c r="M331" s="605" t="n">
        <v>1950</v>
      </c>
      <c r="P331" s="605" t="inlineStr">
        <is>
          <t>Commercial</t>
        </is>
      </c>
      <c r="R331" s="152" t="inlineStr">
        <is>
          <t>Average</t>
        </is>
      </c>
      <c r="S331" s="605" t="n">
        <v>19920</v>
      </c>
      <c r="T331" s="387">
        <f>S331/J331</f>
        <v/>
      </c>
      <c r="U331" s="605" t="inlineStr">
        <is>
          <t>Average</t>
        </is>
      </c>
      <c r="Y331" s="605" t="n">
        <v>625000</v>
      </c>
      <c r="AA331" s="605" t="n">
        <v>625000</v>
      </c>
      <c r="AC331" s="605" t="inlineStr">
        <is>
          <t>0182505405003</t>
        </is>
      </c>
      <c r="AD331" s="605" t="inlineStr">
        <is>
          <t>2018000073695</t>
        </is>
      </c>
      <c r="AE331" s="653" t="inlineStr">
        <is>
          <t>ONEMANIVONG LINTHONG AND, PHOMMACHAN TINGKHAM</t>
        </is>
      </c>
      <c r="AF331" s="653" t="inlineStr">
        <is>
          <t>APEX AUTOS</t>
        </is>
      </c>
      <c r="AI331" s="605">
        <f>IF(AND($E331=Subj_OccCode,Subj_BldgSF&gt;0,ABS($L331-Subj_BldgSF)&lt;=Subj_BldgSF*Subj_SizeTol),ABS($L331-Subj_BldgSF),NA())</f>
        <v/>
      </c>
      <c r="AJ331" s="605">
        <f>IF(ISNA(AI331),NA(),AI331+ROW()/10000000)</f>
        <v/>
      </c>
    </row>
    <row r="332" ht="15" customHeight="1" s="545">
      <c r="A332" s="385" t="n">
        <v>8</v>
      </c>
      <c r="B332" s="605" t="n">
        <v>325</v>
      </c>
      <c r="C332" s="605" t="inlineStr">
        <is>
          <t>R0075378</t>
        </is>
      </c>
      <c r="D332" s="605" t="inlineStr">
        <is>
          <t>9695  BRIGHTON RD</t>
        </is>
      </c>
      <c r="E332" s="605" t="n">
        <v>344</v>
      </c>
      <c r="G332" s="605" t="inlineStr">
        <is>
          <t>2</t>
        </is>
      </c>
      <c r="H332" s="59">
        <f>Y332/J332</f>
        <v/>
      </c>
      <c r="I332" s="386" t="n">
        <v>43308</v>
      </c>
      <c r="J332" s="605" t="n">
        <v>3801</v>
      </c>
      <c r="L332" s="605" t="n">
        <v>3801</v>
      </c>
      <c r="M332" s="605" t="n">
        <v>1994</v>
      </c>
      <c r="P332" s="605" t="inlineStr">
        <is>
          <t>Industrial</t>
        </is>
      </c>
      <c r="R332" s="152" t="inlineStr">
        <is>
          <t>Average</t>
        </is>
      </c>
      <c r="S332" s="605" t="n">
        <v>87120</v>
      </c>
      <c r="T332" s="387">
        <f>S332/J332</f>
        <v/>
      </c>
      <c r="U332" s="605" t="inlineStr">
        <is>
          <t>Average</t>
        </is>
      </c>
      <c r="Y332" s="605" t="n">
        <v>736000</v>
      </c>
      <c r="AA332" s="605" t="n">
        <v>736000</v>
      </c>
      <c r="AC332" s="605" t="inlineStr">
        <is>
          <t>0172116009005</t>
        </is>
      </c>
      <c r="AD332" s="605" t="inlineStr">
        <is>
          <t>2018000061479</t>
        </is>
      </c>
      <c r="AE332" s="653" t="inlineStr">
        <is>
          <t>KOSMISKI FAMILY PARTNERSHIP LLLP</t>
        </is>
      </c>
      <c r="AF332" s="653" t="inlineStr">
        <is>
          <t>JT EMERY HOLDINGS LLC</t>
        </is>
      </c>
      <c r="AI332" s="605">
        <f>IF(AND($E332=Subj_OccCode,Subj_BldgSF&gt;0,ABS($L332-Subj_BldgSF)&lt;=Subj_BldgSF*Subj_SizeTol),ABS($L332-Subj_BldgSF),NA())</f>
        <v/>
      </c>
      <c r="AJ332" s="605">
        <f>IF(ISNA(AI332),NA(),AI332+ROW()/10000000)</f>
        <v/>
      </c>
    </row>
    <row r="333" ht="15" customHeight="1" s="545">
      <c r="A333" s="385" t="n">
        <v>8</v>
      </c>
      <c r="B333" s="605" t="n">
        <v>326</v>
      </c>
      <c r="C333" s="605" t="inlineStr">
        <is>
          <t>R0070677</t>
        </is>
      </c>
      <c r="D333" s="605" t="inlineStr">
        <is>
          <t>7855  YORK ST</t>
        </is>
      </c>
      <c r="E333" s="605" t="n">
        <v>353</v>
      </c>
      <c r="G333" s="605" t="inlineStr">
        <is>
          <t>4</t>
        </is>
      </c>
      <c r="H333" s="59">
        <f>Y333/J333</f>
        <v/>
      </c>
      <c r="I333" s="386" t="n">
        <v>44315</v>
      </c>
      <c r="J333" s="605" t="n">
        <v>4560</v>
      </c>
      <c r="L333" s="605" t="n">
        <v>4560</v>
      </c>
      <c r="M333" s="605" t="n">
        <v>1985</v>
      </c>
      <c r="P333" s="605" t="inlineStr">
        <is>
          <t>Commercial</t>
        </is>
      </c>
      <c r="R333" s="152" t="inlineStr">
        <is>
          <t>Average</t>
        </is>
      </c>
      <c r="S333" s="605" t="n">
        <v>25700</v>
      </c>
      <c r="T333" s="387">
        <f>S333/J333</f>
        <v/>
      </c>
      <c r="U333" s="605" t="inlineStr">
        <is>
          <t>Average</t>
        </is>
      </c>
      <c r="Y333" s="605" t="n">
        <v>1350000</v>
      </c>
      <c r="AA333" s="605" t="n">
        <v>1350000</v>
      </c>
      <c r="AC333" s="605" t="inlineStr">
        <is>
          <t>0171935103004</t>
        </is>
      </c>
      <c r="AD333" s="605" t="inlineStr">
        <is>
          <t>2021000053173</t>
        </is>
      </c>
      <c r="AE333" s="653" t="inlineStr">
        <is>
          <t>SANG SOO ENTERPRISES LLC</t>
        </is>
      </c>
      <c r="AF333" s="653" t="inlineStr">
        <is>
          <t>CHANG EUN JA</t>
        </is>
      </c>
      <c r="AI333" s="605">
        <f>IF(AND($E333=Subj_OccCode,Subj_BldgSF&gt;0,ABS($L333-Subj_BldgSF)&lt;=Subj_BldgSF*Subj_SizeTol),ABS($L333-Subj_BldgSF),NA())</f>
        <v/>
      </c>
      <c r="AJ333" s="605">
        <f>IF(ISNA(AI333),NA(),AI333+ROW()/10000000)</f>
        <v/>
      </c>
    </row>
    <row r="334" ht="15" customHeight="1" s="545">
      <c r="A334" s="385" t="n">
        <v>8</v>
      </c>
      <c r="B334" s="605" t="n">
        <v>327</v>
      </c>
      <c r="C334" s="605" t="inlineStr">
        <is>
          <t>R0097742</t>
        </is>
      </c>
      <c r="D334" s="605" t="inlineStr">
        <is>
          <t>11703 E COLFAX AVE</t>
        </is>
      </c>
      <c r="E334" s="605" t="n">
        <v>353</v>
      </c>
      <c r="F334" s="605" t="inlineStr">
        <is>
          <t>AURORA</t>
        </is>
      </c>
      <c r="G334" s="605" t="inlineStr">
        <is>
          <t>6</t>
        </is>
      </c>
      <c r="H334" s="59">
        <f>Y334/J334</f>
        <v/>
      </c>
      <c r="I334" s="386" t="n">
        <v>44592</v>
      </c>
      <c r="J334" s="605" t="n">
        <v>1624</v>
      </c>
      <c r="L334" s="605" t="n">
        <v>1624</v>
      </c>
      <c r="M334" s="605" t="n">
        <v>1970</v>
      </c>
      <c r="P334" s="605" t="inlineStr">
        <is>
          <t>OA-G</t>
        </is>
      </c>
      <c r="R334" s="152" t="inlineStr">
        <is>
          <t>Average</t>
        </is>
      </c>
      <c r="S334" s="605" t="n">
        <v>9520</v>
      </c>
      <c r="T334" s="387">
        <f>S334/J334</f>
        <v/>
      </c>
      <c r="U334" s="605" t="inlineStr">
        <is>
          <t>Average</t>
        </is>
      </c>
      <c r="Y334" s="605" t="n">
        <v>550000</v>
      </c>
      <c r="AA334" s="605" t="n">
        <v>550000</v>
      </c>
      <c r="AC334" s="605" t="inlineStr">
        <is>
          <t>0182335428005</t>
        </is>
      </c>
      <c r="AD334" s="605" t="inlineStr">
        <is>
          <t>2022000009896</t>
        </is>
      </c>
      <c r="AE334" s="653" t="inlineStr">
        <is>
          <t>TSAO RICK</t>
        </is>
      </c>
      <c r="AF334" s="653" t="inlineStr">
        <is>
          <t>WETTSTEIN HENRY</t>
        </is>
      </c>
      <c r="AI334" s="605">
        <f>IF(AND($E334=Subj_OccCode,Subj_BldgSF&gt;0,ABS($L334-Subj_BldgSF)&lt;=Subj_BldgSF*Subj_SizeTol),ABS($L334-Subj_BldgSF),NA())</f>
        <v/>
      </c>
      <c r="AJ334" s="605">
        <f>IF(ISNA(AI334),NA(),AI334+ROW()/10000000)</f>
        <v/>
      </c>
    </row>
    <row r="335" ht="15" customHeight="1" s="545">
      <c r="A335" s="385" t="n">
        <v>8</v>
      </c>
      <c r="B335" s="605" t="n">
        <v>328</v>
      </c>
      <c r="C335" s="605" t="inlineStr">
        <is>
          <t>R0092773</t>
        </is>
      </c>
      <c r="D335" s="605" t="inlineStr">
        <is>
          <t>4810  NEWPORT ST</t>
        </is>
      </c>
      <c r="E335" s="605" t="n">
        <v>407</v>
      </c>
      <c r="F335" s="605" t="inlineStr">
        <is>
          <t>COMMERCE CITY</t>
        </is>
      </c>
      <c r="G335" s="605" t="inlineStr">
        <is>
          <t>5</t>
        </is>
      </c>
      <c r="H335" s="59">
        <f>Y335/J335</f>
        <v/>
      </c>
      <c r="I335" s="386" t="n">
        <v>44134</v>
      </c>
      <c r="J335" s="605" t="n">
        <v>15500</v>
      </c>
      <c r="L335" s="605" t="n">
        <v>15500</v>
      </c>
      <c r="M335" s="605" t="n">
        <v>1970</v>
      </c>
      <c r="P335" s="605" t="inlineStr">
        <is>
          <t>I-1S</t>
        </is>
      </c>
      <c r="R335" s="152" t="inlineStr">
        <is>
          <t>Average</t>
        </is>
      </c>
      <c r="S335" s="605" t="n">
        <v>34300</v>
      </c>
      <c r="T335" s="387">
        <f>S335/J335</f>
        <v/>
      </c>
      <c r="U335" s="605" t="inlineStr">
        <is>
          <t>Average</t>
        </is>
      </c>
      <c r="Y335" s="605" t="n">
        <v>2000000</v>
      </c>
      <c r="AA335" s="605" t="n">
        <v>2000000</v>
      </c>
      <c r="AC335" s="605" t="inlineStr">
        <is>
          <t>0182317408037</t>
        </is>
      </c>
      <c r="AD335" s="605" t="inlineStr">
        <is>
          <t>2020000112839</t>
        </is>
      </c>
      <c r="AE335" s="653" t="inlineStr">
        <is>
          <t>ROCKING K PROPERTIES LLC</t>
        </is>
      </c>
      <c r="AF335" s="653" t="inlineStr">
        <is>
          <t>REDDY MALIREDDY S AND, REDDY SYAMA M</t>
        </is>
      </c>
      <c r="AI335" s="605">
        <f>IF(AND($E335=Subj_OccCode,Subj_BldgSF&gt;0,ABS($L335-Subj_BldgSF)&lt;=Subj_BldgSF*Subj_SizeTol),ABS($L335-Subj_BldgSF),NA())</f>
        <v/>
      </c>
      <c r="AJ335" s="605">
        <f>IF(ISNA(AI335),NA(),AI335+ROW()/10000000)</f>
        <v/>
      </c>
    </row>
    <row r="336" ht="15" customHeight="1" s="545">
      <c r="A336" s="385" t="n">
        <v>8</v>
      </c>
      <c r="B336" s="605" t="n">
        <v>329</v>
      </c>
      <c r="C336" s="605" t="inlineStr">
        <is>
          <t>R0002808</t>
        </is>
      </c>
      <c r="D336" s="605" t="inlineStr">
        <is>
          <t>123 N MAIN ST</t>
        </is>
      </c>
      <c r="E336" s="605" t="n">
        <v>353</v>
      </c>
      <c r="F336" s="605" t="inlineStr">
        <is>
          <t>BRIGHTON</t>
        </is>
      </c>
      <c r="G336" s="605" t="inlineStr">
        <is>
          <t>2</t>
        </is>
      </c>
      <c r="H336" s="59">
        <f>Y336/J336</f>
        <v/>
      </c>
      <c r="I336" s="386" t="n">
        <v>43194</v>
      </c>
      <c r="J336" s="605" t="n">
        <v>3900</v>
      </c>
      <c r="L336" s="605" t="n">
        <v>3900</v>
      </c>
      <c r="M336" s="605" t="n">
        <v>1897</v>
      </c>
      <c r="P336" s="605" t="inlineStr">
        <is>
          <t>Brighton</t>
        </is>
      </c>
      <c r="R336" s="152" t="inlineStr">
        <is>
          <t>Average</t>
        </is>
      </c>
      <c r="S336" s="605" t="n">
        <v>10000</v>
      </c>
      <c r="T336" s="387">
        <f>S336/J336</f>
        <v/>
      </c>
      <c r="U336" s="605" t="inlineStr">
        <is>
          <t>Good</t>
        </is>
      </c>
      <c r="Y336" s="605" t="n">
        <v>650000</v>
      </c>
      <c r="AA336" s="605" t="n">
        <v>650000</v>
      </c>
      <c r="AC336" s="605" t="inlineStr">
        <is>
          <t>0156906311007</t>
        </is>
      </c>
      <c r="AD336" s="605" t="inlineStr">
        <is>
          <t>2018000028585</t>
        </is>
      </c>
      <c r="AE336" s="653" t="inlineStr">
        <is>
          <t>FERGUSON LANCE A/VINCENT DEBRA A, FERGUSON JENNIFER L/VINCENT JAMES W</t>
        </is>
      </c>
      <c r="AF336" s="653" t="inlineStr">
        <is>
          <t>HERR FAMILY LLC</t>
        </is>
      </c>
      <c r="AI336" s="605">
        <f>IF(AND($E336=Subj_OccCode,Subj_BldgSF&gt;0,ABS($L336-Subj_BldgSF)&lt;=Subj_BldgSF*Subj_SizeTol),ABS($L336-Subj_BldgSF),NA())</f>
        <v/>
      </c>
      <c r="AJ336" s="605">
        <f>IF(ISNA(AI336),NA(),AI336+ROW()/10000000)</f>
        <v/>
      </c>
    </row>
    <row r="337" ht="15" customHeight="1" s="545">
      <c r="A337" s="385" t="n">
        <v>8</v>
      </c>
      <c r="B337" s="605" t="n">
        <v>330</v>
      </c>
      <c r="C337" s="605" t="inlineStr">
        <is>
          <t>R0002784</t>
        </is>
      </c>
      <c r="D337" s="605" t="inlineStr">
        <is>
          <t>323  WALNUT ST</t>
        </is>
      </c>
      <c r="E337" s="605" t="n">
        <v>406</v>
      </c>
      <c r="F337" s="605" t="inlineStr">
        <is>
          <t>BRIGHTON</t>
        </is>
      </c>
      <c r="G337" s="605" t="inlineStr">
        <is>
          <t>2</t>
        </is>
      </c>
      <c r="H337" s="59">
        <f>Y337/J337</f>
        <v/>
      </c>
      <c r="I337" s="386" t="n">
        <v>43549</v>
      </c>
      <c r="J337" s="605" t="n">
        <v>5760</v>
      </c>
      <c r="L337" s="605" t="n">
        <v>5760</v>
      </c>
      <c r="M337" s="605" t="n">
        <v>1979</v>
      </c>
      <c r="P337" s="605" t="inlineStr">
        <is>
          <t>Brighton</t>
        </is>
      </c>
      <c r="R337" s="152" t="inlineStr">
        <is>
          <t>Average</t>
        </is>
      </c>
      <c r="S337" s="605" t="n">
        <v>15000</v>
      </c>
      <c r="T337" s="387">
        <f>S337/J337</f>
        <v/>
      </c>
      <c r="U337" s="605" t="inlineStr">
        <is>
          <t>Average</t>
        </is>
      </c>
      <c r="Y337" s="605" t="n">
        <v>575000</v>
      </c>
      <c r="AA337" s="605" t="n">
        <v>575000</v>
      </c>
      <c r="AC337" s="605" t="inlineStr">
        <is>
          <t>0156906308014</t>
        </is>
      </c>
      <c r="AD337" s="605" t="inlineStr">
        <is>
          <t>2019000022090</t>
        </is>
      </c>
      <c r="AE337" s="653" t="inlineStr">
        <is>
          <t>D AND R EZZELL INC</t>
        </is>
      </c>
      <c r="AF337" s="653" t="inlineStr">
        <is>
          <t>323 WALNUT ST LLC</t>
        </is>
      </c>
      <c r="AI337" s="605">
        <f>IF(AND($E337=Subj_OccCode,Subj_BldgSF&gt;0,ABS($L337-Subj_BldgSF)&lt;=Subj_BldgSF*Subj_SizeTol),ABS($L337-Subj_BldgSF),NA())</f>
        <v/>
      </c>
      <c r="AJ337" s="605">
        <f>IF(ISNA(AI337),NA(),AI337+ROW()/10000000)</f>
        <v/>
      </c>
    </row>
    <row r="338" ht="15" customHeight="1" s="545">
      <c r="A338" s="385" t="n">
        <v>8</v>
      </c>
      <c r="B338" s="605" t="n">
        <v>331</v>
      </c>
      <c r="C338" s="605" t="inlineStr">
        <is>
          <t>R0002727</t>
        </is>
      </c>
      <c r="D338" s="605" t="inlineStr">
        <is>
          <t>361 N MAIN ST</t>
        </is>
      </c>
      <c r="E338" s="605" t="n">
        <v>350</v>
      </c>
      <c r="F338" s="605" t="inlineStr">
        <is>
          <t>BRIGHTON</t>
        </is>
      </c>
      <c r="G338" s="605" t="inlineStr">
        <is>
          <t>2</t>
        </is>
      </c>
      <c r="H338" s="59">
        <f>Y338/J338</f>
        <v/>
      </c>
      <c r="I338" s="386" t="n">
        <v>44063</v>
      </c>
      <c r="J338" s="605" t="n">
        <v>704</v>
      </c>
      <c r="L338" s="605" t="n">
        <v>704</v>
      </c>
      <c r="M338" s="605" t="n">
        <v>1945</v>
      </c>
      <c r="P338" s="605" t="inlineStr">
        <is>
          <t>I-1-Bri</t>
        </is>
      </c>
      <c r="R338" s="152" t="inlineStr">
        <is>
          <t>Good</t>
        </is>
      </c>
      <c r="S338" s="605" t="n">
        <v>5000</v>
      </c>
      <c r="T338" s="387">
        <f>S338/J338</f>
        <v/>
      </c>
      <c r="U338" s="605" t="inlineStr">
        <is>
          <t>Good</t>
        </is>
      </c>
      <c r="Y338" s="605" t="n">
        <v>275000</v>
      </c>
      <c r="AA338" s="605" t="n">
        <v>275000</v>
      </c>
      <c r="AC338" s="605" t="inlineStr">
        <is>
          <t>0156906302004</t>
        </is>
      </c>
      <c r="AD338" s="605" t="inlineStr">
        <is>
          <t>2020000084065</t>
        </is>
      </c>
      <c r="AE338" s="653" t="inlineStr">
        <is>
          <t>HERNANDEZ GUADALUPE MERAZ AND, MERAZ HEIDY L</t>
        </is>
      </c>
      <c r="AF338" s="653" t="inlineStr">
        <is>
          <t>ROJO ORDONES ERICK MANUEL AND, ROJO ISABEL</t>
        </is>
      </c>
      <c r="AI338" s="605">
        <f>IF(AND($E338=Subj_OccCode,Subj_BldgSF&gt;0,ABS($L338-Subj_BldgSF)&lt;=Subj_BldgSF*Subj_SizeTol),ABS($L338-Subj_BldgSF),NA())</f>
        <v/>
      </c>
      <c r="AJ338" s="605">
        <f>IF(ISNA(AI338),NA(),AI338+ROW()/10000000)</f>
        <v/>
      </c>
    </row>
    <row r="339" ht="15" customHeight="1" s="545">
      <c r="A339" s="385" t="n">
        <v>8</v>
      </c>
      <c r="B339" s="605" t="n">
        <v>332</v>
      </c>
      <c r="C339" s="605" t="inlineStr">
        <is>
          <t>R0082776</t>
        </is>
      </c>
      <c r="D339" s="605" t="inlineStr">
        <is>
          <t>675  PALMER AVE</t>
        </is>
      </c>
      <c r="E339" s="605" t="n">
        <v>353</v>
      </c>
      <c r="F339" s="605" t="inlineStr">
        <is>
          <t>BENNETT</t>
        </is>
      </c>
      <c r="G339" s="605" t="inlineStr">
        <is>
          <t>1</t>
        </is>
      </c>
      <c r="H339" s="59">
        <f>Y339/J339</f>
        <v/>
      </c>
      <c r="I339" s="386" t="n">
        <v>44650</v>
      </c>
      <c r="J339" s="605" t="n">
        <v>1189</v>
      </c>
      <c r="L339" s="605" t="n">
        <v>1189</v>
      </c>
      <c r="M339" s="605" t="n">
        <v>1961</v>
      </c>
      <c r="P339" s="605" t="inlineStr">
        <is>
          <t>Bennett</t>
        </is>
      </c>
      <c r="R339" s="152" t="inlineStr">
        <is>
          <t>Average</t>
        </is>
      </c>
      <c r="S339" s="605" t="n">
        <v>8250</v>
      </c>
      <c r="T339" s="387">
        <f>S339/J339</f>
        <v/>
      </c>
      <c r="U339" s="605" t="inlineStr">
        <is>
          <t>Average</t>
        </is>
      </c>
      <c r="Y339" s="605" t="n">
        <v>280000</v>
      </c>
      <c r="AA339" s="605" t="n">
        <v>280000</v>
      </c>
      <c r="AC339" s="605" t="inlineStr">
        <is>
          <t>0181527316010</t>
        </is>
      </c>
      <c r="AD339" s="605" t="inlineStr">
        <is>
          <t>2022000031446</t>
        </is>
      </c>
      <c r="AE339" s="653" t="inlineStr">
        <is>
          <t>TAM REALTY LLC</t>
        </is>
      </c>
      <c r="AF339" s="653" t="inlineStr">
        <is>
          <t>NASA BURROUGHS LLC</t>
        </is>
      </c>
      <c r="AI339" s="605">
        <f>IF(AND($E339=Subj_OccCode,Subj_BldgSF&gt;0,ABS($L339-Subj_BldgSF)&lt;=Subj_BldgSF*Subj_SizeTol),ABS($L339-Subj_BldgSF),NA())</f>
        <v/>
      </c>
      <c r="AJ339" s="605">
        <f>IF(ISNA(AI339),NA(),AI339+ROW()/10000000)</f>
        <v/>
      </c>
    </row>
    <row r="340" ht="15" customHeight="1" s="545">
      <c r="A340" s="385" t="n">
        <v>8</v>
      </c>
      <c r="B340" s="605" t="n">
        <v>333</v>
      </c>
      <c r="C340" s="605" t="inlineStr">
        <is>
          <t>R0081717</t>
        </is>
      </c>
      <c r="D340" s="605" t="inlineStr">
        <is>
          <t>3803 HEADLIGHT RD</t>
        </is>
      </c>
      <c r="E340" s="605" t="n">
        <v>406</v>
      </c>
      <c r="G340" s="605" t="inlineStr">
        <is>
          <t>1</t>
        </is>
      </c>
      <c r="H340" s="59">
        <f>Y340/J340</f>
        <v/>
      </c>
      <c r="I340" s="386" t="n">
        <v>43102</v>
      </c>
      <c r="J340" s="605" t="n">
        <v>19887</v>
      </c>
      <c r="L340" s="605" t="n">
        <v>19887</v>
      </c>
      <c r="M340" s="605" t="n">
        <v>1993</v>
      </c>
      <c r="P340" s="605" t="inlineStr">
        <is>
          <t>Agricultural</t>
        </is>
      </c>
      <c r="R340" s="152" t="inlineStr">
        <is>
          <t>Low</t>
        </is>
      </c>
      <c r="S340" s="605" t="n">
        <v>1244073.6</v>
      </c>
      <c r="T340" s="387">
        <f>S340/J340</f>
        <v/>
      </c>
      <c r="U340" s="605" t="inlineStr">
        <is>
          <t>Fair</t>
        </is>
      </c>
      <c r="Y340" s="605" t="n">
        <v>975000</v>
      </c>
      <c r="AA340" s="605" t="n">
        <v>975000</v>
      </c>
      <c r="AC340" s="605" t="inlineStr">
        <is>
          <t>0181300008008</t>
        </is>
      </c>
      <c r="AD340" s="605" t="inlineStr">
        <is>
          <t>2018000001180</t>
        </is>
      </c>
      <c r="AE340" s="653" t="inlineStr">
        <is>
          <t>HUTTON CONTRACTING COMPANY, INC</t>
        </is>
      </c>
      <c r="AF340" s="653" t="inlineStr">
        <is>
          <t>JONES JEFFREY A</t>
        </is>
      </c>
      <c r="AI340" s="605">
        <f>IF(AND($E340=Subj_OccCode,Subj_BldgSF&gt;0,ABS($L340-Subj_BldgSF)&lt;=Subj_BldgSF*Subj_SizeTol),ABS($L340-Subj_BldgSF),NA())</f>
        <v/>
      </c>
      <c r="AJ340" s="605">
        <f>IF(ISNA(AI340),NA(),AI340+ROW()/10000000)</f>
        <v/>
      </c>
    </row>
    <row r="341" ht="15" customHeight="1" s="545">
      <c r="A341" s="385" t="n">
        <v>8</v>
      </c>
      <c r="B341" s="605" t="n">
        <v>334</v>
      </c>
      <c r="C341" s="605" t="inlineStr">
        <is>
          <t>R0098103</t>
        </is>
      </c>
      <c r="D341" s="605" t="inlineStr">
        <is>
          <t>1247 E 68TH AVE</t>
        </is>
      </c>
      <c r="E341" s="605" t="n">
        <v>406</v>
      </c>
      <c r="G341" s="605" t="inlineStr">
        <is>
          <t>5</t>
        </is>
      </c>
      <c r="H341" s="59">
        <f>Y341/J341</f>
        <v/>
      </c>
      <c r="I341" s="386" t="n">
        <v>43705</v>
      </c>
      <c r="J341" s="605" t="n">
        <v>25300</v>
      </c>
      <c r="L341" s="605" t="n">
        <v>25300</v>
      </c>
      <c r="M341" s="605" t="n">
        <v>1994</v>
      </c>
      <c r="P341" s="605" t="inlineStr">
        <is>
          <t>Industrial</t>
        </is>
      </c>
      <c r="R341" s="152" t="inlineStr">
        <is>
          <t>Average</t>
        </is>
      </c>
      <c r="S341" s="605" t="n">
        <v>197703</v>
      </c>
      <c r="T341" s="387">
        <f>S341/J341</f>
        <v/>
      </c>
      <c r="U341" s="605" t="inlineStr">
        <is>
          <t>Average</t>
        </is>
      </c>
      <c r="Y341" s="605" t="n">
        <v>3285000</v>
      </c>
      <c r="AA341" s="605" t="n">
        <v>3285000</v>
      </c>
      <c r="AC341" s="605" t="inlineStr">
        <is>
          <t>0182502205015</t>
        </is>
      </c>
      <c r="AD341" s="605" t="inlineStr">
        <is>
          <t>2019000071126</t>
        </is>
      </c>
      <c r="AE341" s="653" t="inlineStr">
        <is>
          <t>JHDS LLC</t>
        </is>
      </c>
      <c r="AF341" s="653" t="inlineStr">
        <is>
          <t>JECO HOLDINGS INC</t>
        </is>
      </c>
      <c r="AI341" s="605">
        <f>IF(AND($E341=Subj_OccCode,Subj_BldgSF&gt;0,ABS($L341-Subj_BldgSF)&lt;=Subj_BldgSF*Subj_SizeTol),ABS($L341-Subj_BldgSF),NA())</f>
        <v/>
      </c>
      <c r="AJ341" s="605">
        <f>IF(ISNA(AI341),NA(),AI341+ROW()/10000000)</f>
        <v/>
      </c>
    </row>
    <row r="342" ht="15" customHeight="1" s="545">
      <c r="A342" s="385" t="n">
        <v>8</v>
      </c>
      <c r="B342" s="605" t="n">
        <v>335</v>
      </c>
      <c r="C342" s="605" t="inlineStr">
        <is>
          <t>R0093109</t>
        </is>
      </c>
      <c r="D342" s="605" t="inlineStr">
        <is>
          <t>3250  QUENTIN ST</t>
        </is>
      </c>
      <c r="E342" s="605" t="n">
        <v>407</v>
      </c>
      <c r="F342" s="605" t="inlineStr">
        <is>
          <t>AURORA</t>
        </is>
      </c>
      <c r="G342" s="605" t="inlineStr">
        <is>
          <t>6</t>
        </is>
      </c>
      <c r="H342" s="59">
        <f>Y342/J342</f>
        <v/>
      </c>
      <c r="I342" s="386" t="n">
        <v>44168</v>
      </c>
      <c r="J342" s="605" t="n">
        <v>144468</v>
      </c>
      <c r="L342" s="605" t="n">
        <v>144468</v>
      </c>
      <c r="M342" s="605" t="n">
        <v>1985</v>
      </c>
      <c r="P342" s="605" t="inlineStr">
        <is>
          <t>M-1-Aur</t>
        </is>
      </c>
      <c r="R342" s="152" t="inlineStr">
        <is>
          <t>Good</t>
        </is>
      </c>
      <c r="S342" s="605" t="n">
        <v>363339</v>
      </c>
      <c r="T342" s="387">
        <f>S342/J342</f>
        <v/>
      </c>
      <c r="U342" s="605" t="inlineStr">
        <is>
          <t>Average</t>
        </is>
      </c>
      <c r="Y342" s="605" t="n">
        <v>16000000</v>
      </c>
      <c r="AA342" s="605" t="n">
        <v>16000000</v>
      </c>
      <c r="AC342" s="605" t="inlineStr">
        <is>
          <t>0182325212001</t>
        </is>
      </c>
      <c r="AD342" s="605" t="inlineStr">
        <is>
          <t>2020000126568</t>
        </is>
      </c>
      <c r="AE342" s="653" t="inlineStr">
        <is>
          <t>FIRST INDUSTRIAL LP</t>
        </is>
      </c>
      <c r="AF342" s="653" t="inlineStr">
        <is>
          <t>HZ SORRENTO HIGHPOINTE SQUARE LLC ET AL</t>
        </is>
      </c>
      <c r="AI342" s="605">
        <f>IF(AND($E342=Subj_OccCode,Subj_BldgSF&gt;0,ABS($L342-Subj_BldgSF)&lt;=Subj_BldgSF*Subj_SizeTol),ABS($L342-Subj_BldgSF),NA())</f>
        <v/>
      </c>
      <c r="AJ342" s="605">
        <f>IF(ISNA(AI342),NA(),AI342+ROW()/10000000)</f>
        <v/>
      </c>
    </row>
    <row r="343" ht="15" customHeight="1" s="545">
      <c r="A343" s="385" t="n">
        <v>8</v>
      </c>
      <c r="B343" s="605" t="n">
        <v>336</v>
      </c>
      <c r="C343" s="605" t="inlineStr">
        <is>
          <t>R0092662</t>
        </is>
      </c>
      <c r="D343" s="605" t="inlineStr">
        <is>
          <t>6440 E 50TH AVE</t>
        </is>
      </c>
      <c r="E343" s="605" t="n">
        <v>407</v>
      </c>
      <c r="F343" s="605" t="inlineStr">
        <is>
          <t>COMMERCE CITY</t>
        </is>
      </c>
      <c r="G343" s="605" t="inlineStr">
        <is>
          <t>5</t>
        </is>
      </c>
      <c r="H343" s="59">
        <f>Y343/J343</f>
        <v/>
      </c>
      <c r="I343" s="386" t="n">
        <v>44309</v>
      </c>
      <c r="J343" s="605" t="n">
        <v>5840</v>
      </c>
      <c r="L343" s="605" t="n">
        <v>5840</v>
      </c>
      <c r="M343" s="605" t="n">
        <v>1962</v>
      </c>
      <c r="P343" s="605" t="inlineStr">
        <is>
          <t>I-1S</t>
        </is>
      </c>
      <c r="R343" s="152" t="inlineStr">
        <is>
          <t>Average</t>
        </is>
      </c>
      <c r="S343" s="605" t="n">
        <v>11725</v>
      </c>
      <c r="T343" s="387">
        <f>S343/J343</f>
        <v/>
      </c>
      <c r="U343" s="605" t="inlineStr">
        <is>
          <t>Average</t>
        </is>
      </c>
      <c r="Y343" s="605" t="n">
        <v>1075000</v>
      </c>
      <c r="AA343" s="605" t="n">
        <v>1075000</v>
      </c>
      <c r="AC343" s="605" t="inlineStr">
        <is>
          <t>0182317301021</t>
        </is>
      </c>
      <c r="AD343" s="605" t="inlineStr">
        <is>
          <t>2021000050390</t>
        </is>
      </c>
      <c r="AE343" s="653" t="inlineStr">
        <is>
          <t>NORTH SHORE PROPERTIES LLC</t>
        </is>
      </c>
      <c r="AF343" s="653" t="inlineStr">
        <is>
          <t>MPI LAND BROKERS LLC</t>
        </is>
      </c>
      <c r="AI343" s="605">
        <f>IF(AND($E343=Subj_OccCode,Subj_BldgSF&gt;0,ABS($L343-Subj_BldgSF)&lt;=Subj_BldgSF*Subj_SizeTol),ABS($L343-Subj_BldgSF),NA())</f>
        <v/>
      </c>
      <c r="AJ343" s="605">
        <f>IF(ISNA(AI343),NA(),AI343+ROW()/10000000)</f>
        <v/>
      </c>
    </row>
    <row r="344" ht="15" customHeight="1" s="545">
      <c r="A344" s="385" t="n">
        <v>8</v>
      </c>
      <c r="B344" s="605" t="n">
        <v>337</v>
      </c>
      <c r="C344" s="605" t="inlineStr">
        <is>
          <t>R0103633</t>
        </is>
      </c>
      <c r="D344" s="605" t="inlineStr">
        <is>
          <t>6348  DOWNING ST</t>
        </is>
      </c>
      <c r="E344" s="605" t="n">
        <v>325</v>
      </c>
      <c r="G344" s="605" t="inlineStr">
        <is>
          <t>2</t>
        </is>
      </c>
      <c r="H344" s="59">
        <f>Y344/J344</f>
        <v/>
      </c>
      <c r="I344" s="386" t="n">
        <v>43356</v>
      </c>
      <c r="J344" s="605" t="n">
        <v>4816</v>
      </c>
      <c r="L344" s="605" t="n">
        <v>4816</v>
      </c>
      <c r="M344" s="605" t="n">
        <v>1983</v>
      </c>
      <c r="P344" s="605" t="inlineStr">
        <is>
          <t>Industrial</t>
        </is>
      </c>
      <c r="R344" s="152" t="inlineStr">
        <is>
          <t>Average</t>
        </is>
      </c>
      <c r="S344" s="605" t="n">
        <v>15000</v>
      </c>
      <c r="T344" s="387">
        <f>S344/J344</f>
        <v/>
      </c>
      <c r="U344" s="605" t="inlineStr">
        <is>
          <t>Average</t>
        </is>
      </c>
      <c r="Y344" s="605" t="n">
        <v>475000</v>
      </c>
      <c r="AA344" s="605" t="n">
        <v>475000</v>
      </c>
      <c r="AC344" s="605" t="inlineStr">
        <is>
          <t>0182511201005</t>
        </is>
      </c>
      <c r="AD344" s="605" t="inlineStr">
        <is>
          <t>2018000075103</t>
        </is>
      </c>
      <c r="AE344" s="653" t="inlineStr">
        <is>
          <t>C B QUICK AND CO</t>
        </is>
      </c>
      <c r="AF344" s="653" t="inlineStr">
        <is>
          <t>SPEEDWAY GARAGES LLC</t>
        </is>
      </c>
      <c r="AI344" s="605">
        <f>IF(AND($E344=Subj_OccCode,Subj_BldgSF&gt;0,ABS($L344-Subj_BldgSF)&lt;=Subj_BldgSF*Subj_SizeTol),ABS($L344-Subj_BldgSF),NA())</f>
        <v/>
      </c>
      <c r="AJ344" s="605">
        <f>IF(ISNA(AI344),NA(),AI344+ROW()/10000000)</f>
        <v/>
      </c>
    </row>
    <row r="345" ht="15" customHeight="1" s="545">
      <c r="A345" s="385" t="n">
        <v>8</v>
      </c>
      <c r="B345" s="605" t="n">
        <v>338</v>
      </c>
      <c r="C345" s="605" t="inlineStr">
        <is>
          <t>R0103645</t>
        </is>
      </c>
      <c r="D345" s="605" t="inlineStr">
        <is>
          <t>6260  DOWNING ST</t>
        </is>
      </c>
      <c r="E345" s="605" t="n">
        <v>407</v>
      </c>
      <c r="G345" s="605" t="inlineStr">
        <is>
          <t>5</t>
        </is>
      </c>
      <c r="H345" s="59">
        <f>Y345/J345</f>
        <v/>
      </c>
      <c r="I345" s="386" t="n">
        <v>44281</v>
      </c>
      <c r="J345" s="605" t="n">
        <v>56000</v>
      </c>
      <c r="L345" s="605" t="n">
        <v>56000</v>
      </c>
      <c r="M345" s="605" t="n">
        <v>1978</v>
      </c>
      <c r="P345" s="605" t="inlineStr">
        <is>
          <t>Industrial</t>
        </is>
      </c>
      <c r="R345" s="152" t="inlineStr">
        <is>
          <t>Average</t>
        </is>
      </c>
      <c r="S345" s="605" t="n">
        <v>162914</v>
      </c>
      <c r="T345" s="387">
        <f>S345/J345</f>
        <v/>
      </c>
      <c r="U345" s="605" t="inlineStr">
        <is>
          <t>Average</t>
        </is>
      </c>
      <c r="Y345" s="605" t="n">
        <v>7400000</v>
      </c>
      <c r="AA345" s="605" t="n">
        <v>7400000</v>
      </c>
      <c r="AC345" s="605" t="inlineStr">
        <is>
          <t>0182511201024</t>
        </is>
      </c>
      <c r="AD345" s="605" t="inlineStr">
        <is>
          <t>2021000037593</t>
        </is>
      </c>
      <c r="AE345" s="653" t="inlineStr">
        <is>
          <t>H &amp; S PROPERTIES LLC</t>
        </is>
      </c>
      <c r="AF345" s="653" t="inlineStr">
        <is>
          <t>BWR HOLDINGS LLLP</t>
        </is>
      </c>
      <c r="AI345" s="605">
        <f>IF(AND($E345=Subj_OccCode,Subj_BldgSF&gt;0,ABS($L345-Subj_BldgSF)&lt;=Subj_BldgSF*Subj_SizeTol),ABS($L345-Subj_BldgSF),NA())</f>
        <v/>
      </c>
      <c r="AJ345" s="605">
        <f>IF(ISNA(AI345),NA(),AI345+ROW()/10000000)</f>
        <v/>
      </c>
    </row>
    <row r="346" ht="15" customHeight="1" s="545">
      <c r="A346" s="385" t="n">
        <v>8</v>
      </c>
      <c r="B346" s="605" t="n">
        <v>339</v>
      </c>
      <c r="C346" s="605" t="inlineStr">
        <is>
          <t>R0112007</t>
        </is>
      </c>
      <c r="D346" s="605" t="inlineStr">
        <is>
          <t>6510  FRANKLIN ST</t>
        </is>
      </c>
      <c r="E346" s="605" t="n">
        <v>407</v>
      </c>
      <c r="G346" s="605" t="inlineStr">
        <is>
          <t>5</t>
        </is>
      </c>
      <c r="H346" s="59">
        <f>Y346/J346</f>
        <v/>
      </c>
      <c r="I346" s="386" t="n">
        <v>43251</v>
      </c>
      <c r="J346" s="605" t="n">
        <v>15112</v>
      </c>
      <c r="L346" s="605" t="n">
        <v>15112</v>
      </c>
      <c r="M346" s="605" t="n">
        <v>1998</v>
      </c>
      <c r="P346" s="605" t="inlineStr">
        <is>
          <t>Planned Unit Development</t>
        </is>
      </c>
      <c r="R346" s="152" t="inlineStr">
        <is>
          <t>Average</t>
        </is>
      </c>
      <c r="S346" s="605" t="n">
        <v>43995.6016</v>
      </c>
      <c r="T346" s="387">
        <f>S346/J346</f>
        <v/>
      </c>
      <c r="U346" s="605" t="inlineStr">
        <is>
          <t>Average</t>
        </is>
      </c>
      <c r="Y346" s="605" t="n">
        <v>2100000</v>
      </c>
      <c r="AA346" s="605" t="n">
        <v>2100000</v>
      </c>
      <c r="AC346" s="605" t="inlineStr">
        <is>
          <t>0182502403035</t>
        </is>
      </c>
      <c r="AD346" s="605" t="inlineStr">
        <is>
          <t>2018000044587</t>
        </is>
      </c>
      <c r="AE346" s="653" t="inlineStr">
        <is>
          <t>FPT PROPERTIES LLC</t>
        </is>
      </c>
      <c r="AF346" s="653" t="inlineStr">
        <is>
          <t>6510 PROPERTIES LLC</t>
        </is>
      </c>
      <c r="AI346" s="605">
        <f>IF(AND($E346=Subj_OccCode,Subj_BldgSF&gt;0,ABS($L346-Subj_BldgSF)&lt;=Subj_BldgSF*Subj_SizeTol),ABS($L346-Subj_BldgSF),NA())</f>
        <v/>
      </c>
      <c r="AJ346" s="605">
        <f>IF(ISNA(AI346),NA(),AI346+ROW()/10000000)</f>
        <v/>
      </c>
    </row>
    <row r="347" ht="15" customHeight="1" s="545">
      <c r="A347" s="385" t="n">
        <v>8</v>
      </c>
      <c r="B347" s="605" t="n">
        <v>340</v>
      </c>
      <c r="C347" s="605" t="inlineStr">
        <is>
          <t>R0112005</t>
        </is>
      </c>
      <c r="D347" s="605" t="inlineStr">
        <is>
          <t>1780 E 66TH AVE</t>
        </is>
      </c>
      <c r="E347" s="605" t="n">
        <v>334</v>
      </c>
      <c r="G347" s="605" t="inlineStr">
        <is>
          <t>5</t>
        </is>
      </c>
      <c r="H347" s="59">
        <f>Y347/J347</f>
        <v/>
      </c>
      <c r="I347" s="386" t="n">
        <v>44399</v>
      </c>
      <c r="J347" s="605" t="n">
        <v>49054</v>
      </c>
      <c r="L347" s="605" t="n">
        <v>49054</v>
      </c>
      <c r="M347" s="605" t="n">
        <v>1999</v>
      </c>
      <c r="P347" s="605" t="inlineStr">
        <is>
          <t>Planned Unit Development</t>
        </is>
      </c>
      <c r="R347" s="152" t="inlineStr">
        <is>
          <t>Average</t>
        </is>
      </c>
      <c r="S347" s="605" t="n">
        <v>87555.60159999999</v>
      </c>
      <c r="T347" s="387">
        <f>S347/J347</f>
        <v/>
      </c>
      <c r="U347" s="605" t="inlineStr">
        <is>
          <t>Average</t>
        </is>
      </c>
      <c r="Y347" s="605" t="n">
        <v>6323500</v>
      </c>
      <c r="AA347" s="605" t="n">
        <v>6323500</v>
      </c>
      <c r="AC347" s="605" t="inlineStr">
        <is>
          <t>0182502403033</t>
        </is>
      </c>
      <c r="AD347" s="605" t="inlineStr">
        <is>
          <t>2021000090265</t>
        </is>
      </c>
      <c r="AE347" s="653" t="inlineStr">
        <is>
          <t>TRUSTILE DOORS LLC</t>
        </is>
      </c>
      <c r="AF347" s="653" t="inlineStr">
        <is>
          <t>GWP LLC</t>
        </is>
      </c>
      <c r="AI347" s="605">
        <f>IF(AND($E347=Subj_OccCode,Subj_BldgSF&gt;0,ABS($L347-Subj_BldgSF)&lt;=Subj_BldgSF*Subj_SizeTol),ABS($L347-Subj_BldgSF),NA())</f>
        <v/>
      </c>
      <c r="AJ347" s="605">
        <f>IF(ISNA(AI347),NA(),AI347+ROW()/10000000)</f>
        <v/>
      </c>
    </row>
    <row r="348" ht="15" customHeight="1" s="545">
      <c r="A348" s="385" t="n">
        <v>8</v>
      </c>
      <c r="B348" s="605" t="n">
        <v>341</v>
      </c>
      <c r="C348" s="605" t="inlineStr">
        <is>
          <t>R0104136</t>
        </is>
      </c>
      <c r="D348" s="605" t="inlineStr">
        <is>
          <t>5270  FOX ST</t>
        </is>
      </c>
      <c r="E348" s="605" t="n">
        <v>407</v>
      </c>
      <c r="G348" s="605" t="inlineStr">
        <is>
          <t>5</t>
        </is>
      </c>
      <c r="H348" s="59">
        <f>Y348/J348</f>
        <v/>
      </c>
      <c r="I348" s="386" t="n">
        <v>44358</v>
      </c>
      <c r="J348" s="605" t="n">
        <v>130296</v>
      </c>
      <c r="L348" s="605" t="n">
        <v>130296</v>
      </c>
      <c r="M348" s="605" t="n">
        <v>1969</v>
      </c>
      <c r="P348" s="605" t="inlineStr">
        <is>
          <t>Industrial</t>
        </is>
      </c>
      <c r="R348" s="152" t="inlineStr">
        <is>
          <t>Average</t>
        </is>
      </c>
      <c r="S348" s="605" t="n">
        <v>217800</v>
      </c>
      <c r="T348" s="387">
        <f>S348/J348</f>
        <v/>
      </c>
      <c r="U348" s="605" t="inlineStr">
        <is>
          <t>Average</t>
        </is>
      </c>
      <c r="Y348" s="605" t="n">
        <v>11950000</v>
      </c>
      <c r="AA348" s="605" t="n">
        <v>11950000</v>
      </c>
      <c r="AC348" s="605" t="inlineStr">
        <is>
          <t>0182515206003</t>
        </is>
      </c>
      <c r="AD348" s="605" t="inlineStr">
        <is>
          <t>2021000071484</t>
        </is>
      </c>
      <c r="AE348" s="653" t="inlineStr">
        <is>
          <t>5180-5270 FOX PROPERTY OWNER LLC</t>
        </is>
      </c>
      <c r="AF348" s="653" t="inlineStr">
        <is>
          <t>ABARCA TEN LLC</t>
        </is>
      </c>
      <c r="AI348" s="605">
        <f>IF(AND($E348=Subj_OccCode,Subj_BldgSF&gt;0,ABS($L348-Subj_BldgSF)&lt;=Subj_BldgSF*Subj_SizeTol),ABS($L348-Subj_BldgSF),NA())</f>
        <v/>
      </c>
      <c r="AJ348" s="605">
        <f>IF(ISNA(AI348),NA(),AI348+ROW()/10000000)</f>
        <v/>
      </c>
    </row>
    <row r="349" ht="15" customHeight="1" s="545">
      <c r="A349" s="385" t="n">
        <v>8</v>
      </c>
      <c r="B349" s="605" t="n">
        <v>342</v>
      </c>
      <c r="C349" s="605" t="inlineStr">
        <is>
          <t>R0085792</t>
        </is>
      </c>
      <c r="D349" s="605" t="inlineStr">
        <is>
          <t>2200 N CHAMBERS RD</t>
        </is>
      </c>
      <c r="E349" s="605" t="n">
        <v>425</v>
      </c>
      <c r="F349" s="605" t="inlineStr">
        <is>
          <t>AURORA</t>
        </is>
      </c>
      <c r="G349" s="605" t="inlineStr">
        <is>
          <t>6</t>
        </is>
      </c>
      <c r="H349" s="59">
        <f>Y349/J349</f>
        <v/>
      </c>
      <c r="I349" s="386" t="n">
        <v>44040</v>
      </c>
      <c r="J349" s="605" t="n">
        <v>1500</v>
      </c>
      <c r="L349" s="605" t="n">
        <v>1500</v>
      </c>
      <c r="M349" s="605" t="n">
        <v>1984</v>
      </c>
      <c r="P349" s="605" t="inlineStr">
        <is>
          <t>M-1-Aur</t>
        </is>
      </c>
      <c r="R349" s="152" t="inlineStr">
        <is>
          <t>Good</t>
        </is>
      </c>
      <c r="S349" s="605" t="n">
        <v>5227</v>
      </c>
      <c r="T349" s="387">
        <f>S349/J349</f>
        <v/>
      </c>
      <c r="U349" s="605" t="inlineStr">
        <is>
          <t>Average</t>
        </is>
      </c>
      <c r="Y349" s="605" t="n">
        <v>212000</v>
      </c>
      <c r="AA349" s="605" t="n">
        <v>212000</v>
      </c>
      <c r="AC349" s="605" t="inlineStr">
        <is>
          <t>0182132008008</t>
        </is>
      </c>
      <c r="AD349" s="605" t="inlineStr">
        <is>
          <t>2020000073933</t>
        </is>
      </c>
      <c r="AE349" s="653" t="inlineStr">
        <is>
          <t>JPJ ENTERPRISES LLC</t>
        </is>
      </c>
      <c r="AF349" s="653" t="inlineStr">
        <is>
          <t>SCHWARTZ JOSH JON</t>
        </is>
      </c>
      <c r="AI349" s="605">
        <f>IF(AND($E349=Subj_OccCode,Subj_BldgSF&gt;0,ABS($L349-Subj_BldgSF)&lt;=Subj_BldgSF*Subj_SizeTol),ABS($L349-Subj_BldgSF),NA())</f>
        <v/>
      </c>
      <c r="AJ349" s="605">
        <f>IF(ISNA(AI349),NA(),AI349+ROW()/10000000)</f>
        <v/>
      </c>
    </row>
    <row r="350" ht="15" customHeight="1" s="545">
      <c r="A350" s="385" t="n">
        <v>8</v>
      </c>
      <c r="B350" s="605" t="n">
        <v>343</v>
      </c>
      <c r="C350" s="605" t="inlineStr">
        <is>
          <t>R0094484</t>
        </is>
      </c>
      <c r="D350" s="605" t="inlineStr">
        <is>
          <t>9655 E 25TH AVE #105</t>
        </is>
      </c>
      <c r="E350" s="605" t="n">
        <v>425</v>
      </c>
      <c r="F350" s="605" t="inlineStr">
        <is>
          <t>AURORA</t>
        </is>
      </c>
      <c r="G350" s="605" t="inlineStr">
        <is>
          <t>6</t>
        </is>
      </c>
      <c r="H350" s="59">
        <f>Y350/J350</f>
        <v/>
      </c>
      <c r="I350" s="386" t="n">
        <v>44712</v>
      </c>
      <c r="J350" s="605" t="n">
        <v>1472</v>
      </c>
      <c r="L350" s="605" t="n">
        <v>1472</v>
      </c>
      <c r="M350" s="605" t="n">
        <v>1984</v>
      </c>
      <c r="P350" s="605" t="inlineStr">
        <is>
          <t>OA-G</t>
        </is>
      </c>
      <c r="R350" s="152" t="inlineStr">
        <is>
          <t>Average</t>
        </is>
      </c>
      <c r="S350" s="605" t="n">
        <v>5095</v>
      </c>
      <c r="T350" s="387">
        <f>S350/J350</f>
        <v/>
      </c>
      <c r="U350" s="605" t="inlineStr">
        <is>
          <t>Average</t>
        </is>
      </c>
      <c r="Y350" s="605" t="n">
        <v>400000</v>
      </c>
      <c r="AA350" s="605" t="n">
        <v>400000</v>
      </c>
      <c r="AC350" s="605" t="inlineStr">
        <is>
          <t>0182334201028</t>
        </is>
      </c>
      <c r="AD350" s="605" t="inlineStr">
        <is>
          <t>2022000048122</t>
        </is>
      </c>
      <c r="AE350" s="653" t="inlineStr">
        <is>
          <t>9655 E 25TH LLC</t>
        </is>
      </c>
      <c r="AF350" s="653" t="inlineStr">
        <is>
          <t>14195 MOUNTVIEW BLVD PARTNERS LLC</t>
        </is>
      </c>
      <c r="AI350" s="605">
        <f>IF(AND($E350=Subj_OccCode,Subj_BldgSF&gt;0,ABS($L350-Subj_BldgSF)&lt;=Subj_BldgSF*Subj_SizeTol),ABS($L350-Subj_BldgSF),NA())</f>
        <v/>
      </c>
      <c r="AJ350" s="605">
        <f>IF(ISNA(AI350),NA(),AI350+ROW()/10000000)</f>
        <v/>
      </c>
    </row>
    <row r="351" ht="15" customHeight="1" s="545">
      <c r="A351" s="385" t="n">
        <v>8</v>
      </c>
      <c r="B351" s="605" t="n">
        <v>344</v>
      </c>
      <c r="C351" s="605" t="inlineStr">
        <is>
          <t>R0068500</t>
        </is>
      </c>
      <c r="D351" s="605" t="inlineStr">
        <is>
          <t>7305  PECOS ST</t>
        </is>
      </c>
      <c r="E351" s="605" t="n">
        <v>340</v>
      </c>
      <c r="G351" s="605" t="inlineStr">
        <is>
          <t>1</t>
        </is>
      </c>
      <c r="H351" s="59">
        <f>Y351/J351</f>
        <v/>
      </c>
      <c r="I351" s="386" t="n">
        <v>43367</v>
      </c>
      <c r="J351" s="605" t="n">
        <v>30700</v>
      </c>
      <c r="L351" s="605" t="n">
        <v>30700</v>
      </c>
      <c r="M351" s="605" t="n">
        <v>2002</v>
      </c>
      <c r="P351" s="605" t="inlineStr">
        <is>
          <t>Commercial</t>
        </is>
      </c>
      <c r="R351" s="152" t="inlineStr">
        <is>
          <t>Average</t>
        </is>
      </c>
      <c r="S351" s="605" t="n">
        <v>88718</v>
      </c>
      <c r="T351" s="387">
        <f>S351/J351</f>
        <v/>
      </c>
      <c r="U351" s="605" t="inlineStr">
        <is>
          <t>Good</t>
        </is>
      </c>
      <c r="Y351" s="605" t="n">
        <v>4225000</v>
      </c>
      <c r="AA351" s="605" t="n">
        <v>4225000</v>
      </c>
      <c r="AC351" s="605" t="inlineStr">
        <is>
          <t>0171933307024</t>
        </is>
      </c>
      <c r="AD351" s="605" t="inlineStr">
        <is>
          <t>2018000078584</t>
        </is>
      </c>
      <c r="AE351" s="653" t="inlineStr">
        <is>
          <t>WEJ LLC</t>
        </is>
      </c>
      <c r="AF351" s="653" t="inlineStr">
        <is>
          <t>WAGERS PROPERTIES LLC</t>
        </is>
      </c>
      <c r="AI351" s="605">
        <f>IF(AND($E351=Subj_OccCode,Subj_BldgSF&gt;0,ABS($L351-Subj_BldgSF)&lt;=Subj_BldgSF*Subj_SizeTol),ABS($L351-Subj_BldgSF),NA())</f>
        <v/>
      </c>
      <c r="AJ351" s="605">
        <f>IF(ISNA(AI351),NA(),AI351+ROW()/10000000)</f>
        <v/>
      </c>
    </row>
    <row r="352" ht="15" customHeight="1" s="545">
      <c r="A352" s="385" t="n">
        <v>8</v>
      </c>
      <c r="B352" s="605" t="n">
        <v>345</v>
      </c>
      <c r="C352" s="605" t="inlineStr">
        <is>
          <t>R0100904</t>
        </is>
      </c>
      <c r="D352" s="605" t="inlineStr">
        <is>
          <t>7125  NEWTON ST</t>
        </is>
      </c>
      <c r="E352" s="605" t="n">
        <v>406</v>
      </c>
      <c r="F352" s="605" t="inlineStr">
        <is>
          <t>WESTMINSTER</t>
        </is>
      </c>
      <c r="G352" s="605" t="inlineStr">
        <is>
          <t>4</t>
        </is>
      </c>
      <c r="H352" s="59">
        <f>Y352/J352</f>
        <v/>
      </c>
      <c r="I352" s="386" t="n">
        <v>43902</v>
      </c>
      <c r="J352" s="605" t="n">
        <v>8850</v>
      </c>
      <c r="L352" s="605" t="n">
        <v>8850</v>
      </c>
      <c r="M352" s="605" t="n">
        <v>1974</v>
      </c>
      <c r="P352" s="605" t="inlineStr">
        <is>
          <t>M-1-Wes</t>
        </is>
      </c>
      <c r="R352" s="152" t="inlineStr">
        <is>
          <t>Average</t>
        </is>
      </c>
      <c r="S352" s="605" t="n">
        <v>23100</v>
      </c>
      <c r="T352" s="387">
        <f>S352/J352</f>
        <v/>
      </c>
      <c r="U352" s="605" t="inlineStr">
        <is>
          <t>Average</t>
        </is>
      </c>
      <c r="Y352" s="605" t="n">
        <v>1295000</v>
      </c>
      <c r="AA352" s="605" t="n">
        <v>1295000</v>
      </c>
      <c r="AC352" s="605" t="inlineStr">
        <is>
          <t>0182506108006</t>
        </is>
      </c>
      <c r="AD352" s="605" t="inlineStr">
        <is>
          <t>2020000024276</t>
        </is>
      </c>
      <c r="AE352" s="653" t="inlineStr">
        <is>
          <t>STOWERS GEORGETTE I</t>
        </is>
      </c>
      <c r="AF352" s="653" t="inlineStr">
        <is>
          <t>7125 NEWTON ST LLC</t>
        </is>
      </c>
      <c r="AI352" s="605">
        <f>IF(AND($E352=Subj_OccCode,Subj_BldgSF&gt;0,ABS($L352-Subj_BldgSF)&lt;=Subj_BldgSF*Subj_SizeTol),ABS($L352-Subj_BldgSF),NA())</f>
        <v/>
      </c>
      <c r="AJ352" s="605">
        <f>IF(ISNA(AI352),NA(),AI352+ROW()/10000000)</f>
        <v/>
      </c>
    </row>
    <row r="353" ht="15" customHeight="1" s="545">
      <c r="A353" s="385" t="n">
        <v>8</v>
      </c>
      <c r="B353" s="605" t="n">
        <v>346</v>
      </c>
      <c r="C353" s="605" t="inlineStr">
        <is>
          <t>R0132006</t>
        </is>
      </c>
      <c r="D353" s="605" t="inlineStr">
        <is>
          <t>12021  PENNSYLVANIA ST #206</t>
        </is>
      </c>
      <c r="E353" s="605" t="n">
        <v>1344</v>
      </c>
      <c r="F353" s="605" t="inlineStr">
        <is>
          <t>THORNTON</t>
        </is>
      </c>
      <c r="G353" s="605" t="inlineStr">
        <is>
          <t>3</t>
        </is>
      </c>
      <c r="H353" s="59">
        <f>Y353/J353</f>
        <v/>
      </c>
      <c r="I353" s="386" t="n">
        <v>44557</v>
      </c>
      <c r="J353" s="605" t="n">
        <v>1440</v>
      </c>
      <c r="L353" s="605" t="n">
        <v>1440</v>
      </c>
      <c r="M353" s="605" t="n">
        <v>2000</v>
      </c>
      <c r="P353" s="605" t="inlineStr">
        <is>
          <t>Regional Commercial</t>
        </is>
      </c>
      <c r="R353" s="152" t="inlineStr">
        <is>
          <t>Average</t>
        </is>
      </c>
      <c r="S353" s="605" t="n">
        <v>3838.69</v>
      </c>
      <c r="T353" s="387">
        <f>S353/J353</f>
        <v/>
      </c>
      <c r="U353" s="605" t="inlineStr">
        <is>
          <t>Average</t>
        </is>
      </c>
      <c r="Y353" s="605" t="n">
        <v>275000</v>
      </c>
      <c r="AA353" s="605" t="n">
        <v>275000</v>
      </c>
      <c r="AC353" s="605" t="inlineStr">
        <is>
          <t>0157334401018</t>
        </is>
      </c>
      <c r="AD353" s="605" t="inlineStr">
        <is>
          <t>2021000150792</t>
        </is>
      </c>
      <c r="AE353" s="653" t="inlineStr">
        <is>
          <t>COLORADO DISTRICT OF THE, CHURCH OF THE NAZARENE</t>
        </is>
      </c>
      <c r="AF353" s="653" t="inlineStr">
        <is>
          <t>GRAND PROPERTIES CO LLC</t>
        </is>
      </c>
      <c r="AI353" s="605">
        <f>IF(AND($E353=Subj_OccCode,Subj_BldgSF&gt;0,ABS($L353-Subj_BldgSF)&lt;=Subj_BldgSF*Subj_SizeTol),ABS($L353-Subj_BldgSF),NA())</f>
        <v/>
      </c>
      <c r="AJ353" s="605">
        <f>IF(ISNA(AI353),NA(),AI353+ROW()/10000000)</f>
        <v/>
      </c>
    </row>
    <row r="354" ht="15" customHeight="1" s="545">
      <c r="A354" s="385" t="n">
        <v>8</v>
      </c>
      <c r="B354" s="605" t="n">
        <v>347</v>
      </c>
      <c r="C354" s="605" t="inlineStr">
        <is>
          <t>R0124482</t>
        </is>
      </c>
      <c r="D354" s="605" t="inlineStr">
        <is>
          <t>631 E 120TH AVE</t>
        </is>
      </c>
      <c r="E354" s="605" t="n">
        <v>325</v>
      </c>
      <c r="F354" s="605" t="inlineStr">
        <is>
          <t>THORNTON</t>
        </is>
      </c>
      <c r="G354" s="605" t="inlineStr">
        <is>
          <t>3</t>
        </is>
      </c>
      <c r="H354" s="59">
        <f>Y354/J354</f>
        <v/>
      </c>
      <c r="I354" s="386" t="n">
        <v>43698</v>
      </c>
      <c r="J354" s="605" t="n">
        <v>16000</v>
      </c>
      <c r="L354" s="605" t="n">
        <v>16000</v>
      </c>
      <c r="M354" s="605" t="n">
        <v>2002</v>
      </c>
      <c r="P354" s="605" t="inlineStr">
        <is>
          <t>Regional Commercial</t>
        </is>
      </c>
      <c r="R354" s="152" t="inlineStr">
        <is>
          <t>Good</t>
        </is>
      </c>
      <c r="S354" s="605" t="n">
        <v>104463</v>
      </c>
      <c r="T354" s="387">
        <f>S354/J354</f>
        <v/>
      </c>
      <c r="U354" s="605" t="inlineStr">
        <is>
          <t>Average</t>
        </is>
      </c>
      <c r="Y354" s="605" t="n">
        <v>3758000</v>
      </c>
      <c r="AA354" s="605" t="n">
        <v>3758000</v>
      </c>
      <c r="AC354" s="605" t="inlineStr">
        <is>
          <t>0157334402001</t>
        </is>
      </c>
      <c r="AD354" s="605" t="inlineStr">
        <is>
          <t>2019000068346</t>
        </is>
      </c>
      <c r="AE354" s="653" t="inlineStr">
        <is>
          <t xml:space="preserve">STERLING-THORNTON CO LLC,  </t>
        </is>
      </c>
      <c r="AF354" s="653" t="inlineStr">
        <is>
          <t>SHIN YONG SIN TRUSTEE OF , THE YONG S SHIN LIVING TRUST</t>
        </is>
      </c>
      <c r="AI354" s="605">
        <f>IF(AND($E354=Subj_OccCode,Subj_BldgSF&gt;0,ABS($L354-Subj_BldgSF)&lt;=Subj_BldgSF*Subj_SizeTol),ABS($L354-Subj_BldgSF),NA())</f>
        <v/>
      </c>
      <c r="AJ354" s="605">
        <f>IF(ISNA(AI354),NA(),AI354+ROW()/10000000)</f>
        <v/>
      </c>
    </row>
    <row r="355" ht="15" customHeight="1" s="545">
      <c r="A355" s="385" t="n">
        <v>8</v>
      </c>
      <c r="B355" s="605" t="n">
        <v>348</v>
      </c>
      <c r="C355" s="605" t="inlineStr">
        <is>
          <t>R0008999</t>
        </is>
      </c>
      <c r="D355" s="605" t="inlineStr">
        <is>
          <t>14465 DAHLIA ST</t>
        </is>
      </c>
      <c r="E355" s="605" t="n">
        <v>404</v>
      </c>
      <c r="G355" s="605" t="inlineStr">
        <is>
          <t>3</t>
        </is>
      </c>
      <c r="H355" s="59">
        <f>Y355/J355</f>
        <v/>
      </c>
      <c r="I355" s="386" t="n">
        <v>43636</v>
      </c>
      <c r="J355" s="605" t="n">
        <v>924</v>
      </c>
      <c r="L355" s="605" t="n">
        <v>924</v>
      </c>
      <c r="M355" s="605" t="n">
        <v>1955</v>
      </c>
      <c r="P355" s="605" t="inlineStr">
        <is>
          <t>Agricultural</t>
        </is>
      </c>
      <c r="R355" s="152" t="inlineStr">
        <is>
          <t>Low</t>
        </is>
      </c>
      <c r="S355" s="605" t="n">
        <v>12197</v>
      </c>
      <c r="T355" s="387">
        <f>S355/J355</f>
        <v/>
      </c>
      <c r="U355" s="605" t="inlineStr">
        <is>
          <t>Low</t>
        </is>
      </c>
      <c r="Y355" s="605" t="n">
        <v>40000</v>
      </c>
      <c r="AA355" s="605" t="n">
        <v>40000</v>
      </c>
      <c r="AC355" s="605" t="inlineStr">
        <is>
          <t>0157118000005</t>
        </is>
      </c>
      <c r="AD355" s="605" t="inlineStr">
        <is>
          <t>2019000047926</t>
        </is>
      </c>
      <c r="AE355" s="653" t="inlineStr">
        <is>
          <t>MC CLANE MELVIN G AND, MC CLANE DOROTHY N</t>
        </is>
      </c>
      <c r="AF355" s="653" t="inlineStr">
        <is>
          <t>SEIBERT SCOTT A</t>
        </is>
      </c>
      <c r="AI355" s="605">
        <f>IF(AND($E355=Subj_OccCode,Subj_BldgSF&gt;0,ABS($L355-Subj_BldgSF)&lt;=Subj_BldgSF*Subj_SizeTol),ABS($L355-Subj_BldgSF),NA())</f>
        <v/>
      </c>
      <c r="AJ355" s="605">
        <f>IF(ISNA(AI355),NA(),AI355+ROW()/10000000)</f>
        <v/>
      </c>
    </row>
    <row r="356" ht="15" customHeight="1" s="545">
      <c r="A356" s="385" t="n">
        <v>8</v>
      </c>
      <c r="B356" s="605" t="n">
        <v>349</v>
      </c>
      <c r="C356" s="605" t="inlineStr">
        <is>
          <t>R0090931</t>
        </is>
      </c>
      <c r="D356" s="605" t="inlineStr">
        <is>
          <t>6255  DEXTER ST</t>
        </is>
      </c>
      <c r="E356" s="605" t="n">
        <v>407</v>
      </c>
      <c r="F356" s="605" t="inlineStr">
        <is>
          <t>COMMERCE CITY</t>
        </is>
      </c>
      <c r="G356" s="605" t="inlineStr">
        <is>
          <t>5</t>
        </is>
      </c>
      <c r="H356" s="59">
        <f>Y356/J356</f>
        <v/>
      </c>
      <c r="I356" s="386" t="n">
        <v>44232</v>
      </c>
      <c r="J356" s="605" t="n">
        <v>30434</v>
      </c>
      <c r="L356" s="605" t="n">
        <v>30434</v>
      </c>
      <c r="M356" s="605" t="n">
        <v>1951</v>
      </c>
      <c r="P356" s="605" t="inlineStr">
        <is>
          <t>I-3-Com</t>
        </is>
      </c>
      <c r="R356" s="152" t="inlineStr">
        <is>
          <t>Average</t>
        </is>
      </c>
      <c r="S356" s="605" t="n">
        <v>161608</v>
      </c>
      <c r="T356" s="387">
        <f>S356/J356</f>
        <v/>
      </c>
      <c r="U356" s="605" t="inlineStr">
        <is>
          <t>Average</t>
        </is>
      </c>
      <c r="Y356" s="605" t="n">
        <v>3625000</v>
      </c>
      <c r="AA356" s="605" t="n">
        <v>3625000</v>
      </c>
      <c r="AC356" s="605" t="inlineStr">
        <is>
          <t>0182307200018</t>
        </is>
      </c>
      <c r="AD356" s="605" t="inlineStr">
        <is>
          <t>2021000016133</t>
        </is>
      </c>
      <c r="AE356" s="653" t="inlineStr">
        <is>
          <t>RICHARDS AND DEXTER LLC</t>
        </is>
      </c>
      <c r="AF356" s="653" t="inlineStr">
        <is>
          <t>CAH CO COMMERCE CITY LLC</t>
        </is>
      </c>
      <c r="AI356" s="605">
        <f>IF(AND($E356=Subj_OccCode,Subj_BldgSF&gt;0,ABS($L356-Subj_BldgSF)&lt;=Subj_BldgSF*Subj_SizeTol),ABS($L356-Subj_BldgSF),NA())</f>
        <v/>
      </c>
      <c r="AJ356" s="605">
        <f>IF(ISNA(AI356),NA(),AI356+ROW()/10000000)</f>
        <v/>
      </c>
    </row>
    <row r="357" ht="15" customHeight="1" s="545">
      <c r="A357" s="385" t="n">
        <v>8</v>
      </c>
      <c r="B357" s="605" t="n">
        <v>350</v>
      </c>
      <c r="C357" s="605" t="inlineStr">
        <is>
          <t>R0089808</t>
        </is>
      </c>
      <c r="D357" s="605" t="inlineStr">
        <is>
          <t xml:space="preserve">6872  HIGHWAY 2 </t>
        </is>
      </c>
      <c r="E357" s="605" t="n">
        <v>325</v>
      </c>
      <c r="F357" s="605" t="inlineStr">
        <is>
          <t>COMMERCE CITY</t>
        </is>
      </c>
      <c r="G357" s="605" t="inlineStr">
        <is>
          <t>5</t>
        </is>
      </c>
      <c r="H357" s="59">
        <f>Y357/J357</f>
        <v/>
      </c>
      <c r="I357" s="386" t="n">
        <v>44376</v>
      </c>
      <c r="J357" s="605" t="n">
        <v>3063</v>
      </c>
      <c r="L357" s="605" t="n">
        <v>3063</v>
      </c>
      <c r="M357" s="605" t="n">
        <v>1951</v>
      </c>
      <c r="P357" s="605" t="inlineStr">
        <is>
          <t>C-3-Com</t>
        </is>
      </c>
      <c r="R357" s="152" t="inlineStr">
        <is>
          <t>Average</t>
        </is>
      </c>
      <c r="S357" s="605" t="n">
        <v>21971</v>
      </c>
      <c r="T357" s="387">
        <f>S357/J357</f>
        <v/>
      </c>
      <c r="U357" s="605" t="inlineStr">
        <is>
          <t>Average</t>
        </is>
      </c>
      <c r="Y357" s="605" t="n">
        <v>649750</v>
      </c>
      <c r="AA357" s="605" t="n">
        <v>649750</v>
      </c>
      <c r="AC357" s="605" t="inlineStr">
        <is>
          <t>0182306118001</t>
        </is>
      </c>
      <c r="AD357" s="605" t="inlineStr">
        <is>
          <t>2021000079462</t>
        </is>
      </c>
      <c r="AE357" s="653" t="inlineStr">
        <is>
          <t>FEHR MATTHEW W</t>
        </is>
      </c>
      <c r="AF357" s="653" t="inlineStr">
        <is>
          <t>6872 HWY 2 LLC</t>
        </is>
      </c>
      <c r="AI357" s="605">
        <f>IF(AND($E357=Subj_OccCode,Subj_BldgSF&gt;0,ABS($L357-Subj_BldgSF)&lt;=Subj_BldgSF*Subj_SizeTol),ABS($L357-Subj_BldgSF),NA())</f>
        <v/>
      </c>
      <c r="AJ357" s="605">
        <f>IF(ISNA(AI357),NA(),AI357+ROW()/10000000)</f>
        <v/>
      </c>
    </row>
    <row r="358" ht="15" customHeight="1" s="545">
      <c r="A358" s="385" t="n">
        <v>8</v>
      </c>
      <c r="B358" s="605" t="n">
        <v>351</v>
      </c>
      <c r="C358" s="605" t="inlineStr">
        <is>
          <t>R0090948</t>
        </is>
      </c>
      <c r="D358" s="605" t="inlineStr">
        <is>
          <t>4407 E 60TH AVE</t>
        </is>
      </c>
      <c r="E358" s="605" t="n">
        <v>406</v>
      </c>
      <c r="F358" s="605" t="inlineStr">
        <is>
          <t>COMMERCE CITY</t>
        </is>
      </c>
      <c r="G358" s="605" t="inlineStr">
        <is>
          <t>5</t>
        </is>
      </c>
      <c r="H358" s="59">
        <f>Y358/J358</f>
        <v/>
      </c>
      <c r="I358" s="386" t="n">
        <v>44284</v>
      </c>
      <c r="J358" s="605" t="n">
        <v>3328</v>
      </c>
      <c r="L358" s="605" t="n">
        <v>3328</v>
      </c>
      <c r="M358" s="605" t="n">
        <v>1965</v>
      </c>
      <c r="P358" s="605" t="inlineStr">
        <is>
          <t>I-3-Com</t>
        </is>
      </c>
      <c r="R358" s="152" t="inlineStr">
        <is>
          <t>Average</t>
        </is>
      </c>
      <c r="S358" s="605" t="n">
        <v>105415.2</v>
      </c>
      <c r="T358" s="387">
        <f>S358/J358</f>
        <v/>
      </c>
      <c r="U358" s="605" t="inlineStr">
        <is>
          <t>Average</t>
        </is>
      </c>
      <c r="Y358" s="605" t="n">
        <v>1600000</v>
      </c>
      <c r="AA358" s="605" t="n">
        <v>1600000</v>
      </c>
      <c r="AC358" s="605" t="inlineStr">
        <is>
          <t>0182307200048</t>
        </is>
      </c>
      <c r="AD358" s="605" t="inlineStr">
        <is>
          <t>2021000038243</t>
        </is>
      </c>
      <c r="AE358" s="653" t="inlineStr">
        <is>
          <t>MC CALLIN REAL ESTATE LLC</t>
        </is>
      </c>
      <c r="AF358" s="653" t="inlineStr">
        <is>
          <t>DCPS REAL ESTATE CLERMONT LLC</t>
        </is>
      </c>
      <c r="AI358" s="605">
        <f>IF(AND($E358=Subj_OccCode,Subj_BldgSF&gt;0,ABS($L358-Subj_BldgSF)&lt;=Subj_BldgSF*Subj_SizeTol),ABS($L358-Subj_BldgSF),NA())</f>
        <v/>
      </c>
      <c r="AJ358" s="605">
        <f>IF(ISNA(AI358),NA(),AI358+ROW()/10000000)</f>
        <v/>
      </c>
    </row>
    <row r="359" ht="15" customHeight="1" s="545">
      <c r="A359" s="385" t="n">
        <v>8</v>
      </c>
      <c r="B359" s="605" t="n">
        <v>352</v>
      </c>
      <c r="C359" s="605" t="inlineStr">
        <is>
          <t>R0112112</t>
        </is>
      </c>
      <c r="D359" s="605" t="inlineStr">
        <is>
          <t>7500  WASHINTON ST</t>
        </is>
      </c>
      <c r="E359" s="605" t="n">
        <v>344</v>
      </c>
      <c r="G359" s="605" t="inlineStr">
        <is>
          <t>5</t>
        </is>
      </c>
      <c r="H359" s="59">
        <f>Y359/J359</f>
        <v/>
      </c>
      <c r="I359" s="386" t="n">
        <v>44127</v>
      </c>
      <c r="J359" s="605" t="n">
        <v>780</v>
      </c>
      <c r="L359" s="605" t="n">
        <v>780</v>
      </c>
      <c r="M359" s="605" t="n">
        <v>1907</v>
      </c>
      <c r="P359" s="605" t="inlineStr">
        <is>
          <t>Industrial</t>
        </is>
      </c>
      <c r="R359" s="152" t="inlineStr">
        <is>
          <t>Fair</t>
        </is>
      </c>
      <c r="S359" s="605" t="n">
        <v>209423.8</v>
      </c>
      <c r="T359" s="387">
        <f>S359/J359</f>
        <v/>
      </c>
      <c r="U359" s="605" t="inlineStr">
        <is>
          <t>Average</t>
        </is>
      </c>
      <c r="Y359" s="605" t="n">
        <v>2300000</v>
      </c>
      <c r="AA359" s="605" t="n">
        <v>2300000</v>
      </c>
      <c r="AC359" s="605" t="inlineStr">
        <is>
          <t>0171935301037</t>
        </is>
      </c>
      <c r="AD359" s="605" t="inlineStr">
        <is>
          <t>2020000109210</t>
        </is>
      </c>
      <c r="AE359" s="653" t="inlineStr">
        <is>
          <t>FRANKLIN L SACCOMANNO FAMILY TRUST ET AL 1/2 INT AND, VENEY CYNTHIA 1/4 I et al.</t>
        </is>
      </c>
      <c r="AF359" s="653" t="inlineStr">
        <is>
          <t>IN SELF STORAGE 24 LLC</t>
        </is>
      </c>
      <c r="AI359" s="605">
        <f>IF(AND($E359=Subj_OccCode,Subj_BldgSF&gt;0,ABS($L359-Subj_BldgSF)&lt;=Subj_BldgSF*Subj_SizeTol),ABS($L359-Subj_BldgSF),NA())</f>
        <v/>
      </c>
      <c r="AJ359" s="605">
        <f>IF(ISNA(AI359),NA(),AI359+ROW()/10000000)</f>
        <v/>
      </c>
    </row>
    <row r="360" ht="15" customHeight="1" s="545">
      <c r="A360" s="385" t="n">
        <v>8</v>
      </c>
      <c r="B360" s="605" t="n">
        <v>353</v>
      </c>
      <c r="C360" s="605" t="inlineStr">
        <is>
          <t>R0150320</t>
        </is>
      </c>
      <c r="D360" s="605" t="inlineStr">
        <is>
          <t>9690  DALLAS ST #L</t>
        </is>
      </c>
      <c r="E360" s="605" t="n">
        <v>425</v>
      </c>
      <c r="G360" s="605" t="inlineStr">
        <is>
          <t>5</t>
        </is>
      </c>
      <c r="H360" s="59">
        <f>Y360/J360</f>
        <v/>
      </c>
      <c r="I360" s="386" t="n">
        <v>44631</v>
      </c>
      <c r="J360" s="605" t="n">
        <v>2500</v>
      </c>
      <c r="L360" s="605" t="n">
        <v>2500</v>
      </c>
      <c r="M360" s="605" t="n">
        <v>2001</v>
      </c>
      <c r="P360" s="605" t="inlineStr">
        <is>
          <t>I-3-Com</t>
        </is>
      </c>
      <c r="R360" s="152" t="inlineStr">
        <is>
          <t>Average</t>
        </is>
      </c>
      <c r="S360" s="605" t="n">
        <v>14885</v>
      </c>
      <c r="T360" s="387">
        <f>S360/J360</f>
        <v/>
      </c>
      <c r="U360" s="605" t="inlineStr">
        <is>
          <t>Average</t>
        </is>
      </c>
      <c r="Y360" s="605" t="n">
        <v>525000</v>
      </c>
      <c r="AA360" s="605" t="n">
        <v>525000</v>
      </c>
      <c r="AC360" s="605" t="inlineStr">
        <is>
          <t>0172115303024</t>
        </is>
      </c>
      <c r="AD360" s="605" t="inlineStr">
        <is>
          <t>2022000022642</t>
        </is>
      </c>
      <c r="AE360" s="653" t="inlineStr">
        <is>
          <t>DEL MAR ACCENTS LLC</t>
        </is>
      </c>
      <c r="AF360" s="653" t="inlineStr">
        <is>
          <t>DOMENICO REAL ESTATE PARTNERSHIP II LLLP</t>
        </is>
      </c>
      <c r="AI360" s="605">
        <f>IF(AND($E360=Subj_OccCode,Subj_BldgSF&gt;0,ABS($L360-Subj_BldgSF)&lt;=Subj_BldgSF*Subj_SizeTol),ABS($L360-Subj_BldgSF),NA())</f>
        <v/>
      </c>
      <c r="AJ360" s="605">
        <f>IF(ISNA(AI360),NA(),AI360+ROW()/10000000)</f>
        <v/>
      </c>
    </row>
    <row r="361" ht="15" customHeight="1" s="545">
      <c r="A361" s="385" t="n">
        <v>8</v>
      </c>
      <c r="B361" s="605" t="n">
        <v>354</v>
      </c>
      <c r="C361" s="605" t="inlineStr">
        <is>
          <t>R0178224</t>
        </is>
      </c>
      <c r="D361" s="605" t="inlineStr">
        <is>
          <t>9156  BRIGHTON RD</t>
        </is>
      </c>
      <c r="E361" s="605" t="n">
        <v>325</v>
      </c>
      <c r="G361" s="605" t="inlineStr">
        <is>
          <t>5</t>
        </is>
      </c>
      <c r="H361" s="59">
        <f>Y361/J361</f>
        <v/>
      </c>
      <c r="I361" s="386" t="n">
        <v>43889</v>
      </c>
      <c r="J361" s="605" t="n">
        <v>27000</v>
      </c>
      <c r="L361" s="605" t="n">
        <v>27000</v>
      </c>
      <c r="M361" s="605" t="n">
        <v>2003</v>
      </c>
      <c r="P361" s="605" t="inlineStr">
        <is>
          <t>Industrial</t>
        </is>
      </c>
      <c r="R361" s="152" t="inlineStr">
        <is>
          <t>Average</t>
        </is>
      </c>
      <c r="S361" s="605" t="n">
        <v>182516.4</v>
      </c>
      <c r="T361" s="387">
        <f>S361/J361</f>
        <v/>
      </c>
      <c r="U361" s="605" t="inlineStr">
        <is>
          <t>Average</t>
        </is>
      </c>
      <c r="Y361" s="605" t="n">
        <v>4642000</v>
      </c>
      <c r="AA361" s="605" t="n">
        <v>4642000</v>
      </c>
      <c r="AC361" s="605" t="inlineStr">
        <is>
          <t>0172120401004</t>
        </is>
      </c>
      <c r="AD361" s="605" t="inlineStr">
        <is>
          <t>2020000019366</t>
        </is>
      </c>
      <c r="AE361" s="653" t="inlineStr">
        <is>
          <t>9156 BRIGHTON ROAD LLC</t>
        </is>
      </c>
      <c r="AF361" s="653" t="inlineStr">
        <is>
          <t>BRINELL PROPERTIES LLC</t>
        </is>
      </c>
      <c r="AI361" s="605">
        <f>IF(AND($E361=Subj_OccCode,Subj_BldgSF&gt;0,ABS($L361-Subj_BldgSF)&lt;=Subj_BldgSF*Subj_SizeTol),ABS($L361-Subj_BldgSF),NA())</f>
        <v/>
      </c>
      <c r="AJ361" s="605">
        <f>IF(ISNA(AI361),NA(),AI361+ROW()/10000000)</f>
        <v/>
      </c>
    </row>
    <row r="362" ht="15" customHeight="1" s="545">
      <c r="A362" s="385" t="n">
        <v>8</v>
      </c>
      <c r="B362" s="605" t="n">
        <v>355</v>
      </c>
      <c r="C362" s="605" t="inlineStr">
        <is>
          <t>R0117231</t>
        </is>
      </c>
      <c r="D362" s="605" t="inlineStr">
        <is>
          <t>1861 W 64TH LN</t>
        </is>
      </c>
      <c r="E362" s="605" t="n">
        <v>344</v>
      </c>
      <c r="G362" s="605" t="inlineStr">
        <is>
          <t>5</t>
        </is>
      </c>
      <c r="H362" s="59">
        <f>Y362/J362</f>
        <v/>
      </c>
      <c r="I362" s="386" t="n">
        <v>44363</v>
      </c>
      <c r="J362" s="605" t="n">
        <v>19050</v>
      </c>
      <c r="L362" s="605" t="n">
        <v>19050</v>
      </c>
      <c r="M362" s="605" t="n">
        <v>2001</v>
      </c>
      <c r="P362" s="605" t="inlineStr">
        <is>
          <t>Planned Unit Development</t>
        </is>
      </c>
      <c r="R362" s="152" t="inlineStr">
        <is>
          <t>Fair</t>
        </is>
      </c>
      <c r="S362" s="605" t="n">
        <v>43995.6</v>
      </c>
      <c r="T362" s="387">
        <f>S362/J362</f>
        <v/>
      </c>
      <c r="U362" s="605" t="inlineStr">
        <is>
          <t>Good</t>
        </is>
      </c>
      <c r="Y362" s="605" t="n">
        <v>2750000</v>
      </c>
      <c r="AA362" s="605" t="n">
        <v>2750000</v>
      </c>
      <c r="AC362" s="605" t="inlineStr">
        <is>
          <t>0182504302004</t>
        </is>
      </c>
      <c r="AD362" s="605" t="inlineStr">
        <is>
          <t>2021000073205</t>
        </is>
      </c>
      <c r="AE362" s="653" t="inlineStr">
        <is>
          <t>AIR PURIFICATION COMPANY</t>
        </is>
      </c>
      <c r="AF362" s="653" t="inlineStr">
        <is>
          <t>ACME CRE LLC</t>
        </is>
      </c>
      <c r="AI362" s="605">
        <f>IF(AND($E362=Subj_OccCode,Subj_BldgSF&gt;0,ABS($L362-Subj_BldgSF)&lt;=Subj_BldgSF*Subj_SizeTol),ABS($L362-Subj_BldgSF),NA())</f>
        <v/>
      </c>
      <c r="AJ362" s="605">
        <f>IF(ISNA(AI362),NA(),AI362+ROW()/10000000)</f>
        <v/>
      </c>
    </row>
    <row r="363" ht="15" customHeight="1" s="545">
      <c r="A363" s="385" t="n">
        <v>8</v>
      </c>
      <c r="B363" s="605" t="n">
        <v>356</v>
      </c>
      <c r="C363" s="605" t="inlineStr">
        <is>
          <t>R0100737</t>
        </is>
      </c>
      <c r="D363" s="605" t="inlineStr">
        <is>
          <t>6500  FEDERAL BLVD</t>
        </is>
      </c>
      <c r="E363" s="605" t="n">
        <v>325</v>
      </c>
      <c r="G363" s="605" t="inlineStr">
        <is>
          <t>5</t>
        </is>
      </c>
      <c r="H363" s="59">
        <f>Y363/J363</f>
        <v/>
      </c>
      <c r="I363" s="386" t="n">
        <v>43553</v>
      </c>
      <c r="J363" s="605" t="n">
        <v>17350</v>
      </c>
      <c r="L363" s="605" t="n">
        <v>17350</v>
      </c>
      <c r="M363" s="605" t="n">
        <v>1964</v>
      </c>
      <c r="P363" s="605" t="inlineStr">
        <is>
          <t>Commercial</t>
        </is>
      </c>
      <c r="R363" s="152" t="inlineStr">
        <is>
          <t>Average</t>
        </is>
      </c>
      <c r="S363" s="605" t="n">
        <v>54000</v>
      </c>
      <c r="T363" s="387">
        <f>S363/J363</f>
        <v/>
      </c>
      <c r="U363" s="605" t="inlineStr">
        <is>
          <t>Average</t>
        </is>
      </c>
      <c r="Y363" s="605" t="n">
        <v>1000000</v>
      </c>
      <c r="AA363" s="605" t="n">
        <v>1000000</v>
      </c>
      <c r="AC363" s="605" t="inlineStr">
        <is>
          <t>0182505405029</t>
        </is>
      </c>
      <c r="AD363" s="605" t="inlineStr">
        <is>
          <t>2019000059642</t>
        </is>
      </c>
      <c r="AE363" s="653" t="inlineStr">
        <is>
          <t>NORTHLAWN PROPERTY LLC, C/O SPERRY PROPERTIES</t>
        </is>
      </c>
      <c r="AF363" s="653" t="inlineStr">
        <is>
          <t>LOCOFORTIS LLC</t>
        </is>
      </c>
      <c r="AI363" s="605">
        <f>IF(AND($E363=Subj_OccCode,Subj_BldgSF&gt;0,ABS($L363-Subj_BldgSF)&lt;=Subj_BldgSF*Subj_SizeTol),ABS($L363-Subj_BldgSF),NA())</f>
        <v/>
      </c>
      <c r="AJ363" s="605">
        <f>IF(ISNA(AI363),NA(),AI363+ROW()/10000000)</f>
        <v/>
      </c>
    </row>
    <row r="364" ht="15" customHeight="1" s="545">
      <c r="A364" s="385" t="n">
        <v>8</v>
      </c>
      <c r="B364" s="605" t="n">
        <v>357</v>
      </c>
      <c r="C364" s="605" t="inlineStr">
        <is>
          <t>R0100737</t>
        </is>
      </c>
      <c r="D364" s="605" t="inlineStr">
        <is>
          <t>6500  FEDERAL BLVD</t>
        </is>
      </c>
      <c r="E364" s="605" t="n">
        <v>325</v>
      </c>
      <c r="G364" s="605" t="inlineStr">
        <is>
          <t>5</t>
        </is>
      </c>
      <c r="H364" s="59">
        <f>Y364/J364</f>
        <v/>
      </c>
      <c r="I364" s="386" t="n">
        <v>44655</v>
      </c>
      <c r="J364" s="605" t="n">
        <v>17350</v>
      </c>
      <c r="L364" s="605" t="n">
        <v>17350</v>
      </c>
      <c r="M364" s="605" t="n">
        <v>1964</v>
      </c>
      <c r="P364" s="605" t="inlineStr">
        <is>
          <t>Commercial</t>
        </is>
      </c>
      <c r="R364" s="152" t="inlineStr">
        <is>
          <t>Average</t>
        </is>
      </c>
      <c r="S364" s="605" t="n">
        <v>54000</v>
      </c>
      <c r="T364" s="387">
        <f>S364/J364</f>
        <v/>
      </c>
      <c r="U364" s="605" t="inlineStr">
        <is>
          <t>Average</t>
        </is>
      </c>
      <c r="Y364" s="605" t="n">
        <v>2100000</v>
      </c>
      <c r="AA364" s="605" t="n">
        <v>2100000</v>
      </c>
      <c r="AC364" s="605" t="inlineStr">
        <is>
          <t>0182505405029</t>
        </is>
      </c>
      <c r="AD364" s="605" t="inlineStr">
        <is>
          <t>2022000031284</t>
        </is>
      </c>
      <c r="AE364" s="653" t="inlineStr">
        <is>
          <t>LOCOFORTIS LLC</t>
        </is>
      </c>
      <c r="AF364" s="653" t="inlineStr">
        <is>
          <t>2626 SARIKOV LLC</t>
        </is>
      </c>
      <c r="AI364" s="605">
        <f>IF(AND($E364=Subj_OccCode,Subj_BldgSF&gt;0,ABS($L364-Subj_BldgSF)&lt;=Subj_BldgSF*Subj_SizeTol),ABS($L364-Subj_BldgSF),NA())</f>
        <v/>
      </c>
      <c r="AJ364" s="605">
        <f>IF(ISNA(AI364),NA(),AI364+ROW()/10000000)</f>
        <v/>
      </c>
    </row>
    <row r="365" ht="15" customHeight="1" s="545">
      <c r="A365" s="385" t="n">
        <v>8</v>
      </c>
      <c r="B365" s="605" t="n">
        <v>358</v>
      </c>
      <c r="C365" s="605" t="inlineStr">
        <is>
          <t>R0098588</t>
        </is>
      </c>
      <c r="D365" s="605" t="inlineStr">
        <is>
          <t>6591  WASHINGTON ST</t>
        </is>
      </c>
      <c r="E365" s="605" t="n">
        <v>407</v>
      </c>
      <c r="G365" s="605" t="inlineStr">
        <is>
          <t>5</t>
        </is>
      </c>
      <c r="H365" s="59">
        <f>Y365/J365</f>
        <v/>
      </c>
      <c r="I365" s="386" t="n">
        <v>43236</v>
      </c>
      <c r="J365" s="605" t="n">
        <v>16254</v>
      </c>
      <c r="L365" s="605" t="n">
        <v>16254</v>
      </c>
      <c r="M365" s="605" t="n">
        <v>1974</v>
      </c>
      <c r="P365" s="605" t="inlineStr">
        <is>
          <t>Industrial</t>
        </is>
      </c>
      <c r="R365" s="152" t="inlineStr">
        <is>
          <t>Average</t>
        </is>
      </c>
      <c r="S365" s="605" t="n">
        <v>120528</v>
      </c>
      <c r="T365" s="387">
        <f>S365/J365</f>
        <v/>
      </c>
      <c r="U365" s="605" t="inlineStr">
        <is>
          <t>Average</t>
        </is>
      </c>
      <c r="Y365" s="605" t="n">
        <v>2400000</v>
      </c>
      <c r="AA365" s="605" t="n">
        <v>2400000</v>
      </c>
      <c r="AC365" s="605" t="inlineStr">
        <is>
          <t>0182503402009</t>
        </is>
      </c>
      <c r="AD365" s="605" t="inlineStr">
        <is>
          <t>2018000040473</t>
        </is>
      </c>
      <c r="AE365" s="653" t="inlineStr">
        <is>
          <t>JWBSK INVESTMENT GROUP LLC</t>
        </is>
      </c>
      <c r="AF365" s="653" t="inlineStr">
        <is>
          <t>SUBLETTE JACOBS PROPERTIES LLC</t>
        </is>
      </c>
      <c r="AI365" s="605">
        <f>IF(AND($E365=Subj_OccCode,Subj_BldgSF&gt;0,ABS($L365-Subj_BldgSF)&lt;=Subj_BldgSF*Subj_SizeTol),ABS($L365-Subj_BldgSF),NA())</f>
        <v/>
      </c>
      <c r="AJ365" s="605">
        <f>IF(ISNA(AI365),NA(),AI365+ROW()/10000000)</f>
        <v/>
      </c>
    </row>
    <row r="366" ht="15" customHeight="1" s="545">
      <c r="A366" s="385" t="n">
        <v>8</v>
      </c>
      <c r="B366" s="605" t="n">
        <v>359</v>
      </c>
      <c r="C366" s="605" t="inlineStr">
        <is>
          <t>R0077599</t>
        </is>
      </c>
      <c r="D366" s="605" t="inlineStr">
        <is>
          <t>8245  QUEBEC ST</t>
        </is>
      </c>
      <c r="E366" s="605" t="n">
        <v>344</v>
      </c>
      <c r="F366" s="605" t="inlineStr">
        <is>
          <t>COMMERCE CITY</t>
        </is>
      </c>
      <c r="G366" s="605" t="inlineStr">
        <is>
          <t>5</t>
        </is>
      </c>
      <c r="H366" s="59">
        <f>Y366/J366</f>
        <v/>
      </c>
      <c r="I366" s="386" t="n">
        <v>44603</v>
      </c>
      <c r="J366" s="605" t="n">
        <v>5900</v>
      </c>
      <c r="L366" s="605" t="n">
        <v>5900</v>
      </c>
      <c r="M366" s="605" t="n">
        <v>1971</v>
      </c>
      <c r="P366" s="605" t="inlineStr">
        <is>
          <t>I-2-Com</t>
        </is>
      </c>
      <c r="R366" s="152" t="inlineStr">
        <is>
          <t>Low</t>
        </is>
      </c>
      <c r="S366" s="605" t="n">
        <v>41382</v>
      </c>
      <c r="T366" s="387">
        <f>S366/J366</f>
        <v/>
      </c>
      <c r="U366" s="605" t="inlineStr">
        <is>
          <t>Average</t>
        </is>
      </c>
      <c r="Y366" s="605" t="n">
        <v>946820</v>
      </c>
      <c r="AA366" s="605" t="n">
        <v>946820</v>
      </c>
      <c r="AC366" s="605" t="inlineStr">
        <is>
          <t>0172129403028</t>
        </is>
      </c>
      <c r="AD366" s="605" t="inlineStr">
        <is>
          <t>2022000013715</t>
        </is>
      </c>
      <c r="AE366" s="653" t="inlineStr">
        <is>
          <t>ELWESS DAVID L</t>
        </is>
      </c>
      <c r="AF366" s="653" t="inlineStr">
        <is>
          <t>JANUARY22 PONTIAC LLC</t>
        </is>
      </c>
      <c r="AI366" s="605">
        <f>IF(AND($E366=Subj_OccCode,Subj_BldgSF&gt;0,ABS($L366-Subj_BldgSF)&lt;=Subj_BldgSF*Subj_SizeTol),ABS($L366-Subj_BldgSF),NA())</f>
        <v/>
      </c>
      <c r="AJ366" s="605">
        <f>IF(ISNA(AI366),NA(),AI366+ROW()/10000000)</f>
        <v/>
      </c>
    </row>
    <row r="367" ht="15" customHeight="1" s="545">
      <c r="A367" s="385" t="n">
        <v>8</v>
      </c>
      <c r="B367" s="605" t="n">
        <v>360</v>
      </c>
      <c r="C367" s="605" t="inlineStr">
        <is>
          <t>R0071220</t>
        </is>
      </c>
      <c r="D367" s="605" t="inlineStr">
        <is>
          <t xml:space="preserve">11200  HIWAY 2 </t>
        </is>
      </c>
      <c r="E367" s="605" t="n">
        <v>406</v>
      </c>
      <c r="G367" s="605" t="inlineStr">
        <is>
          <t>2</t>
        </is>
      </c>
      <c r="H367" s="59">
        <f>Y367/J367</f>
        <v/>
      </c>
      <c r="I367" s="386" t="n">
        <v>43238</v>
      </c>
      <c r="J367" s="605" t="n">
        <v>20400</v>
      </c>
      <c r="L367" s="605" t="n">
        <v>20400</v>
      </c>
      <c r="M367" s="605" t="n">
        <v>1960</v>
      </c>
      <c r="P367" s="605" t="inlineStr">
        <is>
          <t>Industrial</t>
        </is>
      </c>
      <c r="R367" s="152" t="inlineStr">
        <is>
          <t>Average</t>
        </is>
      </c>
      <c r="S367" s="605" t="n">
        <v>345967</v>
      </c>
      <c r="T367" s="387">
        <f>S367/J367</f>
        <v/>
      </c>
      <c r="U367" s="605" t="inlineStr">
        <is>
          <t>Average</t>
        </is>
      </c>
      <c r="Y367" s="605" t="n">
        <v>1950000</v>
      </c>
      <c r="AA367" s="605" t="n">
        <v>1950000</v>
      </c>
      <c r="AC367" s="605" t="inlineStr">
        <is>
          <t>0172101000016</t>
        </is>
      </c>
      <c r="AD367" s="605" t="inlineStr">
        <is>
          <t>2018000040304</t>
        </is>
      </c>
      <c r="AE367" s="653" t="inlineStr">
        <is>
          <t>111489 CORPORATION INC</t>
        </is>
      </c>
      <c r="AF367" s="653" t="inlineStr">
        <is>
          <t>BK ENTERPRISES LLC</t>
        </is>
      </c>
      <c r="AI367" s="605">
        <f>IF(AND($E367=Subj_OccCode,Subj_BldgSF&gt;0,ABS($L367-Subj_BldgSF)&lt;=Subj_BldgSF*Subj_SizeTol),ABS($L367-Subj_BldgSF),NA())</f>
        <v/>
      </c>
      <c r="AJ367" s="605">
        <f>IF(ISNA(AI367),NA(),AI367+ROW()/10000000)</f>
        <v/>
      </c>
    </row>
    <row r="368" ht="15" customHeight="1" s="545">
      <c r="A368" s="385" t="n">
        <v>8</v>
      </c>
      <c r="B368" s="605" t="n">
        <v>361</v>
      </c>
      <c r="C368" s="605" t="inlineStr">
        <is>
          <t>R0071220</t>
        </is>
      </c>
      <c r="D368" s="605" t="inlineStr">
        <is>
          <t xml:space="preserve">11200  HIWAY 2 </t>
        </is>
      </c>
      <c r="E368" s="605" t="n">
        <v>406</v>
      </c>
      <c r="G368" s="605" t="inlineStr">
        <is>
          <t>2</t>
        </is>
      </c>
      <c r="H368" s="59">
        <f>Y368/J368</f>
        <v/>
      </c>
      <c r="I368" s="386" t="n">
        <v>44671</v>
      </c>
      <c r="J368" s="605" t="n">
        <v>20400</v>
      </c>
      <c r="L368" s="605" t="n">
        <v>20400</v>
      </c>
      <c r="M368" s="605" t="n">
        <v>1960</v>
      </c>
      <c r="P368" s="605" t="inlineStr">
        <is>
          <t>Industrial</t>
        </is>
      </c>
      <c r="R368" s="152" t="inlineStr">
        <is>
          <t>Low</t>
        </is>
      </c>
      <c r="S368" s="605" t="n">
        <v>345967</v>
      </c>
      <c r="T368" s="387">
        <f>S368/J368</f>
        <v/>
      </c>
      <c r="U368" s="605" t="inlineStr">
        <is>
          <t>Average</t>
        </is>
      </c>
      <c r="Y368" s="605" t="n">
        <v>4950000</v>
      </c>
      <c r="AA368" s="605" t="n">
        <v>4950000</v>
      </c>
      <c r="AC368" s="605" t="inlineStr">
        <is>
          <t>0172101000016</t>
        </is>
      </c>
      <c r="AD368" s="605" t="inlineStr">
        <is>
          <t>2022000035759</t>
        </is>
      </c>
      <c r="AE368" s="653" t="inlineStr">
        <is>
          <t>BK ENTERPRISES LLC</t>
        </is>
      </c>
      <c r="AF368" s="653" t="inlineStr">
        <is>
          <t>13505 E 112TH V1 LLC, C/O CZD ZENITH</t>
        </is>
      </c>
      <c r="AI368" s="605">
        <f>IF(AND($E368=Subj_OccCode,Subj_BldgSF&gt;0,ABS($L368-Subj_BldgSF)&lt;=Subj_BldgSF*Subj_SizeTol),ABS($L368-Subj_BldgSF),NA())</f>
        <v/>
      </c>
      <c r="AJ368" s="605">
        <f>IF(ISNA(AI368),NA(),AI368+ROW()/10000000)</f>
        <v/>
      </c>
    </row>
    <row r="369" ht="15" customHeight="1" s="545">
      <c r="A369" s="385" t="n">
        <v>8</v>
      </c>
      <c r="B369" s="605" t="n">
        <v>362</v>
      </c>
      <c r="C369" s="605" t="inlineStr">
        <is>
          <t>R0100631</t>
        </is>
      </c>
      <c r="D369" s="605" t="inlineStr">
        <is>
          <t>6780  FEDERAL BLVD</t>
        </is>
      </c>
      <c r="E369" s="605" t="n">
        <v>325</v>
      </c>
      <c r="G369" s="605" t="inlineStr">
        <is>
          <t>5</t>
        </is>
      </c>
      <c r="H369" s="59">
        <f>Y369/J369</f>
        <v/>
      </c>
      <c r="I369" s="386" t="n">
        <v>44130</v>
      </c>
      <c r="J369" s="605" t="n">
        <v>4719</v>
      </c>
      <c r="L369" s="605" t="n">
        <v>4719</v>
      </c>
      <c r="M369" s="605" t="n">
        <v>2001</v>
      </c>
      <c r="P369" s="605" t="inlineStr">
        <is>
          <t>Residential</t>
        </is>
      </c>
      <c r="R369" s="152" t="inlineStr">
        <is>
          <t>Average</t>
        </is>
      </c>
      <c r="S369" s="605" t="n">
        <v>17981</v>
      </c>
      <c r="T369" s="387">
        <f>S369/J369</f>
        <v/>
      </c>
      <c r="U369" s="605" t="inlineStr">
        <is>
          <t>Average</t>
        </is>
      </c>
      <c r="Y369" s="605" t="n">
        <v>1594000</v>
      </c>
      <c r="AA369" s="605" t="n">
        <v>1594000</v>
      </c>
      <c r="AC369" s="605" t="inlineStr">
        <is>
          <t>0182505402001</t>
        </is>
      </c>
      <c r="AD369" s="605" t="inlineStr">
        <is>
          <t>2020000109934</t>
        </is>
      </c>
      <c r="AE369" s="653" t="inlineStr">
        <is>
          <t>ROBINSON JAMES E AND, ROBINSON SHARON A</t>
        </is>
      </c>
      <c r="AF369" s="653" t="inlineStr">
        <is>
          <t>SAYKALLY INVESTMENT GROUP LLC</t>
        </is>
      </c>
      <c r="AI369" s="605">
        <f>IF(AND($E369=Subj_OccCode,Subj_BldgSF&gt;0,ABS($L369-Subj_BldgSF)&lt;=Subj_BldgSF*Subj_SizeTol),ABS($L369-Subj_BldgSF),NA())</f>
        <v/>
      </c>
      <c r="AJ369" s="605">
        <f>IF(ISNA(AI369),NA(),AI369+ROW()/10000000)</f>
        <v/>
      </c>
    </row>
    <row r="370" ht="15" customHeight="1" s="545">
      <c r="A370" s="385" t="n">
        <v>8</v>
      </c>
      <c r="B370" s="605" t="n">
        <v>363</v>
      </c>
      <c r="C370" s="605" t="inlineStr">
        <is>
          <t>R0062954</t>
        </is>
      </c>
      <c r="D370" s="605" t="inlineStr">
        <is>
          <t>5051 W 80TH AVE</t>
        </is>
      </c>
      <c r="E370" s="605" t="n">
        <v>436</v>
      </c>
      <c r="F370" s="605" t="inlineStr">
        <is>
          <t>WESTMINSTER</t>
        </is>
      </c>
      <c r="G370" s="605" t="inlineStr">
        <is>
          <t>4</t>
        </is>
      </c>
      <c r="H370" s="59">
        <f>Y370/J370</f>
        <v/>
      </c>
      <c r="I370" s="386" t="n">
        <v>43761</v>
      </c>
      <c r="J370" s="605" t="n">
        <v>5424</v>
      </c>
      <c r="L370" s="605" t="n">
        <v>5424</v>
      </c>
      <c r="M370" s="605" t="n">
        <v>1988</v>
      </c>
      <c r="P370" s="605" t="inlineStr">
        <is>
          <t>B-1-Wes</t>
        </is>
      </c>
      <c r="R370" s="152" t="inlineStr">
        <is>
          <t>Average</t>
        </is>
      </c>
      <c r="S370" s="605" t="n">
        <v>25264</v>
      </c>
      <c r="T370" s="387">
        <f>S370/J370</f>
        <v/>
      </c>
      <c r="U370" s="605" t="inlineStr">
        <is>
          <t>Average</t>
        </is>
      </c>
      <c r="Y370" s="605" t="n">
        <v>625000</v>
      </c>
      <c r="AA370" s="605" t="n">
        <v>625000</v>
      </c>
      <c r="AC370" s="605" t="inlineStr">
        <is>
          <t>0171930300008</t>
        </is>
      </c>
      <c r="AD370" s="605" t="inlineStr">
        <is>
          <t>2019000091630</t>
        </is>
      </c>
      <c r="AE370" s="653" t="inlineStr">
        <is>
          <t>WASH ME III LLC</t>
        </is>
      </c>
      <c r="AF370" s="653" t="inlineStr">
        <is>
          <t>NGUYEN TAI AND, NGUYEN LOI</t>
        </is>
      </c>
      <c r="AI370" s="605">
        <f>IF(AND($E370=Subj_OccCode,Subj_BldgSF&gt;0,ABS($L370-Subj_BldgSF)&lt;=Subj_BldgSF*Subj_SizeTol),ABS($L370-Subj_BldgSF),NA())</f>
        <v/>
      </c>
      <c r="AJ370" s="605">
        <f>IF(ISNA(AI370),NA(),AI370+ROW()/10000000)</f>
        <v/>
      </c>
    </row>
    <row r="371" ht="15" customHeight="1" s="545">
      <c r="A371" s="385" t="n">
        <v>8</v>
      </c>
      <c r="B371" s="605" t="n">
        <v>364</v>
      </c>
      <c r="C371" s="605" t="inlineStr">
        <is>
          <t>R0059105</t>
        </is>
      </c>
      <c r="D371" s="605" t="inlineStr">
        <is>
          <t>6 W 83RD PL</t>
        </is>
      </c>
      <c r="E371" s="605" t="n">
        <v>343</v>
      </c>
      <c r="F371" s="605" t="inlineStr">
        <is>
          <t>THORNTON</t>
        </is>
      </c>
      <c r="G371" s="605" t="inlineStr">
        <is>
          <t>4</t>
        </is>
      </c>
      <c r="H371" s="59">
        <f>Y371/J371</f>
        <v/>
      </c>
      <c r="I371" s="386" t="n">
        <v>44096</v>
      </c>
      <c r="J371" s="605" t="n">
        <v>32224</v>
      </c>
      <c r="L371" s="605" t="n">
        <v>32224</v>
      </c>
      <c r="M371" s="605" t="n">
        <v>1983</v>
      </c>
      <c r="P371" s="605" t="inlineStr">
        <is>
          <t>Business Park</t>
        </is>
      </c>
      <c r="R371" s="152" t="inlineStr">
        <is>
          <t>Average</t>
        </is>
      </c>
      <c r="S371" s="605" t="n">
        <v>104108</v>
      </c>
      <c r="T371" s="387">
        <f>S371/J371</f>
        <v/>
      </c>
      <c r="U371" s="605" t="inlineStr">
        <is>
          <t>Average</t>
        </is>
      </c>
      <c r="Y371" s="605" t="n">
        <v>7350000</v>
      </c>
      <c r="AA371" s="605" t="n">
        <v>7350000</v>
      </c>
      <c r="AC371" s="605" t="inlineStr">
        <is>
          <t>0171927417005</t>
        </is>
      </c>
      <c r="AD371" s="605" t="inlineStr">
        <is>
          <t>2020000113615</t>
        </is>
      </c>
      <c r="AE371" s="653" t="inlineStr">
        <is>
          <t>G6 HOSPITALITY PROPERTY LLC</t>
        </is>
      </c>
      <c r="AF371" s="653" t="inlineStr">
        <is>
          <t>D THOR HOTEL LLC</t>
        </is>
      </c>
      <c r="AI371" s="605">
        <f>IF(AND($E371=Subj_OccCode,Subj_BldgSF&gt;0,ABS($L371-Subj_BldgSF)&lt;=Subj_BldgSF*Subj_SizeTol),ABS($L371-Subj_BldgSF),NA())</f>
        <v/>
      </c>
      <c r="AJ371" s="605">
        <f>IF(ISNA(AI371),NA(),AI371+ROW()/10000000)</f>
        <v/>
      </c>
    </row>
    <row r="372" ht="15" customHeight="1" s="545">
      <c r="A372" s="385" t="n">
        <v>8</v>
      </c>
      <c r="B372" s="605" t="n">
        <v>365</v>
      </c>
      <c r="C372" s="605" t="inlineStr">
        <is>
          <t>R0030049</t>
        </is>
      </c>
      <c r="D372" s="605" t="inlineStr">
        <is>
          <t>11428  CHEROKEE ST</t>
        </is>
      </c>
      <c r="E372" s="605" t="n">
        <v>386</v>
      </c>
      <c r="F372" s="605" t="inlineStr">
        <is>
          <t>NORTHGLENN</t>
        </is>
      </c>
      <c r="G372" s="605" t="inlineStr">
        <is>
          <t>4</t>
        </is>
      </c>
      <c r="H372" s="59">
        <f>Y372/J372</f>
        <v/>
      </c>
      <c r="I372" s="386" t="n">
        <v>44453</v>
      </c>
      <c r="J372" s="605" t="n">
        <v>44436</v>
      </c>
      <c r="L372" s="605" t="n">
        <v>44436</v>
      </c>
      <c r="M372" s="605" t="n">
        <v>1980</v>
      </c>
      <c r="P372" s="605" t="inlineStr">
        <is>
          <t>I-2-Nor</t>
        </is>
      </c>
      <c r="R372" s="152" t="inlineStr">
        <is>
          <t>Average</t>
        </is>
      </c>
      <c r="S372" s="605" t="n">
        <v>131672</v>
      </c>
      <c r="T372" s="387">
        <f>S372/J372</f>
        <v/>
      </c>
      <c r="U372" s="605" t="inlineStr">
        <is>
          <t>Average</t>
        </is>
      </c>
      <c r="Y372" s="605" t="n">
        <v>7700000</v>
      </c>
      <c r="AA372" s="605" t="n">
        <v>7700000</v>
      </c>
      <c r="AC372" s="605" t="inlineStr">
        <is>
          <t>0171903004007</t>
        </is>
      </c>
      <c r="AD372" s="605" t="inlineStr">
        <is>
          <t>2021000111448</t>
        </is>
      </c>
      <c r="AE372" s="653" t="inlineStr">
        <is>
          <t>CUBE SMART LP #229</t>
        </is>
      </c>
      <c r="AF372" s="653" t="inlineStr">
        <is>
          <t>SELF-STORAGE PORTFOLIO  XIV DST</t>
        </is>
      </c>
      <c r="AI372" s="605">
        <f>IF(AND($E372=Subj_OccCode,Subj_BldgSF&gt;0,ABS($L372-Subj_BldgSF)&lt;=Subj_BldgSF*Subj_SizeTol),ABS($L372-Subj_BldgSF),NA())</f>
        <v/>
      </c>
      <c r="AJ372" s="605">
        <f>IF(ISNA(AI372),NA(),AI372+ROW()/10000000)</f>
        <v/>
      </c>
    </row>
    <row r="373" ht="15" customHeight="1" s="545">
      <c r="A373" s="385" t="n">
        <v>8</v>
      </c>
      <c r="B373" s="605" t="n">
        <v>366</v>
      </c>
      <c r="C373" s="605" t="inlineStr">
        <is>
          <t>R0037120</t>
        </is>
      </c>
      <c r="D373" s="605" t="inlineStr">
        <is>
          <t>11172 HURON ST #20 #20</t>
        </is>
      </c>
      <c r="E373" s="605" t="n">
        <v>341</v>
      </c>
      <c r="F373" s="605" t="inlineStr">
        <is>
          <t>NORTHGLENN</t>
        </is>
      </c>
      <c r="G373" s="605" t="inlineStr">
        <is>
          <t>4</t>
        </is>
      </c>
      <c r="H373" s="59">
        <f>Y373/J373</f>
        <v/>
      </c>
      <c r="I373" s="386" t="n">
        <v>43490</v>
      </c>
      <c r="J373" s="605" t="n">
        <v>1848</v>
      </c>
      <c r="L373" s="605" t="n">
        <v>1848</v>
      </c>
      <c r="M373" s="605" t="n">
        <v>1984</v>
      </c>
      <c r="P373" s="605" t="inlineStr">
        <is>
          <t>Northglenn</t>
        </is>
      </c>
      <c r="R373" s="152" t="inlineStr">
        <is>
          <t>Average</t>
        </is>
      </c>
      <c r="S373" s="605" t="n">
        <v>1108</v>
      </c>
      <c r="T373" s="387">
        <f>S373/J373</f>
        <v/>
      </c>
      <c r="U373" s="605" t="inlineStr">
        <is>
          <t>Average</t>
        </is>
      </c>
      <c r="Y373" s="605" t="n">
        <v>300000</v>
      </c>
      <c r="AA373" s="605" t="n">
        <v>300000</v>
      </c>
      <c r="AC373" s="605" t="inlineStr">
        <is>
          <t>0171910217020</t>
        </is>
      </c>
      <c r="AD373" s="605" t="inlineStr">
        <is>
          <t>2019000006568</t>
        </is>
      </c>
      <c r="AE373" s="653" t="inlineStr">
        <is>
          <t>BERGH CALE AND, BERGH KAREN</t>
        </is>
      </c>
      <c r="AF373" s="653" t="inlineStr">
        <is>
          <t>CLANDERSON LLC ET AL</t>
        </is>
      </c>
      <c r="AI373" s="605">
        <f>IF(AND($E373=Subj_OccCode,Subj_BldgSF&gt;0,ABS($L373-Subj_BldgSF)&lt;=Subj_BldgSF*Subj_SizeTol),ABS($L373-Subj_BldgSF),NA())</f>
        <v/>
      </c>
      <c r="AJ373" s="605">
        <f>IF(ISNA(AI373),NA(),AI373+ROW()/10000000)</f>
        <v/>
      </c>
    </row>
    <row r="374" ht="15" customHeight="1" s="545">
      <c r="A374" s="385" t="n">
        <v>8</v>
      </c>
      <c r="B374" s="605" t="n">
        <v>367</v>
      </c>
      <c r="C374" s="605" t="inlineStr">
        <is>
          <t>R0013647</t>
        </is>
      </c>
      <c r="D374" s="605" t="inlineStr">
        <is>
          <t>12251  BRIGHTON RD</t>
        </is>
      </c>
      <c r="E374" s="605" t="n">
        <v>325</v>
      </c>
      <c r="G374" s="605" t="inlineStr">
        <is>
          <t>3</t>
        </is>
      </c>
      <c r="H374" s="59">
        <f>Y374/J374</f>
        <v/>
      </c>
      <c r="I374" s="386" t="n">
        <v>43138</v>
      </c>
      <c r="J374" s="605" t="n">
        <v>2208</v>
      </c>
      <c r="L374" s="605" t="n">
        <v>2208</v>
      </c>
      <c r="M374" s="605" t="n">
        <v>1914</v>
      </c>
      <c r="P374" s="605" t="inlineStr">
        <is>
          <t>Commercial</t>
        </is>
      </c>
      <c r="R374" s="152" t="inlineStr">
        <is>
          <t>Average</t>
        </is>
      </c>
      <c r="S374" s="605" t="n">
        <v>21780</v>
      </c>
      <c r="T374" s="387">
        <f>S374/J374</f>
        <v/>
      </c>
      <c r="U374" s="605" t="inlineStr">
        <is>
          <t>Average</t>
        </is>
      </c>
      <c r="Y374" s="605" t="n">
        <v>160000</v>
      </c>
      <c r="AA374" s="605" t="n">
        <v>160000</v>
      </c>
      <c r="AC374" s="605" t="inlineStr">
        <is>
          <t>0157134000022</t>
        </is>
      </c>
      <c r="AD374" s="605" t="inlineStr">
        <is>
          <t>2018000011344</t>
        </is>
      </c>
      <c r="AE374" s="653" t="inlineStr">
        <is>
          <t>PAPOI HAROLD M</t>
        </is>
      </c>
      <c r="AF374" s="653" t="inlineStr">
        <is>
          <t>SHURTLEFF JOSEPH AND, SHURTLEFF MINDY</t>
        </is>
      </c>
      <c r="AI374" s="605">
        <f>IF(AND($E374=Subj_OccCode,Subj_BldgSF&gt;0,ABS($L374-Subj_BldgSF)&lt;=Subj_BldgSF*Subj_SizeTol),ABS($L374-Subj_BldgSF),NA())</f>
        <v/>
      </c>
      <c r="AJ374" s="605">
        <f>IF(ISNA(AI374),NA(),AI374+ROW()/10000000)</f>
        <v/>
      </c>
    </row>
    <row r="375" ht="15" customHeight="1" s="545">
      <c r="A375" s="385" t="n">
        <v>8</v>
      </c>
      <c r="B375" s="605" t="n">
        <v>368</v>
      </c>
      <c r="C375" s="605" t="inlineStr">
        <is>
          <t>R0013688</t>
        </is>
      </c>
      <c r="D375" s="605" t="inlineStr">
        <is>
          <t>12345  BRIGHTON RD</t>
        </is>
      </c>
      <c r="E375" s="605" t="n">
        <v>353</v>
      </c>
      <c r="G375" s="605" t="inlineStr">
        <is>
          <t>3</t>
        </is>
      </c>
      <c r="H375" s="59">
        <f>Y375/J375</f>
        <v/>
      </c>
      <c r="I375" s="386" t="n">
        <v>44189</v>
      </c>
      <c r="J375" s="605" t="n">
        <v>3028</v>
      </c>
      <c r="L375" s="605" t="n">
        <v>3028</v>
      </c>
      <c r="M375" s="605" t="n">
        <v>1924</v>
      </c>
      <c r="P375" s="605" t="inlineStr">
        <is>
          <t>Commercial</t>
        </is>
      </c>
      <c r="R375" s="152" t="inlineStr">
        <is>
          <t>Average</t>
        </is>
      </c>
      <c r="S375" s="605" t="n">
        <v>25800</v>
      </c>
      <c r="T375" s="387">
        <f>S375/J375</f>
        <v/>
      </c>
      <c r="U375" s="605" t="inlineStr">
        <is>
          <t>Average</t>
        </is>
      </c>
      <c r="Y375" s="605" t="n">
        <v>490000</v>
      </c>
      <c r="AA375" s="605" t="n">
        <v>490000</v>
      </c>
      <c r="AC375" s="605" t="inlineStr">
        <is>
          <t>0157134001006</t>
        </is>
      </c>
      <c r="AD375" s="605" t="inlineStr">
        <is>
          <t>2020000138992</t>
        </is>
      </c>
      <c r="AE375" s="653" t="inlineStr">
        <is>
          <t>KIM SO YEON</t>
        </is>
      </c>
      <c r="AF375" s="653" t="inlineStr">
        <is>
          <t>YI YOUNG JIN AND, HARN GWI SUK</t>
        </is>
      </c>
      <c r="AI375" s="605">
        <f>IF(AND($E375=Subj_OccCode,Subj_BldgSF&gt;0,ABS($L375-Subj_BldgSF)&lt;=Subj_BldgSF*Subj_SizeTol),ABS($L375-Subj_BldgSF),NA())</f>
        <v/>
      </c>
      <c r="AJ375" s="605">
        <f>IF(ISNA(AI375),NA(),AI375+ROW()/10000000)</f>
        <v/>
      </c>
    </row>
    <row r="376" ht="15" customHeight="1" s="545">
      <c r="A376" s="385" t="n">
        <v>8</v>
      </c>
      <c r="B376" s="605" t="n">
        <v>369</v>
      </c>
      <c r="C376" s="605" t="inlineStr">
        <is>
          <t>R0058010</t>
        </is>
      </c>
      <c r="D376" s="605" t="inlineStr">
        <is>
          <t>2025  NUEVA VISTA DR</t>
        </is>
      </c>
      <c r="E376" s="605" t="n">
        <v>434</v>
      </c>
      <c r="G376" s="605" t="inlineStr">
        <is>
          <t>4</t>
        </is>
      </c>
      <c r="H376" s="59">
        <f>Y376/J376</f>
        <v/>
      </c>
      <c r="I376" s="386" t="n">
        <v>43263</v>
      </c>
      <c r="J376" s="605" t="n">
        <v>1512</v>
      </c>
      <c r="L376" s="605" t="n">
        <v>1512</v>
      </c>
      <c r="M376" s="605" t="n">
        <v>1980</v>
      </c>
      <c r="P376" s="605" t="inlineStr">
        <is>
          <t>Commercial</t>
        </is>
      </c>
      <c r="R376" s="152" t="inlineStr">
        <is>
          <t>Average</t>
        </is>
      </c>
      <c r="S376" s="605" t="n">
        <v>16198</v>
      </c>
      <c r="T376" s="387">
        <f>S376/J376</f>
        <v/>
      </c>
      <c r="U376" s="605" t="inlineStr">
        <is>
          <t>Average</t>
        </is>
      </c>
      <c r="Y376" s="605" t="n">
        <v>280000</v>
      </c>
      <c r="AA376" s="605" t="n">
        <v>280000</v>
      </c>
      <c r="AC376" s="605" t="inlineStr">
        <is>
          <t>0171926416143</t>
        </is>
      </c>
      <c r="AD376" s="605" t="inlineStr">
        <is>
          <t>2018000048092</t>
        </is>
      </c>
      <c r="AE376" s="653" t="inlineStr">
        <is>
          <t>GENS ROBERT M</t>
        </is>
      </c>
      <c r="AF376" s="653" t="inlineStr">
        <is>
          <t>SPLASH CAR WASH LLC</t>
        </is>
      </c>
      <c r="AI376" s="605">
        <f>IF(AND($E376=Subj_OccCode,Subj_BldgSF&gt;0,ABS($L376-Subj_BldgSF)&lt;=Subj_BldgSF*Subj_SizeTol),ABS($L376-Subj_BldgSF),NA())</f>
        <v/>
      </c>
      <c r="AJ376" s="605">
        <f>IF(ISNA(AI376),NA(),AI376+ROW()/10000000)</f>
        <v/>
      </c>
    </row>
    <row r="377" ht="15" customHeight="1" s="545">
      <c r="A377" s="385" t="n">
        <v>8</v>
      </c>
      <c r="B377" s="605" t="n">
        <v>370</v>
      </c>
      <c r="C377" s="605" t="inlineStr">
        <is>
          <t>R0092769</t>
        </is>
      </c>
      <c r="D377" s="605" t="inlineStr">
        <is>
          <t>6845 E 48TH AVE</t>
        </is>
      </c>
      <c r="E377" s="605" t="n">
        <v>334</v>
      </c>
      <c r="F377" s="605" t="inlineStr">
        <is>
          <t>COMMERCE CITY</t>
        </is>
      </c>
      <c r="G377" s="605" t="inlineStr">
        <is>
          <t>5</t>
        </is>
      </c>
      <c r="H377" s="59">
        <f>Y377/J377</f>
        <v/>
      </c>
      <c r="I377" s="386" t="n">
        <v>43830</v>
      </c>
      <c r="J377" s="605" t="n">
        <v>12368</v>
      </c>
      <c r="L377" s="605" t="n">
        <v>12368</v>
      </c>
      <c r="M377" s="605" t="n">
        <v>1972</v>
      </c>
      <c r="P377" s="605" t="inlineStr">
        <is>
          <t>I-1S</t>
        </is>
      </c>
      <c r="R377" s="152" t="inlineStr">
        <is>
          <t>Average</t>
        </is>
      </c>
      <c r="S377" s="605" t="n">
        <v>24026</v>
      </c>
      <c r="T377" s="387">
        <f>S377/J377</f>
        <v/>
      </c>
      <c r="U377" s="605" t="inlineStr">
        <is>
          <t>Average</t>
        </is>
      </c>
      <c r="Y377" s="605" t="n">
        <v>1700000</v>
      </c>
      <c r="AA377" s="605" t="n">
        <v>1700000</v>
      </c>
      <c r="AC377" s="605" t="inlineStr">
        <is>
          <t>0182317408031</t>
        </is>
      </c>
      <c r="AD377" s="605" t="inlineStr">
        <is>
          <t>2020000003548</t>
        </is>
      </c>
      <c r="AE377" s="653" t="inlineStr">
        <is>
          <t>MITECH LLC</t>
        </is>
      </c>
      <c r="AF377" s="653" t="inlineStr">
        <is>
          <t>FRC HOLDINGS LLC</t>
        </is>
      </c>
      <c r="AI377" s="605">
        <f>IF(AND($E377=Subj_OccCode,Subj_BldgSF&gt;0,ABS($L377-Subj_BldgSF)&lt;=Subj_BldgSF*Subj_SizeTol),ABS($L377-Subj_BldgSF),NA())</f>
        <v/>
      </c>
      <c r="AJ377" s="605">
        <f>IF(ISNA(AI377),NA(),AI377+ROW()/10000000)</f>
        <v/>
      </c>
    </row>
    <row r="378" ht="15" customHeight="1" s="545">
      <c r="A378" s="385" t="n">
        <v>8</v>
      </c>
      <c r="B378" s="605" t="n">
        <v>371</v>
      </c>
      <c r="C378" s="605" t="inlineStr">
        <is>
          <t>R0069190</t>
        </is>
      </c>
      <c r="D378" s="605" t="inlineStr">
        <is>
          <t>7667  WASHINGTON ST</t>
        </is>
      </c>
      <c r="E378" s="605" t="n">
        <v>353</v>
      </c>
      <c r="G378" s="605" t="inlineStr">
        <is>
          <t>4</t>
        </is>
      </c>
      <c r="H378" s="59">
        <f>Y378/J378</f>
        <v/>
      </c>
      <c r="I378" s="386" t="n">
        <v>44098</v>
      </c>
      <c r="J378" s="605" t="n">
        <v>3440</v>
      </c>
      <c r="L378" s="605" t="n">
        <v>3440</v>
      </c>
      <c r="M378" s="605" t="n">
        <v>1964</v>
      </c>
      <c r="P378" s="605" t="inlineStr">
        <is>
          <t>Planned Unit Development</t>
        </is>
      </c>
      <c r="R378" s="152" t="inlineStr">
        <is>
          <t>Average</t>
        </is>
      </c>
      <c r="S378" s="605" t="n">
        <v>47459</v>
      </c>
      <c r="T378" s="387">
        <f>S378/J378</f>
        <v/>
      </c>
      <c r="U378" s="605" t="inlineStr">
        <is>
          <t>Average</t>
        </is>
      </c>
      <c r="Y378" s="605" t="n">
        <v>497000</v>
      </c>
      <c r="AA378" s="605" t="n">
        <v>497000</v>
      </c>
      <c r="AC378" s="605" t="inlineStr">
        <is>
          <t>0171934100009</t>
        </is>
      </c>
      <c r="AD378" s="605" t="inlineStr">
        <is>
          <t>2020000096995</t>
        </is>
      </c>
      <c r="AE378" s="653" t="inlineStr">
        <is>
          <t>ADDUCCI LISA M ET AL</t>
        </is>
      </c>
      <c r="AF378" s="653" t="inlineStr">
        <is>
          <t>7667 WASHINGTON ST LLC</t>
        </is>
      </c>
      <c r="AI378" s="605">
        <f>IF(AND($E378=Subj_OccCode,Subj_BldgSF&gt;0,ABS($L378-Subj_BldgSF)&lt;=Subj_BldgSF*Subj_SizeTol),ABS($L378-Subj_BldgSF),NA())</f>
        <v/>
      </c>
      <c r="AJ378" s="605">
        <f>IF(ISNA(AI378),NA(),AI378+ROW()/10000000)</f>
        <v/>
      </c>
    </row>
    <row r="379" ht="15" customHeight="1" s="545">
      <c r="A379" s="385" t="n">
        <v>8</v>
      </c>
      <c r="B379" s="605" t="n">
        <v>372</v>
      </c>
      <c r="C379" s="605" t="inlineStr">
        <is>
          <t>R0068515</t>
        </is>
      </c>
      <c r="D379" s="605" t="inlineStr">
        <is>
          <t>7333  PECOS ST</t>
        </is>
      </c>
      <c r="E379" s="605" t="n">
        <v>343</v>
      </c>
      <c r="G379" s="605" t="inlineStr">
        <is>
          <t>4</t>
        </is>
      </c>
      <c r="H379" s="59">
        <f>Y379/J379</f>
        <v/>
      </c>
      <c r="I379" s="386" t="n">
        <v>44530</v>
      </c>
      <c r="J379" s="605" t="n">
        <v>14156</v>
      </c>
      <c r="L379" s="605" t="n">
        <v>14156</v>
      </c>
      <c r="M379" s="605" t="n">
        <v>1982</v>
      </c>
      <c r="P379" s="605" t="inlineStr">
        <is>
          <t>Planned Unit Development</t>
        </is>
      </c>
      <c r="R379" s="152" t="inlineStr">
        <is>
          <t>Average</t>
        </is>
      </c>
      <c r="S379" s="605" t="n">
        <v>39829</v>
      </c>
      <c r="T379" s="387">
        <f>S379/J379</f>
        <v/>
      </c>
      <c r="U379" s="605" t="inlineStr">
        <is>
          <t>Average</t>
        </is>
      </c>
      <c r="Y379" s="605" t="n">
        <v>1750000</v>
      </c>
      <c r="AA379" s="605" t="n">
        <v>1750000</v>
      </c>
      <c r="AC379" s="605" t="inlineStr">
        <is>
          <t>0171933307043</t>
        </is>
      </c>
      <c r="AD379" s="605" t="inlineStr">
        <is>
          <t>2021000142090</t>
        </is>
      </c>
      <c r="AE379" s="653" t="inlineStr">
        <is>
          <t>VENTURE HOSPITALITY INC</t>
        </is>
      </c>
      <c r="AF379" s="653" t="inlineStr">
        <is>
          <t>CO VENTURE LLC</t>
        </is>
      </c>
      <c r="AI379" s="605">
        <f>IF(AND($E379=Subj_OccCode,Subj_BldgSF&gt;0,ABS($L379-Subj_BldgSF)&lt;=Subj_BldgSF*Subj_SizeTol),ABS($L379-Subj_BldgSF),NA())</f>
        <v/>
      </c>
      <c r="AJ379" s="605">
        <f>IF(ISNA(AI379),NA(),AI379+ROW()/10000000)</f>
        <v/>
      </c>
    </row>
    <row r="380" ht="15" customHeight="1" s="545">
      <c r="A380" s="385" t="n">
        <v>8</v>
      </c>
      <c r="B380" s="605" t="n">
        <v>373</v>
      </c>
      <c r="C380" s="605" t="inlineStr">
        <is>
          <t>R0084319</t>
        </is>
      </c>
      <c r="D380" s="605" t="inlineStr">
        <is>
          <t>13858 E SMITH DR #E</t>
        </is>
      </c>
      <c r="E380" s="605" t="n">
        <v>425</v>
      </c>
      <c r="F380" s="605" t="inlineStr">
        <is>
          <t>AURORA</t>
        </is>
      </c>
      <c r="G380" s="605" t="inlineStr">
        <is>
          <t>6</t>
        </is>
      </c>
      <c r="H380" s="59">
        <f>Y380/J380</f>
        <v/>
      </c>
      <c r="I380" s="386" t="n">
        <v>43588</v>
      </c>
      <c r="J380" s="605" t="n">
        <v>1500</v>
      </c>
      <c r="L380" s="605" t="n">
        <v>1500</v>
      </c>
      <c r="M380" s="605" t="n">
        <v>1982</v>
      </c>
      <c r="P380" s="605" t="inlineStr">
        <is>
          <t>Aurora</t>
        </is>
      </c>
      <c r="R380" s="152" t="inlineStr">
        <is>
          <t>Average</t>
        </is>
      </c>
      <c r="S380" s="605" t="n">
        <v>4608</v>
      </c>
      <c r="T380" s="387">
        <f>S380/J380</f>
        <v/>
      </c>
      <c r="U380" s="605" t="inlineStr">
        <is>
          <t>Average</t>
        </is>
      </c>
      <c r="Y380" s="605" t="n">
        <v>181000</v>
      </c>
      <c r="AA380" s="605" t="n">
        <v>181000</v>
      </c>
      <c r="AC380" s="605" t="inlineStr">
        <is>
          <t>0182130013019</t>
        </is>
      </c>
      <c r="AD380" s="605" t="inlineStr">
        <is>
          <t>2019000033209</t>
        </is>
      </c>
      <c r="AE380" s="653" t="inlineStr">
        <is>
          <t>SONNENFELD QUENTON D AND, SONNENFELD SHARON A</t>
        </is>
      </c>
      <c r="AF380" s="653" t="inlineStr">
        <is>
          <t>ASR LLC</t>
        </is>
      </c>
      <c r="AI380" s="605">
        <f>IF(AND($E380=Subj_OccCode,Subj_BldgSF&gt;0,ABS($L380-Subj_BldgSF)&lt;=Subj_BldgSF*Subj_SizeTol),ABS($L380-Subj_BldgSF),NA())</f>
        <v/>
      </c>
      <c r="AJ380" s="605">
        <f>IF(ISNA(AI380),NA(),AI380+ROW()/10000000)</f>
        <v/>
      </c>
    </row>
    <row r="381" ht="15" customHeight="1" s="545">
      <c r="A381" s="385" t="n">
        <v>8</v>
      </c>
      <c r="B381" s="605" t="n">
        <v>374</v>
      </c>
      <c r="C381" s="605" t="inlineStr">
        <is>
          <t>R0081885</t>
        </is>
      </c>
      <c r="D381" s="605" t="inlineStr">
        <is>
          <t>56481 E COLFAX AVE</t>
        </is>
      </c>
      <c r="E381" s="605" t="n">
        <v>344</v>
      </c>
      <c r="F381" s="605" t="inlineStr">
        <is>
          <t>STRASBURG</t>
        </is>
      </c>
      <c r="G381" s="605" t="inlineStr">
        <is>
          <t>1</t>
        </is>
      </c>
      <c r="H381" s="59">
        <f>Y381/J381</f>
        <v/>
      </c>
      <c r="I381" s="386" t="n">
        <v>43208</v>
      </c>
      <c r="J381" s="605" t="n">
        <v>1296</v>
      </c>
      <c r="L381" s="605" t="n">
        <v>1296</v>
      </c>
      <c r="M381" s="605" t="n">
        <v>1949</v>
      </c>
      <c r="P381" s="605" t="inlineStr">
        <is>
          <t>Commercial</t>
        </is>
      </c>
      <c r="R381" s="152" t="inlineStr">
        <is>
          <t>Average</t>
        </is>
      </c>
      <c r="S381" s="605" t="n">
        <v>6525</v>
      </c>
      <c r="T381" s="387">
        <f>S381/J381</f>
        <v/>
      </c>
      <c r="U381" s="605" t="inlineStr">
        <is>
          <t>Average</t>
        </is>
      </c>
      <c r="Y381" s="605" t="n">
        <v>210000</v>
      </c>
      <c r="AA381" s="605" t="n">
        <v>210000</v>
      </c>
      <c r="AC381" s="605" t="inlineStr">
        <is>
          <t>0181333411010</t>
        </is>
      </c>
      <c r="AD381" s="605" t="inlineStr">
        <is>
          <t>2018000032427</t>
        </is>
      </c>
      <c r="AE381" s="653" t="inlineStr">
        <is>
          <t>BATES FAMILY  TRUST</t>
        </is>
      </c>
      <c r="AF381" s="653" t="inlineStr">
        <is>
          <t>AMERICAN ENTERPRISES  LTD</t>
        </is>
      </c>
      <c r="AI381" s="605">
        <f>IF(AND($E381=Subj_OccCode,Subj_BldgSF&gt;0,ABS($L381-Subj_BldgSF)&lt;=Subj_BldgSF*Subj_SizeTol),ABS($L381-Subj_BldgSF),NA())</f>
        <v/>
      </c>
      <c r="AJ381" s="605">
        <f>IF(ISNA(AI381),NA(),AI381+ROW()/10000000)</f>
        <v/>
      </c>
    </row>
    <row r="382" ht="15" customHeight="1" s="545">
      <c r="A382" s="385" t="n">
        <v>8</v>
      </c>
      <c r="B382" s="605" t="n">
        <v>375</v>
      </c>
      <c r="C382" s="605" t="inlineStr">
        <is>
          <t>R0067174</t>
        </is>
      </c>
      <c r="D382" s="605" t="inlineStr">
        <is>
          <t>2735 W 72ND AVE</t>
        </is>
      </c>
      <c r="E382" s="605" t="n">
        <v>353</v>
      </c>
      <c r="F382" s="605" t="inlineStr">
        <is>
          <t>WESTMINSTER</t>
        </is>
      </c>
      <c r="G382" s="605" t="inlineStr">
        <is>
          <t>4</t>
        </is>
      </c>
      <c r="H382" s="59">
        <f>Y382/J382</f>
        <v/>
      </c>
      <c r="I382" s="386" t="n">
        <v>43601</v>
      </c>
      <c r="J382" s="605" t="n">
        <v>2563</v>
      </c>
      <c r="L382" s="605" t="n">
        <v>2563</v>
      </c>
      <c r="M382" s="605" t="n">
        <v>1962</v>
      </c>
      <c r="R382" s="152" t="inlineStr">
        <is>
          <t>Average</t>
        </is>
      </c>
      <c r="S382" s="605" t="n">
        <v>15600</v>
      </c>
      <c r="T382" s="387">
        <f>S382/J382</f>
        <v/>
      </c>
      <c r="U382" s="605" t="inlineStr">
        <is>
          <t>Average</t>
        </is>
      </c>
      <c r="Y382" s="605" t="n">
        <v>607000</v>
      </c>
      <c r="AA382" s="605" t="n">
        <v>607000</v>
      </c>
      <c r="AC382" s="605" t="inlineStr">
        <is>
          <t>0171932417050</t>
        </is>
      </c>
      <c r="AD382" s="605" t="inlineStr">
        <is>
          <t>2019000038513</t>
        </is>
      </c>
      <c r="AE382" s="653" t="inlineStr">
        <is>
          <t>REGASSA TEFERA AND, HAILE ABAYNESH</t>
        </is>
      </c>
      <c r="AF382" s="653" t="inlineStr">
        <is>
          <t>HAGOS BARAKI G AND, GAZE RAHWA MEHRETEAB</t>
        </is>
      </c>
      <c r="AI382" s="605">
        <f>IF(AND($E382=Subj_OccCode,Subj_BldgSF&gt;0,ABS($L382-Subj_BldgSF)&lt;=Subj_BldgSF*Subj_SizeTol),ABS($L382-Subj_BldgSF),NA())</f>
        <v/>
      </c>
      <c r="AJ382" s="605">
        <f>IF(ISNA(AI382),NA(),AI382+ROW()/10000000)</f>
        <v/>
      </c>
    </row>
    <row r="383" ht="15" customHeight="1" s="545">
      <c r="A383" s="385" t="n">
        <v>8</v>
      </c>
      <c r="B383" s="605" t="n">
        <v>376</v>
      </c>
      <c r="C383" s="605" t="inlineStr">
        <is>
          <t>R0129953</t>
        </is>
      </c>
      <c r="D383" s="605" t="inlineStr">
        <is>
          <t>1865 W 121ST AVE</t>
        </is>
      </c>
      <c r="E383" s="605" t="n">
        <v>534</v>
      </c>
      <c r="F383" s="605" t="inlineStr">
        <is>
          <t>WESTMINSTER</t>
        </is>
      </c>
      <c r="G383" s="605" t="inlineStr">
        <is>
          <t>3</t>
        </is>
      </c>
      <c r="H383" s="59">
        <f>Y383/J383</f>
        <v/>
      </c>
      <c r="I383" s="386" t="n">
        <v>43251</v>
      </c>
      <c r="J383" s="605" t="n">
        <v>125320</v>
      </c>
      <c r="L383" s="605" t="n">
        <v>125320</v>
      </c>
      <c r="M383" s="605" t="n">
        <v>2001</v>
      </c>
      <c r="R383" s="152" t="inlineStr">
        <is>
          <t>Good</t>
        </is>
      </c>
      <c r="S383" s="605" t="n">
        <v>553942</v>
      </c>
      <c r="T383" s="387">
        <f>S383/J383</f>
        <v/>
      </c>
      <c r="U383" s="605" t="inlineStr">
        <is>
          <t>Good</t>
        </is>
      </c>
      <c r="Y383" s="605" t="n">
        <v>17100000</v>
      </c>
      <c r="AA383" s="605" t="n">
        <v>17100000</v>
      </c>
      <c r="AC383" s="605" t="inlineStr">
        <is>
          <t>0157333302003</t>
        </is>
      </c>
      <c r="AD383" s="605" t="inlineStr">
        <is>
          <t>2018000044310</t>
        </is>
      </c>
      <c r="AE383" s="653" t="inlineStr">
        <is>
          <t>NORTHRIDGE EQUITIES LLC</t>
        </is>
      </c>
      <c r="AF383" s="653" t="inlineStr">
        <is>
          <t>NORTHRIDGE PROPERTY OWNER LLC UND 64.29% INT AND , WESTMINSTER 121 LLC UN et al.</t>
        </is>
      </c>
      <c r="AI383" s="605">
        <f>IF(AND($E383=Subj_OccCode,Subj_BldgSF&gt;0,ABS($L383-Subj_BldgSF)&lt;=Subj_BldgSF*Subj_SizeTol),ABS($L383-Subj_BldgSF),NA())</f>
        <v/>
      </c>
      <c r="AJ383" s="605">
        <f>IF(ISNA(AI383),NA(),AI383+ROW()/10000000)</f>
        <v/>
      </c>
    </row>
    <row r="384" ht="15" customHeight="1" s="545">
      <c r="A384" s="385" t="n">
        <v>8</v>
      </c>
      <c r="B384" s="605" t="n">
        <v>377</v>
      </c>
      <c r="C384" s="605" t="inlineStr">
        <is>
          <t>R0037103</t>
        </is>
      </c>
      <c r="D384" s="605" t="inlineStr">
        <is>
          <t>11178  HURON ST</t>
        </is>
      </c>
      <c r="E384" s="605" t="n">
        <v>1344</v>
      </c>
      <c r="F384" s="605" t="inlineStr">
        <is>
          <t>NORTHGLENN</t>
        </is>
      </c>
      <c r="G384" s="605" t="inlineStr">
        <is>
          <t>4</t>
        </is>
      </c>
      <c r="H384" s="59">
        <f>Y384/J384</f>
        <v/>
      </c>
      <c r="I384" s="386" t="n">
        <v>44614</v>
      </c>
      <c r="J384" s="605" t="n">
        <v>2216</v>
      </c>
      <c r="L384" s="605" t="n">
        <v>2216</v>
      </c>
      <c r="M384" s="605" t="n">
        <v>1984</v>
      </c>
      <c r="P384" s="605" t="inlineStr">
        <is>
          <t>C-3-Nor</t>
        </is>
      </c>
      <c r="R384" s="152" t="inlineStr">
        <is>
          <t>Average</t>
        </is>
      </c>
      <c r="S384" s="605" t="n">
        <v>1108</v>
      </c>
      <c r="T384" s="387">
        <f>S384/J384</f>
        <v/>
      </c>
      <c r="U384" s="605" t="inlineStr">
        <is>
          <t>Average</t>
        </is>
      </c>
      <c r="Y384" s="605" t="n">
        <v>285000</v>
      </c>
      <c r="AA384" s="605" t="n">
        <v>285000</v>
      </c>
      <c r="AC384" s="605" t="inlineStr">
        <is>
          <t>0171910217003</t>
        </is>
      </c>
      <c r="AD384" s="605" t="inlineStr">
        <is>
          <t>2022000016996</t>
        </is>
      </c>
      <c r="AE384" s="653" t="inlineStr">
        <is>
          <t>HIGHVIEW REALESTATE HOLDINGS LLC</t>
        </is>
      </c>
      <c r="AF384" s="653" t="inlineStr">
        <is>
          <t>11178 HURON ST LLC</t>
        </is>
      </c>
      <c r="AI384" s="605">
        <f>IF(AND($E384=Subj_OccCode,Subj_BldgSF&gt;0,ABS($L384-Subj_BldgSF)&lt;=Subj_BldgSF*Subj_SizeTol),ABS($L384-Subj_BldgSF),NA())</f>
        <v/>
      </c>
      <c r="AJ384" s="605">
        <f>IF(ISNA(AI384),NA(),AI384+ROW()/10000000)</f>
        <v/>
      </c>
    </row>
    <row r="385" ht="15" customHeight="1" s="545">
      <c r="A385" s="385" t="n">
        <v>8</v>
      </c>
      <c r="B385" s="605" t="n">
        <v>378</v>
      </c>
      <c r="C385" s="605" t="inlineStr">
        <is>
          <t>R0114828</t>
        </is>
      </c>
      <c r="D385" s="605" t="inlineStr">
        <is>
          <t>8700  GRANT ST</t>
        </is>
      </c>
      <c r="E385" s="605" t="n">
        <v>344</v>
      </c>
      <c r="F385" s="605" t="inlineStr">
        <is>
          <t>THORNTON</t>
        </is>
      </c>
      <c r="G385" s="605" t="inlineStr">
        <is>
          <t>2</t>
        </is>
      </c>
      <c r="H385" s="59">
        <f>Y385/J385</f>
        <v/>
      </c>
      <c r="I385" s="386" t="n">
        <v>43374</v>
      </c>
      <c r="J385" s="605" t="n">
        <v>20636</v>
      </c>
      <c r="L385" s="605" t="n">
        <v>20636</v>
      </c>
      <c r="M385" s="605" t="n">
        <v>1985</v>
      </c>
      <c r="P385" s="605" t="inlineStr">
        <is>
          <t>Thornton</t>
        </is>
      </c>
      <c r="R385" s="152" t="inlineStr">
        <is>
          <t>Average</t>
        </is>
      </c>
      <c r="S385" s="605" t="n">
        <v>54189</v>
      </c>
      <c r="T385" s="387">
        <f>S385/J385</f>
        <v/>
      </c>
      <c r="U385" s="605" t="inlineStr">
        <is>
          <t>Average</t>
        </is>
      </c>
      <c r="Y385" s="605" t="n">
        <v>2375000</v>
      </c>
      <c r="AA385" s="605" t="n">
        <v>2375000</v>
      </c>
      <c r="AC385" s="605" t="inlineStr">
        <is>
          <t>0171927114006</t>
        </is>
      </c>
      <c r="AD385" s="605" t="inlineStr">
        <is>
          <t>2018000080040</t>
        </is>
      </c>
      <c r="AE385" s="653" t="inlineStr">
        <is>
          <t xml:space="preserve">120 HOLMAN LLC, C/O TRUSTED ACCOUNTING </t>
        </is>
      </c>
      <c r="AF385" s="653" t="inlineStr">
        <is>
          <t>MLS PROPERTIES LLC</t>
        </is>
      </c>
      <c r="AI385" s="605">
        <f>IF(AND($E385=Subj_OccCode,Subj_BldgSF&gt;0,ABS($L385-Subj_BldgSF)&lt;=Subj_BldgSF*Subj_SizeTol),ABS($L385-Subj_BldgSF),NA())</f>
        <v/>
      </c>
      <c r="AJ385" s="605">
        <f>IF(ISNA(AI385),NA(),AI385+ROW()/10000000)</f>
        <v/>
      </c>
    </row>
    <row r="386" ht="15" customHeight="1" s="545">
      <c r="A386" s="385" t="n">
        <v>8</v>
      </c>
      <c r="B386" s="605" t="n">
        <v>379</v>
      </c>
      <c r="C386" s="605" t="inlineStr">
        <is>
          <t>R0150307</t>
        </is>
      </c>
      <c r="D386" s="605" t="inlineStr">
        <is>
          <t>7140  IVY ST</t>
        </is>
      </c>
      <c r="E386" s="605" t="n">
        <v>425</v>
      </c>
      <c r="F386" s="605" t="inlineStr">
        <is>
          <t>COMMERCE CITY</t>
        </is>
      </c>
      <c r="G386" s="605" t="inlineStr">
        <is>
          <t>5</t>
        </is>
      </c>
      <c r="H386" s="59">
        <f>Y386/J386</f>
        <v/>
      </c>
      <c r="I386" s="386" t="n">
        <v>43395</v>
      </c>
      <c r="J386" s="605" t="n">
        <v>9000</v>
      </c>
      <c r="L386" s="605" t="n">
        <v>9000</v>
      </c>
      <c r="M386" s="605" t="n">
        <v>2002</v>
      </c>
      <c r="R386" s="152" t="inlineStr">
        <is>
          <t>Average</t>
        </is>
      </c>
      <c r="S386" s="605" t="n">
        <v>6448</v>
      </c>
      <c r="T386" s="387">
        <f>S386/J386</f>
        <v/>
      </c>
      <c r="U386" s="605" t="inlineStr">
        <is>
          <t>Average</t>
        </is>
      </c>
      <c r="Y386" s="605" t="n">
        <v>233500</v>
      </c>
      <c r="AA386" s="605" t="n">
        <v>233500</v>
      </c>
      <c r="AC386" s="605" t="inlineStr">
        <is>
          <t>0182305221048</t>
        </is>
      </c>
      <c r="AD386" s="605" t="inlineStr">
        <is>
          <t>2018000085734</t>
        </is>
      </c>
      <c r="AE386" s="653" t="inlineStr">
        <is>
          <t>GLOBAL IMAGES ENTERPRISES LLC, C/O ERIC SURRATT</t>
        </is>
      </c>
      <c r="AF386" s="653" t="inlineStr">
        <is>
          <t>MCE PROPERTY I GROUP LLC</t>
        </is>
      </c>
      <c r="AI386" s="605">
        <f>IF(AND($E386=Subj_OccCode,Subj_BldgSF&gt;0,ABS($L386-Subj_BldgSF)&lt;=Subj_BldgSF*Subj_SizeTol),ABS($L386-Subj_BldgSF),NA())</f>
        <v/>
      </c>
      <c r="AJ386" s="605">
        <f>IF(ISNA(AI386),NA(),AI386+ROW()/10000000)</f>
        <v/>
      </c>
    </row>
    <row r="387" ht="15" customHeight="1" s="545">
      <c r="A387" s="385" t="n">
        <v>8</v>
      </c>
      <c r="B387" s="605" t="n">
        <v>380</v>
      </c>
      <c r="C387" s="605" t="inlineStr">
        <is>
          <t>R0077400</t>
        </is>
      </c>
      <c r="D387" s="605" t="inlineStr">
        <is>
          <t>8401 BRIGHTON RD</t>
        </is>
      </c>
      <c r="E387" s="605" t="n">
        <v>325</v>
      </c>
      <c r="G387" s="605" t="inlineStr">
        <is>
          <t>5</t>
        </is>
      </c>
      <c r="H387" s="59">
        <f>Y387/J387</f>
        <v/>
      </c>
      <c r="I387" s="386" t="n">
        <v>44386</v>
      </c>
      <c r="J387" s="605" t="n">
        <v>2400</v>
      </c>
      <c r="L387" s="605" t="n">
        <v>2400</v>
      </c>
      <c r="M387" s="605" t="n">
        <v>1936</v>
      </c>
      <c r="P387" s="605" t="inlineStr">
        <is>
          <t>Industrial</t>
        </is>
      </c>
      <c r="R387" s="152" t="inlineStr">
        <is>
          <t>Low</t>
        </is>
      </c>
      <c r="S387" s="605" t="n">
        <v>9580</v>
      </c>
      <c r="T387" s="387">
        <f>S387/J387</f>
        <v/>
      </c>
      <c r="U387" s="605" t="inlineStr">
        <is>
          <t>Average</t>
        </is>
      </c>
      <c r="Y387" s="605" t="n">
        <v>615000</v>
      </c>
      <c r="AA387" s="605" t="n">
        <v>615000</v>
      </c>
      <c r="AC387" s="605" t="inlineStr">
        <is>
          <t>0172129200034</t>
        </is>
      </c>
      <c r="AD387" s="605" t="inlineStr">
        <is>
          <t>2021000082867</t>
        </is>
      </c>
      <c r="AE387" s="653" t="inlineStr">
        <is>
          <t>DELUXE CUSTOM WOOD FINISH CORP</t>
        </is>
      </c>
      <c r="AF387" s="653" t="inlineStr">
        <is>
          <t>EUCLID ELEMENTS LLC</t>
        </is>
      </c>
      <c r="AI387" s="605">
        <f>IF(AND($E387=Subj_OccCode,Subj_BldgSF&gt;0,ABS($L387-Subj_BldgSF)&lt;=Subj_BldgSF*Subj_SizeTol),ABS($L387-Subj_BldgSF),NA())</f>
        <v/>
      </c>
      <c r="AJ387" s="605">
        <f>IF(ISNA(AI387),NA(),AI387+ROW()/10000000)</f>
        <v/>
      </c>
    </row>
    <row r="388" ht="15" customHeight="1" s="545">
      <c r="A388" s="385" t="n">
        <v>8</v>
      </c>
      <c r="B388" s="605" t="n">
        <v>381</v>
      </c>
      <c r="C388" s="605" t="inlineStr">
        <is>
          <t>R0112038</t>
        </is>
      </c>
      <c r="D388" s="605" t="inlineStr">
        <is>
          <t>5790  DAHLIA ST</t>
        </is>
      </c>
      <c r="E388" s="605" t="n">
        <v>406</v>
      </c>
      <c r="F388" s="605" t="inlineStr">
        <is>
          <t>COMMERCE CITY</t>
        </is>
      </c>
      <c r="G388" s="605" t="inlineStr">
        <is>
          <t>5</t>
        </is>
      </c>
      <c r="H388" s="59">
        <f>Y388/J388</f>
        <v/>
      </c>
      <c r="I388" s="386" t="n">
        <v>44722</v>
      </c>
      <c r="J388" s="605" t="n">
        <v>7000</v>
      </c>
      <c r="L388" s="605" t="n">
        <v>7000</v>
      </c>
      <c r="M388" s="605" t="n">
        <v>1966</v>
      </c>
      <c r="P388" s="605" t="inlineStr">
        <is>
          <t>I-2-Com</t>
        </is>
      </c>
      <c r="R388" s="152" t="inlineStr">
        <is>
          <t>Average</t>
        </is>
      </c>
      <c r="S388" s="605" t="n">
        <v>91829</v>
      </c>
      <c r="T388" s="387">
        <f>S388/J388</f>
        <v/>
      </c>
      <c r="U388" s="605" t="inlineStr">
        <is>
          <t>Average</t>
        </is>
      </c>
      <c r="Y388" s="605" t="n">
        <v>2100000</v>
      </c>
      <c r="AA388" s="605" t="n">
        <v>2100000</v>
      </c>
      <c r="AC388" s="605" t="inlineStr">
        <is>
          <t>0182307406001</t>
        </is>
      </c>
      <c r="AD388" s="605" t="inlineStr">
        <is>
          <t>2022000051703</t>
        </is>
      </c>
      <c r="AE388" s="653" t="inlineStr">
        <is>
          <t>5790 DAHLIA INVESTMENT LLC</t>
        </is>
      </c>
      <c r="AF388" s="653" t="inlineStr">
        <is>
          <t>DISCO CAPITAL LLC</t>
        </is>
      </c>
      <c r="AI388" s="605">
        <f>IF(AND($E388=Subj_OccCode,Subj_BldgSF&gt;0,ABS($L388-Subj_BldgSF)&lt;=Subj_BldgSF*Subj_SizeTol),ABS($L388-Subj_BldgSF),NA())</f>
        <v/>
      </c>
      <c r="AJ388" s="605">
        <f>IF(ISNA(AI388),NA(),AI388+ROW()/10000000)</f>
        <v/>
      </c>
    </row>
    <row r="389" ht="15" customHeight="1" s="545">
      <c r="A389" s="385" t="n">
        <v>8</v>
      </c>
      <c r="B389" s="605" t="n">
        <v>382</v>
      </c>
      <c r="C389" s="605" t="inlineStr">
        <is>
          <t>R0061304</t>
        </is>
      </c>
      <c r="D389" s="605" t="inlineStr">
        <is>
          <t>2955 W 80TH AVE</t>
        </is>
      </c>
      <c r="E389" s="605" t="n">
        <v>353</v>
      </c>
      <c r="F389" s="605" t="inlineStr">
        <is>
          <t>WESTMINSTER</t>
        </is>
      </c>
      <c r="G389" s="605" t="inlineStr">
        <is>
          <t>4</t>
        </is>
      </c>
      <c r="H389" s="59">
        <f>Y389/J389</f>
        <v/>
      </c>
      <c r="I389" s="386" t="n">
        <v>44124</v>
      </c>
      <c r="J389" s="605" t="n">
        <v>3895</v>
      </c>
      <c r="L389" s="605" t="n">
        <v>3895</v>
      </c>
      <c r="M389" s="605" t="n">
        <v>1965</v>
      </c>
      <c r="P389" s="605" t="inlineStr">
        <is>
          <t>B-1-Wes</t>
        </is>
      </c>
      <c r="R389" s="152" t="inlineStr">
        <is>
          <t>Average</t>
        </is>
      </c>
      <c r="S389" s="605" t="n">
        <v>12500</v>
      </c>
      <c r="T389" s="387">
        <f>S389/J389</f>
        <v/>
      </c>
      <c r="U389" s="605" t="inlineStr">
        <is>
          <t>Average</t>
        </is>
      </c>
      <c r="Y389" s="605" t="n">
        <v>742500</v>
      </c>
      <c r="AA389" s="605" t="n">
        <v>742500</v>
      </c>
      <c r="AC389" s="605" t="inlineStr">
        <is>
          <t>0171929404007</t>
        </is>
      </c>
      <c r="AD389" s="605" t="inlineStr">
        <is>
          <t>2020000107033</t>
        </is>
      </c>
      <c r="AE389" s="653" t="inlineStr">
        <is>
          <t>SPEEDMAN PROPERTIES LLC</t>
        </is>
      </c>
      <c r="AF389" s="653" t="inlineStr">
        <is>
          <t>COLORADO KARETE CLUB</t>
        </is>
      </c>
      <c r="AI389" s="605">
        <f>IF(AND($E389=Subj_OccCode,Subj_BldgSF&gt;0,ABS($L389-Subj_BldgSF)&lt;=Subj_BldgSF*Subj_SizeTol),ABS($L389-Subj_BldgSF),NA())</f>
        <v/>
      </c>
      <c r="AJ389" s="605">
        <f>IF(ISNA(AI389),NA(),AI389+ROW()/10000000)</f>
        <v/>
      </c>
    </row>
    <row r="390" ht="15" customHeight="1" s="545">
      <c r="A390" s="385" t="n">
        <v>8</v>
      </c>
      <c r="B390" s="605" t="n">
        <v>383</v>
      </c>
      <c r="C390" s="605" t="inlineStr">
        <is>
          <t>R0103576</t>
        </is>
      </c>
      <c r="D390" s="605" t="inlineStr">
        <is>
          <t>5641  WASHINGTON ST</t>
        </is>
      </c>
      <c r="E390" s="605" t="n">
        <v>334</v>
      </c>
      <c r="G390" s="605" t="inlineStr">
        <is>
          <t>5</t>
        </is>
      </c>
      <c r="H390" s="59">
        <f>Y390/J390</f>
        <v/>
      </c>
      <c r="I390" s="386" t="n">
        <v>44405</v>
      </c>
      <c r="J390" s="605" t="n">
        <v>20285</v>
      </c>
      <c r="L390" s="605" t="n">
        <v>20285</v>
      </c>
      <c r="M390" s="605" t="n">
        <v>1968</v>
      </c>
      <c r="P390" s="605" t="inlineStr">
        <is>
          <t>Industrial</t>
        </is>
      </c>
      <c r="R390" s="152" t="inlineStr">
        <is>
          <t>Average</t>
        </is>
      </c>
      <c r="S390" s="605" t="n">
        <v>62664</v>
      </c>
      <c r="T390" s="387">
        <f>S390/J390</f>
        <v/>
      </c>
      <c r="U390" s="605" t="inlineStr">
        <is>
          <t>Average</t>
        </is>
      </c>
      <c r="Y390" s="605" t="n">
        <v>3500000</v>
      </c>
      <c r="AA390" s="605" t="n">
        <v>3500000</v>
      </c>
      <c r="AC390" s="605" t="inlineStr">
        <is>
          <t>0182510407021</t>
        </is>
      </c>
      <c r="AD390" s="605" t="inlineStr">
        <is>
          <t>2021000090746</t>
        </is>
      </c>
      <c r="AE390" s="653" t="inlineStr">
        <is>
          <t>BNC SERVICES LLC</t>
        </is>
      </c>
      <c r="AF390" s="653" t="inlineStr">
        <is>
          <t>5641 N WASHINGTON LLC</t>
        </is>
      </c>
      <c r="AI390" s="605">
        <f>IF(AND($E390=Subj_OccCode,Subj_BldgSF&gt;0,ABS($L390-Subj_BldgSF)&lt;=Subj_BldgSF*Subj_SizeTol),ABS($L390-Subj_BldgSF),NA())</f>
        <v/>
      </c>
      <c r="AJ390" s="605">
        <f>IF(ISNA(AI390),NA(),AI390+ROW()/10000000)</f>
        <v/>
      </c>
    </row>
    <row r="391" ht="15" customHeight="1" s="545">
      <c r="A391" s="385" t="n">
        <v>8</v>
      </c>
      <c r="B391" s="605" t="n">
        <v>384</v>
      </c>
      <c r="C391" s="605" t="inlineStr">
        <is>
          <t>R0091001</t>
        </is>
      </c>
      <c r="D391" s="605" t="inlineStr">
        <is>
          <t>5750  FAIRFAX ST</t>
        </is>
      </c>
      <c r="E391" s="605" t="n">
        <v>325</v>
      </c>
      <c r="F391" s="605" t="inlineStr">
        <is>
          <t>COMMERCE CITY</t>
        </is>
      </c>
      <c r="G391" s="605" t="inlineStr">
        <is>
          <t>5</t>
        </is>
      </c>
      <c r="H391" s="59">
        <f>Y391/J391</f>
        <v/>
      </c>
      <c r="I391" s="386" t="n">
        <v>43971</v>
      </c>
      <c r="J391" s="605" t="n">
        <v>16320</v>
      </c>
      <c r="L391" s="605" t="n">
        <v>16320</v>
      </c>
      <c r="M391" s="605" t="n">
        <v>1966</v>
      </c>
      <c r="P391" s="605" t="inlineStr">
        <is>
          <t>I-2-Com</t>
        </is>
      </c>
      <c r="R391" s="152" t="inlineStr">
        <is>
          <t>Average</t>
        </is>
      </c>
      <c r="S391" s="605" t="n">
        <v>80586</v>
      </c>
      <c r="T391" s="387">
        <f>S391/J391</f>
        <v/>
      </c>
      <c r="U391" s="605" t="inlineStr">
        <is>
          <t>Average</t>
        </is>
      </c>
      <c r="Y391" s="605" t="n">
        <v>2500000</v>
      </c>
      <c r="AA391" s="605" t="n">
        <v>2500000</v>
      </c>
      <c r="AC391" s="605" t="inlineStr">
        <is>
          <t>0182307400028</t>
        </is>
      </c>
      <c r="AD391" s="605" t="inlineStr">
        <is>
          <t>2020000046324</t>
        </is>
      </c>
      <c r="AE391" s="653" t="inlineStr">
        <is>
          <t>J L FAIRFAX LLC</t>
        </is>
      </c>
      <c r="AF391" s="653" t="inlineStr">
        <is>
          <t>GTCLS 5701 COLFAX RD LLC</t>
        </is>
      </c>
      <c r="AI391" s="605">
        <f>IF(AND($E391=Subj_OccCode,Subj_BldgSF&gt;0,ABS($L391-Subj_BldgSF)&lt;=Subj_BldgSF*Subj_SizeTol),ABS($L391-Subj_BldgSF),NA())</f>
        <v/>
      </c>
      <c r="AJ391" s="605">
        <f>IF(ISNA(AI391),NA(),AI391+ROW()/10000000)</f>
        <v/>
      </c>
    </row>
    <row r="392" ht="15" customHeight="1" s="545">
      <c r="A392" s="385" t="n">
        <v>8</v>
      </c>
      <c r="B392" s="605" t="n">
        <v>385</v>
      </c>
      <c r="C392" s="605" t="inlineStr">
        <is>
          <t>R0185551</t>
        </is>
      </c>
      <c r="D392" s="605" t="inlineStr">
        <is>
          <t>18351 E COLFAX AVE</t>
        </is>
      </c>
      <c r="E392" s="605" t="n">
        <v>419</v>
      </c>
      <c r="F392" s="605" t="inlineStr">
        <is>
          <t>AURORA</t>
        </is>
      </c>
      <c r="G392" s="605" t="inlineStr">
        <is>
          <t>6</t>
        </is>
      </c>
      <c r="H392" s="59">
        <f>Y392/J392</f>
        <v/>
      </c>
      <c r="I392" s="386" t="n">
        <v>44466</v>
      </c>
      <c r="J392" s="605" t="n">
        <v>3010</v>
      </c>
      <c r="L392" s="605" t="n">
        <v>3010</v>
      </c>
      <c r="M392" s="605" t="n">
        <v>2014</v>
      </c>
      <c r="P392" s="605" t="inlineStr">
        <is>
          <t>B-3-Aur</t>
        </is>
      </c>
      <c r="R392" s="152" t="inlineStr">
        <is>
          <t>Average</t>
        </is>
      </c>
      <c r="S392" s="605" t="n">
        <v>43243</v>
      </c>
      <c r="T392" s="387">
        <f>S392/J392</f>
        <v/>
      </c>
      <c r="U392" s="605" t="inlineStr">
        <is>
          <t>Average</t>
        </is>
      </c>
      <c r="Y392" s="605" t="n">
        <v>3102700</v>
      </c>
      <c r="AA392" s="605" t="n">
        <v>3102700</v>
      </c>
      <c r="AC392" s="605" t="inlineStr">
        <is>
          <t>0182133401001</t>
        </is>
      </c>
      <c r="AD392" s="605" t="inlineStr">
        <is>
          <t>2021000116162</t>
        </is>
      </c>
      <c r="AE392" s="653" t="inlineStr">
        <is>
          <t>SEMANTIC REALTY LLC, C/O 7 ELEVEN INC ATTN TAX DEPT 37033</t>
        </is>
      </c>
      <c r="AF392" s="653" t="inlineStr">
        <is>
          <t>US-STABLE-P1 18351 EAST , COLFAX AVENUE AURORA LLC</t>
        </is>
      </c>
      <c r="AI392" s="605">
        <f>IF(AND($E392=Subj_OccCode,Subj_BldgSF&gt;0,ABS($L392-Subj_BldgSF)&lt;=Subj_BldgSF*Subj_SizeTol),ABS($L392-Subj_BldgSF),NA())</f>
        <v/>
      </c>
      <c r="AJ392" s="605">
        <f>IF(ISNA(AI392),NA(),AI392+ROW()/10000000)</f>
        <v/>
      </c>
    </row>
    <row r="393" ht="15" customHeight="1" s="545">
      <c r="A393" s="385" t="n">
        <v>8</v>
      </c>
      <c r="B393" s="605" t="n">
        <v>386</v>
      </c>
      <c r="C393" s="605" t="inlineStr">
        <is>
          <t>R0117237</t>
        </is>
      </c>
      <c r="D393" s="605" t="inlineStr">
        <is>
          <t>1830 W 64TH LN</t>
        </is>
      </c>
      <c r="E393" s="605" t="n">
        <v>406</v>
      </c>
      <c r="G393" s="605" t="inlineStr">
        <is>
          <t>5</t>
        </is>
      </c>
      <c r="H393" s="59">
        <f>Y393/J393</f>
        <v/>
      </c>
      <c r="I393" s="386" t="n">
        <v>44362</v>
      </c>
      <c r="J393" s="605" t="n">
        <v>7500</v>
      </c>
      <c r="L393" s="605" t="n">
        <v>7500</v>
      </c>
      <c r="M393" s="605" t="n">
        <v>2000</v>
      </c>
      <c r="P393" s="605" t="inlineStr">
        <is>
          <t>Industrial</t>
        </is>
      </c>
      <c r="R393" s="152" t="inlineStr">
        <is>
          <t>Average</t>
        </is>
      </c>
      <c r="S393" s="605" t="n">
        <v>47044.8</v>
      </c>
      <c r="T393" s="387">
        <f>S393/J393</f>
        <v/>
      </c>
      <c r="U393" s="605" t="inlineStr">
        <is>
          <t>Average</t>
        </is>
      </c>
      <c r="Y393" s="605" t="n">
        <v>1600000</v>
      </c>
      <c r="AA393" s="605" t="n">
        <v>1600000</v>
      </c>
      <c r="AC393" s="605" t="inlineStr">
        <is>
          <t>0182504302010</t>
        </is>
      </c>
      <c r="AD393" s="605" t="inlineStr">
        <is>
          <t>2021000076597</t>
        </is>
      </c>
      <c r="AE393" s="653" t="inlineStr">
        <is>
          <t>MARK ALLEN BUTMAN LIVING TRUST</t>
        </is>
      </c>
      <c r="AF393" s="653" t="inlineStr">
        <is>
          <t>L &amp; M UNDERGROUND INC</t>
        </is>
      </c>
      <c r="AI393" s="605">
        <f>IF(AND($E393=Subj_OccCode,Subj_BldgSF&gt;0,ABS($L393-Subj_BldgSF)&lt;=Subj_BldgSF*Subj_SizeTol),ABS($L393-Subj_BldgSF),NA())</f>
        <v/>
      </c>
      <c r="AJ393">
        <f>IF(ISNA(AI393),NA(),AI393+ROW()/10000000)</f>
        <v/>
      </c>
      <c r="AK393" s="605">
        <f>IF(AND(ISNUMBER($N393),$N393&gt;0,ISNUMBER($Y393)),$Y393/$N393,"")</f>
        <v/>
      </c>
    </row>
    <row r="394" ht="15" customHeight="1" s="545">
      <c r="A394" s="385" t="n">
        <v>8</v>
      </c>
      <c r="B394" s="605" t="n">
        <v>387</v>
      </c>
      <c r="C394" s="605" t="inlineStr">
        <is>
          <t>R0084269</t>
        </is>
      </c>
      <c r="D394" s="605" t="inlineStr">
        <is>
          <t>14603 E MONCRIEFF PL</t>
        </is>
      </c>
      <c r="E394" s="605" t="n">
        <v>407</v>
      </c>
      <c r="F394" s="605" t="inlineStr">
        <is>
          <t>AURORA</t>
        </is>
      </c>
      <c r="G394" s="605" t="inlineStr">
        <is>
          <t>6</t>
        </is>
      </c>
      <c r="H394" s="59">
        <f>Y394/J394</f>
        <v/>
      </c>
      <c r="I394" s="386" t="n">
        <v>43784</v>
      </c>
      <c r="J394" s="605" t="n">
        <v>99860</v>
      </c>
      <c r="L394" s="605" t="n">
        <v>99860</v>
      </c>
      <c r="M394" s="605" t="n">
        <v>1984</v>
      </c>
      <c r="P394" s="605" t="inlineStr">
        <is>
          <t>M-1-Aur</t>
        </is>
      </c>
      <c r="R394" s="152" t="inlineStr">
        <is>
          <t>Average</t>
        </is>
      </c>
      <c r="S394" s="605" t="n">
        <v>184258</v>
      </c>
      <c r="T394" s="387">
        <f>S394/J394</f>
        <v/>
      </c>
      <c r="U394" s="605" t="inlineStr">
        <is>
          <t>Average</t>
        </is>
      </c>
      <c r="Y394" s="605" t="n">
        <v>9990000</v>
      </c>
      <c r="AA394" s="605" t="n">
        <v>9990000</v>
      </c>
      <c r="AC394" s="605" t="inlineStr">
        <is>
          <t>0182130008017</t>
        </is>
      </c>
      <c r="AD394" s="605" t="inlineStr">
        <is>
          <t>2019000100114</t>
        </is>
      </c>
      <c r="AE394" s="653" t="inlineStr">
        <is>
          <t>BPAZ HOLDINGS 12 LLC</t>
        </is>
      </c>
      <c r="AF394" s="653" t="inlineStr">
        <is>
          <t>DEN INDUSTRIAL 1 LLC</t>
        </is>
      </c>
      <c r="AI394" s="605">
        <f>IF(AND($E394=Subj_OccCode,Subj_BldgSF&gt;0,ABS($L394-Subj_BldgSF)&lt;=Subj_BldgSF*Subj_SizeTol),ABS($L394-Subj_BldgSF),NA())</f>
        <v/>
      </c>
      <c r="AJ394">
        <f>IF(ISNA(AI394),NA(),AI394+ROW()/10000000)</f>
        <v/>
      </c>
      <c r="AK394" s="605">
        <f>IF(AND(ISNUMBER($N394),$N394&gt;0,ISNUMBER($Y394)),$Y394/$N394,"")</f>
        <v/>
      </c>
    </row>
    <row r="395" ht="15" customHeight="1" s="545">
      <c r="A395" s="385" t="n">
        <v>8</v>
      </c>
      <c r="B395" s="605" t="n">
        <v>388</v>
      </c>
      <c r="C395" s="605" t="inlineStr">
        <is>
          <t>R0002801</t>
        </is>
      </c>
      <c r="D395" s="605" t="inlineStr">
        <is>
          <t>112 N MAIN ST</t>
        </is>
      </c>
      <c r="E395" s="605" t="n">
        <v>353</v>
      </c>
      <c r="F395" s="605" t="inlineStr">
        <is>
          <t>BRIGHTON</t>
        </is>
      </c>
      <c r="G395" s="605" t="inlineStr">
        <is>
          <t>4</t>
        </is>
      </c>
      <c r="H395" s="59">
        <f>Y395/J395</f>
        <v/>
      </c>
      <c r="I395" s="386" t="n">
        <v>43369</v>
      </c>
      <c r="J395" s="605" t="n">
        <v>840</v>
      </c>
      <c r="L395" s="605" t="n">
        <v>840</v>
      </c>
      <c r="M395" s="605" t="n">
        <v>1973</v>
      </c>
      <c r="P395" s="605" t="inlineStr">
        <is>
          <t>Brighton</t>
        </is>
      </c>
      <c r="R395" s="152" t="inlineStr">
        <is>
          <t>Average</t>
        </is>
      </c>
      <c r="S395" s="605" t="n">
        <v>5625</v>
      </c>
      <c r="T395" s="387">
        <f>S395/J395</f>
        <v/>
      </c>
      <c r="U395" s="605" t="inlineStr">
        <is>
          <t>Average</t>
        </is>
      </c>
      <c r="Y395" s="605" t="n">
        <v>225000</v>
      </c>
      <c r="AA395" s="605" t="n">
        <v>225000</v>
      </c>
      <c r="AC395" s="605" t="inlineStr">
        <is>
          <t>0156906310007</t>
        </is>
      </c>
      <c r="AD395" s="605" t="inlineStr">
        <is>
          <t>2018000078539</t>
        </is>
      </c>
      <c r="AE395" s="653" t="inlineStr">
        <is>
          <t>A AND A LLC</t>
        </is>
      </c>
      <c r="AF395" s="653" t="inlineStr">
        <is>
          <t>HIGHLAND PROPERTIES 4018 LLC</t>
        </is>
      </c>
      <c r="AI395" s="605">
        <f>IF(AND($E395=Subj_OccCode,Subj_BldgSF&gt;0,ABS($L395-Subj_BldgSF)&lt;=Subj_BldgSF*Subj_SizeTol),ABS($L395-Subj_BldgSF),NA())</f>
        <v/>
      </c>
      <c r="AJ395">
        <f>IF(ISNA(AI395),NA(),AI395+ROW()/10000000)</f>
        <v/>
      </c>
      <c r="AK395" s="605">
        <f>IF(AND(ISNUMBER($N395),$N395&gt;0,ISNUMBER($Y395)),$Y395/$N395,"")</f>
        <v/>
      </c>
    </row>
    <row r="396" ht="15" customHeight="1" s="545">
      <c r="A396" s="385" t="n">
        <v>8</v>
      </c>
      <c r="B396" s="605" t="n">
        <v>389</v>
      </c>
      <c r="C396" s="605" t="inlineStr">
        <is>
          <t>R0094562</t>
        </is>
      </c>
      <c r="D396" s="605" t="inlineStr">
        <is>
          <t>9598  MONTVIEW BLVD</t>
        </is>
      </c>
      <c r="E396" s="605" t="n">
        <v>384</v>
      </c>
      <c r="F396" s="605" t="inlineStr">
        <is>
          <t>AURORA</t>
        </is>
      </c>
      <c r="G396" s="605" t="inlineStr">
        <is>
          <t>6</t>
        </is>
      </c>
      <c r="H396" s="59">
        <f>Y396/J396</f>
        <v/>
      </c>
      <c r="I396" s="386" t="n">
        <v>43166</v>
      </c>
      <c r="J396" s="605" t="n">
        <v>1004</v>
      </c>
      <c r="L396" s="605" t="n">
        <v>1004</v>
      </c>
      <c r="M396" s="605" t="n">
        <v>1970</v>
      </c>
      <c r="P396" s="605" t="inlineStr">
        <is>
          <t>Aurora</t>
        </is>
      </c>
      <c r="R396" s="152" t="inlineStr">
        <is>
          <t>Average</t>
        </is>
      </c>
      <c r="S396" s="605" t="n">
        <v>8750</v>
      </c>
      <c r="T396" s="387">
        <f>S396/J396</f>
        <v/>
      </c>
      <c r="U396" s="605" t="inlineStr">
        <is>
          <t>Average</t>
        </is>
      </c>
      <c r="Y396" s="605" t="n">
        <v>307000</v>
      </c>
      <c r="AA396" s="605" t="n">
        <v>307000</v>
      </c>
      <c r="AC396" s="605" t="inlineStr">
        <is>
          <t>0182334302018</t>
        </is>
      </c>
      <c r="AD396" s="605" t="inlineStr">
        <is>
          <t>2018000019551</t>
        </is>
      </c>
      <c r="AE396" s="653" t="inlineStr">
        <is>
          <t>GARCIA LUIS AND, GARCIA MARIBEL</t>
        </is>
      </c>
      <c r="AF396" s="653" t="inlineStr">
        <is>
          <t>MARIMBAL LLC</t>
        </is>
      </c>
      <c r="AI396" s="605">
        <f>IF(AND($E396=Subj_OccCode,Subj_BldgSF&gt;0,ABS($L396-Subj_BldgSF)&lt;=Subj_BldgSF*Subj_SizeTol),ABS($L396-Subj_BldgSF),NA())</f>
        <v/>
      </c>
      <c r="AJ396">
        <f>IF(ISNA(AI396),NA(),AI396+ROW()/10000000)</f>
        <v/>
      </c>
      <c r="AK396" s="605">
        <f>IF(AND(ISNUMBER($N396),$N396&gt;0,ISNUMBER($Y396)),$Y396/$N396,"")</f>
        <v/>
      </c>
    </row>
    <row r="397" ht="15" customHeight="1" s="545">
      <c r="A397" s="385" t="n">
        <v>8</v>
      </c>
      <c r="B397" s="605" t="n">
        <v>390</v>
      </c>
      <c r="C397" s="605" t="inlineStr">
        <is>
          <t>R0103674</t>
        </is>
      </c>
      <c r="D397" s="605" t="inlineStr">
        <is>
          <t>1480 E 61ST AVE</t>
        </is>
      </c>
      <c r="E397" s="605" t="n">
        <v>334</v>
      </c>
      <c r="G397" s="605" t="inlineStr">
        <is>
          <t>5</t>
        </is>
      </c>
      <c r="H397" s="59">
        <f>Y397/J397</f>
        <v/>
      </c>
      <c r="I397" s="386" t="n">
        <v>43697</v>
      </c>
      <c r="J397" s="605" t="n">
        <v>26640</v>
      </c>
      <c r="L397" s="605" t="n">
        <v>26640</v>
      </c>
      <c r="M397" s="605" t="n">
        <v>1972</v>
      </c>
      <c r="P397" s="605" t="inlineStr">
        <is>
          <t>Industrial</t>
        </is>
      </c>
      <c r="R397" s="152" t="inlineStr">
        <is>
          <t>Average</t>
        </is>
      </c>
      <c r="S397" s="605" t="n">
        <v>111074</v>
      </c>
      <c r="T397" s="387">
        <f>S397/J397</f>
        <v/>
      </c>
      <c r="U397" s="605" t="inlineStr">
        <is>
          <t>Average</t>
        </is>
      </c>
      <c r="Y397" s="605" t="n">
        <v>3566000</v>
      </c>
      <c r="AA397" s="605" t="n">
        <v>3566000</v>
      </c>
      <c r="AC397" s="605" t="inlineStr">
        <is>
          <t>0182511205009</t>
        </is>
      </c>
      <c r="AD397" s="605" t="inlineStr">
        <is>
          <t>2019000067784</t>
        </is>
      </c>
      <c r="AE397" s="653" t="inlineStr">
        <is>
          <t>FAULTLESS LAUNDRY COMPANY</t>
        </is>
      </c>
      <c r="AF397" s="653" t="inlineStr">
        <is>
          <t>NM FHL LLC, C/O NEW MOUNTAIN NET LEASE ACQUISITION CORP</t>
        </is>
      </c>
      <c r="AI397" s="605">
        <f>IF(AND($E397=Subj_OccCode,Subj_BldgSF&gt;0,ABS($L397-Subj_BldgSF)&lt;=Subj_BldgSF*Subj_SizeTol),ABS($L397-Subj_BldgSF),NA())</f>
        <v/>
      </c>
      <c r="AJ397">
        <f>IF(ISNA(AI397),NA(),AI397+ROW()/10000000)</f>
        <v/>
      </c>
      <c r="AK397" s="605">
        <f>IF(AND(ISNUMBER($N397),$N397&gt;0,ISNUMBER($Y397)),$Y397/$N397,"")</f>
        <v/>
      </c>
    </row>
    <row r="398" ht="15" customHeight="1" s="545">
      <c r="A398" s="385" t="n">
        <v>8</v>
      </c>
      <c r="B398" s="605" t="n">
        <v>391</v>
      </c>
      <c r="C398" s="605" t="inlineStr">
        <is>
          <t>R0103723</t>
        </is>
      </c>
      <c r="D398" s="605" t="inlineStr">
        <is>
          <t>5970  MARION DR</t>
        </is>
      </c>
      <c r="E398" s="605" t="n">
        <v>407</v>
      </c>
      <c r="G398" s="605" t="inlineStr">
        <is>
          <t>5</t>
        </is>
      </c>
      <c r="H398" s="59">
        <f>Y398/J398</f>
        <v/>
      </c>
      <c r="I398" s="386" t="n">
        <v>43812</v>
      </c>
      <c r="J398" s="605" t="n">
        <v>14400</v>
      </c>
      <c r="L398" s="605" t="n">
        <v>14400</v>
      </c>
      <c r="M398" s="605" t="n">
        <v>1983</v>
      </c>
      <c r="P398" s="605" t="inlineStr">
        <is>
          <t>Industrial</t>
        </is>
      </c>
      <c r="R398" s="152" t="inlineStr">
        <is>
          <t>Average</t>
        </is>
      </c>
      <c r="S398" s="605" t="n">
        <v>28749</v>
      </c>
      <c r="T398" s="387">
        <f>S398/J398</f>
        <v/>
      </c>
      <c r="U398" s="605" t="inlineStr">
        <is>
          <t>Average</t>
        </is>
      </c>
      <c r="Y398" s="605" t="n">
        <v>1260000</v>
      </c>
      <c r="AA398" s="605" t="n">
        <v>1260000</v>
      </c>
      <c r="AC398" s="605" t="inlineStr">
        <is>
          <t>0182511303018</t>
        </is>
      </c>
      <c r="AD398" s="605" t="inlineStr">
        <is>
          <t>2019000110369</t>
        </is>
      </c>
      <c r="AE398" s="653" t="inlineStr">
        <is>
          <t>WERNSTEIN PROPERTIES INC</t>
        </is>
      </c>
      <c r="AF398" s="653" t="inlineStr">
        <is>
          <t>5970 MARION DRIVE LLC</t>
        </is>
      </c>
      <c r="AI398" s="605">
        <f>IF(AND($E398=Subj_OccCode,Subj_BldgSF&gt;0,ABS($L398-Subj_BldgSF)&lt;=Subj_BldgSF*Subj_SizeTol),ABS($L398-Subj_BldgSF),NA())</f>
        <v/>
      </c>
      <c r="AJ398">
        <f>IF(ISNA(AI398),NA(),AI398+ROW()/10000000)</f>
        <v/>
      </c>
      <c r="AK398" s="605">
        <f>IF(AND(ISNUMBER($N398),$N398&gt;0,ISNUMBER($Y398)),$Y398/$N398,"")</f>
        <v/>
      </c>
    </row>
    <row r="399" ht="15" customHeight="1" s="545">
      <c r="A399" s="385" t="n">
        <v>8</v>
      </c>
      <c r="B399" s="605" t="n">
        <v>392</v>
      </c>
      <c r="C399" s="605" t="inlineStr">
        <is>
          <t>R0064417</t>
        </is>
      </c>
      <c r="D399" s="605" t="inlineStr">
        <is>
          <t>7905  ZENOBIA ST</t>
        </is>
      </c>
      <c r="E399" s="605" t="n">
        <v>1344</v>
      </c>
      <c r="F399" s="605" t="inlineStr">
        <is>
          <t>WESTMINSTER</t>
        </is>
      </c>
      <c r="G399" s="605" t="inlineStr">
        <is>
          <t>4</t>
        </is>
      </c>
      <c r="H399" s="59">
        <f>Y399/J399</f>
        <v/>
      </c>
      <c r="I399" s="386" t="n">
        <v>44495</v>
      </c>
      <c r="J399" s="605" t="n">
        <v>5700</v>
      </c>
      <c r="L399" s="605" t="n">
        <v>5700</v>
      </c>
      <c r="M399" s="605" t="n">
        <v>1981</v>
      </c>
      <c r="P399" s="605" t="inlineStr">
        <is>
          <t>B-1-Wes</t>
        </is>
      </c>
      <c r="R399" s="152" t="inlineStr">
        <is>
          <t>Average</t>
        </is>
      </c>
      <c r="S399" s="605" t="n">
        <v>720</v>
      </c>
      <c r="T399" s="387">
        <f>S399/J399</f>
        <v/>
      </c>
      <c r="U399" s="605" t="inlineStr">
        <is>
          <t>Average</t>
        </is>
      </c>
      <c r="Y399" s="605" t="n">
        <v>332500</v>
      </c>
      <c r="AA399" s="605" t="n">
        <v>332500</v>
      </c>
      <c r="AC399" s="605" t="inlineStr">
        <is>
          <t>0171931213023</t>
        </is>
      </c>
      <c r="AD399" s="605" t="inlineStr">
        <is>
          <t>2021000126150</t>
        </is>
      </c>
      <c r="AE399" s="653" t="inlineStr">
        <is>
          <t>CMS HOLDINGS LLC</t>
        </is>
      </c>
      <c r="AF399" s="653" t="inlineStr">
        <is>
          <t>SWEET ABUNDANCE LLC</t>
        </is>
      </c>
      <c r="AI399" s="605">
        <f>IF(AND($E399=Subj_OccCode,Subj_BldgSF&gt;0,ABS($L399-Subj_BldgSF)&lt;=Subj_BldgSF*Subj_SizeTol),ABS($L399-Subj_BldgSF),NA())</f>
        <v/>
      </c>
      <c r="AJ399">
        <f>IF(ISNA(AI399),NA(),AI399+ROW()/10000000)</f>
        <v/>
      </c>
      <c r="AK399" s="605">
        <f>IF(AND(ISNUMBER($N399),$N399&gt;0,ISNUMBER($Y399)),$Y399/$N399,"")</f>
        <v/>
      </c>
    </row>
    <row r="400" ht="15" customHeight="1" s="545">
      <c r="A400" s="385" t="n">
        <v>8</v>
      </c>
      <c r="B400" s="605" t="n">
        <v>393</v>
      </c>
      <c r="C400" s="605" t="inlineStr">
        <is>
          <t>R0110659</t>
        </is>
      </c>
      <c r="D400" s="605" t="inlineStr">
        <is>
          <t>1291 E 54TH AVE</t>
        </is>
      </c>
      <c r="E400" s="605" t="n">
        <v>407</v>
      </c>
      <c r="G400" s="605" t="inlineStr">
        <is>
          <t>5</t>
        </is>
      </c>
      <c r="H400" s="59">
        <f>Y400/J400</f>
        <v/>
      </c>
      <c r="I400" s="386" t="n">
        <v>43577</v>
      </c>
      <c r="J400" s="605" t="n">
        <v>20000</v>
      </c>
      <c r="L400" s="605" t="n">
        <v>20000</v>
      </c>
      <c r="M400" s="605" t="n">
        <v>1997</v>
      </c>
      <c r="P400" s="605" t="inlineStr">
        <is>
          <t>Planned Unit Development</t>
        </is>
      </c>
      <c r="R400" s="152" t="inlineStr">
        <is>
          <t>Average</t>
        </is>
      </c>
      <c r="S400" s="605" t="n">
        <v>52990</v>
      </c>
      <c r="T400" s="387">
        <f>S400/J400</f>
        <v/>
      </c>
      <c r="U400" s="605" t="inlineStr">
        <is>
          <t>Average</t>
        </is>
      </c>
      <c r="Y400" s="605" t="n">
        <v>2800000</v>
      </c>
      <c r="AA400" s="605" t="n">
        <v>2800000</v>
      </c>
      <c r="AC400" s="605" t="inlineStr">
        <is>
          <t>0182514208030</t>
        </is>
      </c>
      <c r="AD400" s="605" t="inlineStr">
        <is>
          <t>2019000029418</t>
        </is>
      </c>
      <c r="AE400" s="653" t="inlineStr">
        <is>
          <t>DENVER ELECTRICAL JOINT APPRENTICESHIP, AND TRAINING TRUST FUND A TRUST</t>
        </is>
      </c>
      <c r="AF400" s="653" t="inlineStr">
        <is>
          <t>PROSOSKI INVESTMENTS LLC</t>
        </is>
      </c>
      <c r="AI400" s="605">
        <f>IF(AND($E400=Subj_OccCode,Subj_BldgSF&gt;0,ABS($L400-Subj_BldgSF)&lt;=Subj_BldgSF*Subj_SizeTol),ABS($L400-Subj_BldgSF),NA())</f>
        <v/>
      </c>
      <c r="AJ400">
        <f>IF(ISNA(AI400),NA(),AI400+ROW()/10000000)</f>
        <v/>
      </c>
      <c r="AK400" s="605">
        <f>IF(AND(ISNUMBER($N400),$N400&gt;0,ISNUMBER($Y400)),$Y400/$N400,"")</f>
        <v/>
      </c>
    </row>
    <row r="401" ht="15" customHeight="1" s="545">
      <c r="A401" s="385" t="n">
        <v>8</v>
      </c>
      <c r="B401" s="605" t="n">
        <v>394</v>
      </c>
      <c r="C401" s="605" t="inlineStr">
        <is>
          <t>R0103765</t>
        </is>
      </c>
      <c r="D401" s="605" t="inlineStr">
        <is>
          <t>1200 E 58TH AVE</t>
        </is>
      </c>
      <c r="E401" s="605" t="n">
        <v>407</v>
      </c>
      <c r="G401" s="605" t="inlineStr">
        <is>
          <t>5</t>
        </is>
      </c>
      <c r="H401" s="59">
        <f>Y401/J401</f>
        <v/>
      </c>
      <c r="I401" s="386" t="n">
        <v>44090</v>
      </c>
      <c r="J401" s="605" t="n">
        <v>40420</v>
      </c>
      <c r="L401" s="605" t="n">
        <v>40420</v>
      </c>
      <c r="M401" s="605" t="n">
        <v>1986</v>
      </c>
      <c r="P401" s="605" t="inlineStr">
        <is>
          <t>Industrial</t>
        </is>
      </c>
      <c r="R401" s="152" t="inlineStr">
        <is>
          <t>Average</t>
        </is>
      </c>
      <c r="S401" s="605" t="n">
        <v>110595</v>
      </c>
      <c r="T401" s="387">
        <f>S401/J401</f>
        <v/>
      </c>
      <c r="U401" s="605" t="inlineStr">
        <is>
          <t>Average</t>
        </is>
      </c>
      <c r="Y401" s="605" t="n">
        <v>5300000</v>
      </c>
      <c r="AA401" s="605" t="n">
        <v>5300000</v>
      </c>
      <c r="AC401" s="605" t="inlineStr">
        <is>
          <t>0182511312008</t>
        </is>
      </c>
      <c r="AD401" s="605" t="inlineStr">
        <is>
          <t>2020000092287</t>
        </is>
      </c>
      <c r="AE401" s="653" t="inlineStr">
        <is>
          <t>WELBY ASSOCIATES LLC, C/O TIMOTHY J MCMANUS</t>
        </is>
      </c>
      <c r="AF401" s="653" t="inlineStr">
        <is>
          <t>ZARA ES LLC</t>
        </is>
      </c>
      <c r="AI401" s="605">
        <f>IF(AND($E401=Subj_OccCode,Subj_BldgSF&gt;0,ABS($L401-Subj_BldgSF)&lt;=Subj_BldgSF*Subj_SizeTol),ABS($L401-Subj_BldgSF),NA())</f>
        <v/>
      </c>
      <c r="AJ401">
        <f>IF(ISNA(AI401),NA(),AI401+ROW()/10000000)</f>
        <v/>
      </c>
      <c r="AK401" s="605">
        <f>IF(AND(ISNUMBER($N401),$N401&gt;0,ISNUMBER($Y401)),$Y401/$N401,"")</f>
        <v/>
      </c>
    </row>
    <row r="402" ht="15" customHeight="1" s="545">
      <c r="A402" s="385" t="n">
        <v>8</v>
      </c>
      <c r="B402" s="605" t="n">
        <v>395</v>
      </c>
      <c r="C402" s="605" t="inlineStr">
        <is>
          <t>R0068508</t>
        </is>
      </c>
      <c r="D402" s="605" t="inlineStr">
        <is>
          <t>7290  SAMUEL DR</t>
        </is>
      </c>
      <c r="E402" s="605" t="n">
        <v>344</v>
      </c>
      <c r="G402" s="605" t="inlineStr">
        <is>
          <t>4</t>
        </is>
      </c>
      <c r="H402" s="59">
        <f>Y402/J402</f>
        <v/>
      </c>
      <c r="I402" s="386" t="n">
        <v>43979</v>
      </c>
      <c r="J402" s="605" t="n">
        <v>34470</v>
      </c>
      <c r="L402" s="605" t="n">
        <v>34470</v>
      </c>
      <c r="M402" s="605" t="n">
        <v>1971</v>
      </c>
      <c r="P402" s="605" t="inlineStr">
        <is>
          <t>Commercial</t>
        </is>
      </c>
      <c r="R402" s="152" t="inlineStr">
        <is>
          <t>Average</t>
        </is>
      </c>
      <c r="S402" s="605" t="n">
        <v>50094</v>
      </c>
      <c r="T402" s="387">
        <f>S402/J402</f>
        <v/>
      </c>
      <c r="U402" s="605" t="inlineStr">
        <is>
          <t>Average</t>
        </is>
      </c>
      <c r="Y402" s="605" t="n">
        <v>1500000</v>
      </c>
      <c r="AA402" s="605" t="n">
        <v>1500000</v>
      </c>
      <c r="AC402" s="605" t="inlineStr">
        <is>
          <t>0171933307035</t>
        </is>
      </c>
      <c r="AD402" s="605" t="inlineStr">
        <is>
          <t>2020000048564</t>
        </is>
      </c>
      <c r="AE402" s="653" t="inlineStr">
        <is>
          <t>WALBLAKE LLC</t>
        </is>
      </c>
      <c r="AF402" s="653" t="inlineStr">
        <is>
          <t>1616 CHAMPA LLC</t>
        </is>
      </c>
      <c r="AI402" s="605">
        <f>IF(AND($E402=Subj_OccCode,Subj_BldgSF&gt;0,ABS($L402-Subj_BldgSF)&lt;=Subj_BldgSF*Subj_SizeTol),ABS($L402-Subj_BldgSF),NA())</f>
        <v/>
      </c>
      <c r="AJ402">
        <f>IF(ISNA(AI402),NA(),AI402+ROW()/10000000)</f>
        <v/>
      </c>
      <c r="AK402" s="605">
        <f>IF(AND(ISNUMBER($N402),$N402&gt;0,ISNUMBER($Y402)),$Y402/$N402,"")</f>
        <v/>
      </c>
    </row>
    <row r="403" ht="15" customHeight="1" s="545">
      <c r="A403" s="385" t="n">
        <v>8</v>
      </c>
      <c r="B403" s="605" t="n">
        <v>396</v>
      </c>
      <c r="C403" s="605" t="inlineStr">
        <is>
          <t>R0084316</t>
        </is>
      </c>
      <c r="D403" s="605" t="inlineStr">
        <is>
          <t>13891 E SMITH DR #B</t>
        </is>
      </c>
      <c r="E403" s="605" t="n">
        <v>425</v>
      </c>
      <c r="F403" s="605" t="inlineStr">
        <is>
          <t>AURORA</t>
        </is>
      </c>
      <c r="G403" s="605" t="inlineStr">
        <is>
          <t>6</t>
        </is>
      </c>
      <c r="H403" s="59">
        <f>Y403/J403</f>
        <v/>
      </c>
      <c r="I403" s="386" t="n">
        <v>44718</v>
      </c>
      <c r="J403" s="605" t="n">
        <v>1500</v>
      </c>
      <c r="L403" s="605" t="n">
        <v>1500</v>
      </c>
      <c r="M403" s="605" t="n">
        <v>1982</v>
      </c>
      <c r="P403" s="605" t="inlineStr">
        <is>
          <t>M-1-Aur</t>
        </is>
      </c>
      <c r="R403" s="152" t="inlineStr">
        <is>
          <t>Average</t>
        </is>
      </c>
      <c r="S403" s="605" t="n">
        <v>4608</v>
      </c>
      <c r="T403" s="387">
        <f>S403/J403</f>
        <v/>
      </c>
      <c r="U403" s="605" t="inlineStr">
        <is>
          <t>Average</t>
        </is>
      </c>
      <c r="Y403" s="605" t="n">
        <v>200000</v>
      </c>
      <c r="AA403" s="605" t="n">
        <v>200000</v>
      </c>
      <c r="AC403" s="605" t="inlineStr">
        <is>
          <t>0182130013016</t>
        </is>
      </c>
      <c r="AD403" s="605" t="inlineStr">
        <is>
          <t>2022000050499</t>
        </is>
      </c>
      <c r="AE403" s="653" t="inlineStr">
        <is>
          <t>PROVASI KENNETH D TRUST THE</t>
        </is>
      </c>
      <c r="AF403" s="653" t="inlineStr">
        <is>
          <t>CRM REAL ESTATE HOLDINGS LLC</t>
        </is>
      </c>
      <c r="AI403" s="605">
        <f>IF(AND($E403=Subj_OccCode,Subj_BldgSF&gt;0,ABS($L403-Subj_BldgSF)&lt;=Subj_BldgSF*Subj_SizeTol),ABS($L403-Subj_BldgSF),NA())</f>
        <v/>
      </c>
      <c r="AJ403">
        <f>IF(ISNA(AI403),NA(),AI403+ROW()/10000000)</f>
        <v/>
      </c>
      <c r="AK403" s="605">
        <f>IF(AND(ISNUMBER($N403),$N403&gt;0,ISNUMBER($Y403)),$Y403/$N403,"")</f>
        <v/>
      </c>
    </row>
    <row r="404" ht="15" customHeight="1" s="545">
      <c r="A404" s="385" t="n">
        <v>8</v>
      </c>
      <c r="B404" s="605" t="n">
        <v>397</v>
      </c>
      <c r="C404" s="605" t="inlineStr">
        <is>
          <t>R0103416</t>
        </is>
      </c>
      <c r="D404" s="605" t="inlineStr">
        <is>
          <t>5686  PECOS ST</t>
        </is>
      </c>
      <c r="E404" s="605" t="n">
        <v>442</v>
      </c>
      <c r="G404" s="605" t="inlineStr">
        <is>
          <t>5</t>
        </is>
      </c>
      <c r="H404" s="59">
        <f>Y404/J404</f>
        <v/>
      </c>
      <c r="I404" s="386" t="n">
        <v>44530</v>
      </c>
      <c r="J404" s="605" t="n">
        <v>1500</v>
      </c>
      <c r="L404" s="605" t="n">
        <v>1500</v>
      </c>
      <c r="M404" s="605" t="n">
        <v>1957</v>
      </c>
      <c r="P404" s="605" t="inlineStr">
        <is>
          <t>Commercial</t>
        </is>
      </c>
      <c r="R404" s="152" t="inlineStr">
        <is>
          <t>Average</t>
        </is>
      </c>
      <c r="S404" s="605" t="n">
        <v>6964</v>
      </c>
      <c r="T404" s="387">
        <f>S404/J404</f>
        <v/>
      </c>
      <c r="U404" s="605" t="inlineStr">
        <is>
          <t>Average</t>
        </is>
      </c>
      <c r="Y404" s="605" t="n">
        <v>620000</v>
      </c>
      <c r="AA404" s="605" t="n">
        <v>620000</v>
      </c>
      <c r="AC404" s="605" t="inlineStr">
        <is>
          <t>0182509400013</t>
        </is>
      </c>
      <c r="AD404" s="605" t="inlineStr">
        <is>
          <t>2021000144720</t>
        </is>
      </c>
      <c r="AE404" s="653" t="inlineStr">
        <is>
          <t>CASTILLO THEODORE G</t>
        </is>
      </c>
      <c r="AF404" s="653" t="inlineStr">
        <is>
          <t>BOOM BOX RE LLC</t>
        </is>
      </c>
      <c r="AI404" s="605">
        <f>IF(AND($E404=Subj_OccCode,Subj_BldgSF&gt;0,ABS($L404-Subj_BldgSF)&lt;=Subj_BldgSF*Subj_SizeTol),ABS($L404-Subj_BldgSF),NA())</f>
        <v/>
      </c>
      <c r="AJ404">
        <f>IF(ISNA(AI404),NA(),AI404+ROW()/10000000)</f>
        <v/>
      </c>
      <c r="AK404" s="605">
        <f>IF(AND(ISNUMBER($N404),$N404&gt;0,ISNUMBER($Y404)),$Y404/$N404,"")</f>
        <v/>
      </c>
    </row>
    <row r="405" ht="15" customHeight="1" s="545">
      <c r="A405" s="385" t="n">
        <v>8</v>
      </c>
      <c r="B405" s="605" t="n">
        <v>398</v>
      </c>
      <c r="C405" s="605" t="inlineStr">
        <is>
          <t>R0005825</t>
        </is>
      </c>
      <c r="D405" s="605" t="inlineStr">
        <is>
          <t>1790  BRIDGE ST</t>
        </is>
      </c>
      <c r="E405" s="605" t="n">
        <v>344</v>
      </c>
      <c r="F405" s="605" t="inlineStr">
        <is>
          <t>BRIGHTON</t>
        </is>
      </c>
      <c r="G405" s="605" t="inlineStr">
        <is>
          <t>2</t>
        </is>
      </c>
      <c r="H405" s="59">
        <f>Y405/J405</f>
        <v/>
      </c>
      <c r="I405" s="386" t="n">
        <v>44147</v>
      </c>
      <c r="J405" s="605" t="n">
        <v>1312</v>
      </c>
      <c r="L405" s="605" t="n">
        <v>1312</v>
      </c>
      <c r="M405" s="605" t="n">
        <v>1974</v>
      </c>
      <c r="P405" s="605" t="inlineStr">
        <is>
          <t>C-1-Bri</t>
        </is>
      </c>
      <c r="R405" s="152" t="inlineStr">
        <is>
          <t>Average</t>
        </is>
      </c>
      <c r="S405" s="605" t="n">
        <v>10875</v>
      </c>
      <c r="T405" s="387">
        <f>S405/J405</f>
        <v/>
      </c>
      <c r="U405" s="605" t="inlineStr">
        <is>
          <t>Average</t>
        </is>
      </c>
      <c r="Y405" s="605" t="n">
        <v>415000</v>
      </c>
      <c r="AA405" s="605" t="n">
        <v>415000</v>
      </c>
      <c r="AC405" s="605" t="inlineStr">
        <is>
          <t>0156908204058</t>
        </is>
      </c>
      <c r="AD405" s="605" t="inlineStr">
        <is>
          <t>2020000121828</t>
        </is>
      </c>
      <c r="AE405" s="653" t="inlineStr">
        <is>
          <t>HERDING BUTTERFLIES</t>
        </is>
      </c>
      <c r="AF405" s="653" t="inlineStr">
        <is>
          <t>BAB 1790 E BRIDGE STREET LLC</t>
        </is>
      </c>
      <c r="AI405" s="605">
        <f>IF(AND($E405=Subj_OccCode,Subj_BldgSF&gt;0,ABS($L405-Subj_BldgSF)&lt;=Subj_BldgSF*Subj_SizeTol),ABS($L405-Subj_BldgSF),NA())</f>
        <v/>
      </c>
      <c r="AJ405">
        <f>IF(ISNA(AI405),NA(),AI405+ROW()/10000000)</f>
        <v/>
      </c>
      <c r="AK405" s="605">
        <f>IF(AND(ISNUMBER($N405),$N405&gt;0,ISNUMBER($Y405)),$Y405/$N405,"")</f>
        <v/>
      </c>
    </row>
    <row r="406" ht="15" customHeight="1" s="545">
      <c r="A406" s="385" t="n">
        <v>8</v>
      </c>
      <c r="B406" s="605" t="n">
        <v>399</v>
      </c>
      <c r="C406" s="605" t="inlineStr">
        <is>
          <t>R0098081</t>
        </is>
      </c>
      <c r="D406" s="605" t="inlineStr">
        <is>
          <t>851  HIGHWAY 224 #A5</t>
        </is>
      </c>
      <c r="E406" s="605" t="n">
        <v>425</v>
      </c>
      <c r="G406" s="605" t="inlineStr">
        <is>
          <t>5</t>
        </is>
      </c>
      <c r="H406" s="59">
        <f>Y406/J406</f>
        <v/>
      </c>
      <c r="I406" s="386" t="n">
        <v>43200</v>
      </c>
      <c r="J406" s="605" t="n">
        <v>1500</v>
      </c>
      <c r="L406" s="605" t="n">
        <v>1500</v>
      </c>
      <c r="M406" s="605" t="n">
        <v>1984</v>
      </c>
      <c r="P406" s="605" t="inlineStr">
        <is>
          <t>Industrial</t>
        </is>
      </c>
      <c r="R406" s="152" t="inlineStr">
        <is>
          <t>Average</t>
        </is>
      </c>
      <c r="S406" s="605" t="n">
        <v>4340</v>
      </c>
      <c r="T406" s="387">
        <f>S406/J406</f>
        <v/>
      </c>
      <c r="U406" s="605" t="inlineStr">
        <is>
          <t>Average</t>
        </is>
      </c>
      <c r="Y406" s="605" t="n">
        <v>237500</v>
      </c>
      <c r="AA406" s="605" t="n">
        <v>237500</v>
      </c>
      <c r="AC406" s="605" t="inlineStr">
        <is>
          <t>0182502203045</t>
        </is>
      </c>
      <c r="AD406" s="605" t="inlineStr">
        <is>
          <t>2018000029104</t>
        </is>
      </c>
      <c r="AE406" s="653" t="inlineStr">
        <is>
          <t>SCG ONE LIMITED PARTNERSHIP</t>
        </is>
      </c>
      <c r="AF406" s="653" t="inlineStr">
        <is>
          <t>LI YUE</t>
        </is>
      </c>
      <c r="AI406" s="605">
        <f>IF(AND($E406=Subj_OccCode,Subj_BldgSF&gt;0,ABS($L406-Subj_BldgSF)&lt;=Subj_BldgSF*Subj_SizeTol),ABS($L406-Subj_BldgSF),NA())</f>
        <v/>
      </c>
      <c r="AJ406">
        <f>IF(ISNA(AI406),NA(),AI406+ROW()/10000000)</f>
        <v/>
      </c>
      <c r="AK406" s="605">
        <f>IF(AND(ISNUMBER($N406),$N406&gt;0,ISNUMBER($Y406)),$Y406/$N406,"")</f>
        <v/>
      </c>
    </row>
    <row r="407" ht="15" customHeight="1" s="545">
      <c r="A407" s="385" t="n">
        <v>8</v>
      </c>
      <c r="B407" s="605" t="n">
        <v>400</v>
      </c>
      <c r="C407" s="605" t="inlineStr">
        <is>
          <t>R0031078</t>
        </is>
      </c>
      <c r="D407" s="605" t="inlineStr">
        <is>
          <t>11416  PEARL ST</t>
        </is>
      </c>
      <c r="E407" s="605" t="n">
        <v>434</v>
      </c>
      <c r="F407" s="605" t="inlineStr">
        <is>
          <t>NORTHGLENN</t>
        </is>
      </c>
      <c r="G407" s="605" t="inlineStr">
        <is>
          <t>4</t>
        </is>
      </c>
      <c r="H407" s="59">
        <f>Y407/J407</f>
        <v/>
      </c>
      <c r="I407" s="386" t="n">
        <v>43189</v>
      </c>
      <c r="J407" s="605" t="n">
        <v>2592</v>
      </c>
      <c r="L407" s="605" t="n">
        <v>2592</v>
      </c>
      <c r="M407" s="605" t="n">
        <v>1986</v>
      </c>
      <c r="P407" s="605" t="inlineStr">
        <is>
          <t>Northglenn</t>
        </is>
      </c>
      <c r="R407" s="152" t="inlineStr">
        <is>
          <t>Average</t>
        </is>
      </c>
      <c r="S407" s="605" t="n">
        <v>22496</v>
      </c>
      <c r="T407" s="387">
        <f>S407/J407</f>
        <v/>
      </c>
      <c r="U407" s="605" t="inlineStr">
        <is>
          <t>Average</t>
        </is>
      </c>
      <c r="Y407" s="605" t="n">
        <v>292500</v>
      </c>
      <c r="AA407" s="605" t="n">
        <v>292500</v>
      </c>
      <c r="AC407" s="605" t="inlineStr">
        <is>
          <t>0171903412012</t>
        </is>
      </c>
      <c r="AD407" s="605" t="inlineStr">
        <is>
          <t>2018000026442</t>
        </is>
      </c>
      <c r="AE407" s="653" t="inlineStr">
        <is>
          <t>ZAYAC PROPERTIES PEARL LLLP, C/O PROCLEAN AUTO WASH</t>
        </is>
      </c>
      <c r="AF407" s="653" t="inlineStr">
        <is>
          <t>BLANCO PROPERTIES PEARL LLC</t>
        </is>
      </c>
      <c r="AI407" s="605">
        <f>IF(AND($E407=Subj_OccCode,Subj_BldgSF&gt;0,ABS($L407-Subj_BldgSF)&lt;=Subj_BldgSF*Subj_SizeTol),ABS($L407-Subj_BldgSF),NA())</f>
        <v/>
      </c>
      <c r="AJ407">
        <f>IF(ISNA(AI407),NA(),AI407+ROW()/10000000)</f>
        <v/>
      </c>
      <c r="AK407" s="605">
        <f>IF(AND(ISNUMBER($N407),$N407&gt;0,ISNUMBER($Y407)),$Y407/$N407,"")</f>
        <v/>
      </c>
    </row>
    <row r="408" ht="15" customHeight="1" s="545">
      <c r="A408" s="385" t="n">
        <v>8</v>
      </c>
      <c r="B408" s="605" t="n">
        <v>401</v>
      </c>
      <c r="C408" s="605" t="inlineStr">
        <is>
          <t>R0090207</t>
        </is>
      </c>
      <c r="D408" s="605" t="inlineStr">
        <is>
          <t>6671  BRIGHTON BLVD</t>
        </is>
      </c>
      <c r="E408" s="605" t="n">
        <v>353</v>
      </c>
      <c r="F408" s="605" t="inlineStr">
        <is>
          <t>COMMERCE CITY</t>
        </is>
      </c>
      <c r="G408" s="605" t="inlineStr">
        <is>
          <t>5</t>
        </is>
      </c>
      <c r="H408" s="59">
        <f>Y408/J408</f>
        <v/>
      </c>
      <c r="I408" s="386" t="n">
        <v>43973</v>
      </c>
      <c r="J408" s="605" t="n">
        <v>6660</v>
      </c>
      <c r="L408" s="605" t="n">
        <v>6660</v>
      </c>
      <c r="M408" s="605" t="n">
        <v>1955</v>
      </c>
      <c r="P408" s="605" t="inlineStr">
        <is>
          <t>C-3-Com</t>
        </is>
      </c>
      <c r="R408" s="152" t="inlineStr">
        <is>
          <t>Average</t>
        </is>
      </c>
      <c r="S408" s="605" t="n">
        <v>54172</v>
      </c>
      <c r="T408" s="387">
        <f>S408/J408</f>
        <v/>
      </c>
      <c r="U408" s="605" t="inlineStr">
        <is>
          <t>Average</t>
        </is>
      </c>
      <c r="Y408" s="605" t="n">
        <v>895000</v>
      </c>
      <c r="AA408" s="605" t="n">
        <v>895000</v>
      </c>
      <c r="AC408" s="605" t="inlineStr">
        <is>
          <t>0182306301042</t>
        </is>
      </c>
      <c r="AD408" s="605" t="inlineStr">
        <is>
          <t>2020000046848</t>
        </is>
      </c>
      <c r="AE408" s="653" t="inlineStr">
        <is>
          <t>WISE HIROMI T</t>
        </is>
      </c>
      <c r="AF408" s="653" t="inlineStr">
        <is>
          <t>2 US 4VR LLC</t>
        </is>
      </c>
      <c r="AI408" s="605">
        <f>IF(AND($E408=Subj_OccCode,Subj_BldgSF&gt;0,ABS($L408-Subj_BldgSF)&lt;=Subj_BldgSF*Subj_SizeTol),ABS($L408-Subj_BldgSF),NA())</f>
        <v/>
      </c>
      <c r="AJ408">
        <f>IF(ISNA(AI408),NA(),AI408+ROW()/10000000)</f>
        <v/>
      </c>
      <c r="AK408" s="605">
        <f>IF(AND(ISNUMBER($N408),$N408&gt;0,ISNUMBER($Y408)),$Y408/$N408,"")</f>
        <v/>
      </c>
    </row>
    <row r="409" ht="15" customHeight="1" s="545">
      <c r="A409" s="385" t="n">
        <v>8</v>
      </c>
      <c r="B409" s="605" t="n">
        <v>402</v>
      </c>
      <c r="C409" s="605" t="inlineStr">
        <is>
          <t>R0104023</t>
        </is>
      </c>
      <c r="D409" s="605" t="inlineStr">
        <is>
          <t>520 E 56TH AVE</t>
        </is>
      </c>
      <c r="E409" s="605" t="n">
        <v>407</v>
      </c>
      <c r="G409" s="605" t="inlineStr">
        <is>
          <t>5</t>
        </is>
      </c>
      <c r="H409" s="59">
        <f>Y409/J409</f>
        <v/>
      </c>
      <c r="I409" s="386" t="n">
        <v>44722</v>
      </c>
      <c r="J409" s="605" t="n">
        <v>9945</v>
      </c>
      <c r="L409" s="605" t="n">
        <v>9945</v>
      </c>
      <c r="M409" s="605" t="n">
        <v>1978</v>
      </c>
      <c r="P409" s="605" t="inlineStr">
        <is>
          <t>Industrial</t>
        </is>
      </c>
      <c r="R409" s="152" t="inlineStr">
        <is>
          <t>Average</t>
        </is>
      </c>
      <c r="S409" s="605" t="n">
        <v>30000</v>
      </c>
      <c r="T409" s="387">
        <f>S409/J409</f>
        <v/>
      </c>
      <c r="U409" s="605" t="inlineStr">
        <is>
          <t>Average</t>
        </is>
      </c>
      <c r="Y409" s="605" t="n">
        <v>2500000</v>
      </c>
      <c r="AA409" s="605" t="n">
        <v>2500000</v>
      </c>
      <c r="AC409" s="605" t="inlineStr">
        <is>
          <t>0182515102001</t>
        </is>
      </c>
      <c r="AD409" s="605" t="inlineStr">
        <is>
          <t>2022000053147</t>
        </is>
      </c>
      <c r="AE409" s="653" t="inlineStr">
        <is>
          <t>520 E 56TH LLC</t>
        </is>
      </c>
      <c r="AF409" s="653" t="inlineStr">
        <is>
          <t>GZSC HOLDING LLC</t>
        </is>
      </c>
      <c r="AI409" s="605">
        <f>IF(AND($E409=Subj_OccCode,Subj_BldgSF&gt;0,ABS($L409-Subj_BldgSF)&lt;=Subj_BldgSF*Subj_SizeTol),ABS($L409-Subj_BldgSF),NA())</f>
        <v/>
      </c>
      <c r="AJ409">
        <f>IF(ISNA(AI409),NA(),AI409+ROW()/10000000)</f>
        <v/>
      </c>
      <c r="AK409" s="605">
        <f>IF(AND(ISNUMBER($N409),$N409&gt;0,ISNUMBER($Y409)),$Y409/$N409,"")</f>
        <v/>
      </c>
    </row>
    <row r="410" ht="15" customHeight="1" s="545">
      <c r="A410" s="385" t="n">
        <v>8</v>
      </c>
      <c r="B410" s="605" t="n">
        <v>403</v>
      </c>
      <c r="C410" s="605" t="inlineStr">
        <is>
          <t>R0104023</t>
        </is>
      </c>
      <c r="D410" s="605" t="inlineStr">
        <is>
          <t>520 E 56TH AVE</t>
        </is>
      </c>
      <c r="E410" s="605" t="n">
        <v>407</v>
      </c>
      <c r="G410" s="605" t="inlineStr">
        <is>
          <t>5</t>
        </is>
      </c>
      <c r="H410" s="59">
        <f>Y410/J410</f>
        <v/>
      </c>
      <c r="I410" s="386" t="n">
        <v>43402</v>
      </c>
      <c r="J410" s="605" t="n">
        <v>9945</v>
      </c>
      <c r="L410" s="605" t="n">
        <v>9945</v>
      </c>
      <c r="M410" s="605" t="n">
        <v>1978</v>
      </c>
      <c r="P410" s="605" t="inlineStr">
        <is>
          <t>Industrial</t>
        </is>
      </c>
      <c r="R410" s="152" t="inlineStr">
        <is>
          <t>Average</t>
        </is>
      </c>
      <c r="S410" s="605" t="n">
        <v>30000</v>
      </c>
      <c r="T410" s="387">
        <f>S410/J410</f>
        <v/>
      </c>
      <c r="U410" s="605" t="inlineStr">
        <is>
          <t>Average</t>
        </is>
      </c>
      <c r="Y410" s="605" t="n">
        <v>1850000</v>
      </c>
      <c r="AA410" s="605" t="n">
        <v>1850000</v>
      </c>
      <c r="AC410" s="605" t="inlineStr">
        <is>
          <t>0182515102001</t>
        </is>
      </c>
      <c r="AD410" s="605" t="inlineStr">
        <is>
          <t>2018000087585</t>
        </is>
      </c>
      <c r="AE410" s="653" t="inlineStr">
        <is>
          <t>520 EAST 56TH LLC</t>
        </is>
      </c>
      <c r="AF410" s="653" t="inlineStr">
        <is>
          <t>520 E 56TH LLC</t>
        </is>
      </c>
      <c r="AI410" s="605">
        <f>IF(AND($E410=Subj_OccCode,Subj_BldgSF&gt;0,ABS($L410-Subj_BldgSF)&lt;=Subj_BldgSF*Subj_SizeTol),ABS($L410-Subj_BldgSF),NA())</f>
        <v/>
      </c>
      <c r="AJ410">
        <f>IF(ISNA(AI410),NA(),AI410+ROW()/10000000)</f>
        <v/>
      </c>
      <c r="AK410" s="605">
        <f>IF(AND(ISNUMBER($N410),$N410&gt;0,ISNUMBER($Y410)),$Y410/$N410,"")</f>
        <v/>
      </c>
    </row>
    <row r="411" ht="15" customHeight="1" s="545">
      <c r="A411" s="385" t="n">
        <v>8</v>
      </c>
      <c r="B411" s="605" t="n">
        <v>404</v>
      </c>
      <c r="C411" s="605" t="inlineStr">
        <is>
          <t>R0104041</t>
        </is>
      </c>
      <c r="D411" s="605" t="inlineStr">
        <is>
          <t>387 E 55TH AVE</t>
        </is>
      </c>
      <c r="E411" s="605" t="n">
        <v>325</v>
      </c>
      <c r="G411" s="605" t="inlineStr">
        <is>
          <t>5</t>
        </is>
      </c>
      <c r="H411" s="59">
        <f>Y411/J411</f>
        <v/>
      </c>
      <c r="I411" s="386" t="n">
        <v>43487</v>
      </c>
      <c r="J411" s="605" t="n">
        <v>2800</v>
      </c>
      <c r="L411" s="605" t="n">
        <v>2800</v>
      </c>
      <c r="M411" s="605" t="n">
        <v>1982</v>
      </c>
      <c r="P411" s="605" t="inlineStr">
        <is>
          <t>Industrial</t>
        </is>
      </c>
      <c r="R411" s="152" t="inlineStr">
        <is>
          <t>Average</t>
        </is>
      </c>
      <c r="S411" s="605" t="n">
        <v>10050</v>
      </c>
      <c r="T411" s="387">
        <f>S411/J411</f>
        <v/>
      </c>
      <c r="U411" s="605" t="inlineStr">
        <is>
          <t>Average</t>
        </is>
      </c>
      <c r="Y411" s="605" t="n">
        <v>525000</v>
      </c>
      <c r="AA411" s="605" t="n">
        <v>525000</v>
      </c>
      <c r="AC411" s="605" t="inlineStr">
        <is>
          <t>0182515104004</t>
        </is>
      </c>
      <c r="AD411" s="605" t="inlineStr">
        <is>
          <t>2019000005629</t>
        </is>
      </c>
      <c r="AE411" s="653" t="inlineStr">
        <is>
          <t>WATER WOLF LLC</t>
        </is>
      </c>
      <c r="AF411" s="653" t="inlineStr">
        <is>
          <t>TOM COOK &amp; ASSOCIATES LLC</t>
        </is>
      </c>
      <c r="AI411" s="605">
        <f>IF(AND($E411=Subj_OccCode,Subj_BldgSF&gt;0,ABS($L411-Subj_BldgSF)&lt;=Subj_BldgSF*Subj_SizeTol),ABS($L411-Subj_BldgSF),NA())</f>
        <v/>
      </c>
      <c r="AJ411">
        <f>IF(ISNA(AI411),NA(),AI411+ROW()/10000000)</f>
        <v/>
      </c>
      <c r="AK411" s="605">
        <f>IF(AND(ISNUMBER($N411),$N411&gt;0,ISNUMBER($Y411)),$Y411/$N411,"")</f>
        <v/>
      </c>
    </row>
    <row r="412" ht="15" customHeight="1" s="545">
      <c r="A412" s="385" t="n">
        <v>8</v>
      </c>
      <c r="B412" s="605" t="n">
        <v>405</v>
      </c>
      <c r="C412" s="605" t="inlineStr">
        <is>
          <t>R0104094</t>
        </is>
      </c>
      <c r="D412" s="605" t="inlineStr">
        <is>
          <t>5203  LINCOLN ST</t>
        </is>
      </c>
      <c r="E412" s="605" t="n">
        <v>406</v>
      </c>
      <c r="G412" s="605" t="inlineStr">
        <is>
          <t>5</t>
        </is>
      </c>
      <c r="H412" s="59">
        <f>Y412/J412</f>
        <v/>
      </c>
      <c r="I412" s="386" t="n">
        <v>44364</v>
      </c>
      <c r="J412" s="605" t="n">
        <v>4736</v>
      </c>
      <c r="L412" s="605" t="n">
        <v>4736</v>
      </c>
      <c r="M412" s="605" t="n">
        <v>1971</v>
      </c>
      <c r="P412" s="605" t="inlineStr">
        <is>
          <t>Industrial</t>
        </is>
      </c>
      <c r="R412" s="152" t="inlineStr">
        <is>
          <t>Average</t>
        </is>
      </c>
      <c r="S412" s="605" t="n">
        <v>19050</v>
      </c>
      <c r="T412" s="387">
        <f>S412/J412</f>
        <v/>
      </c>
      <c r="U412" s="605" t="inlineStr">
        <is>
          <t>Average</t>
        </is>
      </c>
      <c r="Y412" s="605" t="n">
        <v>1200000</v>
      </c>
      <c r="AA412" s="605" t="n">
        <v>1200000</v>
      </c>
      <c r="AC412" s="605" t="inlineStr">
        <is>
          <t>0182515110003</t>
        </is>
      </c>
      <c r="AD412" s="605" t="inlineStr">
        <is>
          <t>2021000073620</t>
        </is>
      </c>
      <c r="AE412" s="653" t="inlineStr">
        <is>
          <t>CORLESS-KENNEDY LORI K</t>
        </is>
      </c>
      <c r="AF412" s="653" t="inlineStr">
        <is>
          <t>5203 LLC</t>
        </is>
      </c>
      <c r="AI412" s="605">
        <f>IF(AND($E412=Subj_OccCode,Subj_BldgSF&gt;0,ABS($L412-Subj_BldgSF)&lt;=Subj_BldgSF*Subj_SizeTol),ABS($L412-Subj_BldgSF),NA())</f>
        <v/>
      </c>
      <c r="AJ412">
        <f>IF(ISNA(AI412),NA(),AI412+ROW()/10000000)</f>
        <v/>
      </c>
      <c r="AK412" s="605">
        <f>IF(AND(ISNUMBER($N412),$N412&gt;0,ISNUMBER($Y412)),$Y412/$N412,"")</f>
        <v/>
      </c>
    </row>
    <row r="413" ht="15" customHeight="1" s="545">
      <c r="A413" s="385" t="n">
        <v>8</v>
      </c>
      <c r="B413" s="605" t="n">
        <v>406</v>
      </c>
      <c r="C413" s="605" t="inlineStr">
        <is>
          <t>R0038936</t>
        </is>
      </c>
      <c r="D413" s="605" t="inlineStr">
        <is>
          <t>10775  IRMA DR</t>
        </is>
      </c>
      <c r="E413" s="605" t="n">
        <v>406</v>
      </c>
      <c r="F413" s="605" t="inlineStr">
        <is>
          <t>NORTHGLENN</t>
        </is>
      </c>
      <c r="G413" s="605" t="inlineStr">
        <is>
          <t>2</t>
        </is>
      </c>
      <c r="H413" s="59">
        <f>Y413/J413</f>
        <v/>
      </c>
      <c r="I413" s="386" t="n">
        <v>43357</v>
      </c>
      <c r="J413" s="605" t="n">
        <v>4400</v>
      </c>
      <c r="L413" s="605" t="n">
        <v>4400</v>
      </c>
      <c r="M413" s="605" t="n">
        <v>1989</v>
      </c>
      <c r="P413" s="605" t="inlineStr">
        <is>
          <t>Northglenn</t>
        </is>
      </c>
      <c r="R413" s="152" t="inlineStr">
        <is>
          <t>Average</t>
        </is>
      </c>
      <c r="S413" s="605" t="n">
        <v>35000</v>
      </c>
      <c r="T413" s="387">
        <f>S413/J413</f>
        <v/>
      </c>
      <c r="U413" s="605" t="inlineStr">
        <is>
          <t>Average</t>
        </is>
      </c>
      <c r="Y413" s="605" t="n">
        <v>825000</v>
      </c>
      <c r="AA413" s="605" t="n">
        <v>825000</v>
      </c>
      <c r="AC413" s="605" t="inlineStr">
        <is>
          <t>0171911403020</t>
        </is>
      </c>
      <c r="AD413" s="605" t="inlineStr">
        <is>
          <t>2018000075962</t>
        </is>
      </c>
      <c r="AE413" s="653" t="inlineStr">
        <is>
          <t>C AND N REAL ESTATE LLC</t>
        </is>
      </c>
      <c r="AF413" s="653" t="inlineStr">
        <is>
          <t>REVIVAL REAL ESTATE</t>
        </is>
      </c>
      <c r="AI413" s="605">
        <f>IF(AND($E413=Subj_OccCode,Subj_BldgSF&gt;0,ABS($L413-Subj_BldgSF)&lt;=Subj_BldgSF*Subj_SizeTol),ABS($L413-Subj_BldgSF),NA())</f>
        <v/>
      </c>
      <c r="AJ413">
        <f>IF(ISNA(AI413),NA(),AI413+ROW()/10000000)</f>
        <v/>
      </c>
      <c r="AK413" s="605">
        <f>IF(AND(ISNUMBER($N413),$N413&gt;0,ISNUMBER($Y413)),$Y413/$N413,"")</f>
        <v/>
      </c>
    </row>
    <row r="414" ht="15" customHeight="1" s="545">
      <c r="A414" s="385" t="n">
        <v>8</v>
      </c>
      <c r="B414" s="605" t="n">
        <v>407</v>
      </c>
      <c r="C414" s="605" t="inlineStr">
        <is>
          <t>R0084313</t>
        </is>
      </c>
      <c r="D414" s="605" t="inlineStr">
        <is>
          <t>13801 E SMITH DR #B</t>
        </is>
      </c>
      <c r="E414" s="605" t="n">
        <v>425</v>
      </c>
      <c r="F414" s="605" t="inlineStr">
        <is>
          <t>AURORA</t>
        </is>
      </c>
      <c r="G414" s="605" t="inlineStr">
        <is>
          <t>6</t>
        </is>
      </c>
      <c r="H414" s="59">
        <f>Y414/J414</f>
        <v/>
      </c>
      <c r="I414" s="386" t="n">
        <v>43259</v>
      </c>
      <c r="J414" s="605" t="n">
        <v>1500</v>
      </c>
      <c r="L414" s="605" t="n">
        <v>1500</v>
      </c>
      <c r="M414" s="605" t="n">
        <v>1982</v>
      </c>
      <c r="P414" s="605" t="inlineStr">
        <is>
          <t>Aurora</t>
        </is>
      </c>
      <c r="R414" s="152" t="inlineStr">
        <is>
          <t>Average</t>
        </is>
      </c>
      <c r="S414" s="605" t="n">
        <v>6313</v>
      </c>
      <c r="T414" s="387">
        <f>S414/J414</f>
        <v/>
      </c>
      <c r="U414" s="605" t="inlineStr">
        <is>
          <t>Average</t>
        </is>
      </c>
      <c r="Y414" s="605" t="n">
        <v>180000</v>
      </c>
      <c r="AA414" s="605" t="n">
        <v>180000</v>
      </c>
      <c r="AC414" s="605" t="inlineStr">
        <is>
          <t>0182130013013</t>
        </is>
      </c>
      <c r="AD414" s="605" t="inlineStr">
        <is>
          <t>2018000047556</t>
        </is>
      </c>
      <c r="AE414" s="653" t="inlineStr">
        <is>
          <t>BROWN TERRY L</t>
        </is>
      </c>
      <c r="AF414" s="653" t="inlineStr">
        <is>
          <t>JAB HOLDINGS LLC</t>
        </is>
      </c>
      <c r="AI414" s="605">
        <f>IF(AND($E414=Subj_OccCode,Subj_BldgSF&gt;0,ABS($L414-Subj_BldgSF)&lt;=Subj_BldgSF*Subj_SizeTol),ABS($L414-Subj_BldgSF),NA())</f>
        <v/>
      </c>
      <c r="AJ414">
        <f>IF(ISNA(AI414),NA(),AI414+ROW()/10000000)</f>
        <v/>
      </c>
      <c r="AK414" s="605">
        <f>IF(AND(ISNUMBER($N414),$N414&gt;0,ISNUMBER($Y414)),$Y414/$N414,"")</f>
        <v/>
      </c>
    </row>
    <row r="415" ht="15" customHeight="1" s="545">
      <c r="A415" s="385" t="n">
        <v>8</v>
      </c>
      <c r="B415" s="605" t="n">
        <v>408</v>
      </c>
      <c r="C415" s="605" t="inlineStr">
        <is>
          <t>R0084315</t>
        </is>
      </c>
      <c r="D415" s="605" t="inlineStr">
        <is>
          <t>13891 E SMITH DR #A</t>
        </is>
      </c>
      <c r="E415" s="605" t="n">
        <v>425</v>
      </c>
      <c r="F415" s="605" t="inlineStr">
        <is>
          <t>AURORA</t>
        </is>
      </c>
      <c r="G415" s="605" t="inlineStr">
        <is>
          <t>6</t>
        </is>
      </c>
      <c r="H415" s="59">
        <f>Y415/J415</f>
        <v/>
      </c>
      <c r="I415" s="386" t="n">
        <v>44070</v>
      </c>
      <c r="J415" s="605" t="n">
        <v>1500</v>
      </c>
      <c r="L415" s="605" t="n">
        <v>1500</v>
      </c>
      <c r="M415" s="605" t="n">
        <v>1982</v>
      </c>
      <c r="P415" s="605" t="inlineStr">
        <is>
          <t>M-1-Aur</t>
        </is>
      </c>
      <c r="R415" s="152" t="inlineStr">
        <is>
          <t>Average</t>
        </is>
      </c>
      <c r="S415" s="605" t="n">
        <v>4608</v>
      </c>
      <c r="T415" s="387">
        <f>S415/J415</f>
        <v/>
      </c>
      <c r="U415" s="605" t="inlineStr">
        <is>
          <t>Average</t>
        </is>
      </c>
      <c r="Y415" s="605" t="n">
        <v>180000</v>
      </c>
      <c r="AA415" s="605" t="n">
        <v>180000</v>
      </c>
      <c r="AC415" s="605" t="inlineStr">
        <is>
          <t>0182130013015</t>
        </is>
      </c>
      <c r="AD415" s="605" t="inlineStr">
        <is>
          <t>2020000085310</t>
        </is>
      </c>
      <c r="AE415" s="653" t="inlineStr">
        <is>
          <t>FAMILY BUSINESS INC</t>
        </is>
      </c>
      <c r="AF415" s="653" t="inlineStr">
        <is>
          <t>AURORA INVESTMENT GROUP LLC</t>
        </is>
      </c>
      <c r="AI415" s="605">
        <f>IF(AND($E415=Subj_OccCode,Subj_BldgSF&gt;0,ABS($L415-Subj_BldgSF)&lt;=Subj_BldgSF*Subj_SizeTol),ABS($L415-Subj_BldgSF),NA())</f>
        <v/>
      </c>
      <c r="AJ415">
        <f>IF(ISNA(AI415),NA(),AI415+ROW()/10000000)</f>
        <v/>
      </c>
      <c r="AK415" s="605">
        <f>IF(AND(ISNUMBER($N415),$N415&gt;0,ISNUMBER($Y415)),$Y415/$N415,"")</f>
        <v/>
      </c>
    </row>
    <row r="416" ht="15" customHeight="1" s="545">
      <c r="A416" s="385" t="n">
        <v>8</v>
      </c>
      <c r="B416" s="605" t="n">
        <v>409</v>
      </c>
      <c r="C416" s="605" t="inlineStr">
        <is>
          <t>R0097919</t>
        </is>
      </c>
      <c r="D416" s="605" t="inlineStr">
        <is>
          <t>2350 E 70TH AVE</t>
        </is>
      </c>
      <c r="E416" s="605" t="n">
        <v>406</v>
      </c>
      <c r="G416" s="605" t="inlineStr">
        <is>
          <t>5</t>
        </is>
      </c>
      <c r="H416" s="59">
        <f>Y416/J416</f>
        <v/>
      </c>
      <c r="I416" s="386" t="n">
        <v>43188</v>
      </c>
      <c r="J416" s="605" t="n">
        <v>6496</v>
      </c>
      <c r="L416" s="605" t="n">
        <v>6496</v>
      </c>
      <c r="M416" s="605" t="n">
        <v>1999</v>
      </c>
      <c r="P416" s="605" t="inlineStr">
        <is>
          <t>Industrial</t>
        </is>
      </c>
      <c r="R416" s="152" t="inlineStr">
        <is>
          <t>Average</t>
        </is>
      </c>
      <c r="S416" s="605" t="n">
        <v>75611</v>
      </c>
      <c r="T416" s="387">
        <f>S416/J416</f>
        <v/>
      </c>
      <c r="U416" s="605" t="inlineStr">
        <is>
          <t>Average</t>
        </is>
      </c>
      <c r="Y416" s="605" t="n">
        <v>1410000</v>
      </c>
      <c r="AA416" s="605" t="n">
        <v>1410000</v>
      </c>
      <c r="AC416" s="605" t="inlineStr">
        <is>
          <t>0182501203002</t>
        </is>
      </c>
      <c r="AD416" s="605" t="inlineStr">
        <is>
          <t>2018000025867</t>
        </is>
      </c>
      <c r="AE416" s="653" t="inlineStr">
        <is>
          <t>HILLTOP SUBDIVISION, PARTNERSHIP</t>
        </is>
      </c>
      <c r="AF416" s="653" t="inlineStr">
        <is>
          <t>MITO REALTY LLC</t>
        </is>
      </c>
      <c r="AI416" s="605">
        <f>IF(AND($E416=Subj_OccCode,Subj_BldgSF&gt;0,ABS($L416-Subj_BldgSF)&lt;=Subj_BldgSF*Subj_SizeTol),ABS($L416-Subj_BldgSF),NA())</f>
        <v/>
      </c>
      <c r="AJ416">
        <f>IF(ISNA(AI416),NA(),AI416+ROW()/10000000)</f>
        <v/>
      </c>
      <c r="AK416" s="605">
        <f>IF(AND(ISNUMBER($N416),$N416&gt;0,ISNUMBER($Y416)),$Y416/$N416,"")</f>
        <v/>
      </c>
    </row>
    <row r="417" ht="15" customHeight="1" s="545">
      <c r="A417" s="385" t="n">
        <v>8</v>
      </c>
      <c r="B417" s="605" t="n">
        <v>410</v>
      </c>
      <c r="C417" s="605" t="inlineStr">
        <is>
          <t>R0070638</t>
        </is>
      </c>
      <c r="D417" s="605" t="inlineStr">
        <is>
          <t>7570  BROADWAY ST</t>
        </is>
      </c>
      <c r="E417" s="605" t="n">
        <v>353</v>
      </c>
      <c r="G417" s="605" t="inlineStr">
        <is>
          <t>1</t>
        </is>
      </c>
      <c r="H417" s="59">
        <f>Y417/J417</f>
        <v/>
      </c>
      <c r="I417" s="386" t="n">
        <v>43388</v>
      </c>
      <c r="J417" s="605" t="n">
        <v>3065</v>
      </c>
      <c r="L417" s="605" t="n">
        <v>3065</v>
      </c>
      <c r="M417" s="605" t="n">
        <v>1975</v>
      </c>
      <c r="P417" s="605" t="inlineStr">
        <is>
          <t>Commercial</t>
        </is>
      </c>
      <c r="R417" s="152" t="inlineStr">
        <is>
          <t>Average</t>
        </is>
      </c>
      <c r="S417" s="605" t="n">
        <v>35620</v>
      </c>
      <c r="T417" s="387">
        <f>S417/J417</f>
        <v/>
      </c>
      <c r="U417" s="605" t="inlineStr">
        <is>
          <t>Average</t>
        </is>
      </c>
      <c r="Y417" s="605" t="n">
        <v>750000</v>
      </c>
      <c r="AA417" s="605" t="n">
        <v>750000</v>
      </c>
      <c r="AC417" s="605" t="inlineStr">
        <is>
          <t>0171934405026</t>
        </is>
      </c>
      <c r="AD417" s="605" t="inlineStr">
        <is>
          <t>2018000083713</t>
        </is>
      </c>
      <c r="AE417" s="653" t="inlineStr">
        <is>
          <t>ALPHA AND GREEN ENTERPRISES LLC</t>
        </is>
      </c>
      <c r="AF417" s="653" t="inlineStr">
        <is>
          <t>ASK LLC</t>
        </is>
      </c>
      <c r="AI417" s="605">
        <f>IF(AND($E417=Subj_OccCode,Subj_BldgSF&gt;0,ABS($L417-Subj_BldgSF)&lt;=Subj_BldgSF*Subj_SizeTol),ABS($L417-Subj_BldgSF),NA())</f>
        <v/>
      </c>
      <c r="AJ417">
        <f>IF(ISNA(AI417),NA(),AI417+ROW()/10000000)</f>
        <v/>
      </c>
      <c r="AK417" s="605">
        <f>IF(AND(ISNUMBER($N417),$N417&gt;0,ISNUMBER($Y417)),$Y417/$N417,"")</f>
        <v/>
      </c>
    </row>
    <row r="418" ht="15" customHeight="1" s="545">
      <c r="A418" s="385" t="n">
        <v>8</v>
      </c>
      <c r="B418" s="605" t="n">
        <v>411</v>
      </c>
      <c r="C418" s="605" t="inlineStr">
        <is>
          <t>R0103454</t>
        </is>
      </c>
      <c r="D418" s="605" t="inlineStr">
        <is>
          <t>6331  WASHINGTON ST</t>
        </is>
      </c>
      <c r="E418" s="605" t="n">
        <v>419</v>
      </c>
      <c r="G418" s="605" t="inlineStr">
        <is>
          <t>5</t>
        </is>
      </c>
      <c r="H418" s="59">
        <f>Y418/J418</f>
        <v/>
      </c>
      <c r="I418" s="386" t="n">
        <v>44266</v>
      </c>
      <c r="J418" s="605" t="n">
        <v>4507</v>
      </c>
      <c r="L418" s="605" t="n">
        <v>4507</v>
      </c>
      <c r="M418" s="605" t="n">
        <v>1986</v>
      </c>
      <c r="P418" s="605" t="inlineStr">
        <is>
          <t>Industrial</t>
        </is>
      </c>
      <c r="R418" s="152" t="inlineStr">
        <is>
          <t>Average</t>
        </is>
      </c>
      <c r="S418" s="605" t="n">
        <v>77434</v>
      </c>
      <c r="T418" s="387">
        <f>S418/J418</f>
        <v/>
      </c>
      <c r="U418" s="605" t="inlineStr">
        <is>
          <t>Average</t>
        </is>
      </c>
      <c r="Y418" s="605" t="n">
        <v>2200000</v>
      </c>
      <c r="AA418" s="605" t="n">
        <v>2200000</v>
      </c>
      <c r="AC418" s="605" t="inlineStr">
        <is>
          <t>0182510101018</t>
        </is>
      </c>
      <c r="AD418" s="605" t="inlineStr">
        <is>
          <t>2021000029962</t>
        </is>
      </c>
      <c r="AE418" s="653" t="inlineStr">
        <is>
          <t>VAHN LIVING TRUST THE , C/O MATRIX GROUP INC</t>
        </is>
      </c>
      <c r="AF418" s="653" t="inlineStr">
        <is>
          <t>BV 64 WA LLC</t>
        </is>
      </c>
      <c r="AI418" s="605">
        <f>IF(AND($E418=Subj_OccCode,Subj_BldgSF&gt;0,ABS($L418-Subj_BldgSF)&lt;=Subj_BldgSF*Subj_SizeTol),ABS($L418-Subj_BldgSF),NA())</f>
        <v/>
      </c>
      <c r="AJ418">
        <f>IF(ISNA(AI418),NA(),AI418+ROW()/10000000)</f>
        <v/>
      </c>
      <c r="AK418" s="605">
        <f>IF(AND(ISNUMBER($N418),$N418&gt;0,ISNUMBER($Y418)),$Y418/$N418,"")</f>
        <v/>
      </c>
    </row>
    <row r="419" ht="15" customHeight="1" s="545">
      <c r="A419" s="385" t="n">
        <v>8</v>
      </c>
      <c r="B419" s="605" t="n">
        <v>412</v>
      </c>
      <c r="C419" s="605" t="inlineStr">
        <is>
          <t>R0103524</t>
        </is>
      </c>
      <c r="D419" s="605" t="inlineStr">
        <is>
          <t>5919  BROADWAY ST</t>
        </is>
      </c>
      <c r="E419" s="605" t="n">
        <v>407</v>
      </c>
      <c r="G419" s="605" t="inlineStr">
        <is>
          <t>5</t>
        </is>
      </c>
      <c r="H419" s="59">
        <f>Y419/J419</f>
        <v/>
      </c>
      <c r="I419" s="386" t="n">
        <v>44377</v>
      </c>
      <c r="J419" s="605" t="n">
        <v>10044</v>
      </c>
      <c r="L419" s="605" t="n">
        <v>10044</v>
      </c>
      <c r="M419" s="605" t="n">
        <v>1972</v>
      </c>
      <c r="P419" s="605" t="inlineStr">
        <is>
          <t>Industrial</t>
        </is>
      </c>
      <c r="R419" s="152" t="inlineStr">
        <is>
          <t>Average</t>
        </is>
      </c>
      <c r="S419" s="605" t="n">
        <v>45765</v>
      </c>
      <c r="T419" s="387">
        <f>S419/J419</f>
        <v/>
      </c>
      <c r="U419" s="605" t="inlineStr">
        <is>
          <t>Average</t>
        </is>
      </c>
      <c r="Y419" s="605" t="n">
        <v>1700000</v>
      </c>
      <c r="AA419" s="605" t="n">
        <v>1700000</v>
      </c>
      <c r="AC419" s="605" t="inlineStr">
        <is>
          <t>0182510301035</t>
        </is>
      </c>
      <c r="AD419" s="605" t="inlineStr">
        <is>
          <t>2021000085131</t>
        </is>
      </c>
      <c r="AE419" s="653" t="inlineStr">
        <is>
          <t>5919 N BROADWAY LLC</t>
        </is>
      </c>
      <c r="AF419" s="653" t="inlineStr">
        <is>
          <t>KUNZMAN MICHAEL AND, CORBITO CARINA</t>
        </is>
      </c>
      <c r="AI419" s="605">
        <f>IF(AND($E419=Subj_OccCode,Subj_BldgSF&gt;0,ABS($L419-Subj_BldgSF)&lt;=Subj_BldgSF*Subj_SizeTol),ABS($L419-Subj_BldgSF),NA())</f>
        <v/>
      </c>
      <c r="AJ419">
        <f>IF(ISNA(AI419),NA(),AI419+ROW()/10000000)</f>
        <v/>
      </c>
      <c r="AK419" s="605">
        <f>IF(AND(ISNUMBER($N419),$N419&gt;0,ISNUMBER($Y419)),$Y419/$N419,"")</f>
        <v/>
      </c>
    </row>
    <row r="420" ht="15" customHeight="1" s="545">
      <c r="A420" s="385" t="n">
        <v>8</v>
      </c>
      <c r="B420" s="605" t="n">
        <v>413</v>
      </c>
      <c r="C420" s="605" t="inlineStr">
        <is>
          <t>R0002301</t>
        </is>
      </c>
      <c r="D420" s="605" t="inlineStr">
        <is>
          <t>1401  BRIDGE ST</t>
        </is>
      </c>
      <c r="E420" s="605" t="n">
        <v>344</v>
      </c>
      <c r="F420" s="605" t="inlineStr">
        <is>
          <t>BRIGHTON</t>
        </is>
      </c>
      <c r="G420" s="605" t="inlineStr">
        <is>
          <t>2</t>
        </is>
      </c>
      <c r="H420" s="59">
        <f>Y420/J420</f>
        <v/>
      </c>
      <c r="I420" s="386" t="n">
        <v>44013</v>
      </c>
      <c r="J420" s="605" t="n">
        <v>2500</v>
      </c>
      <c r="L420" s="605" t="n">
        <v>2500</v>
      </c>
      <c r="M420" s="605" t="n">
        <v>1972</v>
      </c>
      <c r="P420" s="605" t="inlineStr">
        <is>
          <t>C-3-Bri</t>
        </is>
      </c>
      <c r="R420" s="152" t="inlineStr">
        <is>
          <t>Average</t>
        </is>
      </c>
      <c r="S420" s="605" t="n">
        <v>10454.4</v>
      </c>
      <c r="T420" s="387">
        <f>S420/J420</f>
        <v/>
      </c>
      <c r="U420" s="605" t="inlineStr">
        <is>
          <t>Average</t>
        </is>
      </c>
      <c r="Y420" s="605" t="n">
        <v>735000</v>
      </c>
      <c r="AA420" s="605" t="n">
        <v>735000</v>
      </c>
      <c r="AC420" s="605" t="inlineStr">
        <is>
          <t>0156905330003</t>
        </is>
      </c>
      <c r="AD420" s="605" t="inlineStr">
        <is>
          <t>2020000062454</t>
        </is>
      </c>
      <c r="AE420" s="653" t="inlineStr">
        <is>
          <t>MORGAN BRIAN M, MORGAN LINDA LIVING TRUST</t>
        </is>
      </c>
      <c r="AF420" s="653" t="inlineStr">
        <is>
          <t>SHOCKLEY MICHELLE</t>
        </is>
      </c>
      <c r="AI420" s="605">
        <f>IF(AND($E420=Subj_OccCode,Subj_BldgSF&gt;0,ABS($L420-Subj_BldgSF)&lt;=Subj_BldgSF*Subj_SizeTol),ABS($L420-Subj_BldgSF),NA())</f>
        <v/>
      </c>
      <c r="AJ420">
        <f>IF(ISNA(AI420),NA(),AI420+ROW()/10000000)</f>
        <v/>
      </c>
      <c r="AK420" s="605">
        <f>IF(AND(ISNUMBER($N420),$N420&gt;0,ISNUMBER($Y420)),$Y420/$N420,"")</f>
        <v/>
      </c>
    </row>
    <row r="421" ht="15" customHeight="1" s="545">
      <c r="A421" s="385" t="n">
        <v>8</v>
      </c>
      <c r="B421" s="605" t="n">
        <v>414</v>
      </c>
      <c r="C421" s="605" t="inlineStr">
        <is>
          <t>R0085935</t>
        </is>
      </c>
      <c r="D421" s="605" t="inlineStr">
        <is>
          <t>15586 E 17TH AVE</t>
        </is>
      </c>
      <c r="E421" s="605" t="n">
        <v>407</v>
      </c>
      <c r="F421" s="605" t="inlineStr">
        <is>
          <t>AURORA</t>
        </is>
      </c>
      <c r="G421" s="605" t="inlineStr">
        <is>
          <t>6</t>
        </is>
      </c>
      <c r="H421" s="59">
        <f>Y421/J421</f>
        <v/>
      </c>
      <c r="I421" s="386" t="n">
        <v>44272</v>
      </c>
      <c r="J421" s="605" t="n">
        <v>9800</v>
      </c>
      <c r="L421" s="605" t="n">
        <v>9800</v>
      </c>
      <c r="M421" s="605" t="n">
        <v>1972</v>
      </c>
      <c r="P421" s="605" t="inlineStr">
        <is>
          <t>M-1-Aur</t>
        </is>
      </c>
      <c r="R421" s="152" t="inlineStr">
        <is>
          <t>Average</t>
        </is>
      </c>
      <c r="S421" s="605" t="n">
        <v>22000</v>
      </c>
      <c r="T421" s="387">
        <f>S421/J421</f>
        <v/>
      </c>
      <c r="U421" s="605" t="inlineStr">
        <is>
          <t>Average</t>
        </is>
      </c>
      <c r="Y421" s="605" t="n">
        <v>1350000</v>
      </c>
      <c r="AA421" s="605" t="n">
        <v>1350000</v>
      </c>
      <c r="AC421" s="605" t="inlineStr">
        <is>
          <t>0182132315017</t>
        </is>
      </c>
      <c r="AD421" s="605" t="inlineStr">
        <is>
          <t>2021000032615</t>
        </is>
      </c>
      <c r="AE421" s="653" t="inlineStr">
        <is>
          <t>STORAGE ONE ELIZABETH LLC</t>
        </is>
      </c>
      <c r="AF421" s="653" t="inlineStr">
        <is>
          <t>CASABLANCA LLC</t>
        </is>
      </c>
      <c r="AI421" s="605">
        <f>IF(AND($E421=Subj_OccCode,Subj_BldgSF&gt;0,ABS($L421-Subj_BldgSF)&lt;=Subj_BldgSF*Subj_SizeTol),ABS($L421-Subj_BldgSF),NA())</f>
        <v/>
      </c>
      <c r="AJ421">
        <f>IF(ISNA(AI421),NA(),AI421+ROW()/10000000)</f>
        <v/>
      </c>
      <c r="AK421" s="605">
        <f>IF(AND(ISNUMBER($N421),$N421&gt;0,ISNUMBER($Y421)),$Y421/$N421,"")</f>
        <v/>
      </c>
    </row>
    <row r="422" ht="15" customHeight="1" s="545">
      <c r="A422" s="385" t="n">
        <v>8</v>
      </c>
      <c r="B422" s="605" t="n">
        <v>415</v>
      </c>
      <c r="C422" s="605" t="inlineStr">
        <is>
          <t>R0004089</t>
        </is>
      </c>
      <c r="D422" s="605" t="inlineStr">
        <is>
          <t>301 S MAIN ST #100/#120/#220</t>
        </is>
      </c>
      <c r="E422" s="605" t="n">
        <v>353</v>
      </c>
      <c r="F422" s="605" t="inlineStr">
        <is>
          <t>BRIGHTON</t>
        </is>
      </c>
      <c r="G422" s="605" t="inlineStr">
        <is>
          <t>2</t>
        </is>
      </c>
      <c r="H422" s="59">
        <f>Y422/J422</f>
        <v/>
      </c>
      <c r="I422" s="386" t="n">
        <v>43167</v>
      </c>
      <c r="J422" s="605" t="n">
        <v>5800</v>
      </c>
      <c r="L422" s="605" t="n">
        <v>5800</v>
      </c>
      <c r="M422" s="605" t="n">
        <v>1920</v>
      </c>
      <c r="P422" s="605" t="inlineStr">
        <is>
          <t>Brighton</t>
        </is>
      </c>
      <c r="R422" s="152" t="inlineStr">
        <is>
          <t>Average</t>
        </is>
      </c>
      <c r="S422" s="605" t="n">
        <v>13000</v>
      </c>
      <c r="T422" s="387">
        <f>S422/J422</f>
        <v/>
      </c>
      <c r="U422" s="605" t="inlineStr">
        <is>
          <t>Average</t>
        </is>
      </c>
      <c r="Y422" s="605" t="n">
        <v>565000</v>
      </c>
      <c r="AA422" s="605" t="n">
        <v>565000</v>
      </c>
      <c r="AC422" s="605" t="inlineStr">
        <is>
          <t>0156907220001</t>
        </is>
      </c>
      <c r="AD422" s="605" t="inlineStr">
        <is>
          <t>2018000019867</t>
        </is>
      </c>
      <c r="AE422" s="653" t="inlineStr">
        <is>
          <t>ROBB INC</t>
        </is>
      </c>
      <c r="AF422" s="653" t="inlineStr">
        <is>
          <t>301 SOUTH MAIN LLC</t>
        </is>
      </c>
      <c r="AI422" s="605">
        <f>IF(AND($E422=Subj_OccCode,Subj_BldgSF&gt;0,ABS($L422-Subj_BldgSF)&lt;=Subj_BldgSF*Subj_SizeTol),ABS($L422-Subj_BldgSF),NA())</f>
        <v/>
      </c>
      <c r="AJ422">
        <f>IF(ISNA(AI422),NA(),AI422+ROW()/10000000)</f>
        <v/>
      </c>
      <c r="AK422" s="605">
        <f>IF(AND(ISNUMBER($N422),$N422&gt;0,ISNUMBER($Y422)),$Y422/$N422,"")</f>
        <v/>
      </c>
    </row>
    <row r="423" ht="15" customHeight="1" s="545">
      <c r="A423" s="385" t="n">
        <v>8</v>
      </c>
      <c r="B423" s="605" t="n">
        <v>416</v>
      </c>
      <c r="C423" s="605" t="inlineStr">
        <is>
          <t>R0070612</t>
        </is>
      </c>
      <c r="D423" s="605" t="inlineStr">
        <is>
          <t>7261  WASHINGTON ST</t>
        </is>
      </c>
      <c r="E423" s="605" t="n">
        <v>344</v>
      </c>
      <c r="G423" s="605" t="inlineStr">
        <is>
          <t>2</t>
        </is>
      </c>
      <c r="H423" s="59">
        <f>Y423/J423</f>
        <v/>
      </c>
      <c r="I423" s="386" t="n">
        <v>43329</v>
      </c>
      <c r="J423" s="605" t="n">
        <v>1032</v>
      </c>
      <c r="L423" s="605" t="n">
        <v>1032</v>
      </c>
      <c r="M423" s="605" t="n">
        <v>1952</v>
      </c>
      <c r="P423" s="605" t="inlineStr">
        <is>
          <t>Industrial</t>
        </is>
      </c>
      <c r="R423" s="152" t="inlineStr">
        <is>
          <t>Average</t>
        </is>
      </c>
      <c r="S423" s="605" t="n">
        <v>25089</v>
      </c>
      <c r="T423" s="387">
        <f>S423/J423</f>
        <v/>
      </c>
      <c r="U423" s="605" t="inlineStr">
        <is>
          <t>Average</t>
        </is>
      </c>
      <c r="Y423" s="605" t="n">
        <v>675000</v>
      </c>
      <c r="AA423" s="605" t="n">
        <v>675000</v>
      </c>
      <c r="AC423" s="605" t="inlineStr">
        <is>
          <t>0171934400017</t>
        </is>
      </c>
      <c r="AD423" s="605" t="inlineStr">
        <is>
          <t>2018000067503</t>
        </is>
      </c>
      <c r="AE423" s="653" t="inlineStr">
        <is>
          <t>J D STEEL COMPANY INC</t>
        </is>
      </c>
      <c r="AF423" s="653" t="inlineStr">
        <is>
          <t>ABP INVESTMENTS LLC</t>
        </is>
      </c>
      <c r="AI423" s="605">
        <f>IF(AND($E423=Subj_OccCode,Subj_BldgSF&gt;0,ABS($L423-Subj_BldgSF)&lt;=Subj_BldgSF*Subj_SizeTol),ABS($L423-Subj_BldgSF),NA())</f>
        <v/>
      </c>
      <c r="AJ423">
        <f>IF(ISNA(AI423),NA(),AI423+ROW()/10000000)</f>
        <v/>
      </c>
      <c r="AK423" s="605">
        <f>IF(AND(ISNUMBER($N423),$N423&gt;0,ISNUMBER($Y423)),$Y423/$N423,"")</f>
        <v/>
      </c>
    </row>
    <row r="424" ht="15" customHeight="1" s="545">
      <c r="A424" s="385" t="n">
        <v>8</v>
      </c>
      <c r="B424" s="605" t="n">
        <v>417</v>
      </c>
      <c r="C424" s="605" t="inlineStr">
        <is>
          <t>R0079895</t>
        </is>
      </c>
      <c r="D424" s="605" t="inlineStr">
        <is>
          <t>7255  MONACO ST</t>
        </is>
      </c>
      <c r="E424" s="605" t="n">
        <v>353</v>
      </c>
      <c r="F424" s="605" t="inlineStr">
        <is>
          <t>COMMERCE CITY</t>
        </is>
      </c>
      <c r="G424" s="605" t="inlineStr">
        <is>
          <t>5</t>
        </is>
      </c>
      <c r="H424" s="59">
        <f>Y424/J424</f>
        <v/>
      </c>
      <c r="I424" s="386" t="n">
        <v>43656</v>
      </c>
      <c r="J424" s="605" t="n">
        <v>10051</v>
      </c>
      <c r="L424" s="605" t="n">
        <v>10051</v>
      </c>
      <c r="M424" s="605" t="n">
        <v>1947</v>
      </c>
      <c r="P424" s="605" t="inlineStr">
        <is>
          <t>PUD-Com</t>
        </is>
      </c>
      <c r="R424" s="152" t="inlineStr">
        <is>
          <t>Average</t>
        </is>
      </c>
      <c r="S424" s="605" t="n">
        <v>18037</v>
      </c>
      <c r="T424" s="387">
        <f>S424/J424</f>
        <v/>
      </c>
      <c r="U424" s="605" t="inlineStr">
        <is>
          <t>Average</t>
        </is>
      </c>
      <c r="Y424" s="605" t="n">
        <v>700000</v>
      </c>
      <c r="AA424" s="605" t="n">
        <v>700000</v>
      </c>
      <c r="AC424" s="605" t="inlineStr">
        <is>
          <t>0172132423004</t>
        </is>
      </c>
      <c r="AD424" s="605" t="inlineStr">
        <is>
          <t>2019000054378</t>
        </is>
      </c>
      <c r="AE424" s="653" t="inlineStr">
        <is>
          <t>BEHESHTI ABBAS S</t>
        </is>
      </c>
      <c r="AF424" s="653" t="inlineStr">
        <is>
          <t>MUNOZ ROGELIO AND, MUNOZ ALICIA</t>
        </is>
      </c>
      <c r="AI424" s="605">
        <f>IF(AND($E424=Subj_OccCode,Subj_BldgSF&gt;0,ABS($L424-Subj_BldgSF)&lt;=Subj_BldgSF*Subj_SizeTol),ABS($L424-Subj_BldgSF),NA())</f>
        <v/>
      </c>
      <c r="AJ424">
        <f>IF(ISNA(AI424),NA(),AI424+ROW()/10000000)</f>
        <v/>
      </c>
      <c r="AK424" s="605">
        <f>IF(AND(ISNUMBER($N424),$N424&gt;0,ISNUMBER($Y424)),$Y424/$N424,"")</f>
        <v/>
      </c>
    </row>
    <row r="425" ht="15" customHeight="1" s="545">
      <c r="A425" s="385" t="n">
        <v>8</v>
      </c>
      <c r="B425" s="605" t="n">
        <v>418</v>
      </c>
      <c r="C425" s="605" t="inlineStr">
        <is>
          <t>R0110650</t>
        </is>
      </c>
      <c r="D425" s="605" t="inlineStr">
        <is>
          <t>12485  GRANT ST</t>
        </is>
      </c>
      <c r="E425" s="605" t="n">
        <v>344</v>
      </c>
      <c r="F425" s="605" t="inlineStr">
        <is>
          <t>THORNTON</t>
        </is>
      </c>
      <c r="G425" s="605" t="inlineStr">
        <is>
          <t>3</t>
        </is>
      </c>
      <c r="H425" s="59">
        <f>Y425/J425</f>
        <v/>
      </c>
      <c r="I425" s="386" t="n">
        <v>44442</v>
      </c>
      <c r="J425" s="605" t="n">
        <v>55107</v>
      </c>
      <c r="L425" s="605" t="n">
        <v>55107</v>
      </c>
      <c r="M425" s="605" t="n">
        <v>1980</v>
      </c>
      <c r="P425" s="605" t="inlineStr">
        <is>
          <t>Business Park</t>
        </is>
      </c>
      <c r="R425" s="152" t="inlineStr">
        <is>
          <t>Average</t>
        </is>
      </c>
      <c r="S425" s="605" t="n">
        <v>318656</v>
      </c>
      <c r="T425" s="387">
        <f>S425/J425</f>
        <v/>
      </c>
      <c r="U425" s="605" t="inlineStr">
        <is>
          <t>Average</t>
        </is>
      </c>
      <c r="Y425" s="605" t="n">
        <v>7800000</v>
      </c>
      <c r="AA425" s="605" t="n">
        <v>7800000</v>
      </c>
      <c r="AC425" s="605" t="inlineStr">
        <is>
          <t>0157334009029</t>
        </is>
      </c>
      <c r="AD425" s="605" t="inlineStr">
        <is>
          <t>2021000105569</t>
        </is>
      </c>
      <c r="AE425" s="653" t="inlineStr">
        <is>
          <t>WASHINGTON SQUARE PARTNERS LLC</t>
        </is>
      </c>
      <c r="AF425" s="653" t="inlineStr">
        <is>
          <t>SCROLL PROPERTIES LLC</t>
        </is>
      </c>
      <c r="AI425" s="605">
        <f>IF(AND($E425=Subj_OccCode,Subj_BldgSF&gt;0,ABS($L425-Subj_BldgSF)&lt;=Subj_BldgSF*Subj_SizeTol),ABS($L425-Subj_BldgSF),NA())</f>
        <v/>
      </c>
      <c r="AJ425">
        <f>IF(ISNA(AI425),NA(),AI425+ROW()/10000000)</f>
        <v/>
      </c>
      <c r="AK425" s="605">
        <f>IF(AND(ISNUMBER($N425),$N425&gt;0,ISNUMBER($Y425)),$Y425/$N425,"")</f>
        <v/>
      </c>
    </row>
    <row r="426" ht="15" customHeight="1" s="545">
      <c r="A426" s="385" t="n">
        <v>8</v>
      </c>
      <c r="B426" s="605" t="n">
        <v>419</v>
      </c>
      <c r="C426" s="605" t="inlineStr">
        <is>
          <t>R0092347</t>
        </is>
      </c>
      <c r="D426" s="605" t="inlineStr">
        <is>
          <t>5311  NIAGARA ST</t>
        </is>
      </c>
      <c r="E426" s="605" t="n">
        <v>407</v>
      </c>
      <c r="F426" s="605" t="inlineStr">
        <is>
          <t>COMMERCE CITY</t>
        </is>
      </c>
      <c r="G426" s="605" t="inlineStr">
        <is>
          <t>5</t>
        </is>
      </c>
      <c r="H426" s="59">
        <f>Y426/J426</f>
        <v/>
      </c>
      <c r="I426" s="386" t="n">
        <v>44378</v>
      </c>
      <c r="J426" s="605" t="n">
        <v>23344</v>
      </c>
      <c r="L426" s="605" t="n">
        <v>23344</v>
      </c>
      <c r="M426" s="605" t="n">
        <v>1984</v>
      </c>
      <c r="P426" s="605" t="inlineStr">
        <is>
          <t>I-2-Com</t>
        </is>
      </c>
      <c r="R426" s="152" t="inlineStr">
        <is>
          <t>Average</t>
        </is>
      </c>
      <c r="S426" s="605" t="n">
        <v>51674</v>
      </c>
      <c r="T426" s="387">
        <f>S426/J426</f>
        <v/>
      </c>
      <c r="U426" s="605" t="inlineStr">
        <is>
          <t>Average</t>
        </is>
      </c>
      <c r="Y426" s="605" t="n">
        <v>2450000</v>
      </c>
      <c r="AA426" s="605" t="n">
        <v>2450000</v>
      </c>
      <c r="AC426" s="605" t="inlineStr">
        <is>
          <t>0182317103057</t>
        </is>
      </c>
      <c r="AD426" s="605" t="inlineStr">
        <is>
          <t>2021000079773</t>
        </is>
      </c>
      <c r="AE426" s="653" t="inlineStr">
        <is>
          <t>JACOBS BRENDA SUE</t>
        </is>
      </c>
      <c r="AF426" s="653" t="inlineStr">
        <is>
          <t>BRE INVESTMENTS LTD AND, BAMA LLC</t>
        </is>
      </c>
      <c r="AI426" s="605">
        <f>IF(AND($E426=Subj_OccCode,Subj_BldgSF&gt;0,ABS($L426-Subj_BldgSF)&lt;=Subj_BldgSF*Subj_SizeTol),ABS($L426-Subj_BldgSF),NA())</f>
        <v/>
      </c>
      <c r="AJ426">
        <f>IF(ISNA(AI426),NA(),AI426+ROW()/10000000)</f>
        <v/>
      </c>
      <c r="AK426" s="605">
        <f>IF(AND(ISNUMBER($N426),$N426&gt;0,ISNUMBER($Y426)),$Y426/$N426,"")</f>
        <v/>
      </c>
    </row>
    <row r="427" ht="15" customHeight="1" s="545">
      <c r="A427" s="385" t="n">
        <v>8</v>
      </c>
      <c r="B427" s="605" t="n">
        <v>420</v>
      </c>
      <c r="C427" s="605" t="inlineStr">
        <is>
          <t>R0083500</t>
        </is>
      </c>
      <c r="D427" s="605" t="inlineStr">
        <is>
          <t>37400 ASTRA WY</t>
        </is>
      </c>
      <c r="E427" s="605" t="n">
        <v>328</v>
      </c>
      <c r="G427" s="605" t="inlineStr">
        <is>
          <t>6</t>
        </is>
      </c>
      <c r="H427" s="59">
        <f>Y427/J427</f>
        <v/>
      </c>
      <c r="I427" s="386" t="n">
        <v>43287</v>
      </c>
      <c r="J427" s="605" t="n">
        <v>960</v>
      </c>
      <c r="L427" s="605" t="n">
        <v>960</v>
      </c>
      <c r="M427" s="605" t="n">
        <v>1997</v>
      </c>
      <c r="P427" s="605" t="inlineStr">
        <is>
          <t>Agricultural</t>
        </is>
      </c>
      <c r="R427" s="152" t="inlineStr">
        <is>
          <t>Average</t>
        </is>
      </c>
      <c r="S427" s="605" t="n">
        <v>0</v>
      </c>
      <c r="T427" s="387">
        <f>S427/J427</f>
        <v/>
      </c>
      <c r="U427" s="605" t="inlineStr">
        <is>
          <t>Average</t>
        </is>
      </c>
      <c r="Y427" s="605" t="n">
        <v>33000</v>
      </c>
      <c r="AA427" s="605" t="n">
        <v>33000</v>
      </c>
      <c r="AC427" s="605" t="inlineStr">
        <is>
          <t>0181716403003</t>
        </is>
      </c>
      <c r="AD427" s="605" t="inlineStr">
        <is>
          <t>2018000054935</t>
        </is>
      </c>
      <c r="AE427" s="653" t="inlineStr">
        <is>
          <t>GOWAN SUSAN</t>
        </is>
      </c>
      <c r="AF427" s="653" t="inlineStr">
        <is>
          <t>SENN DAVID M, SENN DONNA M</t>
        </is>
      </c>
      <c r="AI427" s="605">
        <f>IF(AND($E427=Subj_OccCode,Subj_BldgSF&gt;0,ABS($L427-Subj_BldgSF)&lt;=Subj_BldgSF*Subj_SizeTol),ABS($L427-Subj_BldgSF),NA())</f>
        <v/>
      </c>
      <c r="AJ427">
        <f>IF(ISNA(AI427),NA(),AI427+ROW()/10000000)</f>
        <v/>
      </c>
      <c r="AK427" s="605">
        <f>IF(AND(ISNUMBER($N427),$N427&gt;0,ISNUMBER($Y427)),$Y427/$N427,"")</f>
        <v/>
      </c>
    </row>
    <row r="428" ht="15" customHeight="1" s="545">
      <c r="A428" s="385" t="n">
        <v>8</v>
      </c>
      <c r="B428" s="605" t="n">
        <v>421</v>
      </c>
      <c r="C428" s="605" t="inlineStr">
        <is>
          <t>R0077930</t>
        </is>
      </c>
      <c r="D428" s="605" t="inlineStr">
        <is>
          <t>4365 E 74TH AVE</t>
        </is>
      </c>
      <c r="E428" s="605" t="n">
        <v>325</v>
      </c>
      <c r="F428" s="605" t="inlineStr">
        <is>
          <t>COMMERCE CITY</t>
        </is>
      </c>
      <c r="G428" s="605" t="inlineStr">
        <is>
          <t>5</t>
        </is>
      </c>
      <c r="H428" s="59">
        <f>Y428/J428</f>
        <v/>
      </c>
      <c r="I428" s="386" t="n">
        <v>44732</v>
      </c>
      <c r="J428" s="605" t="n">
        <v>5400</v>
      </c>
      <c r="L428" s="605" t="n">
        <v>5400</v>
      </c>
      <c r="M428" s="605" t="n">
        <v>1972</v>
      </c>
      <c r="P428" s="605" t="inlineStr">
        <is>
          <t>I-2-Com</t>
        </is>
      </c>
      <c r="R428" s="152" t="inlineStr">
        <is>
          <t>Average</t>
        </is>
      </c>
      <c r="S428" s="605" t="n">
        <v>143744</v>
      </c>
      <c r="T428" s="387">
        <f>S428/J428</f>
        <v/>
      </c>
      <c r="U428" s="605" t="inlineStr">
        <is>
          <t>Average</t>
        </is>
      </c>
      <c r="Y428" s="605" t="n">
        <v>2300000</v>
      </c>
      <c r="AA428" s="605" t="n">
        <v>2300000</v>
      </c>
      <c r="AC428" s="605" t="inlineStr">
        <is>
          <t>0172131312001</t>
        </is>
      </c>
      <c r="AD428" s="605" t="inlineStr">
        <is>
          <t>2022000054867</t>
        </is>
      </c>
      <c r="AE428" s="653" t="inlineStr">
        <is>
          <t>MAGNOLIA ENTERPRISES LLC</t>
        </is>
      </c>
      <c r="AF428" s="653" t="inlineStr">
        <is>
          <t>CCS LAND ACQUISITION LLC</t>
        </is>
      </c>
      <c r="AI428" s="605">
        <f>IF(AND($E428=Subj_OccCode,Subj_BldgSF&gt;0,ABS($L428-Subj_BldgSF)&lt;=Subj_BldgSF*Subj_SizeTol),ABS($L428-Subj_BldgSF),NA())</f>
        <v/>
      </c>
      <c r="AJ428">
        <f>IF(ISNA(AI428),NA(),AI428+ROW()/10000000)</f>
        <v/>
      </c>
      <c r="AK428" s="605">
        <f>IF(AND(ISNUMBER($N428),$N428&gt;0,ISNUMBER($Y428)),$Y428/$N428,"")</f>
        <v/>
      </c>
    </row>
    <row r="429" ht="15" customHeight="1" s="545">
      <c r="A429" s="385" t="n">
        <v>8</v>
      </c>
      <c r="B429" s="605" t="n">
        <v>422</v>
      </c>
      <c r="C429" s="605" t="inlineStr">
        <is>
          <t>R0091005</t>
        </is>
      </c>
      <c r="D429" s="605" t="inlineStr">
        <is>
          <t>5678  EUDORA ST</t>
        </is>
      </c>
      <c r="E429" s="605" t="n">
        <v>407</v>
      </c>
      <c r="F429" s="605" t="inlineStr">
        <is>
          <t>COMMERCE CITY</t>
        </is>
      </c>
      <c r="G429" s="605" t="inlineStr">
        <is>
          <t>5</t>
        </is>
      </c>
      <c r="H429" s="59">
        <f>Y429/J429</f>
        <v/>
      </c>
      <c r="I429" s="386" t="n">
        <v>44008</v>
      </c>
      <c r="J429" s="605" t="n">
        <v>21870</v>
      </c>
      <c r="L429" s="605" t="n">
        <v>21870</v>
      </c>
      <c r="M429" s="605" t="n">
        <v>1967</v>
      </c>
      <c r="P429" s="605" t="inlineStr">
        <is>
          <t>I-2-Com</t>
        </is>
      </c>
      <c r="R429" s="152" t="inlineStr">
        <is>
          <t>Average</t>
        </is>
      </c>
      <c r="S429" s="605" t="n">
        <v>73616</v>
      </c>
      <c r="T429" s="387">
        <f>S429/J429</f>
        <v/>
      </c>
      <c r="U429" s="605" t="inlineStr">
        <is>
          <t>Average</t>
        </is>
      </c>
      <c r="Y429" s="605" t="n">
        <v>2500000</v>
      </c>
      <c r="AA429" s="605" t="n">
        <v>2500000</v>
      </c>
      <c r="AC429" s="605" t="inlineStr">
        <is>
          <t>0182307400035</t>
        </is>
      </c>
      <c r="AD429" s="605" t="inlineStr">
        <is>
          <t>2020000073591</t>
        </is>
      </c>
      <c r="AE429" s="653" t="inlineStr">
        <is>
          <t>BOWLING ROY E</t>
        </is>
      </c>
      <c r="AF429" s="653" t="inlineStr">
        <is>
          <t>DEF 5678 LLC</t>
        </is>
      </c>
      <c r="AI429" s="605">
        <f>IF(AND($E429=Subj_OccCode,Subj_BldgSF&gt;0,ABS($L429-Subj_BldgSF)&lt;=Subj_BldgSF*Subj_SizeTol),ABS($L429-Subj_BldgSF),NA())</f>
        <v/>
      </c>
      <c r="AJ429">
        <f>IF(ISNA(AI429),NA(),AI429+ROW()/10000000)</f>
        <v/>
      </c>
      <c r="AK429" s="605">
        <f>IF(AND(ISNUMBER($N429),$N429&gt;0,ISNUMBER($Y429)),$Y429/$N429,"")</f>
        <v/>
      </c>
    </row>
    <row r="430" ht="15" customHeight="1" s="545">
      <c r="A430" s="385" t="n">
        <v>8</v>
      </c>
      <c r="B430" s="605" t="n">
        <v>423</v>
      </c>
      <c r="C430" s="605" t="inlineStr">
        <is>
          <t>R0098068</t>
        </is>
      </c>
      <c r="D430" s="605" t="inlineStr">
        <is>
          <t>851 E 71ST AVE #B2</t>
        </is>
      </c>
      <c r="E430" s="605" t="n">
        <v>425</v>
      </c>
      <c r="G430" s="605" t="inlineStr">
        <is>
          <t>5</t>
        </is>
      </c>
      <c r="H430" s="59">
        <f>Y430/J430</f>
        <v/>
      </c>
      <c r="I430" s="386" t="n">
        <v>43568</v>
      </c>
      <c r="J430" s="605" t="n">
        <v>1000</v>
      </c>
      <c r="L430" s="605" t="n">
        <v>1000</v>
      </c>
      <c r="M430" s="605" t="n">
        <v>1984</v>
      </c>
      <c r="P430" s="605" t="inlineStr">
        <is>
          <t>Industrial</t>
        </is>
      </c>
      <c r="R430" s="152" t="inlineStr">
        <is>
          <t>Average</t>
        </is>
      </c>
      <c r="S430" s="605" t="n">
        <v>2893</v>
      </c>
      <c r="T430" s="387">
        <f>S430/J430</f>
        <v/>
      </c>
      <c r="U430" s="605" t="inlineStr">
        <is>
          <t>Average</t>
        </is>
      </c>
      <c r="Y430" s="605" t="n">
        <v>170000</v>
      </c>
      <c r="AA430" s="605" t="n">
        <v>170000</v>
      </c>
      <c r="AC430" s="605" t="inlineStr">
        <is>
          <t>0182502203032</t>
        </is>
      </c>
      <c r="AD430" s="605" t="inlineStr">
        <is>
          <t>2019000033494</t>
        </is>
      </c>
      <c r="AE430" s="653" t="inlineStr">
        <is>
          <t>CARJO LLC</t>
        </is>
      </c>
      <c r="AF430" s="653" t="inlineStr">
        <is>
          <t>A &amp; B PROPERTY LLC</t>
        </is>
      </c>
      <c r="AI430" s="605">
        <f>IF(AND($E430=Subj_OccCode,Subj_BldgSF&gt;0,ABS($L430-Subj_BldgSF)&lt;=Subj_BldgSF*Subj_SizeTol),ABS($L430-Subj_BldgSF),NA())</f>
        <v/>
      </c>
      <c r="AJ430">
        <f>IF(ISNA(AI430),NA(),AI430+ROW()/10000000)</f>
        <v/>
      </c>
      <c r="AK430" s="605">
        <f>IF(AND(ISNUMBER($N430),$N430&gt;0,ISNUMBER($Y430)),$Y430/$N430,"")</f>
        <v/>
      </c>
    </row>
    <row r="431" ht="15" customHeight="1" s="545">
      <c r="A431" s="385" t="n">
        <v>8</v>
      </c>
      <c r="B431" s="605" t="n">
        <v>424</v>
      </c>
      <c r="C431" s="605" t="inlineStr">
        <is>
          <t>R0093920</t>
        </is>
      </c>
      <c r="D431" s="605" t="inlineStr">
        <is>
          <t>11799 E 30TH AVE</t>
        </is>
      </c>
      <c r="E431" s="605" t="n">
        <v>407</v>
      </c>
      <c r="F431" s="605" t="inlineStr">
        <is>
          <t>AURORA</t>
        </is>
      </c>
      <c r="G431" s="605" t="inlineStr">
        <is>
          <t>6</t>
        </is>
      </c>
      <c r="H431" s="59">
        <f>Y431/J431</f>
        <v/>
      </c>
      <c r="I431" s="386" t="n">
        <v>44312</v>
      </c>
      <c r="J431" s="605" t="n">
        <v>15040</v>
      </c>
      <c r="L431" s="605" t="n">
        <v>15040</v>
      </c>
      <c r="M431" s="605" t="n">
        <v>1966</v>
      </c>
      <c r="P431" s="605" t="inlineStr">
        <is>
          <t>M-3</t>
        </is>
      </c>
      <c r="R431" s="152" t="inlineStr">
        <is>
          <t>Average</t>
        </is>
      </c>
      <c r="S431" s="605" t="n">
        <v>35793</v>
      </c>
      <c r="T431" s="387">
        <f>S431/J431</f>
        <v/>
      </c>
      <c r="U431" s="605" t="inlineStr">
        <is>
          <t>Average</t>
        </is>
      </c>
      <c r="Y431" s="605" t="n">
        <v>1675000</v>
      </c>
      <c r="AA431" s="605" t="n">
        <v>1675000</v>
      </c>
      <c r="AC431" s="605" t="inlineStr">
        <is>
          <t>0182326402005</t>
        </is>
      </c>
      <c r="AD431" s="605" t="inlineStr">
        <is>
          <t>2021000051705</t>
        </is>
      </c>
      <c r="AE431" s="653" t="inlineStr">
        <is>
          <t>COLORADO MUSTANG, SPECIALISTS INC</t>
        </is>
      </c>
      <c r="AF431" s="653" t="inlineStr">
        <is>
          <t>BIGFOOT PARADISE LLC</t>
        </is>
      </c>
      <c r="AI431" s="605">
        <f>IF(AND($E431=Subj_OccCode,Subj_BldgSF&gt;0,ABS($L431-Subj_BldgSF)&lt;=Subj_BldgSF*Subj_SizeTol),ABS($L431-Subj_BldgSF),NA())</f>
        <v/>
      </c>
      <c r="AJ431">
        <f>IF(ISNA(AI431),NA(),AI431+ROW()/10000000)</f>
        <v/>
      </c>
      <c r="AK431" s="605">
        <f>IF(AND(ISNUMBER($N431),$N431&gt;0,ISNUMBER($Y431)),$Y431/$N431,"")</f>
        <v/>
      </c>
    </row>
    <row r="432" ht="15" customHeight="1" s="545">
      <c r="A432" s="385" t="n">
        <v>8</v>
      </c>
      <c r="B432" s="605" t="n">
        <v>425</v>
      </c>
      <c r="C432" s="605" t="inlineStr">
        <is>
          <t>R0004286</t>
        </is>
      </c>
      <c r="D432" s="605" t="inlineStr">
        <is>
          <t>101  JESSUP ST</t>
        </is>
      </c>
      <c r="E432" s="605" t="n">
        <v>325</v>
      </c>
      <c r="F432" s="605" t="inlineStr">
        <is>
          <t>BRIGHTON</t>
        </is>
      </c>
      <c r="G432" s="605" t="inlineStr">
        <is>
          <t>2</t>
        </is>
      </c>
      <c r="H432" s="59">
        <f>Y432/J432</f>
        <v/>
      </c>
      <c r="I432" s="386" t="n">
        <v>44029</v>
      </c>
      <c r="J432" s="605" t="n">
        <v>2600</v>
      </c>
      <c r="L432" s="605" t="n">
        <v>2600</v>
      </c>
      <c r="M432" s="605" t="n">
        <v>1957</v>
      </c>
      <c r="P432" s="605" t="inlineStr">
        <is>
          <t>R-2-Bri</t>
        </is>
      </c>
      <c r="R432" s="152" t="inlineStr">
        <is>
          <t>Average</t>
        </is>
      </c>
      <c r="S432" s="605" t="n">
        <v>10620</v>
      </c>
      <c r="T432" s="387">
        <f>S432/J432</f>
        <v/>
      </c>
      <c r="U432" s="605" t="inlineStr">
        <is>
          <t>Average</t>
        </is>
      </c>
      <c r="Y432" s="605" t="n">
        <v>480000</v>
      </c>
      <c r="AA432" s="605" t="n">
        <v>480000</v>
      </c>
      <c r="AC432" s="605" t="inlineStr">
        <is>
          <t>0156907305013</t>
        </is>
      </c>
      <c r="AD432" s="605" t="inlineStr">
        <is>
          <t>2020000072830</t>
        </is>
      </c>
      <c r="AE432" s="653" t="inlineStr">
        <is>
          <t>MILLER STEVEN D</t>
        </is>
      </c>
      <c r="AF432" s="653" t="inlineStr">
        <is>
          <t>101 JESSUP ST HOLDINGS LLC</t>
        </is>
      </c>
      <c r="AI432" s="605">
        <f>IF(AND($E432=Subj_OccCode,Subj_BldgSF&gt;0,ABS($L432-Subj_BldgSF)&lt;=Subj_BldgSF*Subj_SizeTol),ABS($L432-Subj_BldgSF),NA())</f>
        <v/>
      </c>
      <c r="AJ432">
        <f>IF(ISNA(AI432),NA(),AI432+ROW()/10000000)</f>
        <v/>
      </c>
      <c r="AK432" s="605">
        <f>IF(AND(ISNUMBER($N432),$N432&gt;0,ISNUMBER($Y432)),$Y432/$N432,"")</f>
        <v/>
      </c>
    </row>
    <row r="433" ht="15" customHeight="1" s="545">
      <c r="A433" s="385" t="n">
        <v>8</v>
      </c>
      <c r="B433" s="605" t="n">
        <v>426</v>
      </c>
      <c r="C433" s="605" t="inlineStr">
        <is>
          <t>R0082499</t>
        </is>
      </c>
      <c r="D433" s="605" t="inlineStr">
        <is>
          <t>48000 E 38TH AVE</t>
        </is>
      </c>
      <c r="E433" s="605" t="n">
        <v>406</v>
      </c>
      <c r="F433" s="605" t="inlineStr">
        <is>
          <t>BENNETT</t>
        </is>
      </c>
      <c r="G433" s="605" t="inlineStr">
        <is>
          <t>1</t>
        </is>
      </c>
      <c r="H433" s="59">
        <f>Y433/J433</f>
        <v/>
      </c>
      <c r="I433" s="386" t="n">
        <v>43784</v>
      </c>
      <c r="J433" s="605" t="n">
        <v>11000</v>
      </c>
      <c r="L433" s="605" t="n">
        <v>11000</v>
      </c>
      <c r="M433" s="605" t="n">
        <v>1998</v>
      </c>
      <c r="P433" s="605" t="inlineStr">
        <is>
          <t>Agricultural</t>
        </is>
      </c>
      <c r="R433" s="152" t="inlineStr">
        <is>
          <t>Average</t>
        </is>
      </c>
      <c r="S433" s="605" t="n">
        <v>218235.6</v>
      </c>
      <c r="T433" s="387">
        <f>S433/J433</f>
        <v/>
      </c>
      <c r="U433" s="605" t="inlineStr">
        <is>
          <t>Average</t>
        </is>
      </c>
      <c r="Y433" s="605" t="n">
        <v>1000000</v>
      </c>
      <c r="AA433" s="605" t="n">
        <v>1000000</v>
      </c>
      <c r="AC433" s="605" t="inlineStr">
        <is>
          <t>0181527200039</t>
        </is>
      </c>
      <c r="AD433" s="605" t="inlineStr">
        <is>
          <t>2019000099747</t>
        </is>
      </c>
      <c r="AE433" s="653" t="inlineStr">
        <is>
          <t>48000 EAST 38TH AVENUE LLC</t>
        </is>
      </c>
      <c r="AF433" s="653" t="inlineStr">
        <is>
          <t>RD MORRIS LLC</t>
        </is>
      </c>
      <c r="AI433" s="605">
        <f>IF(AND($E433=Subj_OccCode,Subj_BldgSF&gt;0,ABS($L433-Subj_BldgSF)&lt;=Subj_BldgSF*Subj_SizeTol),ABS($L433-Subj_BldgSF),NA())</f>
        <v/>
      </c>
      <c r="AJ433">
        <f>IF(ISNA(AI433),NA(),AI433+ROW()/10000000)</f>
        <v/>
      </c>
      <c r="AK433" s="605">
        <f>IF(AND(ISNUMBER($N433),$N433&gt;0,ISNUMBER($Y433)),$Y433/$N433,"")</f>
        <v/>
      </c>
    </row>
    <row r="434" ht="15" customHeight="1" s="545">
      <c r="A434" s="385" t="n">
        <v>8</v>
      </c>
      <c r="B434" s="605" t="n">
        <v>428</v>
      </c>
      <c r="C434" s="605" t="inlineStr">
        <is>
          <t>R0098140</t>
        </is>
      </c>
      <c r="D434" s="605" t="inlineStr">
        <is>
          <t>6443  DOWNING ST</t>
        </is>
      </c>
      <c r="E434" s="605" t="n">
        <v>406</v>
      </c>
      <c r="G434" s="605" t="inlineStr">
        <is>
          <t>5</t>
        </is>
      </c>
      <c r="H434" s="59">
        <f>Y434/J434</f>
        <v/>
      </c>
      <c r="I434" s="386" t="n">
        <v>43647</v>
      </c>
      <c r="J434" s="605" t="n">
        <v>7500</v>
      </c>
      <c r="L434" s="605" t="n">
        <v>7500</v>
      </c>
      <c r="M434" s="605" t="n">
        <v>1975</v>
      </c>
      <c r="P434" s="605" t="inlineStr">
        <is>
          <t>Industrial</t>
        </is>
      </c>
      <c r="R434" s="152" t="inlineStr">
        <is>
          <t>Average</t>
        </is>
      </c>
      <c r="S434" s="605" t="n">
        <v>17032</v>
      </c>
      <c r="T434" s="387">
        <f>S434/J434</f>
        <v/>
      </c>
      <c r="U434" s="605" t="inlineStr">
        <is>
          <t>Average</t>
        </is>
      </c>
      <c r="Y434" s="605" t="n">
        <v>1025000</v>
      </c>
      <c r="AA434" s="605" t="n">
        <v>1025000</v>
      </c>
      <c r="AC434" s="605" t="inlineStr">
        <is>
          <t>0182502306013</t>
        </is>
      </c>
      <c r="AD434" s="605" t="inlineStr">
        <is>
          <t>2019000051492</t>
        </is>
      </c>
      <c r="AE434" s="653" t="inlineStr">
        <is>
          <t>COSGROVE PROPERTIES LLC</t>
        </is>
      </c>
      <c r="AF434" s="653" t="inlineStr">
        <is>
          <t>BRAP AND BEANS LLC</t>
        </is>
      </c>
      <c r="AI434" s="605">
        <f>IF(AND($E434=Subj_OccCode,Subj_BldgSF&gt;0,ABS($L434-Subj_BldgSF)&lt;=Subj_BldgSF*Subj_SizeTol),ABS($L434-Subj_BldgSF),NA())</f>
        <v/>
      </c>
      <c r="AJ434">
        <f>IF(ISNA(AI434),NA(),AI434+ROW()/10000000)</f>
        <v/>
      </c>
      <c r="AK434" s="605">
        <f>IF(AND(ISNUMBER($N434),$N434&gt;0,ISNUMBER($Y434)),$Y434/$N434,"")</f>
        <v/>
      </c>
    </row>
    <row r="435" ht="15" customHeight="1" s="545">
      <c r="A435" s="385" t="n">
        <v>8</v>
      </c>
      <c r="B435" s="605" t="n">
        <v>429</v>
      </c>
      <c r="C435" s="605" t="inlineStr">
        <is>
          <t>R0103758</t>
        </is>
      </c>
      <c r="D435" s="605" t="inlineStr">
        <is>
          <t>5951  MARION DR</t>
        </is>
      </c>
      <c r="E435" s="605" t="n">
        <v>407</v>
      </c>
      <c r="G435" s="605" t="inlineStr">
        <is>
          <t>5</t>
        </is>
      </c>
      <c r="H435" s="59">
        <f>Y435/J435</f>
        <v/>
      </c>
      <c r="I435" s="386" t="n">
        <v>43725</v>
      </c>
      <c r="J435" s="605" t="n">
        <v>12000</v>
      </c>
      <c r="L435" s="605" t="n">
        <v>12000</v>
      </c>
      <c r="M435" s="605" t="n">
        <v>1979</v>
      </c>
      <c r="P435" s="605" t="inlineStr">
        <is>
          <t>Industrial</t>
        </is>
      </c>
      <c r="R435" s="152" t="inlineStr">
        <is>
          <t>Average</t>
        </is>
      </c>
      <c r="S435" s="605" t="n">
        <v>35292</v>
      </c>
      <c r="T435" s="387">
        <f>S435/J435</f>
        <v/>
      </c>
      <c r="U435" s="605" t="inlineStr">
        <is>
          <t>Average</t>
        </is>
      </c>
      <c r="Y435" s="605" t="n">
        <v>1700000</v>
      </c>
      <c r="AA435" s="605" t="n">
        <v>1700000</v>
      </c>
      <c r="AC435" s="605" t="inlineStr">
        <is>
          <t>0182511308016</t>
        </is>
      </c>
      <c r="AD435" s="605" t="inlineStr">
        <is>
          <t>2019000077671</t>
        </is>
      </c>
      <c r="AE435" s="653" t="inlineStr">
        <is>
          <t>ROCKINH INVESTMENTS LLC</t>
        </is>
      </c>
      <c r="AF435" s="653" t="inlineStr">
        <is>
          <t>JW HOLDINGS LLC</t>
        </is>
      </c>
      <c r="AI435" s="605">
        <f>IF(AND($E435=Subj_OccCode,Subj_BldgSF&gt;0,ABS($L435-Subj_BldgSF)&lt;=Subj_BldgSF*Subj_SizeTol),ABS($L435-Subj_BldgSF),NA())</f>
        <v/>
      </c>
      <c r="AJ435">
        <f>IF(ISNA(AI435),NA(),AI435+ROW()/10000000)</f>
        <v/>
      </c>
      <c r="AK435" s="605">
        <f>IF(AND(ISNUMBER($N435),$N435&gt;0,ISNUMBER($Y435)),$Y435/$N435,"")</f>
        <v/>
      </c>
    </row>
    <row r="436" ht="15" customHeight="1" s="545">
      <c r="A436" s="385" t="n">
        <v>8</v>
      </c>
      <c r="B436" s="605" t="n">
        <v>430</v>
      </c>
      <c r="C436" s="605" t="inlineStr">
        <is>
          <t>R0114338</t>
        </is>
      </c>
      <c r="D436" s="605" t="inlineStr">
        <is>
          <t>18875  BROMLEY ST</t>
        </is>
      </c>
      <c r="E436" s="605" t="n">
        <v>584</v>
      </c>
      <c r="F436" s="605" t="inlineStr">
        <is>
          <t>BRIGHTON</t>
        </is>
      </c>
      <c r="G436" s="605" t="inlineStr">
        <is>
          <t>2</t>
        </is>
      </c>
      <c r="H436" s="59">
        <f>Y436/J436</f>
        <v/>
      </c>
      <c r="I436" s="386" t="n">
        <v>43367</v>
      </c>
      <c r="J436" s="605" t="n">
        <v>1305700</v>
      </c>
      <c r="L436" s="605" t="n">
        <v>1305700</v>
      </c>
      <c r="M436" s="605" t="n">
        <v>1994</v>
      </c>
      <c r="P436" s="605" t="inlineStr">
        <is>
          <t>Brighton</t>
        </is>
      </c>
      <c r="R436" s="152" t="inlineStr">
        <is>
          <t>Average</t>
        </is>
      </c>
      <c r="S436" s="605" t="n">
        <v>4499970</v>
      </c>
      <c r="T436" s="387">
        <f>S436/J436</f>
        <v/>
      </c>
      <c r="U436" s="605" t="inlineStr">
        <is>
          <t>Average</t>
        </is>
      </c>
      <c r="Y436" s="605" t="n">
        <v>40750000</v>
      </c>
      <c r="AA436" s="605" t="n">
        <v>40750000</v>
      </c>
      <c r="AC436" s="605" t="inlineStr">
        <is>
          <t>0156900022003</t>
        </is>
      </c>
      <c r="AD436" s="605" t="inlineStr">
        <is>
          <t>2018000080179</t>
        </is>
      </c>
      <c r="AE436" s="653" t="inlineStr">
        <is>
          <t>BRIGHTON LEASE MANAGEMENT LLC, PROPERTY TAX COMPLIANCE</t>
        </is>
      </c>
      <c r="AF436" s="653" t="inlineStr">
        <is>
          <t>STARBOARD PLATFORM BRIGHTON JV LLC, C/O STARBOARD REALTY PARTNERS</t>
        </is>
      </c>
      <c r="AI436" s="605">
        <f>IF(AND($E436=Subj_OccCode,Subj_BldgSF&gt;0,ABS($L436-Subj_BldgSF)&lt;=Subj_BldgSF*Subj_SizeTol),ABS($L436-Subj_BldgSF),NA())</f>
        <v/>
      </c>
      <c r="AJ436">
        <f>IF(ISNA(AI436),NA(),AI436+ROW()/10000000)</f>
        <v/>
      </c>
      <c r="AK436" s="605">
        <f>IF(AND(ISNUMBER($N436),$N436&gt;0,ISNUMBER($Y436)),$Y436/$N436,"")</f>
        <v/>
      </c>
    </row>
    <row r="437" ht="15" customHeight="1" s="545">
      <c r="A437" s="385" t="n">
        <v>8</v>
      </c>
      <c r="B437" s="605" t="n">
        <v>431</v>
      </c>
      <c r="C437" s="605" t="inlineStr">
        <is>
          <t>R0086219</t>
        </is>
      </c>
      <c r="D437" s="605" t="inlineStr">
        <is>
          <t>17800 E 22ND AVE</t>
        </is>
      </c>
      <c r="E437" s="605" t="n">
        <v>407</v>
      </c>
      <c r="F437" s="605" t="inlineStr">
        <is>
          <t>AURORA</t>
        </is>
      </c>
      <c r="G437" s="605" t="inlineStr">
        <is>
          <t>6</t>
        </is>
      </c>
      <c r="H437" s="59">
        <f>Y437/J437</f>
        <v/>
      </c>
      <c r="I437" s="386" t="n">
        <v>43208</v>
      </c>
      <c r="J437" s="605" t="n">
        <v>18896</v>
      </c>
      <c r="L437" s="605" t="n">
        <v>18896</v>
      </c>
      <c r="M437" s="605" t="n">
        <v>2001</v>
      </c>
      <c r="P437" s="605" t="inlineStr">
        <is>
          <t>M-2</t>
        </is>
      </c>
      <c r="R437" s="152" t="inlineStr">
        <is>
          <t>Average</t>
        </is>
      </c>
      <c r="S437" s="605" t="n">
        <v>342817</v>
      </c>
      <c r="T437" s="387">
        <f>S437/J437</f>
        <v/>
      </c>
      <c r="U437" s="605" t="inlineStr">
        <is>
          <t>Good</t>
        </is>
      </c>
      <c r="Y437" s="605" t="n">
        <v>4300000</v>
      </c>
      <c r="AA437" s="605" t="n">
        <v>4300000</v>
      </c>
      <c r="AC437" s="605" t="inlineStr">
        <is>
          <t>0182133012002</t>
        </is>
      </c>
      <c r="AD437" s="605" t="inlineStr">
        <is>
          <t>2018000031201</t>
        </is>
      </c>
      <c r="AE437" s="653" t="inlineStr">
        <is>
          <t>LAYNE CHRISTENSEN COMPANY</t>
        </is>
      </c>
      <c r="AF437" s="653" t="inlineStr">
        <is>
          <t>WAGNER EQUIPMENT CO</t>
        </is>
      </c>
      <c r="AI437" s="605">
        <f>IF(AND($E437=Subj_OccCode,Subj_BldgSF&gt;0,ABS($L437-Subj_BldgSF)&lt;=Subj_BldgSF*Subj_SizeTol),ABS($L437-Subj_BldgSF),NA())</f>
        <v/>
      </c>
      <c r="AJ437">
        <f>IF(ISNA(AI437),NA(),AI437+ROW()/10000000)</f>
        <v/>
      </c>
      <c r="AK437" s="605">
        <f>IF(AND(ISNUMBER($N437),$N437&gt;0,ISNUMBER($Y437)),$Y437/$N437,"")</f>
        <v/>
      </c>
    </row>
    <row r="438" ht="15" customHeight="1" s="545">
      <c r="A438" s="385" t="n">
        <v>8</v>
      </c>
      <c r="B438" s="605" t="n">
        <v>432</v>
      </c>
      <c r="C438" s="605" t="inlineStr">
        <is>
          <t>R0124581</t>
        </is>
      </c>
      <c r="D438" s="605" t="inlineStr">
        <is>
          <t>11152  HURON ST #205</t>
        </is>
      </c>
      <c r="E438" s="605" t="n">
        <v>344</v>
      </c>
      <c r="F438" s="605" t="inlineStr">
        <is>
          <t>NORTHGLENN</t>
        </is>
      </c>
      <c r="G438" s="605" t="inlineStr">
        <is>
          <t>4</t>
        </is>
      </c>
      <c r="H438" s="59">
        <f>Y438/J438</f>
        <v/>
      </c>
      <c r="I438" s="386" t="n">
        <v>44147</v>
      </c>
      <c r="J438" s="605" t="n">
        <v>1343</v>
      </c>
      <c r="L438" s="605" t="n">
        <v>1343</v>
      </c>
      <c r="M438" s="605" t="n">
        <v>2000</v>
      </c>
      <c r="P438" s="605" t="inlineStr">
        <is>
          <t>C-0-Nor</t>
        </is>
      </c>
      <c r="R438" s="152" t="inlineStr">
        <is>
          <t>Good</t>
        </is>
      </c>
      <c r="S438" s="605" t="n">
        <v>3100</v>
      </c>
      <c r="T438" s="387">
        <f>S438/J438</f>
        <v/>
      </c>
      <c r="U438" s="605" t="inlineStr">
        <is>
          <t>Good</t>
        </is>
      </c>
      <c r="Y438" s="605" t="n">
        <v>228000</v>
      </c>
      <c r="AA438" s="605" t="n">
        <v>228000</v>
      </c>
      <c r="AC438" s="605" t="inlineStr">
        <is>
          <t>0171910205041</t>
        </is>
      </c>
      <c r="AD438" s="605" t="inlineStr">
        <is>
          <t>2020000122738</t>
        </is>
      </c>
      <c r="AE438" s="653" t="inlineStr">
        <is>
          <t>PACER HOLDINGS LLC</t>
        </is>
      </c>
      <c r="AF438" s="653" t="inlineStr">
        <is>
          <t>TRUMBLE THOM</t>
        </is>
      </c>
      <c r="AI438" s="605">
        <f>IF(AND($E438=Subj_OccCode,Subj_BldgSF&gt;0,ABS($L438-Subj_BldgSF)&lt;=Subj_BldgSF*Subj_SizeTol),ABS($L438-Subj_BldgSF),NA())</f>
        <v/>
      </c>
      <c r="AJ438">
        <f>IF(ISNA(AI438),NA(),AI438+ROW()/10000000)</f>
        <v/>
      </c>
      <c r="AK438" s="605">
        <f>IF(AND(ISNUMBER($N438),$N438&gt;0,ISNUMBER($Y438)),$Y438/$N438,"")</f>
        <v/>
      </c>
    </row>
    <row r="439" ht="15" customHeight="1" s="545">
      <c r="A439" s="385" t="n">
        <v>8</v>
      </c>
      <c r="B439" s="605" t="n">
        <v>433</v>
      </c>
      <c r="C439" s="605" t="inlineStr">
        <is>
          <t>R0024110</t>
        </is>
      </c>
      <c r="D439" s="605" t="inlineStr">
        <is>
          <t>12195  MARIPOSA ST</t>
        </is>
      </c>
      <c r="E439" s="605" t="n">
        <v>344</v>
      </c>
      <c r="F439" s="605" t="inlineStr">
        <is>
          <t>WESTMINSTER</t>
        </is>
      </c>
      <c r="G439" s="605" t="inlineStr">
        <is>
          <t>3</t>
        </is>
      </c>
      <c r="H439" s="59">
        <f>Y439/J439</f>
        <v/>
      </c>
      <c r="I439" s="386" t="n">
        <v>44742</v>
      </c>
      <c r="J439" s="605" t="n">
        <v>23683</v>
      </c>
      <c r="L439" s="605" t="n">
        <v>23683</v>
      </c>
      <c r="M439" s="605" t="n">
        <v>1989</v>
      </c>
      <c r="P439" s="605" t="inlineStr">
        <is>
          <t>PUD-Wes</t>
        </is>
      </c>
      <c r="R439" s="152" t="inlineStr">
        <is>
          <t>Average</t>
        </is>
      </c>
      <c r="S439" s="605" t="n">
        <v>97650</v>
      </c>
      <c r="T439" s="387">
        <f>S439/J439</f>
        <v/>
      </c>
      <c r="U439" s="605" t="inlineStr">
        <is>
          <t>Average</t>
        </is>
      </c>
      <c r="Y439" s="605" t="n">
        <v>3500000</v>
      </c>
      <c r="AA439" s="605" t="n">
        <v>3500000</v>
      </c>
      <c r="AC439" s="605" t="inlineStr">
        <is>
          <t>0157333008008</t>
        </is>
      </c>
      <c r="AD439" s="605" t="inlineStr">
        <is>
          <t>2022000073668</t>
        </is>
      </c>
      <c r="AE439" s="653" t="inlineStr">
        <is>
          <t>JOHNSTOWN FEED &amp; SEED INC.</t>
        </is>
      </c>
      <c r="AF439" s="653" t="inlineStr">
        <is>
          <t>J&amp;E ENTERPRISE LLC</t>
        </is>
      </c>
      <c r="AI439" s="605">
        <f>IF(AND($E439=Subj_OccCode,Subj_BldgSF&gt;0,ABS($L439-Subj_BldgSF)&lt;=Subj_BldgSF*Subj_SizeTol),ABS($L439-Subj_BldgSF),NA())</f>
        <v/>
      </c>
      <c r="AJ439">
        <f>IF(ISNA(AI439),NA(),AI439+ROW()/10000000)</f>
        <v/>
      </c>
      <c r="AK439" s="605">
        <f>IF(AND(ISNUMBER($N439),$N439&gt;0,ISNUMBER($Y439)),$Y439/$N439,"")</f>
        <v/>
      </c>
    </row>
    <row r="440" ht="15" customHeight="1" s="545">
      <c r="A440" s="385" t="n">
        <v>8</v>
      </c>
      <c r="B440" s="605" t="n">
        <v>434</v>
      </c>
      <c r="C440" s="605" t="inlineStr">
        <is>
          <t>R0100833</t>
        </is>
      </c>
      <c r="D440" s="605" t="inlineStr">
        <is>
          <t>3750 W 72ND AVE</t>
        </is>
      </c>
      <c r="E440" s="605" t="n">
        <v>325</v>
      </c>
      <c r="F440" s="605" t="inlineStr">
        <is>
          <t>WESTMINSTER</t>
        </is>
      </c>
      <c r="G440" s="605" t="inlineStr">
        <is>
          <t>4</t>
        </is>
      </c>
      <c r="H440" s="59">
        <f>Y440/J440</f>
        <v/>
      </c>
      <c r="I440" s="386" t="n">
        <v>43230</v>
      </c>
      <c r="J440" s="605" t="n">
        <v>2672</v>
      </c>
      <c r="L440" s="605" t="n">
        <v>2672</v>
      </c>
      <c r="M440" s="605" t="n">
        <v>1927</v>
      </c>
      <c r="P440" s="605" t="inlineStr">
        <is>
          <t>M-1-Wes</t>
        </is>
      </c>
      <c r="R440" s="152" t="inlineStr">
        <is>
          <t>Average</t>
        </is>
      </c>
      <c r="S440" s="605" t="n">
        <v>15682</v>
      </c>
      <c r="T440" s="387">
        <f>S440/J440</f>
        <v/>
      </c>
      <c r="U440" s="605" t="inlineStr">
        <is>
          <t>Average</t>
        </is>
      </c>
      <c r="Y440" s="605" t="n">
        <v>460000</v>
      </c>
      <c r="AA440" s="605" t="n">
        <v>460000</v>
      </c>
      <c r="AC440" s="605" t="inlineStr">
        <is>
          <t>0182506100016</t>
        </is>
      </c>
      <c r="AD440" s="605" t="inlineStr">
        <is>
          <t>2018000038196</t>
        </is>
      </c>
      <c r="AE440" s="653" t="inlineStr">
        <is>
          <t>RONALD HAGERDON LLC</t>
        </is>
      </c>
      <c r="AF440" s="653" t="inlineStr">
        <is>
          <t>M &amp; R BUILDING MANAGEMENT LLC</t>
        </is>
      </c>
      <c r="AI440" s="605">
        <f>IF(AND($E440=Subj_OccCode,Subj_BldgSF&gt;0,ABS($L440-Subj_BldgSF)&lt;=Subj_BldgSF*Subj_SizeTol),ABS($L440-Subj_BldgSF),NA())</f>
        <v/>
      </c>
      <c r="AJ440">
        <f>IF(ISNA(AI440),NA(),AI440+ROW()/10000000)</f>
        <v/>
      </c>
      <c r="AK440" s="605">
        <f>IF(AND(ISNUMBER($N440),$N440&gt;0,ISNUMBER($Y440)),$Y440/$N440,"")</f>
        <v/>
      </c>
    </row>
    <row r="441" ht="15" customHeight="1" s="545">
      <c r="A441" s="385" t="n">
        <v>8</v>
      </c>
      <c r="B441" s="605" t="n">
        <v>435</v>
      </c>
      <c r="C441" s="605" t="inlineStr">
        <is>
          <t>R0024109</t>
        </is>
      </c>
      <c r="D441" s="605" t="inlineStr">
        <is>
          <t>1400 W 122ND AVE</t>
        </is>
      </c>
      <c r="E441" s="605" t="n">
        <v>344</v>
      </c>
      <c r="F441" s="605" t="inlineStr">
        <is>
          <t>WESTMINSTER</t>
        </is>
      </c>
      <c r="G441" s="605" t="inlineStr">
        <is>
          <t>3</t>
        </is>
      </c>
      <c r="H441" s="59">
        <f>Y441/J441</f>
        <v/>
      </c>
      <c r="I441" s="386" t="n">
        <v>44039</v>
      </c>
      <c r="J441" s="605" t="n">
        <v>31272</v>
      </c>
      <c r="L441" s="605" t="n">
        <v>31272</v>
      </c>
      <c r="M441" s="605" t="n">
        <v>1985</v>
      </c>
      <c r="P441" s="605" t="inlineStr">
        <is>
          <t>PUD-Wes</t>
        </is>
      </c>
      <c r="R441" s="152" t="inlineStr">
        <is>
          <t>Average</t>
        </is>
      </c>
      <c r="S441" s="605" t="n">
        <v>80600</v>
      </c>
      <c r="T441" s="387">
        <f>S441/J441</f>
        <v/>
      </c>
      <c r="U441" s="605" t="inlineStr">
        <is>
          <t>Average</t>
        </is>
      </c>
      <c r="Y441" s="605" t="n">
        <v>5375000</v>
      </c>
      <c r="AA441" s="605" t="n">
        <v>5375000</v>
      </c>
      <c r="AC441" s="605" t="inlineStr">
        <is>
          <t>0157333008007</t>
        </is>
      </c>
      <c r="AD441" s="605" t="inlineStr">
        <is>
          <t>2020000072205</t>
        </is>
      </c>
      <c r="AE441" s="653" t="inlineStr">
        <is>
          <t>PAVILION COURT LLC</t>
        </is>
      </c>
      <c r="AF441" s="653" t="inlineStr">
        <is>
          <t>ARTEMIS HOLDINGS LIMITED</t>
        </is>
      </c>
      <c r="AI441" s="605">
        <f>IF(AND($E441=Subj_OccCode,Subj_BldgSF&gt;0,ABS($L441-Subj_BldgSF)&lt;=Subj_BldgSF*Subj_SizeTol),ABS($L441-Subj_BldgSF),NA())</f>
        <v/>
      </c>
      <c r="AJ441">
        <f>IF(ISNA(AI441),NA(),AI441+ROW()/10000000)</f>
        <v/>
      </c>
      <c r="AK441" s="605">
        <f>IF(AND(ISNUMBER($N441),$N441&gt;0,ISNUMBER($Y441)),$Y441/$N441,"")</f>
        <v/>
      </c>
    </row>
    <row r="442" ht="15" customHeight="1" s="545">
      <c r="A442" s="385" t="n">
        <v>8</v>
      </c>
      <c r="B442" s="605" t="n">
        <v>436</v>
      </c>
      <c r="C442" s="605" t="inlineStr">
        <is>
          <t>R0093874</t>
        </is>
      </c>
      <c r="D442" s="605" t="inlineStr">
        <is>
          <t>3313  MOLINE ST</t>
        </is>
      </c>
      <c r="E442" s="605" t="n">
        <v>339</v>
      </c>
      <c r="F442" s="605" t="inlineStr">
        <is>
          <t>AURORA</t>
        </is>
      </c>
      <c r="G442" s="605" t="inlineStr">
        <is>
          <t>6</t>
        </is>
      </c>
      <c r="H442" s="59">
        <f>Y442/J442</f>
        <v/>
      </c>
      <c r="I442" s="386" t="n">
        <v>44216</v>
      </c>
      <c r="J442" s="605" t="n">
        <v>14440</v>
      </c>
      <c r="L442" s="605" t="n">
        <v>14440</v>
      </c>
      <c r="M442" s="605" t="n">
        <v>1977</v>
      </c>
      <c r="P442" s="605" t="inlineStr">
        <is>
          <t>M-3</t>
        </is>
      </c>
      <c r="R442" s="152" t="inlineStr">
        <is>
          <t>Average</t>
        </is>
      </c>
      <c r="S442" s="605" t="n">
        <v>91040</v>
      </c>
      <c r="T442" s="387">
        <f>S442/J442</f>
        <v/>
      </c>
      <c r="U442" s="605" t="inlineStr">
        <is>
          <t>Average</t>
        </is>
      </c>
      <c r="Y442" s="605" t="n">
        <v>2700000</v>
      </c>
      <c r="AA442" s="605" t="n">
        <v>2700000</v>
      </c>
      <c r="AC442" s="605" t="inlineStr">
        <is>
          <t>0182326101024</t>
        </is>
      </c>
      <c r="AD442" s="605" t="inlineStr">
        <is>
          <t>2021000008532</t>
        </is>
      </c>
      <c r="AE442" s="653" t="inlineStr">
        <is>
          <t>3313 MOLINE STREET LLC</t>
        </is>
      </c>
      <c r="AF442" s="653" t="inlineStr">
        <is>
          <t>3313 MOLINE LLC, C/O GCRE MANAGMENT LLC</t>
        </is>
      </c>
      <c r="AI442" s="605">
        <f>IF(AND($E442=Subj_OccCode,Subj_BldgSF&gt;0,ABS($L442-Subj_BldgSF)&lt;=Subj_BldgSF*Subj_SizeTol),ABS($L442-Subj_BldgSF),NA())</f>
        <v/>
      </c>
      <c r="AJ442">
        <f>IF(ISNA(AI442),NA(),AI442+ROW()/10000000)</f>
        <v/>
      </c>
      <c r="AK442" s="605">
        <f>IF(AND(ISNUMBER($N442),$N442&gt;0,ISNUMBER($Y442)),$Y442/$N442,"")</f>
        <v/>
      </c>
    </row>
    <row r="443" ht="15" customHeight="1" s="545">
      <c r="A443" s="385" t="n">
        <v>8</v>
      </c>
      <c r="B443" s="605" t="n">
        <v>437</v>
      </c>
      <c r="C443" s="605" t="inlineStr">
        <is>
          <t>R0082086</t>
        </is>
      </c>
      <c r="D443" s="605" t="inlineStr">
        <is>
          <t>56951 E COLFAX AVE</t>
        </is>
      </c>
      <c r="E443" s="605" t="n">
        <v>353</v>
      </c>
      <c r="F443" s="605" t="inlineStr">
        <is>
          <t>STRASBURG</t>
        </is>
      </c>
      <c r="G443" s="605" t="inlineStr">
        <is>
          <t>1</t>
        </is>
      </c>
      <c r="H443" s="59">
        <f>Y443/J443</f>
        <v/>
      </c>
      <c r="I443" s="386" t="n">
        <v>43479</v>
      </c>
      <c r="J443" s="605" t="n">
        <v>9100</v>
      </c>
      <c r="L443" s="605" t="n">
        <v>9100</v>
      </c>
      <c r="M443" s="605" t="n">
        <v>2018</v>
      </c>
      <c r="P443" s="605" t="inlineStr">
        <is>
          <t>Agricultural</t>
        </is>
      </c>
      <c r="R443" s="152" t="inlineStr">
        <is>
          <t>Average</t>
        </is>
      </c>
      <c r="S443" s="605" t="n">
        <v>55921</v>
      </c>
      <c r="T443" s="387">
        <f>S443/J443</f>
        <v/>
      </c>
      <c r="U443" s="605" t="inlineStr">
        <is>
          <t>Average</t>
        </is>
      </c>
      <c r="Y443" s="605" t="n">
        <v>1700000</v>
      </c>
      <c r="AA443" s="605" t="n">
        <v>1700000</v>
      </c>
      <c r="AC443" s="605" t="inlineStr">
        <is>
          <t>0181334300009</t>
        </is>
      </c>
      <c r="AD443" s="605" t="inlineStr">
        <is>
          <t>2019000003891</t>
        </is>
      </c>
      <c r="AE443" s="653" t="inlineStr">
        <is>
          <t>VAQUERO STRASBURG PARTNERS LP</t>
        </is>
      </c>
      <c r="AF443" s="653" t="inlineStr">
        <is>
          <t>JH DG 1 LLC</t>
        </is>
      </c>
      <c r="AI443" s="605">
        <f>IF(AND($E443=Subj_OccCode,Subj_BldgSF&gt;0,ABS($L443-Subj_BldgSF)&lt;=Subj_BldgSF*Subj_SizeTol),ABS($L443-Subj_BldgSF),NA())</f>
        <v/>
      </c>
      <c r="AJ443">
        <f>IF(ISNA(AI443),NA(),AI443+ROW()/10000000)</f>
        <v/>
      </c>
      <c r="AK443" s="605">
        <f>IF(AND(ISNUMBER($N443),$N443&gt;0,ISNUMBER($Y443)),$Y443/$N443,"")</f>
        <v/>
      </c>
    </row>
    <row r="444" ht="15" customHeight="1" s="545">
      <c r="A444" s="385" t="n">
        <v>8</v>
      </c>
      <c r="B444" s="605" t="n">
        <v>438</v>
      </c>
      <c r="C444" s="605" t="inlineStr">
        <is>
          <t>R0161448</t>
        </is>
      </c>
      <c r="D444" s="605" t="inlineStr">
        <is>
          <t>16395  WASHINGTON ST</t>
        </is>
      </c>
      <c r="E444" s="605" t="n">
        <v>319</v>
      </c>
      <c r="F444" s="605" t="inlineStr">
        <is>
          <t>THORNTON</t>
        </is>
      </c>
      <c r="G444" s="605" t="inlineStr">
        <is>
          <t>3</t>
        </is>
      </c>
      <c r="H444" s="59">
        <f>Y444/J444</f>
        <v/>
      </c>
      <c r="I444" s="386" t="n">
        <v>44589</v>
      </c>
      <c r="J444" s="605" t="n">
        <v>180159</v>
      </c>
      <c r="L444" s="605" t="n">
        <v>180159</v>
      </c>
      <c r="M444" s="605" t="n">
        <v>2005</v>
      </c>
      <c r="P444" s="605" t="inlineStr">
        <is>
          <t>Regional Commercial</t>
        </is>
      </c>
      <c r="R444" s="152" t="inlineStr">
        <is>
          <t>Average</t>
        </is>
      </c>
      <c r="S444" s="605" t="n">
        <v>718914</v>
      </c>
      <c r="T444" s="387">
        <f>S444/J444</f>
        <v/>
      </c>
      <c r="U444" s="605" t="inlineStr">
        <is>
          <t>Average</t>
        </is>
      </c>
      <c r="Y444" s="605" t="n">
        <v>13000000</v>
      </c>
      <c r="AA444" s="605" t="n">
        <v>13000000</v>
      </c>
      <c r="AC444" s="605" t="inlineStr">
        <is>
          <t>0157303101002</t>
        </is>
      </c>
      <c r="AD444" s="605" t="inlineStr">
        <is>
          <t>2022000010328</t>
        </is>
      </c>
      <c r="AE444" s="653" t="inlineStr">
        <is>
          <t>TF THORNTON CO LLC</t>
        </is>
      </c>
      <c r="AF444" s="653" t="inlineStr">
        <is>
          <t>16395 WASHINGTON ST LLC</t>
        </is>
      </c>
      <c r="AI444" s="605">
        <f>IF(AND($E444=Subj_OccCode,Subj_BldgSF&gt;0,ABS($L444-Subj_BldgSF)&lt;=Subj_BldgSF*Subj_SizeTol),ABS($L444-Subj_BldgSF),NA())</f>
        <v/>
      </c>
      <c r="AJ444">
        <f>IF(ISNA(AI444),NA(),AI444+ROW()/10000000)</f>
        <v/>
      </c>
      <c r="AK444" s="605">
        <f>IF(AND(ISNUMBER($N444),$N444&gt;0,ISNUMBER($Y444)),$Y444/$N444,"")</f>
        <v/>
      </c>
    </row>
    <row r="445" ht="15" customHeight="1" s="545">
      <c r="A445" s="385" t="n">
        <v>8</v>
      </c>
      <c r="B445" s="605" t="n">
        <v>439</v>
      </c>
      <c r="C445" s="605" t="inlineStr">
        <is>
          <t>R0048726</t>
        </is>
      </c>
      <c r="D445" s="605" t="inlineStr">
        <is>
          <t>2901 W 92ND AVE</t>
        </is>
      </c>
      <c r="E445" s="605" t="n">
        <v>325</v>
      </c>
      <c r="F445" s="605" t="inlineStr">
        <is>
          <t>FEDERAL HEIGHTS</t>
        </is>
      </c>
      <c r="G445" s="605" t="inlineStr">
        <is>
          <t>4</t>
        </is>
      </c>
      <c r="H445" s="59">
        <f>Y445/J445</f>
        <v/>
      </c>
      <c r="I445" s="386" t="n">
        <v>43179</v>
      </c>
      <c r="J445" s="605" t="n">
        <v>5400</v>
      </c>
      <c r="L445" s="605" t="n">
        <v>5400</v>
      </c>
      <c r="M445" s="605" t="n">
        <v>1985</v>
      </c>
      <c r="P445" s="605" t="inlineStr">
        <is>
          <t>Federal Heights</t>
        </is>
      </c>
      <c r="R445" s="152" t="inlineStr">
        <is>
          <t>Average</t>
        </is>
      </c>
      <c r="S445" s="605" t="n">
        <v>19293</v>
      </c>
      <c r="T445" s="387">
        <f>S445/J445</f>
        <v/>
      </c>
      <c r="U445" s="605" t="inlineStr">
        <is>
          <t>Average</t>
        </is>
      </c>
      <c r="Y445" s="605" t="n">
        <v>780000</v>
      </c>
      <c r="AA445" s="605" t="n">
        <v>780000</v>
      </c>
      <c r="AC445" s="605" t="inlineStr">
        <is>
          <t>0171920102030</t>
        </is>
      </c>
      <c r="AD445" s="605" t="inlineStr">
        <is>
          <t>2018000022792</t>
        </is>
      </c>
      <c r="AE445" s="653" t="inlineStr">
        <is>
          <t>WENZEL DANIEL D AND, WENZEL JUDITH G</t>
        </is>
      </c>
      <c r="AF445" s="653" t="inlineStr">
        <is>
          <t>COLORADO BD AUTO CARE LLC</t>
        </is>
      </c>
      <c r="AI445" s="605">
        <f>IF(AND($E445=Subj_OccCode,Subj_BldgSF&gt;0,ABS($L445-Subj_BldgSF)&lt;=Subj_BldgSF*Subj_SizeTol),ABS($L445-Subj_BldgSF),NA())</f>
        <v/>
      </c>
      <c r="AJ445">
        <f>IF(ISNA(AI445),NA(),AI445+ROW()/10000000)</f>
        <v/>
      </c>
      <c r="AK445" s="605">
        <f>IF(AND(ISNUMBER($N445),$N445&gt;0,ISNUMBER($Y445)),$Y445/$N445,"")</f>
        <v/>
      </c>
    </row>
    <row r="446" ht="15" customHeight="1" s="545">
      <c r="A446" s="385" t="n">
        <v>8</v>
      </c>
      <c r="B446" s="605" t="n">
        <v>440</v>
      </c>
      <c r="C446" s="605" t="inlineStr">
        <is>
          <t>R0062925</t>
        </is>
      </c>
      <c r="D446" s="605" t="inlineStr">
        <is>
          <t>8791  WOLFF CT</t>
        </is>
      </c>
      <c r="E446" s="605" t="n">
        <v>344</v>
      </c>
      <c r="F446" s="605" t="inlineStr">
        <is>
          <t>WESTMINSTER</t>
        </is>
      </c>
      <c r="G446" s="605" t="inlineStr">
        <is>
          <t>4</t>
        </is>
      </c>
      <c r="H446" s="59">
        <f>Y446/J446</f>
        <v/>
      </c>
      <c r="I446" s="386" t="n">
        <v>44082</v>
      </c>
      <c r="J446" s="605" t="n">
        <v>10774</v>
      </c>
      <c r="L446" s="605" t="n">
        <v>10774</v>
      </c>
      <c r="M446" s="605" t="n">
        <v>1984</v>
      </c>
      <c r="P446" s="605" t="inlineStr">
        <is>
          <t>PUD-Wes</t>
        </is>
      </c>
      <c r="R446" s="152" t="inlineStr">
        <is>
          <t>Average</t>
        </is>
      </c>
      <c r="S446" s="605" t="n">
        <v>3842</v>
      </c>
      <c r="T446" s="387">
        <f>S446/J446</f>
        <v/>
      </c>
      <c r="U446" s="605" t="inlineStr">
        <is>
          <t>Average</t>
        </is>
      </c>
      <c r="Y446" s="605" t="n">
        <v>270000</v>
      </c>
      <c r="AA446" s="605" t="n">
        <v>270000</v>
      </c>
      <c r="AC446" s="605" t="inlineStr">
        <is>
          <t>0171930218020</t>
        </is>
      </c>
      <c r="AD446" s="605" t="inlineStr">
        <is>
          <t>2020000091290</t>
        </is>
      </c>
      <c r="AE446" s="653" t="inlineStr">
        <is>
          <t>GREEN ELEPHANT LLC THE</t>
        </is>
      </c>
      <c r="AF446" s="653" t="inlineStr">
        <is>
          <t>AVERY INVESTMENTS LLC</t>
        </is>
      </c>
      <c r="AI446" s="605">
        <f>IF(AND($E446=Subj_OccCode,Subj_BldgSF&gt;0,ABS($L446-Subj_BldgSF)&lt;=Subj_BldgSF*Subj_SizeTol),ABS($L446-Subj_BldgSF),NA())</f>
        <v/>
      </c>
      <c r="AJ446">
        <f>IF(ISNA(AI446),NA(),AI446+ROW()/10000000)</f>
        <v/>
      </c>
      <c r="AK446" s="605">
        <f>IF(AND(ISNUMBER($N446),$N446&gt;0,ISNUMBER($Y446)),$Y446/$N446,"")</f>
        <v/>
      </c>
    </row>
    <row r="447" ht="15" customHeight="1" s="545">
      <c r="A447" s="385" t="n">
        <v>8</v>
      </c>
      <c r="B447" s="605" t="n">
        <v>441</v>
      </c>
      <c r="C447" s="605" t="inlineStr">
        <is>
          <t>R0142135</t>
        </is>
      </c>
      <c r="D447" s="605" t="inlineStr">
        <is>
          <t>21250 E 36TH DR</t>
        </is>
      </c>
      <c r="E447" s="605" t="n">
        <v>584</v>
      </c>
      <c r="F447" s="605" t="inlineStr">
        <is>
          <t>AURORA</t>
        </is>
      </c>
      <c r="G447" s="605" t="inlineStr">
        <is>
          <t>6</t>
        </is>
      </c>
      <c r="H447" s="59">
        <f>Y447/J447</f>
        <v/>
      </c>
      <c r="I447" s="386" t="n">
        <v>43200</v>
      </c>
      <c r="J447" s="605" t="n">
        <v>262620</v>
      </c>
      <c r="L447" s="605" t="n">
        <v>262620</v>
      </c>
      <c r="M447" s="605" t="n">
        <v>2002</v>
      </c>
      <c r="R447" s="152" t="inlineStr">
        <is>
          <t>Average</t>
        </is>
      </c>
      <c r="S447" s="605" t="n">
        <v>700880.4</v>
      </c>
      <c r="T447" s="387">
        <f>S447/J447</f>
        <v/>
      </c>
      <c r="U447" s="605" t="inlineStr">
        <is>
          <t>Average</t>
        </is>
      </c>
      <c r="Y447" s="605" t="n">
        <v>21400000</v>
      </c>
      <c r="AA447" s="605" t="n">
        <v>21400000</v>
      </c>
      <c r="AC447" s="605" t="inlineStr">
        <is>
          <t>0182126101001</t>
        </is>
      </c>
      <c r="AD447" s="605" t="inlineStr">
        <is>
          <t>2018000034023</t>
        </is>
      </c>
      <c r="AE447" s="653" t="inlineStr">
        <is>
          <t>EXETER 21250 EAST 36TH LLC</t>
        </is>
      </c>
      <c r="AF447" s="653" t="inlineStr">
        <is>
          <t>THOMSON LOGISTICS ASSETS LLC, C/O CORPORATION SERVICE</t>
        </is>
      </c>
      <c r="AI447" s="605">
        <f>IF(AND($E447=Subj_OccCode,Subj_BldgSF&gt;0,ABS($L447-Subj_BldgSF)&lt;=Subj_BldgSF*Subj_SizeTol),ABS($L447-Subj_BldgSF),NA())</f>
        <v/>
      </c>
      <c r="AJ447">
        <f>IF(ISNA(AI447),NA(),AI447+ROW()/10000000)</f>
        <v/>
      </c>
      <c r="AK447" s="605">
        <f>IF(AND(ISNUMBER($N447),$N447&gt;0,ISNUMBER($Y447)),$Y447/$N447,"")</f>
        <v/>
      </c>
    </row>
    <row r="448" ht="15" customHeight="1" s="545">
      <c r="A448" s="385" t="n">
        <v>8</v>
      </c>
      <c r="B448" s="605" t="n">
        <v>442</v>
      </c>
      <c r="C448" s="605" t="inlineStr">
        <is>
          <t>R0081742</t>
        </is>
      </c>
      <c r="D448" s="605" t="inlineStr">
        <is>
          <t>1853  MONROE ST</t>
        </is>
      </c>
      <c r="E448" s="605" t="n">
        <v>426</v>
      </c>
      <c r="G448" s="605" t="inlineStr">
        <is>
          <t>1</t>
        </is>
      </c>
      <c r="H448" s="59">
        <f>Y448/J448</f>
        <v/>
      </c>
      <c r="I448" s="386" t="n">
        <v>43116</v>
      </c>
      <c r="J448" s="605" t="n">
        <v>2952</v>
      </c>
      <c r="L448" s="605" t="n">
        <v>2952</v>
      </c>
      <c r="M448" s="605" t="n">
        <v>1949</v>
      </c>
      <c r="P448" s="605" t="inlineStr">
        <is>
          <t>Residential</t>
        </is>
      </c>
      <c r="R448" s="152" t="inlineStr">
        <is>
          <t>Average</t>
        </is>
      </c>
      <c r="S448" s="605" t="n">
        <v>33660</v>
      </c>
      <c r="T448" s="387">
        <f>S448/J448</f>
        <v/>
      </c>
      <c r="U448" s="605" t="inlineStr">
        <is>
          <t>Average</t>
        </is>
      </c>
      <c r="Y448" s="605" t="n">
        <v>350000</v>
      </c>
      <c r="AA448" s="605" t="n">
        <v>350000</v>
      </c>
      <c r="AC448" s="605" t="inlineStr">
        <is>
          <t>0181333400011</t>
        </is>
      </c>
      <c r="AD448" s="605" t="inlineStr">
        <is>
          <t>2018000011536</t>
        </is>
      </c>
      <c r="AE448" s="653" t="inlineStr">
        <is>
          <t>BEAN BEVERLY A</t>
        </is>
      </c>
      <c r="AF448" s="653" t="inlineStr">
        <is>
          <t>JOSEPH SUMIT</t>
        </is>
      </c>
      <c r="AI448" s="605">
        <f>IF(AND($E448=Subj_OccCode,Subj_BldgSF&gt;0,ABS($L448-Subj_BldgSF)&lt;=Subj_BldgSF*Subj_SizeTol),ABS($L448-Subj_BldgSF),NA())</f>
        <v/>
      </c>
      <c r="AJ448">
        <f>IF(ISNA(AI448),NA(),AI448+ROW()/10000000)</f>
        <v/>
      </c>
      <c r="AK448" s="605">
        <f>IF(AND(ISNUMBER($N448),$N448&gt;0,ISNUMBER($Y448)),$Y448/$N448,"")</f>
        <v/>
      </c>
    </row>
    <row r="449" ht="15" customHeight="1" s="545">
      <c r="A449" s="385" t="n">
        <v>8</v>
      </c>
      <c r="B449" s="605" t="n">
        <v>443</v>
      </c>
      <c r="C449" s="605" t="inlineStr">
        <is>
          <t>R0152796</t>
        </is>
      </c>
      <c r="D449" s="605" t="inlineStr">
        <is>
          <t>2525 W 92ND AVE</t>
        </is>
      </c>
      <c r="E449" s="605" t="n">
        <v>353</v>
      </c>
      <c r="F449" s="605" t="inlineStr">
        <is>
          <t>FEDERAL HEIGHTS</t>
        </is>
      </c>
      <c r="G449" s="605" t="inlineStr">
        <is>
          <t>4</t>
        </is>
      </c>
      <c r="H449" s="59">
        <f>Y449/J449</f>
        <v/>
      </c>
      <c r="I449" s="386" t="n">
        <v>44519</v>
      </c>
      <c r="J449" s="605" t="n">
        <v>6928</v>
      </c>
      <c r="L449" s="605" t="n">
        <v>6928</v>
      </c>
      <c r="M449" s="605" t="n">
        <v>2003</v>
      </c>
      <c r="P449" s="605" t="inlineStr">
        <is>
          <t>C-1-Fed</t>
        </is>
      </c>
      <c r="R449" s="152" t="inlineStr">
        <is>
          <t>Average</t>
        </is>
      </c>
      <c r="S449" s="605" t="n">
        <v>60968</v>
      </c>
      <c r="T449" s="387">
        <f>S449/J449</f>
        <v/>
      </c>
      <c r="U449" s="605" t="inlineStr">
        <is>
          <t>Good</t>
        </is>
      </c>
      <c r="Y449" s="605" t="n">
        <v>1900000</v>
      </c>
      <c r="AA449" s="605" t="n">
        <v>1900000</v>
      </c>
      <c r="AC449" s="605" t="inlineStr">
        <is>
          <t>0171920104013</t>
        </is>
      </c>
      <c r="AD449" s="605" t="inlineStr">
        <is>
          <t>2021000136577</t>
        </is>
      </c>
      <c r="AE449" s="653" t="inlineStr">
        <is>
          <t>BONE WILLIAM J JR/WENONA C TRUSTEES, BONE FAMILY TRUST U D T THE</t>
        </is>
      </c>
      <c r="AF449" s="653" t="inlineStr">
        <is>
          <t>120 HOLDINGS LLC UND INT 5.367%  ET AL</t>
        </is>
      </c>
      <c r="AI449" s="605">
        <f>IF(AND($E449=Subj_OccCode,Subj_BldgSF&gt;0,ABS($L449-Subj_BldgSF)&lt;=Subj_BldgSF*Subj_SizeTol),ABS($L449-Subj_BldgSF),NA())</f>
        <v/>
      </c>
      <c r="AJ449">
        <f>IF(ISNA(AI449),NA(),AI449+ROW()/10000000)</f>
        <v/>
      </c>
      <c r="AK449" s="605">
        <f>IF(AND(ISNUMBER($N449),$N449&gt;0,ISNUMBER($Y449)),$Y449/$N449,"")</f>
        <v/>
      </c>
    </row>
    <row r="450" ht="15" customHeight="1" s="545">
      <c r="A450" s="385" t="n">
        <v>8</v>
      </c>
      <c r="B450" s="605" t="n">
        <v>444</v>
      </c>
      <c r="C450" s="605" t="inlineStr">
        <is>
          <t>R0154528</t>
        </is>
      </c>
      <c r="D450" s="605" t="inlineStr">
        <is>
          <t>37600 E 50TH AVE</t>
        </is>
      </c>
      <c r="E450" s="605" t="n">
        <v>328</v>
      </c>
      <c r="G450" s="605" t="inlineStr">
        <is>
          <t>1</t>
        </is>
      </c>
      <c r="H450" s="59">
        <f>Y450/J450</f>
        <v/>
      </c>
      <c r="I450" s="386" t="n">
        <v>43804</v>
      </c>
      <c r="J450" s="605" t="n">
        <v>13440</v>
      </c>
      <c r="L450" s="605" t="n">
        <v>13440</v>
      </c>
      <c r="M450" s="605" t="n">
        <v>2000</v>
      </c>
      <c r="R450" s="152" t="inlineStr">
        <is>
          <t>Average</t>
        </is>
      </c>
      <c r="S450" s="605" t="n">
        <v>0</v>
      </c>
      <c r="T450" s="387">
        <f>S450/J450</f>
        <v/>
      </c>
      <c r="U450" s="605" t="inlineStr">
        <is>
          <t>Average</t>
        </is>
      </c>
      <c r="Y450" s="605" t="n">
        <v>68000</v>
      </c>
      <c r="AA450" s="605" t="n">
        <v>68000</v>
      </c>
      <c r="AC450" s="605" t="inlineStr">
        <is>
          <t>0181716410001</t>
        </is>
      </c>
      <c r="AD450" s="605" t="inlineStr">
        <is>
          <t>2019000106716</t>
        </is>
      </c>
      <c r="AE450" s="653" t="inlineStr">
        <is>
          <t>DELCAMP RONALD</t>
        </is>
      </c>
      <c r="AF450" s="653" t="inlineStr">
        <is>
          <t>HOFER GALEN AND, PHIBBS STEPHANIE</t>
        </is>
      </c>
      <c r="AI450" s="605">
        <f>IF(AND($E450=Subj_OccCode,Subj_BldgSF&gt;0,ABS($L450-Subj_BldgSF)&lt;=Subj_BldgSF*Subj_SizeTol),ABS($L450-Subj_BldgSF),NA())</f>
        <v/>
      </c>
      <c r="AJ450">
        <f>IF(ISNA(AI450),NA(),AI450+ROW()/10000000)</f>
        <v/>
      </c>
      <c r="AK450" s="605">
        <f>IF(AND(ISNUMBER($N450),$N450&gt;0,ISNUMBER($Y450)),$Y450/$N450,"")</f>
        <v/>
      </c>
    </row>
    <row r="451" ht="15" customHeight="1" s="545">
      <c r="A451" s="385" t="n">
        <v>8</v>
      </c>
      <c r="B451" s="605" t="n">
        <v>445</v>
      </c>
      <c r="C451" s="605" t="inlineStr">
        <is>
          <t>R0133759</t>
        </is>
      </c>
      <c r="D451" s="605" t="inlineStr">
        <is>
          <t>2450 W 63RD CT</t>
        </is>
      </c>
      <c r="E451" s="605" t="n">
        <v>534</v>
      </c>
      <c r="G451" s="605" t="inlineStr">
        <is>
          <t>5</t>
        </is>
      </c>
      <c r="H451" s="59">
        <f>Y451/J451</f>
        <v/>
      </c>
      <c r="I451" s="386" t="n">
        <v>43496</v>
      </c>
      <c r="J451" s="605" t="n">
        <v>12300</v>
      </c>
      <c r="L451" s="605" t="n">
        <v>12300</v>
      </c>
      <c r="M451" s="605" t="n">
        <v>2001</v>
      </c>
      <c r="R451" s="152" t="inlineStr">
        <is>
          <t>Average</t>
        </is>
      </c>
      <c r="S451" s="605" t="n">
        <v>67605.12</v>
      </c>
      <c r="T451" s="387">
        <f>S451/J451</f>
        <v/>
      </c>
      <c r="U451" s="605" t="inlineStr">
        <is>
          <t>Average</t>
        </is>
      </c>
      <c r="Y451" s="605" t="n">
        <v>1850000</v>
      </c>
      <c r="AA451" s="605" t="n">
        <v>1850000</v>
      </c>
      <c r="AC451" s="605" t="inlineStr">
        <is>
          <t>0182508103025</t>
        </is>
      </c>
      <c r="AD451" s="605" t="inlineStr">
        <is>
          <t>2019000007808</t>
        </is>
      </c>
      <c r="AE451" s="653" t="inlineStr">
        <is>
          <t>TRIPLE L LLC</t>
        </is>
      </c>
      <c r="AF451" s="653" t="inlineStr">
        <is>
          <t>CROWLEY DAVID P AND , CROWLEY LORRAINE K</t>
        </is>
      </c>
      <c r="AI451" s="605">
        <f>IF(AND($E451=Subj_OccCode,Subj_BldgSF&gt;0,ABS($L451-Subj_BldgSF)&lt;=Subj_BldgSF*Subj_SizeTol),ABS($L451-Subj_BldgSF),NA())</f>
        <v/>
      </c>
      <c r="AJ451">
        <f>IF(ISNA(AI451),NA(),AI451+ROW()/10000000)</f>
        <v/>
      </c>
      <c r="AK451" s="605">
        <f>IF(AND(ISNUMBER($N451),$N451&gt;0,ISNUMBER($Y451)),$Y451/$N451,"")</f>
        <v/>
      </c>
    </row>
    <row r="452" ht="15" customHeight="1" s="545">
      <c r="A452" s="385" t="n">
        <v>8</v>
      </c>
      <c r="B452" s="605" t="n">
        <v>446</v>
      </c>
      <c r="C452" s="605" t="inlineStr">
        <is>
          <t>R0178320</t>
        </is>
      </c>
      <c r="D452" s="605" t="inlineStr">
        <is>
          <t>2551 E 120TH AVE</t>
        </is>
      </c>
      <c r="E452" s="605" t="n">
        <v>353</v>
      </c>
      <c r="F452" s="605" t="inlineStr">
        <is>
          <t>THORNTON</t>
        </is>
      </c>
      <c r="G452" s="605" t="inlineStr">
        <is>
          <t>3</t>
        </is>
      </c>
      <c r="H452" s="59">
        <f>Y452/J452</f>
        <v/>
      </c>
      <c r="I452" s="386" t="n">
        <v>43462</v>
      </c>
      <c r="J452" s="605" t="n">
        <v>4050</v>
      </c>
      <c r="L452" s="605" t="n">
        <v>4050</v>
      </c>
      <c r="M452" s="605" t="n">
        <v>2000</v>
      </c>
      <c r="R452" s="152" t="inlineStr">
        <is>
          <t>Average</t>
        </is>
      </c>
      <c r="S452" s="605" t="n">
        <v>19306</v>
      </c>
      <c r="T452" s="387">
        <f>S452/J452</f>
        <v/>
      </c>
      <c r="U452" s="605" t="inlineStr">
        <is>
          <t>Average</t>
        </is>
      </c>
      <c r="Y452" s="605" t="n">
        <v>575000</v>
      </c>
      <c r="AA452" s="605" t="n">
        <v>575000</v>
      </c>
      <c r="AC452" s="605" t="inlineStr">
        <is>
          <t>0157336309073</t>
        </is>
      </c>
      <c r="AD452" s="605" t="inlineStr">
        <is>
          <t>2019000000008</t>
        </is>
      </c>
      <c r="AE452" s="653" t="inlineStr">
        <is>
          <t>2551 PROPERTY PARTNERS LLC</t>
        </is>
      </c>
      <c r="AF452" s="653" t="inlineStr">
        <is>
          <t>COMPTON POINT LLC</t>
        </is>
      </c>
      <c r="AI452" s="605">
        <f>IF(AND($E452=Subj_OccCode,Subj_BldgSF&gt;0,ABS($L452-Subj_BldgSF)&lt;=Subj_BldgSF*Subj_SizeTol),ABS($L452-Subj_BldgSF),NA())</f>
        <v/>
      </c>
      <c r="AJ452">
        <f>IF(ISNA(AI452),NA(),AI452+ROW()/10000000)</f>
        <v/>
      </c>
      <c r="AK452" s="605">
        <f>IF(AND(ISNUMBER($N452),$N452&gt;0,ISNUMBER($Y452)),$Y452/$N452,"")</f>
        <v/>
      </c>
    </row>
    <row r="453" ht="15" customHeight="1" s="545">
      <c r="A453" s="385" t="n">
        <v>8</v>
      </c>
      <c r="B453" s="605" t="n">
        <v>447</v>
      </c>
      <c r="C453" s="605" t="inlineStr">
        <is>
          <t>R0079896</t>
        </is>
      </c>
      <c r="D453" s="605" t="inlineStr">
        <is>
          <t>6454 E 72ND PL</t>
        </is>
      </c>
      <c r="E453" s="605" t="n">
        <v>353</v>
      </c>
      <c r="F453" s="605" t="inlineStr">
        <is>
          <t>COMMERCE CITY</t>
        </is>
      </c>
      <c r="G453" s="605" t="inlineStr">
        <is>
          <t>5</t>
        </is>
      </c>
      <c r="H453" s="59">
        <f>Y453/J453</f>
        <v/>
      </c>
      <c r="I453" s="386" t="n">
        <v>43796</v>
      </c>
      <c r="J453" s="605" t="n">
        <v>6435</v>
      </c>
      <c r="L453" s="605" t="n">
        <v>6435</v>
      </c>
      <c r="M453" s="605" t="n">
        <v>1951</v>
      </c>
      <c r="P453" s="605" t="inlineStr">
        <is>
          <t>PUD-Com</t>
        </is>
      </c>
      <c r="R453" s="152" t="inlineStr">
        <is>
          <t>Average</t>
        </is>
      </c>
      <c r="S453" s="605" t="n">
        <v>7480</v>
      </c>
      <c r="T453" s="387">
        <f>S453/J453</f>
        <v/>
      </c>
      <c r="U453" s="605" t="inlineStr">
        <is>
          <t>Average</t>
        </is>
      </c>
      <c r="Y453" s="605" t="n">
        <v>555000</v>
      </c>
      <c r="AA453" s="605" t="n">
        <v>555000</v>
      </c>
      <c r="AC453" s="605" t="inlineStr">
        <is>
          <t>0172132424001</t>
        </is>
      </c>
      <c r="AD453" s="605" t="inlineStr">
        <is>
          <t>2019000104458</t>
        </is>
      </c>
      <c r="AE453" s="653" t="inlineStr">
        <is>
          <t>E J CORP</t>
        </is>
      </c>
      <c r="AF453" s="653" t="inlineStr">
        <is>
          <t>TORRES INVESTMENTS LLC</t>
        </is>
      </c>
      <c r="AI453" s="605">
        <f>IF(AND($E453=Subj_OccCode,Subj_BldgSF&gt;0,ABS($L453-Subj_BldgSF)&lt;=Subj_BldgSF*Subj_SizeTol),ABS($L453-Subj_BldgSF),NA())</f>
        <v/>
      </c>
      <c r="AJ453">
        <f>IF(ISNA(AI453),NA(),AI453+ROW()/10000000)</f>
        <v/>
      </c>
      <c r="AK453" s="605">
        <f>IF(AND(ISNUMBER($N453),$N453&gt;0,ISNUMBER($Y453)),$Y453/$N453,"")</f>
        <v/>
      </c>
    </row>
    <row r="454" ht="15" customHeight="1" s="545">
      <c r="A454" s="385" t="n">
        <v>8</v>
      </c>
      <c r="B454" s="605" t="n">
        <v>448</v>
      </c>
      <c r="C454" s="605" t="inlineStr">
        <is>
          <t>R0107746</t>
        </is>
      </c>
      <c r="D454" s="605" t="inlineStr">
        <is>
          <t>8075  PONTIAC ST</t>
        </is>
      </c>
      <c r="E454" s="605" t="n">
        <v>406</v>
      </c>
      <c r="F454" s="605" t="inlineStr">
        <is>
          <t>COMMERCE CITY</t>
        </is>
      </c>
      <c r="G454" s="605" t="inlineStr">
        <is>
          <t>5</t>
        </is>
      </c>
      <c r="H454" s="59">
        <f>Y454/J454</f>
        <v/>
      </c>
      <c r="I454" s="386" t="n">
        <v>44439</v>
      </c>
      <c r="J454" s="605" t="n">
        <v>18840</v>
      </c>
      <c r="L454" s="605" t="n">
        <v>18840</v>
      </c>
      <c r="M454" s="605" t="n">
        <v>1972</v>
      </c>
      <c r="P454" s="605" t="inlineStr">
        <is>
          <t>I-2-Com</t>
        </is>
      </c>
      <c r="R454" s="152" t="inlineStr">
        <is>
          <t>Low</t>
        </is>
      </c>
      <c r="S454" s="605" t="n">
        <v>147276.4</v>
      </c>
      <c r="T454" s="387">
        <f>S454/J454</f>
        <v/>
      </c>
      <c r="U454" s="605" t="inlineStr">
        <is>
          <t>Average</t>
        </is>
      </c>
      <c r="Y454" s="605" t="n">
        <v>2600000</v>
      </c>
      <c r="AA454" s="605" t="n">
        <v>2600000</v>
      </c>
      <c r="AC454" s="605" t="inlineStr">
        <is>
          <t>0172129404012</t>
        </is>
      </c>
      <c r="AD454" s="605" t="inlineStr">
        <is>
          <t>2021000103692</t>
        </is>
      </c>
      <c r="AE454" s="653" t="inlineStr">
        <is>
          <t>H AND B INDUSTRY LLC</t>
        </is>
      </c>
      <c r="AF454" s="653" t="inlineStr">
        <is>
          <t>HIGH TO LOW PROPERTIES LLC</t>
        </is>
      </c>
      <c r="AI454" s="605">
        <f>IF(AND($E454=Subj_OccCode,Subj_BldgSF&gt;0,ABS($L454-Subj_BldgSF)&lt;=Subj_BldgSF*Subj_SizeTol),ABS($L454-Subj_BldgSF),NA())</f>
        <v/>
      </c>
      <c r="AJ454">
        <f>IF(ISNA(AI454),NA(),AI454+ROW()/10000000)</f>
        <v/>
      </c>
      <c r="AK454" s="605">
        <f>IF(AND(ISNUMBER($N454),$N454&gt;0,ISNUMBER($Y454)),$Y454/$N454,"")</f>
        <v/>
      </c>
    </row>
    <row r="455" ht="15" customHeight="1" s="545">
      <c r="A455" s="385" t="n">
        <v>8</v>
      </c>
      <c r="B455" s="605" t="n">
        <v>449</v>
      </c>
      <c r="C455" s="605" t="inlineStr">
        <is>
          <t>R0103555</t>
        </is>
      </c>
      <c r="D455" s="605" t="inlineStr">
        <is>
          <t>5801  LOGAN ST</t>
        </is>
      </c>
      <c r="E455" s="605" t="n">
        <v>334</v>
      </c>
      <c r="G455" s="605" t="inlineStr">
        <is>
          <t>5</t>
        </is>
      </c>
      <c r="H455" s="59">
        <f>Y455/J455</f>
        <v/>
      </c>
      <c r="I455" s="386" t="n">
        <v>44559</v>
      </c>
      <c r="J455" s="605" t="n">
        <v>11200</v>
      </c>
      <c r="L455" s="605" t="n">
        <v>11200</v>
      </c>
      <c r="M455" s="605" t="n">
        <v>1982</v>
      </c>
      <c r="P455" s="605" t="inlineStr">
        <is>
          <t>Industrial</t>
        </is>
      </c>
      <c r="R455" s="152" t="inlineStr">
        <is>
          <t>Average</t>
        </is>
      </c>
      <c r="S455" s="605" t="n">
        <v>26839</v>
      </c>
      <c r="T455" s="387">
        <f>S455/J455</f>
        <v/>
      </c>
      <c r="U455" s="605" t="inlineStr">
        <is>
          <t>Average</t>
        </is>
      </c>
      <c r="Y455" s="605" t="n">
        <v>2400000</v>
      </c>
      <c r="AA455" s="605" t="n">
        <v>2400000</v>
      </c>
      <c r="AC455" s="605" t="inlineStr">
        <is>
          <t>0182510402006</t>
        </is>
      </c>
      <c r="AD455" s="605" t="inlineStr">
        <is>
          <t>2021000150840</t>
        </is>
      </c>
      <c r="AE455" s="653" t="inlineStr">
        <is>
          <t>KLO PROPERTIES LLC</t>
        </is>
      </c>
      <c r="AF455" s="653" t="inlineStr">
        <is>
          <t>5801 LOGAN STREET LLC</t>
        </is>
      </c>
      <c r="AI455" s="605">
        <f>IF(AND($E455=Subj_OccCode,Subj_BldgSF&gt;0,ABS($L455-Subj_BldgSF)&lt;=Subj_BldgSF*Subj_SizeTol),ABS($L455-Subj_BldgSF),NA())</f>
        <v/>
      </c>
      <c r="AJ455">
        <f>IF(ISNA(AI455),NA(),AI455+ROW()/10000000)</f>
        <v/>
      </c>
      <c r="AK455" s="605">
        <f>IF(AND(ISNUMBER($N455),$N455&gt;0,ISNUMBER($Y455)),$Y455/$N455,"")</f>
        <v/>
      </c>
    </row>
    <row r="456" ht="15" customHeight="1" s="545">
      <c r="A456" s="385" t="n">
        <v>8</v>
      </c>
      <c r="B456" s="605" t="n">
        <v>450</v>
      </c>
      <c r="C456" s="605" t="inlineStr">
        <is>
          <t>R0103568</t>
        </is>
      </c>
      <c r="D456" s="605" t="inlineStr">
        <is>
          <t>301 E 57TH AVE</t>
        </is>
      </c>
      <c r="E456" s="605" t="n">
        <v>353</v>
      </c>
      <c r="G456" s="605" t="inlineStr">
        <is>
          <t>5</t>
        </is>
      </c>
      <c r="H456" s="59">
        <f>Y456/J456</f>
        <v/>
      </c>
      <c r="I456" s="386" t="n">
        <v>44478</v>
      </c>
      <c r="J456" s="605" t="n">
        <v>14250</v>
      </c>
      <c r="L456" s="605" t="n">
        <v>14250</v>
      </c>
      <c r="M456" s="605" t="n">
        <v>1980</v>
      </c>
      <c r="P456" s="605" t="inlineStr">
        <is>
          <t>Industrial</t>
        </is>
      </c>
      <c r="R456" s="152" t="inlineStr">
        <is>
          <t>Average</t>
        </is>
      </c>
      <c r="S456" s="605" t="n">
        <v>49979</v>
      </c>
      <c r="T456" s="387">
        <f>S456/J456</f>
        <v/>
      </c>
      <c r="U456" s="605" t="inlineStr">
        <is>
          <t>Average</t>
        </is>
      </c>
      <c r="Y456" s="605" t="n">
        <v>3450000</v>
      </c>
      <c r="AA456" s="605" t="n">
        <v>3450000</v>
      </c>
      <c r="AC456" s="605" t="inlineStr">
        <is>
          <t>0182510406002</t>
        </is>
      </c>
      <c r="AD456" s="605" t="inlineStr">
        <is>
          <t>2021000132344</t>
        </is>
      </c>
      <c r="AE456" s="653" t="inlineStr">
        <is>
          <t>BOSCOE CHILDREN LLLP, C/O MICHAEL BLOOM REALTY COMPANY</t>
        </is>
      </c>
      <c r="AF456" s="653" t="inlineStr">
        <is>
          <t>WFS LLC UND 0.857% INT ET AL</t>
        </is>
      </c>
      <c r="AI456" s="605">
        <f>IF(AND($E456=Subj_OccCode,Subj_BldgSF&gt;0,ABS($L456-Subj_BldgSF)&lt;=Subj_BldgSF*Subj_SizeTol),ABS($L456-Subj_BldgSF),NA())</f>
        <v/>
      </c>
      <c r="AJ456">
        <f>IF(ISNA(AI456),NA(),AI456+ROW()/10000000)</f>
        <v/>
      </c>
      <c r="AK456" s="605">
        <f>IF(AND(ISNUMBER($N456),$N456&gt;0,ISNUMBER($Y456)),$Y456/$N456,"")</f>
        <v/>
      </c>
    </row>
    <row r="457" ht="15" customHeight="1" s="545">
      <c r="A457" s="385" t="n">
        <v>8</v>
      </c>
      <c r="B457" s="605" t="n">
        <v>451</v>
      </c>
      <c r="C457" s="605" t="inlineStr">
        <is>
          <t>R0090141</t>
        </is>
      </c>
      <c r="D457" s="605" t="inlineStr">
        <is>
          <t>6955  DAHLIA ST</t>
        </is>
      </c>
      <c r="E457" s="605" t="n">
        <v>344</v>
      </c>
      <c r="F457" s="605" t="inlineStr">
        <is>
          <t>COMMERCE CITY</t>
        </is>
      </c>
      <c r="G457" s="605" t="inlineStr">
        <is>
          <t>5</t>
        </is>
      </c>
      <c r="H457" s="59">
        <f>Y457/J457</f>
        <v/>
      </c>
      <c r="I457" s="386" t="n">
        <v>43705</v>
      </c>
      <c r="J457" s="605" t="n">
        <v>3224</v>
      </c>
      <c r="L457" s="605" t="n">
        <v>3224</v>
      </c>
      <c r="M457" s="605" t="n">
        <v>1964</v>
      </c>
      <c r="P457" s="605" t="inlineStr">
        <is>
          <t>C-3-Com</t>
        </is>
      </c>
      <c r="R457" s="152" t="inlineStr">
        <is>
          <t>Low</t>
        </is>
      </c>
      <c r="S457" s="605" t="n">
        <v>14950</v>
      </c>
      <c r="T457" s="387">
        <f>S457/J457</f>
        <v/>
      </c>
      <c r="U457" s="605" t="inlineStr">
        <is>
          <t>Average</t>
        </is>
      </c>
      <c r="Y457" s="605" t="n">
        <v>380000</v>
      </c>
      <c r="AA457" s="605" t="n">
        <v>380000</v>
      </c>
      <c r="AC457" s="605" t="inlineStr">
        <is>
          <t>0182306213018</t>
        </is>
      </c>
      <c r="AD457" s="605" t="inlineStr">
        <is>
          <t>2019000072342</t>
        </is>
      </c>
      <c r="AE457" s="653" t="inlineStr">
        <is>
          <t>JAMES DONALD A</t>
        </is>
      </c>
      <c r="AF457" s="653" t="inlineStr">
        <is>
          <t>FEDERAL REAL ESTATE HOLDINGS LLC</t>
        </is>
      </c>
      <c r="AI457" s="605">
        <f>IF(AND($E457=Subj_OccCode,Subj_BldgSF&gt;0,ABS($L457-Subj_BldgSF)&lt;=Subj_BldgSF*Subj_SizeTol),ABS($L457-Subj_BldgSF),NA())</f>
        <v/>
      </c>
      <c r="AJ457">
        <f>IF(ISNA(AI457),NA(),AI457+ROW()/10000000)</f>
        <v/>
      </c>
      <c r="AK457" s="605">
        <f>IF(AND(ISNUMBER($N457),$N457&gt;0,ISNUMBER($Y457)),$Y457/$N457,"")</f>
        <v/>
      </c>
    </row>
    <row r="458" ht="15" customHeight="1" s="545">
      <c r="A458" s="385" t="n">
        <v>8</v>
      </c>
      <c r="B458" s="605" t="n">
        <v>452</v>
      </c>
      <c r="C458" s="605" t="inlineStr">
        <is>
          <t>R0077169</t>
        </is>
      </c>
      <c r="D458" s="605" t="inlineStr">
        <is>
          <t>8420  QUEBEC ST</t>
        </is>
      </c>
      <c r="E458" s="605" t="n">
        <v>406</v>
      </c>
      <c r="F458" s="605" t="inlineStr">
        <is>
          <t>COMMERCE CITY</t>
        </is>
      </c>
      <c r="G458" s="605" t="inlineStr">
        <is>
          <t>5</t>
        </is>
      </c>
      <c r="H458" s="59">
        <f>Y458/J458</f>
        <v/>
      </c>
      <c r="I458" s="386" t="n">
        <v>44410</v>
      </c>
      <c r="J458" s="605" t="n">
        <v>7000</v>
      </c>
      <c r="L458" s="605" t="n">
        <v>7000</v>
      </c>
      <c r="M458" s="605" t="n">
        <v>1978</v>
      </c>
      <c r="P458" s="605" t="inlineStr">
        <is>
          <t>I-2-Com</t>
        </is>
      </c>
      <c r="R458" s="152" t="inlineStr">
        <is>
          <t>Average</t>
        </is>
      </c>
      <c r="S458" s="605" t="n">
        <v>153331.2</v>
      </c>
      <c r="T458" s="387">
        <f>S458/J458</f>
        <v/>
      </c>
      <c r="U458" s="605" t="inlineStr">
        <is>
          <t>Average</t>
        </is>
      </c>
      <c r="Y458" s="605" t="n">
        <v>2450000</v>
      </c>
      <c r="AA458" s="605" t="n">
        <v>2450000</v>
      </c>
      <c r="AC458" s="605" t="inlineStr">
        <is>
          <t>0172128200020</t>
        </is>
      </c>
      <c r="AD458" s="605" t="inlineStr">
        <is>
          <t>2021000091570</t>
        </is>
      </c>
      <c r="AE458" s="653" t="inlineStr">
        <is>
          <t>FOUR LEGACY INVESTMENTS LLC</t>
        </is>
      </c>
      <c r="AF458" s="653" t="inlineStr">
        <is>
          <t>FLEETPARK QUEBEC CO LLC</t>
        </is>
      </c>
      <c r="AI458" s="605">
        <f>IF(AND($E458=Subj_OccCode,Subj_BldgSF&gt;0,ABS($L458-Subj_BldgSF)&lt;=Subj_BldgSF*Subj_SizeTol),ABS($L458-Subj_BldgSF),NA())</f>
        <v/>
      </c>
      <c r="AJ458">
        <f>IF(ISNA(AI458),NA(),AI458+ROW()/10000000)</f>
        <v/>
      </c>
      <c r="AK458" s="605">
        <f>IF(AND(ISNUMBER($N458),$N458&gt;0,ISNUMBER($Y458)),$Y458/$N458,"")</f>
        <v/>
      </c>
    </row>
    <row r="459" ht="15" customHeight="1" s="545">
      <c r="A459" s="385" t="n">
        <v>8</v>
      </c>
      <c r="B459" s="605" t="n">
        <v>453</v>
      </c>
      <c r="C459" s="605" t="inlineStr">
        <is>
          <t>R0075207</t>
        </is>
      </c>
      <c r="D459" s="605" t="inlineStr">
        <is>
          <t>10290 E 106TH AVE</t>
        </is>
      </c>
      <c r="E459" s="605" t="n">
        <v>406</v>
      </c>
      <c r="G459" s="605" t="inlineStr">
        <is>
          <t>2</t>
        </is>
      </c>
      <c r="H459" s="59">
        <f>Y459/J459</f>
        <v/>
      </c>
      <c r="I459" s="386" t="n">
        <v>43894</v>
      </c>
      <c r="J459" s="605" t="n">
        <v>14000</v>
      </c>
      <c r="L459" s="605" t="n">
        <v>14000</v>
      </c>
      <c r="M459" s="605" t="n">
        <v>1995</v>
      </c>
      <c r="P459" s="605" t="inlineStr">
        <is>
          <t>I-3-Com</t>
        </is>
      </c>
      <c r="R459" s="152" t="inlineStr">
        <is>
          <t>Average</t>
        </is>
      </c>
      <c r="S459" s="605" t="n">
        <v>93218</v>
      </c>
      <c r="T459" s="387">
        <f>S459/J459</f>
        <v/>
      </c>
      <c r="U459" s="605" t="inlineStr">
        <is>
          <t>Average</t>
        </is>
      </c>
      <c r="Y459" s="605" t="n">
        <v>2200000</v>
      </c>
      <c r="AA459" s="605" t="n">
        <v>2200000</v>
      </c>
      <c r="AC459" s="605" t="inlineStr">
        <is>
          <t>0172110006004</t>
        </is>
      </c>
      <c r="AD459" s="605" t="inlineStr">
        <is>
          <t>2020000021758</t>
        </is>
      </c>
      <c r="AE459" s="653" t="inlineStr">
        <is>
          <t>R AND R JOE ENTERPRISES LLC</t>
        </is>
      </c>
      <c r="AF459" s="653" t="inlineStr">
        <is>
          <t>ROCKY WELDING SERVICES LLC</t>
        </is>
      </c>
      <c r="AI459" s="605">
        <f>IF(AND($E459=Subj_OccCode,Subj_BldgSF&gt;0,ABS($L459-Subj_BldgSF)&lt;=Subj_BldgSF*Subj_SizeTol),ABS($L459-Subj_BldgSF),NA())</f>
        <v/>
      </c>
      <c r="AJ459">
        <f>IF(ISNA(AI459),NA(),AI459+ROW()/10000000)</f>
        <v/>
      </c>
      <c r="AK459" s="605">
        <f>IF(AND(ISNUMBER($N459),$N459&gt;0,ISNUMBER($Y459)),$Y459/$N459,"")</f>
        <v/>
      </c>
    </row>
    <row r="460" ht="15" customHeight="1" s="545">
      <c r="A460" s="385" t="n">
        <v>8</v>
      </c>
      <c r="B460" s="605" t="n">
        <v>454</v>
      </c>
      <c r="C460" s="605" t="inlineStr">
        <is>
          <t>R0039073</t>
        </is>
      </c>
      <c r="D460" s="605" t="inlineStr">
        <is>
          <t>10475  IRMA DR #15</t>
        </is>
      </c>
      <c r="E460" s="605" t="n">
        <v>425</v>
      </c>
      <c r="F460" s="605" t="inlineStr">
        <is>
          <t>NORTHGLENN</t>
        </is>
      </c>
      <c r="G460" s="605" t="inlineStr">
        <is>
          <t>4</t>
        </is>
      </c>
      <c r="H460" s="59">
        <f>Y460/J460</f>
        <v/>
      </c>
      <c r="I460" s="386" t="n">
        <v>44175</v>
      </c>
      <c r="J460" s="605" t="n">
        <v>1500</v>
      </c>
      <c r="L460" s="605" t="n">
        <v>1500</v>
      </c>
      <c r="M460" s="605" t="n">
        <v>1984</v>
      </c>
      <c r="P460" s="605" t="inlineStr">
        <is>
          <t>I-2-Nor</t>
        </is>
      </c>
      <c r="R460" s="152" t="inlineStr">
        <is>
          <t>Average</t>
        </is>
      </c>
      <c r="S460" s="605" t="n">
        <v>4655</v>
      </c>
      <c r="T460" s="387">
        <f>S460/J460</f>
        <v/>
      </c>
      <c r="U460" s="605" t="inlineStr">
        <is>
          <t>Average</t>
        </is>
      </c>
      <c r="Y460" s="605" t="n">
        <v>233000</v>
      </c>
      <c r="AA460" s="605" t="n">
        <v>233000</v>
      </c>
      <c r="AC460" s="605" t="inlineStr">
        <is>
          <t>0171911411034</t>
        </is>
      </c>
      <c r="AD460" s="605" t="inlineStr">
        <is>
          <t>2020000131356</t>
        </is>
      </c>
      <c r="AE460" s="653" t="inlineStr">
        <is>
          <t>AFS RESIDENTIAL LLC</t>
        </is>
      </c>
      <c r="AF460" s="653" t="inlineStr">
        <is>
          <t>MACK VENTURES LLC</t>
        </is>
      </c>
      <c r="AI460" s="605">
        <f>IF(AND($E460=Subj_OccCode,Subj_BldgSF&gt;0,ABS($L460-Subj_BldgSF)&lt;=Subj_BldgSF*Subj_SizeTol),ABS($L460-Subj_BldgSF),NA())</f>
        <v/>
      </c>
      <c r="AJ460">
        <f>IF(ISNA(AI460),NA(),AI460+ROW()/10000000)</f>
        <v/>
      </c>
      <c r="AK460" s="605">
        <f>IF(AND(ISNUMBER($N460),$N460&gt;0,ISNUMBER($Y460)),$Y460/$N460,"")</f>
        <v/>
      </c>
    </row>
    <row r="461" ht="15" customHeight="1" s="545">
      <c r="A461" s="385" t="n">
        <v>8</v>
      </c>
      <c r="B461" s="605" t="n">
        <v>455</v>
      </c>
      <c r="C461" s="605" t="inlineStr">
        <is>
          <t>R0066239</t>
        </is>
      </c>
      <c r="D461" s="605" t="inlineStr">
        <is>
          <t>7961  FEDERAL BLVD</t>
        </is>
      </c>
      <c r="E461" s="605" t="n">
        <v>344</v>
      </c>
      <c r="F461" s="605" t="inlineStr">
        <is>
          <t>WESTMINSTER</t>
        </is>
      </c>
      <c r="G461" s="605" t="inlineStr">
        <is>
          <t>4</t>
        </is>
      </c>
      <c r="H461" s="59">
        <f>Y461/J461</f>
        <v/>
      </c>
      <c r="I461" s="386" t="n">
        <v>43942</v>
      </c>
      <c r="J461" s="605" t="n">
        <v>4466</v>
      </c>
      <c r="L461" s="605" t="n">
        <v>4466</v>
      </c>
      <c r="M461" s="605" t="n">
        <v>1973</v>
      </c>
      <c r="P461" s="605" t="inlineStr">
        <is>
          <t>B-1-Wes</t>
        </is>
      </c>
      <c r="R461" s="152" t="inlineStr">
        <is>
          <t>Average</t>
        </is>
      </c>
      <c r="S461" s="605" t="n">
        <v>12330</v>
      </c>
      <c r="T461" s="387">
        <f>S461/J461</f>
        <v/>
      </c>
      <c r="U461" s="605" t="inlineStr">
        <is>
          <t>Average</t>
        </is>
      </c>
      <c r="Y461" s="605" t="n">
        <v>727200</v>
      </c>
      <c r="AA461" s="605" t="n">
        <v>727200</v>
      </c>
      <c r="AC461" s="605" t="inlineStr">
        <is>
          <t>0171932210053</t>
        </is>
      </c>
      <c r="AD461" s="605" t="inlineStr">
        <is>
          <t>2020000036513</t>
        </is>
      </c>
      <c r="AE461" s="653" t="inlineStr">
        <is>
          <t>DYLEE LLC</t>
        </is>
      </c>
      <c r="AF461" s="653" t="inlineStr">
        <is>
          <t>GOVEA LLC</t>
        </is>
      </c>
      <c r="AI461" s="605">
        <f>IF(AND($E461=Subj_OccCode,Subj_BldgSF&gt;0,ABS($L461-Subj_BldgSF)&lt;=Subj_BldgSF*Subj_SizeTol),ABS($L461-Subj_BldgSF),NA())</f>
        <v/>
      </c>
      <c r="AJ461">
        <f>IF(ISNA(AI461),NA(),AI461+ROW()/10000000)</f>
        <v/>
      </c>
      <c r="AK461" s="605">
        <f>IF(AND(ISNUMBER($N461),$N461&gt;0,ISNUMBER($Y461)),$Y461/$N461,"")</f>
        <v/>
      </c>
    </row>
    <row r="462" ht="15" customHeight="1" s="545">
      <c r="A462" s="385" t="n">
        <v>8</v>
      </c>
      <c r="B462" s="605" t="n">
        <v>456</v>
      </c>
      <c r="C462" s="605" t="inlineStr">
        <is>
          <t>R0159799</t>
        </is>
      </c>
      <c r="D462" s="605" t="inlineStr">
        <is>
          <t>6345 IVANHOE ST</t>
        </is>
      </c>
      <c r="E462" s="605" t="n">
        <v>344</v>
      </c>
      <c r="F462" s="605" t="inlineStr">
        <is>
          <t>COMMERCE CITY</t>
        </is>
      </c>
      <c r="G462" s="605" t="inlineStr">
        <is>
          <t>5</t>
        </is>
      </c>
      <c r="H462" s="59">
        <f>Y462/J462</f>
        <v/>
      </c>
      <c r="I462" s="386" t="n">
        <v>43917</v>
      </c>
      <c r="J462" s="605" t="n">
        <v>6889</v>
      </c>
      <c r="L462" s="605" t="n">
        <v>6889</v>
      </c>
      <c r="M462" s="605" t="n">
        <v>2006</v>
      </c>
      <c r="P462" s="605" t="inlineStr">
        <is>
          <t>C-3-Com</t>
        </is>
      </c>
      <c r="R462" s="152" t="inlineStr">
        <is>
          <t>Average</t>
        </is>
      </c>
      <c r="S462" s="605" t="n">
        <v>19140</v>
      </c>
      <c r="T462" s="387">
        <f>S462/J462</f>
        <v/>
      </c>
      <c r="U462" s="605" t="inlineStr">
        <is>
          <t>Average</t>
        </is>
      </c>
      <c r="Y462" s="605" t="n">
        <v>900000</v>
      </c>
      <c r="AA462" s="605" t="n">
        <v>900000</v>
      </c>
      <c r="AC462" s="605" t="inlineStr">
        <is>
          <t>0182308207010</t>
        </is>
      </c>
      <c r="AD462" s="605" t="inlineStr">
        <is>
          <t>2020000030948</t>
        </is>
      </c>
      <c r="AE462" s="653" t="inlineStr">
        <is>
          <t>IVANHOE PROPERTY GROUP LLC</t>
        </is>
      </c>
      <c r="AF462" s="653" t="inlineStr">
        <is>
          <t>GRISWOLD MICHAEL M AND, GRISWOLD ANNETTE M</t>
        </is>
      </c>
      <c r="AI462" s="605">
        <f>IF(AND($E462=Subj_OccCode,Subj_BldgSF&gt;0,ABS($L462-Subj_BldgSF)&lt;=Subj_BldgSF*Subj_SizeTol),ABS($L462-Subj_BldgSF),NA())</f>
        <v/>
      </c>
      <c r="AJ462">
        <f>IF(ISNA(AI462),NA(),AI462+ROW()/10000000)</f>
        <v/>
      </c>
      <c r="AK462" s="605">
        <f>IF(AND(ISNUMBER($N462),$N462&gt;0,ISNUMBER($Y462)),$Y462/$N462,"")</f>
        <v/>
      </c>
    </row>
    <row r="463" ht="15" customHeight="1" s="545">
      <c r="A463" s="385" t="n">
        <v>8</v>
      </c>
      <c r="B463" s="605" t="n">
        <v>457</v>
      </c>
      <c r="C463" s="605" t="inlineStr">
        <is>
          <t>R0164243</t>
        </is>
      </c>
      <c r="D463" s="605" t="inlineStr">
        <is>
          <t>9801  HAVANA ST</t>
        </is>
      </c>
      <c r="E463" s="605" t="n">
        <v>407</v>
      </c>
      <c r="F463" s="605" t="inlineStr">
        <is>
          <t>COMMERCE CITY</t>
        </is>
      </c>
      <c r="G463" s="605" t="inlineStr">
        <is>
          <t>5</t>
        </is>
      </c>
      <c r="H463" s="59">
        <f>Y463/J463</f>
        <v/>
      </c>
      <c r="I463" s="386" t="n">
        <v>44323</v>
      </c>
      <c r="J463" s="605" t="n">
        <v>32000</v>
      </c>
      <c r="L463" s="605" t="n">
        <v>32000</v>
      </c>
      <c r="M463" s="605" t="n">
        <v>2005</v>
      </c>
      <c r="P463" s="605" t="inlineStr">
        <is>
          <t>PUD-Com</t>
        </is>
      </c>
      <c r="R463" s="152" t="inlineStr">
        <is>
          <t>Average</t>
        </is>
      </c>
      <c r="S463" s="605" t="n">
        <v>135316</v>
      </c>
      <c r="T463" s="387">
        <f>S463/J463</f>
        <v/>
      </c>
      <c r="U463" s="605" t="inlineStr">
        <is>
          <t>Average</t>
        </is>
      </c>
      <c r="Y463" s="605" t="n">
        <v>4750000</v>
      </c>
      <c r="AA463" s="605" t="n">
        <v>4750000</v>
      </c>
      <c r="AC463" s="605" t="inlineStr">
        <is>
          <t>0172115401009</t>
        </is>
      </c>
      <c r="AD463" s="605" t="inlineStr">
        <is>
          <t>2021000056808</t>
        </is>
      </c>
      <c r="AE463" s="653" t="inlineStr">
        <is>
          <t>CAMIKA HOLDINGS LLC</t>
        </is>
      </c>
      <c r="AF463" s="653" t="inlineStr">
        <is>
          <t>HANLEY HOLDINGS LLC</t>
        </is>
      </c>
      <c r="AI463" s="605">
        <f>IF(AND($E463=Subj_OccCode,Subj_BldgSF&gt;0,ABS($L463-Subj_BldgSF)&lt;=Subj_BldgSF*Subj_SizeTol),ABS($L463-Subj_BldgSF),NA())</f>
        <v/>
      </c>
      <c r="AJ463">
        <f>IF(ISNA(AI463),NA(),AI463+ROW()/10000000)</f>
        <v/>
      </c>
      <c r="AK463" s="605">
        <f>IF(AND(ISNUMBER($N463),$N463&gt;0,ISNUMBER($Y463)),$Y463/$N463,"")</f>
        <v/>
      </c>
    </row>
    <row r="464" ht="15" customHeight="1" s="545">
      <c r="A464" s="385" t="n">
        <v>8</v>
      </c>
      <c r="B464" s="605" t="n">
        <v>458</v>
      </c>
      <c r="C464" s="605" t="inlineStr">
        <is>
          <t>R0066455</t>
        </is>
      </c>
      <c r="D464" s="605" t="inlineStr">
        <is>
          <t>3031 W 74TH AVE</t>
        </is>
      </c>
      <c r="E464" s="605" t="n">
        <v>413</v>
      </c>
      <c r="F464" s="605" t="inlineStr">
        <is>
          <t>WESTMINSTER</t>
        </is>
      </c>
      <c r="G464" s="605" t="inlineStr">
        <is>
          <t>4</t>
        </is>
      </c>
      <c r="H464" s="59">
        <f>Y464/J464</f>
        <v/>
      </c>
      <c r="I464" s="386" t="n">
        <v>44468</v>
      </c>
      <c r="J464" s="605" t="n">
        <v>124700</v>
      </c>
      <c r="L464" s="605" t="n">
        <v>124700</v>
      </c>
      <c r="M464" s="605" t="n">
        <v>1963</v>
      </c>
      <c r="P464" s="605" t="inlineStr">
        <is>
          <t>PUD-Wes</t>
        </is>
      </c>
      <c r="R464" s="152" t="inlineStr">
        <is>
          <t>Average</t>
        </is>
      </c>
      <c r="S464" s="605" t="n">
        <v>349871</v>
      </c>
      <c r="T464" s="387">
        <f>S464/J464</f>
        <v/>
      </c>
      <c r="U464" s="605" t="inlineStr">
        <is>
          <t>Average</t>
        </is>
      </c>
      <c r="Y464" s="605" t="n">
        <v>14250000</v>
      </c>
      <c r="AA464" s="605" t="n">
        <v>14250000</v>
      </c>
      <c r="AC464" s="605" t="inlineStr">
        <is>
          <t>0171932300078</t>
        </is>
      </c>
      <c r="AD464" s="605" t="inlineStr">
        <is>
          <t>2021000115751</t>
        </is>
      </c>
      <c r="AE464" s="653" t="inlineStr">
        <is>
          <t>DYNAMIS LLC</t>
        </is>
      </c>
      <c r="AF464" s="653" t="inlineStr">
        <is>
          <t>BROADWAY SQUARE RLLP UND 85.773% INT AND, WESTMINSTER SQUARE LLC UND 14.227%INT</t>
        </is>
      </c>
      <c r="AI464" s="605">
        <f>IF(AND($E464=Subj_OccCode,Subj_BldgSF&gt;0,ABS($L464-Subj_BldgSF)&lt;=Subj_BldgSF*Subj_SizeTol),ABS($L464-Subj_BldgSF),NA())</f>
        <v/>
      </c>
      <c r="AJ464">
        <f>IF(ISNA(AI464),NA(),AI464+ROW()/10000000)</f>
        <v/>
      </c>
      <c r="AK464" s="605">
        <f>IF(AND(ISNUMBER($N464),$N464&gt;0,ISNUMBER($Y464)),$Y464/$N464,"")</f>
        <v/>
      </c>
    </row>
    <row r="465" ht="15" customHeight="1" s="545">
      <c r="A465" s="385" t="n">
        <v>8</v>
      </c>
      <c r="B465" s="605" t="n">
        <v>459</v>
      </c>
      <c r="C465" s="605" t="inlineStr">
        <is>
          <t>R0131994</t>
        </is>
      </c>
      <c r="D465" s="605" t="inlineStr">
        <is>
          <t>12021  PENNSYLVANIA ST #109</t>
        </is>
      </c>
      <c r="E465" s="605" t="n">
        <v>344</v>
      </c>
      <c r="F465" s="605" t="inlineStr">
        <is>
          <t>THORNTON</t>
        </is>
      </c>
      <c r="G465" s="605" t="inlineStr">
        <is>
          <t>3</t>
        </is>
      </c>
      <c r="H465" s="59">
        <f>Y465/J465</f>
        <v/>
      </c>
      <c r="I465" s="386" t="n">
        <v>43735</v>
      </c>
      <c r="J465" s="605" t="n">
        <v>940</v>
      </c>
      <c r="L465" s="605" t="n">
        <v>940</v>
      </c>
      <c r="M465" s="605" t="n">
        <v>2000</v>
      </c>
      <c r="P465" s="605" t="inlineStr">
        <is>
          <t>Regional Commercial</t>
        </is>
      </c>
      <c r="R465" s="152" t="inlineStr">
        <is>
          <t>Average</t>
        </is>
      </c>
      <c r="S465" s="605" t="n">
        <v>3838.69</v>
      </c>
      <c r="T465" s="387">
        <f>S465/J465</f>
        <v/>
      </c>
      <c r="U465" s="605" t="inlineStr">
        <is>
          <t>Average</t>
        </is>
      </c>
      <c r="Y465" s="605" t="n">
        <v>240000</v>
      </c>
      <c r="AA465" s="605" t="n">
        <v>240000</v>
      </c>
      <c r="AC465" s="605" t="inlineStr">
        <is>
          <t>0157334401011</t>
        </is>
      </c>
      <c r="AD465" s="605" t="inlineStr">
        <is>
          <t>2019000081953</t>
        </is>
      </c>
      <c r="AE465" s="653" t="inlineStr">
        <is>
          <t>KOSOROK JOINT FAMILY TRUST THE AND, ELLISS JOINT FAMILY TRUST THE</t>
        </is>
      </c>
      <c r="AF465" s="653" t="inlineStr">
        <is>
          <t>PENN REAL ESTATE 109 LLC</t>
        </is>
      </c>
      <c r="AI465" s="605">
        <f>IF(AND($E465=Subj_OccCode,Subj_BldgSF&gt;0,ABS($L465-Subj_BldgSF)&lt;=Subj_BldgSF*Subj_SizeTol),ABS($L465-Subj_BldgSF),NA())</f>
        <v/>
      </c>
      <c r="AJ465">
        <f>IF(ISNA(AI465),NA(),AI465+ROW()/10000000)</f>
        <v/>
      </c>
      <c r="AK465" s="605">
        <f>IF(AND(ISNUMBER($N465),$N465&gt;0,ISNUMBER($Y465)),$Y465/$N465,"")</f>
        <v/>
      </c>
    </row>
    <row r="466" ht="15" customHeight="1" s="545">
      <c r="A466" s="385" t="n">
        <v>8</v>
      </c>
      <c r="B466" s="605" t="n">
        <v>460</v>
      </c>
      <c r="C466" s="605" t="inlineStr">
        <is>
          <t>R0093922</t>
        </is>
      </c>
      <c r="D466" s="605" t="inlineStr">
        <is>
          <t>3151  OAKLAND ST</t>
        </is>
      </c>
      <c r="E466" s="605" t="n">
        <v>325</v>
      </c>
      <c r="F466" s="605" t="inlineStr">
        <is>
          <t>AURORA</t>
        </is>
      </c>
      <c r="G466" s="605" t="inlineStr">
        <is>
          <t>6</t>
        </is>
      </c>
      <c r="H466" s="59">
        <f>Y466/J466</f>
        <v/>
      </c>
      <c r="I466" s="386" t="n">
        <v>43728</v>
      </c>
      <c r="J466" s="605" t="n">
        <v>9700</v>
      </c>
      <c r="L466" s="605" t="n">
        <v>9700</v>
      </c>
      <c r="M466" s="605" t="n">
        <v>1966</v>
      </c>
      <c r="P466" s="605" t="inlineStr">
        <is>
          <t>M-3</t>
        </is>
      </c>
      <c r="R466" s="152" t="inlineStr">
        <is>
          <t>Average</t>
        </is>
      </c>
      <c r="S466" s="605" t="n">
        <v>22800</v>
      </c>
      <c r="T466" s="387">
        <f>S466/J466</f>
        <v/>
      </c>
      <c r="U466" s="605" t="inlineStr">
        <is>
          <t>Average</t>
        </is>
      </c>
      <c r="Y466" s="605" t="n">
        <v>1282000</v>
      </c>
      <c r="AA466" s="605" t="n">
        <v>1282000</v>
      </c>
      <c r="AC466" s="605" t="inlineStr">
        <is>
          <t>0182326402007</t>
        </is>
      </c>
      <c r="AD466" s="605" t="inlineStr">
        <is>
          <t>2019000079764</t>
        </is>
      </c>
      <c r="AE466" s="653" t="inlineStr">
        <is>
          <t>KORMISHKIN EUGENE</t>
        </is>
      </c>
      <c r="AF466" s="653" t="inlineStr">
        <is>
          <t>HTV COLORADO PROPERTIES LLC</t>
        </is>
      </c>
      <c r="AI466" s="605">
        <f>IF(AND($E466=Subj_OccCode,Subj_BldgSF&gt;0,ABS($L466-Subj_BldgSF)&lt;=Subj_BldgSF*Subj_SizeTol),ABS($L466-Subj_BldgSF),NA())</f>
        <v/>
      </c>
      <c r="AJ466">
        <f>IF(ISNA(AI466),NA(),AI466+ROW()/10000000)</f>
        <v/>
      </c>
      <c r="AK466" s="605">
        <f>IF(AND(ISNUMBER($N466),$N466&gt;0,ISNUMBER($Y466)),$Y466/$N466,"")</f>
        <v/>
      </c>
    </row>
    <row r="467" ht="15" customHeight="1" s="545">
      <c r="A467" s="385" t="n">
        <v>8</v>
      </c>
      <c r="B467" s="605" t="n">
        <v>461</v>
      </c>
      <c r="C467" s="605" t="inlineStr">
        <is>
          <t>R0093880</t>
        </is>
      </c>
      <c r="D467" s="605" t="inlineStr">
        <is>
          <t>11951 E 33RD AVE</t>
        </is>
      </c>
      <c r="E467" s="605" t="n">
        <v>407</v>
      </c>
      <c r="F467" s="605" t="inlineStr">
        <is>
          <t>AURORA</t>
        </is>
      </c>
      <c r="G467" s="605" t="inlineStr">
        <is>
          <t>6</t>
        </is>
      </c>
      <c r="H467" s="59">
        <f>Y467/J467</f>
        <v/>
      </c>
      <c r="I467" s="386" t="n">
        <v>44396</v>
      </c>
      <c r="J467" s="605" t="n">
        <v>39600</v>
      </c>
      <c r="L467" s="605" t="n">
        <v>39600</v>
      </c>
      <c r="M467" s="605" t="n">
        <v>1979</v>
      </c>
      <c r="P467" s="605" t="inlineStr">
        <is>
          <t>M-2</t>
        </is>
      </c>
      <c r="R467" s="152" t="inlineStr">
        <is>
          <t>Average</t>
        </is>
      </c>
      <c r="S467" s="605" t="n">
        <v>204296</v>
      </c>
      <c r="T467" s="387">
        <f>S467/J467</f>
        <v/>
      </c>
      <c r="U467" s="605" t="inlineStr">
        <is>
          <t>Average</t>
        </is>
      </c>
      <c r="Y467" s="605" t="n">
        <v>7425000</v>
      </c>
      <c r="AA467" s="605" t="n">
        <v>7425000</v>
      </c>
      <c r="AC467" s="605" t="inlineStr">
        <is>
          <t>0182326101037</t>
        </is>
      </c>
      <c r="AD467" s="605" t="inlineStr">
        <is>
          <t>2021000085996</t>
        </is>
      </c>
      <c r="AE467" s="653" t="inlineStr">
        <is>
          <t>11951 E 33RD AVE LLC</t>
        </is>
      </c>
      <c r="AF467" s="653" t="inlineStr">
        <is>
          <t>NLA GCH AURORA LLC</t>
        </is>
      </c>
      <c r="AI467" s="605">
        <f>IF(AND($E467=Subj_OccCode,Subj_BldgSF&gt;0,ABS($L467-Subj_BldgSF)&lt;=Subj_BldgSF*Subj_SizeTol),ABS($L467-Subj_BldgSF),NA())</f>
        <v/>
      </c>
      <c r="AJ467">
        <f>IF(ISNA(AI467),NA(),AI467+ROW()/10000000)</f>
        <v/>
      </c>
      <c r="AK467" s="605">
        <f>IF(AND(ISNUMBER($N467),$N467&gt;0,ISNUMBER($Y467)),$Y467/$N467,"")</f>
        <v/>
      </c>
    </row>
    <row r="468" ht="15" customHeight="1" s="545">
      <c r="A468" s="385" t="n">
        <v>8</v>
      </c>
      <c r="B468" s="605" t="n">
        <v>462</v>
      </c>
      <c r="C468" s="605" t="inlineStr">
        <is>
          <t>R0093894</t>
        </is>
      </c>
      <c r="D468" s="605" t="inlineStr">
        <is>
          <t>3223  OAKLAND ST</t>
        </is>
      </c>
      <c r="E468" s="605" t="n">
        <v>406</v>
      </c>
      <c r="F468" s="605" t="inlineStr">
        <is>
          <t>AURORA</t>
        </is>
      </c>
      <c r="G468" s="605" t="inlineStr">
        <is>
          <t>6</t>
        </is>
      </c>
      <c r="H468" s="59">
        <f>Y468/J468</f>
        <v/>
      </c>
      <c r="I468" s="386" t="n">
        <v>43725</v>
      </c>
      <c r="J468" s="605" t="n">
        <v>6250</v>
      </c>
      <c r="L468" s="605" t="n">
        <v>6250</v>
      </c>
      <c r="M468" s="605" t="n">
        <v>1971</v>
      </c>
      <c r="P468" s="605" t="inlineStr">
        <is>
          <t>M-3</t>
        </is>
      </c>
      <c r="R468" s="152" t="inlineStr">
        <is>
          <t>Average</t>
        </is>
      </c>
      <c r="S468" s="605" t="n">
        <v>23750</v>
      </c>
      <c r="T468" s="387">
        <f>S468/J468</f>
        <v/>
      </c>
      <c r="U468" s="605" t="inlineStr">
        <is>
          <t>Average</t>
        </is>
      </c>
      <c r="Y468" s="605" t="n">
        <v>968700</v>
      </c>
      <c r="AA468" s="605" t="n">
        <v>968700</v>
      </c>
      <c r="AC468" s="605" t="inlineStr">
        <is>
          <t>0182326102005</t>
        </is>
      </c>
      <c r="AD468" s="605" t="inlineStr">
        <is>
          <t>2019000080241</t>
        </is>
      </c>
      <c r="AE468" s="653" t="inlineStr">
        <is>
          <t>NORTH JAMES R AND, NORTH JOAN F</t>
        </is>
      </c>
      <c r="AF468" s="653" t="inlineStr">
        <is>
          <t>TRACKING INVESTMENTS LLC</t>
        </is>
      </c>
      <c r="AI468" s="605">
        <f>IF(AND($E468=Subj_OccCode,Subj_BldgSF&gt;0,ABS($L468-Subj_BldgSF)&lt;=Subj_BldgSF*Subj_SizeTol),ABS($L468-Subj_BldgSF),NA())</f>
        <v/>
      </c>
      <c r="AJ468">
        <f>IF(ISNA(AI468),NA(),AI468+ROW()/10000000)</f>
        <v/>
      </c>
      <c r="AK468" s="605">
        <f>IF(AND(ISNUMBER($N468),$N468&gt;0,ISNUMBER($Y468)),$Y468/$N468,"")</f>
        <v/>
      </c>
    </row>
    <row r="469" ht="15" customHeight="1" s="545">
      <c r="A469" s="385" t="n">
        <v>8</v>
      </c>
      <c r="B469" s="605" t="n">
        <v>463</v>
      </c>
      <c r="C469" s="605" t="inlineStr">
        <is>
          <t>R0058427</t>
        </is>
      </c>
      <c r="D469" s="605" t="inlineStr">
        <is>
          <t>500 W 84TH AVE</t>
        </is>
      </c>
      <c r="E469" s="605" t="n">
        <v>384</v>
      </c>
      <c r="G469" s="605" t="inlineStr">
        <is>
          <t>4</t>
        </is>
      </c>
      <c r="H469" s="59">
        <f>Y469/J469</f>
        <v/>
      </c>
      <c r="I469" s="386" t="n">
        <v>44461</v>
      </c>
      <c r="J469" s="605" t="n">
        <v>2450</v>
      </c>
      <c r="L469" s="605" t="n">
        <v>2450</v>
      </c>
      <c r="M469" s="605" t="n">
        <v>1982</v>
      </c>
      <c r="P469" s="605" t="inlineStr">
        <is>
          <t>Commercial</t>
        </is>
      </c>
      <c r="R469" s="152" t="inlineStr">
        <is>
          <t>Average</t>
        </is>
      </c>
      <c r="S469" s="605" t="n">
        <v>8400</v>
      </c>
      <c r="T469" s="387">
        <f>S469/J469</f>
        <v/>
      </c>
      <c r="U469" s="605" t="inlineStr">
        <is>
          <t>Average</t>
        </is>
      </c>
      <c r="Y469" s="605" t="n">
        <v>740000</v>
      </c>
      <c r="AA469" s="605" t="n">
        <v>740000</v>
      </c>
      <c r="AC469" s="605" t="inlineStr">
        <is>
          <t>0171927305001</t>
        </is>
      </c>
      <c r="AD469" s="605" t="inlineStr">
        <is>
          <t>2021000112745</t>
        </is>
      </c>
      <c r="AE469" s="653" t="inlineStr">
        <is>
          <t>500 W 84 LLC</t>
        </is>
      </c>
      <c r="AF469" s="653" t="inlineStr">
        <is>
          <t>HERMOZ LLC</t>
        </is>
      </c>
      <c r="AI469" s="605">
        <f>IF(AND($E469=Subj_OccCode,Subj_BldgSF&gt;0,ABS($L469-Subj_BldgSF)&lt;=Subj_BldgSF*Subj_SizeTol),ABS($L469-Subj_BldgSF),NA())</f>
        <v/>
      </c>
      <c r="AJ469">
        <f>IF(ISNA(AI469),NA(),AI469+ROW()/10000000)</f>
        <v/>
      </c>
      <c r="AK469" s="605">
        <f>IF(AND(ISNUMBER($N469),$N469&gt;0,ISNUMBER($Y469)),$Y469/$N469,"")</f>
        <v/>
      </c>
    </row>
    <row r="470" ht="15" customHeight="1" s="545">
      <c r="A470" s="385" t="n">
        <v>8</v>
      </c>
      <c r="B470" s="605" t="n">
        <v>464</v>
      </c>
      <c r="C470" s="605" t="inlineStr">
        <is>
          <t>R0091804</t>
        </is>
      </c>
      <c r="D470" s="605" t="inlineStr">
        <is>
          <t>6075 E 60TH AVE</t>
        </is>
      </c>
      <c r="E470" s="605" t="n">
        <v>344</v>
      </c>
      <c r="F470" s="605" t="inlineStr">
        <is>
          <t>COMMERCE CITY</t>
        </is>
      </c>
      <c r="G470" s="605" t="inlineStr">
        <is>
          <t>5</t>
        </is>
      </c>
      <c r="H470" s="59">
        <f>Y470/J470</f>
        <v/>
      </c>
      <c r="I470" s="386" t="n">
        <v>43731</v>
      </c>
      <c r="J470" s="605" t="n">
        <v>2080</v>
      </c>
      <c r="L470" s="605" t="n">
        <v>2080</v>
      </c>
      <c r="M470" s="605" t="n">
        <v>1974</v>
      </c>
      <c r="P470" s="605" t="inlineStr">
        <is>
          <t>C-1-Com</t>
        </is>
      </c>
      <c r="R470" s="152" t="inlineStr">
        <is>
          <t>Average</t>
        </is>
      </c>
      <c r="S470" s="605" t="n">
        <v>19375</v>
      </c>
      <c r="T470" s="387">
        <f>S470/J470</f>
        <v/>
      </c>
      <c r="U470" s="605" t="inlineStr">
        <is>
          <t>Average</t>
        </is>
      </c>
      <c r="Y470" s="605" t="n">
        <v>380000</v>
      </c>
      <c r="AA470" s="605" t="n">
        <v>380000</v>
      </c>
      <c r="AC470" s="605" t="inlineStr">
        <is>
          <t>0182308217013</t>
        </is>
      </c>
      <c r="AD470" s="605" t="inlineStr">
        <is>
          <t>2019000090076</t>
        </is>
      </c>
      <c r="AE470" s="653" t="inlineStr">
        <is>
          <t>TIS LEASING LLC</t>
        </is>
      </c>
      <c r="AF470" s="653" t="inlineStr">
        <is>
          <t>ANYHOME INVESTMENT GROUP LLC</t>
        </is>
      </c>
      <c r="AI470" s="605">
        <f>IF(AND($E470=Subj_OccCode,Subj_BldgSF&gt;0,ABS($L470-Subj_BldgSF)&lt;=Subj_BldgSF*Subj_SizeTol),ABS($L470-Subj_BldgSF),NA())</f>
        <v/>
      </c>
      <c r="AJ470">
        <f>IF(ISNA(AI470),NA(),AI470+ROW()/10000000)</f>
        <v/>
      </c>
      <c r="AK470" s="605">
        <f>IF(AND(ISNUMBER($N470),$N470&gt;0,ISNUMBER($Y470)),$Y470/$N470,"")</f>
        <v/>
      </c>
    </row>
    <row r="471" ht="15" customHeight="1" s="545">
      <c r="A471" s="385" t="n">
        <v>8</v>
      </c>
      <c r="B471" s="605" t="n">
        <v>465</v>
      </c>
      <c r="C471" s="605" t="inlineStr">
        <is>
          <t>R0095615</t>
        </is>
      </c>
      <c r="D471" s="605" t="inlineStr">
        <is>
          <t>1550  ELMIRA ST</t>
        </is>
      </c>
      <c r="E471" s="605" t="n">
        <v>344</v>
      </c>
      <c r="F471" s="605" t="inlineStr">
        <is>
          <t>AURORA</t>
        </is>
      </c>
      <c r="G471" s="605" t="inlineStr">
        <is>
          <t>6</t>
        </is>
      </c>
      <c r="H471" s="59">
        <f>Y471/J471</f>
        <v/>
      </c>
      <c r="I471" s="386" t="n">
        <v>44348</v>
      </c>
      <c r="J471" s="605" t="n">
        <v>1994</v>
      </c>
      <c r="L471" s="605" t="n">
        <v>1994</v>
      </c>
      <c r="M471" s="605" t="n">
        <v>1969</v>
      </c>
      <c r="P471" s="605" t="inlineStr">
        <is>
          <t>OA-MS</t>
        </is>
      </c>
      <c r="R471" s="152" t="inlineStr">
        <is>
          <t>Average</t>
        </is>
      </c>
      <c r="S471" s="605" t="n">
        <v>6250</v>
      </c>
      <c r="T471" s="387">
        <f>S471/J471</f>
        <v/>
      </c>
      <c r="U471" s="605" t="inlineStr">
        <is>
          <t>Average</t>
        </is>
      </c>
      <c r="Y471" s="605" t="n">
        <v>385000</v>
      </c>
      <c r="AA471" s="605" t="n">
        <v>385000</v>
      </c>
      <c r="AC471" s="605" t="inlineStr">
        <is>
          <t>0182334425019</t>
        </is>
      </c>
      <c r="AD471" s="605" t="inlineStr">
        <is>
          <t>2021000067125</t>
        </is>
      </c>
      <c r="AE471" s="653" t="inlineStr">
        <is>
          <t>ROSS JENNIFER C LIVING TRUST</t>
        </is>
      </c>
      <c r="AF471" s="653" t="inlineStr">
        <is>
          <t>SCI-1550 ELMIRA LLC</t>
        </is>
      </c>
      <c r="AI471" s="605">
        <f>IF(AND($E471=Subj_OccCode,Subj_BldgSF&gt;0,ABS($L471-Subj_BldgSF)&lt;=Subj_BldgSF*Subj_SizeTol),ABS($L471-Subj_BldgSF),NA())</f>
        <v/>
      </c>
      <c r="AJ471">
        <f>IF(ISNA(AI471),NA(),AI471+ROW()/10000000)</f>
        <v/>
      </c>
      <c r="AK471" s="605">
        <f>IF(AND(ISNUMBER($N471),$N471&gt;0,ISNUMBER($Y471)),$Y471/$N471,"")</f>
        <v/>
      </c>
    </row>
    <row r="472" ht="15" customHeight="1" s="545">
      <c r="A472" s="385" t="n">
        <v>8</v>
      </c>
      <c r="B472" s="605" t="n">
        <v>466</v>
      </c>
      <c r="C472" s="605" t="inlineStr">
        <is>
          <t>R0091298</t>
        </is>
      </c>
      <c r="D472" s="605" t="inlineStr">
        <is>
          <t>6171  OLIVE ST</t>
        </is>
      </c>
      <c r="E472" s="605" t="n">
        <v>442</v>
      </c>
      <c r="F472" s="605" t="inlineStr">
        <is>
          <t>COMMERCE CITY</t>
        </is>
      </c>
      <c r="G472" s="605" t="inlineStr">
        <is>
          <t>5</t>
        </is>
      </c>
      <c r="H472" s="59">
        <f>Y472/J472</f>
        <v/>
      </c>
      <c r="I472" s="386" t="n">
        <v>43271</v>
      </c>
      <c r="J472" s="605" t="n">
        <v>1500</v>
      </c>
      <c r="L472" s="605" t="n">
        <v>1500</v>
      </c>
      <c r="M472" s="605" t="n">
        <v>1942</v>
      </c>
      <c r="P472" s="605" t="inlineStr">
        <is>
          <t>Commerce City</t>
        </is>
      </c>
      <c r="R472" s="152" t="inlineStr">
        <is>
          <t>Average</t>
        </is>
      </c>
      <c r="S472" s="605" t="n">
        <v>21150</v>
      </c>
      <c r="T472" s="387">
        <f>S472/J472</f>
        <v/>
      </c>
      <c r="U472" s="605" t="inlineStr">
        <is>
          <t>Average</t>
        </is>
      </c>
      <c r="Y472" s="605" t="n">
        <v>300000</v>
      </c>
      <c r="AA472" s="605" t="n">
        <v>300000</v>
      </c>
      <c r="AC472" s="605" t="inlineStr">
        <is>
          <t>0182308114018</t>
        </is>
      </c>
      <c r="AD472" s="605" t="inlineStr">
        <is>
          <t>2018000050337</t>
        </is>
      </c>
      <c r="AE472" s="653" t="inlineStr">
        <is>
          <t>TAR HILL INVESTMENTS LLC</t>
        </is>
      </c>
      <c r="AF472" s="653" t="inlineStr">
        <is>
          <t>DANKO-HOLLOWAY LLC</t>
        </is>
      </c>
      <c r="AI472" s="605">
        <f>IF(AND($E472=Subj_OccCode,Subj_BldgSF&gt;0,ABS($L472-Subj_BldgSF)&lt;=Subj_BldgSF*Subj_SizeTol),ABS($L472-Subj_BldgSF),NA())</f>
        <v/>
      </c>
      <c r="AJ472">
        <f>IF(ISNA(AI472),NA(),AI472+ROW()/10000000)</f>
        <v/>
      </c>
      <c r="AK472" s="605">
        <f>IF(AND(ISNUMBER($N472),$N472&gt;0,ISNUMBER($Y472)),$Y472/$N472,"")</f>
        <v/>
      </c>
    </row>
    <row r="473" ht="15" customHeight="1" s="545">
      <c r="A473" s="385" t="n">
        <v>8</v>
      </c>
      <c r="B473" s="605" t="n">
        <v>467</v>
      </c>
      <c r="C473" s="605" t="inlineStr">
        <is>
          <t>R0002834</t>
        </is>
      </c>
      <c r="D473" s="605" t="inlineStr">
        <is>
          <t>43 N MAIN ST</t>
        </is>
      </c>
      <c r="E473" s="605" t="n">
        <v>353</v>
      </c>
      <c r="F473" s="605" t="inlineStr">
        <is>
          <t>BRIGHTON</t>
        </is>
      </c>
      <c r="G473" s="605" t="inlineStr">
        <is>
          <t>2</t>
        </is>
      </c>
      <c r="H473" s="59">
        <f>Y473/J473</f>
        <v/>
      </c>
      <c r="I473" s="386" t="n">
        <v>44483</v>
      </c>
      <c r="J473" s="605" t="n">
        <v>2250</v>
      </c>
      <c r="L473" s="605" t="n">
        <v>2250</v>
      </c>
      <c r="M473" s="605" t="n">
        <v>1895</v>
      </c>
      <c r="P473" s="605" t="inlineStr">
        <is>
          <t>DT</t>
        </is>
      </c>
      <c r="R473" s="152" t="inlineStr">
        <is>
          <t>Low</t>
        </is>
      </c>
      <c r="S473" s="605" t="n">
        <v>5227</v>
      </c>
      <c r="T473" s="387">
        <f>S473/J473</f>
        <v/>
      </c>
      <c r="U473" s="605" t="inlineStr">
        <is>
          <t>Average</t>
        </is>
      </c>
      <c r="Y473" s="605" t="n">
        <v>420000</v>
      </c>
      <c r="AA473" s="605" t="n">
        <v>420000</v>
      </c>
      <c r="AC473" s="605" t="inlineStr">
        <is>
          <t>0156906314002</t>
        </is>
      </c>
      <c r="AD473" s="605" t="inlineStr">
        <is>
          <t>2021000121938</t>
        </is>
      </c>
      <c r="AE473" s="653" t="inlineStr">
        <is>
          <t>PLOCK GARY A AND, PLOCK PAMELA L</t>
        </is>
      </c>
      <c r="AF473" s="653" t="inlineStr">
        <is>
          <t>DOHERTY DANIEL R</t>
        </is>
      </c>
      <c r="AI473" s="605">
        <f>IF(AND($E473=Subj_OccCode,Subj_BldgSF&gt;0,ABS($L473-Subj_BldgSF)&lt;=Subj_BldgSF*Subj_SizeTol),ABS($L473-Subj_BldgSF),NA())</f>
        <v/>
      </c>
      <c r="AJ473">
        <f>IF(ISNA(AI473),NA(),AI473+ROW()/10000000)</f>
        <v/>
      </c>
      <c r="AK473" s="605">
        <f>IF(AND(ISNUMBER($N473),$N473&gt;0,ISNUMBER($Y473)),$Y473/$N473,"")</f>
        <v/>
      </c>
    </row>
    <row r="474" ht="15" customHeight="1" s="545">
      <c r="A474" s="385" t="n">
        <v>8</v>
      </c>
      <c r="B474" s="605" t="n">
        <v>468</v>
      </c>
      <c r="C474" s="605" t="inlineStr">
        <is>
          <t>R0002835</t>
        </is>
      </c>
      <c r="D474" s="605" t="inlineStr">
        <is>
          <t>39 N MAIN ST</t>
        </is>
      </c>
      <c r="E474" s="605" t="n">
        <v>353</v>
      </c>
      <c r="F474" s="605" t="inlineStr">
        <is>
          <t>BRIGHTON</t>
        </is>
      </c>
      <c r="G474" s="605" t="inlineStr">
        <is>
          <t>2</t>
        </is>
      </c>
      <c r="H474" s="59">
        <f>Y474/J474</f>
        <v/>
      </c>
      <c r="I474" s="386" t="n">
        <v>44483</v>
      </c>
      <c r="J474" s="605" t="n">
        <v>2260</v>
      </c>
      <c r="L474" s="605" t="n">
        <v>2260</v>
      </c>
      <c r="M474" s="605" t="n">
        <v>1897</v>
      </c>
      <c r="P474" s="605" t="inlineStr">
        <is>
          <t>DT</t>
        </is>
      </c>
      <c r="R474" s="152" t="inlineStr">
        <is>
          <t>Average</t>
        </is>
      </c>
      <c r="S474" s="605" t="n">
        <v>4920</v>
      </c>
      <c r="T474" s="387">
        <f>S474/J474</f>
        <v/>
      </c>
      <c r="U474" s="605" t="inlineStr">
        <is>
          <t>Average</t>
        </is>
      </c>
      <c r="Y474" s="605" t="n">
        <v>420000</v>
      </c>
      <c r="AA474" s="605" t="n">
        <v>420000</v>
      </c>
      <c r="AC474" s="605" t="inlineStr">
        <is>
          <t>0156906314003</t>
        </is>
      </c>
      <c r="AD474" s="605" t="inlineStr">
        <is>
          <t>2021000121932</t>
        </is>
      </c>
      <c r="AE474" s="653" t="inlineStr">
        <is>
          <t>PLOCK GARY A AND, PLOCK PAMELA L</t>
        </is>
      </c>
      <c r="AF474" s="653" t="inlineStr">
        <is>
          <t>DOHERTY DANIEL R</t>
        </is>
      </c>
      <c r="AI474" s="605">
        <f>IF(AND($E474=Subj_OccCode,Subj_BldgSF&gt;0,ABS($L474-Subj_BldgSF)&lt;=Subj_BldgSF*Subj_SizeTol),ABS($L474-Subj_BldgSF),NA())</f>
        <v/>
      </c>
      <c r="AJ474">
        <f>IF(ISNA(AI474),NA(),AI474+ROW()/10000000)</f>
        <v/>
      </c>
      <c r="AK474" s="605">
        <f>IF(AND(ISNUMBER($N474),$N474&gt;0,ISNUMBER($Y474)),$Y474/$N474,"")</f>
        <v/>
      </c>
    </row>
    <row r="475" ht="15" customHeight="1" s="545">
      <c r="A475" s="385" t="n">
        <v>8</v>
      </c>
      <c r="B475" s="605" t="n">
        <v>469</v>
      </c>
      <c r="C475" s="605" t="inlineStr">
        <is>
          <t>R0054373</t>
        </is>
      </c>
      <c r="D475" s="605" t="inlineStr">
        <is>
          <t>2301 E 88TH AVE</t>
        </is>
      </c>
      <c r="E475" s="605" t="n">
        <v>419</v>
      </c>
      <c r="F475" s="605" t="inlineStr">
        <is>
          <t>THORNTON</t>
        </is>
      </c>
      <c r="G475" s="605" t="inlineStr">
        <is>
          <t>4</t>
        </is>
      </c>
      <c r="H475" s="59">
        <f>Y475/J475</f>
        <v/>
      </c>
      <c r="I475" s="386" t="n">
        <v>44644</v>
      </c>
      <c r="J475" s="605" t="n">
        <v>2467</v>
      </c>
      <c r="L475" s="605" t="n">
        <v>2467</v>
      </c>
      <c r="M475" s="605" t="n">
        <v>1987</v>
      </c>
      <c r="P475" s="605" t="inlineStr">
        <is>
          <t>Community Retail</t>
        </is>
      </c>
      <c r="R475" s="152" t="inlineStr">
        <is>
          <t>Average</t>
        </is>
      </c>
      <c r="S475" s="605" t="n">
        <v>18750</v>
      </c>
      <c r="T475" s="387">
        <f>S475/J475</f>
        <v/>
      </c>
      <c r="U475" s="605" t="inlineStr">
        <is>
          <t>Average</t>
        </is>
      </c>
      <c r="Y475" s="605" t="n">
        <v>2470000</v>
      </c>
      <c r="AA475" s="605" t="n">
        <v>2470000</v>
      </c>
      <c r="AC475" s="605" t="inlineStr">
        <is>
          <t>0171924319001</t>
        </is>
      </c>
      <c r="AD475" s="605" t="inlineStr">
        <is>
          <t>2022000028346</t>
        </is>
      </c>
      <c r="AE475" s="653" t="inlineStr">
        <is>
          <t>CF ALTITUDE PROPCO II LLC</t>
        </is>
      </c>
      <c r="AF475" s="653" t="inlineStr">
        <is>
          <t>HAZARD LAKE LLC</t>
        </is>
      </c>
      <c r="AI475" s="605">
        <f>IF(AND($E475=Subj_OccCode,Subj_BldgSF&gt;0,ABS($L475-Subj_BldgSF)&lt;=Subj_BldgSF*Subj_SizeTol),ABS($L475-Subj_BldgSF),NA())</f>
        <v/>
      </c>
      <c r="AJ475">
        <f>IF(ISNA(AI475),NA(),AI475+ROW()/10000000)</f>
        <v/>
      </c>
      <c r="AK475" s="605">
        <f>IF(AND(ISNUMBER($N475),$N475&gt;0,ISNUMBER($Y475)),$Y475/$N475,"")</f>
        <v/>
      </c>
    </row>
    <row r="476" ht="15" customHeight="1" s="545">
      <c r="A476" s="385" t="n">
        <v>8</v>
      </c>
      <c r="B476" s="605" t="n">
        <v>470</v>
      </c>
      <c r="C476" s="605" t="inlineStr">
        <is>
          <t>R0054373</t>
        </is>
      </c>
      <c r="D476" s="605" t="inlineStr">
        <is>
          <t>2301 E 88TH AVE</t>
        </is>
      </c>
      <c r="E476" s="605" t="n">
        <v>419</v>
      </c>
      <c r="F476" s="605" t="inlineStr">
        <is>
          <t>THORNTON</t>
        </is>
      </c>
      <c r="G476" s="605" t="inlineStr">
        <is>
          <t>4</t>
        </is>
      </c>
      <c r="H476" s="59">
        <f>Y476/J476</f>
        <v/>
      </c>
      <c r="I476" s="386" t="n">
        <v>43112</v>
      </c>
      <c r="J476" s="605" t="n">
        <v>2467</v>
      </c>
      <c r="L476" s="605" t="n">
        <v>2467</v>
      </c>
      <c r="M476" s="605" t="n">
        <v>1987</v>
      </c>
      <c r="P476" s="605" t="inlineStr">
        <is>
          <t>Thornton</t>
        </is>
      </c>
      <c r="R476" s="152" t="inlineStr">
        <is>
          <t>Average</t>
        </is>
      </c>
      <c r="S476" s="605" t="n">
        <v>18750</v>
      </c>
      <c r="T476" s="387">
        <f>S476/J476</f>
        <v/>
      </c>
      <c r="U476" s="605" t="inlineStr">
        <is>
          <t>Average</t>
        </is>
      </c>
      <c r="Y476" s="605" t="n">
        <v>1083700</v>
      </c>
      <c r="AA476" s="605" t="n">
        <v>1083700</v>
      </c>
      <c r="AC476" s="605" t="inlineStr">
        <is>
          <t>0171924319001</t>
        </is>
      </c>
      <c r="AD476" s="605" t="inlineStr">
        <is>
          <t>2018000006835</t>
        </is>
      </c>
      <c r="AE476" s="653" t="inlineStr">
        <is>
          <t>H.D.T. TEN LIMITED LIABILITY, COMPANY</t>
        </is>
      </c>
      <c r="AF476" s="653" t="inlineStr">
        <is>
          <t>CH REALTY VIII/CT CO WESTERN LLC</t>
        </is>
      </c>
      <c r="AI476" s="605">
        <f>IF(AND($E476=Subj_OccCode,Subj_BldgSF&gt;0,ABS($L476-Subj_BldgSF)&lt;=Subj_BldgSF*Subj_SizeTol),ABS($L476-Subj_BldgSF),NA())</f>
        <v/>
      </c>
      <c r="AJ476">
        <f>IF(ISNA(AI476),NA(),AI476+ROW()/10000000)</f>
        <v/>
      </c>
      <c r="AK476" s="605">
        <f>IF(AND(ISNUMBER($N476),$N476&gt;0,ISNUMBER($Y476)),$Y476/$N476,"")</f>
        <v/>
      </c>
    </row>
    <row r="477" ht="15" customHeight="1" s="545">
      <c r="A477" s="385" t="n">
        <v>8</v>
      </c>
      <c r="B477" s="605" t="n">
        <v>471</v>
      </c>
      <c r="C477" s="605" t="inlineStr">
        <is>
          <t>R0048713</t>
        </is>
      </c>
      <c r="D477" s="605" t="inlineStr">
        <is>
          <t>9462  FEDERAL BLVD</t>
        </is>
      </c>
      <c r="E477" s="605" t="n">
        <v>344</v>
      </c>
      <c r="F477" s="605" t="inlineStr">
        <is>
          <t>FEDERAL HEIGHTS</t>
        </is>
      </c>
      <c r="G477" s="605" t="inlineStr">
        <is>
          <t>4</t>
        </is>
      </c>
      <c r="H477" s="59">
        <f>Y477/J477</f>
        <v/>
      </c>
      <c r="I477" s="386" t="n">
        <v>44564</v>
      </c>
      <c r="J477" s="605" t="n">
        <v>2976</v>
      </c>
      <c r="L477" s="605" t="n">
        <v>2976</v>
      </c>
      <c r="M477" s="605" t="n">
        <v>1979</v>
      </c>
      <c r="P477" s="605" t="inlineStr">
        <is>
          <t>C-1-Fed</t>
        </is>
      </c>
      <c r="R477" s="152" t="inlineStr">
        <is>
          <t>Average</t>
        </is>
      </c>
      <c r="S477" s="605" t="n">
        <v>13972</v>
      </c>
      <c r="T477" s="387">
        <f>S477/J477</f>
        <v/>
      </c>
      <c r="U477" s="605" t="inlineStr">
        <is>
          <t>Average</t>
        </is>
      </c>
      <c r="Y477" s="605" t="n">
        <v>1025000</v>
      </c>
      <c r="AA477" s="605" t="n">
        <v>1025000</v>
      </c>
      <c r="AC477" s="605" t="inlineStr">
        <is>
          <t>0171920101010</t>
        </is>
      </c>
      <c r="AD477" s="605" t="inlineStr">
        <is>
          <t>2022000000831</t>
        </is>
      </c>
      <c r="AE477" s="653" t="inlineStr">
        <is>
          <t>TJ INVESTMENTS LLC</t>
        </is>
      </c>
      <c r="AF477" s="653" t="inlineStr">
        <is>
          <t>FG LAND INVESTMENTS LLC</t>
        </is>
      </c>
      <c r="AI477" s="605">
        <f>IF(AND($E477=Subj_OccCode,Subj_BldgSF&gt;0,ABS($L477-Subj_BldgSF)&lt;=Subj_BldgSF*Subj_SizeTol),ABS($L477-Subj_BldgSF),NA())</f>
        <v/>
      </c>
      <c r="AJ477">
        <f>IF(ISNA(AI477),NA(),AI477+ROW()/10000000)</f>
        <v/>
      </c>
      <c r="AK477" s="605">
        <f>IF(AND(ISNUMBER($N477),$N477&gt;0,ISNUMBER($Y477)),$Y477/$N477,"")</f>
        <v/>
      </c>
    </row>
    <row r="478" ht="15" customHeight="1" s="545">
      <c r="A478" s="385" t="n">
        <v>8</v>
      </c>
      <c r="B478" s="605" t="n">
        <v>472</v>
      </c>
      <c r="C478" s="605" t="inlineStr">
        <is>
          <t>R0051481</t>
        </is>
      </c>
      <c r="D478" s="605" t="inlineStr">
        <is>
          <t>401 E 88TH AVE</t>
        </is>
      </c>
      <c r="E478" s="605" t="n">
        <v>306</v>
      </c>
      <c r="F478" s="605" t="inlineStr">
        <is>
          <t>THORNTON</t>
        </is>
      </c>
      <c r="G478" s="605" t="inlineStr">
        <is>
          <t>4</t>
        </is>
      </c>
      <c r="H478" s="59">
        <f>Y478/J478</f>
        <v/>
      </c>
      <c r="I478" s="386" t="n">
        <v>43602</v>
      </c>
      <c r="J478" s="605" t="n">
        <v>36000</v>
      </c>
      <c r="L478" s="605" t="n">
        <v>36000</v>
      </c>
      <c r="M478" s="605" t="n">
        <v>1979</v>
      </c>
      <c r="P478" s="605" t="inlineStr">
        <is>
          <t>Thornton</t>
        </is>
      </c>
      <c r="R478" s="152" t="inlineStr">
        <is>
          <t>Average</t>
        </is>
      </c>
      <c r="S478" s="605" t="n">
        <v>267981</v>
      </c>
      <c r="T478" s="387">
        <f>S478/J478</f>
        <v/>
      </c>
      <c r="U478" s="605" t="inlineStr">
        <is>
          <t>Average</t>
        </is>
      </c>
      <c r="Y478" s="605" t="n">
        <v>3725900</v>
      </c>
      <c r="AA478" s="605" t="n">
        <v>3725900</v>
      </c>
      <c r="AC478" s="605" t="inlineStr">
        <is>
          <t>0171922408004</t>
        </is>
      </c>
      <c r="AD478" s="605" t="inlineStr">
        <is>
          <t>2019000041060</t>
        </is>
      </c>
      <c r="AE478" s="653" t="inlineStr">
        <is>
          <t>AMF BOWLING CENTERS INC</t>
        </is>
      </c>
      <c r="AF478" s="653" t="inlineStr">
        <is>
          <t>ISTAR BOWLING CENTER I LP</t>
        </is>
      </c>
      <c r="AI478" s="605">
        <f>IF(AND($E478=Subj_OccCode,Subj_BldgSF&gt;0,ABS($L478-Subj_BldgSF)&lt;=Subj_BldgSF*Subj_SizeTol),ABS($L478-Subj_BldgSF),NA())</f>
        <v/>
      </c>
      <c r="AJ478">
        <f>IF(ISNA(AI478),NA(),AI478+ROW()/10000000)</f>
        <v/>
      </c>
      <c r="AK478" s="605">
        <f>IF(AND(ISNUMBER($N478),$N478&gt;0,ISNUMBER($Y478)),$Y478/$N478,"")</f>
        <v/>
      </c>
    </row>
    <row r="479" ht="15" customHeight="1" s="545">
      <c r="A479" s="385" t="n">
        <v>8</v>
      </c>
      <c r="B479" s="605" t="n">
        <v>473</v>
      </c>
      <c r="C479" s="605" t="inlineStr">
        <is>
          <t>R0050051</t>
        </is>
      </c>
      <c r="D479" s="605" t="inlineStr">
        <is>
          <t>2951 W 91ST PL</t>
        </is>
      </c>
      <c r="E479" s="605" t="n">
        <v>406</v>
      </c>
      <c r="F479" s="605" t="inlineStr">
        <is>
          <t>FEDERAL HEIGHTS</t>
        </is>
      </c>
      <c r="G479" s="605" t="inlineStr">
        <is>
          <t>4</t>
        </is>
      </c>
      <c r="H479" s="59">
        <f>Y479/J479</f>
        <v/>
      </c>
      <c r="I479" s="386" t="n">
        <v>44082</v>
      </c>
      <c r="J479" s="605" t="n">
        <v>3239</v>
      </c>
      <c r="L479" s="605" t="n">
        <v>3239</v>
      </c>
      <c r="M479" s="605" t="n">
        <v>2005</v>
      </c>
      <c r="P479" s="605" t="inlineStr">
        <is>
          <t>C-1-Fed</t>
        </is>
      </c>
      <c r="R479" s="152" t="inlineStr">
        <is>
          <t>Average</t>
        </is>
      </c>
      <c r="S479" s="605" t="n">
        <v>13678</v>
      </c>
      <c r="T479" s="387">
        <f>S479/J479</f>
        <v/>
      </c>
      <c r="U479" s="605" t="inlineStr">
        <is>
          <t>Average</t>
        </is>
      </c>
      <c r="Y479" s="605" t="n">
        <v>660000</v>
      </c>
      <c r="AA479" s="605" t="n">
        <v>660000</v>
      </c>
      <c r="AC479" s="605" t="inlineStr">
        <is>
          <t>0171920401019</t>
        </is>
      </c>
      <c r="AD479" s="605" t="inlineStr">
        <is>
          <t>2020000089757</t>
        </is>
      </c>
      <c r="AE479" s="653" t="inlineStr">
        <is>
          <t>BLUEPRINT INVESTMENT FUND LLC</t>
        </is>
      </c>
      <c r="AF479" s="653" t="inlineStr">
        <is>
          <t>KD INVESTMENTS LTD</t>
        </is>
      </c>
      <c r="AI479" s="605">
        <f>IF(AND($E479=Subj_OccCode,Subj_BldgSF&gt;0,ABS($L479-Subj_BldgSF)&lt;=Subj_BldgSF*Subj_SizeTol),ABS($L479-Subj_BldgSF),NA())</f>
        <v/>
      </c>
      <c r="AJ479">
        <f>IF(ISNA(AI479),NA(),AI479+ROW()/10000000)</f>
        <v/>
      </c>
      <c r="AK479" s="605">
        <f>IF(AND(ISNUMBER($N479),$N479&gt;0,ISNUMBER($Y479)),$Y479/$N479,"")</f>
        <v/>
      </c>
    </row>
    <row r="480" ht="15" customHeight="1" s="545">
      <c r="A480" s="385" t="n">
        <v>8</v>
      </c>
      <c r="B480" s="605" t="n">
        <v>474</v>
      </c>
      <c r="C480" s="605" t="inlineStr">
        <is>
          <t>R0042962</t>
        </is>
      </c>
      <c r="D480" s="605" t="inlineStr">
        <is>
          <t>10250  URA LN</t>
        </is>
      </c>
      <c r="E480" s="605" t="n">
        <v>442</v>
      </c>
      <c r="F480" s="605" t="inlineStr">
        <is>
          <t>THORNTON</t>
        </is>
      </c>
      <c r="G480" s="605" t="inlineStr">
        <is>
          <t>4</t>
        </is>
      </c>
      <c r="H480" s="59">
        <f>Y480/J480</f>
        <v/>
      </c>
      <c r="I480" s="386" t="n">
        <v>44243</v>
      </c>
      <c r="J480" s="605" t="n">
        <v>6042</v>
      </c>
      <c r="L480" s="605" t="n">
        <v>6042</v>
      </c>
      <c r="M480" s="605" t="n">
        <v>1977</v>
      </c>
      <c r="P480" s="605" t="inlineStr">
        <is>
          <t>Community Retail</t>
        </is>
      </c>
      <c r="R480" s="152" t="inlineStr">
        <is>
          <t>Average</t>
        </is>
      </c>
      <c r="S480" s="605" t="n">
        <v>47600</v>
      </c>
      <c r="T480" s="387">
        <f>S480/J480</f>
        <v/>
      </c>
      <c r="U480" s="605" t="inlineStr">
        <is>
          <t>Average</t>
        </is>
      </c>
      <c r="Y480" s="605" t="n">
        <v>550000</v>
      </c>
      <c r="AA480" s="605" t="n">
        <v>550000</v>
      </c>
      <c r="AC480" s="605" t="inlineStr">
        <is>
          <t>0171916202018</t>
        </is>
      </c>
      <c r="AD480" s="605" t="inlineStr">
        <is>
          <t>2021000020257</t>
        </is>
      </c>
      <c r="AE480" s="653" t="inlineStr">
        <is>
          <t>URA SINGH LLC</t>
        </is>
      </c>
      <c r="AF480" s="653" t="inlineStr">
        <is>
          <t>LUNA MANUEL</t>
        </is>
      </c>
      <c r="AI480" s="605">
        <f>IF(AND($E480=Subj_OccCode,Subj_BldgSF&gt;0,ABS($L480-Subj_BldgSF)&lt;=Subj_BldgSF*Subj_SizeTol),ABS($L480-Subj_BldgSF),NA())</f>
        <v/>
      </c>
      <c r="AJ480">
        <f>IF(ISNA(AI480),NA(),AI480+ROW()/10000000)</f>
        <v/>
      </c>
      <c r="AK480" s="605">
        <f>IF(AND(ISNUMBER($N480),$N480&gt;0,ISNUMBER($Y480)),$Y480/$N480,"")</f>
        <v/>
      </c>
    </row>
    <row r="481" ht="15" customHeight="1" s="545">
      <c r="A481" s="385" t="n">
        <v>8</v>
      </c>
      <c r="B481" s="605" t="n">
        <v>475</v>
      </c>
      <c r="C481" s="605" t="inlineStr">
        <is>
          <t>R0109963</t>
        </is>
      </c>
      <c r="D481" s="605" t="inlineStr">
        <is>
          <t>16475 E 40TH CIR</t>
        </is>
      </c>
      <c r="E481" s="605" t="n">
        <v>332</v>
      </c>
      <c r="F481" s="605" t="inlineStr">
        <is>
          <t>AURORA</t>
        </is>
      </c>
      <c r="G481" s="605" t="inlineStr">
        <is>
          <t>6</t>
        </is>
      </c>
      <c r="H481" s="59">
        <f>Y481/L481</f>
        <v/>
      </c>
      <c r="I481" s="386" t="n">
        <v>44537</v>
      </c>
      <c r="J481" s="605" t="n">
        <v>84934</v>
      </c>
      <c r="L481" s="605" t="n">
        <v>157</v>
      </c>
      <c r="M481" s="605" t="n">
        <v>1998</v>
      </c>
      <c r="P481" s="605" t="inlineStr">
        <is>
          <t>PD</t>
        </is>
      </c>
      <c r="R481" s="152" t="inlineStr">
        <is>
          <t>Average</t>
        </is>
      </c>
      <c r="S481" s="605" t="n">
        <v>152551.5</v>
      </c>
      <c r="T481" s="387">
        <f>S481/J481</f>
        <v/>
      </c>
      <c r="U481" s="605" t="inlineStr">
        <is>
          <t>Average</t>
        </is>
      </c>
      <c r="Y481" s="605" t="n">
        <v>27500000</v>
      </c>
      <c r="AA481" s="605" t="n">
        <v>27500000</v>
      </c>
      <c r="AC481" s="605" t="inlineStr">
        <is>
          <t>0182100011005</t>
        </is>
      </c>
      <c r="AD481" s="605" t="inlineStr">
        <is>
          <t>2022000014451</t>
        </is>
      </c>
      <c r="AE481" s="653" t="inlineStr">
        <is>
          <t>GATEWAY HOTEL LLC, C/O STANLEY A GALLERY</t>
        </is>
      </c>
      <c r="AF481" s="653" t="inlineStr">
        <is>
          <t>D CASA INVESTMENT LLC</t>
        </is>
      </c>
      <c r="AI481" s="605">
        <f>IF(AND($E481=Subj_OccCode,Subj_BldgSF&gt;0,ABS($L481-Subj_BldgSF)&lt;=Subj_BldgSF*Subj_SizeTol),ABS($L481-Subj_BldgSF),NA())</f>
        <v/>
      </c>
      <c r="AJ481">
        <f>IF(ISNA(AI481),NA(),AI481+ROW()/10000000)</f>
        <v/>
      </c>
      <c r="AK481" s="605">
        <f>IF(AND(ISNUMBER($N481),$N481&gt;0,ISNUMBER($Y481)),$Y481/$N481,"")</f>
        <v/>
      </c>
    </row>
    <row r="482" ht="15" customHeight="1" s="545">
      <c r="A482" s="385" t="n">
        <v>8</v>
      </c>
      <c r="B482" s="605" t="n">
        <v>476</v>
      </c>
      <c r="C482" s="605" t="inlineStr">
        <is>
          <t>R0063285</t>
        </is>
      </c>
      <c r="D482" s="605" t="inlineStr">
        <is>
          <t>8060  SHERIDAN BLVD</t>
        </is>
      </c>
      <c r="E482" s="605" t="n">
        <v>325</v>
      </c>
      <c r="F482" s="605" t="inlineStr">
        <is>
          <t>WESTMINSTER</t>
        </is>
      </c>
      <c r="G482" s="605" t="inlineStr">
        <is>
          <t>4</t>
        </is>
      </c>
      <c r="H482" s="59">
        <f>Y482/J482</f>
        <v/>
      </c>
      <c r="I482" s="386" t="n">
        <v>43796</v>
      </c>
      <c r="J482" s="605" t="n">
        <v>3900</v>
      </c>
      <c r="L482" s="605" t="n">
        <v>3900</v>
      </c>
      <c r="M482" s="605" t="n">
        <v>1975</v>
      </c>
      <c r="P482" s="605" t="inlineStr">
        <is>
          <t>C-1-Wes</t>
        </is>
      </c>
      <c r="R482" s="152" t="inlineStr">
        <is>
          <t>Average</t>
        </is>
      </c>
      <c r="S482" s="605" t="n">
        <v>12910</v>
      </c>
      <c r="T482" s="387">
        <f>S482/J482</f>
        <v/>
      </c>
      <c r="U482" s="605" t="inlineStr">
        <is>
          <t>Average</t>
        </is>
      </c>
      <c r="Y482" s="605" t="n">
        <v>750000</v>
      </c>
      <c r="AA482" s="605" t="n">
        <v>750000</v>
      </c>
      <c r="AC482" s="605" t="inlineStr">
        <is>
          <t>0171930320006</t>
        </is>
      </c>
      <c r="AD482" s="605" t="inlineStr">
        <is>
          <t>2019000103805</t>
        </is>
      </c>
      <c r="AE482" s="653" t="inlineStr">
        <is>
          <t>LEIGH MICHAEL R</t>
        </is>
      </c>
      <c r="AF482" s="653" t="inlineStr">
        <is>
          <t>RJC HOLDINGS LLC</t>
        </is>
      </c>
      <c r="AI482" s="605">
        <f>IF(AND($E482=Subj_OccCode,Subj_BldgSF&gt;0,ABS($L482-Subj_BldgSF)&lt;=Subj_BldgSF*Subj_SizeTol),ABS($L482-Subj_BldgSF),NA())</f>
        <v/>
      </c>
      <c r="AJ482">
        <f>IF(ISNA(AI482),NA(),AI482+ROW()/10000000)</f>
        <v/>
      </c>
      <c r="AK482" s="605">
        <f>IF(AND(ISNUMBER($N482),$N482&gt;0,ISNUMBER($Y482)),$Y482/$N482,"")</f>
        <v/>
      </c>
    </row>
    <row r="483" ht="15" customHeight="1" s="545">
      <c r="A483" s="385" t="n">
        <v>8</v>
      </c>
      <c r="B483" s="605" t="n">
        <v>477</v>
      </c>
      <c r="C483" s="605" t="inlineStr">
        <is>
          <t>R0003498</t>
        </is>
      </c>
      <c r="D483" s="605" t="inlineStr">
        <is>
          <t>20 S 5TH AVE</t>
        </is>
      </c>
      <c r="E483" s="605" t="n">
        <v>3441</v>
      </c>
      <c r="F483" s="605" t="inlineStr">
        <is>
          <t>BRIGHTON</t>
        </is>
      </c>
      <c r="G483" s="605" t="inlineStr">
        <is>
          <t>2</t>
        </is>
      </c>
      <c r="H483" s="59">
        <f>Y483/J483</f>
        <v/>
      </c>
      <c r="I483" s="386" t="n">
        <v>44281</v>
      </c>
      <c r="J483" s="605" t="n">
        <v>1707</v>
      </c>
      <c r="L483" s="605" t="n">
        <v>1707</v>
      </c>
      <c r="M483" s="605" t="n">
        <v>1917</v>
      </c>
      <c r="P483" s="605" t="inlineStr">
        <is>
          <t>C-2-Bri</t>
        </is>
      </c>
      <c r="R483" s="152" t="inlineStr">
        <is>
          <t>Average</t>
        </is>
      </c>
      <c r="S483" s="605" t="n">
        <v>7500</v>
      </c>
      <c r="T483" s="387">
        <f>S483/J483</f>
        <v/>
      </c>
      <c r="U483" s="605" t="inlineStr">
        <is>
          <t>Average</t>
        </is>
      </c>
      <c r="Y483" s="605" t="n">
        <v>430000</v>
      </c>
      <c r="AA483" s="605" t="n">
        <v>430000</v>
      </c>
      <c r="AC483" s="605" t="inlineStr">
        <is>
          <t>0156907106003</t>
        </is>
      </c>
      <c r="AD483" s="605" t="inlineStr">
        <is>
          <t>2021000037982</t>
        </is>
      </c>
      <c r="AE483" s="653" t="inlineStr">
        <is>
          <t>BRIGHTON PROFESSIONAL GROUP LLC</t>
        </is>
      </c>
      <c r="AF483" s="653" t="inlineStr">
        <is>
          <t>MARQUEZ PROFESSIONAL COMPANY LLC</t>
        </is>
      </c>
      <c r="AI483" s="605">
        <f>IF(AND($E483=Subj_OccCode,Subj_BldgSF&gt;0,ABS($L483-Subj_BldgSF)&lt;=Subj_BldgSF*Subj_SizeTol),ABS($L483-Subj_BldgSF),NA())</f>
        <v/>
      </c>
      <c r="AJ483">
        <f>IF(ISNA(AI483),NA(),AI483+ROW()/10000000)</f>
        <v/>
      </c>
      <c r="AK483" s="605">
        <f>IF(AND(ISNUMBER($N483),$N483&gt;0,ISNUMBER($Y483)),$Y483/$N483,"")</f>
        <v/>
      </c>
    </row>
    <row r="484" ht="15" customHeight="1" s="545">
      <c r="A484" s="385" t="n">
        <v>8</v>
      </c>
      <c r="B484" s="605" t="n">
        <v>478</v>
      </c>
      <c r="C484" s="605" t="inlineStr">
        <is>
          <t>R0092656</t>
        </is>
      </c>
      <c r="D484" s="605" t="inlineStr">
        <is>
          <t>6430 E 50TH AVE</t>
        </is>
      </c>
      <c r="E484" s="605" t="n">
        <v>407</v>
      </c>
      <c r="F484" s="605" t="inlineStr">
        <is>
          <t>COMMERCE CITY</t>
        </is>
      </c>
      <c r="G484" s="605" t="inlineStr">
        <is>
          <t>2</t>
        </is>
      </c>
      <c r="H484" s="59">
        <f>Y484/J484</f>
        <v/>
      </c>
      <c r="I484" s="386" t="n">
        <v>43420</v>
      </c>
      <c r="J484" s="605" t="n">
        <v>11692</v>
      </c>
      <c r="L484" s="605" t="n">
        <v>11692</v>
      </c>
      <c r="M484" s="605" t="n">
        <v>1962</v>
      </c>
      <c r="P484" s="605" t="inlineStr">
        <is>
          <t>Commerce City</t>
        </is>
      </c>
      <c r="R484" s="152" t="inlineStr">
        <is>
          <t>Average</t>
        </is>
      </c>
      <c r="S484" s="605" t="n">
        <v>18500</v>
      </c>
      <c r="T484" s="387">
        <f>S484/J484</f>
        <v/>
      </c>
      <c r="U484" s="605" t="inlineStr">
        <is>
          <t>Average</t>
        </is>
      </c>
      <c r="Y484" s="605" t="n">
        <v>1210000</v>
      </c>
      <c r="AA484" s="605" t="n">
        <v>1210000</v>
      </c>
      <c r="AC484" s="605" t="inlineStr">
        <is>
          <t>0182317301001</t>
        </is>
      </c>
      <c r="AD484" s="605" t="inlineStr">
        <is>
          <t>2018000093283</t>
        </is>
      </c>
      <c r="AE484" s="653" t="inlineStr">
        <is>
          <t>JS BUILDERS LLC</t>
        </is>
      </c>
      <c r="AF484" s="653" t="inlineStr">
        <is>
          <t>BLACKWATER LLC</t>
        </is>
      </c>
      <c r="AI484" s="605">
        <f>IF(AND($E484=Subj_OccCode,Subj_BldgSF&gt;0,ABS($L484-Subj_BldgSF)&lt;=Subj_BldgSF*Subj_SizeTol),ABS($L484-Subj_BldgSF),NA())</f>
        <v/>
      </c>
      <c r="AJ484">
        <f>IF(ISNA(AI484),NA(),AI484+ROW()/10000000)</f>
        <v/>
      </c>
      <c r="AK484" s="605">
        <f>IF(AND(ISNUMBER($N484),$N484&gt;0,ISNUMBER($Y484)),$Y484/$N484,"")</f>
        <v/>
      </c>
    </row>
    <row r="485" ht="15" customHeight="1" s="545">
      <c r="A485" s="385" t="n">
        <v>8</v>
      </c>
      <c r="B485" s="605" t="n">
        <v>479</v>
      </c>
      <c r="C485" s="605" t="inlineStr">
        <is>
          <t>R0054110</t>
        </is>
      </c>
      <c r="D485" s="605" t="inlineStr">
        <is>
          <t>2401 E 88TH AVE</t>
        </is>
      </c>
      <c r="E485" s="605" t="n">
        <v>353</v>
      </c>
      <c r="F485" s="605" t="inlineStr">
        <is>
          <t>THORNTON</t>
        </is>
      </c>
      <c r="G485" s="605" t="inlineStr">
        <is>
          <t>4</t>
        </is>
      </c>
      <c r="H485" s="59">
        <f>Y485/J485</f>
        <v/>
      </c>
      <c r="I485" s="386" t="n">
        <v>43789</v>
      </c>
      <c r="J485" s="605" t="n">
        <v>11368</v>
      </c>
      <c r="L485" s="605" t="n">
        <v>11368</v>
      </c>
      <c r="M485" s="605" t="n">
        <v>1979</v>
      </c>
      <c r="P485" s="605" t="inlineStr">
        <is>
          <t>Community Retail</t>
        </is>
      </c>
      <c r="R485" s="152" t="inlineStr">
        <is>
          <t>Average</t>
        </is>
      </c>
      <c r="S485" s="605" t="n">
        <v>48352</v>
      </c>
      <c r="T485" s="387">
        <f>S485/J485</f>
        <v/>
      </c>
      <c r="U485" s="605" t="inlineStr">
        <is>
          <t>Average</t>
        </is>
      </c>
      <c r="Y485" s="605" t="n">
        <v>2000000</v>
      </c>
      <c r="AA485" s="605" t="n">
        <v>2000000</v>
      </c>
      <c r="AC485" s="605" t="inlineStr">
        <is>
          <t>0171924300024</t>
        </is>
      </c>
      <c r="AD485" s="605" t="inlineStr">
        <is>
          <t>2019000103191</t>
        </is>
      </c>
      <c r="AE485" s="653" t="inlineStr">
        <is>
          <t>R IREY YORK PLAZA LLC UND 50% INT AND, D IREY YORK PLAZA LLC UND 50% INT</t>
        </is>
      </c>
      <c r="AF485" s="653" t="inlineStr">
        <is>
          <t>WEBER INCORPORATED</t>
        </is>
      </c>
      <c r="AI485" s="605">
        <f>IF(AND($E485=Subj_OccCode,Subj_BldgSF&gt;0,ABS($L485-Subj_BldgSF)&lt;=Subj_BldgSF*Subj_SizeTol),ABS($L485-Subj_BldgSF),NA())</f>
        <v/>
      </c>
      <c r="AJ485">
        <f>IF(ISNA(AI485),NA(),AI485+ROW()/10000000)</f>
        <v/>
      </c>
      <c r="AK485" s="605">
        <f>IF(AND(ISNUMBER($N485),$N485&gt;0,ISNUMBER($Y485)),$Y485/$N485,"")</f>
        <v/>
      </c>
    </row>
    <row r="486" ht="15" customHeight="1" s="545">
      <c r="A486" s="385" t="n">
        <v>8</v>
      </c>
      <c r="B486" s="605" t="n">
        <v>480</v>
      </c>
      <c r="C486" s="605" t="inlineStr">
        <is>
          <t>R0031068</t>
        </is>
      </c>
      <c r="D486" s="605" t="inlineStr">
        <is>
          <t>11455  PEARL ST</t>
        </is>
      </c>
      <c r="E486" s="605" t="n">
        <v>304</v>
      </c>
      <c r="F486" s="605" t="inlineStr">
        <is>
          <t>NORTHGLENN</t>
        </is>
      </c>
      <c r="G486" s="605" t="inlineStr">
        <is>
          <t>4</t>
        </is>
      </c>
      <c r="H486" s="59">
        <f>Y486/J486</f>
        <v/>
      </c>
      <c r="I486" s="386" t="n">
        <v>44102</v>
      </c>
      <c r="J486" s="605" t="n">
        <v>11167</v>
      </c>
      <c r="L486" s="605" t="n">
        <v>11167</v>
      </c>
      <c r="M486" s="605" t="n">
        <v>1996</v>
      </c>
      <c r="P486" s="605" t="inlineStr">
        <is>
          <t>R-4-Nor</t>
        </is>
      </c>
      <c r="R486" s="152" t="inlineStr">
        <is>
          <t>Average</t>
        </is>
      </c>
      <c r="S486" s="605" t="n">
        <v>85159</v>
      </c>
      <c r="T486" s="387">
        <f>S486/J486</f>
        <v/>
      </c>
      <c r="U486" s="605" t="inlineStr">
        <is>
          <t>Average</t>
        </is>
      </c>
      <c r="Y486" s="605" t="n">
        <v>2130000</v>
      </c>
      <c r="AA486" s="605" t="n">
        <v>2130000</v>
      </c>
      <c r="AC486" s="605" t="inlineStr">
        <is>
          <t>0171903410021</t>
        </is>
      </c>
      <c r="AD486" s="605" t="inlineStr">
        <is>
          <t>2020000097451</t>
        </is>
      </c>
      <c r="AE486" s="653" t="inlineStr">
        <is>
          <t>SCHOOL DISTRICT 12 FEDERAL, CREDIT UNION</t>
        </is>
      </c>
      <c r="AF486" s="653" t="inlineStr">
        <is>
          <t>11455 PEARL STREET LLC</t>
        </is>
      </c>
      <c r="AI486" s="605">
        <f>IF(AND($E486=Subj_OccCode,Subj_BldgSF&gt;0,ABS($L486-Subj_BldgSF)&lt;=Subj_BldgSF*Subj_SizeTol),ABS($L486-Subj_BldgSF),NA())</f>
        <v/>
      </c>
      <c r="AJ486">
        <f>IF(ISNA(AI486),NA(),AI486+ROW()/10000000)</f>
        <v/>
      </c>
      <c r="AK486" s="605">
        <f>IF(AND(ISNUMBER($N486),$N486&gt;0,ISNUMBER($Y486)),$Y486/$N486,"")</f>
        <v/>
      </c>
    </row>
    <row r="487" ht="15" customHeight="1" s="545">
      <c r="A487" s="385" t="n">
        <v>8</v>
      </c>
      <c r="B487" s="605" t="n">
        <v>481</v>
      </c>
      <c r="C487" s="605" t="inlineStr">
        <is>
          <t>R0004089</t>
        </is>
      </c>
      <c r="D487" s="605" t="inlineStr">
        <is>
          <t>301 S MAIN ST #100/#120/#220</t>
        </is>
      </c>
      <c r="E487" s="605" t="n">
        <v>353</v>
      </c>
      <c r="F487" s="605" t="inlineStr">
        <is>
          <t>BRIGHTON</t>
        </is>
      </c>
      <c r="G487" s="605" t="inlineStr">
        <is>
          <t>2</t>
        </is>
      </c>
      <c r="H487" s="59">
        <f>Y487/J487</f>
        <v/>
      </c>
      <c r="I487" s="386" t="n">
        <v>44529</v>
      </c>
      <c r="J487" s="605" t="n">
        <v>8120</v>
      </c>
      <c r="L487" s="605" t="n">
        <v>8120</v>
      </c>
      <c r="M487" s="605" t="n">
        <v>1920</v>
      </c>
      <c r="P487" s="605" t="inlineStr">
        <is>
          <t>DT</t>
        </is>
      </c>
      <c r="R487" s="152" t="inlineStr">
        <is>
          <t>Average</t>
        </is>
      </c>
      <c r="S487" s="605" t="n">
        <v>13000</v>
      </c>
      <c r="T487" s="387">
        <f>S487/J487</f>
        <v/>
      </c>
      <c r="U487" s="605" t="inlineStr">
        <is>
          <t>Average</t>
        </is>
      </c>
      <c r="Y487" s="605" t="n">
        <v>1500000</v>
      </c>
      <c r="AA487" s="605" t="n">
        <v>1500000</v>
      </c>
      <c r="AC487" s="605" t="inlineStr">
        <is>
          <t>0156907220001</t>
        </is>
      </c>
      <c r="AD487" s="605" t="inlineStr">
        <is>
          <t>2021000139875</t>
        </is>
      </c>
      <c r="AE487" s="653" t="inlineStr">
        <is>
          <t>301 SOUTH MAIN LLC</t>
        </is>
      </c>
      <c r="AF487" s="653" t="inlineStr">
        <is>
          <t>BRIGHTON MAIN STREET PRINTING LLC</t>
        </is>
      </c>
      <c r="AI487" s="605">
        <f>IF(AND($E487=Subj_OccCode,Subj_BldgSF&gt;0,ABS($L487-Subj_BldgSF)&lt;=Subj_BldgSF*Subj_SizeTol),ABS($L487-Subj_BldgSF),NA())</f>
        <v/>
      </c>
      <c r="AJ487">
        <f>IF(ISNA(AI487),NA(),AI487+ROW()/10000000)</f>
        <v/>
      </c>
      <c r="AK487" s="605">
        <f>IF(AND(ISNUMBER($N487),$N487&gt;0,ISNUMBER($Y487)),$Y487/$N487,"")</f>
        <v/>
      </c>
    </row>
    <row r="488" ht="15" customHeight="1" s="545">
      <c r="A488" s="385" t="n">
        <v>8</v>
      </c>
      <c r="B488" s="605" t="n">
        <v>482</v>
      </c>
      <c r="C488" s="605" t="inlineStr">
        <is>
          <t>R0168581</t>
        </is>
      </c>
      <c r="D488" s="605" t="inlineStr">
        <is>
          <t>6121 CLERMONT ST</t>
        </is>
      </c>
      <c r="E488" s="605" t="n">
        <v>407</v>
      </c>
      <c r="F488" s="605" t="inlineStr">
        <is>
          <t>COMMERCE CITY</t>
        </is>
      </c>
      <c r="G488" s="605" t="inlineStr">
        <is>
          <t>5</t>
        </is>
      </c>
      <c r="H488" s="59">
        <f>Y488/J488</f>
        <v/>
      </c>
      <c r="I488" s="386" t="n">
        <v>43145</v>
      </c>
      <c r="J488" s="605" t="n">
        <v>18720</v>
      </c>
      <c r="L488" s="605" t="n">
        <v>18720</v>
      </c>
      <c r="M488" s="605" t="n">
        <v>1958</v>
      </c>
      <c r="P488" s="605" t="inlineStr">
        <is>
          <t>I-3-Com</t>
        </is>
      </c>
      <c r="R488" s="152" t="inlineStr">
        <is>
          <t>Average</t>
        </is>
      </c>
      <c r="S488" s="605" t="n">
        <v>60705</v>
      </c>
      <c r="T488" s="387">
        <f>S488/J488</f>
        <v/>
      </c>
      <c r="U488" s="605" t="inlineStr">
        <is>
          <t>Average</t>
        </is>
      </c>
      <c r="Y488" s="605" t="n">
        <v>1995000</v>
      </c>
      <c r="AA488" s="605" t="n">
        <v>1995000</v>
      </c>
      <c r="AC488" s="605" t="inlineStr">
        <is>
          <t>0182307204002</t>
        </is>
      </c>
      <c r="AD488" s="605" t="inlineStr">
        <is>
          <t>2018000013811</t>
        </is>
      </c>
      <c r="AE488" s="653" t="inlineStr">
        <is>
          <t>MC CALLIN REAL ESTATE LLC</t>
        </is>
      </c>
      <c r="AF488" s="653" t="inlineStr">
        <is>
          <t>KUMMER INVESTMENTS LLC</t>
        </is>
      </c>
      <c r="AI488" s="605">
        <f>IF(AND($E488=Subj_OccCode,Subj_BldgSF&gt;0,ABS($L488-Subj_BldgSF)&lt;=Subj_BldgSF*Subj_SizeTol),ABS($L488-Subj_BldgSF),NA())</f>
        <v/>
      </c>
      <c r="AJ488">
        <f>IF(ISNA(AI488),NA(),AI488+ROW()/10000000)</f>
        <v/>
      </c>
      <c r="AK488" s="605">
        <f>IF(AND(ISNUMBER($N488),$N488&gt;0,ISNUMBER($Y488)),$Y488/$N488,"")</f>
        <v/>
      </c>
    </row>
    <row r="489" ht="15" customHeight="1" s="545">
      <c r="A489" s="385" t="n">
        <v>8</v>
      </c>
      <c r="B489" s="605" t="n">
        <v>483</v>
      </c>
      <c r="C489" s="605" t="inlineStr">
        <is>
          <t>R0037112</t>
        </is>
      </c>
      <c r="D489" s="605" t="inlineStr">
        <is>
          <t>11184 HURON ST #12</t>
        </is>
      </c>
      <c r="E489" s="605" t="n">
        <v>1344</v>
      </c>
      <c r="F489" s="605" t="inlineStr">
        <is>
          <t>NORTHGLENN</t>
        </is>
      </c>
      <c r="G489" s="605" t="inlineStr">
        <is>
          <t>4</t>
        </is>
      </c>
      <c r="H489" s="59">
        <f>Y489/J489</f>
        <v/>
      </c>
      <c r="I489" s="386" t="n">
        <v>44469</v>
      </c>
      <c r="J489" s="605" t="n">
        <v>1817</v>
      </c>
      <c r="L489" s="605" t="n">
        <v>1817</v>
      </c>
      <c r="M489" s="605" t="n">
        <v>1984</v>
      </c>
      <c r="P489" s="605" t="inlineStr">
        <is>
          <t>C-3-Nor</t>
        </is>
      </c>
      <c r="R489" s="152" t="inlineStr">
        <is>
          <t>Average</t>
        </is>
      </c>
      <c r="S489" s="605" t="n">
        <v>1108</v>
      </c>
      <c r="T489" s="387">
        <f>S489/J489</f>
        <v/>
      </c>
      <c r="U489" s="605" t="inlineStr">
        <is>
          <t>Average</t>
        </is>
      </c>
      <c r="Y489" s="605" t="n">
        <v>270000</v>
      </c>
      <c r="AA489" s="605" t="n">
        <v>270000</v>
      </c>
      <c r="AC489" s="605" t="inlineStr">
        <is>
          <t>0171910217012</t>
        </is>
      </c>
      <c r="AD489" s="605" t="inlineStr">
        <is>
          <t>2021000120946</t>
        </is>
      </c>
      <c r="AE489" s="653" t="inlineStr">
        <is>
          <t>BINGEL NATHANIEL</t>
        </is>
      </c>
      <c r="AF489" s="653" t="inlineStr">
        <is>
          <t>SEAMLESS COLORADO INSURANCE</t>
        </is>
      </c>
      <c r="AI489" s="605">
        <f>IF(AND($E489=Subj_OccCode,Subj_BldgSF&gt;0,ABS($L489-Subj_BldgSF)&lt;=Subj_BldgSF*Subj_SizeTol),ABS($L489-Subj_BldgSF),NA())</f>
        <v/>
      </c>
      <c r="AJ489">
        <f>IF(ISNA(AI489),NA(),AI489+ROW()/10000000)</f>
        <v/>
      </c>
      <c r="AK489" s="605">
        <f>IF(AND(ISNUMBER($N489),$N489&gt;0,ISNUMBER($Y489)),$Y489/$N489,"")</f>
        <v/>
      </c>
    </row>
    <row r="490" ht="15" customHeight="1" s="545">
      <c r="A490" s="385" t="n">
        <v>8</v>
      </c>
      <c r="B490" s="605" t="n">
        <v>484</v>
      </c>
      <c r="C490" s="605" t="inlineStr">
        <is>
          <t>R0051128</t>
        </is>
      </c>
      <c r="D490" s="605" t="inlineStr">
        <is>
          <t>9162  HURON ST</t>
        </is>
      </c>
      <c r="E490" s="605" t="n">
        <v>353</v>
      </c>
      <c r="F490" s="605" t="inlineStr">
        <is>
          <t>THORNTON</t>
        </is>
      </c>
      <c r="G490" s="605" t="inlineStr">
        <is>
          <t>4</t>
        </is>
      </c>
      <c r="H490" s="59">
        <f>Y490/J490</f>
        <v/>
      </c>
      <c r="I490" s="386" t="n">
        <v>44607</v>
      </c>
      <c r="J490" s="605" t="n">
        <v>3000</v>
      </c>
      <c r="L490" s="605" t="n">
        <v>3000</v>
      </c>
      <c r="M490" s="605" t="n">
        <v>1973</v>
      </c>
      <c r="P490" s="605" t="inlineStr">
        <is>
          <t>Community Retail</t>
        </is>
      </c>
      <c r="R490" s="152" t="inlineStr">
        <is>
          <t>Average</t>
        </is>
      </c>
      <c r="S490" s="605" t="n">
        <v>14850</v>
      </c>
      <c r="T490" s="387">
        <f>S490/J490</f>
        <v/>
      </c>
      <c r="U490" s="605" t="inlineStr">
        <is>
          <t>Average</t>
        </is>
      </c>
      <c r="Y490" s="605" t="n">
        <v>668000</v>
      </c>
      <c r="AA490" s="605" t="n">
        <v>668000</v>
      </c>
      <c r="AC490" s="605" t="inlineStr">
        <is>
          <t>0171922302003</t>
        </is>
      </c>
      <c r="AD490" s="605" t="inlineStr">
        <is>
          <t>2022000014772</t>
        </is>
      </c>
      <c r="AE490" s="653" t="inlineStr">
        <is>
          <t xml:space="preserve">NGUYEN DUNG ANH AND , TRAN LOAN </t>
        </is>
      </c>
      <c r="AF490" s="653" t="inlineStr">
        <is>
          <t>BIG HW LLC</t>
        </is>
      </c>
      <c r="AI490" s="605">
        <f>IF(AND($E490=Subj_OccCode,Subj_BldgSF&gt;0,ABS($L490-Subj_BldgSF)&lt;=Subj_BldgSF*Subj_SizeTol),ABS($L490-Subj_BldgSF),NA())</f>
        <v/>
      </c>
      <c r="AJ490">
        <f>IF(ISNA(AI490),NA(),AI490+ROW()/10000000)</f>
        <v/>
      </c>
      <c r="AK490" s="605">
        <f>IF(AND(ISNUMBER($N490),$N490&gt;0,ISNUMBER($Y490)),$Y490/$N490,"")</f>
        <v/>
      </c>
    </row>
    <row r="491" ht="15" customHeight="1" s="545">
      <c r="A491" s="385" t="n">
        <v>8</v>
      </c>
      <c r="B491" s="605" t="n">
        <v>485</v>
      </c>
      <c r="C491" s="605" t="inlineStr">
        <is>
          <t>R0059576</t>
        </is>
      </c>
      <c r="D491" s="605" t="inlineStr">
        <is>
          <t>8410  UMATILLA ST</t>
        </is>
      </c>
      <c r="E491" s="605" t="n">
        <v>344</v>
      </c>
      <c r="F491" s="605" t="inlineStr">
        <is>
          <t>FEDERAL HEIGHTS</t>
        </is>
      </c>
      <c r="G491" s="605" t="inlineStr">
        <is>
          <t>4</t>
        </is>
      </c>
      <c r="H491" s="59">
        <f>Y491/J491</f>
        <v/>
      </c>
      <c r="I491" s="386" t="n">
        <v>44309</v>
      </c>
      <c r="J491" s="605" t="n">
        <v>8325</v>
      </c>
      <c r="L491" s="605" t="n">
        <v>8325</v>
      </c>
      <c r="M491" s="605" t="n">
        <v>1982</v>
      </c>
      <c r="P491" s="605" t="inlineStr">
        <is>
          <t>C-1-Fed</t>
        </is>
      </c>
      <c r="R491" s="152" t="inlineStr">
        <is>
          <t>Good</t>
        </is>
      </c>
      <c r="S491" s="605" t="n">
        <v>44858</v>
      </c>
      <c r="T491" s="387">
        <f>S491/J491</f>
        <v/>
      </c>
      <c r="U491" s="605" t="inlineStr">
        <is>
          <t>Average</t>
        </is>
      </c>
      <c r="Y491" s="605" t="n">
        <v>1375000</v>
      </c>
      <c r="AA491" s="605" t="n">
        <v>1375000</v>
      </c>
      <c r="AC491" s="605" t="inlineStr">
        <is>
          <t>0171928206005</t>
        </is>
      </c>
      <c r="AD491" s="605" t="inlineStr">
        <is>
          <t>2021000050541</t>
        </is>
      </c>
      <c r="AE491" s="653" t="inlineStr">
        <is>
          <t>QUALITY CONTROL INT'L LIMITED PARTNERSHIP</t>
        </is>
      </c>
      <c r="AF491" s="653" t="inlineStr">
        <is>
          <t>LEVEL 7 PROPERTY GROUP LLC</t>
        </is>
      </c>
      <c r="AI491" s="605">
        <f>IF(AND($E491=Subj_OccCode,Subj_BldgSF&gt;0,ABS($L491-Subj_BldgSF)&lt;=Subj_BldgSF*Subj_SizeTol),ABS($L491-Subj_BldgSF),NA())</f>
        <v/>
      </c>
      <c r="AJ491">
        <f>IF(ISNA(AI491),NA(),AI491+ROW()/10000000)</f>
        <v/>
      </c>
      <c r="AK491" s="605">
        <f>IF(AND(ISNUMBER($N491),$N491&gt;0,ISNUMBER($Y491)),$Y491/$N491,"")</f>
        <v/>
      </c>
    </row>
    <row r="492" ht="15" customHeight="1" s="545">
      <c r="A492" s="385" t="n">
        <v>8</v>
      </c>
      <c r="B492" s="605" t="n">
        <v>486</v>
      </c>
      <c r="C492" s="605" t="inlineStr">
        <is>
          <t>R0100007</t>
        </is>
      </c>
      <c r="D492" s="605" t="inlineStr">
        <is>
          <t>3440 W 71ST PL</t>
        </is>
      </c>
      <c r="E492" s="605" t="n">
        <v>344</v>
      </c>
      <c r="F492" s="605" t="inlineStr">
        <is>
          <t>WESTMINSTER</t>
        </is>
      </c>
      <c r="G492" s="605" t="inlineStr">
        <is>
          <t>4</t>
        </is>
      </c>
      <c r="H492" s="59">
        <f>Y492/J492</f>
        <v/>
      </c>
      <c r="I492" s="386" t="n">
        <v>43671</v>
      </c>
      <c r="J492" s="605" t="n">
        <v>6385</v>
      </c>
      <c r="L492" s="605" t="n">
        <v>6385</v>
      </c>
      <c r="M492" s="605" t="n">
        <v>1998</v>
      </c>
      <c r="P492" s="605" t="inlineStr">
        <is>
          <t>Westminster</t>
        </is>
      </c>
      <c r="R492" s="152" t="inlineStr">
        <is>
          <t>Average</t>
        </is>
      </c>
      <c r="S492" s="605" t="n">
        <v>44081</v>
      </c>
      <c r="T492" s="387">
        <f>S492/J492</f>
        <v/>
      </c>
      <c r="U492" s="605" t="inlineStr">
        <is>
          <t>Average</t>
        </is>
      </c>
      <c r="Y492" s="605" t="n">
        <v>1755000</v>
      </c>
      <c r="AA492" s="605" t="n">
        <v>1755000</v>
      </c>
      <c r="AC492" s="605" t="inlineStr">
        <is>
          <t>0182505207006</t>
        </is>
      </c>
      <c r="AD492" s="605" t="inlineStr">
        <is>
          <t>2019000059161</t>
        </is>
      </c>
      <c r="AE492" s="653" t="inlineStr">
        <is>
          <t>BROWN JUNCTION HOLDINGS LLC</t>
        </is>
      </c>
      <c r="AF492" s="653" t="inlineStr">
        <is>
          <t>WESTMINSTER STATION TOD LLC</t>
        </is>
      </c>
      <c r="AI492" s="605">
        <f>IF(AND($E492=Subj_OccCode,Subj_BldgSF&gt;0,ABS($L492-Subj_BldgSF)&lt;=Subj_BldgSF*Subj_SizeTol),ABS($L492-Subj_BldgSF),NA())</f>
        <v/>
      </c>
      <c r="AJ492">
        <f>IF(ISNA(AI492),NA(),AI492+ROW()/10000000)</f>
        <v/>
      </c>
      <c r="AK492" s="605">
        <f>IF(AND(ISNUMBER($N492),$N492&gt;0,ISNUMBER($Y492)),$Y492/$N492,"")</f>
        <v/>
      </c>
    </row>
    <row r="493" ht="15" customHeight="1" s="545">
      <c r="A493" s="385" t="n">
        <v>8</v>
      </c>
      <c r="B493" s="605" t="n">
        <v>487</v>
      </c>
      <c r="C493" s="605" t="inlineStr">
        <is>
          <t>R0002795</t>
        </is>
      </c>
      <c r="D493" s="605" t="inlineStr">
        <is>
          <t>390  WALNUT ST</t>
        </is>
      </c>
      <c r="E493" s="605" t="n">
        <v>344</v>
      </c>
      <c r="F493" s="605" t="inlineStr">
        <is>
          <t>BRIGHTON</t>
        </is>
      </c>
      <c r="G493" s="605" t="inlineStr">
        <is>
          <t>2</t>
        </is>
      </c>
      <c r="H493" s="59">
        <f>Y493/J493</f>
        <v/>
      </c>
      <c r="I493" s="386" t="n">
        <v>44713</v>
      </c>
      <c r="J493" s="605" t="n">
        <v>3705</v>
      </c>
      <c r="L493" s="605" t="n">
        <v>3705</v>
      </c>
      <c r="M493" s="605" t="n">
        <v>1974</v>
      </c>
      <c r="P493" s="605" t="inlineStr">
        <is>
          <t>DT</t>
        </is>
      </c>
      <c r="R493" s="152" t="inlineStr">
        <is>
          <t>Average</t>
        </is>
      </c>
      <c r="S493" s="605" t="n">
        <v>7500</v>
      </c>
      <c r="T493" s="387">
        <f>S493/J493</f>
        <v/>
      </c>
      <c r="U493" s="605" t="inlineStr">
        <is>
          <t>Average</t>
        </is>
      </c>
      <c r="Y493" s="605" t="n">
        <v>585000</v>
      </c>
      <c r="AA493" s="605" t="n">
        <v>585000</v>
      </c>
      <c r="AC493" s="605" t="inlineStr">
        <is>
          <t>0156906309011</t>
        </is>
      </c>
      <c r="AD493" s="605" t="inlineStr">
        <is>
          <t>2022000049243</t>
        </is>
      </c>
      <c r="AE493" s="653" t="inlineStr">
        <is>
          <t>S AND K KIM INC</t>
        </is>
      </c>
      <c r="AF493" s="653" t="inlineStr">
        <is>
          <t>HOPE FIRST FAMILY RESOURCE CENTER</t>
        </is>
      </c>
      <c r="AI493" s="605">
        <f>IF(AND($E493=Subj_OccCode,Subj_BldgSF&gt;0,ABS($L493-Subj_BldgSF)&lt;=Subj_BldgSF*Subj_SizeTol),ABS($L493-Subj_BldgSF),NA())</f>
        <v/>
      </c>
      <c r="AJ493">
        <f>IF(ISNA(AI493),NA(),AI493+ROW()/10000000)</f>
        <v/>
      </c>
      <c r="AK493" s="605">
        <f>IF(AND(ISNUMBER($N493),$N493&gt;0,ISNUMBER($Y493)),$Y493/$N493,"")</f>
        <v/>
      </c>
    </row>
    <row r="494" ht="15" customHeight="1" s="545">
      <c r="A494" s="385" t="n">
        <v>8</v>
      </c>
      <c r="B494" s="605" t="n">
        <v>488</v>
      </c>
      <c r="C494" s="605" t="inlineStr">
        <is>
          <t>R0062925</t>
        </is>
      </c>
      <c r="D494" s="605" t="inlineStr">
        <is>
          <t>8791  WOLFF CT #230</t>
        </is>
      </c>
      <c r="E494" s="605" t="n">
        <v>344</v>
      </c>
      <c r="F494" s="605" t="inlineStr">
        <is>
          <t>WESTMINSTER</t>
        </is>
      </c>
      <c r="G494" s="605" t="inlineStr">
        <is>
          <t>4</t>
        </is>
      </c>
      <c r="H494" s="59">
        <f>Y494/J494</f>
        <v/>
      </c>
      <c r="I494" s="386" t="n">
        <v>43117</v>
      </c>
      <c r="J494" s="605" t="n">
        <v>1592</v>
      </c>
      <c r="L494" s="605" t="n">
        <v>1592</v>
      </c>
      <c r="M494" s="605" t="n">
        <v>1984</v>
      </c>
      <c r="P494" s="605" t="inlineStr">
        <is>
          <t>Westminster</t>
        </is>
      </c>
      <c r="R494" s="152" t="inlineStr">
        <is>
          <t>Average</t>
        </is>
      </c>
      <c r="S494" s="605" t="n">
        <v>3842</v>
      </c>
      <c r="T494" s="387">
        <f>S494/J494</f>
        <v/>
      </c>
      <c r="U494" s="605" t="inlineStr">
        <is>
          <t>Average</t>
        </is>
      </c>
      <c r="Y494" s="605" t="n">
        <v>200000</v>
      </c>
      <c r="AA494" s="605" t="n">
        <v>200000</v>
      </c>
      <c r="AC494" s="605" t="inlineStr">
        <is>
          <t>0171930218020</t>
        </is>
      </c>
      <c r="AD494" s="605" t="inlineStr">
        <is>
          <t>2018000005929</t>
        </is>
      </c>
      <c r="AE494" s="653" t="inlineStr">
        <is>
          <t>PETERSON STEVEN W</t>
        </is>
      </c>
      <c r="AF494" s="653" t="inlineStr">
        <is>
          <t>GREEN ELEPHANT LLC THE</t>
        </is>
      </c>
      <c r="AI494" s="605">
        <f>IF(AND($E494=Subj_OccCode,Subj_BldgSF&gt;0,ABS($L494-Subj_BldgSF)&lt;=Subj_BldgSF*Subj_SizeTol),ABS($L494-Subj_BldgSF),NA())</f>
        <v/>
      </c>
      <c r="AJ494">
        <f>IF(ISNA(AI494),NA(),AI494+ROW()/10000000)</f>
        <v/>
      </c>
      <c r="AK494" s="605">
        <f>IF(AND(ISNUMBER($N494),$N494&gt;0,ISNUMBER($Y494)),$Y494/$N494,"")</f>
        <v/>
      </c>
    </row>
    <row r="495" ht="15" customHeight="1" s="545">
      <c r="A495" s="385" t="n">
        <v>8</v>
      </c>
      <c r="B495" s="605" t="n">
        <v>489</v>
      </c>
      <c r="C495" s="605" t="inlineStr">
        <is>
          <t>R0091506</t>
        </is>
      </c>
      <c r="D495" s="605" t="inlineStr">
        <is>
          <t>6200 E 64TH AVE</t>
        </is>
      </c>
      <c r="E495" s="605" t="n">
        <v>350</v>
      </c>
      <c r="F495" s="605" t="inlineStr">
        <is>
          <t>COMMERCE CITY</t>
        </is>
      </c>
      <c r="G495" s="605" t="inlineStr">
        <is>
          <t>5</t>
        </is>
      </c>
      <c r="H495" s="59">
        <f>Y495/J495</f>
        <v/>
      </c>
      <c r="I495" s="386" t="n">
        <v>44124</v>
      </c>
      <c r="J495" s="605" t="n">
        <v>780</v>
      </c>
      <c r="L495" s="605" t="n">
        <v>780</v>
      </c>
      <c r="M495" s="605" t="n">
        <v>1964</v>
      </c>
      <c r="P495" s="605" t="inlineStr">
        <is>
          <t>C-1-Com</t>
        </is>
      </c>
      <c r="R495" s="152" t="inlineStr">
        <is>
          <t>Average</t>
        </is>
      </c>
      <c r="S495" s="605" t="n">
        <v>22012</v>
      </c>
      <c r="T495" s="387">
        <f>S495/J495</f>
        <v/>
      </c>
      <c r="U495" s="605" t="inlineStr">
        <is>
          <t>Average</t>
        </is>
      </c>
      <c r="Y495" s="605" t="n">
        <v>191500</v>
      </c>
      <c r="AA495" s="605" t="n">
        <v>191500</v>
      </c>
      <c r="AC495" s="605" t="inlineStr">
        <is>
          <t>0182308201003</t>
        </is>
      </c>
      <c r="AD495" s="605" t="inlineStr">
        <is>
          <t>2020000109419</t>
        </is>
      </c>
      <c r="AE495" s="653" t="inlineStr">
        <is>
          <t>PIERCE NOLA N</t>
        </is>
      </c>
      <c r="AF495" s="653" t="inlineStr">
        <is>
          <t>NIKKO CUCINA LLC</t>
        </is>
      </c>
      <c r="AI495" s="605">
        <f>IF(AND($E495=Subj_OccCode,Subj_BldgSF&gt;0,ABS($L495-Subj_BldgSF)&lt;=Subj_BldgSF*Subj_SizeTol),ABS($L495-Subj_BldgSF),NA())</f>
        <v/>
      </c>
      <c r="AJ495">
        <f>IF(ISNA(AI495),NA(),AI495+ROW()/10000000)</f>
        <v/>
      </c>
      <c r="AK495" s="605">
        <f>IF(AND(ISNUMBER($N495),$N495&gt;0,ISNUMBER($Y495)),$Y495/$N495,"")</f>
        <v/>
      </c>
    </row>
    <row r="496" ht="15" customHeight="1" s="545">
      <c r="A496" s="385" t="n">
        <v>8</v>
      </c>
      <c r="B496" s="605" t="n">
        <v>490</v>
      </c>
      <c r="C496" s="605" t="inlineStr">
        <is>
          <t>R0112049</t>
        </is>
      </c>
      <c r="D496" s="605" t="inlineStr">
        <is>
          <t>320 E 128TH AVE</t>
        </is>
      </c>
      <c r="E496" s="605" t="n">
        <v>426</v>
      </c>
      <c r="F496" s="605" t="inlineStr">
        <is>
          <t>THORNTON</t>
        </is>
      </c>
      <c r="G496" s="605" t="inlineStr">
        <is>
          <t>3</t>
        </is>
      </c>
      <c r="H496" s="59">
        <f>Y496/J496</f>
        <v/>
      </c>
      <c r="I496" s="386" t="n">
        <v>43402</v>
      </c>
      <c r="J496" s="605" t="n">
        <v>2122</v>
      </c>
      <c r="L496" s="605" t="n">
        <v>2122</v>
      </c>
      <c r="M496" s="605" t="n">
        <v>1977</v>
      </c>
      <c r="P496" s="605" t="inlineStr">
        <is>
          <t>Thornton</t>
        </is>
      </c>
      <c r="R496" s="152" t="inlineStr">
        <is>
          <t>Average</t>
        </is>
      </c>
      <c r="S496" s="605" t="n">
        <v>25264.8008</v>
      </c>
      <c r="T496" s="387">
        <f>S496/J496</f>
        <v/>
      </c>
      <c r="U496" s="605" t="inlineStr">
        <is>
          <t>Average</t>
        </is>
      </c>
      <c r="Y496" s="605" t="n">
        <v>585000</v>
      </c>
      <c r="AA496" s="605" t="n">
        <v>585000</v>
      </c>
      <c r="AC496" s="605" t="inlineStr">
        <is>
          <t>0157334011002</t>
        </is>
      </c>
      <c r="AD496" s="605" t="inlineStr">
        <is>
          <t>2018000099707</t>
        </is>
      </c>
      <c r="AE496" s="653" t="inlineStr">
        <is>
          <t>JK PROPERTIES LLC</t>
        </is>
      </c>
      <c r="AF496" s="653" t="inlineStr">
        <is>
          <t>A POD OF PEAS REAL ESTATE LLC</t>
        </is>
      </c>
      <c r="AI496" s="605">
        <f>IF(AND($E496=Subj_OccCode,Subj_BldgSF&gt;0,ABS($L496-Subj_BldgSF)&lt;=Subj_BldgSF*Subj_SizeTol),ABS($L496-Subj_BldgSF),NA())</f>
        <v/>
      </c>
      <c r="AJ496">
        <f>IF(ISNA(AI496),NA(),AI496+ROW()/10000000)</f>
        <v/>
      </c>
      <c r="AK496" s="605">
        <f>IF(AND(ISNUMBER($N496),$N496&gt;0,ISNUMBER($Y496)),$Y496/$N496,"")</f>
        <v/>
      </c>
    </row>
    <row r="497" ht="15" customHeight="1" s="545">
      <c r="A497" s="385" t="n">
        <v>8</v>
      </c>
      <c r="B497" s="605" t="n">
        <v>491</v>
      </c>
      <c r="C497" s="605" t="inlineStr">
        <is>
          <t>R0050497</t>
        </is>
      </c>
      <c r="D497" s="605" t="inlineStr">
        <is>
          <t>1600 W 92ND AVE</t>
        </is>
      </c>
      <c r="E497" s="605" t="n">
        <v>419</v>
      </c>
      <c r="F497" s="605" t="inlineStr">
        <is>
          <t>FEDERAL HEIGHTS</t>
        </is>
      </c>
      <c r="G497" s="605" t="inlineStr">
        <is>
          <t>4</t>
        </is>
      </c>
      <c r="H497" s="59">
        <f>Y497/J497</f>
        <v/>
      </c>
      <c r="I497" s="386" t="n">
        <v>44676</v>
      </c>
      <c r="J497" s="605" t="n">
        <v>2400</v>
      </c>
      <c r="L497" s="605" t="n">
        <v>2400</v>
      </c>
      <c r="M497" s="605" t="n">
        <v>1974</v>
      </c>
      <c r="P497" s="605" t="inlineStr">
        <is>
          <t>C-1-Fed</t>
        </is>
      </c>
      <c r="R497" s="152" t="inlineStr">
        <is>
          <t>Average</t>
        </is>
      </c>
      <c r="S497" s="605" t="n">
        <v>20000</v>
      </c>
      <c r="T497" s="387">
        <f>S497/J497</f>
        <v/>
      </c>
      <c r="U497" s="605" t="inlineStr">
        <is>
          <t>Average</t>
        </is>
      </c>
      <c r="Y497" s="605" t="n">
        <v>1250000</v>
      </c>
      <c r="AA497" s="605" t="n">
        <v>1250000</v>
      </c>
      <c r="AC497" s="605" t="inlineStr">
        <is>
          <t>0171921300010</t>
        </is>
      </c>
      <c r="AD497" s="605" t="inlineStr">
        <is>
          <t>2022000036852</t>
        </is>
      </c>
      <c r="AE497" s="653" t="inlineStr">
        <is>
          <t>CAP INVESTMENT PROPERTIES III LLC</t>
        </is>
      </c>
      <c r="AF497" s="653" t="inlineStr">
        <is>
          <t>DON EDWARDS WALTER AND JANET STEWART WALTER FAMILY TRUST</t>
        </is>
      </c>
      <c r="AI497" s="605">
        <f>IF(AND($E497=Subj_OccCode,Subj_BldgSF&gt;0,ABS($L497-Subj_BldgSF)&lt;=Subj_BldgSF*Subj_SizeTol),ABS($L497-Subj_BldgSF),NA())</f>
        <v/>
      </c>
      <c r="AJ497">
        <f>IF(ISNA(AI497),NA(),AI497+ROW()/10000000)</f>
        <v/>
      </c>
      <c r="AK497" s="605">
        <f>IF(AND(ISNUMBER($N497),$N497&gt;0,ISNUMBER($Y497)),$Y497/$N497,"")</f>
        <v/>
      </c>
    </row>
    <row r="498" ht="15" customHeight="1" s="545">
      <c r="A498" s="385" t="n">
        <v>8</v>
      </c>
      <c r="B498" s="605" t="n">
        <v>492</v>
      </c>
      <c r="C498" s="605" t="inlineStr">
        <is>
          <t>R0056567</t>
        </is>
      </c>
      <c r="D498" s="605" t="inlineStr">
        <is>
          <t>8600  WASHINGTON ST</t>
        </is>
      </c>
      <c r="E498" s="605" t="n">
        <v>353</v>
      </c>
      <c r="F498" s="605" t="inlineStr">
        <is>
          <t>THORNTON</t>
        </is>
      </c>
      <c r="G498" s="605" t="inlineStr">
        <is>
          <t>4</t>
        </is>
      </c>
      <c r="H498" s="59">
        <f>Y498/J498</f>
        <v/>
      </c>
      <c r="I498" s="386" t="n">
        <v>43614</v>
      </c>
      <c r="J498" s="605" t="n">
        <v>2988</v>
      </c>
      <c r="L498" s="605" t="n">
        <v>2988</v>
      </c>
      <c r="M498" s="605" t="n">
        <v>1979</v>
      </c>
      <c r="P498" s="605" t="inlineStr">
        <is>
          <t>Thornton</t>
        </is>
      </c>
      <c r="R498" s="152" t="inlineStr">
        <is>
          <t>Average</t>
        </is>
      </c>
      <c r="S498" s="605" t="n">
        <v>30800</v>
      </c>
      <c r="T498" s="387">
        <f>S498/J498</f>
        <v/>
      </c>
      <c r="U498" s="605" t="inlineStr">
        <is>
          <t>Average</t>
        </is>
      </c>
      <c r="Y498" s="605" t="n">
        <v>665000</v>
      </c>
      <c r="AA498" s="605" t="n">
        <v>665000</v>
      </c>
      <c r="AC498" s="605" t="inlineStr">
        <is>
          <t>0171926218030</t>
        </is>
      </c>
      <c r="AD498" s="605" t="inlineStr">
        <is>
          <t>2019000047704</t>
        </is>
      </c>
      <c r="AE498" s="653" t="inlineStr">
        <is>
          <t>THORNTON PROPERTY 1 LLC</t>
        </is>
      </c>
      <c r="AF498" s="653" t="inlineStr">
        <is>
          <t>SIMON &amp; MOSES REAL ESTATE LLC</t>
        </is>
      </c>
      <c r="AI498" s="605">
        <f>IF(AND($E498=Subj_OccCode,Subj_BldgSF&gt;0,ABS($L498-Subj_BldgSF)&lt;=Subj_BldgSF*Subj_SizeTol),ABS($L498-Subj_BldgSF),NA())</f>
        <v/>
      </c>
      <c r="AJ498">
        <f>IF(ISNA(AI498),NA(),AI498+ROW()/10000000)</f>
        <v/>
      </c>
      <c r="AK498" s="605">
        <f>IF(AND(ISNUMBER($N498),$N498&gt;0,ISNUMBER($Y498)),$Y498/$N498,"")</f>
        <v/>
      </c>
    </row>
    <row r="499" ht="15" customHeight="1" s="545">
      <c r="A499" s="385" t="n">
        <v>8</v>
      </c>
      <c r="B499" s="605" t="n">
        <v>493</v>
      </c>
      <c r="C499" s="605" t="inlineStr">
        <is>
          <t>R0153545</t>
        </is>
      </c>
      <c r="D499" s="605" t="inlineStr">
        <is>
          <t>50 E 70TH AVE</t>
        </is>
      </c>
      <c r="E499" s="605" t="n">
        <v>325</v>
      </c>
      <c r="G499" s="605" t="inlineStr">
        <is>
          <t>5</t>
        </is>
      </c>
      <c r="H499" s="59">
        <f>Y499/J499</f>
        <v/>
      </c>
      <c r="I499" s="386" t="n">
        <v>43259</v>
      </c>
      <c r="J499" s="605" t="n">
        <v>1576</v>
      </c>
      <c r="L499" s="605" t="n">
        <v>1576</v>
      </c>
      <c r="M499" s="605" t="n">
        <v>1958</v>
      </c>
      <c r="R499" s="152" t="inlineStr">
        <is>
          <t>Average</t>
        </is>
      </c>
      <c r="S499" s="605" t="n">
        <v>19471.32</v>
      </c>
      <c r="T499" s="387">
        <f>S499/J499</f>
        <v/>
      </c>
      <c r="U499" s="605" t="inlineStr">
        <is>
          <t>Average</t>
        </is>
      </c>
      <c r="Y499" s="605" t="n">
        <v>325000</v>
      </c>
      <c r="AA499" s="605" t="n">
        <v>325000</v>
      </c>
      <c r="AC499" s="605" t="inlineStr">
        <is>
          <t>0182503103029</t>
        </is>
      </c>
      <c r="AD499" s="605" t="inlineStr">
        <is>
          <t>2018000046530</t>
        </is>
      </c>
      <c r="AE499" s="653" t="inlineStr">
        <is>
          <t>BRONCUCIA JOSEPH ANTHONY AND, BRONCUCIA PATRICIA ANN</t>
        </is>
      </c>
      <c r="AF499" s="653" t="inlineStr">
        <is>
          <t>GUSMAN-CISNEROS GEORGE A</t>
        </is>
      </c>
      <c r="AI499" s="605">
        <f>IF(AND($E499=Subj_OccCode,Subj_BldgSF&gt;0,ABS($L499-Subj_BldgSF)&lt;=Subj_BldgSF*Subj_SizeTol),ABS($L499-Subj_BldgSF),NA())</f>
        <v/>
      </c>
      <c r="AJ499">
        <f>IF(ISNA(AI499),NA(),AI499+ROW()/10000000)</f>
        <v/>
      </c>
      <c r="AK499" s="605">
        <f>IF(AND(ISNUMBER($N499),$N499&gt;0,ISNUMBER($Y499)),$Y499/$N499,"")</f>
        <v/>
      </c>
    </row>
    <row r="500" ht="15" customHeight="1" s="545">
      <c r="A500" s="385" t="n">
        <v>8</v>
      </c>
      <c r="B500" s="605" t="n">
        <v>494</v>
      </c>
      <c r="C500" s="605" t="inlineStr">
        <is>
          <t>R0093973</t>
        </is>
      </c>
      <c r="D500" s="605" t="inlineStr">
        <is>
          <t>2332  DAYTON ST</t>
        </is>
      </c>
      <c r="E500" s="605" t="n">
        <v>325</v>
      </c>
      <c r="F500" s="605" t="inlineStr">
        <is>
          <t>AURORA</t>
        </is>
      </c>
      <c r="G500" s="605" t="inlineStr">
        <is>
          <t>6</t>
        </is>
      </c>
      <c r="H500" s="59">
        <f>Y500/J500</f>
        <v/>
      </c>
      <c r="I500" s="386" t="n">
        <v>44344</v>
      </c>
      <c r="J500" s="605" t="n">
        <v>3500</v>
      </c>
      <c r="L500" s="605" t="n">
        <v>3500</v>
      </c>
      <c r="M500" s="605" t="n">
        <v>1957</v>
      </c>
      <c r="P500" s="605" t="inlineStr">
        <is>
          <t>OA-MS</t>
        </is>
      </c>
      <c r="R500" s="152" t="inlineStr">
        <is>
          <t>Average</t>
        </is>
      </c>
      <c r="S500" s="605" t="n">
        <v>6250</v>
      </c>
      <c r="T500" s="387">
        <f>S500/J500</f>
        <v/>
      </c>
      <c r="U500" s="605" t="inlineStr">
        <is>
          <t>Average</t>
        </is>
      </c>
      <c r="Y500" s="605" t="n">
        <v>600000</v>
      </c>
      <c r="AA500" s="605" t="n">
        <v>600000</v>
      </c>
      <c r="AC500" s="605" t="inlineStr">
        <is>
          <t>0182334109027</t>
        </is>
      </c>
      <c r="AD500" s="605" t="inlineStr">
        <is>
          <t>2021000067865</t>
        </is>
      </c>
      <c r="AE500" s="653" t="inlineStr">
        <is>
          <t>BOMGARDNER DAVID</t>
        </is>
      </c>
      <c r="AF500" s="653" t="inlineStr">
        <is>
          <t>FOREST COFFEE PROPERTIES LLC</t>
        </is>
      </c>
      <c r="AI500" s="605">
        <f>IF(AND($E500=Subj_OccCode,Subj_BldgSF&gt;0,ABS($L500-Subj_BldgSF)&lt;=Subj_BldgSF*Subj_SizeTol),ABS($L500-Subj_BldgSF),NA())</f>
        <v/>
      </c>
      <c r="AJ500">
        <f>IF(ISNA(AI500),NA(),AI500+ROW()/10000000)</f>
        <v/>
      </c>
      <c r="AK500" s="605">
        <f>IF(AND(ISNUMBER($N500),$N500&gt;0,ISNUMBER($Y500)),$Y500/$N500,"")</f>
        <v/>
      </c>
    </row>
    <row r="501" ht="15" customHeight="1" s="545">
      <c r="A501" s="385" t="n">
        <v>8</v>
      </c>
      <c r="B501" s="605" t="n">
        <v>495</v>
      </c>
      <c r="C501" s="605" t="inlineStr">
        <is>
          <t>R0003904</t>
        </is>
      </c>
      <c r="D501" s="605" t="inlineStr">
        <is>
          <t>151 S 1ST AVE</t>
        </is>
      </c>
      <c r="E501" s="605" t="n">
        <v>344</v>
      </c>
      <c r="F501" s="605" t="inlineStr">
        <is>
          <t>BRIGHTON</t>
        </is>
      </c>
      <c r="G501" s="605" t="inlineStr">
        <is>
          <t>2</t>
        </is>
      </c>
      <c r="H501" s="59">
        <f>Y501/J501</f>
        <v/>
      </c>
      <c r="I501" s="386" t="n">
        <v>44532</v>
      </c>
      <c r="J501" s="605" t="n">
        <v>1152</v>
      </c>
      <c r="L501" s="605" t="n">
        <v>1152</v>
      </c>
      <c r="M501" s="605" t="n">
        <v>1972</v>
      </c>
      <c r="P501" s="605" t="inlineStr">
        <is>
          <t>DT</t>
        </is>
      </c>
      <c r="R501" s="152" t="inlineStr">
        <is>
          <t>Average</t>
        </is>
      </c>
      <c r="S501" s="605" t="n">
        <v>8775</v>
      </c>
      <c r="T501" s="387">
        <f>S501/J501</f>
        <v/>
      </c>
      <c r="U501" s="605" t="inlineStr">
        <is>
          <t>Average</t>
        </is>
      </c>
      <c r="Y501" s="605" t="n">
        <v>400000</v>
      </c>
      <c r="AA501" s="605" t="n">
        <v>400000</v>
      </c>
      <c r="AC501" s="605" t="inlineStr">
        <is>
          <t>0156907207007</t>
        </is>
      </c>
      <c r="AD501" s="605" t="inlineStr">
        <is>
          <t>2021000141769</t>
        </is>
      </c>
      <c r="AE501" s="605" t="inlineStr">
        <is>
          <t>BELIVEAU HOLDINGS LLC</t>
        </is>
      </c>
      <c r="AF501" s="605" t="inlineStr">
        <is>
          <t>GUZMAN GUADALUPE</t>
        </is>
      </c>
      <c r="AI501" s="605">
        <f>IF(AND($E501=Subj_OccCode,Subj_BldgSF&gt;0,ABS($L501-Subj_BldgSF)&lt;=Subj_BldgSF*Subj_SizeTol),ABS($L501-Subj_BldgSF),NA())</f>
        <v/>
      </c>
      <c r="AJ501">
        <f>IF(ISNA(AI501),NA(),AI501+ROW()/10000000)</f>
        <v/>
      </c>
      <c r="AK501" s="605">
        <f>IF(AND(ISNUMBER($N501),$N501&gt;0,ISNUMBER($Y501)),$Y501/$N501,"")</f>
        <v/>
      </c>
    </row>
    <row r="502" ht="15" customHeight="1" s="545">
      <c r="A502" s="385" t="n">
        <v>8</v>
      </c>
      <c r="B502" s="605" t="n">
        <v>496</v>
      </c>
      <c r="C502" s="605" t="inlineStr">
        <is>
          <t>R0059114</t>
        </is>
      </c>
      <c r="D502" s="605" t="inlineStr">
        <is>
          <t>1407 W 84TH AVE</t>
        </is>
      </c>
      <c r="E502" s="605" t="n">
        <v>412</v>
      </c>
      <c r="F502" s="605" t="inlineStr">
        <is>
          <t>FEDERAL HEIGHTS</t>
        </is>
      </c>
      <c r="G502" s="605" t="inlineStr">
        <is>
          <t>4</t>
        </is>
      </c>
      <c r="H502" s="59">
        <f>Y502/J502</f>
        <v/>
      </c>
      <c r="I502" s="386" t="n">
        <v>43735</v>
      </c>
      <c r="J502" s="605" t="n">
        <v>102756</v>
      </c>
      <c r="L502" s="605" t="n">
        <v>102756</v>
      </c>
      <c r="M502" s="605" t="n">
        <v>1973</v>
      </c>
      <c r="P502" s="605" t="inlineStr">
        <is>
          <t>C-1-Fed</t>
        </is>
      </c>
      <c r="R502" s="152" t="inlineStr">
        <is>
          <t>Good</t>
        </is>
      </c>
      <c r="S502" s="605" t="n">
        <v>348480</v>
      </c>
      <c r="T502" s="387">
        <f>S502/J502</f>
        <v/>
      </c>
      <c r="U502" s="605" t="inlineStr">
        <is>
          <t>Good</t>
        </is>
      </c>
      <c r="Y502" s="605" t="n">
        <v>12375500</v>
      </c>
      <c r="AA502" s="605" t="n">
        <v>12375500</v>
      </c>
      <c r="AC502" s="605" t="inlineStr">
        <is>
          <t>0171928100014</t>
        </is>
      </c>
      <c r="AD502" s="605" t="inlineStr">
        <is>
          <t>2019000083335</t>
        </is>
      </c>
      <c r="AE502" s="605" t="inlineStr">
        <is>
          <t>ADLP - 84TH LLC</t>
        </is>
      </c>
      <c r="AF502" s="605" t="inlineStr">
        <is>
          <t>GKT MARKET SQUARE LLC</t>
        </is>
      </c>
      <c r="AI502" s="605">
        <f>IF(AND($E502=Subj_OccCode,Subj_BldgSF&gt;0,ABS($L502-Subj_BldgSF)&lt;=Subj_BldgSF*Subj_SizeTol),ABS($L502-Subj_BldgSF),NA())</f>
        <v/>
      </c>
      <c r="AJ502">
        <f>IF(ISNA(AI502),NA(),AI502+ROW()/10000000)</f>
        <v/>
      </c>
      <c r="AK502" s="605">
        <f>IF(AND(ISNUMBER($N502),$N502&gt;0,ISNUMBER($Y502)),$Y502/$N502,"")</f>
        <v/>
      </c>
    </row>
    <row r="503" ht="15" customHeight="1" s="545">
      <c r="A503" s="385" t="n">
        <v>8</v>
      </c>
      <c r="B503" s="605" t="n">
        <v>497</v>
      </c>
      <c r="C503" s="605" t="inlineStr">
        <is>
          <t>R0114329</t>
        </is>
      </c>
      <c r="D503" s="605" t="inlineStr">
        <is>
          <t>1611 W 84TH AVE</t>
        </is>
      </c>
      <c r="E503" s="605" t="n">
        <v>353</v>
      </c>
      <c r="F503" s="605" t="inlineStr">
        <is>
          <t>FEDERAL HEIGHTS</t>
        </is>
      </c>
      <c r="G503" s="605" t="inlineStr">
        <is>
          <t>4</t>
        </is>
      </c>
      <c r="H503" s="59">
        <f>Y503/J503</f>
        <v/>
      </c>
      <c r="I503" s="386" t="n">
        <v>44245</v>
      </c>
      <c r="J503" s="605" t="n">
        <v>6720</v>
      </c>
      <c r="L503" s="605" t="n">
        <v>6720</v>
      </c>
      <c r="M503" s="605" t="n">
        <v>1999</v>
      </c>
      <c r="P503" s="605" t="inlineStr">
        <is>
          <t>C-1-Fed</t>
        </is>
      </c>
      <c r="R503" s="152" t="inlineStr">
        <is>
          <t>Average</t>
        </is>
      </c>
      <c r="S503" s="605" t="n">
        <v>49963.3203</v>
      </c>
      <c r="T503" s="387">
        <f>S503/J503</f>
        <v/>
      </c>
      <c r="U503" s="605" t="inlineStr">
        <is>
          <t>Good</t>
        </is>
      </c>
      <c r="Y503" s="605" t="n">
        <v>1700000</v>
      </c>
      <c r="AA503" s="605" t="n">
        <v>1700000</v>
      </c>
      <c r="AC503" s="605" t="inlineStr">
        <is>
          <t>0171928205020</t>
        </is>
      </c>
      <c r="AD503" s="605" t="inlineStr">
        <is>
          <t>2021000020317</t>
        </is>
      </c>
      <c r="AE503" s="605" t="inlineStr">
        <is>
          <t>HSK INVESTMENTS LLC</t>
        </is>
      </c>
      <c r="AF503" s="605" t="inlineStr">
        <is>
          <t>RINKU INC</t>
        </is>
      </c>
      <c r="AI503" s="605">
        <f>IF(AND($E503=Subj_OccCode,Subj_BldgSF&gt;0,ABS($L503-Subj_BldgSF)&lt;=Subj_BldgSF*Subj_SizeTol),ABS($L503-Subj_BldgSF),NA())</f>
        <v/>
      </c>
      <c r="AJ503">
        <f>IF(ISNA(AI503),NA(),AI503+ROW()/10000000)</f>
        <v/>
      </c>
      <c r="AK503" s="605">
        <f>IF(AND(ISNUMBER($N503),$N503&gt;0,ISNUMBER($Y503)),$Y503/$N503,"")</f>
        <v/>
      </c>
    </row>
    <row r="504" ht="15" customHeight="1" s="545">
      <c r="A504" s="385" t="n">
        <v>8</v>
      </c>
      <c r="B504" s="605" t="n">
        <v>498</v>
      </c>
      <c r="C504" s="605" t="inlineStr">
        <is>
          <t>R0003870</t>
        </is>
      </c>
      <c r="D504" s="605" t="inlineStr">
        <is>
          <t>59  CABBAGE ST</t>
        </is>
      </c>
      <c r="E504" s="605" t="n">
        <v>406</v>
      </c>
      <c r="F504" s="605" t="inlineStr">
        <is>
          <t>BRIGHTON</t>
        </is>
      </c>
      <c r="G504" s="605" t="inlineStr">
        <is>
          <t>2</t>
        </is>
      </c>
      <c r="H504" s="59">
        <f>Y504/J504</f>
        <v/>
      </c>
      <c r="I504" s="386" t="n">
        <v>44155</v>
      </c>
      <c r="J504" s="605" t="n">
        <v>1451</v>
      </c>
      <c r="L504" s="605" t="n">
        <v>1451</v>
      </c>
      <c r="M504" s="605" t="n">
        <v>1936</v>
      </c>
      <c r="P504" s="605" t="inlineStr">
        <is>
          <t>DT</t>
        </is>
      </c>
      <c r="R504" s="152" t="inlineStr">
        <is>
          <t>Average</t>
        </is>
      </c>
      <c r="S504" s="605" t="n">
        <v>2350</v>
      </c>
      <c r="T504" s="387">
        <f>S504/J504</f>
        <v/>
      </c>
      <c r="U504" s="605" t="inlineStr">
        <is>
          <t>Average</t>
        </is>
      </c>
      <c r="Y504" s="605" t="n">
        <v>165000</v>
      </c>
      <c r="AA504" s="605" t="n">
        <v>165000</v>
      </c>
      <c r="AC504" s="605" t="inlineStr">
        <is>
          <t>0156907203008</t>
        </is>
      </c>
      <c r="AD504" s="605" t="inlineStr">
        <is>
          <t>2020000130091</t>
        </is>
      </c>
      <c r="AE504" s="605" t="inlineStr">
        <is>
          <t>LOREDO JOSEPH GUALADUPE AND, LOREDO PATRICIA ANN</t>
        </is>
      </c>
      <c r="AF504" s="605" t="inlineStr">
        <is>
          <t>RODRIGUEZ RUIZ GLIBERTO AND, RODRIGUEZ GILBERTO</t>
        </is>
      </c>
      <c r="AI504" s="605">
        <f>IF(AND($E504=Subj_OccCode,Subj_BldgSF&gt;0,ABS($L504-Subj_BldgSF)&lt;=Subj_BldgSF*Subj_SizeTol),ABS($L504-Subj_BldgSF),NA())</f>
        <v/>
      </c>
      <c r="AJ504">
        <f>IF(ISNA(AI504),NA(),AI504+ROW()/10000000)</f>
        <v/>
      </c>
      <c r="AK504" s="605">
        <f>IF(AND(ISNUMBER($N504),$N504&gt;0,ISNUMBER($Y504)),$Y504/$N504,"")</f>
        <v/>
      </c>
    </row>
    <row r="505" ht="15" customHeight="1" s="545">
      <c r="A505" s="385" t="n">
        <v>8</v>
      </c>
      <c r="B505" s="605" t="n">
        <v>499</v>
      </c>
      <c r="C505" s="605" t="inlineStr">
        <is>
          <t>R0024473</t>
        </is>
      </c>
      <c r="D505" s="605" t="inlineStr">
        <is>
          <t>12421  WASHINGTON ST</t>
        </is>
      </c>
      <c r="E505" s="605" t="n">
        <v>334</v>
      </c>
      <c r="F505" s="605" t="inlineStr">
        <is>
          <t>THORNTON</t>
        </is>
      </c>
      <c r="G505" s="605" t="inlineStr">
        <is>
          <t>3</t>
        </is>
      </c>
      <c r="H505" s="59">
        <f>Y505/J505</f>
        <v/>
      </c>
      <c r="I505" s="386" t="n">
        <v>43490</v>
      </c>
      <c r="J505" s="605" t="n">
        <v>32961</v>
      </c>
      <c r="L505" s="605" t="n">
        <v>32961</v>
      </c>
      <c r="M505" s="605" t="n">
        <v>1983</v>
      </c>
      <c r="P505" s="605" t="inlineStr">
        <is>
          <t>Thornton</t>
        </is>
      </c>
      <c r="R505" s="152" t="inlineStr">
        <is>
          <t>Good</t>
        </is>
      </c>
      <c r="S505" s="605" t="n">
        <v>112471</v>
      </c>
      <c r="T505" s="387">
        <f>S505/J505</f>
        <v/>
      </c>
      <c r="U505" s="605" t="inlineStr">
        <is>
          <t>Average</t>
        </is>
      </c>
      <c r="Y505" s="605" t="n">
        <v>4145100</v>
      </c>
      <c r="AA505" s="605" t="n">
        <v>4145100</v>
      </c>
      <c r="AC505" s="605" t="inlineStr">
        <is>
          <t>0157334009022</t>
        </is>
      </c>
      <c r="AD505" s="605" t="inlineStr">
        <is>
          <t>2019000006636</t>
        </is>
      </c>
      <c r="AE505" s="605" t="inlineStr">
        <is>
          <t>CIP OWNER LLC</t>
        </is>
      </c>
      <c r="AF505" s="605" t="inlineStr">
        <is>
          <t>BPAZ HOLDINGS 13 LLC</t>
        </is>
      </c>
      <c r="AI505" s="605">
        <f>IF(AND($E505=Subj_OccCode,Subj_BldgSF&gt;0,ABS($L505-Subj_BldgSF)&lt;=Subj_BldgSF*Subj_SizeTol),ABS($L505-Subj_BldgSF),NA())</f>
        <v/>
      </c>
      <c r="AJ505">
        <f>IF(ISNA(AI505),NA(),AI505+ROW()/10000000)</f>
        <v/>
      </c>
      <c r="AK505" s="605">
        <f>IF(AND(ISNUMBER($N505),$N505&gt;0,ISNUMBER($Y505)),$Y505/$N505,"")</f>
        <v/>
      </c>
    </row>
    <row r="506" ht="15" customHeight="1" s="545">
      <c r="A506" s="385" t="n">
        <v>8</v>
      </c>
      <c r="B506" s="605" t="n">
        <v>500</v>
      </c>
      <c r="C506" s="605" t="inlineStr">
        <is>
          <t>R0098080</t>
        </is>
      </c>
      <c r="D506" s="605" t="inlineStr">
        <is>
          <t>851  HIGHWAY 224  #4A</t>
        </is>
      </c>
      <c r="E506" s="605" t="n">
        <v>425</v>
      </c>
      <c r="G506" s="605" t="inlineStr">
        <is>
          <t>5</t>
        </is>
      </c>
      <c r="H506" s="59">
        <f>Y506/J506</f>
        <v/>
      </c>
      <c r="I506" s="386" t="n">
        <v>43168</v>
      </c>
      <c r="J506" s="605" t="n">
        <v>1500</v>
      </c>
      <c r="L506" s="605" t="n">
        <v>1500</v>
      </c>
      <c r="M506" s="605" t="n">
        <v>1984</v>
      </c>
      <c r="P506" s="605" t="inlineStr">
        <is>
          <t>Industrial</t>
        </is>
      </c>
      <c r="R506" s="152" t="inlineStr">
        <is>
          <t>Average</t>
        </is>
      </c>
      <c r="S506" s="605" t="n">
        <v>4340</v>
      </c>
      <c r="T506" s="387">
        <f>S506/J506</f>
        <v/>
      </c>
      <c r="U506" s="605" t="inlineStr">
        <is>
          <t>Average</t>
        </is>
      </c>
      <c r="Y506" s="605" t="n">
        <v>275000</v>
      </c>
      <c r="AA506" s="605" t="n">
        <v>275000</v>
      </c>
      <c r="AC506" s="605" t="inlineStr">
        <is>
          <t>0182502203044</t>
        </is>
      </c>
      <c r="AD506" s="605" t="inlineStr">
        <is>
          <t>2018000019820</t>
        </is>
      </c>
      <c r="AE506" s="605" t="inlineStr">
        <is>
          <t>BALES SPORT LLC</t>
        </is>
      </c>
      <c r="AF506" s="605" t="inlineStr">
        <is>
          <t>PRIMA CAR CARE LLC</t>
        </is>
      </c>
      <c r="AI506" s="605">
        <f>IF(AND($E506=Subj_OccCode,Subj_BldgSF&gt;0,ABS($L506-Subj_BldgSF)&lt;=Subj_BldgSF*Subj_SizeTol),ABS($L506-Subj_BldgSF),NA())</f>
        <v/>
      </c>
      <c r="AJ506">
        <f>IF(ISNA(AI506),NA(),AI506+ROW()/10000000)</f>
        <v/>
      </c>
      <c r="AK506" s="605">
        <f>IF(AND(ISNUMBER($N506),$N506&gt;0,ISNUMBER($Y506)),$Y506/$N506,"")</f>
        <v/>
      </c>
    </row>
    <row r="507" ht="15" customHeight="1" s="545">
      <c r="A507" s="385" t="n">
        <v>8</v>
      </c>
      <c r="B507" s="605" t="n">
        <v>501</v>
      </c>
      <c r="C507" s="605" t="inlineStr">
        <is>
          <t>R0103509</t>
        </is>
      </c>
      <c r="D507" s="605" t="inlineStr">
        <is>
          <t xml:space="preserve">6185  BROADWAY </t>
        </is>
      </c>
      <c r="E507" s="605" t="n">
        <v>419</v>
      </c>
      <c r="G507" s="605" t="inlineStr">
        <is>
          <t>5</t>
        </is>
      </c>
      <c r="H507" s="59">
        <f>Y507/J507</f>
        <v/>
      </c>
      <c r="I507" s="386" t="n">
        <v>44692</v>
      </c>
      <c r="J507" s="605" t="n">
        <v>2700</v>
      </c>
      <c r="L507" s="605" t="n">
        <v>2700</v>
      </c>
      <c r="M507" s="605" t="n">
        <v>1995</v>
      </c>
      <c r="P507" s="605" t="inlineStr">
        <is>
          <t>Industrial</t>
        </is>
      </c>
      <c r="R507" s="152" t="inlineStr">
        <is>
          <t>Average</t>
        </is>
      </c>
      <c r="S507" s="605" t="n">
        <v>110640</v>
      </c>
      <c r="T507" s="387">
        <f>S507/J507</f>
        <v/>
      </c>
      <c r="U507" s="605" t="inlineStr">
        <is>
          <t>Average</t>
        </is>
      </c>
      <c r="Y507" s="605" t="n">
        <v>3000000</v>
      </c>
      <c r="AA507" s="605" t="n">
        <v>3000000</v>
      </c>
      <c r="AC507" s="605" t="inlineStr">
        <is>
          <t>0182510203002</t>
        </is>
      </c>
      <c r="AD507" s="605" t="inlineStr">
        <is>
          <t>2022000043033</t>
        </is>
      </c>
      <c r="AE507" s="605" t="inlineStr">
        <is>
          <t>TRIPLE B VENTURES LLC</t>
        </is>
      </c>
      <c r="AF507" s="605" t="inlineStr">
        <is>
          <t xml:space="preserve">HARTS GAS AND FOOD LLC, C/O PARKLAND CORP </t>
        </is>
      </c>
      <c r="AI507" s="605">
        <f>IF(AND($E507=Subj_OccCode,Subj_BldgSF&gt;0,ABS($L507-Subj_BldgSF)&lt;=Subj_BldgSF*Subj_SizeTol),ABS($L507-Subj_BldgSF),NA())</f>
        <v/>
      </c>
      <c r="AJ507">
        <f>IF(ISNA(AI507),NA(),AI507+ROW()/10000000)</f>
        <v/>
      </c>
      <c r="AK507" s="605">
        <f>IF(AND(ISNUMBER($N507),$N507&gt;0,ISNUMBER($Y507)),$Y507/$N507,"")</f>
        <v/>
      </c>
    </row>
    <row r="508" ht="15" customHeight="1" s="545">
      <c r="A508" s="385" t="n">
        <v>8</v>
      </c>
      <c r="B508" s="605" t="n">
        <v>502</v>
      </c>
      <c r="C508" s="605" t="inlineStr">
        <is>
          <t>R0104080</t>
        </is>
      </c>
      <c r="D508" s="605" t="inlineStr">
        <is>
          <t>5347  SHERMAN ST</t>
        </is>
      </c>
      <c r="E508" s="605" t="n">
        <v>406</v>
      </c>
      <c r="G508" s="605" t="inlineStr">
        <is>
          <t>5</t>
        </is>
      </c>
      <c r="H508" s="59">
        <f>Y508/J508</f>
        <v/>
      </c>
      <c r="I508" s="386" t="n">
        <v>44270</v>
      </c>
      <c r="J508" s="605" t="n">
        <v>17980</v>
      </c>
      <c r="L508" s="605" t="n">
        <v>17980</v>
      </c>
      <c r="M508" s="605" t="n">
        <v>1986</v>
      </c>
      <c r="P508" s="605" t="inlineStr">
        <is>
          <t>Industrial</t>
        </is>
      </c>
      <c r="R508" s="152" t="inlineStr">
        <is>
          <t>Average</t>
        </is>
      </c>
      <c r="S508" s="605" t="n">
        <v>76200</v>
      </c>
      <c r="T508" s="387">
        <f>S508/J508</f>
        <v/>
      </c>
      <c r="U508" s="605" t="inlineStr">
        <is>
          <t>Average</t>
        </is>
      </c>
      <c r="Y508" s="605" t="n">
        <v>2699000</v>
      </c>
      <c r="AA508" s="605" t="n">
        <v>2699000</v>
      </c>
      <c r="AC508" s="605" t="inlineStr">
        <is>
          <t>0182515108023</t>
        </is>
      </c>
      <c r="AD508" s="605" t="inlineStr">
        <is>
          <t>2021000033195</t>
        </is>
      </c>
      <c r="AE508" s="605" t="inlineStr">
        <is>
          <t>SHERMAN STREET WEST, INVESTMENT COMPANY</t>
        </is>
      </c>
      <c r="AF508" s="605" t="inlineStr">
        <is>
          <t>UHRIG HOLDINGS LLC ET AL</t>
        </is>
      </c>
      <c r="AI508" s="605">
        <f>IF(AND($E508=Subj_OccCode,Subj_BldgSF&gt;0,ABS($L508-Subj_BldgSF)&lt;=Subj_BldgSF*Subj_SizeTol),ABS($L508-Subj_BldgSF),NA())</f>
        <v/>
      </c>
      <c r="AJ508">
        <f>IF(ISNA(AI508),NA(),AI508+ROW()/10000000)</f>
        <v/>
      </c>
      <c r="AK508" s="605">
        <f>IF(AND(ISNUMBER($N508),$N508&gt;0,ISNUMBER($Y508)),$Y508/$N508,"")</f>
        <v/>
      </c>
    </row>
    <row r="509" ht="15" customHeight="1" s="545">
      <c r="A509" s="385" t="n">
        <v>8</v>
      </c>
      <c r="B509" s="605" t="n">
        <v>503</v>
      </c>
      <c r="C509" s="605" t="inlineStr">
        <is>
          <t>R0092264</t>
        </is>
      </c>
      <c r="D509" s="605" t="inlineStr">
        <is>
          <t>5490  NEWPORT ST</t>
        </is>
      </c>
      <c r="E509" s="605" t="n">
        <v>325</v>
      </c>
      <c r="F509" s="605" t="inlineStr">
        <is>
          <t>COMMERCE CITY</t>
        </is>
      </c>
      <c r="G509" s="605" t="inlineStr">
        <is>
          <t>5</t>
        </is>
      </c>
      <c r="H509" s="59">
        <f>Y509/J509</f>
        <v/>
      </c>
      <c r="I509" s="386" t="n">
        <v>44715</v>
      </c>
      <c r="J509" s="605" t="n">
        <v>4600</v>
      </c>
      <c r="L509" s="605" t="n">
        <v>4600</v>
      </c>
      <c r="M509" s="605" t="n">
        <v>1973</v>
      </c>
      <c r="P509" s="605" t="inlineStr">
        <is>
          <t>I-2-Com</t>
        </is>
      </c>
      <c r="R509" s="152" t="inlineStr">
        <is>
          <t>Average</t>
        </is>
      </c>
      <c r="S509" s="605" t="n">
        <v>16800</v>
      </c>
      <c r="T509" s="387">
        <f>S509/J509</f>
        <v/>
      </c>
      <c r="U509" s="605" t="inlineStr">
        <is>
          <t>Average</t>
        </is>
      </c>
      <c r="Y509" s="605" t="n">
        <v>1305000</v>
      </c>
      <c r="AA509" s="605" t="n">
        <v>1305000</v>
      </c>
      <c r="AC509" s="605" t="inlineStr">
        <is>
          <t>0182317101006</t>
        </is>
      </c>
      <c r="AD509" s="605" t="inlineStr">
        <is>
          <t>2022000049643</t>
        </is>
      </c>
      <c r="AE509" s="605" t="inlineStr">
        <is>
          <t>PROJECT53 LLC</t>
        </is>
      </c>
      <c r="AF509" s="605" t="inlineStr">
        <is>
          <t>STUBBS-SON LLC</t>
        </is>
      </c>
      <c r="AI509" s="605">
        <f>IF(AND($E509=Subj_OccCode,Subj_BldgSF&gt;0,ABS($L509-Subj_BldgSF)&lt;=Subj_BldgSF*Subj_SizeTol),ABS($L509-Subj_BldgSF),NA())</f>
        <v/>
      </c>
      <c r="AJ509">
        <f>IF(ISNA(AI509),NA(),AI509+ROW()/10000000)</f>
        <v/>
      </c>
      <c r="AK509" s="605">
        <f>IF(AND(ISNUMBER($N509),$N509&gt;0,ISNUMBER($Y509)),$Y509/$N509,"")</f>
        <v/>
      </c>
    </row>
    <row r="510" ht="15" customHeight="1" s="545">
      <c r="A510" s="385" t="n">
        <v>8</v>
      </c>
      <c r="B510" s="605" t="n">
        <v>504</v>
      </c>
      <c r="C510" s="605" t="inlineStr">
        <is>
          <t>R0037193</t>
        </is>
      </c>
      <c r="D510" s="605" t="inlineStr">
        <is>
          <t>650 W 106TH AVE</t>
        </is>
      </c>
      <c r="E510" s="605" t="n">
        <v>325</v>
      </c>
      <c r="F510" s="605" t="inlineStr">
        <is>
          <t>NORTHGLENN</t>
        </is>
      </c>
      <c r="G510" s="605" t="inlineStr">
        <is>
          <t>4</t>
        </is>
      </c>
      <c r="H510" s="59">
        <f>Y510/J510</f>
        <v/>
      </c>
      <c r="I510" s="386" t="n">
        <v>43440</v>
      </c>
      <c r="J510" s="605" t="n">
        <v>30020</v>
      </c>
      <c r="L510" s="605" t="n">
        <v>30020</v>
      </c>
      <c r="M510" s="605" t="n">
        <v>1973</v>
      </c>
      <c r="P510" s="605" t="inlineStr">
        <is>
          <t>Northglenn</t>
        </is>
      </c>
      <c r="R510" s="152" t="inlineStr">
        <is>
          <t>Average</t>
        </is>
      </c>
      <c r="S510" s="605" t="n">
        <v>120456</v>
      </c>
      <c r="T510" s="387">
        <f>S510/J510</f>
        <v/>
      </c>
      <c r="U510" s="605" t="inlineStr">
        <is>
          <t>Average</t>
        </is>
      </c>
      <c r="Y510" s="605" t="n">
        <v>5057000</v>
      </c>
      <c r="AA510" s="605" t="n">
        <v>5057000</v>
      </c>
      <c r="AC510" s="605" t="inlineStr">
        <is>
          <t>0171910307020</t>
        </is>
      </c>
      <c r="AD510" s="605" t="inlineStr">
        <is>
          <t>2018000098661</t>
        </is>
      </c>
      <c r="AE510" s="605" t="inlineStr">
        <is>
          <t>WEST COAST HIGHWAY LLC</t>
        </is>
      </c>
      <c r="AF510" s="605" t="inlineStr">
        <is>
          <t>BAIZER JOANNE M SUCCESSOR TRUSTEE, OF THE MILDRED G SEGAL TRUST</t>
        </is>
      </c>
      <c r="AI510" s="605">
        <f>IF(AND($E510=Subj_OccCode,Subj_BldgSF&gt;0,ABS($L510-Subj_BldgSF)&lt;=Subj_BldgSF*Subj_SizeTol),ABS($L510-Subj_BldgSF),NA())</f>
        <v/>
      </c>
      <c r="AJ510">
        <f>IF(ISNA(AI510),NA(),AI510+ROW()/10000000)</f>
        <v/>
      </c>
      <c r="AK510" s="605">
        <f>IF(AND(ISNUMBER($N510),$N510&gt;0,ISNUMBER($Y510)),$Y510/$N510,"")</f>
        <v/>
      </c>
    </row>
    <row r="511" ht="15" customHeight="1" s="545">
      <c r="A511" s="385" t="n">
        <v>8</v>
      </c>
      <c r="B511" s="605" t="n">
        <v>505</v>
      </c>
      <c r="C511" s="605" t="inlineStr">
        <is>
          <t>R0114277</t>
        </is>
      </c>
      <c r="D511" s="605" t="inlineStr">
        <is>
          <t>4915 E 52ND AVE</t>
        </is>
      </c>
      <c r="E511" s="605" t="n">
        <v>407</v>
      </c>
      <c r="F511" s="605" t="inlineStr">
        <is>
          <t>COMMERCE CITY</t>
        </is>
      </c>
      <c r="G511" s="605" t="inlineStr">
        <is>
          <t>5</t>
        </is>
      </c>
      <c r="H511" s="59">
        <f>Y511/J511</f>
        <v/>
      </c>
      <c r="I511" s="386" t="n">
        <v>44187</v>
      </c>
      <c r="J511" s="605" t="n">
        <v>54607</v>
      </c>
      <c r="L511" s="605" t="n">
        <v>54607</v>
      </c>
      <c r="M511" s="605" t="n">
        <v>1970</v>
      </c>
      <c r="P511" s="605" t="inlineStr">
        <is>
          <t>I-3-Com</t>
        </is>
      </c>
      <c r="R511" s="152" t="inlineStr">
        <is>
          <t>Average</t>
        </is>
      </c>
      <c r="S511" s="605" t="n">
        <v>161338</v>
      </c>
      <c r="T511" s="387">
        <f>S511/J511</f>
        <v/>
      </c>
      <c r="U511" s="605" t="inlineStr">
        <is>
          <t>Average</t>
        </is>
      </c>
      <c r="Y511" s="605" t="n">
        <v>5450000</v>
      </c>
      <c r="AA511" s="605" t="n">
        <v>5450000</v>
      </c>
      <c r="AC511" s="605" t="inlineStr">
        <is>
          <t>0182318100095</t>
        </is>
      </c>
      <c r="AD511" s="605" t="inlineStr">
        <is>
          <t>2020000137498</t>
        </is>
      </c>
      <c r="AE511" s="605" t="inlineStr">
        <is>
          <t>HERSKOVITS INVESTMENTS LLC</t>
        </is>
      </c>
      <c r="AF511" s="605" t="inlineStr">
        <is>
          <t>4915 E 52ND LLC</t>
        </is>
      </c>
      <c r="AI511" s="605">
        <f>IF(AND($E511=Subj_OccCode,Subj_BldgSF&gt;0,ABS($L511-Subj_BldgSF)&lt;=Subj_BldgSF*Subj_SizeTol),ABS($L511-Subj_BldgSF),NA())</f>
        <v/>
      </c>
      <c r="AJ511">
        <f>IF(ISNA(AI511),NA(),AI511+ROW()/10000000)</f>
        <v/>
      </c>
      <c r="AK511" s="605">
        <f>IF(AND(ISNUMBER($N511),$N511&gt;0,ISNUMBER($Y511)),$Y511/$N511,"")</f>
        <v/>
      </c>
    </row>
    <row r="512" ht="15" customHeight="1" s="545">
      <c r="A512" s="385" t="n">
        <v>8</v>
      </c>
      <c r="B512" s="605" t="n">
        <v>506</v>
      </c>
      <c r="C512" s="605" t="inlineStr">
        <is>
          <t>R0092867</t>
        </is>
      </c>
      <c r="D512" s="605" t="inlineStr">
        <is>
          <t>5505 E 48TH AVE</t>
        </is>
      </c>
      <c r="E512" s="605" t="n">
        <v>325</v>
      </c>
      <c r="F512" s="605" t="inlineStr">
        <is>
          <t>COMMERCE CITY</t>
        </is>
      </c>
      <c r="G512" s="605" t="inlineStr">
        <is>
          <t>5</t>
        </is>
      </c>
      <c r="H512" s="59">
        <f>Y512/J512</f>
        <v/>
      </c>
      <c r="I512" s="386" t="n">
        <v>43815</v>
      </c>
      <c r="J512" s="605" t="n">
        <v>11940</v>
      </c>
      <c r="L512" s="605" t="n">
        <v>11940</v>
      </c>
      <c r="M512" s="605" t="n">
        <v>1965</v>
      </c>
      <c r="P512" s="605" t="inlineStr">
        <is>
          <t>I-3-Com</t>
        </is>
      </c>
      <c r="R512" s="152" t="inlineStr">
        <is>
          <t>Average</t>
        </is>
      </c>
      <c r="S512" s="605" t="n">
        <v>51052</v>
      </c>
      <c r="T512" s="387">
        <f>S512/J512</f>
        <v/>
      </c>
      <c r="U512" s="605" t="inlineStr">
        <is>
          <t>Average</t>
        </is>
      </c>
      <c r="Y512" s="605" t="n">
        <v>1825000</v>
      </c>
      <c r="AA512" s="605" t="n">
        <v>1825000</v>
      </c>
      <c r="AC512" s="605" t="inlineStr">
        <is>
          <t>0182318400007</t>
        </is>
      </c>
      <c r="AD512" s="605" t="inlineStr">
        <is>
          <t>2020000002464</t>
        </is>
      </c>
      <c r="AE512" s="605" t="inlineStr">
        <is>
          <t>BRIDGESTONE FIRESTONE NORTH AMERICAN, TIRE LLC  ATTN TAX DEPT</t>
        </is>
      </c>
      <c r="AF512" s="605" t="inlineStr">
        <is>
          <t>MC GREGOR HOLDINGS LLC</t>
        </is>
      </c>
      <c r="AI512" s="605">
        <f>IF(AND($E512=Subj_OccCode,Subj_BldgSF&gt;0,ABS($L512-Subj_BldgSF)&lt;=Subj_BldgSF*Subj_SizeTol),ABS($L512-Subj_BldgSF),NA())</f>
        <v/>
      </c>
      <c r="AJ512">
        <f>IF(ISNA(AI512),NA(),AI512+ROW()/10000000)</f>
        <v/>
      </c>
      <c r="AK512" s="605">
        <f>IF(AND(ISNUMBER($N512),$N512&gt;0,ISNUMBER($Y512)),$Y512/$N512,"")</f>
        <v/>
      </c>
    </row>
    <row r="513" ht="15" customHeight="1" s="545">
      <c r="A513" s="385" t="n">
        <v>8</v>
      </c>
      <c r="B513" s="605" t="n">
        <v>507</v>
      </c>
      <c r="C513" s="605" t="inlineStr">
        <is>
          <t>R0145674</t>
        </is>
      </c>
      <c r="D513" s="605" t="inlineStr">
        <is>
          <t>6079  QUEBEC ST</t>
        </is>
      </c>
      <c r="E513" s="605" t="n">
        <v>353</v>
      </c>
      <c r="F513" s="605" t="inlineStr">
        <is>
          <t>COMMERCE CITY</t>
        </is>
      </c>
      <c r="G513" s="605" t="inlineStr">
        <is>
          <t>5</t>
        </is>
      </c>
      <c r="H513" s="59">
        <f>Y513/J513</f>
        <v/>
      </c>
      <c r="I513" s="386" t="n">
        <v>44329</v>
      </c>
      <c r="J513" s="605" t="n">
        <v>4521</v>
      </c>
      <c r="L513" s="605" t="n">
        <v>4521</v>
      </c>
      <c r="M513" s="605" t="n">
        <v>1964</v>
      </c>
      <c r="P513" s="605" t="inlineStr">
        <is>
          <t>C-3-Com</t>
        </is>
      </c>
      <c r="R513" s="152" t="inlineStr">
        <is>
          <t>Average</t>
        </is>
      </c>
      <c r="S513" s="605" t="n">
        <v>16173</v>
      </c>
      <c r="T513" s="387">
        <f>S513/J513</f>
        <v/>
      </c>
      <c r="U513" s="605" t="inlineStr">
        <is>
          <t>Average</t>
        </is>
      </c>
      <c r="Y513" s="605" t="n">
        <v>1080000</v>
      </c>
      <c r="AA513" s="605" t="n">
        <v>1080000</v>
      </c>
      <c r="AC513" s="605" t="inlineStr">
        <is>
          <t>0182308116044</t>
        </is>
      </c>
      <c r="AD513" s="605" t="inlineStr">
        <is>
          <t>2021000059069</t>
        </is>
      </c>
      <c r="AE513" s="605" t="inlineStr">
        <is>
          <t>HENSEL DELBERT E AKA DELBERT</t>
        </is>
      </c>
      <c r="AF513" s="605" t="inlineStr">
        <is>
          <t>JASHMAN INC</t>
        </is>
      </c>
      <c r="AI513" s="605">
        <f>IF(AND($E513=Subj_OccCode,Subj_BldgSF&gt;0,ABS($L513-Subj_BldgSF)&lt;=Subj_BldgSF*Subj_SizeTol),ABS($L513-Subj_BldgSF),NA())</f>
        <v/>
      </c>
      <c r="AJ513">
        <f>IF(ISNA(AI513),NA(),AI513+ROW()/10000000)</f>
        <v/>
      </c>
      <c r="AK513" s="605">
        <f>IF(AND(ISNUMBER($N513),$N513&gt;0,ISNUMBER($Y513)),$Y513/$N513,"")</f>
        <v/>
      </c>
    </row>
    <row r="514" ht="15" customHeight="1" s="545">
      <c r="A514" s="385" t="n">
        <v>8</v>
      </c>
      <c r="B514" s="605" t="n">
        <v>508</v>
      </c>
      <c r="C514" s="605" t="inlineStr">
        <is>
          <t>R0103648</t>
        </is>
      </c>
      <c r="D514" s="605" t="inlineStr">
        <is>
          <t>1390 E 64TH AVE</t>
        </is>
      </c>
      <c r="E514" s="605" t="n">
        <v>406</v>
      </c>
      <c r="G514" s="605" t="inlineStr">
        <is>
          <t>5</t>
        </is>
      </c>
      <c r="H514" s="59">
        <f>Y514/J514</f>
        <v/>
      </c>
      <c r="I514" s="386" t="n">
        <v>44175</v>
      </c>
      <c r="J514" s="605" t="n">
        <v>7450</v>
      </c>
      <c r="L514" s="605" t="n">
        <v>7450</v>
      </c>
      <c r="M514" s="605" t="n">
        <v>1992</v>
      </c>
      <c r="P514" s="605" t="inlineStr">
        <is>
          <t>Industrial</t>
        </is>
      </c>
      <c r="R514" s="152" t="inlineStr">
        <is>
          <t>Average</t>
        </is>
      </c>
      <c r="S514" s="605" t="n">
        <v>46560</v>
      </c>
      <c r="T514" s="387">
        <f>S514/J514</f>
        <v/>
      </c>
      <c r="U514" s="605" t="inlineStr">
        <is>
          <t>Average</t>
        </is>
      </c>
      <c r="Y514" s="605" t="n">
        <v>2180000</v>
      </c>
      <c r="AA514" s="605" t="n">
        <v>2180000</v>
      </c>
      <c r="AC514" s="605" t="inlineStr">
        <is>
          <t>0182511201027</t>
        </is>
      </c>
      <c r="AD514" s="605" t="inlineStr">
        <is>
          <t>2020000130265</t>
        </is>
      </c>
      <c r="AE514" s="605" t="inlineStr">
        <is>
          <t>JONEAL LLC</t>
        </is>
      </c>
      <c r="AF514" s="605" t="inlineStr">
        <is>
          <t>TSS INVESTMENTS LLC</t>
        </is>
      </c>
      <c r="AI514" s="605">
        <f>IF(AND($E514=Subj_OccCode,Subj_BldgSF&gt;0,ABS($L514-Subj_BldgSF)&lt;=Subj_BldgSF*Subj_SizeTol),ABS($L514-Subj_BldgSF),NA())</f>
        <v/>
      </c>
      <c r="AJ514">
        <f>IF(ISNA(AI514),NA(),AI514+ROW()/10000000)</f>
        <v/>
      </c>
      <c r="AK514" s="605">
        <f>IF(AND(ISNUMBER($N514),$N514&gt;0,ISNUMBER($Y514)),$Y514/$N514,"")</f>
        <v/>
      </c>
    </row>
    <row r="515" ht="15" customHeight="1" s="545">
      <c r="A515" s="385" t="n">
        <v>8</v>
      </c>
      <c r="B515" s="605" t="n">
        <v>509</v>
      </c>
      <c r="C515" s="605" t="inlineStr">
        <is>
          <t>R0086237</t>
        </is>
      </c>
      <c r="D515" s="605" t="inlineStr">
        <is>
          <t>2200  TOWER RD</t>
        </is>
      </c>
      <c r="E515" s="605" t="n">
        <v>100</v>
      </c>
      <c r="F515" s="605" t="inlineStr">
        <is>
          <t>AURORA</t>
        </is>
      </c>
      <c r="G515" s="605" t="inlineStr">
        <is>
          <t>620</t>
        </is>
      </c>
      <c r="H515" s="59">
        <f>Y515/J515</f>
        <v/>
      </c>
      <c r="I515" s="386" t="n">
        <v>44469</v>
      </c>
      <c r="J515" s="605" t="n">
        <v>1176</v>
      </c>
      <c r="L515" s="605" t="n">
        <v>1176</v>
      </c>
      <c r="M515" s="605" t="n">
        <v>1963</v>
      </c>
      <c r="P515" s="605" t="inlineStr">
        <is>
          <t>M-1-Aur</t>
        </is>
      </c>
      <c r="R515" s="152" t="inlineStr">
        <is>
          <t>Average</t>
        </is>
      </c>
      <c r="S515" s="605" t="n">
        <v>99752.39999999999</v>
      </c>
      <c r="T515" s="387">
        <f>S515/J515</f>
        <v/>
      </c>
      <c r="U515" s="605" t="inlineStr">
        <is>
          <t>Average</t>
        </is>
      </c>
      <c r="Y515" s="605" t="n">
        <v>1500000</v>
      </c>
      <c r="AA515" s="605" t="n">
        <v>1500000</v>
      </c>
      <c r="AC515" s="605" t="inlineStr">
        <is>
          <t>0182134200008</t>
        </is>
      </c>
      <c r="AD515" s="605" t="inlineStr">
        <is>
          <t>2021000129671</t>
        </is>
      </c>
      <c r="AE515" s="605" t="inlineStr">
        <is>
          <t>NARTEY DANIEL T AND, NARTEY ELLA L</t>
        </is>
      </c>
      <c r="AF515" s="605" t="inlineStr">
        <is>
          <t>2200 TOWER LLC</t>
        </is>
      </c>
      <c r="AI515" s="605">
        <f>IF(AND($E515=Subj_OccCode,Subj_BldgSF&gt;0,ABS($L515-Subj_BldgSF)&lt;=Subj_BldgSF*Subj_SizeTol),ABS($L515-Subj_BldgSF),NA())</f>
        <v/>
      </c>
      <c r="AJ515">
        <f>IF(ISNA(AI515),NA(),AI515+ROW()/10000000)</f>
        <v/>
      </c>
      <c r="AK515" s="605">
        <f>IF(AND(ISNUMBER($N515),$N515&gt;0,ISNUMBER($Y515)),$Y515/$N515,"")</f>
        <v/>
      </c>
    </row>
    <row r="516" ht="15" customHeight="1" s="545">
      <c r="A516" s="385" t="n">
        <v>8</v>
      </c>
      <c r="B516" s="605" t="n">
        <v>510</v>
      </c>
      <c r="C516" s="605" t="inlineStr">
        <is>
          <t>R0059553</t>
        </is>
      </c>
      <c r="D516" s="605" t="inlineStr">
        <is>
          <t>2385 W 84TH AVE</t>
        </is>
      </c>
      <c r="E516" s="605" t="n">
        <v>419</v>
      </c>
      <c r="G516" s="605" t="inlineStr">
        <is>
          <t>1</t>
        </is>
      </c>
      <c r="H516" s="59">
        <f>Y516/J516</f>
        <v/>
      </c>
      <c r="I516" s="386" t="n">
        <v>43342</v>
      </c>
      <c r="J516" s="605" t="n">
        <v>1958</v>
      </c>
      <c r="L516" s="605" t="n">
        <v>1958</v>
      </c>
      <c r="M516" s="605" t="n">
        <v>1972</v>
      </c>
      <c r="P516" s="605" t="inlineStr">
        <is>
          <t>Commercial</t>
        </is>
      </c>
      <c r="R516" s="152" t="inlineStr">
        <is>
          <t>Average</t>
        </is>
      </c>
      <c r="S516" s="605" t="n">
        <v>16443</v>
      </c>
      <c r="T516" s="387">
        <f>S516/J516</f>
        <v/>
      </c>
      <c r="U516" s="605" t="inlineStr">
        <is>
          <t>Average</t>
        </is>
      </c>
      <c r="Y516" s="605" t="n">
        <v>280000</v>
      </c>
      <c r="AA516" s="605" t="n">
        <v>280000</v>
      </c>
      <c r="AC516" s="605" t="inlineStr">
        <is>
          <t>0171928201006</t>
        </is>
      </c>
      <c r="AD516" s="605" t="inlineStr">
        <is>
          <t>2018000072861</t>
        </is>
      </c>
      <c r="AE516" s="605" t="inlineStr">
        <is>
          <t>GAS AND FOOD MART LLC</t>
        </is>
      </c>
      <c r="AF516" s="605" t="inlineStr">
        <is>
          <t xml:space="preserve">SINGH PRADHAN PRABHAT MAN AND , PRADHAN CHANDANI JOSHI </t>
        </is>
      </c>
      <c r="AI516" s="605">
        <f>IF(AND($E516=Subj_OccCode,Subj_BldgSF&gt;0,ABS($L516-Subj_BldgSF)&lt;=Subj_BldgSF*Subj_SizeTol),ABS($L516-Subj_BldgSF),NA())</f>
        <v/>
      </c>
      <c r="AJ516">
        <f>IF(ISNA(AI516),NA(),AI516+ROW()/10000000)</f>
        <v/>
      </c>
      <c r="AK516" s="605">
        <f>IF(AND(ISNUMBER($N516),$N516&gt;0,ISNUMBER($Y516)),$Y516/$N516,"")</f>
        <v/>
      </c>
    </row>
    <row r="517" ht="15" customHeight="1" s="545">
      <c r="A517" s="385" t="n">
        <v>8</v>
      </c>
      <c r="B517" s="605" t="n">
        <v>511</v>
      </c>
      <c r="C517" s="605" t="inlineStr">
        <is>
          <t>R0002429</t>
        </is>
      </c>
      <c r="D517" s="605" t="inlineStr">
        <is>
          <t>695 N 7TH AVE</t>
        </is>
      </c>
      <c r="E517" s="605" t="n">
        <v>334</v>
      </c>
      <c r="F517" s="605" t="inlineStr">
        <is>
          <t>BRIGHTON</t>
        </is>
      </c>
      <c r="G517" s="605" t="inlineStr">
        <is>
          <t>2</t>
        </is>
      </c>
      <c r="H517" s="59">
        <f>Y517/J517</f>
        <v/>
      </c>
      <c r="I517" s="386" t="n">
        <v>44405</v>
      </c>
      <c r="J517" s="605" t="n">
        <v>10106</v>
      </c>
      <c r="L517" s="605" t="n">
        <v>10106</v>
      </c>
      <c r="M517" s="605" t="n">
        <v>1987</v>
      </c>
      <c r="P517" s="605" t="inlineStr">
        <is>
          <t>I-1-Bri</t>
        </is>
      </c>
      <c r="R517" s="152" t="inlineStr">
        <is>
          <t>Average</t>
        </is>
      </c>
      <c r="S517" s="605" t="n">
        <v>86500</v>
      </c>
      <c r="T517" s="387">
        <f>S517/J517</f>
        <v/>
      </c>
      <c r="U517" s="605" t="inlineStr">
        <is>
          <t>Average</t>
        </is>
      </c>
      <c r="Y517" s="605" t="n">
        <v>1575000</v>
      </c>
      <c r="AA517" s="605" t="n">
        <v>1575000</v>
      </c>
      <c r="AC517" s="605" t="inlineStr">
        <is>
          <t>0156906101015</t>
        </is>
      </c>
      <c r="AD517" s="605" t="inlineStr">
        <is>
          <t>2021000090938</t>
        </is>
      </c>
      <c r="AE517" s="605" t="inlineStr">
        <is>
          <t>ATI DEVELOPMENT LLC</t>
        </is>
      </c>
      <c r="AF517" s="605" t="inlineStr">
        <is>
          <t>WEALTH BUILDING PROPERTIES LLC</t>
        </is>
      </c>
      <c r="AI517" s="605">
        <f>IF(AND($E517=Subj_OccCode,Subj_BldgSF&gt;0,ABS($L517-Subj_BldgSF)&lt;=Subj_BldgSF*Subj_SizeTol),ABS($L517-Subj_BldgSF),NA())</f>
        <v/>
      </c>
      <c r="AJ517">
        <f>IF(ISNA(AI517),NA(),AI517+ROW()/10000000)</f>
        <v/>
      </c>
      <c r="AK517" s="605">
        <f>IF(AND(ISNUMBER($N517),$N517&gt;0,ISNUMBER($Y517)),$Y517/$N517,"")</f>
        <v/>
      </c>
    </row>
    <row r="518" ht="15" customHeight="1" s="545">
      <c r="A518" s="385" t="n">
        <v>8</v>
      </c>
      <c r="B518" s="605" t="n">
        <v>512</v>
      </c>
      <c r="C518" s="605" t="inlineStr">
        <is>
          <t>R0125399</t>
        </is>
      </c>
      <c r="D518" s="605" t="inlineStr">
        <is>
          <t>6550  FRANKLIN ST</t>
        </is>
      </c>
      <c r="E518" s="605" t="n">
        <v>407</v>
      </c>
      <c r="G518" s="605" t="inlineStr">
        <is>
          <t>5</t>
        </is>
      </c>
      <c r="H518" s="59">
        <f>Y518/J518</f>
        <v/>
      </c>
      <c r="I518" s="386" t="n">
        <v>43767</v>
      </c>
      <c r="J518" s="605" t="n">
        <v>10384</v>
      </c>
      <c r="L518" s="605" t="n">
        <v>10384</v>
      </c>
      <c r="M518" s="605" t="n">
        <v>2001</v>
      </c>
      <c r="P518" s="605" t="inlineStr">
        <is>
          <t>Planned Unit Development</t>
        </is>
      </c>
      <c r="R518" s="152" t="inlineStr">
        <is>
          <t>Average</t>
        </is>
      </c>
      <c r="S518" s="605" t="n">
        <v>43560</v>
      </c>
      <c r="T518" s="387">
        <f>S518/J518</f>
        <v/>
      </c>
      <c r="U518" s="605" t="inlineStr">
        <is>
          <t>Good</t>
        </is>
      </c>
      <c r="Y518" s="605" t="n">
        <v>2000000</v>
      </c>
      <c r="AA518" s="605" t="n">
        <v>2000000</v>
      </c>
      <c r="AC518" s="605" t="inlineStr">
        <is>
          <t>0182502403042</t>
        </is>
      </c>
      <c r="AD518" s="605" t="inlineStr">
        <is>
          <t>2019000093364</t>
        </is>
      </c>
      <c r="AE518" s="605" t="inlineStr">
        <is>
          <t>URSUS HORRIBILIS LLC</t>
        </is>
      </c>
      <c r="AF518" s="605" t="inlineStr">
        <is>
          <t>6550 FRANKLIN LLC</t>
        </is>
      </c>
      <c r="AI518" s="605">
        <f>IF(AND($E518=Subj_OccCode,Subj_BldgSF&gt;0,ABS($L518-Subj_BldgSF)&lt;=Subj_BldgSF*Subj_SizeTol),ABS($L518-Subj_BldgSF),NA())</f>
        <v/>
      </c>
      <c r="AJ518">
        <f>IF(ISNA(AI518),NA(),AI518+ROW()/10000000)</f>
        <v/>
      </c>
      <c r="AK518" s="605">
        <f>IF(AND(ISNUMBER($N518),$N518&gt;0,ISNUMBER($Y518)),$Y518/$N518,"")</f>
        <v/>
      </c>
    </row>
    <row r="519" ht="15" customHeight="1" s="545">
      <c r="A519" s="385" t="n">
        <v>8</v>
      </c>
      <c r="B519" s="605" t="n">
        <v>513</v>
      </c>
      <c r="C519" s="605" t="inlineStr">
        <is>
          <t>R0002759</t>
        </is>
      </c>
      <c r="D519" s="605" t="inlineStr">
        <is>
          <t>257 N MAIN ST</t>
        </is>
      </c>
      <c r="E519" s="605" t="n">
        <v>325</v>
      </c>
      <c r="F519" s="605" t="inlineStr">
        <is>
          <t>BRIGHTON</t>
        </is>
      </c>
      <c r="G519" s="605" t="inlineStr">
        <is>
          <t>2</t>
        </is>
      </c>
      <c r="H519" s="59">
        <f>Y519/J519</f>
        <v/>
      </c>
      <c r="I519" s="386" t="n">
        <v>43217</v>
      </c>
      <c r="J519" s="605" t="n">
        <v>2210</v>
      </c>
      <c r="L519" s="605" t="n">
        <v>2210</v>
      </c>
      <c r="M519" s="605" t="n">
        <v>1982</v>
      </c>
      <c r="P519" s="605" t="inlineStr">
        <is>
          <t>Brighton</t>
        </is>
      </c>
      <c r="R519" s="152" t="inlineStr">
        <is>
          <t>Average</t>
        </is>
      </c>
      <c r="S519" s="605" t="n">
        <v>6800</v>
      </c>
      <c r="T519" s="387">
        <f>S519/J519</f>
        <v/>
      </c>
      <c r="U519" s="605" t="inlineStr">
        <is>
          <t>Average</t>
        </is>
      </c>
      <c r="Y519" s="605" t="n">
        <v>400000</v>
      </c>
      <c r="AA519" s="605" t="n">
        <v>400000</v>
      </c>
      <c r="AC519" s="605" t="inlineStr">
        <is>
          <t>0156906306004</t>
        </is>
      </c>
      <c r="AD519" s="605" t="inlineStr">
        <is>
          <t>2018000034670</t>
        </is>
      </c>
      <c r="AE519" s="605" t="inlineStr">
        <is>
          <t>GUZMAN GUADALUPE</t>
        </is>
      </c>
      <c r="AF519" s="605" t="inlineStr">
        <is>
          <t>ALVAREZ JOSE LUIS</t>
        </is>
      </c>
      <c r="AI519" s="605">
        <f>IF(AND($E519=Subj_OccCode,Subj_BldgSF&gt;0,ABS($L519-Subj_BldgSF)&lt;=Subj_BldgSF*Subj_SizeTol),ABS($L519-Subj_BldgSF),NA())</f>
        <v/>
      </c>
      <c r="AJ519">
        <f>IF(ISNA(AI519),NA(),AI519+ROW()/10000000)</f>
        <v/>
      </c>
      <c r="AK519" s="605">
        <f>IF(AND(ISNUMBER($N519),$N519&gt;0,ISNUMBER($Y519)),$Y519/$N519,"")</f>
        <v/>
      </c>
    </row>
    <row r="520" ht="15" customHeight="1" s="545">
      <c r="A520" s="385" t="n">
        <v>8</v>
      </c>
      <c r="B520" s="605" t="n">
        <v>515</v>
      </c>
      <c r="C520" s="605" t="inlineStr">
        <is>
          <t>R0129932</t>
        </is>
      </c>
      <c r="D520" s="605" t="inlineStr">
        <is>
          <t>37550  ASTRA WAY #5E</t>
        </is>
      </c>
      <c r="E520" s="605" t="n">
        <v>328</v>
      </c>
      <c r="G520" s="605" t="inlineStr">
        <is>
          <t>6</t>
        </is>
      </c>
      <c r="H520" s="59">
        <f>Y520/J520</f>
        <v/>
      </c>
      <c r="I520" s="386" t="n">
        <v>43237</v>
      </c>
      <c r="J520" s="605" t="n">
        <v>2900</v>
      </c>
      <c r="L520" s="605" t="n">
        <v>2900</v>
      </c>
      <c r="M520" s="605" t="n">
        <v>2000</v>
      </c>
      <c r="R520" s="152" t="inlineStr">
        <is>
          <t>Average</t>
        </is>
      </c>
      <c r="T520" s="387">
        <f>S520/J520</f>
        <v/>
      </c>
      <c r="U520" s="605" t="inlineStr">
        <is>
          <t>Average</t>
        </is>
      </c>
      <c r="Y520" s="605" t="n">
        <v>134000</v>
      </c>
      <c r="AA520" s="605" t="n">
        <v>134000</v>
      </c>
      <c r="AC520" s="605" t="inlineStr">
        <is>
          <t>0181716405006</t>
        </is>
      </c>
      <c r="AD520" s="605" t="inlineStr">
        <is>
          <t>2018000040787</t>
        </is>
      </c>
      <c r="AE520" s="605" t="inlineStr">
        <is>
          <t>HANGAR SPACE LLC, C/O PEGGY LONG</t>
        </is>
      </c>
      <c r="AF520" s="605" t="inlineStr">
        <is>
          <t>WIEBOLD ROBERT T</t>
        </is>
      </c>
      <c r="AI520" s="605">
        <f>IF(AND($E520=Subj_OccCode,Subj_BldgSF&gt;0,ABS($L520-Subj_BldgSF)&lt;=Subj_BldgSF*Subj_SizeTol),ABS($L520-Subj_BldgSF),NA())</f>
        <v/>
      </c>
      <c r="AJ520">
        <f>IF(ISNA(AI520),NA(),AI520+ROW()/10000000)</f>
        <v/>
      </c>
      <c r="AK520" s="605">
        <f>IF(AND(ISNUMBER($N520),$N520&gt;0,ISNUMBER($Y520)),$Y520/$N520,"")</f>
        <v/>
      </c>
    </row>
    <row r="521" ht="15" customHeight="1" s="545">
      <c r="A521" s="385" t="n">
        <v>8</v>
      </c>
      <c r="B521" s="605" t="n">
        <v>516</v>
      </c>
      <c r="C521" s="605" t="inlineStr">
        <is>
          <t>R0092695</t>
        </is>
      </c>
      <c r="D521" s="605" t="inlineStr">
        <is>
          <t>6390 E 49TH DR</t>
        </is>
      </c>
      <c r="E521" s="605" t="n">
        <v>407</v>
      </c>
      <c r="F521" s="605" t="inlineStr">
        <is>
          <t>COMMERCE CITY</t>
        </is>
      </c>
      <c r="G521" s="605" t="inlineStr">
        <is>
          <t>5</t>
        </is>
      </c>
      <c r="H521" s="59">
        <f>Y521/J521</f>
        <v/>
      </c>
      <c r="I521" s="386" t="n">
        <v>43509</v>
      </c>
      <c r="J521" s="605" t="n">
        <v>13000</v>
      </c>
      <c r="L521" s="605" t="n">
        <v>13000</v>
      </c>
      <c r="M521" s="605" t="n">
        <v>1979</v>
      </c>
      <c r="P521" s="605" t="inlineStr">
        <is>
          <t>Commerce City</t>
        </is>
      </c>
      <c r="R521" s="152" t="inlineStr">
        <is>
          <t>Average</t>
        </is>
      </c>
      <c r="S521" s="605" t="n">
        <v>32000</v>
      </c>
      <c r="T521" s="387">
        <f>S521/J521</f>
        <v/>
      </c>
      <c r="U521" s="605" t="inlineStr">
        <is>
          <t>Average</t>
        </is>
      </c>
      <c r="Y521" s="605" t="n">
        <v>1800000</v>
      </c>
      <c r="AA521" s="605" t="n">
        <v>1800000</v>
      </c>
      <c r="AC521" s="605" t="inlineStr">
        <is>
          <t>0182317304049</t>
        </is>
      </c>
      <c r="AD521" s="605" t="inlineStr">
        <is>
          <t>2019000012690</t>
        </is>
      </c>
      <c r="AE521" s="605" t="inlineStr">
        <is>
          <t>KLV INVESTMENTS LLC</t>
        </is>
      </c>
      <c r="AF521" s="605" t="inlineStr">
        <is>
          <t>NOVA WAY INVESTMENTS INC</t>
        </is>
      </c>
      <c r="AI521" s="605">
        <f>IF(AND($E521=Subj_OccCode,Subj_BldgSF&gt;0,ABS($L521-Subj_BldgSF)&lt;=Subj_BldgSF*Subj_SizeTol),ABS($L521-Subj_BldgSF),NA())</f>
        <v/>
      </c>
      <c r="AJ521">
        <f>IF(ISNA(AI521),NA(),AI521+ROW()/10000000)</f>
        <v/>
      </c>
      <c r="AK521" s="605">
        <f>IF(AND(ISNUMBER($N521),$N521&gt;0,ISNUMBER($Y521)),$Y521/$N521,"")</f>
        <v/>
      </c>
    </row>
    <row r="522" ht="15" customHeight="1" s="545">
      <c r="A522" s="385" t="n">
        <v>8</v>
      </c>
      <c r="B522" s="605" t="n">
        <v>517</v>
      </c>
      <c r="C522" s="605" t="inlineStr">
        <is>
          <t>R0141093</t>
        </is>
      </c>
      <c r="D522" s="605" t="inlineStr">
        <is>
          <t>37700  CESSNA WAY</t>
        </is>
      </c>
      <c r="E522" s="605" t="n">
        <v>328</v>
      </c>
      <c r="G522" s="605" t="inlineStr">
        <is>
          <t>1</t>
        </is>
      </c>
      <c r="H522" s="59">
        <f>Y522/J522</f>
        <v/>
      </c>
      <c r="I522" s="386" t="n">
        <v>44128</v>
      </c>
      <c r="J522" s="605" t="n">
        <v>2850</v>
      </c>
      <c r="L522" s="605" t="n">
        <v>2850</v>
      </c>
      <c r="M522" s="605" t="n">
        <v>2001</v>
      </c>
      <c r="R522" s="152" t="inlineStr">
        <is>
          <t>Average</t>
        </is>
      </c>
      <c r="T522" s="387">
        <f>S522/J522</f>
        <v/>
      </c>
      <c r="U522" s="605" t="inlineStr">
        <is>
          <t>Average</t>
        </is>
      </c>
      <c r="Y522" s="605" t="n">
        <v>163000</v>
      </c>
      <c r="AA522" s="605" t="n">
        <v>163000</v>
      </c>
      <c r="AC522" s="605" t="inlineStr">
        <is>
          <t>0181715201009</t>
        </is>
      </c>
      <c r="AD522" s="605" t="inlineStr">
        <is>
          <t>2020000123653</t>
        </is>
      </c>
      <c r="AE522" s="605" t="inlineStr">
        <is>
          <t>O MALLEY SUZANNE LOUISE</t>
        </is>
      </c>
      <c r="AF522" s="605" t="inlineStr">
        <is>
          <t>FASTGLAS HOLDINGS LLC</t>
        </is>
      </c>
      <c r="AI522" s="605">
        <f>IF(AND($E522=Subj_OccCode,Subj_BldgSF&gt;0,ABS($L522-Subj_BldgSF)&lt;=Subj_BldgSF*Subj_SizeTol),ABS($L522-Subj_BldgSF),NA())</f>
        <v/>
      </c>
      <c r="AJ522">
        <f>IF(ISNA(AI522),NA(),AI522+ROW()/10000000)</f>
        <v/>
      </c>
      <c r="AK522" s="605">
        <f>IF(AND(ISNUMBER($N522),$N522&gt;0,ISNUMBER($Y522)),$Y522/$N522,"")</f>
        <v/>
      </c>
    </row>
    <row r="523" ht="15" customHeight="1" s="545">
      <c r="A523" s="385" t="n">
        <v>8</v>
      </c>
      <c r="B523" s="605" t="n">
        <v>518</v>
      </c>
      <c r="C523" s="605" t="inlineStr">
        <is>
          <t>R0129305</t>
        </is>
      </c>
      <c r="D523" s="605" t="inlineStr">
        <is>
          <t>7175 IVY ST</t>
        </is>
      </c>
      <c r="E523" s="605" t="n">
        <v>406</v>
      </c>
      <c r="F523" s="605" t="inlineStr">
        <is>
          <t>COMMERCE CITY</t>
        </is>
      </c>
      <c r="G523" s="605" t="inlineStr">
        <is>
          <t>5</t>
        </is>
      </c>
      <c r="H523" s="59">
        <f>Y523/J523</f>
        <v/>
      </c>
      <c r="I523" s="386" t="n">
        <v>43106</v>
      </c>
      <c r="J523" s="605" t="n">
        <v>4500</v>
      </c>
      <c r="L523" s="605" t="n">
        <v>4500</v>
      </c>
      <c r="M523" s="605" t="n">
        <v>2001</v>
      </c>
      <c r="R523" s="152" t="inlineStr">
        <is>
          <t>Average</t>
        </is>
      </c>
      <c r="S523" s="605" t="n">
        <v>21675</v>
      </c>
      <c r="T523" s="387">
        <f>S523/J523</f>
        <v/>
      </c>
      <c r="U523" s="605" t="inlineStr">
        <is>
          <t>Average</t>
        </is>
      </c>
      <c r="Y523" s="605" t="n">
        <v>630000</v>
      </c>
      <c r="AA523" s="605" t="n">
        <v>630000</v>
      </c>
      <c r="AC523" s="605" t="inlineStr">
        <is>
          <t>0182305221034</t>
        </is>
      </c>
      <c r="AD523" s="605" t="inlineStr">
        <is>
          <t>2018000005251</t>
        </is>
      </c>
      <c r="AE523" s="605" t="inlineStr">
        <is>
          <t>BAIRD INDUSTRIAL ASSETS LLC</t>
        </is>
      </c>
      <c r="AF523" s="605" t="inlineStr">
        <is>
          <t>PPTS PROPERTIES LLC</t>
        </is>
      </c>
      <c r="AI523" s="605">
        <f>IF(AND($E523=Subj_OccCode,Subj_BldgSF&gt;0,ABS($L523-Subj_BldgSF)&lt;=Subj_BldgSF*Subj_SizeTol),ABS($L523-Subj_BldgSF),NA())</f>
        <v/>
      </c>
      <c r="AJ523">
        <f>IF(ISNA(AI523),NA(),AI523+ROW()/10000000)</f>
        <v/>
      </c>
      <c r="AK523" s="605">
        <f>IF(AND(ISNUMBER($N523),$N523&gt;0,ISNUMBER($Y523)),$Y523/$N523,"")</f>
        <v/>
      </c>
    </row>
    <row r="524" ht="15" customHeight="1" s="545">
      <c r="A524" s="385" t="n">
        <v>8</v>
      </c>
      <c r="B524" s="605" t="n">
        <v>519</v>
      </c>
      <c r="C524" s="605" t="inlineStr">
        <is>
          <t>R0037110</t>
        </is>
      </c>
      <c r="D524" s="605" t="inlineStr">
        <is>
          <t>11184  HURON ST #10</t>
        </is>
      </c>
      <c r="E524" s="605" t="n">
        <v>1344</v>
      </c>
      <c r="F524" s="605" t="inlineStr">
        <is>
          <t>NORTHGLENN</t>
        </is>
      </c>
      <c r="G524" s="605" t="inlineStr">
        <is>
          <t>4</t>
        </is>
      </c>
      <c r="H524" s="59">
        <f>Y524/J524</f>
        <v/>
      </c>
      <c r="I524" s="386" t="n">
        <v>44568</v>
      </c>
      <c r="J524" s="605" t="n">
        <v>1742</v>
      </c>
      <c r="L524" s="605" t="n">
        <v>1742</v>
      </c>
      <c r="M524" s="605" t="n">
        <v>1984</v>
      </c>
      <c r="P524" s="605" t="inlineStr">
        <is>
          <t>C-3-Nor</t>
        </is>
      </c>
      <c r="R524" s="152" t="inlineStr">
        <is>
          <t>Average</t>
        </is>
      </c>
      <c r="S524" s="605" t="n">
        <v>1108</v>
      </c>
      <c r="T524" s="387">
        <f>S524/J524</f>
        <v/>
      </c>
      <c r="U524" s="605" t="inlineStr">
        <is>
          <t>Average</t>
        </is>
      </c>
      <c r="Y524" s="605" t="n">
        <v>288188</v>
      </c>
      <c r="AA524" s="605" t="n">
        <v>288188</v>
      </c>
      <c r="AC524" s="605" t="inlineStr">
        <is>
          <t>0171910217010</t>
        </is>
      </c>
      <c r="AD524" s="605" t="inlineStr">
        <is>
          <t>2022000002957</t>
        </is>
      </c>
      <c r="AE524" s="605" t="inlineStr">
        <is>
          <t>LASZLO ENTERPRISES LLC</t>
        </is>
      </c>
      <c r="AF524" s="605" t="inlineStr">
        <is>
          <t>WYGONSKI ENTERPRISES LLC</t>
        </is>
      </c>
      <c r="AI524" s="605">
        <f>IF(AND($E524=Subj_OccCode,Subj_BldgSF&gt;0,ABS($L524-Subj_BldgSF)&lt;=Subj_BldgSF*Subj_SizeTol),ABS($L524-Subj_BldgSF),NA())</f>
        <v/>
      </c>
      <c r="AJ524">
        <f>IF(ISNA(AI524),NA(),AI524+ROW()/10000000)</f>
        <v/>
      </c>
      <c r="AK524" s="605">
        <f>IF(AND(ISNUMBER($N524),$N524&gt;0,ISNUMBER($Y524)),$Y524/$N524,"")</f>
        <v/>
      </c>
    </row>
    <row r="525" ht="15" customHeight="1" s="545">
      <c r="A525" s="385" t="n">
        <v>8</v>
      </c>
      <c r="B525" s="605" t="n">
        <v>520</v>
      </c>
      <c r="C525" s="605" t="inlineStr">
        <is>
          <t>R0138742</t>
        </is>
      </c>
      <c r="D525" s="605" t="inlineStr">
        <is>
          <t>10420  MELODY DR</t>
        </is>
      </c>
      <c r="E525" s="605" t="n">
        <v>325</v>
      </c>
      <c r="F525" s="605" t="inlineStr">
        <is>
          <t>NORTHGLENN</t>
        </is>
      </c>
      <c r="G525" s="605" t="inlineStr">
        <is>
          <t>4</t>
        </is>
      </c>
      <c r="H525" s="59">
        <f>Y525/J525</f>
        <v/>
      </c>
      <c r="I525" s="386" t="n">
        <v>44182</v>
      </c>
      <c r="J525" s="605" t="n">
        <v>9036</v>
      </c>
      <c r="L525" s="605" t="n">
        <v>9036</v>
      </c>
      <c r="M525" s="605" t="n">
        <v>1964</v>
      </c>
      <c r="P525" s="605" t="inlineStr">
        <is>
          <t>C-5-Nor</t>
        </is>
      </c>
      <c r="R525" s="152" t="inlineStr">
        <is>
          <t>Average</t>
        </is>
      </c>
      <c r="S525" s="605" t="n">
        <v>26250</v>
      </c>
      <c r="T525" s="387">
        <f>S525/J525</f>
        <v/>
      </c>
      <c r="U525" s="605" t="inlineStr">
        <is>
          <t>Average</t>
        </is>
      </c>
      <c r="Y525" s="605" t="n">
        <v>1000000</v>
      </c>
      <c r="AA525" s="605" t="n">
        <v>1000000</v>
      </c>
      <c r="AC525" s="605" t="inlineStr">
        <is>
          <t>0171910302011</t>
        </is>
      </c>
      <c r="AD525" s="605" t="inlineStr">
        <is>
          <t>2020000137538</t>
        </is>
      </c>
      <c r="AE525" s="605" t="inlineStr">
        <is>
          <t>MP NORTHGLENN LLC, C/O THE HUTENSKY GROUP LLC</t>
        </is>
      </c>
      <c r="AF525" s="605" t="inlineStr">
        <is>
          <t>PISCIOTTA LARRY F 28% UND INT AND ET AL, C/O RED ARROW CAPITAL</t>
        </is>
      </c>
      <c r="AI525" s="605">
        <f>IF(AND($E525=Subj_OccCode,Subj_BldgSF&gt;0,ABS($L525-Subj_BldgSF)&lt;=Subj_BldgSF*Subj_SizeTol),ABS($L525-Subj_BldgSF),NA())</f>
        <v/>
      </c>
      <c r="AJ525">
        <f>IF(ISNA(AI525),NA(),AI525+ROW()/10000000)</f>
        <v/>
      </c>
      <c r="AK525" s="605">
        <f>IF(AND(ISNUMBER($N525),$N525&gt;0,ISNUMBER($Y525)),$Y525/$N525,"")</f>
        <v/>
      </c>
    </row>
    <row r="526" ht="15" customHeight="1" s="545">
      <c r="A526" s="385" t="n">
        <v>8</v>
      </c>
      <c r="B526" s="605" t="n">
        <v>521</v>
      </c>
      <c r="C526" s="605" t="inlineStr">
        <is>
          <t>R0119551</t>
        </is>
      </c>
      <c r="D526" s="605" t="inlineStr">
        <is>
          <t>9101  PEARL ST</t>
        </is>
      </c>
      <c r="E526" s="605" t="n">
        <v>344</v>
      </c>
      <c r="F526" s="605" t="inlineStr">
        <is>
          <t>THORNTON</t>
        </is>
      </c>
      <c r="G526" s="605" t="inlineStr">
        <is>
          <t>4</t>
        </is>
      </c>
      <c r="H526" s="59">
        <f>Y526/J526</f>
        <v/>
      </c>
      <c r="I526" s="386" t="n">
        <v>43880</v>
      </c>
      <c r="J526" s="605" t="n">
        <v>26628</v>
      </c>
      <c r="L526" s="605" t="n">
        <v>26628</v>
      </c>
      <c r="M526" s="605" t="n">
        <v>1982</v>
      </c>
      <c r="P526" s="605" t="inlineStr">
        <is>
          <t>City Center</t>
        </is>
      </c>
      <c r="R526" s="152" t="inlineStr">
        <is>
          <t>Average</t>
        </is>
      </c>
      <c r="S526" s="605" t="n">
        <v>91780.92</v>
      </c>
      <c r="T526" s="387">
        <f>S526/J526</f>
        <v/>
      </c>
      <c r="U526" s="605" t="inlineStr">
        <is>
          <t>Fair</t>
        </is>
      </c>
      <c r="Y526" s="605" t="n">
        <v>1800000</v>
      </c>
      <c r="AA526" s="605" t="n">
        <v>1800000</v>
      </c>
      <c r="AC526" s="605" t="inlineStr">
        <is>
          <t>0171922403010</t>
        </is>
      </c>
      <c r="AD526" s="605" t="inlineStr">
        <is>
          <t>2020000016308</t>
        </is>
      </c>
      <c r="AE526" s="605" t="inlineStr">
        <is>
          <t>PEARL91 LLC</t>
        </is>
      </c>
      <c r="AF526" s="605" t="inlineStr">
        <is>
          <t>495 W CEDAR AVE LLC</t>
        </is>
      </c>
      <c r="AI526" s="605">
        <f>IF(AND($E526=Subj_OccCode,Subj_BldgSF&gt;0,ABS($L526-Subj_BldgSF)&lt;=Subj_BldgSF*Subj_SizeTol),ABS($L526-Subj_BldgSF),NA())</f>
        <v/>
      </c>
      <c r="AJ526">
        <f>IF(ISNA(AI526),NA(),AI526+ROW()/10000000)</f>
        <v/>
      </c>
      <c r="AK526" s="605">
        <f>IF(AND(ISNUMBER($N526),$N526&gt;0,ISNUMBER($Y526)),$Y526/$N526,"")</f>
        <v/>
      </c>
    </row>
    <row r="527" ht="15" customHeight="1" s="545">
      <c r="A527" s="385" t="n">
        <v>8</v>
      </c>
      <c r="B527" s="605" t="n">
        <v>522</v>
      </c>
      <c r="C527" s="605" t="inlineStr">
        <is>
          <t>R0062919</t>
        </is>
      </c>
      <c r="D527" s="605" t="inlineStr">
        <is>
          <t>8791  WOLFF CT #120</t>
        </is>
      </c>
      <c r="E527" s="605" t="n">
        <v>344</v>
      </c>
      <c r="F527" s="605" t="inlineStr">
        <is>
          <t>WESTMINSTER</t>
        </is>
      </c>
      <c r="G527" s="605" t="inlineStr">
        <is>
          <t>4</t>
        </is>
      </c>
      <c r="H527" s="59">
        <f>Y527/J527</f>
        <v/>
      </c>
      <c r="I527" s="386" t="n">
        <v>43528</v>
      </c>
      <c r="J527" s="605" t="n">
        <v>840</v>
      </c>
      <c r="L527" s="605" t="n">
        <v>840</v>
      </c>
      <c r="M527" s="605" t="n">
        <v>1984</v>
      </c>
      <c r="P527" s="605" t="inlineStr">
        <is>
          <t>Westminster</t>
        </is>
      </c>
      <c r="R527" s="152" t="inlineStr">
        <is>
          <t>Average</t>
        </is>
      </c>
      <c r="S527" s="605" t="n">
        <v>3842</v>
      </c>
      <c r="T527" s="387">
        <f>S527/J527</f>
        <v/>
      </c>
      <c r="U527" s="605" t="inlineStr">
        <is>
          <t>Average</t>
        </is>
      </c>
      <c r="Y527" s="605" t="n">
        <v>200000</v>
      </c>
      <c r="AA527" s="605" t="n">
        <v>200000</v>
      </c>
      <c r="AC527" s="605" t="inlineStr">
        <is>
          <t>0171930218014</t>
        </is>
      </c>
      <c r="AD527" s="605" t="inlineStr">
        <is>
          <t>2019000018480</t>
        </is>
      </c>
      <c r="AE527" s="605" t="inlineStr">
        <is>
          <t>PATRICK LYNCH INVESTMENTS LLC</t>
        </is>
      </c>
      <c r="AF527" s="605" t="inlineStr">
        <is>
          <t>J&amp;M ESTATES LLC</t>
        </is>
      </c>
      <c r="AI527" s="605">
        <f>IF(AND($E527=Subj_OccCode,Subj_BldgSF&gt;0,ABS($L527-Subj_BldgSF)&lt;=Subj_BldgSF*Subj_SizeTol),ABS($L527-Subj_BldgSF),NA())</f>
        <v/>
      </c>
      <c r="AJ527">
        <f>IF(ISNA(AI527),NA(),AI527+ROW()/10000000)</f>
        <v/>
      </c>
      <c r="AK527" s="605">
        <f>IF(AND(ISNUMBER($N527),$N527&gt;0,ISNUMBER($Y527)),$Y527/$N527,"")</f>
        <v/>
      </c>
    </row>
    <row r="528" ht="15" customHeight="1" s="545">
      <c r="A528" s="385" t="n">
        <v>8</v>
      </c>
      <c r="B528" s="605" t="n">
        <v>523</v>
      </c>
      <c r="C528" s="605" t="inlineStr">
        <is>
          <t>R0085941</t>
        </is>
      </c>
      <c r="D528" s="605" t="inlineStr">
        <is>
          <t>1660  CHAMBERS RD</t>
        </is>
      </c>
      <c r="E528" s="605" t="n">
        <v>406</v>
      </c>
      <c r="F528" s="605" t="inlineStr">
        <is>
          <t>AURORA</t>
        </is>
      </c>
      <c r="G528" s="605" t="inlineStr">
        <is>
          <t>6</t>
        </is>
      </c>
      <c r="H528" s="59">
        <f>Y528/J528</f>
        <v/>
      </c>
      <c r="I528" s="386" t="n">
        <v>43430</v>
      </c>
      <c r="J528" s="605" t="n">
        <v>9310</v>
      </c>
      <c r="L528" s="605" t="n">
        <v>9310</v>
      </c>
      <c r="M528" s="605" t="n">
        <v>1969</v>
      </c>
      <c r="R528" s="152" t="inlineStr">
        <is>
          <t>Average</t>
        </is>
      </c>
      <c r="S528" s="605" t="n">
        <v>20000</v>
      </c>
      <c r="T528" s="387">
        <f>S528/J528</f>
        <v/>
      </c>
      <c r="U528" s="605" t="inlineStr">
        <is>
          <t>Average</t>
        </is>
      </c>
      <c r="Y528" s="605" t="n">
        <v>1350000</v>
      </c>
      <c r="AA528" s="605" t="n">
        <v>1350000</v>
      </c>
      <c r="AC528" s="605" t="inlineStr">
        <is>
          <t>0182132315028</t>
        </is>
      </c>
      <c r="AD528" s="605" t="inlineStr">
        <is>
          <t>2018000094513</t>
        </is>
      </c>
      <c r="AE528" s="605" t="inlineStr">
        <is>
          <t>CARDINAL ENTERPRISES LLC</t>
        </is>
      </c>
      <c r="AF528" s="605" t="inlineStr">
        <is>
          <t>HIGHLINE ROOFING &amp; GUTTERS INC</t>
        </is>
      </c>
      <c r="AI528" s="605">
        <f>IF(AND($E528=Subj_OccCode,Subj_BldgSF&gt;0,ABS($L528-Subj_BldgSF)&lt;=Subj_BldgSF*Subj_SizeTol),ABS($L528-Subj_BldgSF),NA())</f>
        <v/>
      </c>
      <c r="AJ528">
        <f>IF(ISNA(AI528),NA(),AI528+ROW()/10000000)</f>
        <v/>
      </c>
      <c r="AK528" s="605">
        <f>IF(AND(ISNUMBER($N528),$N528&gt;0,ISNUMBER($Y528)),$Y528/$N528,"")</f>
        <v/>
      </c>
    </row>
    <row r="529" ht="15" customHeight="1" s="545">
      <c r="A529" s="385" t="n">
        <v>8</v>
      </c>
      <c r="B529" s="605" t="n">
        <v>524</v>
      </c>
      <c r="C529" s="605" t="inlineStr">
        <is>
          <t>R0091927</t>
        </is>
      </c>
      <c r="D529" s="605" t="inlineStr">
        <is>
          <t>6333 E 56TH AVE</t>
        </is>
      </c>
      <c r="E529" s="605" t="n">
        <v>407</v>
      </c>
      <c r="F529" s="605" t="inlineStr">
        <is>
          <t>COMMERCE CITY</t>
        </is>
      </c>
      <c r="G529" s="605" t="inlineStr">
        <is>
          <t>5</t>
        </is>
      </c>
      <c r="H529" s="59">
        <f>Y529/J529</f>
        <v/>
      </c>
      <c r="I529" s="386" t="n">
        <v>43738</v>
      </c>
      <c r="J529" s="605" t="n">
        <v>14572</v>
      </c>
      <c r="L529" s="605" t="n">
        <v>14572</v>
      </c>
      <c r="M529" s="605" t="n">
        <v>1980</v>
      </c>
      <c r="P529" s="605" t="inlineStr">
        <is>
          <t>I-1-Com</t>
        </is>
      </c>
      <c r="R529" s="152" t="inlineStr">
        <is>
          <t>Average</t>
        </is>
      </c>
      <c r="S529" s="605" t="n">
        <v>72000</v>
      </c>
      <c r="T529" s="387">
        <f>S529/J529</f>
        <v/>
      </c>
      <c r="U529" s="605" t="inlineStr">
        <is>
          <t>Average</t>
        </is>
      </c>
      <c r="Y529" s="605" t="n">
        <v>2350000</v>
      </c>
      <c r="AA529" s="605" t="n">
        <v>2350000</v>
      </c>
      <c r="AC529" s="605" t="inlineStr">
        <is>
          <t>0182308302045</t>
        </is>
      </c>
      <c r="AD529" s="605" t="inlineStr">
        <is>
          <t>2019000082653</t>
        </is>
      </c>
      <c r="AE529" s="605" t="inlineStr">
        <is>
          <t>PICCONE INVESTMENT, CORPORATION</t>
        </is>
      </c>
      <c r="AF529" s="605" t="inlineStr">
        <is>
          <t>ROCKYSTAR PROPERTIES LLC</t>
        </is>
      </c>
      <c r="AI529" s="605">
        <f>IF(AND($E529=Subj_OccCode,Subj_BldgSF&gt;0,ABS($L529-Subj_BldgSF)&lt;=Subj_BldgSF*Subj_SizeTol),ABS($L529-Subj_BldgSF),NA())</f>
        <v/>
      </c>
      <c r="AJ529">
        <f>IF(ISNA(AI529),NA(),AI529+ROW()/10000000)</f>
        <v/>
      </c>
      <c r="AK529" s="605">
        <f>IF(AND(ISNUMBER($N529),$N529&gt;0,ISNUMBER($Y529)),$Y529/$N529,"")</f>
        <v/>
      </c>
    </row>
    <row r="530" ht="15" customHeight="1" s="545">
      <c r="A530" s="385" t="n">
        <v>8</v>
      </c>
      <c r="B530" s="605" t="n">
        <v>525</v>
      </c>
      <c r="C530" s="605" t="inlineStr">
        <is>
          <t>R0003372</t>
        </is>
      </c>
      <c r="D530" s="605" t="inlineStr">
        <is>
          <t>715  BRIDGE ST</t>
        </is>
      </c>
      <c r="E530" s="605" t="n">
        <v>384</v>
      </c>
      <c r="F530" s="605" t="inlineStr">
        <is>
          <t>BRIGHTON</t>
        </is>
      </c>
      <c r="G530" s="605" t="inlineStr">
        <is>
          <t>2</t>
        </is>
      </c>
      <c r="H530" s="59">
        <f>Y530/J530</f>
        <v/>
      </c>
      <c r="I530" s="386" t="n">
        <v>44351</v>
      </c>
      <c r="J530" s="605" t="n">
        <v>600</v>
      </c>
      <c r="L530" s="605" t="n">
        <v>600</v>
      </c>
      <c r="M530" s="605" t="n">
        <v>1964</v>
      </c>
      <c r="P530" s="605" t="inlineStr">
        <is>
          <t>C-2-Bri</t>
        </is>
      </c>
      <c r="R530" s="152" t="inlineStr">
        <is>
          <t>Average</t>
        </is>
      </c>
      <c r="S530" s="605" t="n">
        <v>6500</v>
      </c>
      <c r="T530" s="387">
        <f>S530/J530</f>
        <v/>
      </c>
      <c r="U530" s="605" t="inlineStr">
        <is>
          <t>Average</t>
        </is>
      </c>
      <c r="Y530" s="605" t="n">
        <v>240000</v>
      </c>
      <c r="AA530" s="605" t="n">
        <v>240000</v>
      </c>
      <c r="AC530" s="605" t="inlineStr">
        <is>
          <t>0156906427019</t>
        </is>
      </c>
      <c r="AD530" s="605" t="inlineStr">
        <is>
          <t>2021000069979</t>
        </is>
      </c>
      <c r="AE530" s="605" t="inlineStr">
        <is>
          <t>DELAY LINDA M</t>
        </is>
      </c>
      <c r="AF530" s="605" t="inlineStr">
        <is>
          <t>TORRES GUADALUPE D AND, TORRES LATOYA A</t>
        </is>
      </c>
      <c r="AI530" s="605">
        <f>IF(AND($E530=Subj_OccCode,Subj_BldgSF&gt;0,ABS($L530-Subj_BldgSF)&lt;=Subj_BldgSF*Subj_SizeTol),ABS($L530-Subj_BldgSF),NA())</f>
        <v/>
      </c>
      <c r="AJ530">
        <f>IF(ISNA(AI530),NA(),AI530+ROW()/10000000)</f>
        <v/>
      </c>
      <c r="AK530" s="605">
        <f>IF(AND(ISNUMBER($N530),$N530&gt;0,ISNUMBER($Y530)),$Y530/$N530,"")</f>
        <v/>
      </c>
    </row>
    <row r="531" ht="15" customHeight="1" s="545">
      <c r="A531" s="385" t="n">
        <v>8</v>
      </c>
      <c r="B531" s="605" t="n">
        <v>526</v>
      </c>
      <c r="C531" s="605" t="inlineStr">
        <is>
          <t>R0062927</t>
        </is>
      </c>
      <c r="D531" s="605" t="inlineStr">
        <is>
          <t>8771  WOLFF CT</t>
        </is>
      </c>
      <c r="E531" s="605" t="n">
        <v>344</v>
      </c>
      <c r="F531" s="605" t="inlineStr">
        <is>
          <t>WESTMINSTER</t>
        </is>
      </c>
      <c r="G531" s="605" t="inlineStr">
        <is>
          <t>1</t>
        </is>
      </c>
      <c r="H531" s="59">
        <f>Y531/J531</f>
        <v/>
      </c>
      <c r="I531" s="386" t="n">
        <v>43404</v>
      </c>
      <c r="J531" s="605" t="n">
        <v>11720</v>
      </c>
      <c r="L531" s="605" t="n">
        <v>11720</v>
      </c>
      <c r="M531" s="605" t="n">
        <v>1983</v>
      </c>
      <c r="P531" s="605" t="inlineStr">
        <is>
          <t>Westminster</t>
        </is>
      </c>
      <c r="R531" s="152" t="inlineStr">
        <is>
          <t>Good</t>
        </is>
      </c>
      <c r="S531" s="605" t="n">
        <v>28467</v>
      </c>
      <c r="T531" s="387">
        <f>S531/J531</f>
        <v/>
      </c>
      <c r="U531" s="605" t="inlineStr">
        <is>
          <t>Average</t>
        </is>
      </c>
      <c r="Y531" s="605" t="n">
        <v>1050000</v>
      </c>
      <c r="AA531" s="605" t="n">
        <v>1050000</v>
      </c>
      <c r="AC531" s="605" t="inlineStr">
        <is>
          <t>0171930218022</t>
        </is>
      </c>
      <c r="AD531" s="605" t="inlineStr">
        <is>
          <t>2018000088227</t>
        </is>
      </c>
      <c r="AE531" s="605" t="inlineStr">
        <is>
          <t>LONG RALPH AND LONG KAY</t>
        </is>
      </c>
      <c r="AF531" s="605" t="inlineStr">
        <is>
          <t>MILE HI PROPERTY PARTNERS LLC</t>
        </is>
      </c>
      <c r="AI531" s="605">
        <f>IF(AND($E531=Subj_OccCode,Subj_BldgSF&gt;0,ABS($L531-Subj_BldgSF)&lt;=Subj_BldgSF*Subj_SizeTol),ABS($L531-Subj_BldgSF),NA())</f>
        <v/>
      </c>
      <c r="AJ531">
        <f>IF(ISNA(AI531),NA(),AI531+ROW()/10000000)</f>
        <v/>
      </c>
      <c r="AK531" s="605">
        <f>IF(AND(ISNUMBER($N531),$N531&gt;0,ISNUMBER($Y531)),$Y531/$N531,"")</f>
        <v/>
      </c>
    </row>
    <row r="532" ht="15" customHeight="1" s="545">
      <c r="A532" s="385" t="n">
        <v>8</v>
      </c>
      <c r="B532" s="605" t="n">
        <v>527</v>
      </c>
      <c r="C532" s="605" t="inlineStr">
        <is>
          <t>R0002853</t>
        </is>
      </c>
      <c r="D532" s="605" t="inlineStr">
        <is>
          <t>12 N MAIN ST</t>
        </is>
      </c>
      <c r="E532" s="605" t="n">
        <v>353</v>
      </c>
      <c r="F532" s="605" t="inlineStr">
        <is>
          <t>BRIGHTON</t>
        </is>
      </c>
      <c r="G532" s="605" t="inlineStr">
        <is>
          <t>2</t>
        </is>
      </c>
      <c r="H532" s="59">
        <f>Y532/J532</f>
        <v/>
      </c>
      <c r="I532" s="386" t="n">
        <v>43168</v>
      </c>
      <c r="J532" s="605" t="n">
        <v>5088</v>
      </c>
      <c r="L532" s="605" t="n">
        <v>5088</v>
      </c>
      <c r="M532" s="605" t="n">
        <v>1902</v>
      </c>
      <c r="P532" s="605" t="inlineStr">
        <is>
          <t>Brighton</t>
        </is>
      </c>
      <c r="R532" s="152" t="inlineStr">
        <is>
          <t>Fair</t>
        </is>
      </c>
      <c r="S532" s="605" t="n">
        <v>4000</v>
      </c>
      <c r="T532" s="387">
        <f>S532/J532</f>
        <v/>
      </c>
      <c r="U532" s="605" t="inlineStr">
        <is>
          <t>Average</t>
        </is>
      </c>
      <c r="Y532" s="605" t="n">
        <v>410000</v>
      </c>
      <c r="AA532" s="605" t="n">
        <v>410000</v>
      </c>
      <c r="AC532" s="605" t="inlineStr">
        <is>
          <t>0156906315011</t>
        </is>
      </c>
      <c r="AD532" s="605" t="inlineStr">
        <is>
          <t>2018000019989</t>
        </is>
      </c>
      <c r="AE532" s="605" t="inlineStr">
        <is>
          <t>CLARK HOLLY AND, CLARK NANCY</t>
        </is>
      </c>
      <c r="AF532" s="605" t="inlineStr">
        <is>
          <t>BLS INVESTMENTS LLC</t>
        </is>
      </c>
      <c r="AI532" s="605">
        <f>IF(AND($E532=Subj_OccCode,Subj_BldgSF&gt;0,ABS($L532-Subj_BldgSF)&lt;=Subj_BldgSF*Subj_SizeTol),ABS($L532-Subj_BldgSF),NA())</f>
        <v/>
      </c>
      <c r="AJ532">
        <f>IF(ISNA(AI532),NA(),AI532+ROW()/10000000)</f>
        <v/>
      </c>
      <c r="AK532" s="605">
        <f>IF(AND(ISNUMBER($N532),$N532&gt;0,ISNUMBER($Y532)),$Y532/$N532,"")</f>
        <v/>
      </c>
    </row>
    <row r="533" ht="15" customHeight="1" s="545">
      <c r="A533" s="385" t="n">
        <v>8</v>
      </c>
      <c r="B533" s="605" t="n">
        <v>528</v>
      </c>
      <c r="C533" s="605" t="inlineStr">
        <is>
          <t>R0098017</t>
        </is>
      </c>
      <c r="D533" s="605" t="inlineStr">
        <is>
          <t>1680 E 69TH AVE</t>
        </is>
      </c>
      <c r="E533" s="605" t="n">
        <v>334</v>
      </c>
      <c r="G533" s="605" t="inlineStr">
        <is>
          <t>5</t>
        </is>
      </c>
      <c r="H533" s="59">
        <f>Y533/J533</f>
        <v/>
      </c>
      <c r="I533" s="386" t="n">
        <v>43530</v>
      </c>
      <c r="J533" s="605" t="n">
        <v>13500</v>
      </c>
      <c r="L533" s="605" t="n">
        <v>13500</v>
      </c>
      <c r="M533" s="605" t="n">
        <v>1989</v>
      </c>
      <c r="P533" s="605" t="inlineStr">
        <is>
          <t>Industrial</t>
        </is>
      </c>
      <c r="R533" s="152" t="inlineStr">
        <is>
          <t>Average</t>
        </is>
      </c>
      <c r="S533" s="605" t="n">
        <v>80781</v>
      </c>
      <c r="T533" s="387">
        <f>S533/J533</f>
        <v/>
      </c>
      <c r="U533" s="605" t="inlineStr">
        <is>
          <t>Average</t>
        </is>
      </c>
      <c r="Y533" s="605" t="n">
        <v>2350000</v>
      </c>
      <c r="AA533" s="605" t="n">
        <v>2350000</v>
      </c>
      <c r="AC533" s="605" t="inlineStr">
        <is>
          <t>0182502105007</t>
        </is>
      </c>
      <c r="AD533" s="605" t="inlineStr">
        <is>
          <t>2019000017150</t>
        </is>
      </c>
      <c r="AE533" s="605" t="inlineStr">
        <is>
          <t>TSW CORPORATION</t>
        </is>
      </c>
      <c r="AF533" s="605" t="inlineStr">
        <is>
          <t>YTTC LLC</t>
        </is>
      </c>
      <c r="AI533" s="605">
        <f>IF(AND($E533=Subj_OccCode,Subj_BldgSF&gt;0,ABS($L533-Subj_BldgSF)&lt;=Subj_BldgSF*Subj_SizeTol),ABS($L533-Subj_BldgSF),NA())</f>
        <v/>
      </c>
      <c r="AJ533">
        <f>IF(ISNA(AI533),NA(),AI533+ROW()/10000000)</f>
        <v/>
      </c>
      <c r="AK533" s="605">
        <f>IF(AND(ISNUMBER($N533),$N533&gt;0,ISNUMBER($Y533)),$Y533/$N533,"")</f>
        <v/>
      </c>
    </row>
    <row r="534" ht="15" customHeight="1" s="545">
      <c r="A534" s="385" t="n">
        <v>8</v>
      </c>
      <c r="B534" s="605" t="n">
        <v>529</v>
      </c>
      <c r="C534" s="605" t="inlineStr">
        <is>
          <t>R0077333</t>
        </is>
      </c>
      <c r="D534" s="605" t="inlineStr">
        <is>
          <t>8150  ROSEMARY ST</t>
        </is>
      </c>
      <c r="E534" s="605" t="n">
        <v>406</v>
      </c>
      <c r="F534" s="605" t="inlineStr">
        <is>
          <t>COMMERCE CITY</t>
        </is>
      </c>
      <c r="G534" s="605" t="inlineStr">
        <is>
          <t>5</t>
        </is>
      </c>
      <c r="H534" s="59">
        <f>Y534/J534</f>
        <v/>
      </c>
      <c r="I534" s="386" t="n">
        <v>44603</v>
      </c>
      <c r="J534" s="605" t="n">
        <v>1200</v>
      </c>
      <c r="L534" s="605" t="n">
        <v>1200</v>
      </c>
      <c r="M534" s="605" t="n">
        <v>2001</v>
      </c>
      <c r="P534" s="605" t="inlineStr">
        <is>
          <t>I-1-Com</t>
        </is>
      </c>
      <c r="R534" s="152" t="inlineStr">
        <is>
          <t>Fair</t>
        </is>
      </c>
      <c r="S534" s="605" t="n">
        <v>11080</v>
      </c>
      <c r="T534" s="387">
        <f>S534/J534</f>
        <v/>
      </c>
      <c r="U534" s="605" t="inlineStr">
        <is>
          <t>Average</t>
        </is>
      </c>
      <c r="Y534" s="605" t="n">
        <v>475000</v>
      </c>
      <c r="AA534" s="605" t="n">
        <v>475000</v>
      </c>
      <c r="AC534" s="605" t="inlineStr">
        <is>
          <t>0172128302002</t>
        </is>
      </c>
      <c r="AD534" s="605" t="inlineStr">
        <is>
          <t>2022000013846</t>
        </is>
      </c>
      <c r="AE534" s="605" t="inlineStr">
        <is>
          <t>GRAYSON MICHAEL</t>
        </is>
      </c>
      <c r="AF534" s="605" t="inlineStr">
        <is>
          <t>LANDEROS ROBERTO</t>
        </is>
      </c>
      <c r="AI534" s="605">
        <f>IF(AND($E534=Subj_OccCode,Subj_BldgSF&gt;0,ABS($L534-Subj_BldgSF)&lt;=Subj_BldgSF*Subj_SizeTol),ABS($L534-Subj_BldgSF),NA())</f>
        <v/>
      </c>
      <c r="AJ534">
        <f>IF(ISNA(AI534),NA(),AI534+ROW()/10000000)</f>
        <v/>
      </c>
      <c r="AK534" s="605">
        <f>IF(AND(ISNUMBER($N534),$N534&gt;0,ISNUMBER($Y534)),$Y534/$N534,"")</f>
        <v/>
      </c>
    </row>
    <row r="535" ht="15" customHeight="1" s="545">
      <c r="A535" s="385" t="n">
        <v>8</v>
      </c>
      <c r="B535" s="605" t="n">
        <v>530</v>
      </c>
      <c r="C535" s="605" t="inlineStr">
        <is>
          <t>R0112069</t>
        </is>
      </c>
      <c r="D535" s="605" t="inlineStr">
        <is>
          <t>10310  GRANT ST</t>
        </is>
      </c>
      <c r="E535" s="605" t="n">
        <v>350</v>
      </c>
      <c r="F535" s="605" t="inlineStr">
        <is>
          <t>THORNTON</t>
        </is>
      </c>
      <c r="G535" s="605" t="inlineStr">
        <is>
          <t>4</t>
        </is>
      </c>
      <c r="H535" s="59">
        <f>Y535/J535</f>
        <v/>
      </c>
      <c r="I535" s="386" t="n">
        <v>43748</v>
      </c>
      <c r="J535" s="605" t="n">
        <v>7603</v>
      </c>
      <c r="L535" s="605" t="n">
        <v>7603</v>
      </c>
      <c r="M535" s="605" t="n">
        <v>1998</v>
      </c>
      <c r="P535" s="605" t="inlineStr">
        <is>
          <t>Community Retail</t>
        </is>
      </c>
      <c r="R535" s="152" t="inlineStr">
        <is>
          <t>Good</t>
        </is>
      </c>
      <c r="S535" s="605" t="n">
        <v>78843.60159999999</v>
      </c>
      <c r="T535" s="387">
        <f>S535/J535</f>
        <v/>
      </c>
      <c r="U535" s="605" t="inlineStr">
        <is>
          <t>Good</t>
        </is>
      </c>
      <c r="Y535" s="605" t="n">
        <v>2000000</v>
      </c>
      <c r="AA535" s="605" t="n">
        <v>2000000</v>
      </c>
      <c r="AC535" s="605" t="inlineStr">
        <is>
          <t>0171915108003</t>
        </is>
      </c>
      <c r="AD535" s="605" t="inlineStr">
        <is>
          <t>2019000087084</t>
        </is>
      </c>
      <c r="AE535" s="605" t="inlineStr">
        <is>
          <t>CAPTEC NET LEASE REALTY INC, COMMERCIAL NET LEASE REALTY INC</t>
        </is>
      </c>
      <c r="AF535" s="605" t="inlineStr">
        <is>
          <t>TTRE CO I LLC</t>
        </is>
      </c>
      <c r="AI535" s="605">
        <f>IF(AND($E535=Subj_OccCode,Subj_BldgSF&gt;0,ABS($L535-Subj_BldgSF)&lt;=Subj_BldgSF*Subj_SizeTol),ABS($L535-Subj_BldgSF),NA())</f>
        <v/>
      </c>
      <c r="AJ535">
        <f>IF(ISNA(AI535),NA(),AI535+ROW()/10000000)</f>
        <v/>
      </c>
      <c r="AK535" s="605">
        <f>IF(AND(ISNUMBER($N535),$N535&gt;0,ISNUMBER($Y535)),$Y535/$N535,"")</f>
        <v/>
      </c>
    </row>
    <row r="536" ht="15" customHeight="1" s="545">
      <c r="A536" s="385" t="n">
        <v>8</v>
      </c>
      <c r="B536" s="605" t="n">
        <v>531</v>
      </c>
      <c r="C536" s="605" t="inlineStr">
        <is>
          <t>R0150922</t>
        </is>
      </c>
      <c r="D536" s="605" t="inlineStr">
        <is>
          <t>3520 W 92ND AVE #100</t>
        </is>
      </c>
      <c r="E536" s="605" t="n">
        <v>1344</v>
      </c>
      <c r="G536" s="605" t="inlineStr">
        <is>
          <t>4</t>
        </is>
      </c>
      <c r="H536" s="59">
        <f>Y536/J536</f>
        <v/>
      </c>
      <c r="I536" s="386" t="n">
        <v>44246</v>
      </c>
      <c r="J536" s="605" t="n">
        <v>1163</v>
      </c>
      <c r="L536" s="605" t="n">
        <v>1163</v>
      </c>
      <c r="M536" s="605" t="n">
        <v>2002</v>
      </c>
      <c r="P536" s="605" t="inlineStr">
        <is>
          <t>Commercial</t>
        </is>
      </c>
      <c r="R536" s="152" t="inlineStr">
        <is>
          <t>Average</t>
        </is>
      </c>
      <c r="S536" s="605" t="n">
        <v>4954.36</v>
      </c>
      <c r="T536" s="387">
        <f>S536/J536</f>
        <v/>
      </c>
      <c r="U536" s="605" t="inlineStr">
        <is>
          <t>Average</t>
        </is>
      </c>
      <c r="Y536" s="605" t="n">
        <v>300000</v>
      </c>
      <c r="AA536" s="605" t="n">
        <v>300000</v>
      </c>
      <c r="AC536" s="605" t="inlineStr">
        <is>
          <t>0171920325016</t>
        </is>
      </c>
      <c r="AD536" s="605" t="inlineStr">
        <is>
          <t>2021000020792</t>
        </is>
      </c>
      <c r="AE536" s="605" t="inlineStr">
        <is>
          <t>DR D E SANDUSKY D C LLC</t>
        </is>
      </c>
      <c r="AF536" s="605" t="inlineStr">
        <is>
          <t>JASPER ENTERPRISES LLC</t>
        </is>
      </c>
      <c r="AI536" s="605">
        <f>IF(AND($E536=Subj_OccCode,Subj_BldgSF&gt;0,ABS($L536-Subj_BldgSF)&lt;=Subj_BldgSF*Subj_SizeTol),ABS($L536-Subj_BldgSF),NA())</f>
        <v/>
      </c>
      <c r="AJ536">
        <f>IF(ISNA(AI536),NA(),AI536+ROW()/10000000)</f>
        <v/>
      </c>
      <c r="AK536" s="605">
        <f>IF(AND(ISNUMBER($N536),$N536&gt;0,ISNUMBER($Y536)),$Y536/$N536,"")</f>
        <v/>
      </c>
    </row>
    <row r="537" ht="15" customHeight="1" s="545">
      <c r="A537" s="385" t="n">
        <v>8</v>
      </c>
      <c r="B537" s="605" t="n">
        <v>532</v>
      </c>
      <c r="C537" s="605" t="inlineStr">
        <is>
          <t>R0090965</t>
        </is>
      </c>
      <c r="D537" s="605" t="inlineStr">
        <is>
          <t>4100 E 60TH AVE</t>
        </is>
      </c>
      <c r="E537" s="605" t="n">
        <v>392</v>
      </c>
      <c r="F537" s="605" t="inlineStr">
        <is>
          <t>COMMERCE CITY</t>
        </is>
      </c>
      <c r="G537" s="605" t="inlineStr">
        <is>
          <t>5</t>
        </is>
      </c>
      <c r="H537" s="59">
        <f>Y537/J537</f>
        <v/>
      </c>
      <c r="I537" s="386" t="n">
        <v>43465</v>
      </c>
      <c r="J537" s="605" t="n">
        <v>14499</v>
      </c>
      <c r="L537" s="605" t="n">
        <v>14499</v>
      </c>
      <c r="M537" s="605" t="n">
        <v>1922</v>
      </c>
      <c r="P537" s="605" t="inlineStr">
        <is>
          <t>Commerce City</t>
        </is>
      </c>
      <c r="R537" s="152" t="inlineStr">
        <is>
          <t>Low</t>
        </is>
      </c>
      <c r="S537" s="605" t="n">
        <v>63713</v>
      </c>
      <c r="T537" s="387">
        <f>S537/J537</f>
        <v/>
      </c>
      <c r="U537" s="605" t="inlineStr">
        <is>
          <t>Low</t>
        </is>
      </c>
      <c r="Y537" s="605" t="n">
        <v>1030000</v>
      </c>
      <c r="AA537" s="605" t="n">
        <v>1030000</v>
      </c>
      <c r="AC537" s="605" t="inlineStr">
        <is>
          <t>0182307300010</t>
        </is>
      </c>
      <c r="AD537" s="605" t="inlineStr">
        <is>
          <t>2019000000064</t>
        </is>
      </c>
      <c r="AE537" s="605" t="inlineStr">
        <is>
          <t>WOLF GREGORY S</t>
        </is>
      </c>
      <c r="AF537" s="605" t="inlineStr">
        <is>
          <t>DENVER OIL LLC</t>
        </is>
      </c>
      <c r="AI537" s="605">
        <f>IF(AND($E537=Subj_OccCode,Subj_BldgSF&gt;0,ABS($L537-Subj_BldgSF)&lt;=Subj_BldgSF*Subj_SizeTol),ABS($L537-Subj_BldgSF),NA())</f>
        <v/>
      </c>
      <c r="AJ537">
        <f>IF(ISNA(AI537),NA(),AI537+ROW()/10000000)</f>
        <v/>
      </c>
      <c r="AK537" s="605">
        <f>IF(AND(ISNUMBER($N537),$N537&gt;0,ISNUMBER($Y537)),$Y537/$N537,"")</f>
        <v/>
      </c>
    </row>
    <row r="538" ht="15" customHeight="1" s="545">
      <c r="A538" s="385" t="n">
        <v>8</v>
      </c>
      <c r="B538" s="605" t="n">
        <v>533</v>
      </c>
      <c r="C538" s="605" t="inlineStr">
        <is>
          <t>R0124579</t>
        </is>
      </c>
      <c r="D538" s="605" t="inlineStr">
        <is>
          <t>11152  HURON ST #209</t>
        </is>
      </c>
      <c r="E538" s="605" t="n">
        <v>344</v>
      </c>
      <c r="F538" s="605" t="inlineStr">
        <is>
          <t>NORTHGLENN</t>
        </is>
      </c>
      <c r="G538" s="605" t="inlineStr">
        <is>
          <t>4</t>
        </is>
      </c>
      <c r="H538" s="59">
        <f>Y538/J538</f>
        <v/>
      </c>
      <c r="I538" s="386" t="n">
        <v>43279</v>
      </c>
      <c r="J538" s="605" t="n">
        <v>1192</v>
      </c>
      <c r="L538" s="605" t="n">
        <v>1192</v>
      </c>
      <c r="M538" s="605" t="n">
        <v>2000</v>
      </c>
      <c r="R538" s="152" t="inlineStr">
        <is>
          <t>Good</t>
        </is>
      </c>
      <c r="S538" s="605" t="n">
        <v>3100</v>
      </c>
      <c r="T538" s="387">
        <f>S538/J538</f>
        <v/>
      </c>
      <c r="U538" s="605" t="inlineStr">
        <is>
          <t>Good</t>
        </is>
      </c>
      <c r="Y538" s="605" t="n">
        <v>210000</v>
      </c>
      <c r="AA538" s="605" t="n">
        <v>210000</v>
      </c>
      <c r="AC538" s="605" t="inlineStr">
        <is>
          <t>0171910205039</t>
        </is>
      </c>
      <c r="AD538" s="605" t="inlineStr">
        <is>
          <t>2018000053240</t>
        </is>
      </c>
      <c r="AE538" s="605" t="inlineStr">
        <is>
          <t>THB HOLDINGS LLC</t>
        </is>
      </c>
      <c r="AF538" s="605" t="inlineStr">
        <is>
          <t>GREWE INVESTMENTS LLC</t>
        </is>
      </c>
      <c r="AI538" s="605">
        <f>IF(AND($E538=Subj_OccCode,Subj_BldgSF&gt;0,ABS($L538-Subj_BldgSF)&lt;=Subj_BldgSF*Subj_SizeTol),ABS($L538-Subj_BldgSF),NA())</f>
        <v/>
      </c>
      <c r="AJ538">
        <f>IF(ISNA(AI538),NA(),AI538+ROW()/10000000)</f>
        <v/>
      </c>
      <c r="AK538" s="605">
        <f>IF(AND(ISNUMBER($N538),$N538&gt;0,ISNUMBER($Y538)),$Y538/$N538,"")</f>
        <v/>
      </c>
    </row>
    <row r="539" ht="15" customHeight="1" s="545">
      <c r="A539" s="385" t="n">
        <v>8</v>
      </c>
      <c r="B539" s="605" t="n">
        <v>534</v>
      </c>
      <c r="C539" s="605" t="inlineStr">
        <is>
          <t>R0155098</t>
        </is>
      </c>
      <c r="D539" s="605" t="inlineStr">
        <is>
          <t>6941  BROADWAY ST</t>
        </is>
      </c>
      <c r="E539" s="605" t="n">
        <v>425</v>
      </c>
      <c r="G539" s="605" t="inlineStr">
        <is>
          <t>5</t>
        </is>
      </c>
      <c r="H539" s="59">
        <f>Y539/J539</f>
        <v/>
      </c>
      <c r="I539" s="386" t="n">
        <v>44497</v>
      </c>
      <c r="J539" s="605" t="n">
        <v>1310</v>
      </c>
      <c r="L539" s="605" t="n">
        <v>1310</v>
      </c>
      <c r="M539" s="605" t="n">
        <v>2003</v>
      </c>
      <c r="P539" s="605" t="inlineStr">
        <is>
          <t>Planned Unit Development</t>
        </is>
      </c>
      <c r="R539" s="152" t="inlineStr">
        <is>
          <t>Good</t>
        </is>
      </c>
      <c r="S539" s="605" t="n">
        <v>4402</v>
      </c>
      <c r="T539" s="387">
        <f>S539/J539</f>
        <v/>
      </c>
      <c r="U539" s="605" t="inlineStr">
        <is>
          <t>Good</t>
        </is>
      </c>
      <c r="Y539" s="605" t="n">
        <v>402000</v>
      </c>
      <c r="AA539" s="605" t="n">
        <v>402000</v>
      </c>
      <c r="AC539" s="605" t="inlineStr">
        <is>
          <t>0182503218043</t>
        </is>
      </c>
      <c r="AD539" s="605" t="inlineStr">
        <is>
          <t>2021000128943</t>
        </is>
      </c>
      <c r="AE539" s="605" t="inlineStr">
        <is>
          <t>NB VENTURE LLC</t>
        </is>
      </c>
      <c r="AF539" s="605" t="inlineStr">
        <is>
          <t>COLORADO RED ROCKS PROPERTIES LLC</t>
        </is>
      </c>
      <c r="AI539" s="605">
        <f>IF(AND($E539=Subj_OccCode,Subj_BldgSF&gt;0,ABS($L539-Subj_BldgSF)&lt;=Subj_BldgSF*Subj_SizeTol),ABS($L539-Subj_BldgSF),NA())</f>
        <v/>
      </c>
      <c r="AJ539">
        <f>IF(ISNA(AI539),NA(),AI539+ROW()/10000000)</f>
        <v/>
      </c>
      <c r="AK539" s="605">
        <f>IF(AND(ISNUMBER($N539),$N539&gt;0,ISNUMBER($Y539)),$Y539/$N539,"")</f>
        <v/>
      </c>
    </row>
    <row r="540" ht="15" customHeight="1" s="545">
      <c r="A540" s="385" t="n">
        <v>8</v>
      </c>
      <c r="B540" s="605" t="n">
        <v>535</v>
      </c>
      <c r="C540" s="605" t="inlineStr">
        <is>
          <t>R0089683</t>
        </is>
      </c>
      <c r="D540" s="605" t="inlineStr">
        <is>
          <t>6970  EUDORA DR</t>
        </is>
      </c>
      <c r="E540" s="605" t="n">
        <v>442</v>
      </c>
      <c r="F540" s="605" t="inlineStr">
        <is>
          <t>COMMERCE CITY</t>
        </is>
      </c>
      <c r="G540" s="605" t="inlineStr">
        <is>
          <t>5</t>
        </is>
      </c>
      <c r="H540" s="59">
        <f>Y540/J540</f>
        <v/>
      </c>
      <c r="I540" s="386" t="n">
        <v>44356</v>
      </c>
      <c r="J540" s="605" t="n">
        <v>1403</v>
      </c>
      <c r="L540" s="605" t="n">
        <v>1403</v>
      </c>
      <c r="M540" s="605" t="n">
        <v>1955</v>
      </c>
      <c r="P540" s="605" t="inlineStr">
        <is>
          <t>I-2-Com</t>
        </is>
      </c>
      <c r="R540" s="152" t="inlineStr">
        <is>
          <t>Average</t>
        </is>
      </c>
      <c r="S540" s="605" t="n">
        <v>15008</v>
      </c>
      <c r="T540" s="387">
        <f>S540/J540</f>
        <v/>
      </c>
      <c r="U540" s="605" t="inlineStr">
        <is>
          <t>Average</t>
        </is>
      </c>
      <c r="Y540" s="605" t="n">
        <v>365000</v>
      </c>
      <c r="AA540" s="605" t="n">
        <v>365000</v>
      </c>
      <c r="AC540" s="605" t="inlineStr">
        <is>
          <t>0182306106013</t>
        </is>
      </c>
      <c r="AD540" s="605" t="inlineStr">
        <is>
          <t>2021000070195</t>
        </is>
      </c>
      <c r="AE540" s="605" t="inlineStr">
        <is>
          <t>COMMERCE 6970 EUDORA LLC</t>
        </is>
      </c>
      <c r="AF540" s="605" t="inlineStr">
        <is>
          <t>AMERICAN TRUCK CENTERS INC</t>
        </is>
      </c>
      <c r="AI540" s="605">
        <f>IF(AND($E540=Subj_OccCode,Subj_BldgSF&gt;0,ABS($L540-Subj_BldgSF)&lt;=Subj_BldgSF*Subj_SizeTol),ABS($L540-Subj_BldgSF),NA())</f>
        <v/>
      </c>
      <c r="AJ540">
        <f>IF(ISNA(AI540),NA(),AI540+ROW()/10000000)</f>
        <v/>
      </c>
      <c r="AK540" s="605">
        <f>IF(AND(ISNUMBER($N540),$N540&gt;0,ISNUMBER($Y540)),$Y540/$N540,"")</f>
        <v/>
      </c>
    </row>
    <row r="541" ht="15" customHeight="1" s="545">
      <c r="A541" s="385" t="n">
        <v>8</v>
      </c>
      <c r="B541" s="605" t="n">
        <v>536</v>
      </c>
      <c r="C541" s="605" t="inlineStr">
        <is>
          <t>R0085963</t>
        </is>
      </c>
      <c r="D541" s="605" t="inlineStr">
        <is>
          <t>1563  JASPER ST</t>
        </is>
      </c>
      <c r="E541" s="605" t="n">
        <v>386</v>
      </c>
      <c r="F541" s="605" t="inlineStr">
        <is>
          <t>AURORA</t>
        </is>
      </c>
      <c r="G541" s="605" t="inlineStr">
        <is>
          <t>6</t>
        </is>
      </c>
      <c r="H541" s="59">
        <f>Y541/J541</f>
        <v/>
      </c>
      <c r="I541" s="386" t="n">
        <v>44539</v>
      </c>
      <c r="J541" s="605" t="n">
        <v>29650</v>
      </c>
      <c r="L541" s="605" t="n">
        <v>29650</v>
      </c>
      <c r="M541" s="605" t="n">
        <v>1985</v>
      </c>
      <c r="P541" s="605" t="inlineStr">
        <is>
          <t>B-4-Aur</t>
        </is>
      </c>
      <c r="R541" s="152" t="inlineStr">
        <is>
          <t>Average</t>
        </is>
      </c>
      <c r="S541" s="605" t="n">
        <v>62929</v>
      </c>
      <c r="T541" s="387">
        <f>S541/J541</f>
        <v/>
      </c>
      <c r="U541" s="605" t="inlineStr">
        <is>
          <t>Average</t>
        </is>
      </c>
      <c r="Y541" s="605" t="n">
        <v>1900000</v>
      </c>
      <c r="AA541" s="605" t="n">
        <v>1900000</v>
      </c>
      <c r="AC541" s="605" t="inlineStr">
        <is>
          <t>0182132315052</t>
        </is>
      </c>
      <c r="AD541" s="605" t="inlineStr">
        <is>
          <t>2021000146014</t>
        </is>
      </c>
      <c r="AE541" s="605" t="inlineStr">
        <is>
          <t>ELK RIDGE SELF STORAGE LLC</t>
        </is>
      </c>
      <c r="AF541" s="605" t="inlineStr">
        <is>
          <t>CTTW HOLDINGS LLC AND, MARSCH NICHOLAS AND MARSCH &amp; BAKOUCHE RENTALS LLC ET AL</t>
        </is>
      </c>
      <c r="AI541" s="605">
        <f>IF(AND($E541=Subj_OccCode,Subj_BldgSF&gt;0,ABS($L541-Subj_BldgSF)&lt;=Subj_BldgSF*Subj_SizeTol),ABS($L541-Subj_BldgSF),NA())</f>
        <v/>
      </c>
      <c r="AJ541">
        <f>IF(ISNA(AI541),NA(),AI541+ROW()/10000000)</f>
        <v/>
      </c>
      <c r="AK541" s="605">
        <f>IF(AND(ISNUMBER($N541),$N541&gt;0,ISNUMBER($Y541)),$Y541/$N541,"")</f>
        <v/>
      </c>
    </row>
    <row r="542" ht="15" customHeight="1" s="545">
      <c r="A542" s="385" t="n">
        <v>8</v>
      </c>
      <c r="B542" s="605" t="n">
        <v>537</v>
      </c>
      <c r="C542" s="605" t="inlineStr">
        <is>
          <t>R0024086</t>
        </is>
      </c>
      <c r="D542" s="605" t="inlineStr">
        <is>
          <t>1401 W 122ND AVE</t>
        </is>
      </c>
      <c r="E542" s="605" t="n">
        <v>210</v>
      </c>
      <c r="F542" s="605" t="inlineStr">
        <is>
          <t>WESTMINSTER</t>
        </is>
      </c>
      <c r="G542" s="605" t="inlineStr">
        <is>
          <t>3</t>
        </is>
      </c>
      <c r="H542" s="59">
        <f>Y542/J542</f>
        <v/>
      </c>
      <c r="I542" s="386" t="n">
        <v>44117</v>
      </c>
      <c r="J542" s="605" t="n">
        <v>73499</v>
      </c>
      <c r="L542" s="605" t="n">
        <v>73499</v>
      </c>
      <c r="M542" s="605" t="n">
        <v>1994</v>
      </c>
      <c r="P542" s="605" t="inlineStr">
        <is>
          <t>PUD-Wes</t>
        </is>
      </c>
      <c r="R542" s="152" t="inlineStr">
        <is>
          <t>Very Good</t>
        </is>
      </c>
      <c r="S542" s="605" t="n">
        <v>888615.98496</v>
      </c>
      <c r="T542" s="387">
        <f>S542/J542</f>
        <v/>
      </c>
      <c r="U542" s="605" t="inlineStr">
        <is>
          <t>Good</t>
        </is>
      </c>
      <c r="Y542" s="605" t="n">
        <v>9400000</v>
      </c>
      <c r="AA542" s="605" t="n">
        <v>9400000</v>
      </c>
      <c r="AC542" s="605" t="inlineStr">
        <is>
          <t>0157333006021</t>
        </is>
      </c>
      <c r="AD542" s="605" t="inlineStr">
        <is>
          <t>2020000103992</t>
        </is>
      </c>
      <c r="AE542" s="605" t="inlineStr">
        <is>
          <t>WFI PROPERTIES III LLC</t>
        </is>
      </c>
      <c r="AF542" s="605" t="inlineStr">
        <is>
          <t>ICP-FLYWHEEL PARK CENTRE LLC</t>
        </is>
      </c>
      <c r="AI542" s="605">
        <f>IF(AND($E542=Subj_OccCode,Subj_BldgSF&gt;0,ABS($L542-Subj_BldgSF)&lt;=Subj_BldgSF*Subj_SizeTol),ABS($L542-Subj_BldgSF),NA())</f>
        <v/>
      </c>
      <c r="AJ542">
        <f>IF(ISNA(AI542),NA(),AI542+ROW()/10000000)</f>
        <v/>
      </c>
      <c r="AK542" s="605">
        <f>IF(AND(ISNUMBER($N542),$N542&gt;0,ISNUMBER($Y542)),$Y542/$N542,"")</f>
        <v/>
      </c>
    </row>
    <row r="543" ht="15" customHeight="1" s="545">
      <c r="A543" s="385" t="n">
        <v>8</v>
      </c>
      <c r="B543" s="605" t="n">
        <v>538</v>
      </c>
      <c r="C543" s="605" t="inlineStr">
        <is>
          <t>R0132004</t>
        </is>
      </c>
      <c r="D543" s="605" t="inlineStr">
        <is>
          <t>12021  PENNSYLVANIA AVE #205</t>
        </is>
      </c>
      <c r="E543" s="605" t="n">
        <v>1344</v>
      </c>
      <c r="F543" s="605" t="inlineStr">
        <is>
          <t>THORNTON</t>
        </is>
      </c>
      <c r="G543" s="605" t="inlineStr">
        <is>
          <t>3</t>
        </is>
      </c>
      <c r="H543" s="59">
        <f>Y543/J543</f>
        <v/>
      </c>
      <c r="I543" s="386" t="n">
        <v>44253</v>
      </c>
      <c r="J543" s="605" t="n">
        <v>974</v>
      </c>
      <c r="L543" s="605" t="n">
        <v>974</v>
      </c>
      <c r="M543" s="605" t="n">
        <v>2000</v>
      </c>
      <c r="P543" s="605" t="inlineStr">
        <is>
          <t>Regional Commercial</t>
        </is>
      </c>
      <c r="R543" s="152" t="inlineStr">
        <is>
          <t>Average</t>
        </is>
      </c>
      <c r="S543" s="605" t="n">
        <v>3838.69</v>
      </c>
      <c r="T543" s="387">
        <f>S543/J543</f>
        <v/>
      </c>
      <c r="U543" s="605" t="inlineStr">
        <is>
          <t>Average</t>
        </is>
      </c>
      <c r="Y543" s="605" t="n">
        <v>250000</v>
      </c>
      <c r="AA543" s="605" t="n">
        <v>250000</v>
      </c>
      <c r="AC543" s="605" t="inlineStr">
        <is>
          <t>0157334401017</t>
        </is>
      </c>
      <c r="AD543" s="605" t="inlineStr">
        <is>
          <t>2021000024315</t>
        </is>
      </c>
      <c r="AE543" s="605" t="inlineStr">
        <is>
          <t>PENN PLAZA 205 LLC</t>
        </is>
      </c>
      <c r="AF543" s="605" t="inlineStr">
        <is>
          <t>ORCHID HOLDINGS LLC</t>
        </is>
      </c>
      <c r="AI543" s="605">
        <f>IF(AND($E543=Subj_OccCode,Subj_BldgSF&gt;0,ABS($L543-Subj_BldgSF)&lt;=Subj_BldgSF*Subj_SizeTol),ABS($L543-Subj_BldgSF),NA())</f>
        <v/>
      </c>
      <c r="AJ543">
        <f>IF(ISNA(AI543),NA(),AI543+ROW()/10000000)</f>
        <v/>
      </c>
      <c r="AK543" s="605">
        <f>IF(AND(ISNUMBER($N543),$N543&gt;0,ISNUMBER($Y543)),$Y543/$N543,"")</f>
        <v/>
      </c>
    </row>
    <row r="544" ht="15" customHeight="1" s="545">
      <c r="A544" s="385" t="n">
        <v>8</v>
      </c>
      <c r="B544" s="605" t="n">
        <v>539</v>
      </c>
      <c r="C544" s="605" t="inlineStr">
        <is>
          <t>R0159472</t>
        </is>
      </c>
      <c r="D544" s="605" t="inlineStr">
        <is>
          <t>12001 E 33RD AVE #N</t>
        </is>
      </c>
      <c r="E544" s="605" t="n">
        <v>425</v>
      </c>
      <c r="F544" s="605" t="inlineStr">
        <is>
          <t>AURORA</t>
        </is>
      </c>
      <c r="G544" s="605" t="inlineStr">
        <is>
          <t>6</t>
        </is>
      </c>
      <c r="H544" s="59">
        <f>Y544/J544</f>
        <v/>
      </c>
      <c r="I544" s="386" t="n">
        <v>44726</v>
      </c>
      <c r="J544" s="605" t="n">
        <v>1625</v>
      </c>
      <c r="L544" s="605" t="n">
        <v>1625</v>
      </c>
      <c r="M544" s="605" t="n">
        <v>2004</v>
      </c>
      <c r="P544" s="605" t="inlineStr">
        <is>
          <t>M-2</t>
        </is>
      </c>
      <c r="R544" s="152" t="inlineStr">
        <is>
          <t>Average</t>
        </is>
      </c>
      <c r="S544" s="605" t="n">
        <v>4740</v>
      </c>
      <c r="T544" s="387">
        <f>S544/J544</f>
        <v/>
      </c>
      <c r="U544" s="605" t="inlineStr">
        <is>
          <t>Average</t>
        </is>
      </c>
      <c r="Y544" s="605" t="n">
        <v>550000</v>
      </c>
      <c r="AA544" s="605" t="n">
        <v>550000</v>
      </c>
      <c r="AC544" s="605" t="inlineStr">
        <is>
          <t>0182326103036</t>
        </is>
      </c>
      <c r="AD544" s="605" t="inlineStr">
        <is>
          <t>2022000053071</t>
        </is>
      </c>
      <c r="AE544" s="605" t="inlineStr">
        <is>
          <t>KEIL WILLIAM D</t>
        </is>
      </c>
      <c r="AF544" s="605" t="inlineStr">
        <is>
          <t>R/E LLC</t>
        </is>
      </c>
      <c r="AI544" s="605">
        <f>IF(AND($E544=Subj_OccCode,Subj_BldgSF&gt;0,ABS($L544-Subj_BldgSF)&lt;=Subj_BldgSF*Subj_SizeTol),ABS($L544-Subj_BldgSF),NA())</f>
        <v/>
      </c>
      <c r="AJ544">
        <f>IF(ISNA(AI544),NA(),AI544+ROW()/10000000)</f>
        <v/>
      </c>
      <c r="AK544" s="605">
        <f>IF(AND(ISNUMBER($N544),$N544&gt;0,ISNUMBER($Y544)),$Y544/$N544,"")</f>
        <v/>
      </c>
    </row>
    <row r="545" ht="15" customHeight="1" s="545">
      <c r="A545" s="385" t="n">
        <v>8</v>
      </c>
      <c r="B545" s="605" t="n">
        <v>540</v>
      </c>
      <c r="C545" s="605" t="inlineStr">
        <is>
          <t>R0173173</t>
        </is>
      </c>
      <c r="D545" s="605" t="inlineStr">
        <is>
          <t>11154 HURON ST #210</t>
        </is>
      </c>
      <c r="E545" s="605" t="n">
        <v>344</v>
      </c>
      <c r="F545" s="605" t="inlineStr">
        <is>
          <t>NORTHGLENN</t>
        </is>
      </c>
      <c r="G545" s="605" t="inlineStr">
        <is>
          <t>4</t>
        </is>
      </c>
      <c r="H545" s="59">
        <f>Y545/J545</f>
        <v/>
      </c>
      <c r="I545" s="386" t="n">
        <v>44077</v>
      </c>
      <c r="J545" s="605" t="n">
        <v>1480</v>
      </c>
      <c r="L545" s="605" t="n">
        <v>1480</v>
      </c>
      <c r="M545" s="605" t="n">
        <v>2001</v>
      </c>
      <c r="P545" s="605" t="inlineStr">
        <is>
          <t>C-0-Nor</t>
        </is>
      </c>
      <c r="R545" s="152" t="inlineStr">
        <is>
          <t>Good</t>
        </is>
      </c>
      <c r="S545" s="605" t="n">
        <v>5862</v>
      </c>
      <c r="T545" s="387">
        <f>S545/J545</f>
        <v/>
      </c>
      <c r="U545" s="605" t="inlineStr">
        <is>
          <t>Good</t>
        </is>
      </c>
      <c r="Y545" s="605" t="n">
        <v>330000</v>
      </c>
      <c r="AA545" s="605" t="n">
        <v>330000</v>
      </c>
      <c r="AC545" s="605" t="inlineStr">
        <is>
          <t>0171910205052</t>
        </is>
      </c>
      <c r="AD545" s="605" t="inlineStr">
        <is>
          <t>2020000087985</t>
        </is>
      </c>
      <c r="AE545" s="605" t="inlineStr">
        <is>
          <t>LAMM DEVELOPMENTS LTD</t>
        </is>
      </c>
      <c r="AF545" s="605" t="inlineStr">
        <is>
          <t>AKERS ASSET MANAGEMENT</t>
        </is>
      </c>
      <c r="AI545" s="605">
        <f>IF(AND($E545=Subj_OccCode,Subj_BldgSF&gt;0,ABS($L545-Subj_BldgSF)&lt;=Subj_BldgSF*Subj_SizeTol),ABS($L545-Subj_BldgSF),NA())</f>
        <v/>
      </c>
      <c r="AJ545">
        <f>IF(ISNA(AI545),NA(),AI545+ROW()/10000000)</f>
        <v/>
      </c>
      <c r="AK545" s="605">
        <f>IF(AND(ISNUMBER($N545),$N545&gt;0,ISNUMBER($Y545)),$Y545/$N545,"")</f>
        <v/>
      </c>
    </row>
    <row r="546" ht="15" customHeight="1" s="545">
      <c r="A546" s="385" t="n">
        <v>8</v>
      </c>
      <c r="B546" s="605" t="n">
        <v>541</v>
      </c>
      <c r="C546" s="605" t="inlineStr">
        <is>
          <t>R0177682</t>
        </is>
      </c>
      <c r="D546" s="605" t="inlineStr">
        <is>
          <t>535 W 115TH AVE</t>
        </is>
      </c>
      <c r="E546" s="605" t="n">
        <v>325</v>
      </c>
      <c r="F546" s="605" t="inlineStr">
        <is>
          <t>NORTHGLENN</t>
        </is>
      </c>
      <c r="G546" s="605" t="inlineStr">
        <is>
          <t>4</t>
        </is>
      </c>
      <c r="H546" s="59">
        <f>Y546/J546</f>
        <v/>
      </c>
      <c r="I546" s="386" t="n">
        <v>44560</v>
      </c>
      <c r="J546" s="605" t="n">
        <v>11288</v>
      </c>
      <c r="L546" s="605" t="n">
        <v>11288</v>
      </c>
      <c r="M546" s="605" t="n">
        <v>2000</v>
      </c>
      <c r="P546" s="605" t="inlineStr">
        <is>
          <t>PUD-Nor</t>
        </is>
      </c>
      <c r="R546" s="152" t="inlineStr">
        <is>
          <t>Average</t>
        </is>
      </c>
      <c r="S546" s="605" t="n">
        <v>40262</v>
      </c>
      <c r="T546" s="387">
        <f>S546/J546</f>
        <v/>
      </c>
      <c r="U546" s="605" t="inlineStr">
        <is>
          <t>Average</t>
        </is>
      </c>
      <c r="Y546" s="605" t="n">
        <v>2986396</v>
      </c>
      <c r="AA546" s="605" t="n">
        <v>2986396</v>
      </c>
      <c r="AC546" s="605" t="inlineStr">
        <is>
          <t>0171903305004</t>
        </is>
      </c>
      <c r="AD546" s="605" t="inlineStr">
        <is>
          <t>2022000013420</t>
        </is>
      </c>
      <c r="AE546" s="605" t="inlineStr">
        <is>
          <t>TILZER HOLDING LLC</t>
        </is>
      </c>
      <c r="AF546" s="605" t="inlineStr">
        <is>
          <t>SCF RC FUNDING III LLC</t>
        </is>
      </c>
      <c r="AI546" s="605">
        <f>IF(AND($E546=Subj_OccCode,Subj_BldgSF&gt;0,ABS($L546-Subj_BldgSF)&lt;=Subj_BldgSF*Subj_SizeTol),ABS($L546-Subj_BldgSF),NA())</f>
        <v/>
      </c>
      <c r="AJ546">
        <f>IF(ISNA(AI546),NA(),AI546+ROW()/10000000)</f>
        <v/>
      </c>
      <c r="AK546" s="605">
        <f>IF(AND(ISNUMBER($N546),$N546&gt;0,ISNUMBER($Y546)),$Y546/$N546,"")</f>
        <v/>
      </c>
    </row>
    <row r="547" ht="15" customHeight="1" s="545">
      <c r="A547" s="385" t="n">
        <v>8</v>
      </c>
      <c r="B547" s="605" t="n">
        <v>542</v>
      </c>
      <c r="C547" s="605" t="inlineStr">
        <is>
          <t>R0113336</t>
        </is>
      </c>
      <c r="D547" s="605" t="inlineStr">
        <is>
          <t>1750 E 112TH AVE</t>
        </is>
      </c>
      <c r="E547" s="605" t="n">
        <v>319</v>
      </c>
      <c r="F547" s="605" t="inlineStr">
        <is>
          <t>NORTHGLENN</t>
        </is>
      </c>
      <c r="G547" s="605" t="inlineStr">
        <is>
          <t>4</t>
        </is>
      </c>
      <c r="H547" s="59">
        <f>Y547/J547</f>
        <v/>
      </c>
      <c r="I547" s="386" t="n">
        <v>44582</v>
      </c>
      <c r="J547" s="605" t="n">
        <v>15276</v>
      </c>
      <c r="L547" s="605" t="n">
        <v>15276</v>
      </c>
      <c r="M547" s="605" t="n">
        <v>1964</v>
      </c>
      <c r="P547" s="605" t="inlineStr">
        <is>
          <t>C-4-Nor</t>
        </is>
      </c>
      <c r="R547" s="152" t="inlineStr">
        <is>
          <t>Low</t>
        </is>
      </c>
      <c r="S547" s="605" t="n">
        <v>69391.0781</v>
      </c>
      <c r="T547" s="387">
        <f>S547/J547</f>
        <v/>
      </c>
      <c r="U547" s="605" t="inlineStr">
        <is>
          <t>Average</t>
        </is>
      </c>
      <c r="Y547" s="605" t="n">
        <v>2350000</v>
      </c>
      <c r="AA547" s="605" t="n">
        <v>2350000</v>
      </c>
      <c r="AC547" s="605" t="inlineStr">
        <is>
          <t>0171911101043</t>
        </is>
      </c>
      <c r="AD547" s="605" t="inlineStr">
        <is>
          <t>2022000007970</t>
        </is>
      </c>
      <c r="AE547" s="605" t="inlineStr">
        <is>
          <t>EXCELL IRMA II LLC</t>
        </is>
      </c>
      <c r="AF547" s="605" t="inlineStr">
        <is>
          <t>K AND K BHATTI LLC</t>
        </is>
      </c>
      <c r="AI547" s="605">
        <f>IF(AND($E547=Subj_OccCode,Subj_BldgSF&gt;0,ABS($L547-Subj_BldgSF)&lt;=Subj_BldgSF*Subj_SizeTol),ABS($L547-Subj_BldgSF),NA())</f>
        <v/>
      </c>
      <c r="AJ547">
        <f>IF(ISNA(AI547),NA(),AI547+ROW()/10000000)</f>
        <v/>
      </c>
      <c r="AK547" s="605">
        <f>IF(AND(ISNUMBER($N547),$N547&gt;0,ISNUMBER($Y547)),$Y547/$N547,"")</f>
        <v/>
      </c>
    </row>
    <row r="548" ht="15" customHeight="1" s="545">
      <c r="A548" s="385" t="n">
        <v>8</v>
      </c>
      <c r="B548" s="605" t="n">
        <v>543</v>
      </c>
      <c r="C548" s="605" t="inlineStr">
        <is>
          <t>R0147985</t>
        </is>
      </c>
      <c r="D548" s="605" t="inlineStr">
        <is>
          <t>15800 E 40TH AVE</t>
        </is>
      </c>
      <c r="E548" s="605" t="n">
        <v>407</v>
      </c>
      <c r="F548" s="605" t="inlineStr">
        <is>
          <t>AURORA</t>
        </is>
      </c>
      <c r="G548" s="605" t="inlineStr">
        <is>
          <t>6</t>
        </is>
      </c>
      <c r="H548" s="59">
        <f>Y548/J548</f>
        <v/>
      </c>
      <c r="I548" s="386" t="n">
        <v>43951</v>
      </c>
      <c r="J548" s="605" t="n">
        <v>75000</v>
      </c>
      <c r="L548" s="605" t="n">
        <v>75000</v>
      </c>
      <c r="M548" s="605" t="n">
        <v>2003</v>
      </c>
      <c r="P548" s="605" t="inlineStr">
        <is>
          <t>PD</t>
        </is>
      </c>
      <c r="R548" s="152" t="inlineStr">
        <is>
          <t>Average</t>
        </is>
      </c>
      <c r="S548" s="605" t="n">
        <v>415287.97</v>
      </c>
      <c r="T548" s="387">
        <f>S548/J548</f>
        <v/>
      </c>
      <c r="U548" s="605" t="inlineStr">
        <is>
          <t>Average</t>
        </is>
      </c>
      <c r="Y548" s="605" t="n">
        <v>7125000</v>
      </c>
      <c r="AA548" s="605" t="n">
        <v>7125000</v>
      </c>
      <c r="AC548" s="605" t="inlineStr">
        <is>
          <t>0182120301001</t>
        </is>
      </c>
      <c r="AD548" s="605" t="inlineStr">
        <is>
          <t>2020000039644</t>
        </is>
      </c>
      <c r="AE548" s="605" t="inlineStr">
        <is>
          <t>NATIONAL BEDDING COMPANY LLC</t>
        </is>
      </c>
      <c r="AF548" s="605" t="inlineStr">
        <is>
          <t>SHALOM REALTY  (AURORA CENTER I AT GATEWAY COLORADO), C/O DALFEN INDUSTRIAL LLC</t>
        </is>
      </c>
      <c r="AI548" s="605">
        <f>IF(AND($E548=Subj_OccCode,Subj_BldgSF&gt;0,ABS($L548-Subj_BldgSF)&lt;=Subj_BldgSF*Subj_SizeTol),ABS($L548-Subj_BldgSF),NA())</f>
        <v/>
      </c>
      <c r="AJ548">
        <f>IF(ISNA(AI548),NA(),AI548+ROW()/10000000)</f>
        <v/>
      </c>
      <c r="AK548" s="605">
        <f>IF(AND(ISNUMBER($N548),$N548&gt;0,ISNUMBER($Y548)),$Y548/$N548,"")</f>
        <v/>
      </c>
    </row>
    <row r="549" ht="15" customHeight="1" s="545">
      <c r="A549" s="385" t="n">
        <v>8</v>
      </c>
      <c r="B549" s="605" t="n">
        <v>544</v>
      </c>
      <c r="C549" s="605" t="inlineStr">
        <is>
          <t>R0179935</t>
        </is>
      </c>
      <c r="D549" s="605" t="inlineStr">
        <is>
          <t>9410 FEDERAL BLVD</t>
        </is>
      </c>
      <c r="E549" s="605" t="n">
        <v>353</v>
      </c>
      <c r="F549" s="605" t="inlineStr">
        <is>
          <t>FEDERAL HEIGHTS</t>
        </is>
      </c>
      <c r="G549" s="605" t="inlineStr">
        <is>
          <t>4</t>
        </is>
      </c>
      <c r="H549" s="59">
        <f>Y549/J549</f>
        <v/>
      </c>
      <c r="I549" s="386" t="n">
        <v>44335</v>
      </c>
      <c r="J549" s="605" t="n">
        <v>8000</v>
      </c>
      <c r="L549" s="605" t="n">
        <v>8000</v>
      </c>
      <c r="M549" s="605" t="n">
        <v>2011</v>
      </c>
      <c r="P549" s="605" t="inlineStr">
        <is>
          <t>C-1-Fed</t>
        </is>
      </c>
      <c r="R549" s="152" t="inlineStr">
        <is>
          <t>Average</t>
        </is>
      </c>
      <c r="S549" s="605" t="n">
        <v>53023</v>
      </c>
      <c r="T549" s="387">
        <f>S549/J549</f>
        <v/>
      </c>
      <c r="U549" s="605" t="inlineStr">
        <is>
          <t>Average</t>
        </is>
      </c>
      <c r="Y549" s="605" t="n">
        <v>1445000</v>
      </c>
      <c r="AA549" s="605" t="n">
        <v>1445000</v>
      </c>
      <c r="AC549" s="605" t="inlineStr">
        <is>
          <t>0171920101021</t>
        </is>
      </c>
      <c r="AD549" s="605" t="inlineStr">
        <is>
          <t>2021000062577</t>
        </is>
      </c>
      <c r="AE549" s="605" t="inlineStr">
        <is>
          <t>HOANG KING FAMILY TRUST THE</t>
        </is>
      </c>
      <c r="AF549" s="605" t="inlineStr">
        <is>
          <t>A&amp;A HOLDING LIMITED COMPANY OF UTAH</t>
        </is>
      </c>
      <c r="AI549" s="605">
        <f>IF(AND($E549=Subj_OccCode,Subj_BldgSF&gt;0,ABS($L549-Subj_BldgSF)&lt;=Subj_BldgSF*Subj_SizeTol),ABS($L549-Subj_BldgSF),NA())</f>
        <v/>
      </c>
      <c r="AJ549">
        <f>IF(ISNA(AI549),NA(),AI549+ROW()/10000000)</f>
        <v/>
      </c>
      <c r="AK549" s="605">
        <f>IF(AND(ISNUMBER($N549),$N549&gt;0,ISNUMBER($Y549)),$Y549/$N549,"")</f>
        <v/>
      </c>
    </row>
    <row r="550" ht="15" customHeight="1" s="545">
      <c r="A550" s="385" t="n">
        <v>8</v>
      </c>
      <c r="B550" s="605" t="n">
        <v>545</v>
      </c>
      <c r="C550" s="605" t="inlineStr">
        <is>
          <t>R0110689</t>
        </is>
      </c>
      <c r="D550" s="605" t="inlineStr">
        <is>
          <t>9141 GRANT ST #206</t>
        </is>
      </c>
      <c r="E550" s="605" t="n">
        <v>341</v>
      </c>
      <c r="F550" s="605" t="inlineStr">
        <is>
          <t>THORNTON</t>
        </is>
      </c>
      <c r="G550" s="605" t="inlineStr">
        <is>
          <t>3</t>
        </is>
      </c>
      <c r="H550" s="59">
        <f>Y550/J550</f>
        <v/>
      </c>
      <c r="I550" s="386" t="n">
        <v>43273</v>
      </c>
      <c r="J550" s="605" t="n">
        <v>1400</v>
      </c>
      <c r="L550" s="605" t="n">
        <v>1400</v>
      </c>
      <c r="M550" s="605" t="n">
        <v>1986</v>
      </c>
      <c r="P550" s="605" t="inlineStr">
        <is>
          <t>Thornton</t>
        </is>
      </c>
      <c r="R550" s="152" t="inlineStr">
        <is>
          <t>Average</t>
        </is>
      </c>
      <c r="S550" s="605" t="n">
        <v>692</v>
      </c>
      <c r="T550" s="387">
        <f>S550/J550</f>
        <v/>
      </c>
      <c r="U550" s="605" t="inlineStr">
        <is>
          <t>Average</t>
        </is>
      </c>
      <c r="Y550" s="605" t="n">
        <v>195000</v>
      </c>
      <c r="AA550" s="605" t="n">
        <v>195000</v>
      </c>
      <c r="AC550" s="605" t="inlineStr">
        <is>
          <t>0171922404221</t>
        </is>
      </c>
      <c r="AD550" s="605" t="inlineStr">
        <is>
          <t>2018000050696</t>
        </is>
      </c>
      <c r="AE550" s="605" t="inlineStr">
        <is>
          <t>COLUMBIA-HEALTHONE LLC, C/O JOHN A LAMPE MD</t>
        </is>
      </c>
      <c r="AF550" s="605" t="inlineStr">
        <is>
          <t xml:space="preserve">COLUMBIA-HEALTHONE LLC, C/O JAMES C GARLITZ </t>
        </is>
      </c>
      <c r="AI550" s="605">
        <f>IF(AND($E550=Subj_OccCode,Subj_BldgSF&gt;0,ABS($L550-Subj_BldgSF)&lt;=Subj_BldgSF*Subj_SizeTol),ABS($L550-Subj_BldgSF),NA())</f>
        <v/>
      </c>
      <c r="AJ550">
        <f>IF(ISNA(AI550),NA(),AI550+ROW()/10000000)</f>
        <v/>
      </c>
      <c r="AK550" s="605">
        <f>IF(AND(ISNUMBER($N550),$N550&gt;0,ISNUMBER($Y550)),$Y550/$N550,"")</f>
        <v/>
      </c>
    </row>
    <row r="551" ht="15" customHeight="1" s="545">
      <c r="A551" s="385" t="n">
        <v>8</v>
      </c>
      <c r="B551" s="605" t="n">
        <v>546</v>
      </c>
      <c r="C551" s="605" t="inlineStr">
        <is>
          <t>R0168907</t>
        </is>
      </c>
      <c r="D551" s="605" t="inlineStr">
        <is>
          <t>14777 E 35TH PL</t>
        </is>
      </c>
      <c r="E551" s="605" t="n">
        <v>406</v>
      </c>
      <c r="F551" s="605" t="inlineStr">
        <is>
          <t>AURORA</t>
        </is>
      </c>
      <c r="G551" s="605" t="inlineStr">
        <is>
          <t>6</t>
        </is>
      </c>
      <c r="H551" s="59">
        <f>Y551/J551</f>
        <v/>
      </c>
      <c r="I551" s="386" t="n">
        <v>43462</v>
      </c>
      <c r="J551" s="605" t="n">
        <v>19968</v>
      </c>
      <c r="L551" s="605" t="n">
        <v>19968</v>
      </c>
      <c r="M551" s="605" t="n">
        <v>2006</v>
      </c>
      <c r="R551" s="152" t="inlineStr">
        <is>
          <t>Average</t>
        </is>
      </c>
      <c r="S551" s="605" t="n">
        <v>130617</v>
      </c>
      <c r="T551" s="387">
        <f>S551/J551</f>
        <v/>
      </c>
      <c r="U551" s="605" t="inlineStr">
        <is>
          <t>Average</t>
        </is>
      </c>
      <c r="Y551" s="605" t="n">
        <v>4000000</v>
      </c>
      <c r="AA551" s="605" t="n">
        <v>4000000</v>
      </c>
      <c r="AC551" s="605" t="inlineStr">
        <is>
          <t>0182130105001</t>
        </is>
      </c>
      <c r="AD551" s="605" t="inlineStr">
        <is>
          <t>2018000103583</t>
        </is>
      </c>
      <c r="AE551" s="605" t="inlineStr">
        <is>
          <t>MERRITT 777 LLC</t>
        </is>
      </c>
      <c r="AF551" s="605" t="inlineStr">
        <is>
          <t>AMG INVESTMENTS LLC</t>
        </is>
      </c>
      <c r="AI551" s="605">
        <f>IF(AND($E551=Subj_OccCode,Subj_BldgSF&gt;0,ABS($L551-Subj_BldgSF)&lt;=Subj_BldgSF*Subj_SizeTol),ABS($L551-Subj_BldgSF),NA())</f>
        <v/>
      </c>
      <c r="AJ551">
        <f>IF(ISNA(AI551),NA(),AI551+ROW()/10000000)</f>
        <v/>
      </c>
      <c r="AK551" s="605">
        <f>IF(AND(ISNUMBER($N551),$N551&gt;0,ISNUMBER($Y551)),$Y551/$N551,"")</f>
        <v/>
      </c>
    </row>
    <row r="552" ht="15" customHeight="1" s="545">
      <c r="A552" s="385" t="n">
        <v>8</v>
      </c>
      <c r="B552" s="605" t="n">
        <v>547</v>
      </c>
      <c r="C552" s="605" t="inlineStr">
        <is>
          <t>R0169154</t>
        </is>
      </c>
      <c r="D552" s="605" t="inlineStr">
        <is>
          <t>1137  BRIDGE ST</t>
        </is>
      </c>
      <c r="E552" s="605" t="n">
        <v>3441</v>
      </c>
      <c r="F552" s="605" t="inlineStr">
        <is>
          <t>BRIGHTON</t>
        </is>
      </c>
      <c r="G552" s="605" t="inlineStr">
        <is>
          <t>2</t>
        </is>
      </c>
      <c r="H552" s="59">
        <f>Y552/J552</f>
        <v/>
      </c>
      <c r="I552" s="386" t="n">
        <v>43213</v>
      </c>
      <c r="J552" s="605" t="n">
        <v>1056</v>
      </c>
      <c r="L552" s="605" t="n">
        <v>1056</v>
      </c>
      <c r="M552" s="605" t="n">
        <v>1949</v>
      </c>
      <c r="R552" s="152" t="inlineStr">
        <is>
          <t>Average</t>
        </is>
      </c>
      <c r="S552" s="605" t="n">
        <v>7624</v>
      </c>
      <c r="T552" s="387">
        <f>S552/J552</f>
        <v/>
      </c>
      <c r="U552" s="605" t="inlineStr">
        <is>
          <t>Good</t>
        </is>
      </c>
      <c r="Y552" s="605" t="n">
        <v>262200</v>
      </c>
      <c r="AA552" s="605" t="n">
        <v>262200</v>
      </c>
      <c r="AC552" s="605" t="inlineStr">
        <is>
          <t>0156905321008</t>
        </is>
      </c>
      <c r="AD552" s="605" t="inlineStr">
        <is>
          <t>2018000033834</t>
        </is>
      </c>
      <c r="AE552" s="605" t="inlineStr">
        <is>
          <t>5 G LLC</t>
        </is>
      </c>
      <c r="AF552" s="605" t="inlineStr">
        <is>
          <t>LANZER RACHEL L</t>
        </is>
      </c>
      <c r="AI552" s="605">
        <f>IF(AND($E552=Subj_OccCode,Subj_BldgSF&gt;0,ABS($L552-Subj_BldgSF)&lt;=Subj_BldgSF*Subj_SizeTol),ABS($L552-Subj_BldgSF),NA())</f>
        <v/>
      </c>
      <c r="AJ552">
        <f>IF(ISNA(AI552),NA(),AI552+ROW()/10000000)</f>
        <v/>
      </c>
      <c r="AK552" s="605">
        <f>IF(AND(ISNUMBER($N552),$N552&gt;0,ISNUMBER($Y552)),$Y552/$N552,"")</f>
        <v/>
      </c>
    </row>
    <row r="553" ht="15" customHeight="1" s="545">
      <c r="A553" s="385" t="n">
        <v>8</v>
      </c>
      <c r="B553" s="605" t="n">
        <v>548</v>
      </c>
      <c r="C553" s="605" t="inlineStr">
        <is>
          <t>R0173180</t>
        </is>
      </c>
      <c r="D553" s="605" t="inlineStr">
        <is>
          <t>5454  WASHINGTON ST#1</t>
        </is>
      </c>
      <c r="E553" s="605" t="n">
        <v>425</v>
      </c>
      <c r="G553" s="605" t="inlineStr">
        <is>
          <t>5</t>
        </is>
      </c>
      <c r="H553" s="59">
        <f>Y553/J553</f>
        <v/>
      </c>
      <c r="I553" s="386" t="n">
        <v>43838</v>
      </c>
      <c r="J553" s="605" t="n">
        <v>3158</v>
      </c>
      <c r="L553" s="605" t="n">
        <v>3158</v>
      </c>
      <c r="M553" s="605" t="n">
        <v>1985</v>
      </c>
      <c r="P553" s="605" t="inlineStr">
        <is>
          <t>Industrial</t>
        </is>
      </c>
      <c r="R553" s="152" t="inlineStr">
        <is>
          <t>Average</t>
        </is>
      </c>
      <c r="S553" s="605" t="n">
        <v>7920</v>
      </c>
      <c r="T553" s="387">
        <f>S553/J553</f>
        <v/>
      </c>
      <c r="U553" s="605" t="inlineStr">
        <is>
          <t>Average</t>
        </is>
      </c>
      <c r="Y553" s="605" t="n">
        <v>575000</v>
      </c>
      <c r="AA553" s="605" t="n">
        <v>575000</v>
      </c>
      <c r="AC553" s="605" t="inlineStr">
        <is>
          <t>0182514210012</t>
        </is>
      </c>
      <c r="AD553" s="605" t="inlineStr">
        <is>
          <t>2020000003847</t>
        </is>
      </c>
      <c r="AE553" s="605" t="inlineStr">
        <is>
          <t>5454 WASHINGTON ST NO 1 LLC</t>
        </is>
      </c>
      <c r="AF553" s="605" t="inlineStr">
        <is>
          <t>2020 VISION LLC</t>
        </is>
      </c>
      <c r="AI553" s="605">
        <f>IF(AND($E553=Subj_OccCode,Subj_BldgSF&gt;0,ABS($L553-Subj_BldgSF)&lt;=Subj_BldgSF*Subj_SizeTol),ABS($L553-Subj_BldgSF),NA())</f>
        <v/>
      </c>
      <c r="AJ553">
        <f>IF(ISNA(AI553),NA(),AI553+ROW()/10000000)</f>
        <v/>
      </c>
      <c r="AK553" s="605">
        <f>IF(AND(ISNUMBER($N553),$N553&gt;0,ISNUMBER($Y553)),$Y553/$N553,"")</f>
        <v/>
      </c>
    </row>
    <row r="554" ht="15" customHeight="1" s="545">
      <c r="A554" s="385" t="n">
        <v>8</v>
      </c>
      <c r="B554" s="605" t="n">
        <v>549</v>
      </c>
      <c r="C554" s="605" t="inlineStr">
        <is>
          <t>R0173187</t>
        </is>
      </c>
      <c r="D554" s="605" t="inlineStr">
        <is>
          <t>5454  WASHINGTON ST #8</t>
        </is>
      </c>
      <c r="E554" s="605" t="n">
        <v>425</v>
      </c>
      <c r="G554" s="605" t="inlineStr">
        <is>
          <t>5</t>
        </is>
      </c>
      <c r="H554" s="59">
        <f>Y554/J554</f>
        <v/>
      </c>
      <c r="I554" s="386" t="n">
        <v>44384</v>
      </c>
      <c r="J554" s="605" t="n">
        <v>3158</v>
      </c>
      <c r="L554" s="605" t="n">
        <v>3158</v>
      </c>
      <c r="M554" s="605" t="n">
        <v>1985</v>
      </c>
      <c r="P554" s="605" t="inlineStr">
        <is>
          <t>Industrial</t>
        </is>
      </c>
      <c r="R554" s="152" t="inlineStr">
        <is>
          <t>Average</t>
        </is>
      </c>
      <c r="S554" s="605" t="n">
        <v>7920</v>
      </c>
      <c r="T554" s="387">
        <f>S554/J554</f>
        <v/>
      </c>
      <c r="U554" s="605" t="inlineStr">
        <is>
          <t>Average</t>
        </is>
      </c>
      <c r="Y554" s="605" t="n">
        <v>562500</v>
      </c>
      <c r="AA554" s="605" t="n">
        <v>562500</v>
      </c>
      <c r="AC554" s="605" t="inlineStr">
        <is>
          <t>0182514210019</t>
        </is>
      </c>
      <c r="AD554" s="605" t="inlineStr">
        <is>
          <t>2021000081652</t>
        </is>
      </c>
      <c r="AE554" s="605" t="inlineStr">
        <is>
          <t>REIL ENTERPRISES LLC</t>
        </is>
      </c>
      <c r="AF554" s="605" t="inlineStr">
        <is>
          <t>VXSN LLC</t>
        </is>
      </c>
      <c r="AI554" s="605">
        <f>IF(AND($E554=Subj_OccCode,Subj_BldgSF&gt;0,ABS($L554-Subj_BldgSF)&lt;=Subj_BldgSF*Subj_SizeTol),ABS($L554-Subj_BldgSF),NA())</f>
        <v/>
      </c>
      <c r="AJ554">
        <f>IF(ISNA(AI554),NA(),AI554+ROW()/10000000)</f>
        <v/>
      </c>
      <c r="AK554" s="605">
        <f>IF(AND(ISNUMBER($N554),$N554&gt;0,ISNUMBER($Y554)),$Y554/$N554,"")</f>
        <v/>
      </c>
    </row>
    <row r="555" ht="15" customHeight="1" s="545">
      <c r="A555" s="385" t="n">
        <v>8</v>
      </c>
      <c r="B555" s="605" t="n">
        <v>550</v>
      </c>
      <c r="C555" s="605" t="inlineStr">
        <is>
          <t>R0098573</t>
        </is>
      </c>
      <c r="D555" s="605" t="inlineStr">
        <is>
          <t>75 W 64TH AVE</t>
        </is>
      </c>
      <c r="E555" s="605" t="n">
        <v>213</v>
      </c>
      <c r="G555" s="605" t="inlineStr">
        <is>
          <t>5</t>
        </is>
      </c>
      <c r="H555" s="59">
        <f>Y555/J555</f>
        <v/>
      </c>
      <c r="I555" s="386" t="n">
        <v>43116</v>
      </c>
      <c r="J555" s="605" t="n">
        <v>1920</v>
      </c>
      <c r="L555" s="605" t="n">
        <v>1920</v>
      </c>
      <c r="M555" s="605" t="n">
        <v>2003</v>
      </c>
      <c r="P555" s="605" t="inlineStr">
        <is>
          <t>Industrial</t>
        </is>
      </c>
      <c r="R555" s="152" t="inlineStr">
        <is>
          <t>Fair</t>
        </is>
      </c>
      <c r="S555" s="605" t="n">
        <v>75794</v>
      </c>
      <c r="T555" s="387">
        <f>S555/J555</f>
        <v/>
      </c>
      <c r="U555" s="605" t="inlineStr">
        <is>
          <t>Average</t>
        </is>
      </c>
      <c r="Y555" s="605" t="n">
        <v>790500</v>
      </c>
      <c r="AA555" s="605" t="n">
        <v>790500</v>
      </c>
      <c r="AC555" s="605" t="inlineStr">
        <is>
          <t>0182503306002</t>
        </is>
      </c>
      <c r="AD555" s="605" t="inlineStr">
        <is>
          <t>2018000005787</t>
        </is>
      </c>
      <c r="AE555" s="605" t="inlineStr">
        <is>
          <t>BOULDER CAMPGROUNDS INC</t>
        </is>
      </c>
      <c r="AF555" s="605" t="inlineStr">
        <is>
          <t>BPOS LLC</t>
        </is>
      </c>
      <c r="AI555" s="605">
        <f>IF(AND($E555=Subj_OccCode,Subj_BldgSF&gt;0,ABS($L555-Subj_BldgSF)&lt;=Subj_BldgSF*Subj_SizeTol),ABS($L555-Subj_BldgSF),NA())</f>
        <v/>
      </c>
      <c r="AJ555">
        <f>IF(ISNA(AI555),NA(),AI555+ROW()/10000000)</f>
        <v/>
      </c>
      <c r="AK555" s="605">
        <f>IF(AND(ISNUMBER($N555),$N555&gt;0,ISNUMBER($Y555)),$Y555/$N555,"")</f>
        <v/>
      </c>
    </row>
    <row r="556" ht="15" customHeight="1" s="545">
      <c r="A556" s="385" t="n">
        <v>8</v>
      </c>
      <c r="B556" s="605" t="n">
        <v>551</v>
      </c>
      <c r="C556" s="605" t="inlineStr">
        <is>
          <t>R0002837</t>
        </is>
      </c>
      <c r="D556" s="605" t="inlineStr">
        <is>
          <t>29 N MAIN ST</t>
        </is>
      </c>
      <c r="E556" s="605" t="n">
        <v>353</v>
      </c>
      <c r="F556" s="605" t="inlineStr">
        <is>
          <t>BRIGHTON</t>
        </is>
      </c>
      <c r="G556" s="605" t="inlineStr">
        <is>
          <t>2</t>
        </is>
      </c>
      <c r="H556" s="59">
        <f>Y556/J556</f>
        <v/>
      </c>
      <c r="I556" s="386" t="n">
        <v>43271</v>
      </c>
      <c r="J556" s="605" t="n">
        <v>5750</v>
      </c>
      <c r="L556" s="605" t="n">
        <v>5750</v>
      </c>
      <c r="M556" s="605" t="n">
        <v>1966</v>
      </c>
      <c r="P556" s="605" t="inlineStr">
        <is>
          <t>Brighton</t>
        </is>
      </c>
      <c r="R556" s="152" t="inlineStr">
        <is>
          <t>Average</t>
        </is>
      </c>
      <c r="S556" s="605" t="n">
        <v>10150</v>
      </c>
      <c r="T556" s="387">
        <f>S556/J556</f>
        <v/>
      </c>
      <c r="U556" s="605" t="inlineStr">
        <is>
          <t>Average</t>
        </is>
      </c>
      <c r="Y556" s="605" t="n">
        <v>530000</v>
      </c>
      <c r="AA556" s="605" t="n">
        <v>530000</v>
      </c>
      <c r="AC556" s="605" t="inlineStr">
        <is>
          <t>0156906314005</t>
        </is>
      </c>
      <c r="AD556" s="605" t="inlineStr">
        <is>
          <t>2018000049723</t>
        </is>
      </c>
      <c r="AE556" s="605" t="inlineStr">
        <is>
          <t>LAZY V SLASH LAND AND CATTLE COMPANY</t>
        </is>
      </c>
      <c r="AF556" s="605" t="inlineStr">
        <is>
          <t>3885 FOREST LLC</t>
        </is>
      </c>
      <c r="AI556" s="605">
        <f>IF(AND($E556=Subj_OccCode,Subj_BldgSF&gt;0,ABS($L556-Subj_BldgSF)&lt;=Subj_BldgSF*Subj_SizeTol),ABS($L556-Subj_BldgSF),NA())</f>
        <v/>
      </c>
      <c r="AJ556">
        <f>IF(ISNA(AI556),NA(),AI556+ROW()/10000000)</f>
        <v/>
      </c>
      <c r="AK556" s="605">
        <f>IF(AND(ISNUMBER($N556),$N556&gt;0,ISNUMBER($Y556)),$Y556/$N556,"")</f>
        <v/>
      </c>
    </row>
    <row r="557" ht="15" customHeight="1" s="545">
      <c r="A557" s="385" t="n">
        <v>8</v>
      </c>
      <c r="B557" s="605" t="n">
        <v>552</v>
      </c>
      <c r="C557" s="605" t="inlineStr">
        <is>
          <t>R0004562</t>
        </is>
      </c>
      <c r="D557" s="605" t="inlineStr">
        <is>
          <t>599 S MAIN ST</t>
        </is>
      </c>
      <c r="E557" s="605" t="n">
        <v>339</v>
      </c>
      <c r="F557" s="605" t="inlineStr">
        <is>
          <t>BRIGHTON</t>
        </is>
      </c>
      <c r="G557" s="605" t="inlineStr">
        <is>
          <t>2</t>
        </is>
      </c>
      <c r="H557" s="59">
        <f>Y557/J557</f>
        <v/>
      </c>
      <c r="I557" s="386" t="n">
        <v>43199</v>
      </c>
      <c r="J557" s="605" t="n">
        <v>7200</v>
      </c>
      <c r="L557" s="605" t="n">
        <v>7200</v>
      </c>
      <c r="M557" s="605" t="n">
        <v>1983</v>
      </c>
      <c r="P557" s="605" t="inlineStr">
        <is>
          <t>Brighton</t>
        </is>
      </c>
      <c r="R557" s="152" t="inlineStr">
        <is>
          <t>Low</t>
        </is>
      </c>
      <c r="S557" s="605" t="n">
        <v>96965</v>
      </c>
      <c r="T557" s="387">
        <f>S557/J557</f>
        <v/>
      </c>
      <c r="U557" s="605" t="inlineStr">
        <is>
          <t>Average</t>
        </is>
      </c>
      <c r="Y557" s="605" t="n">
        <v>1300000</v>
      </c>
      <c r="AA557" s="605" t="n">
        <v>1300000</v>
      </c>
      <c r="AC557" s="605" t="inlineStr">
        <is>
          <t>0156907323005</t>
        </is>
      </c>
      <c r="AD557" s="605" t="inlineStr">
        <is>
          <t>2018000029142</t>
        </is>
      </c>
      <c r="AE557" s="605" t="inlineStr">
        <is>
          <t>599 SO MAIN STREET LLC</t>
        </is>
      </c>
      <c r="AF557" s="605" t="inlineStr">
        <is>
          <t>WATER DROP TRUST</t>
        </is>
      </c>
      <c r="AI557" s="605">
        <f>IF(AND($E557=Subj_OccCode,Subj_BldgSF&gt;0,ABS($L557-Subj_BldgSF)&lt;=Subj_BldgSF*Subj_SizeTol),ABS($L557-Subj_BldgSF),NA())</f>
        <v/>
      </c>
      <c r="AJ557">
        <f>IF(ISNA(AI557),NA(),AI557+ROW()/10000000)</f>
        <v/>
      </c>
      <c r="AK557" s="605">
        <f>IF(AND(ISNUMBER($N557),$N557&gt;0,ISNUMBER($Y557)),$Y557/$N557,"")</f>
        <v/>
      </c>
    </row>
    <row r="558" ht="15" customHeight="1" s="545">
      <c r="A558" s="385" t="n">
        <v>8</v>
      </c>
      <c r="B558" s="605" t="n">
        <v>553</v>
      </c>
      <c r="C558" s="605" t="inlineStr">
        <is>
          <t>R0004562</t>
        </is>
      </c>
      <c r="D558" s="605" t="inlineStr">
        <is>
          <t>599 S MAIN ST</t>
        </is>
      </c>
      <c r="E558" s="605" t="n">
        <v>353</v>
      </c>
      <c r="F558" s="605" t="inlineStr">
        <is>
          <t>BRIGHTON</t>
        </is>
      </c>
      <c r="G558" s="605" t="inlineStr">
        <is>
          <t>2</t>
        </is>
      </c>
      <c r="H558" s="59">
        <f>Y558/J558</f>
        <v/>
      </c>
      <c r="I558" s="386" t="n">
        <v>44182</v>
      </c>
      <c r="J558" s="605" t="n">
        <v>7200</v>
      </c>
      <c r="L558" s="605" t="n">
        <v>7200</v>
      </c>
      <c r="M558" s="605" t="n">
        <v>1983</v>
      </c>
      <c r="P558" s="605" t="inlineStr">
        <is>
          <t>I-1-Bri</t>
        </is>
      </c>
      <c r="R558" s="152" t="inlineStr">
        <is>
          <t>Low</t>
        </is>
      </c>
      <c r="S558" s="605" t="n">
        <v>96965</v>
      </c>
      <c r="T558" s="387">
        <f>S558/J558</f>
        <v/>
      </c>
      <c r="U558" s="605" t="inlineStr">
        <is>
          <t>Average</t>
        </is>
      </c>
      <c r="Y558" s="605" t="n">
        <v>1400000</v>
      </c>
      <c r="AA558" s="605" t="n">
        <v>1400000</v>
      </c>
      <c r="AC558" s="605" t="inlineStr">
        <is>
          <t>0156907323005</t>
        </is>
      </c>
      <c r="AD558" s="605" t="inlineStr">
        <is>
          <t>2020000134040</t>
        </is>
      </c>
      <c r="AE558" s="605" t="inlineStr">
        <is>
          <t>WATER DROP TRUST</t>
        </is>
      </c>
      <c r="AF558" s="605" t="inlineStr">
        <is>
          <t>MAINLINE CONSTRUCTION LLC</t>
        </is>
      </c>
      <c r="AI558" s="605">
        <f>IF(AND($E558=Subj_OccCode,Subj_BldgSF&gt;0,ABS($L558-Subj_BldgSF)&lt;=Subj_BldgSF*Subj_SizeTol),ABS($L558-Subj_BldgSF),NA())</f>
        <v/>
      </c>
      <c r="AJ558">
        <f>IF(ISNA(AI558),NA(),AI558+ROW()/10000000)</f>
        <v/>
      </c>
      <c r="AK558" s="605">
        <f>IF(AND(ISNUMBER($N558),$N558&gt;0,ISNUMBER($Y558)),$Y558/$N558,"")</f>
        <v/>
      </c>
    </row>
    <row r="559" ht="15" customHeight="1" s="545">
      <c r="A559" s="385" t="n">
        <v>8</v>
      </c>
      <c r="B559" s="605" t="n">
        <v>554</v>
      </c>
      <c r="C559" s="605" t="inlineStr">
        <is>
          <t>R0075346</t>
        </is>
      </c>
      <c r="D559" s="605" t="inlineStr">
        <is>
          <t>10001  BRIGHTON RD</t>
        </is>
      </c>
      <c r="E559" s="605" t="n">
        <v>325</v>
      </c>
      <c r="G559" s="605" t="inlineStr">
        <is>
          <t>5</t>
        </is>
      </c>
      <c r="H559" s="59">
        <f>Y559/J559</f>
        <v/>
      </c>
      <c r="I559" s="386" t="n">
        <v>43874</v>
      </c>
      <c r="J559" s="605" t="n">
        <v>4927</v>
      </c>
      <c r="L559" s="605" t="n">
        <v>4927</v>
      </c>
      <c r="M559" s="605" t="n">
        <v>1950</v>
      </c>
      <c r="P559" s="605" t="inlineStr">
        <is>
          <t>Commercial</t>
        </is>
      </c>
      <c r="R559" s="152" t="inlineStr">
        <is>
          <t>Average</t>
        </is>
      </c>
      <c r="S559" s="605" t="n">
        <v>30492</v>
      </c>
      <c r="T559" s="387">
        <f>S559/J559</f>
        <v/>
      </c>
      <c r="U559" s="605" t="inlineStr">
        <is>
          <t>Average</t>
        </is>
      </c>
      <c r="Y559" s="605" t="n">
        <v>440000</v>
      </c>
      <c r="AA559" s="605" t="n">
        <v>440000</v>
      </c>
      <c r="AC559" s="605" t="inlineStr">
        <is>
          <t>0172116002001</t>
        </is>
      </c>
      <c r="AD559" s="605" t="inlineStr">
        <is>
          <t>2020000015791</t>
        </is>
      </c>
      <c r="AE559" s="605" t="inlineStr">
        <is>
          <t>NOREGS LLC</t>
        </is>
      </c>
      <c r="AF559" s="605" t="inlineStr">
        <is>
          <t>10001 BRIGHTON LLC</t>
        </is>
      </c>
      <c r="AI559" s="605">
        <f>IF(AND($E559=Subj_OccCode,Subj_BldgSF&gt;0,ABS($L559-Subj_BldgSF)&lt;=Subj_BldgSF*Subj_SizeTol),ABS($L559-Subj_BldgSF),NA())</f>
        <v/>
      </c>
      <c r="AJ559">
        <f>IF(ISNA(AI559),NA(),AI559+ROW()/10000000)</f>
        <v/>
      </c>
      <c r="AK559" s="605">
        <f>IF(AND(ISNUMBER($N559),$N559&gt;0,ISNUMBER($Y559)),$Y559/$N559,"")</f>
        <v/>
      </c>
    </row>
    <row r="560" ht="15" customHeight="1" s="545">
      <c r="A560" s="385" t="n">
        <v>8</v>
      </c>
      <c r="B560" s="605" t="n">
        <v>555</v>
      </c>
      <c r="C560" s="605" t="inlineStr">
        <is>
          <t>R0098211</t>
        </is>
      </c>
      <c r="D560" s="605" t="inlineStr">
        <is>
          <t>6580  VINE CT</t>
        </is>
      </c>
      <c r="E560" s="605" t="n">
        <v>407</v>
      </c>
      <c r="G560" s="605" t="inlineStr">
        <is>
          <t>5</t>
        </is>
      </c>
      <c r="H560" s="59">
        <f>Y560/J560</f>
        <v/>
      </c>
      <c r="I560" s="386" t="n">
        <v>43189</v>
      </c>
      <c r="J560" s="605" t="n">
        <v>9520</v>
      </c>
      <c r="L560" s="605" t="n">
        <v>9520</v>
      </c>
      <c r="M560" s="605" t="n">
        <v>1997</v>
      </c>
      <c r="P560" s="605" t="inlineStr">
        <is>
          <t>Industrial</t>
        </is>
      </c>
      <c r="R560" s="152" t="inlineStr">
        <is>
          <t>Average</t>
        </is>
      </c>
      <c r="S560" s="605" t="n">
        <v>30056</v>
      </c>
      <c r="T560" s="387">
        <f>S560/J560</f>
        <v/>
      </c>
      <c r="U560" s="605" t="inlineStr">
        <is>
          <t>Average</t>
        </is>
      </c>
      <c r="Y560" s="605" t="n">
        <v>1350000</v>
      </c>
      <c r="AA560" s="605" t="n">
        <v>1350000</v>
      </c>
      <c r="AC560" s="605" t="inlineStr">
        <is>
          <t>0182502404010</t>
        </is>
      </c>
      <c r="AD560" s="605" t="inlineStr">
        <is>
          <t>2018000029188</t>
        </is>
      </c>
      <c r="AE560" s="605" t="inlineStr">
        <is>
          <t>ARMSTRONG DARRYL AND, ARMSTRONG MARY E</t>
        </is>
      </c>
      <c r="AF560" s="605" t="inlineStr">
        <is>
          <t>PVGG PROPERTIES LLC</t>
        </is>
      </c>
      <c r="AI560" s="605">
        <f>IF(AND($E560=Subj_OccCode,Subj_BldgSF&gt;0,ABS($L560-Subj_BldgSF)&lt;=Subj_BldgSF*Subj_SizeTol),ABS($L560-Subj_BldgSF),NA())</f>
        <v/>
      </c>
      <c r="AJ560">
        <f>IF(ISNA(AI560),NA(),AI560+ROW()/10000000)</f>
        <v/>
      </c>
      <c r="AK560" s="605">
        <f>IF(AND(ISNUMBER($N560),$N560&gt;0,ISNUMBER($Y560)),$Y560/$N560,"")</f>
        <v/>
      </c>
    </row>
    <row r="561" ht="15" customHeight="1" s="545">
      <c r="A561" s="385" t="n">
        <v>8</v>
      </c>
      <c r="B561" s="605" t="n">
        <v>556</v>
      </c>
      <c r="C561" s="605" t="inlineStr">
        <is>
          <t>R0103717</t>
        </is>
      </c>
      <c r="D561" s="605" t="inlineStr">
        <is>
          <t>5960  MARION DR</t>
        </is>
      </c>
      <c r="E561" s="605" t="n">
        <v>406</v>
      </c>
      <c r="G561" s="605" t="inlineStr">
        <is>
          <t>5</t>
        </is>
      </c>
      <c r="H561" s="59">
        <f>Y561/J561</f>
        <v/>
      </c>
      <c r="I561" s="386" t="n">
        <v>43259</v>
      </c>
      <c r="J561" s="605" t="n">
        <v>5000</v>
      </c>
      <c r="L561" s="605" t="n">
        <v>5000</v>
      </c>
      <c r="M561" s="605" t="n">
        <v>1999</v>
      </c>
      <c r="P561" s="605" t="inlineStr">
        <is>
          <t>Industrial</t>
        </is>
      </c>
      <c r="R561" s="152" t="inlineStr">
        <is>
          <t>Average</t>
        </is>
      </c>
      <c r="S561" s="605" t="n">
        <v>35250</v>
      </c>
      <c r="T561" s="387">
        <f>S561/J561</f>
        <v/>
      </c>
      <c r="U561" s="605" t="inlineStr">
        <is>
          <t>Average</t>
        </is>
      </c>
      <c r="Y561" s="605" t="n">
        <v>925000</v>
      </c>
      <c r="AA561" s="605" t="n">
        <v>925000</v>
      </c>
      <c r="AC561" s="605" t="inlineStr">
        <is>
          <t>0182511303006</t>
        </is>
      </c>
      <c r="AD561" s="605" t="inlineStr">
        <is>
          <t>2018000046553</t>
        </is>
      </c>
      <c r="AE561" s="605" t="inlineStr">
        <is>
          <t>VEGHTE RICHARD</t>
        </is>
      </c>
      <c r="AF561" s="605" t="inlineStr">
        <is>
          <t>REGION LTD</t>
        </is>
      </c>
      <c r="AI561" s="605">
        <f>IF(AND($E561=Subj_OccCode,Subj_BldgSF&gt;0,ABS($L561-Subj_BldgSF)&lt;=Subj_BldgSF*Subj_SizeTol),ABS($L561-Subj_BldgSF),NA())</f>
        <v/>
      </c>
      <c r="AJ561">
        <f>IF(ISNA(AI561),NA(),AI561+ROW()/10000000)</f>
        <v/>
      </c>
      <c r="AK561" s="605">
        <f>IF(AND(ISNUMBER($N561),$N561&gt;0,ISNUMBER($Y561)),$Y561/$N561,"")</f>
        <v/>
      </c>
    </row>
    <row r="562" ht="15" customHeight="1" s="545">
      <c r="A562" s="385" t="n">
        <v>8</v>
      </c>
      <c r="B562" s="605" t="n">
        <v>557</v>
      </c>
      <c r="C562" s="605" t="inlineStr">
        <is>
          <t>R0071224</t>
        </is>
      </c>
      <c r="D562" s="605" t="inlineStr">
        <is>
          <t>12555 E 112TH AVE</t>
        </is>
      </c>
      <c r="E562" s="605" t="n">
        <v>100</v>
      </c>
      <c r="F562" s="605" t="inlineStr">
        <is>
          <t>BRIGHTON</t>
        </is>
      </c>
      <c r="G562" s="605" t="inlineStr">
        <is>
          <t>530</t>
        </is>
      </c>
      <c r="H562" s="59">
        <f>Y562/J562</f>
        <v/>
      </c>
      <c r="I562" s="386" t="n">
        <v>43105</v>
      </c>
      <c r="J562" s="605" t="n">
        <v>3280</v>
      </c>
      <c r="L562" s="605" t="n">
        <v>3280</v>
      </c>
      <c r="M562" s="605" t="n">
        <v>1957</v>
      </c>
      <c r="P562" s="605" t="inlineStr">
        <is>
          <t>Brighton</t>
        </is>
      </c>
      <c r="R562" s="152" t="inlineStr">
        <is>
          <t>Fair</t>
        </is>
      </c>
      <c r="S562" s="605" t="n">
        <v>255958.56</v>
      </c>
      <c r="T562" s="387">
        <f>S562/J562</f>
        <v/>
      </c>
      <c r="U562" s="605" t="inlineStr">
        <is>
          <t>Fair</t>
        </is>
      </c>
      <c r="Y562" s="605" t="n">
        <v>749900</v>
      </c>
      <c r="AA562" s="605" t="n">
        <v>749900</v>
      </c>
      <c r="AC562" s="605" t="inlineStr">
        <is>
          <t>0172101000025</t>
        </is>
      </c>
      <c r="AD562" s="605" t="inlineStr">
        <is>
          <t>2018000002368</t>
        </is>
      </c>
      <c r="AE562" s="605" t="inlineStr">
        <is>
          <t>ERGER PATRICIA L</t>
        </is>
      </c>
      <c r="AF562" s="605" t="inlineStr">
        <is>
          <t>MYR REAL ESTATE HOLDINGS LLC</t>
        </is>
      </c>
      <c r="AI562" s="605">
        <f>IF(AND($E562=Subj_OccCode,Subj_BldgSF&gt;0,ABS($L562-Subj_BldgSF)&lt;=Subj_BldgSF*Subj_SizeTol),ABS($L562-Subj_BldgSF),NA())</f>
        <v/>
      </c>
      <c r="AJ562">
        <f>IF(ISNA(AI562),NA(),AI562+ROW()/10000000)</f>
        <v/>
      </c>
      <c r="AK562" s="605">
        <f>IF(AND(ISNUMBER($N562),$N562&gt;0,ISNUMBER($Y562)),$Y562/$N562,"")</f>
        <v/>
      </c>
    </row>
    <row r="563" ht="15" customHeight="1" s="545">
      <c r="A563" s="385" t="n">
        <v>8</v>
      </c>
      <c r="B563" s="605" t="n">
        <v>558</v>
      </c>
      <c r="C563" s="605" t="inlineStr">
        <is>
          <t>R0068361</t>
        </is>
      </c>
      <c r="D563" s="605" t="inlineStr">
        <is>
          <t>2387 W 72ND AVE</t>
        </is>
      </c>
      <c r="E563" s="605" t="n">
        <v>531</v>
      </c>
      <c r="G563" s="605" t="inlineStr">
        <is>
          <t>4</t>
        </is>
      </c>
      <c r="H563" s="59">
        <f>Y563/J563</f>
        <v/>
      </c>
      <c r="I563" s="386" t="n">
        <v>44560</v>
      </c>
      <c r="J563" s="605" t="n">
        <v>1054</v>
      </c>
      <c r="L563" s="605" t="n">
        <v>1054</v>
      </c>
      <c r="M563" s="605" t="n">
        <v>1966</v>
      </c>
      <c r="P563" s="605" t="inlineStr">
        <is>
          <t>Commercial</t>
        </is>
      </c>
      <c r="R563" s="152" t="inlineStr">
        <is>
          <t>Average</t>
        </is>
      </c>
      <c r="S563" s="605" t="n">
        <v>18750</v>
      </c>
      <c r="T563" s="387">
        <f>S563/J563</f>
        <v/>
      </c>
      <c r="U563" s="605" t="inlineStr">
        <is>
          <t>Average</t>
        </is>
      </c>
      <c r="Y563" s="605" t="n">
        <v>1412000</v>
      </c>
      <c r="AA563" s="605" t="n">
        <v>1412000</v>
      </c>
      <c r="AC563" s="605" t="inlineStr">
        <is>
          <t>0171933300007</t>
        </is>
      </c>
      <c r="AD563" s="605" t="inlineStr">
        <is>
          <t>2022000002206</t>
        </is>
      </c>
      <c r="AE563" s="605" t="inlineStr">
        <is>
          <t>CF ALTITUDE PROPCO II LLC</t>
        </is>
      </c>
      <c r="AF563" s="605" t="inlineStr">
        <is>
          <t>COLAFLO LLC</t>
        </is>
      </c>
      <c r="AI563" s="605">
        <f>IF(AND($E563=Subj_OccCode,Subj_BldgSF&gt;0,ABS($L563-Subj_BldgSF)&lt;=Subj_BldgSF*Subj_SizeTol),ABS($L563-Subj_BldgSF),NA())</f>
        <v/>
      </c>
      <c r="AJ563">
        <f>IF(ISNA(AI563),NA(),AI563+ROW()/10000000)</f>
        <v/>
      </c>
      <c r="AK563" s="605">
        <f>IF(AND(ISNUMBER($N563),$N563&gt;0,ISNUMBER($Y563)),$Y563/$N563,"")</f>
        <v/>
      </c>
    </row>
    <row r="564" ht="15" customHeight="1" s="545">
      <c r="A564" s="385" t="n">
        <v>8</v>
      </c>
      <c r="B564" s="605" t="n">
        <v>559</v>
      </c>
      <c r="C564" s="605" t="inlineStr">
        <is>
          <t>R0174705</t>
        </is>
      </c>
      <c r="D564" s="605" t="inlineStr">
        <is>
          <t>15550 E 103RD PL</t>
        </is>
      </c>
      <c r="E564" s="605" t="n">
        <v>413</v>
      </c>
      <c r="F564" s="605" t="inlineStr">
        <is>
          <t>COMMERCE CITY</t>
        </is>
      </c>
      <c r="G564" s="605" t="inlineStr">
        <is>
          <t>3</t>
        </is>
      </c>
      <c r="H564" s="59">
        <f>Y564/J564</f>
        <v/>
      </c>
      <c r="I564" s="386" t="n">
        <v>43364</v>
      </c>
      <c r="J564" s="605" t="n">
        <v>17160</v>
      </c>
      <c r="L564" s="605" t="n">
        <v>17160</v>
      </c>
      <c r="M564" s="605" t="n">
        <v>2007</v>
      </c>
      <c r="R564" s="152" t="inlineStr">
        <is>
          <t>Average</t>
        </is>
      </c>
      <c r="S564" s="605" t="n">
        <v>89445</v>
      </c>
      <c r="T564" s="387">
        <f>S564/J564</f>
        <v/>
      </c>
      <c r="U564" s="605" t="inlineStr">
        <is>
          <t>Average</t>
        </is>
      </c>
      <c r="Y564" s="605" t="n">
        <v>4900000</v>
      </c>
      <c r="AA564" s="605" t="n">
        <v>4900000</v>
      </c>
      <c r="AC564" s="605" t="inlineStr">
        <is>
          <t>0172317214001</t>
        </is>
      </c>
      <c r="AD564" s="605" t="inlineStr">
        <is>
          <t>2018000077482</t>
        </is>
      </c>
      <c r="AE564" s="605" t="inlineStr">
        <is>
          <t>NORTH RANGE TC LLC</t>
        </is>
      </c>
      <c r="AF564" s="605" t="inlineStr">
        <is>
          <t>NORTH RANGE HOLDINGS LLC</t>
        </is>
      </c>
      <c r="AI564" s="605">
        <f>IF(AND($E564=Subj_OccCode,Subj_BldgSF&gt;0,ABS($L564-Subj_BldgSF)&lt;=Subj_BldgSF*Subj_SizeTol),ABS($L564-Subj_BldgSF),NA())</f>
        <v/>
      </c>
      <c r="AJ564">
        <f>IF(ISNA(AI564),NA(),AI564+ROW()/10000000)</f>
        <v/>
      </c>
      <c r="AK564" s="605">
        <f>IF(AND(ISNUMBER($N564),$N564&gt;0,ISNUMBER($Y564)),$Y564/$N564,"")</f>
        <v/>
      </c>
    </row>
    <row r="565" ht="15" customHeight="1" s="545">
      <c r="A565" s="385" t="n">
        <v>8</v>
      </c>
      <c r="B565" s="605" t="n">
        <v>560</v>
      </c>
      <c r="C565" s="605" t="inlineStr">
        <is>
          <t>R0178833</t>
        </is>
      </c>
      <c r="D565" s="605" t="inlineStr">
        <is>
          <t>5190  VIOLET HILL ST #F</t>
        </is>
      </c>
      <c r="E565" s="605" t="n">
        <v>328</v>
      </c>
      <c r="F565" s="605" t="inlineStr">
        <is>
          <t>BENNETT</t>
        </is>
      </c>
      <c r="G565" s="605" t="inlineStr">
        <is>
          <t>1</t>
        </is>
      </c>
      <c r="H565" s="59">
        <f>Y565/J565</f>
        <v/>
      </c>
      <c r="I565" s="386" t="n">
        <v>44544</v>
      </c>
      <c r="J565" s="605" t="n">
        <v>4500</v>
      </c>
      <c r="L565" s="605" t="n">
        <v>4500</v>
      </c>
      <c r="M565" s="605" t="n">
        <v>2006</v>
      </c>
      <c r="R565" s="152" t="inlineStr">
        <is>
          <t>Average</t>
        </is>
      </c>
      <c r="T565" s="387">
        <f>S565/J565</f>
        <v/>
      </c>
      <c r="U565" s="605" t="inlineStr">
        <is>
          <t>Average</t>
        </is>
      </c>
      <c r="Y565" s="605" t="n">
        <v>490000</v>
      </c>
      <c r="AA565" s="605" t="n">
        <v>490000</v>
      </c>
      <c r="AC565" s="605" t="inlineStr">
        <is>
          <t>0181716411004</t>
        </is>
      </c>
      <c r="AD565" s="605" t="inlineStr">
        <is>
          <t>2021000145381</t>
        </is>
      </c>
      <c r="AE565" s="605" t="inlineStr">
        <is>
          <t>KLV INVESTMENTS LLC</t>
        </is>
      </c>
      <c r="AF565" s="605" t="inlineStr">
        <is>
          <t>CONSALVI JAMES V</t>
        </is>
      </c>
      <c r="AI565" s="605">
        <f>IF(AND($E565=Subj_OccCode,Subj_BldgSF&gt;0,ABS($L565-Subj_BldgSF)&lt;=Subj_BldgSF*Subj_SizeTol),ABS($L565-Subj_BldgSF),NA())</f>
        <v/>
      </c>
      <c r="AJ565">
        <f>IF(ISNA(AI565),NA(),AI565+ROW()/10000000)</f>
        <v/>
      </c>
      <c r="AK565" s="605">
        <f>IF(AND(ISNUMBER($N565),$N565&gt;0,ISNUMBER($Y565)),$Y565/$N565,"")</f>
        <v/>
      </c>
    </row>
    <row r="566" ht="15" customHeight="1" s="545">
      <c r="A566" s="385" t="n">
        <v>8</v>
      </c>
      <c r="B566" s="605" t="n">
        <v>561</v>
      </c>
      <c r="C566" s="605" t="inlineStr">
        <is>
          <t>R0178835</t>
        </is>
      </c>
      <c r="D566" s="605" t="inlineStr">
        <is>
          <t>5190  VIOLET HILL ST #B</t>
        </is>
      </c>
      <c r="E566" s="605" t="n">
        <v>328</v>
      </c>
      <c r="G566" s="605" t="inlineStr">
        <is>
          <t>1</t>
        </is>
      </c>
      <c r="H566" s="59">
        <f>Y566/J566</f>
        <v/>
      </c>
      <c r="I566" s="386" t="n">
        <v>44105</v>
      </c>
      <c r="J566" s="605" t="n">
        <v>4500</v>
      </c>
      <c r="L566" s="605" t="n">
        <v>4500</v>
      </c>
      <c r="M566" s="605" t="n">
        <v>2006</v>
      </c>
      <c r="R566" s="152" t="inlineStr">
        <is>
          <t>Average</t>
        </is>
      </c>
      <c r="T566" s="387">
        <f>S566/J566</f>
        <v/>
      </c>
      <c r="U566" s="605" t="inlineStr">
        <is>
          <t>Average</t>
        </is>
      </c>
      <c r="Y566" s="605" t="n">
        <v>350000</v>
      </c>
      <c r="AA566" s="605" t="n">
        <v>350000</v>
      </c>
      <c r="AC566" s="605" t="inlineStr">
        <is>
          <t>0181716411006</t>
        </is>
      </c>
      <c r="AD566" s="605" t="inlineStr">
        <is>
          <t>2020000101848</t>
        </is>
      </c>
      <c r="AE566" s="605" t="inlineStr">
        <is>
          <t>NORLOFF RICHARD W</t>
        </is>
      </c>
      <c r="AF566" s="605" t="inlineStr">
        <is>
          <t>RANDEL VERNON E AND, RANDEL CHERYL V</t>
        </is>
      </c>
      <c r="AI566" s="605">
        <f>IF(AND($E566=Subj_OccCode,Subj_BldgSF&gt;0,ABS($L566-Subj_BldgSF)&lt;=Subj_BldgSF*Subj_SizeTol),ABS($L566-Subj_BldgSF),NA())</f>
        <v/>
      </c>
      <c r="AJ566">
        <f>IF(ISNA(AI566),NA(),AI566+ROW()/10000000)</f>
        <v/>
      </c>
      <c r="AK566" s="605">
        <f>IF(AND(ISNUMBER($N566),$N566&gt;0,ISNUMBER($Y566)),$Y566/$N566,"")</f>
        <v/>
      </c>
    </row>
    <row r="567" ht="15" customHeight="1" s="545">
      <c r="A567" s="385" t="n">
        <v>8</v>
      </c>
      <c r="B567" s="605" t="n">
        <v>562</v>
      </c>
      <c r="C567" s="605" t="inlineStr">
        <is>
          <t>R0178830</t>
        </is>
      </c>
      <c r="D567" s="605" t="inlineStr">
        <is>
          <t>5190  VIOLET HILL ST #A</t>
        </is>
      </c>
      <c r="E567" s="605" t="n">
        <v>328</v>
      </c>
      <c r="G567" s="605" t="inlineStr">
        <is>
          <t>1</t>
        </is>
      </c>
      <c r="H567" s="59">
        <f>Y567/J567</f>
        <v/>
      </c>
      <c r="I567" s="386" t="n">
        <v>44287</v>
      </c>
      <c r="J567" s="605" t="n">
        <v>4500</v>
      </c>
      <c r="L567" s="605" t="n">
        <v>4500</v>
      </c>
      <c r="M567" s="605" t="n">
        <v>2006</v>
      </c>
      <c r="R567" s="152" t="inlineStr">
        <is>
          <t>Average</t>
        </is>
      </c>
      <c r="T567" s="387">
        <f>S567/J567</f>
        <v/>
      </c>
      <c r="U567" s="605" t="inlineStr">
        <is>
          <t>Average</t>
        </is>
      </c>
      <c r="Y567" s="605" t="n">
        <v>350000</v>
      </c>
      <c r="AA567" s="605" t="n">
        <v>350000</v>
      </c>
      <c r="AC567" s="605" t="inlineStr">
        <is>
          <t>0181716411001</t>
        </is>
      </c>
      <c r="AD567" s="605" t="inlineStr">
        <is>
          <t>2021000042447</t>
        </is>
      </c>
      <c r="AE567" s="605" t="inlineStr">
        <is>
          <t>NORLOFF RICHARD W</t>
        </is>
      </c>
      <c r="AF567" s="605" t="inlineStr">
        <is>
          <t>AEROJET SERVICES INC</t>
        </is>
      </c>
      <c r="AI567" s="605">
        <f>IF(AND($E567=Subj_OccCode,Subj_BldgSF&gt;0,ABS($L567-Subj_BldgSF)&lt;=Subj_BldgSF*Subj_SizeTol),ABS($L567-Subj_BldgSF),NA())</f>
        <v/>
      </c>
      <c r="AJ567">
        <f>IF(ISNA(AI567),NA(),AI567+ROW()/10000000)</f>
        <v/>
      </c>
      <c r="AK567" s="605">
        <f>IF(AND(ISNUMBER($N567),$N567&gt;0,ISNUMBER($Y567)),$Y567/$N567,"")</f>
        <v/>
      </c>
    </row>
    <row r="568" ht="15" customHeight="1" s="545">
      <c r="A568" s="385" t="n">
        <v>8</v>
      </c>
      <c r="B568" s="605" t="n">
        <v>563</v>
      </c>
      <c r="C568" s="605" t="inlineStr">
        <is>
          <t>R0130283</t>
        </is>
      </c>
      <c r="D568" s="605" t="inlineStr">
        <is>
          <t>5635  FRANKLIN ST</t>
        </is>
      </c>
      <c r="E568" s="605" t="n">
        <v>407</v>
      </c>
      <c r="G568" s="605" t="inlineStr">
        <is>
          <t>5</t>
        </is>
      </c>
      <c r="H568" s="59">
        <f>Y568/J568</f>
        <v/>
      </c>
      <c r="I568" s="386" t="n">
        <v>44666</v>
      </c>
      <c r="J568" s="605" t="n">
        <v>30000</v>
      </c>
      <c r="L568" s="605" t="n">
        <v>30000</v>
      </c>
      <c r="M568" s="605" t="n">
        <v>2001</v>
      </c>
      <c r="P568" s="605" t="inlineStr">
        <is>
          <t>Industrial</t>
        </is>
      </c>
      <c r="R568" s="152" t="inlineStr">
        <is>
          <t>Average</t>
        </is>
      </c>
      <c r="S568" s="605" t="n">
        <v>96703.2</v>
      </c>
      <c r="T568" s="387">
        <f>S568/J568</f>
        <v/>
      </c>
      <c r="U568" s="605" t="inlineStr">
        <is>
          <t>Average</t>
        </is>
      </c>
      <c r="Y568" s="605" t="n">
        <v>5325000</v>
      </c>
      <c r="AA568" s="605" t="n">
        <v>5325000</v>
      </c>
      <c r="AC568" s="605" t="inlineStr">
        <is>
          <t>0182511314008</t>
        </is>
      </c>
      <c r="AD568" s="605" t="inlineStr">
        <is>
          <t>2022000034170</t>
        </is>
      </c>
      <c r="AE568" s="605" t="inlineStr">
        <is>
          <t>HARBERT ENTERPRISES LLC</t>
        </is>
      </c>
      <c r="AF568" s="605" t="inlineStr">
        <is>
          <t>P STREET II LLC</t>
        </is>
      </c>
      <c r="AI568" s="605">
        <f>IF(AND($E568=Subj_OccCode,Subj_BldgSF&gt;0,ABS($L568-Subj_BldgSF)&lt;=Subj_BldgSF*Subj_SizeTol),ABS($L568-Subj_BldgSF),NA())</f>
        <v/>
      </c>
      <c r="AJ568">
        <f>IF(ISNA(AI568),NA(),AI568+ROW()/10000000)</f>
        <v/>
      </c>
      <c r="AK568" s="605">
        <f>IF(AND(ISNUMBER($N568),$N568&gt;0,ISNUMBER($Y568)),$Y568/$N568,"")</f>
        <v/>
      </c>
    </row>
    <row r="569" ht="15" customHeight="1" s="545">
      <c r="A569" s="385" t="n">
        <v>8</v>
      </c>
      <c r="B569" s="605" t="n">
        <v>564</v>
      </c>
      <c r="C569" s="605" t="inlineStr">
        <is>
          <t>R0178847</t>
        </is>
      </c>
      <c r="D569" s="605" t="inlineStr">
        <is>
          <t>2091  CORONADO PKYN</t>
        </is>
      </c>
      <c r="E569" s="605" t="n">
        <v>442</v>
      </c>
      <c r="G569" s="605" t="inlineStr">
        <is>
          <t>4</t>
        </is>
      </c>
      <c r="H569" s="59">
        <f>Y569/J569</f>
        <v/>
      </c>
      <c r="I569" s="386" t="n">
        <v>44501</v>
      </c>
      <c r="J569" s="605" t="n">
        <v>2000</v>
      </c>
      <c r="L569" s="605" t="n">
        <v>2000</v>
      </c>
      <c r="M569" s="605" t="n">
        <v>1974</v>
      </c>
      <c r="P569" s="605" t="inlineStr">
        <is>
          <t>Commercial</t>
        </is>
      </c>
      <c r="R569" s="152" t="inlineStr">
        <is>
          <t>Average</t>
        </is>
      </c>
      <c r="S569" s="605" t="n">
        <v>27934</v>
      </c>
      <c r="T569" s="387">
        <f>S569/J569</f>
        <v/>
      </c>
      <c r="U569" s="605" t="inlineStr">
        <is>
          <t>Average</t>
        </is>
      </c>
      <c r="Y569" s="605" t="n">
        <v>425000</v>
      </c>
      <c r="AA569" s="605" t="n">
        <v>425000</v>
      </c>
      <c r="AC569" s="605" t="inlineStr">
        <is>
          <t>0171926416150</t>
        </is>
      </c>
      <c r="AD569" s="605" t="inlineStr">
        <is>
          <t>2021000129215</t>
        </is>
      </c>
      <c r="AE569" s="605" t="inlineStr">
        <is>
          <t>CORONADO PROPERTIES LLC</t>
        </is>
      </c>
      <c r="AF569" s="605" t="inlineStr">
        <is>
          <t>GG PROPERTY LLC</t>
        </is>
      </c>
      <c r="AI569" s="605">
        <f>IF(AND($E569=Subj_OccCode,Subj_BldgSF&gt;0,ABS($L569-Subj_BldgSF)&lt;=Subj_BldgSF*Subj_SizeTol),ABS($L569-Subj_BldgSF),NA())</f>
        <v/>
      </c>
      <c r="AJ569">
        <f>IF(ISNA(AI569),NA(),AI569+ROW()/10000000)</f>
        <v/>
      </c>
      <c r="AK569" s="605">
        <f>IF(AND(ISNUMBER($N569),$N569&gt;0,ISNUMBER($Y569)),$Y569/$N569,"")</f>
        <v/>
      </c>
    </row>
    <row r="570" ht="15" customHeight="1" s="545">
      <c r="A570" s="385" t="n">
        <v>8</v>
      </c>
      <c r="B570" s="605" t="n">
        <v>565</v>
      </c>
      <c r="C570" s="605" t="inlineStr">
        <is>
          <t>R0164255</t>
        </is>
      </c>
      <c r="D570" s="605" t="inlineStr">
        <is>
          <t>19401 E 23RD AVE</t>
        </is>
      </c>
      <c r="E570" s="605" t="n">
        <v>407</v>
      </c>
      <c r="F570" s="605" t="inlineStr">
        <is>
          <t>AURORA</t>
        </is>
      </c>
      <c r="G570" s="605" t="inlineStr">
        <is>
          <t>6</t>
        </is>
      </c>
      <c r="H570" s="59">
        <f>Y570/J570</f>
        <v/>
      </c>
      <c r="I570" s="386" t="n">
        <v>43966</v>
      </c>
      <c r="J570" s="605" t="n">
        <v>14120</v>
      </c>
      <c r="L570" s="605" t="n">
        <v>14120</v>
      </c>
      <c r="M570" s="605" t="n">
        <v>2005</v>
      </c>
      <c r="P570" s="605" t="inlineStr">
        <is>
          <t>M-1-Aur</t>
        </is>
      </c>
      <c r="R570" s="152" t="inlineStr">
        <is>
          <t>Average</t>
        </is>
      </c>
      <c r="S570" s="605" t="n">
        <v>56361</v>
      </c>
      <c r="T570" s="387">
        <f>S570/J570</f>
        <v/>
      </c>
      <c r="U570" s="605" t="inlineStr">
        <is>
          <t>Average</t>
        </is>
      </c>
      <c r="Y570" s="605" t="n">
        <v>2335000</v>
      </c>
      <c r="AA570" s="605" t="n">
        <v>2335000</v>
      </c>
      <c r="AC570" s="605" t="inlineStr">
        <is>
          <t>0182134101008</t>
        </is>
      </c>
      <c r="AD570" s="605" t="inlineStr">
        <is>
          <t>2020000045310</t>
        </is>
      </c>
      <c r="AE570" s="605" t="inlineStr">
        <is>
          <t>GUTH HOLDINGS LLC</t>
        </is>
      </c>
      <c r="AF570" s="605" t="inlineStr">
        <is>
          <t>BUEHLER GROUP LLC</t>
        </is>
      </c>
      <c r="AI570" s="605">
        <f>IF(AND($E570=Subj_OccCode,Subj_BldgSF&gt;0,ABS($L570-Subj_BldgSF)&lt;=Subj_BldgSF*Subj_SizeTol),ABS($L570-Subj_BldgSF),NA())</f>
        <v/>
      </c>
      <c r="AJ570">
        <f>IF(ISNA(AI570),NA(),AI570+ROW()/10000000)</f>
        <v/>
      </c>
      <c r="AK570" s="605">
        <f>IF(AND(ISNUMBER($N570),$N570&gt;0,ISNUMBER($Y570)),$Y570/$N570,"")</f>
        <v/>
      </c>
    </row>
    <row r="571" ht="15" customHeight="1" s="545">
      <c r="A571" s="385" t="n">
        <v>8</v>
      </c>
      <c r="B571" s="605" t="n">
        <v>566</v>
      </c>
      <c r="C571" s="605" t="inlineStr">
        <is>
          <t>R0165727</t>
        </is>
      </c>
      <c r="D571" s="605" t="inlineStr">
        <is>
          <t>997  PLATTE RIVER BLVD</t>
        </is>
      </c>
      <c r="E571" s="605" t="n">
        <v>344</v>
      </c>
      <c r="F571" s="605" t="inlineStr">
        <is>
          <t>BRIGHTON</t>
        </is>
      </c>
      <c r="G571" s="605" t="inlineStr">
        <is>
          <t>2</t>
        </is>
      </c>
      <c r="H571" s="59">
        <f>Y571/J571</f>
        <v/>
      </c>
      <c r="I571" s="386" t="n">
        <v>43213</v>
      </c>
      <c r="J571" s="605" t="n">
        <v>7500</v>
      </c>
      <c r="L571" s="605" t="n">
        <v>7500</v>
      </c>
      <c r="M571" s="605" t="n">
        <v>2005</v>
      </c>
      <c r="R571" s="152" t="inlineStr">
        <is>
          <t>Average</t>
        </is>
      </c>
      <c r="S571" s="605" t="n">
        <v>50033</v>
      </c>
      <c r="T571" s="387">
        <f>S571/J571</f>
        <v/>
      </c>
      <c r="U571" s="605" t="inlineStr">
        <is>
          <t>Average</t>
        </is>
      </c>
      <c r="Y571" s="605" t="n">
        <v>750000</v>
      </c>
      <c r="AA571" s="605" t="n">
        <v>750000</v>
      </c>
      <c r="AC571" s="605" t="inlineStr">
        <is>
          <t>0157113101029</t>
        </is>
      </c>
      <c r="AD571" s="605" t="inlineStr">
        <is>
          <t>2018000032847</t>
        </is>
      </c>
      <c r="AE571" s="605" t="inlineStr">
        <is>
          <t>SWEDE HOLDINGS LLC</t>
        </is>
      </c>
      <c r="AF571" s="605" t="inlineStr">
        <is>
          <t>NORAA INVESTMENTS LLC</t>
        </is>
      </c>
      <c r="AI571" s="605">
        <f>IF(AND($E571=Subj_OccCode,Subj_BldgSF&gt;0,ABS($L571-Subj_BldgSF)&lt;=Subj_BldgSF*Subj_SizeTol),ABS($L571-Subj_BldgSF),NA())</f>
        <v/>
      </c>
      <c r="AJ571">
        <f>IF(ISNA(AI571),NA(),AI571+ROW()/10000000)</f>
        <v/>
      </c>
      <c r="AK571" s="605">
        <f>IF(AND(ISNUMBER($N571),$N571&gt;0,ISNUMBER($Y571)),$Y571/$N571,"")</f>
        <v/>
      </c>
    </row>
    <row r="572" ht="15" customHeight="1" s="545">
      <c r="A572" s="385" t="n">
        <v>8</v>
      </c>
      <c r="B572" s="605" t="n">
        <v>567</v>
      </c>
      <c r="C572" s="605" t="inlineStr">
        <is>
          <t>R0082795</t>
        </is>
      </c>
      <c r="D572" s="605" t="inlineStr">
        <is>
          <t>475  PALMER AVE</t>
        </is>
      </c>
      <c r="E572" s="605" t="n">
        <v>3441</v>
      </c>
      <c r="F572" s="605" t="inlineStr">
        <is>
          <t>BENNETT</t>
        </is>
      </c>
      <c r="G572" s="605" t="inlineStr">
        <is>
          <t>1</t>
        </is>
      </c>
      <c r="H572" s="59">
        <f>Y572/J572</f>
        <v/>
      </c>
      <c r="I572" s="386" t="n">
        <v>43329</v>
      </c>
      <c r="J572" s="605" t="n">
        <v>2990</v>
      </c>
      <c r="L572" s="605" t="n">
        <v>2990</v>
      </c>
      <c r="M572" s="605" t="n">
        <v>1901</v>
      </c>
      <c r="P572" s="605" t="inlineStr">
        <is>
          <t>Bennett</t>
        </is>
      </c>
      <c r="R572" s="152" t="inlineStr">
        <is>
          <t>Average</t>
        </is>
      </c>
      <c r="S572" s="605" t="n">
        <v>17750</v>
      </c>
      <c r="T572" s="387">
        <f>S572/J572</f>
        <v/>
      </c>
      <c r="U572" s="605" t="inlineStr">
        <is>
          <t>Good</t>
        </is>
      </c>
      <c r="Y572" s="605" t="n">
        <v>300000</v>
      </c>
      <c r="AA572" s="605" t="n">
        <v>300000</v>
      </c>
      <c r="AC572" s="605" t="inlineStr">
        <is>
          <t>0181527318005</t>
        </is>
      </c>
      <c r="AD572" s="605" t="inlineStr">
        <is>
          <t>2018000067420</t>
        </is>
      </c>
      <c r="AE572" s="605" t="inlineStr">
        <is>
          <t>PALMER HOUSE OF BENNETT INC THE</t>
        </is>
      </c>
      <c r="AF572" s="605" t="inlineStr">
        <is>
          <t>BENNETT PROPERTIES UNLIMITED LLC</t>
        </is>
      </c>
      <c r="AI572" s="605">
        <f>IF(AND($E572=Subj_OccCode,Subj_BldgSF&gt;0,ABS($L572-Subj_BldgSF)&lt;=Subj_BldgSF*Subj_SizeTol),ABS($L572-Subj_BldgSF),NA())</f>
        <v/>
      </c>
      <c r="AJ572">
        <f>IF(ISNA(AI572),NA(),AI572+ROW()/10000000)</f>
        <v/>
      </c>
      <c r="AK572" s="605">
        <f>IF(AND(ISNUMBER($N572),$N572&gt;0,ISNUMBER($Y572)),$Y572/$N572,"")</f>
        <v/>
      </c>
    </row>
    <row r="573" ht="15" customHeight="1" s="545">
      <c r="A573" s="385" t="n">
        <v>8</v>
      </c>
      <c r="B573" s="605" t="n">
        <v>568</v>
      </c>
      <c r="C573" s="605" t="inlineStr">
        <is>
          <t>R0003845</t>
        </is>
      </c>
      <c r="D573" s="605" t="inlineStr">
        <is>
          <t>55 S 4TH AVE</t>
        </is>
      </c>
      <c r="E573" s="605" t="n">
        <v>353</v>
      </c>
      <c r="F573" s="605" t="inlineStr">
        <is>
          <t>BRIGHTON</t>
        </is>
      </c>
      <c r="G573" s="605" t="inlineStr">
        <is>
          <t>2</t>
        </is>
      </c>
      <c r="H573" s="59">
        <f>Y573/J573</f>
        <v/>
      </c>
      <c r="I573" s="386" t="n">
        <v>43616</v>
      </c>
      <c r="J573" s="605" t="n">
        <v>1810</v>
      </c>
      <c r="L573" s="605" t="n">
        <v>1810</v>
      </c>
      <c r="M573" s="605" t="n">
        <v>1910</v>
      </c>
      <c r="P573" s="605" t="inlineStr">
        <is>
          <t>Brighton</t>
        </is>
      </c>
      <c r="R573" s="152" t="inlineStr">
        <is>
          <t>Average</t>
        </is>
      </c>
      <c r="S573" s="605" t="n">
        <v>9000</v>
      </c>
      <c r="T573" s="387">
        <f>S573/J573</f>
        <v/>
      </c>
      <c r="U573" s="605" t="inlineStr">
        <is>
          <t>Average</t>
        </is>
      </c>
      <c r="Y573" s="605" t="n">
        <v>375000</v>
      </c>
      <c r="AA573" s="605" t="n">
        <v>375000</v>
      </c>
      <c r="AC573" s="605" t="inlineStr">
        <is>
          <t>0156907201015</t>
        </is>
      </c>
      <c r="AD573" s="605" t="inlineStr">
        <is>
          <t>2019000044695</t>
        </is>
      </c>
      <c r="AE573" s="605" t="inlineStr">
        <is>
          <t>NELSON GEOFFREY A</t>
        </is>
      </c>
      <c r="AF573" s="605" t="inlineStr">
        <is>
          <t>COLORADO PRESTIGE INSURANCE INC</t>
        </is>
      </c>
      <c r="AI573" s="605">
        <f>IF(AND($E573=Subj_OccCode,Subj_BldgSF&gt;0,ABS($L573-Subj_BldgSF)&lt;=Subj_BldgSF*Subj_SizeTol),ABS($L573-Subj_BldgSF),NA())</f>
        <v/>
      </c>
      <c r="AJ573">
        <f>IF(ISNA(AI573),NA(),AI573+ROW()/10000000)</f>
        <v/>
      </c>
      <c r="AK573" s="605">
        <f>IF(AND(ISNUMBER($N573),$N573&gt;0,ISNUMBER($Y573)),$Y573/$N573,"")</f>
        <v/>
      </c>
    </row>
    <row r="574" ht="15" customHeight="1" s="545">
      <c r="A574" s="385" t="n">
        <v>8</v>
      </c>
      <c r="B574" s="605" t="n">
        <v>569</v>
      </c>
      <c r="C574" s="605" t="inlineStr">
        <is>
          <t>R0024059</t>
        </is>
      </c>
      <c r="D574" s="605" t="inlineStr">
        <is>
          <t>12095 MARIPOSA ST</t>
        </is>
      </c>
      <c r="E574" s="605" t="n">
        <v>1332</v>
      </c>
      <c r="F574" s="605" t="inlineStr">
        <is>
          <t>WESTMINSTER</t>
        </is>
      </c>
      <c r="G574" s="605" t="inlineStr">
        <is>
          <t>3</t>
        </is>
      </c>
      <c r="H574" s="59">
        <f>Y574/J574</f>
        <v/>
      </c>
      <c r="I574" s="386" t="n">
        <v>44691</v>
      </c>
      <c r="J574" s="605" t="n">
        <v>56376</v>
      </c>
      <c r="L574" s="605" t="n">
        <v>56376</v>
      </c>
      <c r="M574" s="605" t="n">
        <v>2008</v>
      </c>
      <c r="P574" s="605" t="inlineStr">
        <is>
          <t>PUD-Wes</t>
        </is>
      </c>
      <c r="R574" s="152" t="inlineStr">
        <is>
          <t>Average</t>
        </is>
      </c>
      <c r="S574" s="605" t="n">
        <v>128502</v>
      </c>
      <c r="T574" s="387">
        <f>S574/J574</f>
        <v/>
      </c>
      <c r="U574" s="605" t="inlineStr">
        <is>
          <t>Average</t>
        </is>
      </c>
      <c r="Y574" s="605" t="n">
        <v>7038765</v>
      </c>
      <c r="AA574" s="605" t="n">
        <v>7038765</v>
      </c>
      <c r="AC574" s="605" t="inlineStr">
        <is>
          <t>0157333004005</t>
        </is>
      </c>
      <c r="AD574" s="605" t="inlineStr">
        <is>
          <t>2022000042686</t>
        </is>
      </c>
      <c r="AE574" s="605" t="inlineStr">
        <is>
          <t>PURE STRIKE WESTMINSTER LLC, C/O PETER KRAMER</t>
        </is>
      </c>
      <c r="AF574" s="605" t="inlineStr">
        <is>
          <t>CWP WESTMINSTER I LLC</t>
        </is>
      </c>
      <c r="AI574" s="605">
        <f>IF(AND($E574=Subj_OccCode,Subj_BldgSF&gt;0,ABS($L574-Subj_BldgSF)&lt;=Subj_BldgSF*Subj_SizeTol),ABS($L574-Subj_BldgSF),NA())</f>
        <v/>
      </c>
      <c r="AJ574">
        <f>IF(ISNA(AI574),NA(),AI574+ROW()/10000000)</f>
        <v/>
      </c>
      <c r="AK574" s="605">
        <f>IF(AND(ISNUMBER($N574),$N574&gt;0,ISNUMBER($Y574)),$Y574/$N574,"")</f>
        <v/>
      </c>
    </row>
    <row r="575" ht="15" customHeight="1" s="545">
      <c r="A575" s="385" t="n">
        <v>8</v>
      </c>
      <c r="B575" s="605" t="n">
        <v>570</v>
      </c>
      <c r="C575" s="605" t="inlineStr">
        <is>
          <t>R0125142</t>
        </is>
      </c>
      <c r="D575" s="605" t="inlineStr">
        <is>
          <t>9670  DALLAS ST UNIT 11</t>
        </is>
      </c>
      <c r="E575" s="605" t="n">
        <v>425</v>
      </c>
      <c r="G575" s="605" t="inlineStr">
        <is>
          <t>5</t>
        </is>
      </c>
      <c r="H575" s="59">
        <f>Y575/J575</f>
        <v/>
      </c>
      <c r="I575" s="386" t="n">
        <v>44336</v>
      </c>
      <c r="J575" s="605" t="n">
        <v>2500</v>
      </c>
      <c r="L575" s="605" t="n">
        <v>2500</v>
      </c>
      <c r="M575" s="605" t="n">
        <v>2000</v>
      </c>
      <c r="P575" s="605" t="inlineStr">
        <is>
          <t>I-3-Com</t>
        </is>
      </c>
      <c r="R575" s="152" t="inlineStr">
        <is>
          <t>Average</t>
        </is>
      </c>
      <c r="S575" s="605" t="n">
        <v>7949</v>
      </c>
      <c r="T575" s="387">
        <f>S575/J575</f>
        <v/>
      </c>
      <c r="U575" s="605" t="inlineStr">
        <is>
          <t>Average</t>
        </is>
      </c>
      <c r="Y575" s="605" t="n">
        <v>425000</v>
      </c>
      <c r="AA575" s="605" t="n">
        <v>425000</v>
      </c>
      <c r="AC575" s="605" t="inlineStr">
        <is>
          <t>0172115303011</t>
        </is>
      </c>
      <c r="AD575" s="605" t="inlineStr">
        <is>
          <t>2021000061946</t>
        </is>
      </c>
      <c r="AE575" s="605" t="inlineStr">
        <is>
          <t>THOMAS RUBY A TRUST</t>
        </is>
      </c>
      <c r="AF575" s="605" t="inlineStr">
        <is>
          <t>SCOTT EZRA THOMAS</t>
        </is>
      </c>
      <c r="AI575" s="605">
        <f>IF(AND($E575=Subj_OccCode,Subj_BldgSF&gt;0,ABS($L575-Subj_BldgSF)&lt;=Subj_BldgSF*Subj_SizeTol),ABS($L575-Subj_BldgSF),NA())</f>
        <v/>
      </c>
      <c r="AJ575">
        <f>IF(ISNA(AI575),NA(),AI575+ROW()/10000000)</f>
        <v/>
      </c>
      <c r="AK575" s="605">
        <f>IF(AND(ISNUMBER($N575),$N575&gt;0,ISNUMBER($Y575)),$Y575/$N575,"")</f>
        <v/>
      </c>
    </row>
    <row r="576" ht="15" customHeight="1" s="545">
      <c r="A576" s="385" t="n">
        <v>8</v>
      </c>
      <c r="B576" s="605" t="n">
        <v>571</v>
      </c>
      <c r="C576" s="605" t="inlineStr">
        <is>
          <t>R0125131</t>
        </is>
      </c>
      <c r="D576" s="605" t="inlineStr">
        <is>
          <t>9670  DALLAS ST UNIT 1</t>
        </is>
      </c>
      <c r="E576" s="605" t="n">
        <v>425</v>
      </c>
      <c r="G576" s="605" t="inlineStr">
        <is>
          <t>5</t>
        </is>
      </c>
      <c r="H576" s="59">
        <f>Y576/J576</f>
        <v/>
      </c>
      <c r="I576" s="386" t="n">
        <v>44742</v>
      </c>
      <c r="J576" s="605" t="n">
        <v>2500</v>
      </c>
      <c r="L576" s="605" t="n">
        <v>2500</v>
      </c>
      <c r="M576" s="605" t="n">
        <v>2000</v>
      </c>
      <c r="P576" s="605" t="inlineStr">
        <is>
          <t>I-3-Com</t>
        </is>
      </c>
      <c r="R576" s="152" t="inlineStr">
        <is>
          <t>Average</t>
        </is>
      </c>
      <c r="S576" s="605" t="n">
        <v>7949</v>
      </c>
      <c r="T576" s="387">
        <f>S576/J576</f>
        <v/>
      </c>
      <c r="U576" s="605" t="inlineStr">
        <is>
          <t>Average</t>
        </is>
      </c>
      <c r="Y576" s="605" t="n">
        <v>630000</v>
      </c>
      <c r="AA576" s="605" t="n">
        <v>630000</v>
      </c>
      <c r="AC576" s="605" t="inlineStr">
        <is>
          <t>0172115303001</t>
        </is>
      </c>
      <c r="AD576" s="605" t="inlineStr">
        <is>
          <t>2022000057529</t>
        </is>
      </c>
      <c r="AE576" s="605" t="inlineStr">
        <is>
          <t>EHW LLC</t>
        </is>
      </c>
      <c r="AF576" s="605" t="inlineStr">
        <is>
          <t>9670 COMMERCE LLC</t>
        </is>
      </c>
      <c r="AI576" s="605">
        <f>IF(AND($E576=Subj_OccCode,Subj_BldgSF&gt;0,ABS($L576-Subj_BldgSF)&lt;=Subj_BldgSF*Subj_SizeTol),ABS($L576-Subj_BldgSF),NA())</f>
        <v/>
      </c>
      <c r="AJ576">
        <f>IF(ISNA(AI576),NA(),AI576+ROW()/10000000)</f>
        <v/>
      </c>
      <c r="AK576" s="605">
        <f>IF(AND(ISNUMBER($N576),$N576&gt;0,ISNUMBER($Y576)),$Y576/$N576,"")</f>
        <v/>
      </c>
    </row>
    <row r="577" ht="15" customHeight="1" s="545">
      <c r="A577" s="385" t="n">
        <v>8</v>
      </c>
      <c r="B577" s="605" t="n">
        <v>572</v>
      </c>
      <c r="C577" s="605" t="inlineStr">
        <is>
          <t>R0075193</t>
        </is>
      </c>
      <c r="D577" s="605" t="inlineStr">
        <is>
          <t>10301 E 107TH PL</t>
        </is>
      </c>
      <c r="E577" s="605" t="n">
        <v>406</v>
      </c>
      <c r="G577" s="605" t="inlineStr">
        <is>
          <t>2</t>
        </is>
      </c>
      <c r="H577" s="59">
        <f>Y577/J577</f>
        <v/>
      </c>
      <c r="I577" s="386" t="n">
        <v>43727</v>
      </c>
      <c r="J577" s="605" t="n">
        <v>10000</v>
      </c>
      <c r="L577" s="605" t="n">
        <v>10000</v>
      </c>
      <c r="M577" s="605" t="n">
        <v>1983</v>
      </c>
      <c r="P577" s="605" t="inlineStr">
        <is>
          <t>I-3-Com</t>
        </is>
      </c>
      <c r="R577" s="152" t="inlineStr">
        <is>
          <t>Average</t>
        </is>
      </c>
      <c r="S577" s="605" t="n">
        <v>87120</v>
      </c>
      <c r="T577" s="387">
        <f>S577/J577</f>
        <v/>
      </c>
      <c r="U577" s="605" t="inlineStr">
        <is>
          <t>Average</t>
        </is>
      </c>
      <c r="Y577" s="605" t="n">
        <v>2200000</v>
      </c>
      <c r="AA577" s="605" t="n">
        <v>2200000</v>
      </c>
      <c r="AC577" s="605" t="inlineStr">
        <is>
          <t>0172110004006</t>
        </is>
      </c>
      <c r="AD577" s="605" t="inlineStr">
        <is>
          <t>2019000078801</t>
        </is>
      </c>
      <c r="AE577" s="605" t="inlineStr">
        <is>
          <t>RAM LEASING LLC</t>
        </is>
      </c>
      <c r="AF577" s="605" t="inlineStr">
        <is>
          <t xml:space="preserve">L AND A HOLDINGS LLC, C/O ORION </t>
        </is>
      </c>
      <c r="AI577" s="605">
        <f>IF(AND($E577=Subj_OccCode,Subj_BldgSF&gt;0,ABS($L577-Subj_BldgSF)&lt;=Subj_BldgSF*Subj_SizeTol),ABS($L577-Subj_BldgSF),NA())</f>
        <v/>
      </c>
      <c r="AJ577">
        <f>IF(ISNA(AI577),NA(),AI577+ROW()/10000000)</f>
        <v/>
      </c>
      <c r="AK577" s="605">
        <f>IF(AND(ISNUMBER($N577),$N577&gt;0,ISNUMBER($Y577)),$Y577/$N577,"")</f>
        <v/>
      </c>
    </row>
    <row r="578" ht="15" customHeight="1" s="545">
      <c r="A578" s="385" t="n">
        <v>8</v>
      </c>
      <c r="B578" s="605" t="n">
        <v>573</v>
      </c>
      <c r="C578" s="605" t="inlineStr">
        <is>
          <t>R0003510</t>
        </is>
      </c>
      <c r="D578" s="605" t="inlineStr">
        <is>
          <t>420  COURT PL</t>
        </is>
      </c>
      <c r="E578" s="605" t="n">
        <v>3441</v>
      </c>
      <c r="F578" s="605" t="inlineStr">
        <is>
          <t>BRIGHTON</t>
        </is>
      </c>
      <c r="G578" s="605" t="inlineStr">
        <is>
          <t>2</t>
        </is>
      </c>
      <c r="H578" s="59">
        <f>Y578/J578</f>
        <v/>
      </c>
      <c r="I578" s="386" t="n">
        <v>44063</v>
      </c>
      <c r="J578" s="605" t="n">
        <v>1195</v>
      </c>
      <c r="L578" s="605" t="n">
        <v>1195</v>
      </c>
      <c r="M578" s="605" t="n">
        <v>1919</v>
      </c>
      <c r="P578" s="605" t="inlineStr">
        <is>
          <t>C-O</t>
        </is>
      </c>
      <c r="R578" s="152" t="inlineStr">
        <is>
          <t>Average</t>
        </is>
      </c>
      <c r="S578" s="605" t="n">
        <v>7500</v>
      </c>
      <c r="T578" s="387">
        <f>S578/J578</f>
        <v/>
      </c>
      <c r="U578" s="605" t="inlineStr">
        <is>
          <t>Average</t>
        </is>
      </c>
      <c r="Y578" s="605" t="n">
        <v>450000</v>
      </c>
      <c r="AA578" s="605" t="n">
        <v>450000</v>
      </c>
      <c r="AC578" s="605" t="inlineStr">
        <is>
          <t>0156907107001</t>
        </is>
      </c>
      <c r="AD578" s="605" t="inlineStr">
        <is>
          <t>2020000084242</t>
        </is>
      </c>
      <c r="AE578" s="605" t="inlineStr">
        <is>
          <t>DAVIDS COURT LL</t>
        </is>
      </c>
      <c r="AF578" s="605" t="inlineStr">
        <is>
          <t>G&amp;T GROUP 120 LLC</t>
        </is>
      </c>
      <c r="AI578" s="605">
        <f>IF(AND($E578=Subj_OccCode,Subj_BldgSF&gt;0,ABS($L578-Subj_BldgSF)&lt;=Subj_BldgSF*Subj_SizeTol),ABS($L578-Subj_BldgSF),NA())</f>
        <v/>
      </c>
      <c r="AJ578">
        <f>IF(ISNA(AI578),NA(),AI578+ROW()/10000000)</f>
        <v/>
      </c>
      <c r="AK578" s="605">
        <f>IF(AND(ISNUMBER($N578),$N578&gt;0,ISNUMBER($Y578)),$Y578/$N578,"")</f>
        <v/>
      </c>
    </row>
    <row r="579" ht="15" customHeight="1" s="545">
      <c r="A579" s="385" t="n">
        <v>8</v>
      </c>
      <c r="B579" s="605" t="n">
        <v>574</v>
      </c>
      <c r="C579" s="605" t="inlineStr">
        <is>
          <t>R0031065</t>
        </is>
      </c>
      <c r="D579" s="605" t="inlineStr">
        <is>
          <t>11411  PEARL ST</t>
        </is>
      </c>
      <c r="E579" s="605" t="n">
        <v>341</v>
      </c>
      <c r="F579" s="605" t="inlineStr">
        <is>
          <t>NORTHGLENN</t>
        </is>
      </c>
      <c r="G579" s="605" t="inlineStr">
        <is>
          <t>4</t>
        </is>
      </c>
      <c r="H579" s="59">
        <f>Y579/J579</f>
        <v/>
      </c>
      <c r="I579" s="386" t="n">
        <v>44739</v>
      </c>
      <c r="J579" s="605" t="n">
        <v>5750</v>
      </c>
      <c r="L579" s="605" t="n">
        <v>5750</v>
      </c>
      <c r="M579" s="605" t="n">
        <v>1972</v>
      </c>
      <c r="P579" s="605" t="inlineStr">
        <is>
          <t>C-0-Nor</t>
        </is>
      </c>
      <c r="R579" s="152" t="inlineStr">
        <is>
          <t>Average</t>
        </is>
      </c>
      <c r="S579" s="605" t="n">
        <v>38180</v>
      </c>
      <c r="T579" s="387">
        <f>S579/J579</f>
        <v/>
      </c>
      <c r="U579" s="605" t="inlineStr">
        <is>
          <t>Average</t>
        </is>
      </c>
      <c r="Y579" s="605" t="n">
        <v>1400000</v>
      </c>
      <c r="AA579" s="605" t="n">
        <v>1400000</v>
      </c>
      <c r="AC579" s="605" t="inlineStr">
        <is>
          <t>0171903410015</t>
        </is>
      </c>
      <c r="AD579" s="605" t="inlineStr">
        <is>
          <t>2022000056456</t>
        </is>
      </c>
      <c r="AE579" s="605" t="inlineStr">
        <is>
          <t>ARMS LLC</t>
        </is>
      </c>
      <c r="AF579" s="605" t="inlineStr">
        <is>
          <t>CHUONG KELLY</t>
        </is>
      </c>
      <c r="AI579" s="605">
        <f>IF(AND($E579=Subj_OccCode,Subj_BldgSF&gt;0,ABS($L579-Subj_BldgSF)&lt;=Subj_BldgSF*Subj_SizeTol),ABS($L579-Subj_BldgSF),NA())</f>
        <v/>
      </c>
      <c r="AJ579">
        <f>IF(ISNA(AI579),NA(),AI579+ROW()/10000000)</f>
        <v/>
      </c>
      <c r="AK579" s="605">
        <f>IF(AND(ISNUMBER($N579),$N579&gt;0,ISNUMBER($Y579)),$Y579/$N579,"")</f>
        <v/>
      </c>
    </row>
    <row r="580" ht="15" customHeight="1" s="545">
      <c r="A580" s="385" t="n">
        <v>8</v>
      </c>
      <c r="B580" s="605" t="n">
        <v>575</v>
      </c>
      <c r="C580" s="605" t="inlineStr">
        <is>
          <t>R0152700</t>
        </is>
      </c>
      <c r="D580" s="605" t="inlineStr">
        <is>
          <t>2600 W 62ND AVE</t>
        </is>
      </c>
      <c r="E580" s="605" t="n">
        <v>406</v>
      </c>
      <c r="G580" s="605" t="inlineStr">
        <is>
          <t>5</t>
        </is>
      </c>
      <c r="H580" s="59">
        <f>Y580/J580</f>
        <v/>
      </c>
      <c r="I580" s="386" t="n">
        <v>43791</v>
      </c>
      <c r="J580" s="605" t="n">
        <v>11250</v>
      </c>
      <c r="L580" s="605" t="n">
        <v>11250</v>
      </c>
      <c r="M580" s="605" t="n">
        <v>2003</v>
      </c>
      <c r="P580" s="605" t="inlineStr">
        <is>
          <t>Planned Unit Development</t>
        </is>
      </c>
      <c r="R580" s="152" t="inlineStr">
        <is>
          <t>Average</t>
        </is>
      </c>
      <c r="S580" s="605" t="n">
        <v>80716.67999999999</v>
      </c>
      <c r="T580" s="387">
        <f>S580/J580</f>
        <v/>
      </c>
      <c r="U580" s="605" t="inlineStr">
        <is>
          <t>Average</t>
        </is>
      </c>
      <c r="Y580" s="605" t="n">
        <v>2450000</v>
      </c>
      <c r="AA580" s="605" t="n">
        <v>2450000</v>
      </c>
      <c r="AC580" s="605" t="inlineStr">
        <is>
          <t>0182508103047</t>
        </is>
      </c>
      <c r="AD580" s="605" t="inlineStr">
        <is>
          <t>2019000102164</t>
        </is>
      </c>
      <c r="AE580" s="605" t="inlineStr">
        <is>
          <t>STEP 13 INC</t>
        </is>
      </c>
      <c r="AF580" s="605" t="inlineStr">
        <is>
          <t>ATR HOLDINGS LLC</t>
        </is>
      </c>
      <c r="AI580" s="605">
        <f>IF(AND($E580=Subj_OccCode,Subj_BldgSF&gt;0,ABS($L580-Subj_BldgSF)&lt;=Subj_BldgSF*Subj_SizeTol),ABS($L580-Subj_BldgSF),NA())</f>
        <v/>
      </c>
      <c r="AJ580">
        <f>IF(ISNA(AI580),NA(),AI580+ROW()/10000000)</f>
        <v/>
      </c>
      <c r="AK580" s="605">
        <f>IF(AND(ISNUMBER($N580),$N580&gt;0,ISNUMBER($Y580)),$Y580/$N580,"")</f>
        <v/>
      </c>
    </row>
    <row r="581" ht="15" customHeight="1" s="545">
      <c r="A581" s="385" t="n">
        <v>8</v>
      </c>
      <c r="B581" s="605" t="n">
        <v>576</v>
      </c>
      <c r="C581" s="605" t="inlineStr">
        <is>
          <t>R0085791</t>
        </is>
      </c>
      <c r="D581" s="605" t="inlineStr">
        <is>
          <t>2200  CHAMBERS RD #F</t>
        </is>
      </c>
      <c r="E581" s="605" t="n">
        <v>425</v>
      </c>
      <c r="F581" s="605" t="inlineStr">
        <is>
          <t>AURORA</t>
        </is>
      </c>
      <c r="G581" s="605" t="inlineStr">
        <is>
          <t>6</t>
        </is>
      </c>
      <c r="H581" s="59">
        <f>Y581/J581</f>
        <v/>
      </c>
      <c r="I581" s="386" t="n">
        <v>44134</v>
      </c>
      <c r="J581" s="605" t="n">
        <v>1500</v>
      </c>
      <c r="L581" s="605" t="n">
        <v>1500</v>
      </c>
      <c r="M581" s="605" t="n">
        <v>1984</v>
      </c>
      <c r="P581" s="605" t="inlineStr">
        <is>
          <t>M-1-Aur</t>
        </is>
      </c>
      <c r="R581" s="152" t="inlineStr">
        <is>
          <t>Good</t>
        </is>
      </c>
      <c r="S581" s="605" t="n">
        <v>5227</v>
      </c>
      <c r="T581" s="387">
        <f>S581/J581</f>
        <v/>
      </c>
      <c r="U581" s="605" t="inlineStr">
        <is>
          <t>Average</t>
        </is>
      </c>
      <c r="Y581" s="605" t="n">
        <v>216000</v>
      </c>
      <c r="AA581" s="605" t="n">
        <v>216000</v>
      </c>
      <c r="AC581" s="605" t="inlineStr">
        <is>
          <t>0182132008007</t>
        </is>
      </c>
      <c r="AD581" s="605" t="inlineStr">
        <is>
          <t>2020000114296</t>
        </is>
      </c>
      <c r="AE581" s="605" t="inlineStr">
        <is>
          <t>MYERS CHARLES R</t>
        </is>
      </c>
      <c r="AF581" s="605" t="inlineStr">
        <is>
          <t>2200 CHAMBERS UNIT F LLC</t>
        </is>
      </c>
      <c r="AI581" s="605">
        <f>IF(AND($E581=Subj_OccCode,Subj_BldgSF&gt;0,ABS($L581-Subj_BldgSF)&lt;=Subj_BldgSF*Subj_SizeTol),ABS($L581-Subj_BldgSF),NA())</f>
        <v/>
      </c>
      <c r="AJ581">
        <f>IF(ISNA(AI581),NA(),AI581+ROW()/10000000)</f>
        <v/>
      </c>
      <c r="AK581" s="605">
        <f>IF(AND(ISNUMBER($N581),$N581&gt;0,ISNUMBER($Y581)),$Y581/$N581,"")</f>
        <v/>
      </c>
    </row>
    <row r="582" ht="15" customHeight="1" s="545">
      <c r="A582" s="385" t="n">
        <v>8</v>
      </c>
      <c r="B582" s="605" t="n">
        <v>577</v>
      </c>
      <c r="C582" s="605" t="inlineStr">
        <is>
          <t>R0129049</t>
        </is>
      </c>
      <c r="D582" s="605" t="inlineStr">
        <is>
          <t>2530 W 63RD CT</t>
        </is>
      </c>
      <c r="E582" s="605" t="n">
        <v>407</v>
      </c>
      <c r="G582" s="605" t="inlineStr">
        <is>
          <t>5</t>
        </is>
      </c>
      <c r="H582" s="59">
        <f>Y582/J582</f>
        <v/>
      </c>
      <c r="I582" s="386" t="n">
        <v>44498</v>
      </c>
      <c r="J582" s="605" t="n">
        <v>6041</v>
      </c>
      <c r="L582" s="605" t="n">
        <v>6041</v>
      </c>
      <c r="M582" s="605" t="n">
        <v>2001</v>
      </c>
      <c r="P582" s="605" t="inlineStr">
        <is>
          <t>Planned Unit Development</t>
        </is>
      </c>
      <c r="R582" s="152" t="inlineStr">
        <is>
          <t>Average</t>
        </is>
      </c>
      <c r="S582" s="605" t="n">
        <v>43560</v>
      </c>
      <c r="T582" s="387">
        <f>S582/J582</f>
        <v/>
      </c>
      <c r="U582" s="605" t="inlineStr">
        <is>
          <t>Good</t>
        </is>
      </c>
      <c r="Y582" s="605" t="n">
        <v>1194111</v>
      </c>
      <c r="AA582" s="605" t="n">
        <v>1194111</v>
      </c>
      <c r="AC582" s="605" t="inlineStr">
        <is>
          <t>0182508103016</t>
        </is>
      </c>
      <c r="AD582" s="605" t="inlineStr">
        <is>
          <t>2021000135624</t>
        </is>
      </c>
      <c r="AE582" s="605" t="inlineStr">
        <is>
          <t>GWE L P</t>
        </is>
      </c>
      <c r="AF582" s="605" t="inlineStr">
        <is>
          <t>ABSOLUTE DIPLOMACY LLC</t>
        </is>
      </c>
      <c r="AI582" s="605">
        <f>IF(AND($E582=Subj_OccCode,Subj_BldgSF&gt;0,ABS($L582-Subj_BldgSF)&lt;=Subj_BldgSF*Subj_SizeTol),ABS($L582-Subj_BldgSF),NA())</f>
        <v/>
      </c>
      <c r="AJ582">
        <f>IF(ISNA(AI582),NA(),AI582+ROW()/10000000)</f>
        <v/>
      </c>
      <c r="AK582" s="605">
        <f>IF(AND(ISNUMBER($N582),$N582&gt;0,ISNUMBER($Y582)),$Y582/$N582,"")</f>
        <v/>
      </c>
    </row>
    <row r="583" ht="15" customHeight="1" s="545">
      <c r="A583" s="385" t="n">
        <v>8</v>
      </c>
      <c r="B583" s="605" t="n">
        <v>578</v>
      </c>
      <c r="C583" s="605" t="inlineStr">
        <is>
          <t>R0084104</t>
        </is>
      </c>
      <c r="D583" s="605" t="inlineStr">
        <is>
          <t>15370  SMITH RD</t>
        </is>
      </c>
      <c r="E583" s="605" t="n">
        <v>407</v>
      </c>
      <c r="F583" s="605" t="inlineStr">
        <is>
          <t>AURORA</t>
        </is>
      </c>
      <c r="G583" s="605" t="inlineStr">
        <is>
          <t>6</t>
        </is>
      </c>
      <c r="H583" s="59">
        <f>Y583/J583</f>
        <v/>
      </c>
      <c r="I583" s="386" t="n">
        <v>44650</v>
      </c>
      <c r="J583" s="605" t="n">
        <v>16200</v>
      </c>
      <c r="L583" s="605" t="n">
        <v>16200</v>
      </c>
      <c r="M583" s="605" t="n">
        <v>1975</v>
      </c>
      <c r="P583" s="605" t="inlineStr">
        <is>
          <t>M-1-Aur</t>
        </is>
      </c>
      <c r="R583" s="152" t="inlineStr">
        <is>
          <t>Average</t>
        </is>
      </c>
      <c r="S583" s="605" t="n">
        <v>57847.68</v>
      </c>
      <c r="T583" s="387">
        <f>S583/J583</f>
        <v/>
      </c>
      <c r="U583" s="605" t="inlineStr">
        <is>
          <t>Average</t>
        </is>
      </c>
      <c r="Y583" s="605" t="n">
        <v>1500000</v>
      </c>
      <c r="AA583" s="605" t="n">
        <v>1500000</v>
      </c>
      <c r="AC583" s="605" t="inlineStr">
        <is>
          <t>0182129003001</t>
        </is>
      </c>
      <c r="AD583" s="605" t="inlineStr">
        <is>
          <t>2022000029850</t>
        </is>
      </c>
      <c r="AE583" s="605" t="inlineStr">
        <is>
          <t>MARQUIS JOHN C</t>
        </is>
      </c>
      <c r="AF583" s="605" t="inlineStr">
        <is>
          <t>SMITH ROAD PARTNERS LLC</t>
        </is>
      </c>
      <c r="AI583" s="605">
        <f>IF(AND($E583=Subj_OccCode,Subj_BldgSF&gt;0,ABS($L583-Subj_BldgSF)&lt;=Subj_BldgSF*Subj_SizeTol),ABS($L583-Subj_BldgSF),NA())</f>
        <v/>
      </c>
      <c r="AJ583">
        <f>IF(ISNA(AI583),NA(),AI583+ROW()/10000000)</f>
        <v/>
      </c>
      <c r="AK583" s="605">
        <f>IF(AND(ISNUMBER($N583),$N583&gt;0,ISNUMBER($Y583)),$Y583/$N583,"")</f>
        <v/>
      </c>
    </row>
    <row r="584" ht="15" customHeight="1" s="545">
      <c r="A584" s="385" t="n">
        <v>8</v>
      </c>
      <c r="B584" s="605" t="n">
        <v>579</v>
      </c>
      <c r="C584" s="605" t="inlineStr">
        <is>
          <t>R0117232</t>
        </is>
      </c>
      <c r="D584" s="605" t="inlineStr">
        <is>
          <t>1801 W 64TH LN</t>
        </is>
      </c>
      <c r="E584" s="605" t="n">
        <v>334</v>
      </c>
      <c r="G584" s="605" t="inlineStr">
        <is>
          <t>5</t>
        </is>
      </c>
      <c r="H584" s="59">
        <f>Y584/J584</f>
        <v/>
      </c>
      <c r="I584" s="386" t="n">
        <v>44538</v>
      </c>
      <c r="J584" s="605" t="n">
        <v>11375</v>
      </c>
      <c r="L584" s="605" t="n">
        <v>11375</v>
      </c>
      <c r="M584" s="605" t="n">
        <v>2000</v>
      </c>
      <c r="P584" s="605" t="inlineStr">
        <is>
          <t>Planned Unit Development</t>
        </is>
      </c>
      <c r="R584" s="152" t="inlineStr">
        <is>
          <t>Average</t>
        </is>
      </c>
      <c r="S584" s="605" t="n">
        <v>43995.6</v>
      </c>
      <c r="T584" s="387">
        <f>S584/J584</f>
        <v/>
      </c>
      <c r="U584" s="605" t="inlineStr">
        <is>
          <t>Average</t>
        </is>
      </c>
      <c r="Y584" s="605" t="n">
        <v>2350000</v>
      </c>
      <c r="AA584" s="605" t="n">
        <v>2350000</v>
      </c>
      <c r="AC584" s="605" t="inlineStr">
        <is>
          <t>0182504302005</t>
        </is>
      </c>
      <c r="AD584" s="605" t="inlineStr">
        <is>
          <t>2021000143584</t>
        </is>
      </c>
      <c r="AE584" s="605" t="inlineStr">
        <is>
          <t>SAME PAGE LLC</t>
        </is>
      </c>
      <c r="AF584" s="605" t="inlineStr">
        <is>
          <t>J3 HOLDINGS LLC</t>
        </is>
      </c>
      <c r="AI584" s="605">
        <f>IF(AND($E584=Subj_OccCode,Subj_BldgSF&gt;0,ABS($L584-Subj_BldgSF)&lt;=Subj_BldgSF*Subj_SizeTol),ABS($L584-Subj_BldgSF),NA())</f>
        <v/>
      </c>
      <c r="AJ584">
        <f>IF(ISNA(AI584),NA(),AI584+ROW()/10000000)</f>
        <v/>
      </c>
      <c r="AK584" s="605">
        <f>IF(AND(ISNUMBER($N584),$N584&gt;0,ISNUMBER($Y584)),$Y584/$N584,"")</f>
        <v/>
      </c>
    </row>
    <row r="585" ht="15" customHeight="1" s="545">
      <c r="A585" s="385" t="n">
        <v>8</v>
      </c>
      <c r="B585" s="605" t="n">
        <v>580</v>
      </c>
      <c r="C585" s="605" t="inlineStr">
        <is>
          <t>R0077603</t>
        </is>
      </c>
      <c r="D585" s="605" t="inlineStr">
        <is>
          <t>8021  PONTIAC ST</t>
        </is>
      </c>
      <c r="E585" s="605" t="n">
        <v>336</v>
      </c>
      <c r="G585" s="605" t="inlineStr">
        <is>
          <t>5</t>
        </is>
      </c>
      <c r="H585" s="59">
        <f>Y585/J585</f>
        <v/>
      </c>
      <c r="I585" s="386" t="n">
        <v>43495</v>
      </c>
      <c r="J585" s="605" t="n">
        <v>1500</v>
      </c>
      <c r="L585" s="605" t="n">
        <v>1500</v>
      </c>
      <c r="M585" s="605" t="n">
        <v>1960</v>
      </c>
      <c r="P585" s="605" t="inlineStr">
        <is>
          <t>Commercial</t>
        </is>
      </c>
      <c r="R585" s="152" t="inlineStr">
        <is>
          <t>Average</t>
        </is>
      </c>
      <c r="S585" s="605" t="n">
        <v>6250</v>
      </c>
      <c r="T585" s="387">
        <f>S585/J585</f>
        <v/>
      </c>
      <c r="U585" s="605" t="inlineStr">
        <is>
          <t>Average</t>
        </is>
      </c>
      <c r="Y585" s="605" t="n">
        <v>160000</v>
      </c>
      <c r="AA585" s="605" t="n">
        <v>160000</v>
      </c>
      <c r="AC585" s="605" t="inlineStr">
        <is>
          <t>0172129404005</t>
        </is>
      </c>
      <c r="AD585" s="605" t="inlineStr">
        <is>
          <t>2019000007753</t>
        </is>
      </c>
      <c r="AE585" s="605" t="inlineStr">
        <is>
          <t>NGUYEN THANH AND, NGUYEN NGAT</t>
        </is>
      </c>
      <c r="AF585" s="605" t="inlineStr">
        <is>
          <t>TIU JOSEPH T AND, TIU CHRISTINA G</t>
        </is>
      </c>
      <c r="AI585" s="605">
        <f>IF(AND($E585=Subj_OccCode,Subj_BldgSF&gt;0,ABS($L585-Subj_BldgSF)&lt;=Subj_BldgSF*Subj_SizeTol),ABS($L585-Subj_BldgSF),NA())</f>
        <v/>
      </c>
      <c r="AJ585">
        <f>IF(ISNA(AI585),NA(),AI585+ROW()/10000000)</f>
        <v/>
      </c>
      <c r="AK585" s="605">
        <f>IF(AND(ISNUMBER($N585),$N585&gt;0,ISNUMBER($Y585)),$Y585/$N585,"")</f>
        <v/>
      </c>
    </row>
    <row r="586" ht="15" customHeight="1" s="545">
      <c r="A586" s="385" t="n">
        <v>8</v>
      </c>
      <c r="B586" s="605" t="n">
        <v>581</v>
      </c>
      <c r="C586" s="605" t="inlineStr">
        <is>
          <t>R0173191</t>
        </is>
      </c>
      <c r="D586" s="605" t="inlineStr">
        <is>
          <t>1511 W 70TH AVE</t>
        </is>
      </c>
      <c r="E586" s="605" t="n">
        <v>353</v>
      </c>
      <c r="G586" s="605" t="inlineStr">
        <is>
          <t>4</t>
        </is>
      </c>
      <c r="H586" s="59">
        <f>Y586/J586</f>
        <v/>
      </c>
      <c r="I586" s="386" t="n">
        <v>43759</v>
      </c>
      <c r="J586" s="605" t="n">
        <v>5345</v>
      </c>
      <c r="L586" s="605" t="n">
        <v>5345</v>
      </c>
      <c r="M586" s="605" t="n">
        <v>1971</v>
      </c>
      <c r="P586" s="605" t="inlineStr">
        <is>
          <t>Planned Unit Development</t>
        </is>
      </c>
      <c r="R586" s="152" t="inlineStr">
        <is>
          <t>Average</t>
        </is>
      </c>
      <c r="S586" s="605" t="n">
        <v>5192</v>
      </c>
      <c r="T586" s="387">
        <f>S586/J586</f>
        <v/>
      </c>
      <c r="U586" s="605" t="inlineStr">
        <is>
          <t>Average</t>
        </is>
      </c>
      <c r="Y586" s="605" t="n">
        <v>600000</v>
      </c>
      <c r="AA586" s="605" t="n">
        <v>600000</v>
      </c>
      <c r="AC586" s="605" t="inlineStr">
        <is>
          <t>0182504123002</t>
        </is>
      </c>
      <c r="AD586" s="605" t="inlineStr">
        <is>
          <t>2019000090438</t>
        </is>
      </c>
      <c r="AE586" s="605" t="inlineStr">
        <is>
          <t>BRICKOP COLORADO I LLC</t>
        </is>
      </c>
      <c r="AF586" s="605" t="inlineStr">
        <is>
          <t>NBC COMMERCIAL LLC</t>
        </is>
      </c>
      <c r="AI586" s="605">
        <f>IF(AND($E586=Subj_OccCode,Subj_BldgSF&gt;0,ABS($L586-Subj_BldgSF)&lt;=Subj_BldgSF*Subj_SizeTol),ABS($L586-Subj_BldgSF),NA())</f>
        <v/>
      </c>
      <c r="AJ586">
        <f>IF(ISNA(AI586),NA(),AI586+ROW()/10000000)</f>
        <v/>
      </c>
      <c r="AK586" s="605">
        <f>IF(AND(ISNUMBER($N586),$N586&gt;0,ISNUMBER($Y586)),$Y586/$N586,"")</f>
        <v/>
      </c>
    </row>
    <row r="587" ht="15" customHeight="1" s="545">
      <c r="A587" s="385" t="n">
        <v>8</v>
      </c>
      <c r="B587" s="605" t="n">
        <v>582</v>
      </c>
      <c r="C587" s="605" t="inlineStr">
        <is>
          <t>R0079075</t>
        </is>
      </c>
      <c r="D587" s="605" t="inlineStr">
        <is>
          <t>5640 E 77TH AVE</t>
        </is>
      </c>
      <c r="E587" s="605" t="n">
        <v>325</v>
      </c>
      <c r="G587" s="605" t="inlineStr">
        <is>
          <t>5</t>
        </is>
      </c>
      <c r="H587" s="59">
        <f>Y587/J587</f>
        <v/>
      </c>
      <c r="I587" s="386" t="n">
        <v>43133</v>
      </c>
      <c r="J587" s="605" t="n">
        <v>11350</v>
      </c>
      <c r="L587" s="605" t="n">
        <v>11350</v>
      </c>
      <c r="M587" s="605" t="n">
        <v>1978</v>
      </c>
      <c r="R587" s="152" t="inlineStr">
        <is>
          <t>Average</t>
        </is>
      </c>
      <c r="S587" s="605" t="n">
        <v>47916</v>
      </c>
      <c r="T587" s="387">
        <f>S587/J587</f>
        <v/>
      </c>
      <c r="U587" s="605" t="inlineStr">
        <is>
          <t>Average</t>
        </is>
      </c>
      <c r="Y587" s="605" t="n">
        <v>1410000</v>
      </c>
      <c r="AA587" s="605" t="n">
        <v>1410000</v>
      </c>
      <c r="AC587" s="605" t="inlineStr">
        <is>
          <t>0172132225004</t>
        </is>
      </c>
      <c r="AD587" s="605" t="inlineStr">
        <is>
          <t>2018000010550</t>
        </is>
      </c>
      <c r="AE587" s="605" t="inlineStr">
        <is>
          <t>WALTERS GARY AND CAROL FAMILY TRUST, 2014</t>
        </is>
      </c>
      <c r="AF587" s="605" t="inlineStr">
        <is>
          <t>PENNWAY ASSOCIATES IV LLC</t>
        </is>
      </c>
      <c r="AI587" s="605">
        <f>IF(AND($E587=Subj_OccCode,Subj_BldgSF&gt;0,ABS($L587-Subj_BldgSF)&lt;=Subj_BldgSF*Subj_SizeTol),ABS($L587-Subj_BldgSF),NA())</f>
        <v/>
      </c>
      <c r="AJ587">
        <f>IF(ISNA(AI587),NA(),AI587+ROW()/10000000)</f>
        <v/>
      </c>
      <c r="AK587" s="605">
        <f>IF(AND(ISNUMBER($N587),$N587&gt;0,ISNUMBER($Y587)),$Y587/$N587,"")</f>
        <v/>
      </c>
    </row>
    <row r="588" ht="15" customHeight="1" s="545">
      <c r="A588" s="385" t="n">
        <v>8</v>
      </c>
      <c r="B588" s="605" t="n">
        <v>583</v>
      </c>
      <c r="C588" s="605" t="inlineStr">
        <is>
          <t>R0100916</t>
        </is>
      </c>
      <c r="D588" s="605" t="inlineStr">
        <is>
          <t>3720 W 72ND AVE</t>
        </is>
      </c>
      <c r="E588" s="605" t="n">
        <v>325</v>
      </c>
      <c r="F588" s="605" t="inlineStr">
        <is>
          <t>WESTMINSTER</t>
        </is>
      </c>
      <c r="G588" s="605" t="inlineStr">
        <is>
          <t>4</t>
        </is>
      </c>
      <c r="H588" s="59">
        <f>Y588/J588</f>
        <v/>
      </c>
      <c r="I588" s="386" t="n">
        <v>43922</v>
      </c>
      <c r="J588" s="605" t="n">
        <v>6000</v>
      </c>
      <c r="L588" s="605" t="n">
        <v>6000</v>
      </c>
      <c r="M588" s="605" t="n">
        <v>1990</v>
      </c>
      <c r="P588" s="605" t="inlineStr">
        <is>
          <t>C-1-Wes</t>
        </is>
      </c>
      <c r="R588" s="152" t="inlineStr">
        <is>
          <t>Average</t>
        </is>
      </c>
      <c r="S588" s="605" t="n">
        <v>17564</v>
      </c>
      <c r="T588" s="387">
        <f>S588/J588</f>
        <v/>
      </c>
      <c r="U588" s="605" t="inlineStr">
        <is>
          <t>Average</t>
        </is>
      </c>
      <c r="Y588" s="605" t="n">
        <v>1125000</v>
      </c>
      <c r="AA588" s="605" t="n">
        <v>1125000</v>
      </c>
      <c r="AC588" s="605" t="inlineStr">
        <is>
          <t>0182506114001</t>
        </is>
      </c>
      <c r="AD588" s="605" t="inlineStr">
        <is>
          <t>2020000029593</t>
        </is>
      </c>
      <c r="AE588" s="605" t="inlineStr">
        <is>
          <t>LUKE ERIC T AND, LUKE KATHY H</t>
        </is>
      </c>
      <c r="AF588" s="605" t="inlineStr">
        <is>
          <t>SPH LLC</t>
        </is>
      </c>
      <c r="AI588" s="605">
        <f>IF(AND($E588=Subj_OccCode,Subj_BldgSF&gt;0,ABS($L588-Subj_BldgSF)&lt;=Subj_BldgSF*Subj_SizeTol),ABS($L588-Subj_BldgSF),NA())</f>
        <v/>
      </c>
      <c r="AJ588">
        <f>IF(ISNA(AI588),NA(),AI588+ROW()/10000000)</f>
        <v/>
      </c>
      <c r="AK588" s="605">
        <f>IF(AND(ISNUMBER($N588),$N588&gt;0,ISNUMBER($Y588)),$Y588/$N588,"")</f>
        <v/>
      </c>
    </row>
    <row r="589" ht="15" customHeight="1" s="545">
      <c r="A589" s="385" t="n">
        <v>8</v>
      </c>
      <c r="B589" s="605" t="n">
        <v>584</v>
      </c>
      <c r="C589" s="605" t="inlineStr">
        <is>
          <t>R0187068</t>
        </is>
      </c>
      <c r="D589" s="605" t="inlineStr">
        <is>
          <t>12774 S COLORADO BLVD #B-1</t>
        </is>
      </c>
      <c r="E589" s="605" t="n">
        <v>341</v>
      </c>
      <c r="F589" s="605" t="inlineStr">
        <is>
          <t>THORNTON</t>
        </is>
      </c>
      <c r="G589" s="605" t="inlineStr">
        <is>
          <t>3</t>
        </is>
      </c>
      <c r="H589" s="59">
        <f>Y589/J589</f>
        <v/>
      </c>
      <c r="I589" s="386" t="n">
        <v>43455</v>
      </c>
      <c r="J589" s="605" t="n">
        <v>4933</v>
      </c>
      <c r="L589" s="605" t="n">
        <v>4933</v>
      </c>
      <c r="M589" s="605" t="n">
        <v>2004</v>
      </c>
      <c r="R589" s="152" t="inlineStr">
        <is>
          <t>Average</t>
        </is>
      </c>
      <c r="S589" s="605" t="n">
        <v>22563</v>
      </c>
      <c r="T589" s="387">
        <f>S589/J589</f>
        <v/>
      </c>
      <c r="U589" s="605" t="inlineStr">
        <is>
          <t>Average</t>
        </is>
      </c>
      <c r="Y589" s="605" t="n">
        <v>700700</v>
      </c>
      <c r="AA589" s="605" t="n">
        <v>700700</v>
      </c>
      <c r="AC589" s="605" t="inlineStr">
        <is>
          <t>0157131209026</t>
        </is>
      </c>
      <c r="AD589" s="605" t="inlineStr">
        <is>
          <t>2018000103186</t>
        </is>
      </c>
      <c r="AE589" s="605" t="inlineStr">
        <is>
          <t>JIMMY2 LLC</t>
        </is>
      </c>
      <c r="AF589" s="605" t="inlineStr">
        <is>
          <t>PERFORMANCE RENTALS LLC</t>
        </is>
      </c>
      <c r="AI589" s="605">
        <f>IF(AND($E589=Subj_OccCode,Subj_BldgSF&gt;0,ABS($L589-Subj_BldgSF)&lt;=Subj_BldgSF*Subj_SizeTol),ABS($L589-Subj_BldgSF),NA())</f>
        <v/>
      </c>
      <c r="AJ589">
        <f>IF(ISNA(AI589),NA(),AI589+ROW()/10000000)</f>
        <v/>
      </c>
      <c r="AK589" s="605">
        <f>IF(AND(ISNUMBER($N589),$N589&gt;0,ISNUMBER($Y589)),$Y589/$N589,"")</f>
        <v/>
      </c>
    </row>
    <row r="590" ht="15" customHeight="1" s="545">
      <c r="A590" s="385" t="n">
        <v>8</v>
      </c>
      <c r="B590" s="605" t="n">
        <v>585</v>
      </c>
      <c r="C590" s="605" t="inlineStr">
        <is>
          <t>R0125143</t>
        </is>
      </c>
      <c r="D590" s="605" t="inlineStr">
        <is>
          <t>9670  DALLAS ST #12</t>
        </is>
      </c>
      <c r="E590" s="605" t="n">
        <v>425</v>
      </c>
      <c r="G590" s="605" t="inlineStr">
        <is>
          <t>2</t>
        </is>
      </c>
      <c r="H590" s="59">
        <f>Y590/J590</f>
        <v/>
      </c>
      <c r="I590" s="386" t="n">
        <v>43395</v>
      </c>
      <c r="J590" s="605" t="n">
        <v>2500</v>
      </c>
      <c r="L590" s="605" t="n">
        <v>2500</v>
      </c>
      <c r="M590" s="605" t="n">
        <v>2000</v>
      </c>
      <c r="R590" s="152" t="inlineStr">
        <is>
          <t>Average</t>
        </is>
      </c>
      <c r="S590" s="605" t="n">
        <v>7949</v>
      </c>
      <c r="T590" s="387">
        <f>S590/J590</f>
        <v/>
      </c>
      <c r="U590" s="605" t="inlineStr">
        <is>
          <t>Average</t>
        </is>
      </c>
      <c r="Y590" s="605" t="n">
        <v>425000</v>
      </c>
      <c r="AA590" s="605" t="n">
        <v>425000</v>
      </c>
      <c r="AC590" s="605" t="inlineStr">
        <is>
          <t>0172115303012</t>
        </is>
      </c>
      <c r="AD590" s="605" t="inlineStr">
        <is>
          <t>2018000086276</t>
        </is>
      </c>
      <c r="AE590" s="605" t="inlineStr">
        <is>
          <t>GA RENTAL LLC</t>
        </is>
      </c>
      <c r="AF590" s="605" t="inlineStr">
        <is>
          <t>FROEMKE LINDA AND, DELVALLE JAMES</t>
        </is>
      </c>
      <c r="AI590" s="605">
        <f>IF(AND($E590=Subj_OccCode,Subj_BldgSF&gt;0,ABS($L590-Subj_BldgSF)&lt;=Subj_BldgSF*Subj_SizeTol),ABS($L590-Subj_BldgSF),NA())</f>
        <v/>
      </c>
      <c r="AJ590">
        <f>IF(ISNA(AI590),NA(),AI590+ROW()/10000000)</f>
        <v/>
      </c>
      <c r="AK590" s="605">
        <f>IF(AND(ISNUMBER($N590),$N590&gt;0,ISNUMBER($Y590)),$Y590/$N590,"")</f>
        <v/>
      </c>
    </row>
    <row r="591" ht="15" customHeight="1" s="545">
      <c r="A591" s="385" t="n">
        <v>8</v>
      </c>
      <c r="B591" s="605" t="n">
        <v>586</v>
      </c>
      <c r="C591" s="605" t="inlineStr">
        <is>
          <t>R0125131</t>
        </is>
      </c>
      <c r="D591" s="605" t="inlineStr">
        <is>
          <t>9670  DALLAS ST #1</t>
        </is>
      </c>
      <c r="E591" s="605" t="n">
        <v>425</v>
      </c>
      <c r="G591" s="605" t="inlineStr">
        <is>
          <t>2</t>
        </is>
      </c>
      <c r="H591" s="59">
        <f>Y591/J591</f>
        <v/>
      </c>
      <c r="I591" s="386" t="n">
        <v>43433</v>
      </c>
      <c r="J591" s="605" t="n">
        <v>2500</v>
      </c>
      <c r="L591" s="605" t="n">
        <v>2500</v>
      </c>
      <c r="M591" s="605" t="n">
        <v>2000</v>
      </c>
      <c r="R591" s="152" t="inlineStr">
        <is>
          <t>Average</t>
        </is>
      </c>
      <c r="S591" s="605" t="n">
        <v>7949</v>
      </c>
      <c r="T591" s="387">
        <f>S591/J591</f>
        <v/>
      </c>
      <c r="U591" s="605" t="inlineStr">
        <is>
          <t>Average</t>
        </is>
      </c>
      <c r="Y591" s="605" t="n">
        <v>420000</v>
      </c>
      <c r="AA591" s="605" t="n">
        <v>420000</v>
      </c>
      <c r="AC591" s="605" t="inlineStr">
        <is>
          <t>0172115303001</t>
        </is>
      </c>
      <c r="AD591" s="605" t="inlineStr">
        <is>
          <t>2018000095674</t>
        </is>
      </c>
      <c r="AE591" s="605" t="inlineStr">
        <is>
          <t>PUNJI PROPERTIES LLC</t>
        </is>
      </c>
      <c r="AF591" s="605" t="inlineStr">
        <is>
          <t>9670 DALLAS ST UNIT 1 LLC</t>
        </is>
      </c>
      <c r="AI591" s="605">
        <f>IF(AND($E591=Subj_OccCode,Subj_BldgSF&gt;0,ABS($L591-Subj_BldgSF)&lt;=Subj_BldgSF*Subj_SizeTol),ABS($L591-Subj_BldgSF),NA())</f>
        <v/>
      </c>
      <c r="AJ591">
        <f>IF(ISNA(AI591),NA(),AI591+ROW()/10000000)</f>
        <v/>
      </c>
      <c r="AK591" s="605">
        <f>IF(AND(ISNUMBER($N591),$N591&gt;0,ISNUMBER($Y591)),$Y591/$N591,"")</f>
        <v/>
      </c>
    </row>
    <row r="592" ht="15" customHeight="1" s="545">
      <c r="A592" s="385" t="n">
        <v>8</v>
      </c>
      <c r="B592" s="605" t="n">
        <v>587</v>
      </c>
      <c r="C592" s="605" t="inlineStr">
        <is>
          <t>R0153403</t>
        </is>
      </c>
      <c r="D592" s="605" t="inlineStr">
        <is>
          <t>2150  BRIDGE ST</t>
        </is>
      </c>
      <c r="E592" s="605" t="n">
        <v>419</v>
      </c>
      <c r="F592" s="605" t="inlineStr">
        <is>
          <t>BRIGHTON</t>
        </is>
      </c>
      <c r="G592" s="605" t="inlineStr">
        <is>
          <t>2</t>
        </is>
      </c>
      <c r="H592" s="59">
        <f>Y592/J592</f>
        <v/>
      </c>
      <c r="I592" s="386" t="n">
        <v>44369</v>
      </c>
      <c r="J592" s="605" t="n">
        <v>3456</v>
      </c>
      <c r="L592" s="605" t="n">
        <v>3456</v>
      </c>
      <c r="M592" s="605" t="n">
        <v>2008</v>
      </c>
      <c r="P592" s="605" t="inlineStr">
        <is>
          <t>C-2-Bri</t>
        </is>
      </c>
      <c r="R592" s="152" t="inlineStr">
        <is>
          <t>Average</t>
        </is>
      </c>
      <c r="S592" s="605" t="n">
        <v>76534.92</v>
      </c>
      <c r="T592" s="387">
        <f>S592/J592</f>
        <v/>
      </c>
      <c r="U592" s="605" t="inlineStr">
        <is>
          <t>Average</t>
        </is>
      </c>
      <c r="Y592" s="605" t="n">
        <v>3240000</v>
      </c>
      <c r="AA592" s="605" t="n">
        <v>3240000</v>
      </c>
      <c r="AC592" s="605" t="inlineStr">
        <is>
          <t>0156908101064</t>
        </is>
      </c>
      <c r="AD592" s="605" t="inlineStr">
        <is>
          <t>2021000075481</t>
        </is>
      </c>
      <c r="AE592" s="605" t="inlineStr">
        <is>
          <t>GRD BURLESON LLC</t>
        </is>
      </c>
      <c r="AF592" s="605" t="inlineStr">
        <is>
          <t>HURD WAUKEE LLC, C/O HURD REAL ESTATE</t>
        </is>
      </c>
      <c r="AI592" s="605">
        <f>IF(AND($E592=Subj_OccCode,Subj_BldgSF&gt;0,ABS($L592-Subj_BldgSF)&lt;=Subj_BldgSF*Subj_SizeTol),ABS($L592-Subj_BldgSF),NA())</f>
        <v/>
      </c>
      <c r="AJ592">
        <f>IF(ISNA(AI592),NA(),AI592+ROW()/10000000)</f>
        <v/>
      </c>
      <c r="AK592" s="605">
        <f>IF(AND(ISNUMBER($N592),$N592&gt;0,ISNUMBER($Y592)),$Y592/$N592,"")</f>
        <v/>
      </c>
    </row>
    <row r="593" ht="15" customHeight="1" s="545">
      <c r="A593" s="385" t="n">
        <v>8</v>
      </c>
      <c r="B593" s="605" t="n">
        <v>588</v>
      </c>
      <c r="C593" s="605" t="inlineStr">
        <is>
          <t>R0095069</t>
        </is>
      </c>
      <c r="D593" s="605" t="inlineStr">
        <is>
          <t>1520  CHESTER ST</t>
        </is>
      </c>
      <c r="E593" s="605" t="n">
        <v>325</v>
      </c>
      <c r="F593" s="605" t="inlineStr">
        <is>
          <t>AURORA</t>
        </is>
      </c>
      <c r="G593" s="605" t="inlineStr">
        <is>
          <t>6</t>
        </is>
      </c>
      <c r="H593" s="59">
        <f>Y593/J593</f>
        <v/>
      </c>
      <c r="I593" s="386" t="n">
        <v>43866</v>
      </c>
      <c r="J593" s="605" t="n">
        <v>6455</v>
      </c>
      <c r="L593" s="605" t="n">
        <v>6455</v>
      </c>
      <c r="M593" s="605" t="n">
        <v>1962</v>
      </c>
      <c r="P593" s="605" t="inlineStr">
        <is>
          <t>OA-MS</t>
        </is>
      </c>
      <c r="R593" s="152" t="inlineStr">
        <is>
          <t>Average</t>
        </is>
      </c>
      <c r="S593" s="605" t="n">
        <v>18335</v>
      </c>
      <c r="T593" s="387">
        <f>S593/J593</f>
        <v/>
      </c>
      <c r="U593" s="605" t="inlineStr">
        <is>
          <t>Average</t>
        </is>
      </c>
      <c r="Y593" s="605" t="n">
        <v>1290000</v>
      </c>
      <c r="AA593" s="605" t="n">
        <v>1290000</v>
      </c>
      <c r="AC593" s="605" t="inlineStr">
        <is>
          <t>0182334329010</t>
        </is>
      </c>
      <c r="AD593" s="605" t="inlineStr">
        <is>
          <t>2020000011930</t>
        </is>
      </c>
      <c r="AE593" s="605" t="inlineStr">
        <is>
          <t>GRISWOLD MICHAEL M AND, GRISWOLD ANNETTE M</t>
        </is>
      </c>
      <c r="AF593" s="605" t="inlineStr">
        <is>
          <t>HAT TRICK LLC</t>
        </is>
      </c>
      <c r="AI593" s="605">
        <f>IF(AND($E593=Subj_OccCode,Subj_BldgSF&gt;0,ABS($L593-Subj_BldgSF)&lt;=Subj_BldgSF*Subj_SizeTol),ABS($L593-Subj_BldgSF),NA())</f>
        <v/>
      </c>
      <c r="AJ593">
        <f>IF(ISNA(AI593),NA(),AI593+ROW()/10000000)</f>
        <v/>
      </c>
      <c r="AK593" s="605">
        <f>IF(AND(ISNUMBER($N593),$N593&gt;0,ISNUMBER($Y593)),$Y593/$N593,"")</f>
        <v/>
      </c>
    </row>
    <row r="594" ht="15" customHeight="1" s="545">
      <c r="A594" s="385" t="n">
        <v>8</v>
      </c>
      <c r="B594" s="605" t="n">
        <v>589</v>
      </c>
      <c r="C594" s="605" t="inlineStr">
        <is>
          <t>R0176451</t>
        </is>
      </c>
      <c r="D594" s="605" t="inlineStr">
        <is>
          <t>848 E 78TH AVE  3 UNITS</t>
        </is>
      </c>
      <c r="E594" s="605" t="n">
        <v>425</v>
      </c>
      <c r="G594" s="605" t="inlineStr">
        <is>
          <t>5</t>
        </is>
      </c>
      <c r="H594" s="59">
        <f>Y594/J594</f>
        <v/>
      </c>
      <c r="I594" s="386" t="n">
        <v>44042</v>
      </c>
      <c r="J594" s="605" t="n">
        <v>5625</v>
      </c>
      <c r="L594" s="605" t="n">
        <v>5625</v>
      </c>
      <c r="M594" s="605" t="n">
        <v>2006</v>
      </c>
      <c r="P594" s="605" t="inlineStr">
        <is>
          <t>Industrial</t>
        </is>
      </c>
      <c r="R594" s="152" t="inlineStr">
        <is>
          <t>Average</t>
        </is>
      </c>
      <c r="S594" s="605" t="n">
        <v>21888</v>
      </c>
      <c r="T594" s="387">
        <f>S594/J594</f>
        <v/>
      </c>
      <c r="U594" s="605" t="inlineStr">
        <is>
          <t>Average</t>
        </is>
      </c>
      <c r="Y594" s="605" t="n">
        <v>825000</v>
      </c>
      <c r="AA594" s="605" t="n">
        <v>825000</v>
      </c>
      <c r="AC594" s="605" t="inlineStr">
        <is>
          <t>0171935233010</t>
        </is>
      </c>
      <c r="AD594" s="605" t="inlineStr">
        <is>
          <t>2020000073688</t>
        </is>
      </c>
      <c r="AE594" s="605" t="inlineStr">
        <is>
          <t>K &amp; L LLC</t>
        </is>
      </c>
      <c r="AF594" s="605" t="inlineStr">
        <is>
          <t>RAMES INVESTMENTS LLC</t>
        </is>
      </c>
      <c r="AI594" s="605">
        <f>IF(AND($E594=Subj_OccCode,Subj_BldgSF&gt;0,ABS($L594-Subj_BldgSF)&lt;=Subj_BldgSF*Subj_SizeTol),ABS($L594-Subj_BldgSF),NA())</f>
        <v/>
      </c>
      <c r="AJ594">
        <f>IF(ISNA(AI594),NA(),AI594+ROW()/10000000)</f>
        <v/>
      </c>
      <c r="AK594" s="605">
        <f>IF(AND(ISNUMBER($N594),$N594&gt;0,ISNUMBER($Y594)),$Y594/$N594,"")</f>
        <v/>
      </c>
    </row>
    <row r="595" ht="15" customHeight="1" s="545">
      <c r="A595" s="385" t="n">
        <v>8</v>
      </c>
      <c r="B595" s="605" t="n">
        <v>590</v>
      </c>
      <c r="C595" s="605" t="inlineStr">
        <is>
          <t>R0187234</t>
        </is>
      </c>
      <c r="D595" s="605" t="inlineStr">
        <is>
          <t>70  BRIDGE ST</t>
        </is>
      </c>
      <c r="E595" s="605" t="n">
        <v>419</v>
      </c>
      <c r="F595" s="605" t="inlineStr">
        <is>
          <t>BRIGHTON</t>
        </is>
      </c>
      <c r="G595" s="605" t="inlineStr">
        <is>
          <t>2</t>
        </is>
      </c>
      <c r="H595" s="59">
        <f>Y595/J595</f>
        <v/>
      </c>
      <c r="I595" s="386" t="n">
        <v>44559</v>
      </c>
      <c r="J595" s="605" t="n">
        <v>3401</v>
      </c>
      <c r="L595" s="605" t="n">
        <v>3401</v>
      </c>
      <c r="M595" s="605" t="n">
        <v>2009</v>
      </c>
      <c r="P595" s="605" t="inlineStr">
        <is>
          <t>C-3-Bri</t>
        </is>
      </c>
      <c r="R595" s="152" t="inlineStr">
        <is>
          <t>Average</t>
        </is>
      </c>
      <c r="S595" s="605" t="n">
        <v>59440</v>
      </c>
      <c r="T595" s="387">
        <f>S595/J595</f>
        <v/>
      </c>
      <c r="U595" s="605" t="inlineStr">
        <is>
          <t>Average</t>
        </is>
      </c>
      <c r="Y595" s="605" t="n">
        <v>5085050</v>
      </c>
      <c r="AA595" s="605" t="n">
        <v>5085050</v>
      </c>
      <c r="AC595" s="605" t="inlineStr">
        <is>
          <t>0156907206023</t>
        </is>
      </c>
      <c r="AD595" s="605" t="inlineStr">
        <is>
          <t>2022000000192</t>
        </is>
      </c>
      <c r="AE595" s="605" t="inlineStr">
        <is>
          <t>CAPO HOLDINGS LLC</t>
        </is>
      </c>
      <c r="AF595" s="605" t="inlineStr">
        <is>
          <t>REALTY INCOME PROPERTIES 26 LLC</t>
        </is>
      </c>
      <c r="AI595" s="605">
        <f>IF(AND($E595=Subj_OccCode,Subj_BldgSF&gt;0,ABS($L595-Subj_BldgSF)&lt;=Subj_BldgSF*Subj_SizeTol),ABS($L595-Subj_BldgSF),NA())</f>
        <v/>
      </c>
      <c r="AJ595">
        <f>IF(ISNA(AI595),NA(),AI595+ROW()/10000000)</f>
        <v/>
      </c>
      <c r="AK595" s="605">
        <f>IF(AND(ISNUMBER($N595),$N595&gt;0,ISNUMBER($Y595)),$Y595/$N595,"")</f>
        <v/>
      </c>
    </row>
    <row r="596" ht="15" customHeight="1" s="545">
      <c r="A596" s="385" t="n">
        <v>8</v>
      </c>
      <c r="B596" s="605" t="n">
        <v>591</v>
      </c>
      <c r="C596" s="605" t="inlineStr">
        <is>
          <t>R0091505</t>
        </is>
      </c>
      <c r="D596" s="605" t="inlineStr">
        <is>
          <t>6100 E 64TH AVE</t>
        </is>
      </c>
      <c r="E596" s="605" t="n">
        <v>325</v>
      </c>
      <c r="F596" s="605" t="inlineStr">
        <is>
          <t>COMMERCE CITY</t>
        </is>
      </c>
      <c r="G596" s="605" t="inlineStr">
        <is>
          <t>5</t>
        </is>
      </c>
      <c r="H596" s="59">
        <f>Y596/J596</f>
        <v/>
      </c>
      <c r="I596" s="386" t="n">
        <v>43294</v>
      </c>
      <c r="J596" s="605" t="n">
        <v>2050</v>
      </c>
      <c r="L596" s="605" t="n">
        <v>2050</v>
      </c>
      <c r="M596" s="605" t="n">
        <v>1968</v>
      </c>
      <c r="P596" s="605" t="inlineStr">
        <is>
          <t>Commerce City</t>
        </is>
      </c>
      <c r="R596" s="152" t="inlineStr">
        <is>
          <t>Average</t>
        </is>
      </c>
      <c r="S596" s="605" t="n">
        <v>15540</v>
      </c>
      <c r="T596" s="387">
        <f>S596/J596</f>
        <v/>
      </c>
      <c r="U596" s="605" t="inlineStr">
        <is>
          <t>Average</t>
        </is>
      </c>
      <c r="Y596" s="605" t="n">
        <v>505000</v>
      </c>
      <c r="AA596" s="605" t="n">
        <v>505000</v>
      </c>
      <c r="AC596" s="605" t="inlineStr">
        <is>
          <t>0182308201001</t>
        </is>
      </c>
      <c r="AD596" s="605" t="inlineStr">
        <is>
          <t>2018000057313</t>
        </is>
      </c>
      <c r="AE596" s="605" t="inlineStr">
        <is>
          <t>6100 E 64TH LLC</t>
        </is>
      </c>
      <c r="AF596" s="605" t="inlineStr">
        <is>
          <t>HOTAKI ALI K</t>
        </is>
      </c>
      <c r="AI596" s="605">
        <f>IF(AND($E596=Subj_OccCode,Subj_BldgSF&gt;0,ABS($L596-Subj_BldgSF)&lt;=Subj_BldgSF*Subj_SizeTol),ABS($L596-Subj_BldgSF),NA())</f>
        <v/>
      </c>
      <c r="AJ596">
        <f>IF(ISNA(AI596),NA(),AI596+ROW()/10000000)</f>
        <v/>
      </c>
      <c r="AK596" s="605">
        <f>IF(AND(ISNUMBER($N596),$N596&gt;0,ISNUMBER($Y596)),$Y596/$N596,"")</f>
        <v/>
      </c>
    </row>
    <row r="597" ht="15" customHeight="1" s="545">
      <c r="A597" s="385" t="n">
        <v>8</v>
      </c>
      <c r="B597" s="605" t="n">
        <v>592</v>
      </c>
      <c r="C597" s="605" t="inlineStr">
        <is>
          <t>R0037125</t>
        </is>
      </c>
      <c r="D597" s="605" t="inlineStr">
        <is>
          <t>11172  HURON ST #25</t>
        </is>
      </c>
      <c r="E597" s="605" t="n">
        <v>1344</v>
      </c>
      <c r="F597" s="605" t="inlineStr">
        <is>
          <t>NORTHGLENN</t>
        </is>
      </c>
      <c r="G597" s="605" t="inlineStr">
        <is>
          <t>4</t>
        </is>
      </c>
      <c r="H597" s="59">
        <f>Y597/J597</f>
        <v/>
      </c>
      <c r="I597" s="386" t="n">
        <v>44298</v>
      </c>
      <c r="J597" s="605" t="n">
        <v>1817</v>
      </c>
      <c r="L597" s="605" t="n">
        <v>1817</v>
      </c>
      <c r="M597" s="605" t="n">
        <v>1984</v>
      </c>
      <c r="P597" s="605" t="inlineStr">
        <is>
          <t>C-3-Nor</t>
        </is>
      </c>
      <c r="R597" s="152" t="inlineStr">
        <is>
          <t>Average</t>
        </is>
      </c>
      <c r="S597" s="605" t="n">
        <v>1108</v>
      </c>
      <c r="T597" s="387">
        <f>S597/J597</f>
        <v/>
      </c>
      <c r="U597" s="605" t="inlineStr">
        <is>
          <t>Average</t>
        </is>
      </c>
      <c r="Y597" s="605" t="n">
        <v>275000</v>
      </c>
      <c r="AA597" s="605" t="n">
        <v>275000</v>
      </c>
      <c r="AC597" s="605" t="inlineStr">
        <is>
          <t>0171910217025</t>
        </is>
      </c>
      <c r="AD597" s="605" t="inlineStr">
        <is>
          <t>2021000044765</t>
        </is>
      </c>
      <c r="AE597" s="605" t="inlineStr">
        <is>
          <t>COCCIMIGLIO DAVID CAHOON</t>
        </is>
      </c>
      <c r="AF597" s="605" t="inlineStr">
        <is>
          <t>DALE STACEY</t>
        </is>
      </c>
      <c r="AI597" s="605">
        <f>IF(AND($E597=Subj_OccCode,Subj_BldgSF&gt;0,ABS($L597-Subj_BldgSF)&lt;=Subj_BldgSF*Subj_SizeTol),ABS($L597-Subj_BldgSF),NA())</f>
        <v/>
      </c>
      <c r="AJ597">
        <f>IF(ISNA(AI597),NA(),AI597+ROW()/10000000)</f>
        <v/>
      </c>
      <c r="AK597" s="605">
        <f>IF(AND(ISNUMBER($N597),$N597&gt;0,ISNUMBER($Y597)),$Y597/$N597,"")</f>
        <v/>
      </c>
    </row>
    <row r="598" ht="15" customHeight="1" s="545">
      <c r="A598" s="385" t="n">
        <v>8</v>
      </c>
      <c r="B598" s="605" t="n">
        <v>593</v>
      </c>
      <c r="C598" s="605" t="inlineStr">
        <is>
          <t>R0145696</t>
        </is>
      </c>
      <c r="D598" s="605" t="inlineStr">
        <is>
          <t>5418  FEDERAL BLVD</t>
        </is>
      </c>
      <c r="E598" s="605" t="n">
        <v>353</v>
      </c>
      <c r="G598" s="605" t="inlineStr">
        <is>
          <t>5</t>
        </is>
      </c>
      <c r="H598" s="59">
        <f>Y598/J598</f>
        <v/>
      </c>
      <c r="I598" s="386" t="n">
        <v>43167</v>
      </c>
      <c r="J598" s="605" t="n">
        <v>10220</v>
      </c>
      <c r="L598" s="605" t="n">
        <v>10220</v>
      </c>
      <c r="M598" s="605" t="n">
        <v>1983</v>
      </c>
      <c r="R598" s="152" t="inlineStr">
        <is>
          <t>Average</t>
        </is>
      </c>
      <c r="S598" s="605" t="n">
        <v>44938</v>
      </c>
      <c r="T598" s="387">
        <f>S598/J598</f>
        <v/>
      </c>
      <c r="U598" s="605" t="inlineStr">
        <is>
          <t>Average</t>
        </is>
      </c>
      <c r="Y598" s="605" t="n">
        <v>1390000</v>
      </c>
      <c r="AA598" s="605" t="n">
        <v>1390000</v>
      </c>
      <c r="AC598" s="605" t="inlineStr">
        <is>
          <t>0182517104050</t>
        </is>
      </c>
      <c r="AD598" s="605" t="inlineStr">
        <is>
          <t>2018000019896</t>
        </is>
      </c>
      <c r="AE598" s="605" t="inlineStr">
        <is>
          <t>PASSTIME COLORADO PROPERTIES LLC</t>
        </is>
      </c>
      <c r="AF598" s="605" t="inlineStr">
        <is>
          <t>LEGER PROPERTY GROUP LLC</t>
        </is>
      </c>
      <c r="AI598" s="605">
        <f>IF(AND($E598=Subj_OccCode,Subj_BldgSF&gt;0,ABS($L598-Subj_BldgSF)&lt;=Subj_BldgSF*Subj_SizeTol),ABS($L598-Subj_BldgSF),NA())</f>
        <v/>
      </c>
      <c r="AJ598">
        <f>IF(ISNA(AI598),NA(),AI598+ROW()/10000000)</f>
        <v/>
      </c>
      <c r="AK598" s="605">
        <f>IF(AND(ISNUMBER($N598),$N598&gt;0,ISNUMBER($Y598)),$Y598/$N598,"")</f>
        <v/>
      </c>
    </row>
    <row r="599" ht="15" customHeight="1" s="545">
      <c r="A599" s="385" t="n">
        <v>8</v>
      </c>
      <c r="B599" s="605" t="n">
        <v>594</v>
      </c>
      <c r="C599" s="605" t="inlineStr">
        <is>
          <t>R0037823</t>
        </is>
      </c>
      <c r="D599" s="605" t="inlineStr">
        <is>
          <t>10795  IRMA DR</t>
        </is>
      </c>
      <c r="E599" s="605" t="n">
        <v>406</v>
      </c>
      <c r="F599" s="605" t="inlineStr">
        <is>
          <t>NORTHGLENN</t>
        </is>
      </c>
      <c r="G599" s="605" t="inlineStr">
        <is>
          <t>4</t>
        </is>
      </c>
      <c r="H599" s="59">
        <f>Y599/J599</f>
        <v/>
      </c>
      <c r="I599" s="386" t="n">
        <v>43448</v>
      </c>
      <c r="J599" s="605" t="n">
        <v>4000</v>
      </c>
      <c r="L599" s="605" t="n">
        <v>4000</v>
      </c>
      <c r="M599" s="605" t="n">
        <v>1974</v>
      </c>
      <c r="R599" s="152" t="inlineStr">
        <is>
          <t>Average</t>
        </is>
      </c>
      <c r="S599" s="605" t="n">
        <v>35086</v>
      </c>
      <c r="T599" s="387">
        <f>S599/J599</f>
        <v/>
      </c>
      <c r="U599" s="605" t="inlineStr">
        <is>
          <t>Average</t>
        </is>
      </c>
      <c r="Y599" s="605" t="n">
        <v>860000</v>
      </c>
      <c r="AA599" s="605" t="n">
        <v>860000</v>
      </c>
      <c r="AC599" s="605" t="inlineStr">
        <is>
          <t>0171911110002</t>
        </is>
      </c>
      <c r="AD599" s="605" t="inlineStr">
        <is>
          <t>2018000100590</t>
        </is>
      </c>
      <c r="AE599" s="605" t="inlineStr">
        <is>
          <t>MITCHELL ANTHONY C</t>
        </is>
      </c>
      <c r="AF599" s="605" t="inlineStr">
        <is>
          <t>JAMES RUSSELL PROPERTIES LLC</t>
        </is>
      </c>
      <c r="AI599" s="605">
        <f>IF(AND($E599=Subj_OccCode,Subj_BldgSF&gt;0,ABS($L599-Subj_BldgSF)&lt;=Subj_BldgSF*Subj_SizeTol),ABS($L599-Subj_BldgSF),NA())</f>
        <v/>
      </c>
      <c r="AJ599">
        <f>IF(ISNA(AI599),NA(),AI599+ROW()/10000000)</f>
        <v/>
      </c>
      <c r="AK599" s="605">
        <f>IF(AND(ISNUMBER($N599),$N599&gt;0,ISNUMBER($Y599)),$Y599/$N599,"")</f>
        <v/>
      </c>
    </row>
    <row r="600" ht="15" customHeight="1" s="545">
      <c r="A600" s="385" t="n">
        <v>8</v>
      </c>
      <c r="B600" s="605" t="n">
        <v>595</v>
      </c>
      <c r="C600" s="605" t="inlineStr">
        <is>
          <t>R0118776</t>
        </is>
      </c>
      <c r="D600" s="605" t="inlineStr">
        <is>
          <t>6071 E 72ND AVE</t>
        </is>
      </c>
      <c r="E600" s="605" t="n">
        <v>319</v>
      </c>
      <c r="F600" s="605" t="inlineStr">
        <is>
          <t>COMMERCE CITY</t>
        </is>
      </c>
      <c r="G600" s="605" t="inlineStr">
        <is>
          <t>5</t>
        </is>
      </c>
      <c r="H600" s="59">
        <f>Y600/J600</f>
        <v/>
      </c>
      <c r="I600" s="386" t="n">
        <v>43654</v>
      </c>
      <c r="J600" s="605" t="n">
        <v>7880</v>
      </c>
      <c r="L600" s="605" t="n">
        <v>7880</v>
      </c>
      <c r="M600" s="605" t="n">
        <v>2004</v>
      </c>
      <c r="R600" s="152" t="inlineStr">
        <is>
          <t>Good</t>
        </is>
      </c>
      <c r="S600" s="605" t="n">
        <v>33671.88</v>
      </c>
      <c r="T600" s="387">
        <f>S600/J600</f>
        <v/>
      </c>
      <c r="U600" s="605" t="inlineStr">
        <is>
          <t>Average</t>
        </is>
      </c>
      <c r="Y600" s="605" t="n">
        <v>1335000</v>
      </c>
      <c r="AA600" s="605" t="n">
        <v>1335000</v>
      </c>
      <c r="AC600" s="605" t="inlineStr">
        <is>
          <t>0172132309021</t>
        </is>
      </c>
      <c r="AD600" s="605" t="inlineStr">
        <is>
          <t>2019000054501</t>
        </is>
      </c>
      <c r="AE600" s="605" t="inlineStr">
        <is>
          <t>PETERMAN INVESTMENTS LLC</t>
        </is>
      </c>
      <c r="AF600" s="605" t="inlineStr">
        <is>
          <t>LEGER PROPERTY GROUP LLC</t>
        </is>
      </c>
      <c r="AI600" s="605">
        <f>IF(AND($E600=Subj_OccCode,Subj_BldgSF&gt;0,ABS($L600-Subj_BldgSF)&lt;=Subj_BldgSF*Subj_SizeTol),ABS($L600-Subj_BldgSF),NA())</f>
        <v/>
      </c>
      <c r="AJ600">
        <f>IF(ISNA(AI600),NA(),AI600+ROW()/10000000)</f>
        <v/>
      </c>
      <c r="AK600" s="605">
        <f>IF(AND(ISNUMBER($N600),$N600&gt;0,ISNUMBER($Y600)),$Y600/$N600,"")</f>
        <v/>
      </c>
    </row>
    <row r="601" ht="15" customHeight="1" s="545">
      <c r="A601" s="385" t="n">
        <v>8</v>
      </c>
      <c r="B601" s="605" t="n">
        <v>596</v>
      </c>
      <c r="C601" s="605" t="inlineStr">
        <is>
          <t>R0137582</t>
        </is>
      </c>
      <c r="D601" s="605" t="inlineStr">
        <is>
          <t>5610  PECOS ST</t>
        </is>
      </c>
      <c r="E601" s="605" t="n">
        <v>406</v>
      </c>
      <c r="G601" s="605" t="inlineStr">
        <is>
          <t>5</t>
        </is>
      </c>
      <c r="H601" s="59">
        <f>Y601/J601</f>
        <v/>
      </c>
      <c r="I601" s="386" t="n">
        <v>43250</v>
      </c>
      <c r="J601" s="605" t="n">
        <v>17399</v>
      </c>
      <c r="L601" s="605" t="n">
        <v>17399</v>
      </c>
      <c r="M601" s="605" t="n">
        <v>2004</v>
      </c>
      <c r="R601" s="152" t="inlineStr">
        <is>
          <t>Average</t>
        </is>
      </c>
      <c r="S601" s="605" t="n">
        <v>321860.48</v>
      </c>
      <c r="T601" s="387">
        <f>S601/J601</f>
        <v/>
      </c>
      <c r="U601" s="605" t="inlineStr">
        <is>
          <t>Average</t>
        </is>
      </c>
      <c r="Y601" s="605" t="n">
        <v>4150000</v>
      </c>
      <c r="AA601" s="605" t="n">
        <v>4150000</v>
      </c>
      <c r="AC601" s="605" t="inlineStr">
        <is>
          <t>0182516102004</t>
        </is>
      </c>
      <c r="AD601" s="605" t="inlineStr">
        <is>
          <t>2018000049454</t>
        </is>
      </c>
      <c r="AE601" s="605" t="inlineStr">
        <is>
          <t>MERCHANTS METALS LLC</t>
        </is>
      </c>
      <c r="AF601" s="605" t="inlineStr">
        <is>
          <t>RINGSBY TERMINALS INC</t>
        </is>
      </c>
      <c r="AI601" s="605">
        <f>IF(AND($E601=Subj_OccCode,Subj_BldgSF&gt;0,ABS($L601-Subj_BldgSF)&lt;=Subj_BldgSF*Subj_SizeTol),ABS($L601-Subj_BldgSF),NA())</f>
        <v/>
      </c>
      <c r="AJ601">
        <f>IF(ISNA(AI601),NA(),AI601+ROW()/10000000)</f>
        <v/>
      </c>
      <c r="AK601" s="605">
        <f>IF(AND(ISNUMBER($N601),$N601&gt;0,ISNUMBER($Y601)),$Y601/$N601,"")</f>
        <v/>
      </c>
    </row>
    <row r="602" ht="15" customHeight="1" s="545">
      <c r="A602" s="385" t="n">
        <v>8</v>
      </c>
      <c r="B602" s="605" t="n">
        <v>597</v>
      </c>
      <c r="C602" s="605" t="inlineStr">
        <is>
          <t>R0051858</t>
        </is>
      </c>
      <c r="D602" s="605" t="inlineStr">
        <is>
          <t>1540  EPPINGER BLVD</t>
        </is>
      </c>
      <c r="E602" s="605" t="n">
        <v>426</v>
      </c>
      <c r="F602" s="605" t="inlineStr">
        <is>
          <t>THORNTON</t>
        </is>
      </c>
      <c r="G602" s="605" t="inlineStr">
        <is>
          <t>4</t>
        </is>
      </c>
      <c r="H602" s="59">
        <f>Y602/J602</f>
        <v/>
      </c>
      <c r="I602" s="386" t="n">
        <v>43675</v>
      </c>
      <c r="J602" s="605" t="n">
        <v>2428</v>
      </c>
      <c r="L602" s="605" t="n">
        <v>2428</v>
      </c>
      <c r="M602" s="605" t="n">
        <v>1954</v>
      </c>
      <c r="P602" s="605" t="inlineStr">
        <is>
          <t>Single Family Detached</t>
        </is>
      </c>
      <c r="R602" s="152" t="inlineStr">
        <is>
          <t>Average</t>
        </is>
      </c>
      <c r="S602" s="605" t="n">
        <v>6500</v>
      </c>
      <c r="T602" s="387">
        <f>S602/J602</f>
        <v/>
      </c>
      <c r="U602" s="605" t="inlineStr">
        <is>
          <t>Fair</t>
        </is>
      </c>
      <c r="Y602" s="605" t="n">
        <v>327000</v>
      </c>
      <c r="AA602" s="605" t="n">
        <v>327000</v>
      </c>
      <c r="AC602" s="605" t="inlineStr">
        <is>
          <t>0171923116018</t>
        </is>
      </c>
      <c r="AD602" s="605" t="inlineStr">
        <is>
          <t>2019000072976</t>
        </is>
      </c>
      <c r="AE602" s="605" t="inlineStr">
        <is>
          <t>ACCION NEW MEXICO INC , DBA ACCION NEW MEXICO-ARIZONA-COLORADO</t>
        </is>
      </c>
      <c r="AF602" s="605" t="inlineStr">
        <is>
          <t>1540 EPPINGER BLVD LLC</t>
        </is>
      </c>
      <c r="AI602" s="605">
        <f>IF(AND($E602=Subj_OccCode,Subj_BldgSF&gt;0,ABS($L602-Subj_BldgSF)&lt;=Subj_BldgSF*Subj_SizeTol),ABS($L602-Subj_BldgSF),NA())</f>
        <v/>
      </c>
      <c r="AJ602">
        <f>IF(ISNA(AI602),NA(),AI602+ROW()/10000000)</f>
        <v/>
      </c>
      <c r="AK602" s="605">
        <f>IF(AND(ISNUMBER($N602),$N602&gt;0,ISNUMBER($Y602)),$Y602/$N602,"")</f>
        <v/>
      </c>
    </row>
    <row r="603" ht="15" customHeight="1" s="545">
      <c r="A603" s="385" t="n">
        <v>8</v>
      </c>
      <c r="B603" s="605" t="n">
        <v>598</v>
      </c>
      <c r="C603" s="605" t="inlineStr">
        <is>
          <t>R0141086</t>
        </is>
      </c>
      <c r="D603" s="605" t="inlineStr">
        <is>
          <t>37700  CESSNA WAY #1E</t>
        </is>
      </c>
      <c r="E603" s="605" t="n">
        <v>328</v>
      </c>
      <c r="G603" s="605" t="inlineStr">
        <is>
          <t>1</t>
        </is>
      </c>
      <c r="H603" s="59">
        <f>Y603/J603</f>
        <v/>
      </c>
      <c r="I603" s="386" t="n">
        <v>44715</v>
      </c>
      <c r="J603" s="605" t="n">
        <v>2900</v>
      </c>
      <c r="L603" s="605" t="n">
        <v>2900</v>
      </c>
      <c r="M603" s="605" t="n">
        <v>2001</v>
      </c>
      <c r="R603" s="152" t="inlineStr">
        <is>
          <t>Average</t>
        </is>
      </c>
      <c r="T603" s="387">
        <f>S603/J603</f>
        <v/>
      </c>
      <c r="U603" s="605" t="inlineStr">
        <is>
          <t>Average</t>
        </is>
      </c>
      <c r="Y603" s="605" t="n">
        <v>250000</v>
      </c>
      <c r="AA603" s="605" t="n">
        <v>250000</v>
      </c>
      <c r="AC603" s="605" t="inlineStr">
        <is>
          <t>0181715201002</t>
        </is>
      </c>
      <c r="AD603" s="605" t="inlineStr">
        <is>
          <t>2022000049868</t>
        </is>
      </c>
      <c r="AE603" s="605" t="inlineStr">
        <is>
          <t>KOONTZ DENNIS E AND, KOONTZ CELESTE N</t>
        </is>
      </c>
      <c r="AF603" s="605" t="inlineStr">
        <is>
          <t>CFO HANGAR LLC</t>
        </is>
      </c>
      <c r="AI603" s="605">
        <f>IF(AND($E603=Subj_OccCode,Subj_BldgSF&gt;0,ABS($L603-Subj_BldgSF)&lt;=Subj_BldgSF*Subj_SizeTol),ABS($L603-Subj_BldgSF),NA())</f>
        <v/>
      </c>
      <c r="AJ603">
        <f>IF(ISNA(AI603),NA(),AI603+ROW()/10000000)</f>
        <v/>
      </c>
      <c r="AK603" s="605">
        <f>IF(AND(ISNUMBER($N603),$N603&gt;0,ISNUMBER($Y603)),$Y603/$N603,"")</f>
        <v/>
      </c>
    </row>
    <row r="604" ht="15" customHeight="1" s="545">
      <c r="A604" s="385" t="n">
        <v>8</v>
      </c>
      <c r="B604" s="605" t="n">
        <v>600</v>
      </c>
      <c r="C604" s="605" t="inlineStr">
        <is>
          <t>R0138741</t>
        </is>
      </c>
      <c r="D604" s="605" t="inlineStr">
        <is>
          <t>10410  MELODY DR</t>
        </is>
      </c>
      <c r="E604" s="605" t="n">
        <v>419</v>
      </c>
      <c r="F604" s="605" t="inlineStr">
        <is>
          <t>NORTHGLENN</t>
        </is>
      </c>
      <c r="G604" s="605" t="inlineStr">
        <is>
          <t>4</t>
        </is>
      </c>
      <c r="H604" s="59">
        <f>Y604/J604</f>
        <v/>
      </c>
      <c r="I604" s="386" t="n">
        <v>44182</v>
      </c>
      <c r="J604" s="605" t="n">
        <v>2995</v>
      </c>
      <c r="L604" s="605" t="n">
        <v>2995</v>
      </c>
      <c r="M604" s="605" t="n">
        <v>1989</v>
      </c>
      <c r="P604" s="605" t="inlineStr">
        <is>
          <t>C-5-Nor</t>
        </is>
      </c>
      <c r="R604" s="152" t="inlineStr">
        <is>
          <t>Average</t>
        </is>
      </c>
      <c r="S604" s="605" t="n">
        <v>22500</v>
      </c>
      <c r="T604" s="387">
        <f>S604/J604</f>
        <v/>
      </c>
      <c r="U604" s="605" t="inlineStr">
        <is>
          <t>Average</t>
        </is>
      </c>
      <c r="Y604" s="605" t="n">
        <v>2200000</v>
      </c>
      <c r="AA604" s="605" t="n">
        <v>2200000</v>
      </c>
      <c r="AC604" s="605" t="inlineStr">
        <is>
          <t>0171910302012</t>
        </is>
      </c>
      <c r="AD604" s="605" t="inlineStr">
        <is>
          <t>2020000137537</t>
        </is>
      </c>
      <c r="AE604" s="605" t="inlineStr">
        <is>
          <t>MP NORTHGLENN LLC, C/O THE HUTENSKY GROUP LLC</t>
        </is>
      </c>
      <c r="AF604" s="605" t="inlineStr">
        <is>
          <t>PISCIOTTA LARRY F 28% UND INT AND ET AL, C/O RED ARROW CAPITAL</t>
        </is>
      </c>
      <c r="AI604" s="605">
        <f>IF(AND($E604=Subj_OccCode,Subj_BldgSF&gt;0,ABS($L604-Subj_BldgSF)&lt;=Subj_BldgSF*Subj_SizeTol),ABS($L604-Subj_BldgSF),NA())</f>
        <v/>
      </c>
      <c r="AJ604">
        <f>IF(ISNA(AI604),NA(),AI604+ROW()/10000000)</f>
        <v/>
      </c>
      <c r="AK604" s="605">
        <f>IF(AND(ISNUMBER($N604),$N604&gt;0,ISNUMBER($Y604)),$Y604/$N604,"")</f>
        <v/>
      </c>
    </row>
    <row r="605" ht="15" customHeight="1" s="545">
      <c r="A605" s="385" t="n">
        <v>8</v>
      </c>
      <c r="B605" s="605" t="n">
        <v>601</v>
      </c>
      <c r="C605" s="605" t="inlineStr">
        <is>
          <t>R0178850</t>
        </is>
      </c>
      <c r="D605" s="605" t="inlineStr">
        <is>
          <t>10337  WASHINGTON ST</t>
        </is>
      </c>
      <c r="E605" s="605" t="n">
        <v>353</v>
      </c>
      <c r="F605" s="605" t="inlineStr">
        <is>
          <t>THORNTON</t>
        </is>
      </c>
      <c r="G605" s="605" t="inlineStr">
        <is>
          <t>4</t>
        </is>
      </c>
      <c r="H605" s="59">
        <f>Y605/J605</f>
        <v/>
      </c>
      <c r="I605" s="386" t="n">
        <v>44595</v>
      </c>
      <c r="J605" s="605" t="n">
        <v>14980</v>
      </c>
      <c r="L605" s="605" t="n">
        <v>14980</v>
      </c>
      <c r="M605" s="605" t="n">
        <v>2009</v>
      </c>
      <c r="P605" s="605" t="inlineStr">
        <is>
          <t>Community Retail</t>
        </is>
      </c>
      <c r="R605" s="152" t="inlineStr">
        <is>
          <t>Low</t>
        </is>
      </c>
      <c r="S605" s="605" t="n">
        <v>90147</v>
      </c>
      <c r="T605" s="387">
        <f>S605/J605</f>
        <v/>
      </c>
      <c r="U605" s="605" t="inlineStr">
        <is>
          <t>Average</t>
        </is>
      </c>
      <c r="Y605" s="605" t="n">
        <v>7783050</v>
      </c>
      <c r="AA605" s="605" t="n">
        <v>7783050</v>
      </c>
      <c r="AC605" s="605" t="inlineStr">
        <is>
          <t>0171915109002</t>
        </is>
      </c>
      <c r="AD605" s="605" t="inlineStr">
        <is>
          <t>2022000012148</t>
        </is>
      </c>
      <c r="AE605" s="605" t="inlineStr">
        <is>
          <t>US-STABLE-P1 10337 WASHINGTON STREET THORNTON LLC</t>
        </is>
      </c>
      <c r="AF605" s="605" t="inlineStr">
        <is>
          <t>KEYSTONE 1031 NET LEASED PORTFOLIO II DST</t>
        </is>
      </c>
      <c r="AI605" s="605">
        <f>IF(AND($E605=Subj_OccCode,Subj_BldgSF&gt;0,ABS($L605-Subj_BldgSF)&lt;=Subj_BldgSF*Subj_SizeTol),ABS($L605-Subj_BldgSF),NA())</f>
        <v/>
      </c>
      <c r="AJ605">
        <f>IF(ISNA(AI605),NA(),AI605+ROW()/10000000)</f>
        <v/>
      </c>
      <c r="AK605" s="605">
        <f>IF(AND(ISNUMBER($N605),$N605&gt;0,ISNUMBER($Y605)),$Y605/$N605,"")</f>
        <v/>
      </c>
    </row>
    <row r="606" ht="15" customHeight="1" s="545">
      <c r="A606" s="385" t="n">
        <v>8</v>
      </c>
      <c r="B606" s="605" t="n">
        <v>602</v>
      </c>
      <c r="C606" s="605" t="inlineStr">
        <is>
          <t>R0173800</t>
        </is>
      </c>
      <c r="D606" s="605" t="inlineStr">
        <is>
          <t>12302 E 104TH PL</t>
        </is>
      </c>
      <c r="E606" s="605" t="n">
        <v>353</v>
      </c>
      <c r="F606" s="605" t="inlineStr">
        <is>
          <t>COMMERCE CITY</t>
        </is>
      </c>
      <c r="G606" s="605" t="inlineStr">
        <is>
          <t>2</t>
        </is>
      </c>
      <c r="H606" s="59">
        <f>Y606/J606</f>
        <v/>
      </c>
      <c r="I606" s="386" t="n">
        <v>44225</v>
      </c>
      <c r="J606" s="605" t="n">
        <v>4720</v>
      </c>
      <c r="L606" s="605" t="n">
        <v>4720</v>
      </c>
      <c r="M606" s="605" t="n">
        <v>2007</v>
      </c>
      <c r="P606" s="605" t="inlineStr">
        <is>
          <t>PUD-Com</t>
        </is>
      </c>
      <c r="R606" s="152" t="inlineStr">
        <is>
          <t>Average</t>
        </is>
      </c>
      <c r="S606" s="605" t="n">
        <v>53215</v>
      </c>
      <c r="T606" s="387">
        <f>S606/J606</f>
        <v/>
      </c>
      <c r="U606" s="605" t="inlineStr">
        <is>
          <t>Average</t>
        </is>
      </c>
      <c r="Y606" s="605" t="n">
        <v>2600000</v>
      </c>
      <c r="AA606" s="605" t="n">
        <v>2600000</v>
      </c>
      <c r="AC606" s="605" t="inlineStr">
        <is>
          <t>0172112303067</t>
        </is>
      </c>
      <c r="AD606" s="605" t="inlineStr">
        <is>
          <t>2021000011477</t>
        </is>
      </c>
      <c r="AE606" s="605" t="inlineStr">
        <is>
          <t>PIERCE STREET PROPERTIES LLC</t>
        </is>
      </c>
      <c r="AF606" s="605" t="inlineStr">
        <is>
          <t>2401 RR LLC</t>
        </is>
      </c>
      <c r="AI606" s="605">
        <f>IF(AND($E606=Subj_OccCode,Subj_BldgSF&gt;0,ABS($L606-Subj_BldgSF)&lt;=Subj_BldgSF*Subj_SizeTol),ABS($L606-Subj_BldgSF),NA())</f>
        <v/>
      </c>
      <c r="AJ606">
        <f>IF(ISNA(AI606),NA(),AI606+ROW()/10000000)</f>
        <v/>
      </c>
      <c r="AK606" s="605">
        <f>IF(AND(ISNUMBER($N606),$N606&gt;0,ISNUMBER($Y606)),$Y606/$N606,"")</f>
        <v/>
      </c>
    </row>
    <row r="607" ht="15" customHeight="1" s="545">
      <c r="A607" s="385" t="n">
        <v>8</v>
      </c>
      <c r="B607" s="605" t="n">
        <v>603</v>
      </c>
      <c r="C607" s="605" t="inlineStr">
        <is>
          <t>R0155372</t>
        </is>
      </c>
      <c r="D607" s="605" t="inlineStr">
        <is>
          <t>1101 W 62ND AVE</t>
        </is>
      </c>
      <c r="E607" s="605" t="n">
        <v>406</v>
      </c>
      <c r="G607" s="605" t="inlineStr">
        <is>
          <t>5</t>
        </is>
      </c>
      <c r="H607" s="59">
        <f>Y607/J607</f>
        <v/>
      </c>
      <c r="I607" s="386" t="n">
        <v>43249</v>
      </c>
      <c r="J607" s="605" t="n">
        <v>3500</v>
      </c>
      <c r="L607" s="605" t="n">
        <v>3500</v>
      </c>
      <c r="M607" s="605" t="n">
        <v>2008</v>
      </c>
      <c r="R607" s="152" t="inlineStr">
        <is>
          <t>Average</t>
        </is>
      </c>
      <c r="S607" s="605" t="n">
        <v>30759</v>
      </c>
      <c r="T607" s="387">
        <f>S607/J607</f>
        <v/>
      </c>
      <c r="U607" s="605" t="inlineStr">
        <is>
          <t>Average</t>
        </is>
      </c>
      <c r="Y607" s="605" t="n">
        <v>406000</v>
      </c>
      <c r="AA607" s="605" t="n">
        <v>406000</v>
      </c>
      <c r="AC607" s="605" t="inlineStr">
        <is>
          <t>0182509100052</t>
        </is>
      </c>
      <c r="AD607" s="605" t="inlineStr">
        <is>
          <t>2018000043358</t>
        </is>
      </c>
      <c r="AE607" s="605" t="inlineStr">
        <is>
          <t>TEJEDA COSME S</t>
        </is>
      </c>
      <c r="AF607" s="605" t="inlineStr">
        <is>
          <t>MARTINEZ ORLANDO</t>
        </is>
      </c>
      <c r="AI607" s="605">
        <f>IF(AND($E607=Subj_OccCode,Subj_BldgSF&gt;0,ABS($L607-Subj_BldgSF)&lt;=Subj_BldgSF*Subj_SizeTol),ABS($L607-Subj_BldgSF),NA())</f>
        <v/>
      </c>
      <c r="AJ607">
        <f>IF(ISNA(AI607),NA(),AI607+ROW()/10000000)</f>
        <v/>
      </c>
      <c r="AK607" s="605">
        <f>IF(AND(ISNUMBER($N607),$N607&gt;0,ISNUMBER($Y607)),$Y607/$N607,"")</f>
        <v/>
      </c>
    </row>
    <row r="608" ht="15" customHeight="1" s="545">
      <c r="A608" s="385" t="n">
        <v>8</v>
      </c>
      <c r="B608" s="605" t="n">
        <v>604</v>
      </c>
      <c r="C608" s="605" t="inlineStr">
        <is>
          <t>R0178237</t>
        </is>
      </c>
      <c r="D608" s="605" t="inlineStr">
        <is>
          <t>12295  PENNSYLVANIA ST</t>
        </is>
      </c>
      <c r="E608" s="605" t="n">
        <v>425</v>
      </c>
      <c r="F608" s="605" t="inlineStr">
        <is>
          <t>THORNTON</t>
        </is>
      </c>
      <c r="G608" s="605" t="inlineStr">
        <is>
          <t>3</t>
        </is>
      </c>
      <c r="H608" s="59">
        <f>Y608/J608</f>
        <v/>
      </c>
      <c r="I608" s="386" t="n">
        <v>44218</v>
      </c>
      <c r="J608" s="605" t="n">
        <v>10372</v>
      </c>
      <c r="L608" s="605" t="n">
        <v>10372</v>
      </c>
      <c r="M608" s="605" t="n">
        <v>2007</v>
      </c>
      <c r="P608" s="605" t="inlineStr">
        <is>
          <t>Business Park</t>
        </is>
      </c>
      <c r="R608" s="152" t="inlineStr">
        <is>
          <t>Average</t>
        </is>
      </c>
      <c r="S608" s="605" t="n">
        <v>9086.379999999999</v>
      </c>
      <c r="T608" s="387">
        <f>S608/J608</f>
        <v/>
      </c>
      <c r="U608" s="605" t="inlineStr">
        <is>
          <t>Average</t>
        </is>
      </c>
      <c r="Y608" s="605" t="n">
        <v>350000</v>
      </c>
      <c r="AA608" s="605" t="n">
        <v>350000</v>
      </c>
      <c r="AC608" s="605" t="inlineStr">
        <is>
          <t>0157334405010</t>
        </is>
      </c>
      <c r="AD608" s="605" t="inlineStr">
        <is>
          <t>2021000008722</t>
        </is>
      </c>
      <c r="AE608" s="605" t="inlineStr">
        <is>
          <t>PENN INVESTMENT LLC</t>
        </is>
      </c>
      <c r="AF608" s="605" t="inlineStr">
        <is>
          <t>RIVERDANCE LAND COMPANY LLC</t>
        </is>
      </c>
      <c r="AI608" s="605">
        <f>IF(AND($E608=Subj_OccCode,Subj_BldgSF&gt;0,ABS($L608-Subj_BldgSF)&lt;=Subj_BldgSF*Subj_SizeTol),ABS($L608-Subj_BldgSF),NA())</f>
        <v/>
      </c>
      <c r="AJ608">
        <f>IF(ISNA(AI608),NA(),AI608+ROW()/10000000)</f>
        <v/>
      </c>
      <c r="AK608" s="605">
        <f>IF(AND(ISNUMBER($N608),$N608&gt;0,ISNUMBER($Y608)),$Y608/$N608,"")</f>
        <v/>
      </c>
    </row>
    <row r="609" ht="15" customHeight="1" s="545">
      <c r="A609" s="385" t="n">
        <v>8</v>
      </c>
      <c r="B609" s="605" t="n">
        <v>605</v>
      </c>
      <c r="C609" s="605" t="inlineStr">
        <is>
          <t>R0169173</t>
        </is>
      </c>
      <c r="D609" s="605" t="inlineStr">
        <is>
          <t>2751 W 120TH AVE</t>
        </is>
      </c>
      <c r="E609" s="605" t="n">
        <v>353</v>
      </c>
      <c r="F609" s="605" t="inlineStr">
        <is>
          <t>WESTMINSTER</t>
        </is>
      </c>
      <c r="G609" s="605" t="inlineStr">
        <is>
          <t>3</t>
        </is>
      </c>
      <c r="H609" s="59">
        <f>Y609/J609</f>
        <v/>
      </c>
      <c r="I609" s="386" t="n">
        <v>44050</v>
      </c>
      <c r="J609" s="605" t="n">
        <v>6306</v>
      </c>
      <c r="L609" s="605" t="n">
        <v>6306</v>
      </c>
      <c r="M609" s="605" t="n">
        <v>2006</v>
      </c>
      <c r="P609" s="605" t="inlineStr">
        <is>
          <t>PUD-Wes</t>
        </is>
      </c>
      <c r="R609" s="152" t="inlineStr">
        <is>
          <t>Good</t>
        </is>
      </c>
      <c r="S609" s="605" t="n">
        <v>40087</v>
      </c>
      <c r="T609" s="387">
        <f>S609/J609</f>
        <v/>
      </c>
      <c r="U609" s="605" t="inlineStr">
        <is>
          <t>Average</t>
        </is>
      </c>
      <c r="Y609" s="605" t="n">
        <v>1641000</v>
      </c>
      <c r="AA609" s="605" t="n">
        <v>1641000</v>
      </c>
      <c r="AC609" s="605" t="inlineStr">
        <is>
          <t>0157332401012</t>
        </is>
      </c>
      <c r="AD609" s="605" t="inlineStr">
        <is>
          <t>2020000076366</t>
        </is>
      </c>
      <c r="AE609" s="605" t="inlineStr">
        <is>
          <t>FIG JOINT VENTURE LLC</t>
        </is>
      </c>
      <c r="AF609" s="605" t="inlineStr">
        <is>
          <t>R &amp; R PROPERTIES LLC</t>
        </is>
      </c>
      <c r="AI609" s="605">
        <f>IF(AND($E609=Subj_OccCode,Subj_BldgSF&gt;0,ABS($L609-Subj_BldgSF)&lt;=Subj_BldgSF*Subj_SizeTol),ABS($L609-Subj_BldgSF),NA())</f>
        <v/>
      </c>
      <c r="AJ609">
        <f>IF(ISNA(AI609),NA(),AI609+ROW()/10000000)</f>
        <v/>
      </c>
      <c r="AK609" s="605">
        <f>IF(AND(ISNUMBER($N609),$N609&gt;0,ISNUMBER($Y609)),$Y609/$N609,"")</f>
        <v/>
      </c>
    </row>
    <row r="610" ht="15" customHeight="1" s="545">
      <c r="A610" s="385" t="n">
        <v>8</v>
      </c>
      <c r="B610" s="605" t="n">
        <v>606</v>
      </c>
      <c r="C610" s="605" t="inlineStr">
        <is>
          <t>R0165671</t>
        </is>
      </c>
      <c r="D610" s="605" t="inlineStr">
        <is>
          <t>37800  ASTRA WAY #5E</t>
        </is>
      </c>
      <c r="E610" s="605" t="n">
        <v>409</v>
      </c>
      <c r="G610" s="605" t="inlineStr">
        <is>
          <t>1</t>
        </is>
      </c>
      <c r="H610" s="59">
        <f>Y610/J610</f>
        <v/>
      </c>
      <c r="I610" s="386" t="n">
        <v>44244</v>
      </c>
      <c r="J610" s="605" t="n">
        <v>1234</v>
      </c>
      <c r="L610" s="605" t="n">
        <v>1234</v>
      </c>
      <c r="M610" s="605" t="n">
        <v>2002</v>
      </c>
      <c r="R610" s="152" t="inlineStr">
        <is>
          <t>Average</t>
        </is>
      </c>
      <c r="T610" s="387">
        <f>S610/J610</f>
        <v/>
      </c>
      <c r="U610" s="605" t="inlineStr">
        <is>
          <t>Average</t>
        </is>
      </c>
      <c r="Y610" s="605" t="n">
        <v>65000</v>
      </c>
      <c r="AA610" s="605" t="n">
        <v>65000</v>
      </c>
      <c r="AC610" s="605" t="inlineStr">
        <is>
          <t>0181715309011</t>
        </is>
      </c>
      <c r="AD610" s="605" t="inlineStr">
        <is>
          <t>2021000019693</t>
        </is>
      </c>
      <c r="AE610" s="605" t="inlineStr">
        <is>
          <t>COLORADO HANGARS LLC</t>
        </is>
      </c>
      <c r="AF610" s="605" t="inlineStr">
        <is>
          <t>SPACEPORT HANGARS LLC</t>
        </is>
      </c>
      <c r="AI610" s="605">
        <f>IF(AND($E610=Subj_OccCode,Subj_BldgSF&gt;0,ABS($L610-Subj_BldgSF)&lt;=Subj_BldgSF*Subj_SizeTol),ABS($L610-Subj_BldgSF),NA())</f>
        <v/>
      </c>
      <c r="AJ610">
        <f>IF(ISNA(AI610),NA(),AI610+ROW()/10000000)</f>
        <v/>
      </c>
      <c r="AK610" s="605">
        <f>IF(AND(ISNUMBER($N610),$N610&gt;0,ISNUMBER($Y610)),$Y610/$N610,"")</f>
        <v/>
      </c>
    </row>
    <row r="611" ht="15" customHeight="1" s="545">
      <c r="A611" s="385" t="n">
        <v>8</v>
      </c>
      <c r="B611" s="605" t="n">
        <v>607</v>
      </c>
      <c r="C611" s="605" t="inlineStr">
        <is>
          <t>R0051118</t>
        </is>
      </c>
      <c r="D611" s="605" t="inlineStr">
        <is>
          <t>9190  HURON ST</t>
        </is>
      </c>
      <c r="E611" s="605" t="n">
        <v>419</v>
      </c>
      <c r="F611" s="605" t="inlineStr">
        <is>
          <t>THORNTON</t>
        </is>
      </c>
      <c r="G611" s="605" t="inlineStr">
        <is>
          <t>4</t>
        </is>
      </c>
      <c r="H611" s="59">
        <f>Y611/J611</f>
        <v/>
      </c>
      <c r="I611" s="386" t="n">
        <v>43118</v>
      </c>
      <c r="J611" s="605" t="n">
        <v>1713</v>
      </c>
      <c r="L611" s="605" t="n">
        <v>1713</v>
      </c>
      <c r="M611" s="605" t="n">
        <v>1971</v>
      </c>
      <c r="P611" s="605" t="inlineStr">
        <is>
          <t>Thornton</t>
        </is>
      </c>
      <c r="R611" s="152" t="inlineStr">
        <is>
          <t>Average</t>
        </is>
      </c>
      <c r="S611" s="605" t="n">
        <v>41411</v>
      </c>
      <c r="T611" s="387">
        <f>S611/J611</f>
        <v/>
      </c>
      <c r="U611" s="605" t="inlineStr">
        <is>
          <t>Average</t>
        </is>
      </c>
      <c r="Y611" s="605" t="n">
        <v>2266000</v>
      </c>
      <c r="AA611" s="605" t="n">
        <v>2266000</v>
      </c>
      <c r="AC611" s="605" t="inlineStr">
        <is>
          <t>0171922300005</t>
        </is>
      </c>
      <c r="AD611" s="605" t="inlineStr">
        <is>
          <t>2018000006854</t>
        </is>
      </c>
      <c r="AE611" s="605" t="inlineStr">
        <is>
          <t>H D T FIFTEEN LIMITED, LIABILITY COMPANY</t>
        </is>
      </c>
      <c r="AF611" s="605" t="inlineStr">
        <is>
          <t>CH REALTY VIII/CG CO WESTERN LLC</t>
        </is>
      </c>
      <c r="AI611" s="605">
        <f>IF(AND($E611=Subj_OccCode,Subj_BldgSF&gt;0,ABS($L611-Subj_BldgSF)&lt;=Subj_BldgSF*Subj_SizeTol),ABS($L611-Subj_BldgSF),NA())</f>
        <v/>
      </c>
      <c r="AJ611">
        <f>IF(ISNA(AI611),NA(),AI611+ROW()/10000000)</f>
        <v/>
      </c>
      <c r="AK611" s="605">
        <f>IF(AND(ISNUMBER($N611),$N611&gt;0,ISNUMBER($Y611)),$Y611/$N611,"")</f>
        <v/>
      </c>
    </row>
    <row r="612" ht="15" customHeight="1" s="545">
      <c r="A612" s="385" t="n">
        <v>8</v>
      </c>
      <c r="B612" s="605" t="n">
        <v>608</v>
      </c>
      <c r="C612" s="605" t="inlineStr">
        <is>
          <t>R0051118</t>
        </is>
      </c>
      <c r="D612" s="605" t="inlineStr">
        <is>
          <t>9190  HURON ST</t>
        </is>
      </c>
      <c r="E612" s="605" t="n">
        <v>419</v>
      </c>
      <c r="F612" s="605" t="inlineStr">
        <is>
          <t>THORNTON</t>
        </is>
      </c>
      <c r="G612" s="605" t="inlineStr">
        <is>
          <t>4</t>
        </is>
      </c>
      <c r="H612" s="59">
        <f>Y612/J612</f>
        <v/>
      </c>
      <c r="I612" s="386" t="n">
        <v>44592</v>
      </c>
      <c r="J612" s="605" t="n">
        <v>1713</v>
      </c>
      <c r="L612" s="605" t="n">
        <v>1713</v>
      </c>
      <c r="M612" s="605" t="n">
        <v>1971</v>
      </c>
      <c r="P612" s="605" t="inlineStr">
        <is>
          <t>Community Retail</t>
        </is>
      </c>
      <c r="R612" s="152" t="inlineStr">
        <is>
          <t>Average</t>
        </is>
      </c>
      <c r="S612" s="605" t="n">
        <v>41411</v>
      </c>
      <c r="T612" s="387">
        <f>S612/J612</f>
        <v/>
      </c>
      <c r="U612" s="605" t="inlineStr">
        <is>
          <t>Average</t>
        </is>
      </c>
      <c r="Y612" s="605" t="n">
        <v>2495000</v>
      </c>
      <c r="AA612" s="605" t="n">
        <v>2495000</v>
      </c>
      <c r="AC612" s="605" t="inlineStr">
        <is>
          <t>0171922300005</t>
        </is>
      </c>
      <c r="AD612" s="605" t="inlineStr">
        <is>
          <t>2022000012044</t>
        </is>
      </c>
      <c r="AE612" s="605" t="inlineStr">
        <is>
          <t>CF ALTITUDE PROPCO II LLC</t>
        </is>
      </c>
      <c r="AF612" s="605" t="inlineStr">
        <is>
          <t>DYCHES FAMILY LLC</t>
        </is>
      </c>
      <c r="AI612" s="605">
        <f>IF(AND($E612=Subj_OccCode,Subj_BldgSF&gt;0,ABS($L612-Subj_BldgSF)&lt;=Subj_BldgSF*Subj_SizeTol),ABS($L612-Subj_BldgSF),NA())</f>
        <v/>
      </c>
      <c r="AJ612">
        <f>IF(ISNA(AI612),NA(),AI612+ROW()/10000000)</f>
        <v/>
      </c>
      <c r="AK612" s="605">
        <f>IF(AND(ISNUMBER($N612),$N612&gt;0,ISNUMBER($Y612)),$Y612/$N612,"")</f>
        <v/>
      </c>
    </row>
    <row r="613" ht="15" customHeight="1" s="545">
      <c r="A613" s="385" t="n">
        <v>8</v>
      </c>
      <c r="B613" s="605" t="n">
        <v>609</v>
      </c>
      <c r="C613" s="605" t="inlineStr">
        <is>
          <t>R0174043</t>
        </is>
      </c>
      <c r="D613" s="605" t="inlineStr">
        <is>
          <t>2761 W 120TH AVE #220</t>
        </is>
      </c>
      <c r="E613" s="605" t="n">
        <v>1344</v>
      </c>
      <c r="F613" s="605" t="inlineStr">
        <is>
          <t>WESTMINSTER</t>
        </is>
      </c>
      <c r="G613" s="605" t="inlineStr">
        <is>
          <t>3</t>
        </is>
      </c>
      <c r="H613" s="59">
        <f>Y613/J613</f>
        <v/>
      </c>
      <c r="I613" s="386" t="n">
        <v>44659</v>
      </c>
      <c r="J613" s="605" t="n">
        <v>1689</v>
      </c>
      <c r="L613" s="605" t="n">
        <v>1689</v>
      </c>
      <c r="M613" s="605" t="n">
        <v>2006</v>
      </c>
      <c r="P613" s="605" t="inlineStr">
        <is>
          <t>PUD-Wes</t>
        </is>
      </c>
      <c r="R613" s="152" t="inlineStr">
        <is>
          <t>Average</t>
        </is>
      </c>
      <c r="S613" s="605" t="n">
        <v>7699.56</v>
      </c>
      <c r="T613" s="387">
        <f>S613/J613</f>
        <v/>
      </c>
      <c r="U613" s="605" t="inlineStr">
        <is>
          <t>Average</t>
        </is>
      </c>
      <c r="Y613" s="605" t="n">
        <v>632500</v>
      </c>
      <c r="AA613" s="605" t="n">
        <v>632500</v>
      </c>
      <c r="AC613" s="605" t="inlineStr">
        <is>
          <t>0157332401020</t>
        </is>
      </c>
      <c r="AD613" s="605" t="inlineStr">
        <is>
          <t>2022000032186</t>
        </is>
      </c>
      <c r="AE613" s="605" t="inlineStr">
        <is>
          <t>RML REAL ESTATE LLC</t>
        </is>
      </c>
      <c r="AF613" s="605" t="inlineStr">
        <is>
          <t>NYGAARD SPELLMAN REAL ESTATE LLC</t>
        </is>
      </c>
      <c r="AI613" s="605">
        <f>IF(AND($E613=Subj_OccCode,Subj_BldgSF&gt;0,ABS($L613-Subj_BldgSF)&lt;=Subj_BldgSF*Subj_SizeTol),ABS($L613-Subj_BldgSF),NA())</f>
        <v/>
      </c>
      <c r="AJ613">
        <f>IF(ISNA(AI613),NA(),AI613+ROW()/10000000)</f>
        <v/>
      </c>
      <c r="AK613" s="605">
        <f>IF(AND(ISNUMBER($N613),$N613&gt;0,ISNUMBER($Y613)),$Y613/$N613,"")</f>
        <v/>
      </c>
    </row>
    <row r="614" ht="15" customHeight="1" s="545">
      <c r="A614" s="385" t="n">
        <v>8</v>
      </c>
      <c r="B614" s="605" t="n">
        <v>610</v>
      </c>
      <c r="C614" s="605" t="inlineStr">
        <is>
          <t>R0173177</t>
        </is>
      </c>
      <c r="D614" s="605" t="inlineStr">
        <is>
          <t>2761 W 120TH AVE #110</t>
        </is>
      </c>
      <c r="E614" s="605" t="n">
        <v>1344</v>
      </c>
      <c r="F614" s="605" t="inlineStr">
        <is>
          <t>WESTMINSTER</t>
        </is>
      </c>
      <c r="G614" s="605" t="inlineStr">
        <is>
          <t>3</t>
        </is>
      </c>
      <c r="H614" s="59">
        <f>Y614/J614</f>
        <v/>
      </c>
      <c r="I614" s="386" t="n">
        <v>44533</v>
      </c>
      <c r="J614" s="605" t="n">
        <v>3761</v>
      </c>
      <c r="L614" s="605" t="n">
        <v>3761</v>
      </c>
      <c r="M614" s="605" t="n">
        <v>2006</v>
      </c>
      <c r="P614" s="605" t="inlineStr">
        <is>
          <t>PUD-Wes</t>
        </is>
      </c>
      <c r="R614" s="152" t="inlineStr">
        <is>
          <t>Average</t>
        </is>
      </c>
      <c r="S614" s="605" t="n">
        <v>17499</v>
      </c>
      <c r="T614" s="387">
        <f>S614/J614</f>
        <v/>
      </c>
      <c r="U614" s="605" t="inlineStr">
        <is>
          <t>Average</t>
        </is>
      </c>
      <c r="Y614" s="605" t="n">
        <v>1078000</v>
      </c>
      <c r="AA614" s="605" t="n">
        <v>1078000</v>
      </c>
      <c r="AC614" s="605" t="inlineStr">
        <is>
          <t>0157332401016</t>
        </is>
      </c>
      <c r="AD614" s="605" t="inlineStr">
        <is>
          <t>2021000148340</t>
        </is>
      </c>
      <c r="AE614" s="605" t="inlineStr">
        <is>
          <t>GOLD CROWN LLC</t>
        </is>
      </c>
      <c r="AF614" s="605" t="inlineStr">
        <is>
          <t>S &amp; E PROPERTIES LLC</t>
        </is>
      </c>
      <c r="AI614" s="605">
        <f>IF(AND($E614=Subj_OccCode,Subj_BldgSF&gt;0,ABS($L614-Subj_BldgSF)&lt;=Subj_BldgSF*Subj_SizeTol),ABS($L614-Subj_BldgSF),NA())</f>
        <v/>
      </c>
      <c r="AJ614">
        <f>IF(ISNA(AI614),NA(),AI614+ROW()/10000000)</f>
        <v/>
      </c>
      <c r="AK614" s="605">
        <f>IF(AND(ISNUMBER($N614),$N614&gt;0,ISNUMBER($Y614)),$Y614/$N614,"")</f>
        <v/>
      </c>
    </row>
    <row r="615" ht="15" customHeight="1" s="545">
      <c r="A615" s="385" t="n">
        <v>8</v>
      </c>
      <c r="B615" s="605" t="n">
        <v>611</v>
      </c>
      <c r="C615" s="605" t="inlineStr">
        <is>
          <t>R0003495</t>
        </is>
      </c>
      <c r="D615" s="605" t="inlineStr">
        <is>
          <t>618  BRIDGE ST</t>
        </is>
      </c>
      <c r="E615" s="605" t="n">
        <v>344</v>
      </c>
      <c r="F615" s="605" t="inlineStr">
        <is>
          <t>BRIGHTON</t>
        </is>
      </c>
      <c r="G615" s="605" t="inlineStr">
        <is>
          <t>2</t>
        </is>
      </c>
      <c r="H615" s="59">
        <f>Y615/J615</f>
        <v/>
      </c>
      <c r="I615" s="386" t="n">
        <v>43145</v>
      </c>
      <c r="J615" s="605" t="n">
        <v>912</v>
      </c>
      <c r="L615" s="605" t="n">
        <v>912</v>
      </c>
      <c r="M615" s="605" t="n">
        <v>1918</v>
      </c>
      <c r="P615" s="605" t="inlineStr">
        <is>
          <t>Brighton</t>
        </is>
      </c>
      <c r="R615" s="152" t="inlineStr">
        <is>
          <t>Average</t>
        </is>
      </c>
      <c r="S615" s="605" t="n">
        <v>6250</v>
      </c>
      <c r="T615" s="387">
        <f>S615/J615</f>
        <v/>
      </c>
      <c r="U615" s="605" t="inlineStr">
        <is>
          <t>Average</t>
        </is>
      </c>
      <c r="Y615" s="605" t="n">
        <v>153000</v>
      </c>
      <c r="AA615" s="605" t="n">
        <v>153000</v>
      </c>
      <c r="AC615" s="605" t="inlineStr">
        <is>
          <t>0156907105019</t>
        </is>
      </c>
      <c r="AD615" s="605" t="inlineStr">
        <is>
          <t>2018000013213</t>
        </is>
      </c>
      <c r="AE615" s="605" t="inlineStr">
        <is>
          <t>SER ENTERPRISES LLC</t>
        </is>
      </c>
      <c r="AF615" s="605" t="inlineStr">
        <is>
          <t>MOLINARO SAMUEL AND , MOLINARO PAMELA</t>
        </is>
      </c>
      <c r="AI615" s="605">
        <f>IF(AND($E615=Subj_OccCode,Subj_BldgSF&gt;0,ABS($L615-Subj_BldgSF)&lt;=Subj_BldgSF*Subj_SizeTol),ABS($L615-Subj_BldgSF),NA())</f>
        <v/>
      </c>
      <c r="AJ615">
        <f>IF(ISNA(AI615),NA(),AI615+ROW()/10000000)</f>
        <v/>
      </c>
      <c r="AK615" s="605">
        <f>IF(AND(ISNUMBER($N615),$N615&gt;0,ISNUMBER($Y615)),$Y615/$N615,"")</f>
        <v/>
      </c>
    </row>
    <row r="616" ht="15" customHeight="1" s="545">
      <c r="A616" s="385" t="n">
        <v>8</v>
      </c>
      <c r="B616" s="605" t="n">
        <v>612</v>
      </c>
      <c r="C616" s="605" t="inlineStr">
        <is>
          <t>R0082008</t>
        </is>
      </c>
      <c r="D616" s="605" t="inlineStr">
        <is>
          <t>56841 E COLFAX AVE</t>
        </is>
      </c>
      <c r="E616" s="605" t="n">
        <v>344</v>
      </c>
      <c r="G616" s="605" t="inlineStr">
        <is>
          <t>1</t>
        </is>
      </c>
      <c r="H616" s="59">
        <f>Y616/J616</f>
        <v/>
      </c>
      <c r="I616" s="386" t="n">
        <v>44012</v>
      </c>
      <c r="J616" s="605" t="n">
        <v>952</v>
      </c>
      <c r="L616" s="605" t="n">
        <v>952</v>
      </c>
      <c r="M616" s="605" t="n">
        <v>1954</v>
      </c>
      <c r="P616" s="605" t="inlineStr">
        <is>
          <t>Commercial</t>
        </is>
      </c>
      <c r="R616" s="152" t="inlineStr">
        <is>
          <t>Average</t>
        </is>
      </c>
      <c r="S616" s="605" t="n">
        <v>9375</v>
      </c>
      <c r="T616" s="387">
        <f>S616/J616</f>
        <v/>
      </c>
      <c r="U616" s="605" t="inlineStr">
        <is>
          <t>Average</t>
        </is>
      </c>
      <c r="Y616" s="605" t="n">
        <v>220000</v>
      </c>
      <c r="AA616" s="605" t="n">
        <v>220000</v>
      </c>
      <c r="AC616" s="605" t="inlineStr">
        <is>
          <t>0181333423006</t>
        </is>
      </c>
      <c r="AD616" s="605" t="inlineStr">
        <is>
          <t>2020000060499</t>
        </is>
      </c>
      <c r="AE616" s="605" t="inlineStr">
        <is>
          <t>COYOTE CREEK PROPERTY LLC</t>
        </is>
      </c>
      <c r="AF616" s="605" t="inlineStr">
        <is>
          <t>VARGAS MANUEL AND, VARGAS DEBBIE</t>
        </is>
      </c>
      <c r="AI616" s="605">
        <f>IF(AND($E616=Subj_OccCode,Subj_BldgSF&gt;0,ABS($L616-Subj_BldgSF)&lt;=Subj_BldgSF*Subj_SizeTol),ABS($L616-Subj_BldgSF),NA())</f>
        <v/>
      </c>
      <c r="AJ616">
        <f>IF(ISNA(AI616),NA(),AI616+ROW()/10000000)</f>
        <v/>
      </c>
      <c r="AK616" s="605">
        <f>IF(AND(ISNUMBER($N616),$N616&gt;0,ISNUMBER($Y616)),$Y616/$N616,"")</f>
        <v/>
      </c>
    </row>
    <row r="617" ht="15" customHeight="1" s="545">
      <c r="A617" s="385" t="n">
        <v>8</v>
      </c>
      <c r="B617" s="605" t="n">
        <v>613</v>
      </c>
      <c r="C617" s="605" t="inlineStr">
        <is>
          <t>R0102985</t>
        </is>
      </c>
      <c r="D617" s="605" t="inlineStr">
        <is>
          <t>5861  TENNYSON ST</t>
        </is>
      </c>
      <c r="E617" s="605" t="n">
        <v>334</v>
      </c>
      <c r="F617" s="605" t="inlineStr">
        <is>
          <t>ARVADA</t>
        </is>
      </c>
      <c r="G617" s="605" t="inlineStr">
        <is>
          <t>5</t>
        </is>
      </c>
      <c r="H617" s="59">
        <f>Y617/J617</f>
        <v/>
      </c>
      <c r="I617" s="386" t="n">
        <v>44733</v>
      </c>
      <c r="J617" s="605" t="n">
        <v>80640</v>
      </c>
      <c r="L617" s="605" t="n">
        <v>80640</v>
      </c>
      <c r="M617" s="605" t="n">
        <v>2000</v>
      </c>
      <c r="P617" s="605" t="inlineStr">
        <is>
          <t>I-1-Arv</t>
        </is>
      </c>
      <c r="R617" s="152" t="inlineStr">
        <is>
          <t>Good</t>
        </is>
      </c>
      <c r="S617" s="605" t="n">
        <v>230428</v>
      </c>
      <c r="T617" s="387">
        <f>S617/J617</f>
        <v/>
      </c>
      <c r="U617" s="605" t="inlineStr">
        <is>
          <t>Average</t>
        </is>
      </c>
      <c r="Y617" s="605" t="n">
        <v>9000000</v>
      </c>
      <c r="AA617" s="605" t="n">
        <v>9000000</v>
      </c>
      <c r="AC617" s="605" t="inlineStr">
        <is>
          <t>0182507305001</t>
        </is>
      </c>
      <c r="AD617" s="605" t="inlineStr">
        <is>
          <t>2022000054931</t>
        </is>
      </c>
      <c r="AE617" s="605" t="inlineStr">
        <is>
          <t>PKS ARVADA LLC, C/O PRIORITY PLASTICS INC</t>
        </is>
      </c>
      <c r="AF617" s="605" t="inlineStr">
        <is>
          <t>L&amp;L DRY CREEK LLC</t>
        </is>
      </c>
      <c r="AI617" s="605">
        <f>IF(AND($E617=Subj_OccCode,Subj_BldgSF&gt;0,ABS($L617-Subj_BldgSF)&lt;=Subj_BldgSF*Subj_SizeTol),ABS($L617-Subj_BldgSF),NA())</f>
        <v/>
      </c>
      <c r="AJ617">
        <f>IF(ISNA(AI617),NA(),AI617+ROW()/10000000)</f>
        <v/>
      </c>
      <c r="AK617" s="605">
        <f>IF(AND(ISNUMBER($N617),$N617&gt;0,ISNUMBER($Y617)),$Y617/$N617,"")</f>
        <v/>
      </c>
    </row>
    <row r="618" ht="15" customHeight="1" s="545">
      <c r="A618" s="385" t="n">
        <v>8</v>
      </c>
      <c r="B618" s="605" t="n">
        <v>614</v>
      </c>
      <c r="C618" s="605" t="inlineStr">
        <is>
          <t>R0058113</t>
        </is>
      </c>
      <c r="D618" s="605" t="inlineStr">
        <is>
          <t>8490  PEARL ST</t>
        </is>
      </c>
      <c r="E618" s="605" t="n">
        <v>325</v>
      </c>
      <c r="F618" s="605" t="inlineStr">
        <is>
          <t>THORNTON</t>
        </is>
      </c>
      <c r="G618" s="605" t="inlineStr">
        <is>
          <t>4</t>
        </is>
      </c>
      <c r="H618" s="59">
        <f>Y618/J618</f>
        <v/>
      </c>
      <c r="I618" s="386" t="n">
        <v>44516</v>
      </c>
      <c r="J618" s="605" t="n">
        <v>4530</v>
      </c>
      <c r="L618" s="605" t="n">
        <v>4530</v>
      </c>
      <c r="M618" s="605" t="n">
        <v>1962</v>
      </c>
      <c r="P618" s="605" t="inlineStr">
        <is>
          <t>Regional Commercial</t>
        </is>
      </c>
      <c r="R618" s="152" t="inlineStr">
        <is>
          <t>Average</t>
        </is>
      </c>
      <c r="S618" s="605" t="n">
        <v>13650</v>
      </c>
      <c r="T618" s="387">
        <f>S618/J618</f>
        <v/>
      </c>
      <c r="U618" s="605" t="inlineStr">
        <is>
          <t>Average</t>
        </is>
      </c>
      <c r="Y618" s="605" t="n">
        <v>1300000</v>
      </c>
      <c r="AA618" s="605" t="n">
        <v>1300000</v>
      </c>
      <c r="AC618" s="605" t="inlineStr">
        <is>
          <t>0171927100024</t>
        </is>
      </c>
      <c r="AD618" s="605" t="inlineStr">
        <is>
          <t>2021000134845</t>
        </is>
      </c>
      <c r="AE618" s="605" t="inlineStr">
        <is>
          <t>DRAWE JUSTIN L</t>
        </is>
      </c>
      <c r="AF618" s="605" t="inlineStr">
        <is>
          <t>8490 PEARL LLC</t>
        </is>
      </c>
      <c r="AI618" s="605">
        <f>IF(AND($E618=Subj_OccCode,Subj_BldgSF&gt;0,ABS($L618-Subj_BldgSF)&lt;=Subj_BldgSF*Subj_SizeTol),ABS($L618-Subj_BldgSF),NA())</f>
        <v/>
      </c>
      <c r="AJ618">
        <f>IF(ISNA(AI618),NA(),AI618+ROW()/10000000)</f>
        <v/>
      </c>
      <c r="AK618" s="605">
        <f>IF(AND(ISNUMBER($N618),$N618&gt;0,ISNUMBER($Y618)),$Y618/$N618,"")</f>
        <v/>
      </c>
    </row>
    <row r="619" ht="15" customHeight="1" s="545">
      <c r="A619" s="385" t="n">
        <v>8</v>
      </c>
      <c r="B619" s="605" t="n">
        <v>615</v>
      </c>
      <c r="C619" s="605" t="inlineStr">
        <is>
          <t>R0173166</t>
        </is>
      </c>
      <c r="D619" s="605" t="inlineStr">
        <is>
          <t>11154  HURON ST #103</t>
        </is>
      </c>
      <c r="E619" s="605" t="n">
        <v>1344</v>
      </c>
      <c r="F619" s="605" t="inlineStr">
        <is>
          <t>NORTHGLENN</t>
        </is>
      </c>
      <c r="G619" s="605" t="inlineStr">
        <is>
          <t>4</t>
        </is>
      </c>
      <c r="H619" s="59">
        <f>Y619/J619</f>
        <v/>
      </c>
      <c r="I619" s="386" t="n">
        <v>44523</v>
      </c>
      <c r="J619" s="605" t="n">
        <v>1500</v>
      </c>
      <c r="L619" s="605" t="n">
        <v>1500</v>
      </c>
      <c r="M619" s="605" t="n">
        <v>2001</v>
      </c>
      <c r="P619" s="605" t="inlineStr">
        <is>
          <t>C-0-Nor</t>
        </is>
      </c>
      <c r="R619" s="152" t="inlineStr">
        <is>
          <t>Average</t>
        </is>
      </c>
      <c r="S619" s="605" t="n">
        <v>5862</v>
      </c>
      <c r="T619" s="387">
        <f>S619/J619</f>
        <v/>
      </c>
      <c r="U619" s="605" t="inlineStr">
        <is>
          <t>Average</t>
        </is>
      </c>
      <c r="Y619" s="605" t="n">
        <v>335000</v>
      </c>
      <c r="AA619" s="605" t="n">
        <v>335000</v>
      </c>
      <c r="AC619" s="605" t="inlineStr">
        <is>
          <t>0171910205045</t>
        </is>
      </c>
      <c r="AD619" s="605" t="inlineStr">
        <is>
          <t>2021000136965</t>
        </is>
      </c>
      <c r="AE619" s="605" t="inlineStr">
        <is>
          <t>LUCERO LAND TRUST</t>
        </is>
      </c>
      <c r="AF619" s="605" t="inlineStr">
        <is>
          <t>CHANCE LAND TRUST L L C</t>
        </is>
      </c>
      <c r="AI619" s="605">
        <f>IF(AND($E619=Subj_OccCode,Subj_BldgSF&gt;0,ABS($L619-Subj_BldgSF)&lt;=Subj_BldgSF*Subj_SizeTol),ABS($L619-Subj_BldgSF),NA())</f>
        <v/>
      </c>
      <c r="AJ619">
        <f>IF(ISNA(AI619),NA(),AI619+ROW()/10000000)</f>
        <v/>
      </c>
      <c r="AK619" s="605">
        <f>IF(AND(ISNUMBER($N619),$N619&gt;0,ISNUMBER($Y619)),$Y619/$N619,"")</f>
        <v/>
      </c>
    </row>
    <row r="620" ht="15" customHeight="1" s="545">
      <c r="A620" s="385" t="n">
        <v>8</v>
      </c>
      <c r="B620" s="605" t="n">
        <v>616</v>
      </c>
      <c r="C620" s="605" t="inlineStr">
        <is>
          <t>R0173170</t>
        </is>
      </c>
      <c r="D620" s="605" t="inlineStr">
        <is>
          <t>11154  HURON ST #207</t>
        </is>
      </c>
      <c r="E620" s="605" t="n">
        <v>1344</v>
      </c>
      <c r="F620" s="605" t="inlineStr">
        <is>
          <t>NORTHGLENN</t>
        </is>
      </c>
      <c r="G620" s="605" t="inlineStr">
        <is>
          <t>4</t>
        </is>
      </c>
      <c r="H620" s="59">
        <f>Y620/J620</f>
        <v/>
      </c>
      <c r="I620" s="386" t="n">
        <v>44470</v>
      </c>
      <c r="J620" s="605" t="n">
        <v>1829</v>
      </c>
      <c r="L620" s="605" t="n">
        <v>1829</v>
      </c>
      <c r="M620" s="605" t="n">
        <v>2001</v>
      </c>
      <c r="P620" s="605" t="inlineStr">
        <is>
          <t>C-0-Nor</t>
        </is>
      </c>
      <c r="R620" s="152" t="inlineStr">
        <is>
          <t>Average</t>
        </is>
      </c>
      <c r="S620" s="605" t="n">
        <v>5862</v>
      </c>
      <c r="T620" s="387">
        <f>S620/J620</f>
        <v/>
      </c>
      <c r="U620" s="605" t="inlineStr">
        <is>
          <t>Average</t>
        </is>
      </c>
      <c r="Y620" s="605" t="n">
        <v>330000</v>
      </c>
      <c r="AA620" s="605" t="n">
        <v>330000</v>
      </c>
      <c r="AC620" s="605" t="inlineStr">
        <is>
          <t>0171910205049</t>
        </is>
      </c>
      <c r="AD620" s="605" t="inlineStr">
        <is>
          <t>2021000116826</t>
        </is>
      </c>
      <c r="AE620" s="605" t="inlineStr">
        <is>
          <t>LUCERO LAND TRUST</t>
        </is>
      </c>
      <c r="AF620" s="605" t="inlineStr">
        <is>
          <t>CYNOSURA LLC</t>
        </is>
      </c>
      <c r="AI620" s="605">
        <f>IF(AND($E620=Subj_OccCode,Subj_BldgSF&gt;0,ABS($L620-Subj_BldgSF)&lt;=Subj_BldgSF*Subj_SizeTol),ABS($L620-Subj_BldgSF),NA())</f>
        <v/>
      </c>
      <c r="AJ620">
        <f>IF(ISNA(AI620),NA(),AI620+ROW()/10000000)</f>
        <v/>
      </c>
      <c r="AK620" s="605">
        <f>IF(AND(ISNUMBER($N620),$N620&gt;0,ISNUMBER($Y620)),$Y620/$N620,"")</f>
        <v/>
      </c>
    </row>
    <row r="621" ht="15" customHeight="1" s="545">
      <c r="A621" s="385" t="n">
        <v>8</v>
      </c>
      <c r="B621" s="605" t="n">
        <v>617</v>
      </c>
      <c r="C621" s="605" t="inlineStr">
        <is>
          <t>R0164391</t>
        </is>
      </c>
      <c r="D621" s="605" t="inlineStr">
        <is>
          <t>2611 W 64TH AVE #B</t>
        </is>
      </c>
      <c r="E621" s="605" t="n">
        <v>425</v>
      </c>
      <c r="G621" s="605" t="inlineStr">
        <is>
          <t>5</t>
        </is>
      </c>
      <c r="H621" s="59">
        <f>Y621/J621</f>
        <v/>
      </c>
      <c r="I621" s="386" t="n">
        <v>44315</v>
      </c>
      <c r="J621" s="605" t="n">
        <v>2005</v>
      </c>
      <c r="L621" s="605" t="n">
        <v>2005</v>
      </c>
      <c r="M621" s="605" t="n">
        <v>2005</v>
      </c>
      <c r="P621" s="605" t="inlineStr">
        <is>
          <t>Industrial</t>
        </is>
      </c>
      <c r="R621" s="152" t="inlineStr">
        <is>
          <t>Average</t>
        </is>
      </c>
      <c r="S621" s="605" t="n">
        <v>10924</v>
      </c>
      <c r="T621" s="387">
        <f>S621/J621</f>
        <v/>
      </c>
      <c r="U621" s="605" t="inlineStr">
        <is>
          <t>Average</t>
        </is>
      </c>
      <c r="Y621" s="605" t="n">
        <v>395000</v>
      </c>
      <c r="AA621" s="605" t="n">
        <v>395000</v>
      </c>
      <c r="AC621" s="605" t="inlineStr">
        <is>
          <t>0182505407029</t>
        </is>
      </c>
      <c r="AD621" s="605" t="inlineStr">
        <is>
          <t>2021000053410</t>
        </is>
      </c>
      <c r="AE621" s="605" t="inlineStr">
        <is>
          <t>RAB77 LLC</t>
        </is>
      </c>
      <c r="AF621" s="605" t="inlineStr">
        <is>
          <t>FREEDMAN ROBERT ANDREW AND , FREEDMAN LORI ELAINE</t>
        </is>
      </c>
      <c r="AI621" s="605">
        <f>IF(AND($E621=Subj_OccCode,Subj_BldgSF&gt;0,ABS($L621-Subj_BldgSF)&lt;=Subj_BldgSF*Subj_SizeTol),ABS($L621-Subj_BldgSF),NA())</f>
        <v/>
      </c>
      <c r="AJ621">
        <f>IF(ISNA(AI621),NA(),AI621+ROW()/10000000)</f>
        <v/>
      </c>
      <c r="AK621" s="605">
        <f>IF(AND(ISNUMBER($N621),$N621&gt;0,ISNUMBER($Y621)),$Y621/$N621,"")</f>
        <v/>
      </c>
    </row>
    <row r="622" ht="15" customHeight="1" s="545">
      <c r="A622" s="385" t="n">
        <v>8</v>
      </c>
      <c r="B622" s="605" t="n">
        <v>618</v>
      </c>
      <c r="C622" s="605" t="inlineStr">
        <is>
          <t>R0150308</t>
        </is>
      </c>
      <c r="D622" s="605" t="inlineStr">
        <is>
          <t>7140  IVY ST #F</t>
        </is>
      </c>
      <c r="E622" s="605" t="n">
        <v>534</v>
      </c>
      <c r="F622" s="605" t="inlineStr">
        <is>
          <t>COMMERCE CITY</t>
        </is>
      </c>
      <c r="G622" s="605" t="inlineStr">
        <is>
          <t>2</t>
        </is>
      </c>
      <c r="H622" s="59">
        <f>Y622/J622</f>
        <v/>
      </c>
      <c r="I622" s="386" t="n">
        <v>43328</v>
      </c>
      <c r="J622" s="605" t="n">
        <v>1500</v>
      </c>
      <c r="L622" s="605" t="n">
        <v>1500</v>
      </c>
      <c r="M622" s="605" t="n">
        <v>2002</v>
      </c>
      <c r="R622" s="152" t="inlineStr">
        <is>
          <t>Average</t>
        </is>
      </c>
      <c r="S622" s="605" t="n">
        <v>6448</v>
      </c>
      <c r="T622" s="387">
        <f>S622/J622</f>
        <v/>
      </c>
      <c r="U622" s="605" t="inlineStr">
        <is>
          <t>Average</t>
        </is>
      </c>
      <c r="Y622" s="605" t="n">
        <v>250000</v>
      </c>
      <c r="AA622" s="605" t="n">
        <v>250000</v>
      </c>
      <c r="AC622" s="605" t="inlineStr">
        <is>
          <t>0182305221049</t>
        </is>
      </c>
      <c r="AD622" s="605" t="inlineStr">
        <is>
          <t>2018000067294</t>
        </is>
      </c>
      <c r="AE622" s="605" t="inlineStr">
        <is>
          <t>IVY IVY LLC</t>
        </is>
      </c>
      <c r="AF622" s="605" t="inlineStr">
        <is>
          <t>ALPHAENDEAVOR INC</t>
        </is>
      </c>
      <c r="AI622" s="605">
        <f>IF(AND($E622=Subj_OccCode,Subj_BldgSF&gt;0,ABS($L622-Subj_BldgSF)&lt;=Subj_BldgSF*Subj_SizeTol),ABS($L622-Subj_BldgSF),NA())</f>
        <v/>
      </c>
      <c r="AJ622">
        <f>IF(ISNA(AI622),NA(),AI622+ROW()/10000000)</f>
        <v/>
      </c>
      <c r="AK622" s="605">
        <f>IF(AND(ISNUMBER($N622),$N622&gt;0,ISNUMBER($Y622)),$Y622/$N622,"")</f>
        <v/>
      </c>
    </row>
    <row r="623" ht="15" customHeight="1" s="545">
      <c r="A623" s="385" t="n">
        <v>8</v>
      </c>
      <c r="B623" s="605" t="n">
        <v>619</v>
      </c>
      <c r="C623" s="605" t="inlineStr">
        <is>
          <t>R0155093</t>
        </is>
      </c>
      <c r="D623" s="605" t="inlineStr">
        <is>
          <t>6915  BROADWAY ST</t>
        </is>
      </c>
      <c r="E623" s="605" t="n">
        <v>425</v>
      </c>
      <c r="G623" s="605" t="inlineStr">
        <is>
          <t>5</t>
        </is>
      </c>
      <c r="H623" s="59">
        <f>Y623/J623</f>
        <v/>
      </c>
      <c r="I623" s="386" t="n">
        <v>43539</v>
      </c>
      <c r="J623" s="605" t="n">
        <v>1310</v>
      </c>
      <c r="L623" s="605" t="n">
        <v>1310</v>
      </c>
      <c r="M623" s="605" t="n">
        <v>2003</v>
      </c>
      <c r="R623" s="152" t="inlineStr">
        <is>
          <t>Good</t>
        </is>
      </c>
      <c r="S623" s="605" t="n">
        <v>4402</v>
      </c>
      <c r="T623" s="387">
        <f>S623/J623</f>
        <v/>
      </c>
      <c r="U623" s="605" t="inlineStr">
        <is>
          <t>Good</t>
        </is>
      </c>
      <c r="Y623" s="605" t="n">
        <v>395000</v>
      </c>
      <c r="AA623" s="605" t="n">
        <v>395000</v>
      </c>
      <c r="AC623" s="605" t="inlineStr">
        <is>
          <t>0182503218038</t>
        </is>
      </c>
      <c r="AD623" s="605" t="inlineStr">
        <is>
          <t>2019000024190</t>
        </is>
      </c>
      <c r="AE623" s="605" t="inlineStr">
        <is>
          <t>WHAT REAL ESTATE LLC</t>
        </is>
      </c>
      <c r="AF623" s="605" t="inlineStr">
        <is>
          <t>MITCHELL BROTHERS HOLDINGS LLC</t>
        </is>
      </c>
      <c r="AI623" s="605">
        <f>IF(AND($E623=Subj_OccCode,Subj_BldgSF&gt;0,ABS($L623-Subj_BldgSF)&lt;=Subj_BldgSF*Subj_SizeTol),ABS($L623-Subj_BldgSF),NA())</f>
        <v/>
      </c>
      <c r="AJ623">
        <f>IF(ISNA(AI623),NA(),AI623+ROW()/10000000)</f>
        <v/>
      </c>
      <c r="AK623" s="605">
        <f>IF(AND(ISNUMBER($N623),$N623&gt;0,ISNUMBER($Y623)),$Y623/$N623,"")</f>
        <v/>
      </c>
    </row>
    <row r="624" ht="15" customHeight="1" s="545">
      <c r="A624" s="385" t="n">
        <v>8</v>
      </c>
      <c r="B624" s="605" t="n">
        <v>620</v>
      </c>
      <c r="C624" s="605" t="inlineStr">
        <is>
          <t>R0175491</t>
        </is>
      </c>
      <c r="D624" s="605" t="inlineStr">
        <is>
          <t>9461 HURON ST</t>
        </is>
      </c>
      <c r="E624" s="605" t="n">
        <v>382</v>
      </c>
      <c r="F624" s="605" t="inlineStr">
        <is>
          <t>THORNTON</t>
        </is>
      </c>
      <c r="G624" s="605" t="inlineStr">
        <is>
          <t>4</t>
        </is>
      </c>
      <c r="H624" s="59">
        <f>Y624/J624</f>
        <v/>
      </c>
      <c r="I624" s="386" t="n">
        <v>43731</v>
      </c>
      <c r="J624" s="605" t="n">
        <v>19254</v>
      </c>
      <c r="L624" s="605" t="n">
        <v>19254</v>
      </c>
      <c r="M624" s="605" t="n">
        <v>2007</v>
      </c>
      <c r="P624" s="605" t="inlineStr">
        <is>
          <t>Community Retail</t>
        </is>
      </c>
      <c r="R624" s="152" t="inlineStr">
        <is>
          <t>Average</t>
        </is>
      </c>
      <c r="S624" s="605" t="n">
        <v>100440</v>
      </c>
      <c r="T624" s="387">
        <f>S624/J624</f>
        <v/>
      </c>
      <c r="U624" s="605" t="inlineStr">
        <is>
          <t>Average</t>
        </is>
      </c>
      <c r="Y624" s="605" t="n">
        <v>4100000</v>
      </c>
      <c r="AA624" s="605" t="n">
        <v>4100000</v>
      </c>
      <c r="AC624" s="605" t="inlineStr">
        <is>
          <t>0171921103054</t>
        </is>
      </c>
      <c r="AD624" s="605" t="inlineStr">
        <is>
          <t>2019000080708</t>
        </is>
      </c>
      <c r="AE624" s="605" t="inlineStr">
        <is>
          <t>NREF THORNTON COLORADO LLC UND 92.60, MARTIN THORNTON COLORADO LLC UND 7.40</t>
        </is>
      </c>
      <c r="AF624" s="605" t="inlineStr">
        <is>
          <t>PARAMOUNT COMMERCIAL REALTY LLC</t>
        </is>
      </c>
      <c r="AI624" s="605">
        <f>IF(AND($E624=Subj_OccCode,Subj_BldgSF&gt;0,ABS($L624-Subj_BldgSF)&lt;=Subj_BldgSF*Subj_SizeTol),ABS($L624-Subj_BldgSF),NA())</f>
        <v/>
      </c>
      <c r="AJ624">
        <f>IF(ISNA(AI624),NA(),AI624+ROW()/10000000)</f>
        <v/>
      </c>
      <c r="AK624" s="605">
        <f>IF(AND(ISNUMBER($N624),$N624&gt;0,ISNUMBER($Y624)),$Y624/$N624,"")</f>
        <v/>
      </c>
    </row>
    <row r="625" ht="15" customHeight="1" s="545">
      <c r="A625" s="385" t="n">
        <v>8</v>
      </c>
      <c r="B625" s="605" t="n">
        <v>621</v>
      </c>
      <c r="C625" s="605" t="inlineStr">
        <is>
          <t>R0168918</t>
        </is>
      </c>
      <c r="D625" s="605" t="inlineStr">
        <is>
          <t>640  MALLEY DR</t>
        </is>
      </c>
      <c r="E625" s="605" t="n">
        <v>353</v>
      </c>
      <c r="F625" s="605" t="inlineStr">
        <is>
          <t>NORTHGLENN</t>
        </is>
      </c>
      <c r="G625" s="605" t="inlineStr">
        <is>
          <t>4</t>
        </is>
      </c>
      <c r="H625" s="59">
        <f>Y625/J625</f>
        <v/>
      </c>
      <c r="I625" s="386" t="n">
        <v>44348</v>
      </c>
      <c r="J625" s="605" t="n">
        <v>4020</v>
      </c>
      <c r="L625" s="605" t="n">
        <v>4020</v>
      </c>
      <c r="M625" s="605" t="n">
        <v>1978</v>
      </c>
      <c r="P625" s="605" t="inlineStr">
        <is>
          <t>C-4-Nor</t>
        </is>
      </c>
      <c r="R625" s="152" t="inlineStr">
        <is>
          <t>Average</t>
        </is>
      </c>
      <c r="S625" s="605" t="n">
        <v>36199</v>
      </c>
      <c r="T625" s="387">
        <f>S625/J625</f>
        <v/>
      </c>
      <c r="U625" s="605" t="inlineStr">
        <is>
          <t>Average</t>
        </is>
      </c>
      <c r="Y625" s="605" t="n">
        <v>838800</v>
      </c>
      <c r="AA625" s="605" t="n">
        <v>838800</v>
      </c>
      <c r="AC625" s="605" t="inlineStr">
        <is>
          <t>0171903409021</t>
        </is>
      </c>
      <c r="AD625" s="605" t="inlineStr">
        <is>
          <t>2021000067049</t>
        </is>
      </c>
      <c r="AE625" s="605" t="inlineStr">
        <is>
          <t>QUAN LAWRENCE AND, WU HAN WEN</t>
        </is>
      </c>
      <c r="AF625" s="605" t="inlineStr">
        <is>
          <t>XING LONG HOUSE LLC</t>
        </is>
      </c>
      <c r="AI625" s="605">
        <f>IF(AND($E625=Subj_OccCode,Subj_BldgSF&gt;0,ABS($L625-Subj_BldgSF)&lt;=Subj_BldgSF*Subj_SizeTol),ABS($L625-Subj_BldgSF),NA())</f>
        <v/>
      </c>
      <c r="AJ625">
        <f>IF(ISNA(AI625),NA(),AI625+ROW()/10000000)</f>
        <v/>
      </c>
      <c r="AK625" s="605">
        <f>IF(AND(ISNUMBER($N625),$N625&gt;0,ISNUMBER($Y625)),$Y625/$N625,"")</f>
        <v/>
      </c>
    </row>
    <row r="626" ht="15" customHeight="1" s="545">
      <c r="A626" s="385" t="n">
        <v>8</v>
      </c>
      <c r="B626" s="605" t="n">
        <v>622</v>
      </c>
      <c r="C626" s="605" t="inlineStr">
        <is>
          <t>R0178560</t>
        </is>
      </c>
      <c r="D626" s="605" t="inlineStr">
        <is>
          <t>8450 ROSEMARY ST</t>
        </is>
      </c>
      <c r="E626" s="605" t="n">
        <v>406</v>
      </c>
      <c r="F626" s="605" t="inlineStr">
        <is>
          <t>COMMERCE CITY</t>
        </is>
      </c>
      <c r="G626" s="605" t="inlineStr">
        <is>
          <t>5</t>
        </is>
      </c>
      <c r="H626" s="59">
        <f>Y626/J626</f>
        <v/>
      </c>
      <c r="I626" s="386" t="n">
        <v>44687</v>
      </c>
      <c r="J626" s="605" t="n">
        <v>18980</v>
      </c>
      <c r="L626" s="605" t="n">
        <v>18980</v>
      </c>
      <c r="M626" s="605" t="n">
        <v>1972</v>
      </c>
      <c r="P626" s="605" t="inlineStr">
        <is>
          <t>I-1-Com</t>
        </is>
      </c>
      <c r="R626" s="152" t="inlineStr">
        <is>
          <t>Average</t>
        </is>
      </c>
      <c r="S626" s="605" t="n">
        <v>53025.588</v>
      </c>
      <c r="T626" s="387">
        <f>S626/J626</f>
        <v/>
      </c>
      <c r="U626" s="605" t="inlineStr">
        <is>
          <t>Average</t>
        </is>
      </c>
      <c r="Y626" s="605" t="n">
        <v>3625000</v>
      </c>
      <c r="AA626" s="605" t="n">
        <v>3625000</v>
      </c>
      <c r="AC626" s="605" t="inlineStr">
        <is>
          <t>0172128212013</t>
        </is>
      </c>
      <c r="AD626" s="605" t="inlineStr">
        <is>
          <t>2022000042382</t>
        </is>
      </c>
      <c r="AE626" s="605" t="inlineStr">
        <is>
          <t>GLTS HOLDINGS LLC</t>
        </is>
      </c>
      <c r="AF626" s="605" t="inlineStr">
        <is>
          <t>ROSEMARY INDUSTRIAL GROUP LLC ET AL</t>
        </is>
      </c>
      <c r="AI626" s="605">
        <f>IF(AND($E626=Subj_OccCode,Subj_BldgSF&gt;0,ABS($L626-Subj_BldgSF)&lt;=Subj_BldgSF*Subj_SizeTol),ABS($L626-Subj_BldgSF),NA())</f>
        <v/>
      </c>
      <c r="AJ626">
        <f>IF(ISNA(AI626),NA(),AI626+ROW()/10000000)</f>
        <v/>
      </c>
      <c r="AK626" s="605">
        <f>IF(AND(ISNUMBER($N626),$N626&gt;0,ISNUMBER($Y626)),$Y626/$N626,"")</f>
        <v/>
      </c>
    </row>
    <row r="627" ht="15" customHeight="1" s="545">
      <c r="A627" s="385" t="n">
        <v>8</v>
      </c>
      <c r="B627" s="605" t="n">
        <v>623</v>
      </c>
      <c r="C627" s="605" t="inlineStr">
        <is>
          <t>R0132254</t>
        </is>
      </c>
      <c r="D627" s="605" t="inlineStr">
        <is>
          <t>9752  HANOVER CT</t>
        </is>
      </c>
      <c r="E627" s="605" t="n">
        <v>407</v>
      </c>
      <c r="F627" s="605" t="inlineStr">
        <is>
          <t>COMMERCE CITY</t>
        </is>
      </c>
      <c r="G627" s="605" t="inlineStr">
        <is>
          <t>5</t>
        </is>
      </c>
      <c r="H627" s="59">
        <f>Y627/J627</f>
        <v/>
      </c>
      <c r="I627" s="386" t="n">
        <v>43983</v>
      </c>
      <c r="J627" s="605" t="n">
        <v>14500</v>
      </c>
      <c r="L627" s="605" t="n">
        <v>14500</v>
      </c>
      <c r="M627" s="605" t="n">
        <v>1999</v>
      </c>
      <c r="P627" s="605" t="inlineStr">
        <is>
          <t>PUD-Com</t>
        </is>
      </c>
      <c r="R627" s="152" t="inlineStr">
        <is>
          <t>Good</t>
        </is>
      </c>
      <c r="S627" s="605" t="n">
        <v>93252</v>
      </c>
      <c r="T627" s="387">
        <f>S627/J627</f>
        <v/>
      </c>
      <c r="U627" s="605" t="inlineStr">
        <is>
          <t>Average</t>
        </is>
      </c>
      <c r="Y627" s="605" t="n">
        <v>2690000</v>
      </c>
      <c r="AA627" s="605" t="n">
        <v>2690000</v>
      </c>
      <c r="AC627" s="605" t="inlineStr">
        <is>
          <t>0172115401007</t>
        </is>
      </c>
      <c r="AD627" s="605" t="inlineStr">
        <is>
          <t>2020000049018</t>
        </is>
      </c>
      <c r="AE627" s="605" t="inlineStr">
        <is>
          <t>HANOVER COURT LLC</t>
        </is>
      </c>
      <c r="AF627" s="605" t="inlineStr">
        <is>
          <t>LMS REAL ESTATE LLC</t>
        </is>
      </c>
      <c r="AI627" s="605">
        <f>IF(AND($E627=Subj_OccCode,Subj_BldgSF&gt;0,ABS($L627-Subj_BldgSF)&lt;=Subj_BldgSF*Subj_SizeTol),ABS($L627-Subj_BldgSF),NA())</f>
        <v/>
      </c>
      <c r="AJ627">
        <f>IF(ISNA(AI627),NA(),AI627+ROW()/10000000)</f>
        <v/>
      </c>
      <c r="AK627" s="605">
        <f>IF(AND(ISNUMBER($N627),$N627&gt;0,ISNUMBER($Y627)),$Y627/$N627,"")</f>
        <v/>
      </c>
    </row>
    <row r="628" ht="15" customHeight="1" s="545">
      <c r="A628" s="385" t="n">
        <v>8</v>
      </c>
      <c r="B628" s="605" t="n">
        <v>624</v>
      </c>
      <c r="C628" s="605" t="inlineStr">
        <is>
          <t>R0179639</t>
        </is>
      </c>
      <c r="D628" s="605" t="inlineStr">
        <is>
          <t>18335 E 103RD AVE #203</t>
        </is>
      </c>
      <c r="E628" s="605" t="n">
        <v>344</v>
      </c>
      <c r="F628" s="605" t="inlineStr">
        <is>
          <t>COMMERCE CITY</t>
        </is>
      </c>
      <c r="G628" s="605" t="inlineStr">
        <is>
          <t>2</t>
        </is>
      </c>
      <c r="H628" s="59">
        <f>Y628/J628</f>
        <v/>
      </c>
      <c r="I628" s="386" t="n">
        <v>43900</v>
      </c>
      <c r="J628" s="605" t="n">
        <v>2621</v>
      </c>
      <c r="L628" s="605" t="n">
        <v>2624</v>
      </c>
      <c r="M628" s="605" t="n">
        <v>2010</v>
      </c>
      <c r="P628" s="605" t="inlineStr">
        <is>
          <t>PUD-Com</t>
        </is>
      </c>
      <c r="R628" s="152" t="inlineStr">
        <is>
          <t>Average</t>
        </is>
      </c>
      <c r="S628" s="605" t="n">
        <v>10132</v>
      </c>
      <c r="T628" s="387">
        <f>S628/J628</f>
        <v/>
      </c>
      <c r="U628" s="605" t="inlineStr">
        <is>
          <t>Average</t>
        </is>
      </c>
      <c r="Y628" s="605" t="n">
        <v>225000</v>
      </c>
      <c r="AA628" s="605" t="n">
        <v>225000</v>
      </c>
      <c r="AC628" s="605" t="inlineStr">
        <is>
          <t>0172316121024</t>
        </is>
      </c>
      <c r="AD628" s="605" t="inlineStr">
        <is>
          <t>2020000023177</t>
        </is>
      </c>
      <c r="AE628" s="605" t="inlineStr">
        <is>
          <t>ITSB LLC</t>
        </is>
      </c>
      <c r="AF628" s="605" t="inlineStr">
        <is>
          <t>BEALL ROBERT L</t>
        </is>
      </c>
      <c r="AI628" s="605">
        <f>IF(AND($E628=Subj_OccCode,Subj_BldgSF&gt;0,ABS($L628-Subj_BldgSF)&lt;=Subj_BldgSF*Subj_SizeTol),ABS($L628-Subj_BldgSF),NA())</f>
        <v/>
      </c>
      <c r="AJ628">
        <f>IF(ISNA(AI628),NA(),AI628+ROW()/10000000)</f>
        <v/>
      </c>
      <c r="AK628" s="605">
        <f>IF(AND(ISNUMBER($N628),$N628&gt;0,ISNUMBER($Y628)),$Y628/$N628,"")</f>
        <v/>
      </c>
    </row>
    <row r="629" ht="15" customHeight="1" s="545">
      <c r="A629" s="385" t="n">
        <v>8</v>
      </c>
      <c r="B629" s="605" t="n">
        <v>625</v>
      </c>
      <c r="C629" s="605" t="inlineStr">
        <is>
          <t>R0162825</t>
        </is>
      </c>
      <c r="D629" s="605" t="inlineStr">
        <is>
          <t>11495  WASHINGTON ST</t>
        </is>
      </c>
      <c r="E629" s="605" t="n">
        <v>436</v>
      </c>
      <c r="F629" s="605" t="inlineStr">
        <is>
          <t>NORTHGLENN</t>
        </is>
      </c>
      <c r="G629" s="605" t="inlineStr">
        <is>
          <t>4</t>
        </is>
      </c>
      <c r="H629" s="59">
        <f>Y629/J629</f>
        <v/>
      </c>
      <c r="I629" s="386" t="n">
        <v>43147</v>
      </c>
      <c r="J629" s="605" t="n">
        <v>5416</v>
      </c>
      <c r="L629" s="605" t="n">
        <v>5416</v>
      </c>
      <c r="M629" s="605" t="n">
        <v>2006</v>
      </c>
      <c r="R629" s="152" t="inlineStr">
        <is>
          <t>Average</t>
        </is>
      </c>
      <c r="S629" s="605" t="n">
        <v>35777</v>
      </c>
      <c r="T629" s="387">
        <f>S629/J629</f>
        <v/>
      </c>
      <c r="U629" s="605" t="inlineStr">
        <is>
          <t>Average</t>
        </is>
      </c>
      <c r="Y629" s="605" t="n">
        <v>950000</v>
      </c>
      <c r="AA629" s="605" t="n">
        <v>950000</v>
      </c>
      <c r="AC629" s="605" t="inlineStr">
        <is>
          <t>0171903413005</t>
        </is>
      </c>
      <c r="AD629" s="605" t="inlineStr">
        <is>
          <t>2018000014328</t>
        </is>
      </c>
      <c r="AE629" s="605" t="inlineStr">
        <is>
          <t>BRIGHT LIGHT LLC</t>
        </is>
      </c>
      <c r="AF629" s="605" t="inlineStr">
        <is>
          <t>TL &amp; DT LLC</t>
        </is>
      </c>
      <c r="AI629" s="605">
        <f>IF(AND($E629=Subj_OccCode,Subj_BldgSF&gt;0,ABS($L629-Subj_BldgSF)&lt;=Subj_BldgSF*Subj_SizeTol),ABS($L629-Subj_BldgSF),NA())</f>
        <v/>
      </c>
      <c r="AJ629">
        <f>IF(ISNA(AI629),NA(),AI629+ROW()/10000000)</f>
        <v/>
      </c>
      <c r="AK629" s="605">
        <f>IF(AND(ISNUMBER($N629),$N629&gt;0,ISNUMBER($Y629)),$Y629/$N629,"")</f>
        <v/>
      </c>
    </row>
    <row r="630" ht="15" customHeight="1" s="545">
      <c r="A630" s="385" t="n">
        <v>8</v>
      </c>
      <c r="B630" s="605" t="n">
        <v>626</v>
      </c>
      <c r="C630" s="605" t="inlineStr">
        <is>
          <t>R0155092</t>
        </is>
      </c>
      <c r="D630" s="605" t="inlineStr">
        <is>
          <t>6911  BROADWAY ST</t>
        </is>
      </c>
      <c r="E630" s="605" t="n">
        <v>425</v>
      </c>
      <c r="G630" s="605" t="inlineStr">
        <is>
          <t>5</t>
        </is>
      </c>
      <c r="H630" s="59">
        <f>Y630/J630</f>
        <v/>
      </c>
      <c r="I630" s="386" t="n">
        <v>44153</v>
      </c>
      <c r="J630" s="605" t="n">
        <v>2197</v>
      </c>
      <c r="L630" s="605" t="n">
        <v>2197</v>
      </c>
      <c r="M630" s="605" t="n">
        <v>2003</v>
      </c>
      <c r="P630" s="605" t="inlineStr">
        <is>
          <t>Planned Unit Development</t>
        </is>
      </c>
      <c r="R630" s="152" t="inlineStr">
        <is>
          <t>Good</t>
        </is>
      </c>
      <c r="S630" s="605" t="n">
        <v>4402</v>
      </c>
      <c r="T630" s="387">
        <f>S630/J630</f>
        <v/>
      </c>
      <c r="U630" s="605" t="inlineStr">
        <is>
          <t>Good</t>
        </is>
      </c>
      <c r="Y630" s="605" t="n">
        <v>395000</v>
      </c>
      <c r="AA630" s="605" t="n">
        <v>395000</v>
      </c>
      <c r="AC630" s="605" t="inlineStr">
        <is>
          <t>0182503218037</t>
        </is>
      </c>
      <c r="AD630" s="605" t="inlineStr">
        <is>
          <t>2020000120628</t>
        </is>
      </c>
      <c r="AE630" s="605" t="inlineStr">
        <is>
          <t>BARRIE RANDY L</t>
        </is>
      </c>
      <c r="AF630" s="605" t="inlineStr">
        <is>
          <t>GABRIEL RICHARD B</t>
        </is>
      </c>
      <c r="AI630" s="605">
        <f>IF(AND($E630=Subj_OccCode,Subj_BldgSF&gt;0,ABS($L630-Subj_BldgSF)&lt;=Subj_BldgSF*Subj_SizeTol),ABS($L630-Subj_BldgSF),NA())</f>
        <v/>
      </c>
      <c r="AJ630">
        <f>IF(ISNA(AI630),NA(),AI630+ROW()/10000000)</f>
        <v/>
      </c>
      <c r="AK630" s="605">
        <f>IF(AND(ISNUMBER($N630),$N630&gt;0,ISNUMBER($Y630)),$Y630/$N630,"")</f>
        <v/>
      </c>
    </row>
    <row r="631" ht="15" customHeight="1" s="545">
      <c r="A631" s="385" t="n">
        <v>8</v>
      </c>
      <c r="B631" s="605" t="n">
        <v>627</v>
      </c>
      <c r="C631" s="605" t="inlineStr">
        <is>
          <t>R0165222</t>
        </is>
      </c>
      <c r="D631" s="605" t="inlineStr">
        <is>
          <t>18364 E 104TH AVE</t>
        </is>
      </c>
      <c r="E631" s="605" t="n">
        <v>353</v>
      </c>
      <c r="F631" s="605" t="inlineStr">
        <is>
          <t>COMMERCE CITY</t>
        </is>
      </c>
      <c r="G631" s="605" t="inlineStr">
        <is>
          <t>2</t>
        </is>
      </c>
      <c r="H631" s="59">
        <f>Y631/J631</f>
        <v/>
      </c>
      <c r="I631" s="386" t="n">
        <v>43441</v>
      </c>
      <c r="J631" s="605" t="n">
        <v>7225</v>
      </c>
      <c r="L631" s="605" t="n">
        <v>7225</v>
      </c>
      <c r="M631" s="605" t="n">
        <v>2007</v>
      </c>
      <c r="R631" s="152" t="inlineStr">
        <is>
          <t>Average</t>
        </is>
      </c>
      <c r="S631" s="605" t="n">
        <v>24968</v>
      </c>
      <c r="T631" s="387">
        <f>S631/J631</f>
        <v/>
      </c>
      <c r="U631" s="605" t="inlineStr">
        <is>
          <t>Average</t>
        </is>
      </c>
      <c r="Y631" s="605" t="n">
        <v>1200000</v>
      </c>
      <c r="AA631" s="605" t="n">
        <v>1200000</v>
      </c>
      <c r="AC631" s="605" t="inlineStr">
        <is>
          <t>0172316121005</t>
        </is>
      </c>
      <c r="AD631" s="605" t="inlineStr">
        <is>
          <t>2018000098261</t>
        </is>
      </c>
      <c r="AE631" s="605" t="inlineStr">
        <is>
          <t>BURKE FAMILY INVESTMENT CLUB LLC, FKA BURKE FAMILY INVESTMENT CLUB LLC</t>
        </is>
      </c>
      <c r="AF631" s="605" t="inlineStr">
        <is>
          <t>104TH &amp; TOWER LLC</t>
        </is>
      </c>
      <c r="AI631" s="605">
        <f>IF(AND($E631=Subj_OccCode,Subj_BldgSF&gt;0,ABS($L631-Subj_BldgSF)&lt;=Subj_BldgSF*Subj_SizeTol),ABS($L631-Subj_BldgSF),NA())</f>
        <v/>
      </c>
      <c r="AJ631">
        <f>IF(ISNA(AI631),NA(),AI631+ROW()/10000000)</f>
        <v/>
      </c>
      <c r="AK631" s="605">
        <f>IF(AND(ISNUMBER($N631),$N631&gt;0,ISNUMBER($Y631)),$Y631/$N631,"")</f>
        <v/>
      </c>
    </row>
    <row r="632" ht="15" customHeight="1" s="545">
      <c r="A632" s="385" t="n">
        <v>8</v>
      </c>
      <c r="B632" s="605" t="n">
        <v>628</v>
      </c>
      <c r="C632" s="605" t="inlineStr">
        <is>
          <t>R0174706</t>
        </is>
      </c>
      <c r="D632" s="605" t="inlineStr">
        <is>
          <t>21 N 42ND AVE</t>
        </is>
      </c>
      <c r="E632" s="605" t="n">
        <v>412</v>
      </c>
      <c r="F632" s="605" t="inlineStr">
        <is>
          <t>BRIGHTON</t>
        </is>
      </c>
      <c r="G632" s="605" t="inlineStr">
        <is>
          <t>2</t>
        </is>
      </c>
      <c r="H632" s="59">
        <f>Y632/J632</f>
        <v/>
      </c>
      <c r="I632" s="386" t="n">
        <v>43103</v>
      </c>
      <c r="J632" s="605" t="n">
        <v>15400</v>
      </c>
      <c r="L632" s="605" t="n">
        <v>15400</v>
      </c>
      <c r="M632" s="605" t="n">
        <v>2004</v>
      </c>
      <c r="R632" s="152" t="inlineStr">
        <is>
          <t>Average</t>
        </is>
      </c>
      <c r="S632" s="605" t="n">
        <v>14512</v>
      </c>
      <c r="T632" s="387">
        <f>S632/J632</f>
        <v/>
      </c>
      <c r="U632" s="605" t="inlineStr">
        <is>
          <t>Average</t>
        </is>
      </c>
      <c r="Y632" s="605" t="n">
        <v>3200000</v>
      </c>
      <c r="AA632" s="605" t="n">
        <v>3200000</v>
      </c>
      <c r="AC632" s="605" t="inlineStr">
        <is>
          <t>0156903322019</t>
        </is>
      </c>
      <c r="AD632" s="605" t="inlineStr">
        <is>
          <t>2018000000861</t>
        </is>
      </c>
      <c r="AE632" s="605" t="inlineStr">
        <is>
          <t>BUFFS LANDING WEST LLC</t>
        </is>
      </c>
      <c r="AF632" s="605" t="inlineStr">
        <is>
          <t>BACKFLIP LLC</t>
        </is>
      </c>
      <c r="AI632" s="605">
        <f>IF(AND($E632=Subj_OccCode,Subj_BldgSF&gt;0,ABS($L632-Subj_BldgSF)&lt;=Subj_BldgSF*Subj_SizeTol),ABS($L632-Subj_BldgSF),NA())</f>
        <v/>
      </c>
      <c r="AJ632">
        <f>IF(ISNA(AI632),NA(),AI632+ROW()/10000000)</f>
        <v/>
      </c>
      <c r="AK632" s="605">
        <f>IF(AND(ISNUMBER($N632),$N632&gt;0,ISNUMBER($Y632)),$Y632/$N632,"")</f>
        <v/>
      </c>
    </row>
    <row r="633" ht="15" customHeight="1" s="545">
      <c r="A633" s="385" t="n">
        <v>8</v>
      </c>
      <c r="B633" s="605" t="n">
        <v>629</v>
      </c>
      <c r="C633" s="605" t="inlineStr">
        <is>
          <t>R0178209</t>
        </is>
      </c>
      <c r="D633" s="605" t="inlineStr">
        <is>
          <t>8940 COLORADO BLVD</t>
        </is>
      </c>
      <c r="E633" s="605" t="n">
        <v>434</v>
      </c>
      <c r="F633" s="605" t="inlineStr">
        <is>
          <t>THORNTON</t>
        </is>
      </c>
      <c r="G633" s="605" t="inlineStr">
        <is>
          <t>5</t>
        </is>
      </c>
      <c r="H633" s="59">
        <f>Y633/J633</f>
        <v/>
      </c>
      <c r="I633" s="386" t="n">
        <v>43767</v>
      </c>
      <c r="J633" s="605" t="n">
        <v>3760</v>
      </c>
      <c r="L633" s="605" t="n">
        <v>3760</v>
      </c>
      <c r="M633" s="605" t="n">
        <v>2009</v>
      </c>
      <c r="P633" s="605" t="inlineStr">
        <is>
          <t>Community Retail</t>
        </is>
      </c>
      <c r="R633" s="152" t="inlineStr">
        <is>
          <t>Average</t>
        </is>
      </c>
      <c r="S633" s="605" t="n">
        <v>55756.8</v>
      </c>
      <c r="T633" s="387">
        <f>S633/J633</f>
        <v/>
      </c>
      <c r="U633" s="605" t="inlineStr">
        <is>
          <t>Average</t>
        </is>
      </c>
      <c r="Y633" s="605" t="n">
        <v>950000</v>
      </c>
      <c r="AA633" s="605" t="n">
        <v>950000</v>
      </c>
      <c r="AC633" s="605" t="inlineStr">
        <is>
          <t>0172119308004</t>
        </is>
      </c>
      <c r="AD633" s="605" t="inlineStr">
        <is>
          <t>2019000093682</t>
        </is>
      </c>
      <c r="AE633" s="605" t="inlineStr">
        <is>
          <t>NORTH METRO CAR WASH LLC</t>
        </is>
      </c>
      <c r="AF633" s="605" t="inlineStr">
        <is>
          <t>RIVERDALE CARWASH LLC</t>
        </is>
      </c>
      <c r="AI633" s="605">
        <f>IF(AND($E633=Subj_OccCode,Subj_BldgSF&gt;0,ABS($L633-Subj_BldgSF)&lt;=Subj_BldgSF*Subj_SizeTol),ABS($L633-Subj_BldgSF),NA())</f>
        <v/>
      </c>
      <c r="AJ633">
        <f>IF(ISNA(AI633),NA(),AI633+ROW()/10000000)</f>
        <v/>
      </c>
      <c r="AK633" s="605">
        <f>IF(AND(ISNUMBER($N633),$N633&gt;0,ISNUMBER($Y633)),$Y633/$N633,"")</f>
        <v/>
      </c>
    </row>
    <row r="634" ht="15" customHeight="1" s="545">
      <c r="A634" s="385" t="n">
        <v>8</v>
      </c>
      <c r="B634" s="605" t="n">
        <v>630</v>
      </c>
      <c r="C634" s="605" t="inlineStr">
        <is>
          <t>R0179953</t>
        </is>
      </c>
      <c r="D634" s="605" t="inlineStr">
        <is>
          <t xml:space="preserve">7770  HIGHWAY 2 </t>
        </is>
      </c>
      <c r="E634" s="605" t="n">
        <v>353</v>
      </c>
      <c r="F634" s="605" t="inlineStr">
        <is>
          <t>COMMERCE CITY</t>
        </is>
      </c>
      <c r="G634" s="605" t="inlineStr">
        <is>
          <t>5</t>
        </is>
      </c>
      <c r="H634" s="59">
        <f>Y634/J634</f>
        <v/>
      </c>
      <c r="I634" s="386" t="n">
        <v>43801</v>
      </c>
      <c r="J634" s="605" t="n">
        <v>360</v>
      </c>
      <c r="L634" s="605" t="n">
        <v>360</v>
      </c>
      <c r="M634" s="605" t="n">
        <v>1967</v>
      </c>
      <c r="P634" s="605" t="inlineStr">
        <is>
          <t>C-2-Com</t>
        </is>
      </c>
      <c r="R634" s="152" t="inlineStr">
        <is>
          <t>Average</t>
        </is>
      </c>
      <c r="S634" s="605" t="n">
        <v>13869</v>
      </c>
      <c r="T634" s="387">
        <f>S634/J634</f>
        <v/>
      </c>
      <c r="U634" s="605" t="inlineStr">
        <is>
          <t>Average</t>
        </is>
      </c>
      <c r="Y634" s="605" t="n">
        <v>300000</v>
      </c>
      <c r="AA634" s="605" t="n">
        <v>300000</v>
      </c>
      <c r="AC634" s="605" t="inlineStr">
        <is>
          <t>0172132124017</t>
        </is>
      </c>
      <c r="AD634" s="605" t="inlineStr">
        <is>
          <t>2019000106999</t>
        </is>
      </c>
      <c r="AE634" s="605" t="inlineStr">
        <is>
          <t>ATENCIO NANCY A AND, ATENCIO ERNEST F</t>
        </is>
      </c>
      <c r="AF634" s="605" t="inlineStr">
        <is>
          <t>WELCH 3 INVESTMENTS II LLC</t>
        </is>
      </c>
      <c r="AI634" s="605">
        <f>IF(AND($E634=Subj_OccCode,Subj_BldgSF&gt;0,ABS($L634-Subj_BldgSF)&lt;=Subj_BldgSF*Subj_SizeTol),ABS($L634-Subj_BldgSF),NA())</f>
        <v/>
      </c>
      <c r="AJ634">
        <f>IF(ISNA(AI634),NA(),AI634+ROW()/10000000)</f>
        <v/>
      </c>
      <c r="AK634" s="605">
        <f>IF(AND(ISNUMBER($N634),$N634&gt;0,ISNUMBER($Y634)),$Y634/$N634,"")</f>
        <v/>
      </c>
    </row>
    <row r="635" ht="15" customHeight="1" s="545">
      <c r="A635" s="385" t="n">
        <v>8</v>
      </c>
      <c r="B635" s="605" t="n">
        <v>631</v>
      </c>
      <c r="C635" s="605" t="inlineStr">
        <is>
          <t>R0088294</t>
        </is>
      </c>
      <c r="D635" s="605" t="inlineStr">
        <is>
          <t>6301 E 71ST AVE</t>
        </is>
      </c>
      <c r="E635" s="605" t="n">
        <v>325</v>
      </c>
      <c r="F635" s="605" t="inlineStr">
        <is>
          <t>COMMERCE CITY</t>
        </is>
      </c>
      <c r="G635" s="605" t="inlineStr">
        <is>
          <t>5</t>
        </is>
      </c>
      <c r="H635" s="59">
        <f>Y635/J635</f>
        <v/>
      </c>
      <c r="I635" s="386" t="n">
        <v>44273</v>
      </c>
      <c r="J635" s="605" t="n">
        <v>4320</v>
      </c>
      <c r="L635" s="605" t="n">
        <v>4320</v>
      </c>
      <c r="M635" s="605" t="n">
        <v>1970</v>
      </c>
      <c r="P635" s="605" t="inlineStr">
        <is>
          <t>C-3-Com</t>
        </is>
      </c>
      <c r="R635" s="152" t="inlineStr">
        <is>
          <t>Average</t>
        </is>
      </c>
      <c r="S635" s="605" t="n">
        <v>12075</v>
      </c>
      <c r="T635" s="387">
        <f>S635/J635</f>
        <v/>
      </c>
      <c r="U635" s="605" t="inlineStr">
        <is>
          <t>Average</t>
        </is>
      </c>
      <c r="Y635" s="605" t="n">
        <v>752000</v>
      </c>
      <c r="AA635" s="605" t="n">
        <v>752000</v>
      </c>
      <c r="AC635" s="605" t="inlineStr">
        <is>
          <t>0182305203021</t>
        </is>
      </c>
      <c r="AD635" s="605" t="inlineStr">
        <is>
          <t>2021000033351</t>
        </is>
      </c>
      <c r="AE635" s="605" t="inlineStr">
        <is>
          <t>PARAMOUNT ENTERPRISES LLC</t>
        </is>
      </c>
      <c r="AF635" s="605" t="inlineStr">
        <is>
          <t>71ST AVE LLC</t>
        </is>
      </c>
      <c r="AI635" s="605">
        <f>IF(AND($E635=Subj_OccCode,Subj_BldgSF&gt;0,ABS($L635-Subj_BldgSF)&lt;=Subj_BldgSF*Subj_SizeTol),ABS($L635-Subj_BldgSF),NA())</f>
        <v/>
      </c>
      <c r="AJ635">
        <f>IF(ISNA(AI635),NA(),AI635+ROW()/10000000)</f>
        <v/>
      </c>
      <c r="AK635" s="605">
        <f>IF(AND(ISNUMBER($N635),$N635&gt;0,ISNUMBER($Y635)),$Y635/$N635,"")</f>
        <v/>
      </c>
    </row>
    <row r="636" ht="15" customHeight="1" s="545">
      <c r="A636" s="385" t="n">
        <v>8</v>
      </c>
      <c r="B636" s="605" t="n">
        <v>632</v>
      </c>
      <c r="C636" s="605" t="inlineStr">
        <is>
          <t>R0067136</t>
        </is>
      </c>
      <c r="D636" s="605" t="inlineStr">
        <is>
          <t>2957 W 72ND AVE</t>
        </is>
      </c>
      <c r="E636" s="605" t="n">
        <v>353</v>
      </c>
      <c r="F636" s="605" t="inlineStr">
        <is>
          <t>WESTMINSTER</t>
        </is>
      </c>
      <c r="G636" s="605" t="inlineStr">
        <is>
          <t>4</t>
        </is>
      </c>
      <c r="H636" s="59">
        <f>Y636/J636</f>
        <v/>
      </c>
      <c r="I636" s="386" t="n">
        <v>43112</v>
      </c>
      <c r="J636" s="605" t="n">
        <v>5145</v>
      </c>
      <c r="L636" s="605" t="n">
        <v>5145</v>
      </c>
      <c r="M636" s="605" t="n">
        <v>1962</v>
      </c>
      <c r="P636" s="605" t="inlineStr">
        <is>
          <t>Westminster</t>
        </is>
      </c>
      <c r="R636" s="152" t="inlineStr">
        <is>
          <t>Average</t>
        </is>
      </c>
      <c r="S636" s="605" t="n">
        <v>14761</v>
      </c>
      <c r="T636" s="387">
        <f>S636/J636</f>
        <v/>
      </c>
      <c r="U636" s="605" t="inlineStr">
        <is>
          <t>Average</t>
        </is>
      </c>
      <c r="Y636" s="605" t="n">
        <v>1170000</v>
      </c>
      <c r="AA636" s="605" t="n">
        <v>1170000</v>
      </c>
      <c r="AC636" s="605" t="inlineStr">
        <is>
          <t>0171932417005</t>
        </is>
      </c>
      <c r="AD636" s="605" t="inlineStr">
        <is>
          <t>2018000005633</t>
        </is>
      </c>
      <c r="AE636" s="605" t="inlineStr">
        <is>
          <t>WEST CO LLC</t>
        </is>
      </c>
      <c r="AF636" s="605" t="inlineStr">
        <is>
          <t>KIM YUNG IK AND , KIM SONG JA</t>
        </is>
      </c>
      <c r="AI636" s="605">
        <f>IF(AND($E636=Subj_OccCode,Subj_BldgSF&gt;0,ABS($L636-Subj_BldgSF)&lt;=Subj_BldgSF*Subj_SizeTol),ABS($L636-Subj_BldgSF),NA())</f>
        <v/>
      </c>
      <c r="AJ636">
        <f>IF(ISNA(AI636),NA(),AI636+ROW()/10000000)</f>
        <v/>
      </c>
      <c r="AK636" s="605">
        <f>IF(AND(ISNUMBER($N636),$N636&gt;0,ISNUMBER($Y636)),$Y636/$N636,"")</f>
        <v/>
      </c>
    </row>
    <row r="637" ht="15" customHeight="1" s="545">
      <c r="A637" s="385" t="n">
        <v>8</v>
      </c>
      <c r="B637" s="605" t="n">
        <v>633</v>
      </c>
      <c r="C637" s="605" t="inlineStr">
        <is>
          <t>R0059548</t>
        </is>
      </c>
      <c r="D637" s="605" t="inlineStr">
        <is>
          <t>2185 W 84TH AVE</t>
        </is>
      </c>
      <c r="E637" s="605" t="n">
        <v>325</v>
      </c>
      <c r="G637" s="605" t="inlineStr">
        <is>
          <t>4</t>
        </is>
      </c>
      <c r="H637" s="59">
        <f>Y637/J637</f>
        <v/>
      </c>
      <c r="I637" s="386" t="n">
        <v>44685</v>
      </c>
      <c r="J637" s="605" t="n">
        <v>2204</v>
      </c>
      <c r="L637" s="605" t="n">
        <v>2204</v>
      </c>
      <c r="M637" s="605" t="n">
        <v>1967</v>
      </c>
      <c r="P637" s="605" t="inlineStr">
        <is>
          <t>Commercial</t>
        </is>
      </c>
      <c r="R637" s="152" t="inlineStr">
        <is>
          <t>Average</t>
        </is>
      </c>
      <c r="S637" s="605" t="n">
        <v>14941.0801</v>
      </c>
      <c r="T637" s="387">
        <f>S637/J637</f>
        <v/>
      </c>
      <c r="U637" s="605" t="inlineStr">
        <is>
          <t>Average</t>
        </is>
      </c>
      <c r="Y637" s="605" t="n">
        <v>475000</v>
      </c>
      <c r="AA637" s="605" t="n">
        <v>475000</v>
      </c>
      <c r="AC637" s="605" t="inlineStr">
        <is>
          <t>0171928200035</t>
        </is>
      </c>
      <c r="AD637" s="605" t="inlineStr">
        <is>
          <t>2022000041112</t>
        </is>
      </c>
      <c r="AE637" s="605" t="inlineStr">
        <is>
          <t>HALL MATTHEW AND, VALENTINE MICHAEL DAVID</t>
        </is>
      </c>
      <c r="AF637" s="605" t="inlineStr">
        <is>
          <t>CROSSCHECK LLC</t>
        </is>
      </c>
      <c r="AI637" s="605">
        <f>IF(AND($E637=Subj_OccCode,Subj_BldgSF&gt;0,ABS($L637-Subj_BldgSF)&lt;=Subj_BldgSF*Subj_SizeTol),ABS($L637-Subj_BldgSF),NA())</f>
        <v/>
      </c>
      <c r="AJ637">
        <f>IF(ISNA(AI637),NA(),AI637+ROW()/10000000)</f>
        <v/>
      </c>
      <c r="AK637" s="605">
        <f>IF(AND(ISNUMBER($N637),$N637&gt;0,ISNUMBER($Y637)),$Y637/$N637,"")</f>
        <v/>
      </c>
    </row>
    <row r="638" ht="15" customHeight="1" s="545">
      <c r="A638" s="385" t="n">
        <v>8</v>
      </c>
      <c r="B638" s="605" t="n">
        <v>634</v>
      </c>
      <c r="C638" s="605" t="inlineStr">
        <is>
          <t>R0133766</t>
        </is>
      </c>
      <c r="D638" s="605" t="inlineStr">
        <is>
          <t>8080  PONTIAC ST</t>
        </is>
      </c>
      <c r="E638" s="605" t="n">
        <v>407</v>
      </c>
      <c r="G638" s="605" t="inlineStr">
        <is>
          <t>5</t>
        </is>
      </c>
      <c r="H638" s="59">
        <f>Y638/J638</f>
        <v/>
      </c>
      <c r="I638" s="386" t="n">
        <v>44427</v>
      </c>
      <c r="J638" s="605" t="n">
        <v>10600</v>
      </c>
      <c r="L638" s="605" t="n">
        <v>10600</v>
      </c>
      <c r="M638" s="605" t="n">
        <v>2005</v>
      </c>
      <c r="P638" s="605" t="inlineStr">
        <is>
          <t>Agricultural</t>
        </is>
      </c>
      <c r="R638" s="152" t="inlineStr">
        <is>
          <t>Average</t>
        </is>
      </c>
      <c r="S638" s="605" t="n">
        <v>68389.2</v>
      </c>
      <c r="T638" s="387">
        <f>S638/J638</f>
        <v/>
      </c>
      <c r="U638" s="605" t="inlineStr">
        <is>
          <t>Average</t>
        </is>
      </c>
      <c r="Y638" s="605" t="n">
        <v>2495000</v>
      </c>
      <c r="AA638" s="605" t="n">
        <v>2495000</v>
      </c>
      <c r="AC638" s="605" t="inlineStr">
        <is>
          <t>0172129403030</t>
        </is>
      </c>
      <c r="AD638" s="605" t="inlineStr">
        <is>
          <t>2021000100233</t>
        </is>
      </c>
      <c r="AE638" s="605" t="inlineStr">
        <is>
          <t>BURGET REAL ESTATE LLC</t>
        </is>
      </c>
      <c r="AF638" s="605" t="inlineStr">
        <is>
          <t>KPTPO9 LLC</t>
        </is>
      </c>
      <c r="AI638" s="605">
        <f>IF(AND($E638=Subj_OccCode,Subj_BldgSF&gt;0,ABS($L638-Subj_BldgSF)&lt;=Subj_BldgSF*Subj_SizeTol),ABS($L638-Subj_BldgSF),NA())</f>
        <v/>
      </c>
      <c r="AJ638">
        <f>IF(ISNA(AI638),NA(),AI638+ROW()/10000000)</f>
        <v/>
      </c>
      <c r="AK638" s="605">
        <f>IF(AND(ISNUMBER($N638),$N638&gt;0,ISNUMBER($Y638)),$Y638/$N638,"")</f>
        <v/>
      </c>
    </row>
    <row r="639" ht="15" customHeight="1" s="545">
      <c r="A639" s="385" t="n">
        <v>8</v>
      </c>
      <c r="B639" s="605" t="n">
        <v>635</v>
      </c>
      <c r="C639" s="605" t="inlineStr">
        <is>
          <t>R0085794</t>
        </is>
      </c>
      <c r="D639" s="605" t="inlineStr">
        <is>
          <t>2200 N CHAMBERS RD #I</t>
        </is>
      </c>
      <c r="E639" s="605" t="n">
        <v>425</v>
      </c>
      <c r="F639" s="605" t="inlineStr">
        <is>
          <t>AURORA</t>
        </is>
      </c>
      <c r="G639" s="605" t="inlineStr">
        <is>
          <t>6</t>
        </is>
      </c>
      <c r="H639" s="59">
        <f>Y639/J639</f>
        <v/>
      </c>
      <c r="I639" s="386" t="n">
        <v>44459</v>
      </c>
      <c r="J639" s="605" t="n">
        <v>1500</v>
      </c>
      <c r="L639" s="605" t="n">
        <v>1500</v>
      </c>
      <c r="M639" s="605" t="n">
        <v>1984</v>
      </c>
      <c r="P639" s="605" t="inlineStr">
        <is>
          <t>M-1-Aur</t>
        </is>
      </c>
      <c r="R639" s="152" t="inlineStr">
        <is>
          <t>Good</t>
        </is>
      </c>
      <c r="S639" s="605" t="n">
        <v>5227</v>
      </c>
      <c r="T639" s="387">
        <f>S639/J639</f>
        <v/>
      </c>
      <c r="U639" s="605" t="inlineStr">
        <is>
          <t>Average</t>
        </is>
      </c>
      <c r="Y639" s="605" t="n">
        <v>244000</v>
      </c>
      <c r="AA639" s="605" t="n">
        <v>244000</v>
      </c>
      <c r="AC639" s="605" t="inlineStr">
        <is>
          <t>0182132008010</t>
        </is>
      </c>
      <c r="AD639" s="605" t="inlineStr">
        <is>
          <t>2021000113873</t>
        </is>
      </c>
      <c r="AE639" s="605" t="inlineStr">
        <is>
          <t>SIMPKINSON TODD</t>
        </is>
      </c>
      <c r="AF639" s="605" t="inlineStr">
        <is>
          <t>CRM REAL ESTATE HOLDINGS LLC</t>
        </is>
      </c>
      <c r="AI639" s="605">
        <f>IF(AND($E639=Subj_OccCode,Subj_BldgSF&gt;0,ABS($L639-Subj_BldgSF)&lt;=Subj_BldgSF*Subj_SizeTol),ABS($L639-Subj_BldgSF),NA())</f>
        <v/>
      </c>
      <c r="AJ639">
        <f>IF(ISNA(AI639),NA(),AI639+ROW()/10000000)</f>
        <v/>
      </c>
      <c r="AK639" s="605">
        <f>IF(AND(ISNUMBER($N639),$N639&gt;0,ISNUMBER($Y639)),$Y639/$N639,"")</f>
        <v/>
      </c>
    </row>
    <row r="640" ht="15" customHeight="1" s="545">
      <c r="A640" s="385" t="n">
        <v>8</v>
      </c>
      <c r="B640" s="605" t="n">
        <v>636</v>
      </c>
      <c r="C640" s="605" t="inlineStr">
        <is>
          <t>R0147573</t>
        </is>
      </c>
      <c r="D640" s="605" t="inlineStr">
        <is>
          <t>9751 E 102ND AVE</t>
        </is>
      </c>
      <c r="E640" s="605" t="n">
        <v>407</v>
      </c>
      <c r="F640" s="605" t="inlineStr">
        <is>
          <t>COMMERCE CITY</t>
        </is>
      </c>
      <c r="G640" s="605" t="inlineStr">
        <is>
          <t>5</t>
        </is>
      </c>
      <c r="H640" s="59">
        <f>Y640/J640</f>
        <v/>
      </c>
      <c r="I640" s="386" t="n">
        <v>44222</v>
      </c>
      <c r="J640" s="605" t="n">
        <v>34051</v>
      </c>
      <c r="L640" s="605" t="n">
        <v>34051</v>
      </c>
      <c r="M640" s="605" t="n">
        <v>2003</v>
      </c>
      <c r="P640" s="605" t="inlineStr">
        <is>
          <t>PUD-Com</t>
        </is>
      </c>
      <c r="R640" s="152" t="inlineStr">
        <is>
          <t>Average</t>
        </is>
      </c>
      <c r="S640" s="605" t="n">
        <v>217800</v>
      </c>
      <c r="T640" s="387">
        <f>S640/J640</f>
        <v/>
      </c>
      <c r="U640" s="605" t="inlineStr">
        <is>
          <t>Average</t>
        </is>
      </c>
      <c r="Y640" s="605" t="n">
        <v>6000000</v>
      </c>
      <c r="AA640" s="605" t="n">
        <v>6000000</v>
      </c>
      <c r="AC640" s="605" t="inlineStr">
        <is>
          <t>0172115101008</t>
        </is>
      </c>
      <c r="AD640" s="605" t="inlineStr">
        <is>
          <t>2021000009784</t>
        </is>
      </c>
      <c r="AE640" s="605" t="inlineStr">
        <is>
          <t>GEP INVESTMENTS INC</t>
        </is>
      </c>
      <c r="AF640" s="605" t="inlineStr">
        <is>
          <t>CFC INVESTMENTS LLC</t>
        </is>
      </c>
      <c r="AI640" s="605">
        <f>IF(AND($E640=Subj_OccCode,Subj_BldgSF&gt;0,ABS($L640-Subj_BldgSF)&lt;=Subj_BldgSF*Subj_SizeTol),ABS($L640-Subj_BldgSF),NA())</f>
        <v/>
      </c>
      <c r="AJ640">
        <f>IF(ISNA(AI640),NA(),AI640+ROW()/10000000)</f>
        <v/>
      </c>
      <c r="AK640" s="605">
        <f>IF(AND(ISNUMBER($N640),$N640&gt;0,ISNUMBER($Y640)),$Y640/$N640,"")</f>
        <v/>
      </c>
    </row>
    <row r="641" ht="15" customHeight="1" s="545">
      <c r="A641" s="385" t="n">
        <v>8</v>
      </c>
      <c r="B641" s="605" t="n">
        <v>637</v>
      </c>
      <c r="C641" s="605" t="inlineStr">
        <is>
          <t>R0030406</t>
        </is>
      </c>
      <c r="D641" s="605" t="inlineStr">
        <is>
          <t>400 E 120TH AVE</t>
        </is>
      </c>
      <c r="E641" s="605" t="n">
        <v>353</v>
      </c>
      <c r="F641" s="605" t="inlineStr">
        <is>
          <t>NORTHGLENN</t>
        </is>
      </c>
      <c r="G641" s="605" t="inlineStr">
        <is>
          <t>4</t>
        </is>
      </c>
      <c r="H641" s="59">
        <f>Y641/J641</f>
        <v/>
      </c>
      <c r="I641" s="386" t="n">
        <v>44651</v>
      </c>
      <c r="J641" s="605" t="n">
        <v>7000</v>
      </c>
      <c r="L641" s="605" t="n">
        <v>7000</v>
      </c>
      <c r="M641" s="605" t="n">
        <v>1995</v>
      </c>
      <c r="P641" s="605" t="inlineStr">
        <is>
          <t>C-4-Nor</t>
        </is>
      </c>
      <c r="R641" s="152" t="inlineStr">
        <is>
          <t>Average</t>
        </is>
      </c>
      <c r="S641" s="605" t="n">
        <v>41427</v>
      </c>
      <c r="T641" s="387">
        <f>S641/J641</f>
        <v/>
      </c>
      <c r="U641" s="605" t="inlineStr">
        <is>
          <t>Average</t>
        </is>
      </c>
      <c r="Y641" s="605" t="n">
        <v>1804000</v>
      </c>
      <c r="AA641" s="605" t="n">
        <v>1804000</v>
      </c>
      <c r="AC641" s="605" t="inlineStr">
        <is>
          <t>0171903111019</t>
        </is>
      </c>
      <c r="AD641" s="605" t="inlineStr">
        <is>
          <t>2022000028863</t>
        </is>
      </c>
      <c r="AE641" s="605" t="inlineStr">
        <is>
          <t>STONG FAMILY TRUST UND 1/2 INT ET AL, C/O OREILLY AUTO PARTS STORE #2816</t>
        </is>
      </c>
      <c r="AF641" s="605" t="inlineStr">
        <is>
          <t>400 E 120TH LLC</t>
        </is>
      </c>
      <c r="AI641" s="605">
        <f>IF(AND($E641=Subj_OccCode,Subj_BldgSF&gt;0,ABS($L641-Subj_BldgSF)&lt;=Subj_BldgSF*Subj_SizeTol),ABS($L641-Subj_BldgSF),NA())</f>
        <v/>
      </c>
      <c r="AJ641">
        <f>IF(ISNA(AI641),NA(),AI641+ROW()/10000000)</f>
        <v/>
      </c>
      <c r="AK641" s="605">
        <f>IF(AND(ISNUMBER($N641),$N641&gt;0,ISNUMBER($Y641)),$Y641/$N641,"")</f>
        <v/>
      </c>
    </row>
    <row r="642" ht="15" customHeight="1" s="545">
      <c r="A642" s="385" t="n">
        <v>8</v>
      </c>
      <c r="B642" s="605" t="n">
        <v>638</v>
      </c>
      <c r="C642" s="605" t="inlineStr">
        <is>
          <t>R0164254</t>
        </is>
      </c>
      <c r="D642" s="605" t="inlineStr">
        <is>
          <t>19301 E 23RD AVE</t>
        </is>
      </c>
      <c r="E642" s="605" t="n">
        <v>407</v>
      </c>
      <c r="F642" s="605" t="inlineStr">
        <is>
          <t>AURORA</t>
        </is>
      </c>
      <c r="G642" s="605" t="inlineStr">
        <is>
          <t>6</t>
        </is>
      </c>
      <c r="H642" s="59">
        <f>Y642/J642</f>
        <v/>
      </c>
      <c r="I642" s="386" t="n">
        <v>43522</v>
      </c>
      <c r="J642" s="605" t="n">
        <v>18680</v>
      </c>
      <c r="L642" s="605" t="n">
        <v>18680</v>
      </c>
      <c r="M642" s="605" t="n">
        <v>2005</v>
      </c>
      <c r="R642" s="152" t="inlineStr">
        <is>
          <t>Average</t>
        </is>
      </c>
      <c r="S642" s="605" t="n">
        <v>73617</v>
      </c>
      <c r="T642" s="387">
        <f>S642/J642</f>
        <v/>
      </c>
      <c r="U642" s="605" t="inlineStr">
        <is>
          <t>Average</t>
        </is>
      </c>
      <c r="Y642" s="605" t="n">
        <v>2600000</v>
      </c>
      <c r="AA642" s="605" t="n">
        <v>2600000</v>
      </c>
      <c r="AC642" s="605" t="inlineStr">
        <is>
          <t>0182134101009</t>
        </is>
      </c>
      <c r="AD642" s="605" t="inlineStr">
        <is>
          <t>2019000015321</t>
        </is>
      </c>
      <c r="AE642" s="605" t="inlineStr">
        <is>
          <t>19301 E 23RD AVE LLC</t>
        </is>
      </c>
      <c r="AF642" s="605" t="inlineStr">
        <is>
          <t>TENBAR INC</t>
        </is>
      </c>
      <c r="AI642" s="605">
        <f>IF(AND($E642=Subj_OccCode,Subj_BldgSF&gt;0,ABS($L642-Subj_BldgSF)&lt;=Subj_BldgSF*Subj_SizeTol),ABS($L642-Subj_BldgSF),NA())</f>
        <v/>
      </c>
      <c r="AJ642">
        <f>IF(ISNA(AI642),NA(),AI642+ROW()/10000000)</f>
        <v/>
      </c>
      <c r="AK642" s="605">
        <f>IF(AND(ISNUMBER($N642),$N642&gt;0,ISNUMBER($Y642)),$Y642/$N642,"")</f>
        <v/>
      </c>
    </row>
    <row r="643" ht="15" customHeight="1" s="545">
      <c r="A643" s="385" t="n">
        <v>8</v>
      </c>
      <c r="B643" s="605" t="n">
        <v>639</v>
      </c>
      <c r="C643" s="605" t="inlineStr">
        <is>
          <t>R0178832</t>
        </is>
      </c>
      <c r="D643" s="605" t="inlineStr">
        <is>
          <t>5190  VIOLET HILL ST #E</t>
        </is>
      </c>
      <c r="E643" s="605" t="n">
        <v>328</v>
      </c>
      <c r="G643" s="605" t="inlineStr">
        <is>
          <t>1</t>
        </is>
      </c>
      <c r="H643" s="59">
        <f>Y643/J643</f>
        <v/>
      </c>
      <c r="I643" s="386" t="n">
        <v>44669</v>
      </c>
      <c r="J643" s="605" t="n">
        <v>4500</v>
      </c>
      <c r="L643" s="605" t="n">
        <v>4500</v>
      </c>
      <c r="M643" s="605" t="n">
        <v>2006</v>
      </c>
      <c r="R643" s="152" t="inlineStr">
        <is>
          <t>Average</t>
        </is>
      </c>
      <c r="T643" s="387">
        <f>S643/J643</f>
        <v/>
      </c>
      <c r="U643" s="605" t="inlineStr">
        <is>
          <t>Average</t>
        </is>
      </c>
      <c r="Y643" s="605" t="n">
        <v>490000</v>
      </c>
      <c r="AA643" s="605" t="n">
        <v>490000</v>
      </c>
      <c r="AC643" s="605" t="inlineStr">
        <is>
          <t>0181716411003</t>
        </is>
      </c>
      <c r="AD643" s="605" t="inlineStr">
        <is>
          <t>2022000034836</t>
        </is>
      </c>
      <c r="AE643" s="605" t="inlineStr">
        <is>
          <t>KLV INVESTMENTS LLC</t>
        </is>
      </c>
      <c r="AF643" s="605" t="inlineStr">
        <is>
          <t>PLC LEASING COMPANY II LLC</t>
        </is>
      </c>
      <c r="AI643" s="605">
        <f>IF(AND($E643=Subj_OccCode,Subj_BldgSF&gt;0,ABS($L643-Subj_BldgSF)&lt;=Subj_BldgSF*Subj_SizeTol),ABS($L643-Subj_BldgSF),NA())</f>
        <v/>
      </c>
      <c r="AJ643">
        <f>IF(ISNA(AI643),NA(),AI643+ROW()/10000000)</f>
        <v/>
      </c>
      <c r="AK643" s="605">
        <f>IF(AND(ISNUMBER($N643),$N643&gt;0,ISNUMBER($Y643)),$Y643/$N643,"")</f>
        <v/>
      </c>
    </row>
    <row r="644" ht="15" customHeight="1" s="545">
      <c r="A644" s="385" t="n">
        <v>8</v>
      </c>
      <c r="B644" s="605" t="n">
        <v>640</v>
      </c>
      <c r="C644" s="605" t="inlineStr">
        <is>
          <t>R0180894</t>
        </is>
      </c>
      <c r="D644" s="605" t="inlineStr">
        <is>
          <t>1990  GUN CLUB RD</t>
        </is>
      </c>
      <c r="E644" s="605" t="n">
        <v>407</v>
      </c>
      <c r="F644" s="605" t="inlineStr">
        <is>
          <t>AURORA</t>
        </is>
      </c>
      <c r="G644" s="605" t="inlineStr">
        <is>
          <t>1</t>
        </is>
      </c>
      <c r="H644" s="59">
        <f>Y644/J644</f>
        <v/>
      </c>
      <c r="I644" s="386" t="n">
        <v>44357</v>
      </c>
      <c r="J644" s="605" t="n">
        <v>163386</v>
      </c>
      <c r="L644" s="605" t="n">
        <v>163386</v>
      </c>
      <c r="M644" s="605" t="n">
        <v>2019</v>
      </c>
      <c r="P644" s="605" t="inlineStr">
        <is>
          <t>E-470</t>
        </is>
      </c>
      <c r="R644" s="152" t="inlineStr">
        <is>
          <t>Average</t>
        </is>
      </c>
      <c r="S644" s="605" t="n">
        <v>436488.624</v>
      </c>
      <c r="T644" s="387">
        <f>S644/J644</f>
        <v/>
      </c>
      <c r="U644" s="605" t="inlineStr">
        <is>
          <t>Average</t>
        </is>
      </c>
      <c r="Y644" s="605" t="n">
        <v>25000000</v>
      </c>
      <c r="AA644" s="605" t="n">
        <v>25000000</v>
      </c>
      <c r="AC644" s="605" t="inlineStr">
        <is>
          <t>0181931401003</t>
        </is>
      </c>
      <c r="AD644" s="605" t="inlineStr">
        <is>
          <t>2021000072509</t>
        </is>
      </c>
      <c r="AE644" s="605" t="inlineStr">
        <is>
          <t>PS D-C INDUSTRIAL PARK 70 LLC, C/O STREECH PROPERTIES INC</t>
        </is>
      </c>
      <c r="AF644" s="605" t="inlineStr">
        <is>
          <t>CHERRY OWNER II LLC</t>
        </is>
      </c>
      <c r="AI644" s="605">
        <f>IF(AND($E644=Subj_OccCode,Subj_BldgSF&gt;0,ABS($L644-Subj_BldgSF)&lt;=Subj_BldgSF*Subj_SizeTol),ABS($L644-Subj_BldgSF),NA())</f>
        <v/>
      </c>
      <c r="AJ644">
        <f>IF(ISNA(AI644),NA(),AI644+ROW()/10000000)</f>
        <v/>
      </c>
      <c r="AK644" s="605">
        <f>IF(AND(ISNUMBER($N644),$N644&gt;0,ISNUMBER($Y644)),$Y644/$N644,"")</f>
        <v/>
      </c>
    </row>
    <row r="645" ht="15" customHeight="1" s="545">
      <c r="A645" s="385" t="n">
        <v>8</v>
      </c>
      <c r="B645" s="605" t="n">
        <v>641</v>
      </c>
      <c r="C645" s="605" t="inlineStr">
        <is>
          <t>R0185623</t>
        </is>
      </c>
      <c r="D645" s="605" t="inlineStr">
        <is>
          <t>7919  ZENOBIA ST</t>
        </is>
      </c>
      <c r="E645" s="605" t="n">
        <v>1344</v>
      </c>
      <c r="F645" s="605" t="inlineStr">
        <is>
          <t>WESTMINSTER</t>
        </is>
      </c>
      <c r="G645" s="605" t="inlineStr">
        <is>
          <t>4</t>
        </is>
      </c>
      <c r="H645" s="59">
        <f>Y645/J645</f>
        <v/>
      </c>
      <c r="I645" s="386" t="n">
        <v>44452</v>
      </c>
      <c r="J645" s="605" t="n">
        <v>3780</v>
      </c>
      <c r="L645" s="605" t="n">
        <v>3780</v>
      </c>
      <c r="M645" s="605" t="n">
        <v>1982</v>
      </c>
      <c r="P645" s="605" t="inlineStr">
        <is>
          <t>B-1-Wes</t>
        </is>
      </c>
      <c r="R645" s="152" t="inlineStr">
        <is>
          <t>Average</t>
        </is>
      </c>
      <c r="T645" s="387">
        <f>S645/J645</f>
        <v/>
      </c>
      <c r="U645" s="605" t="inlineStr">
        <is>
          <t>Average</t>
        </is>
      </c>
      <c r="Y645" s="605" t="n">
        <v>500000</v>
      </c>
      <c r="AA645" s="605" t="n">
        <v>500000</v>
      </c>
      <c r="AC645" s="605" t="inlineStr">
        <is>
          <t>0171931213036</t>
        </is>
      </c>
      <c r="AD645" s="605" t="inlineStr">
        <is>
          <t>2021000116481</t>
        </is>
      </c>
      <c r="AE645" s="605" t="inlineStr">
        <is>
          <t>HEIL INVESTMENTS LLC</t>
        </is>
      </c>
      <c r="AF645" s="605" t="inlineStr">
        <is>
          <t>JC DENT LLC</t>
        </is>
      </c>
      <c r="AI645" s="605">
        <f>IF(AND($E645=Subj_OccCode,Subj_BldgSF&gt;0,ABS($L645-Subj_BldgSF)&lt;=Subj_BldgSF*Subj_SizeTol),ABS($L645-Subj_BldgSF),NA())</f>
        <v/>
      </c>
      <c r="AJ645">
        <f>IF(ISNA(AI645),NA(),AI645+ROW()/10000000)</f>
        <v/>
      </c>
      <c r="AK645" s="605">
        <f>IF(AND(ISNUMBER($N645),$N645&gt;0,ISNUMBER($Y645)),$Y645/$N645,"")</f>
        <v/>
      </c>
    </row>
    <row r="646" ht="15" customHeight="1" s="545">
      <c r="A646" s="385" t="n">
        <v>8</v>
      </c>
      <c r="B646" s="605" t="n">
        <v>642</v>
      </c>
      <c r="C646" s="605" t="inlineStr">
        <is>
          <t>R0115424</t>
        </is>
      </c>
      <c r="D646" s="605" t="inlineStr">
        <is>
          <t>9652 N HANOVER CTW</t>
        </is>
      </c>
      <c r="E646" s="605" t="n">
        <v>407</v>
      </c>
      <c r="F646" s="605" t="inlineStr">
        <is>
          <t>COMMERCE CITY</t>
        </is>
      </c>
      <c r="G646" s="605" t="inlineStr">
        <is>
          <t>5</t>
        </is>
      </c>
      <c r="H646" s="59">
        <f>Y646/J646</f>
        <v/>
      </c>
      <c r="I646" s="386" t="n">
        <v>44641</v>
      </c>
      <c r="J646" s="605" t="n">
        <v>23770</v>
      </c>
      <c r="L646" s="605" t="n">
        <v>23770</v>
      </c>
      <c r="M646" s="605" t="n">
        <v>2010</v>
      </c>
      <c r="P646" s="605" t="inlineStr">
        <is>
          <t>PUD-Com</t>
        </is>
      </c>
      <c r="R646" s="152" t="inlineStr">
        <is>
          <t>Average</t>
        </is>
      </c>
      <c r="S646" s="605" t="n">
        <v>73703.52340000001</v>
      </c>
      <c r="T646" s="387">
        <f>S646/J646</f>
        <v/>
      </c>
      <c r="U646" s="605" t="inlineStr">
        <is>
          <t>Average</t>
        </is>
      </c>
      <c r="Y646" s="605" t="n">
        <v>4600000</v>
      </c>
      <c r="AA646" s="605" t="n">
        <v>4600000</v>
      </c>
      <c r="AC646" s="605" t="inlineStr">
        <is>
          <t>0172115011005</t>
        </is>
      </c>
      <c r="AD646" s="605" t="inlineStr">
        <is>
          <t>2022000024984</t>
        </is>
      </c>
      <c r="AE646" s="605" t="inlineStr">
        <is>
          <t>FAH DENVER LLC</t>
        </is>
      </c>
      <c r="AF646" s="605" t="inlineStr">
        <is>
          <t>GNT PROPERTIES COLORADO LLC</t>
        </is>
      </c>
      <c r="AI646" s="605">
        <f>IF(AND($E646=Subj_OccCode,Subj_BldgSF&gt;0,ABS($L646-Subj_BldgSF)&lt;=Subj_BldgSF*Subj_SizeTol),ABS($L646-Subj_BldgSF),NA())</f>
        <v/>
      </c>
      <c r="AJ646">
        <f>IF(ISNA(AI646),NA(),AI646+ROW()/10000000)</f>
        <v/>
      </c>
      <c r="AK646" s="605">
        <f>IF(AND(ISNUMBER($N646),$N646&gt;0,ISNUMBER($Y646)),$Y646/$N646,"")</f>
        <v/>
      </c>
    </row>
    <row r="647" ht="15" customHeight="1" s="545">
      <c r="A647" s="385" t="n">
        <v>8</v>
      </c>
      <c r="B647" s="605" t="n">
        <v>643</v>
      </c>
      <c r="C647" s="605" t="inlineStr">
        <is>
          <t>R0177702</t>
        </is>
      </c>
      <c r="D647" s="605" t="inlineStr">
        <is>
          <t>525  RUSSELL BLVD</t>
        </is>
      </c>
      <c r="E647" s="605" t="n">
        <v>426</v>
      </c>
      <c r="F647" s="605" t="inlineStr">
        <is>
          <t>THORNTON</t>
        </is>
      </c>
      <c r="G647" s="605" t="inlineStr">
        <is>
          <t>4</t>
        </is>
      </c>
      <c r="H647" s="59">
        <f>Y647/J647</f>
        <v/>
      </c>
      <c r="I647" s="386" t="n">
        <v>43917</v>
      </c>
      <c r="J647" s="605" t="n">
        <v>5008</v>
      </c>
      <c r="L647" s="605" t="n">
        <v>5008</v>
      </c>
      <c r="M647" s="605" t="n">
        <v>2007</v>
      </c>
      <c r="P647" s="605" t="inlineStr">
        <is>
          <t>City Center</t>
        </is>
      </c>
      <c r="R647" s="152" t="inlineStr">
        <is>
          <t>Average</t>
        </is>
      </c>
      <c r="S647" s="605" t="n">
        <v>19283</v>
      </c>
      <c r="T647" s="387">
        <f>S647/J647</f>
        <v/>
      </c>
      <c r="U647" s="605" t="inlineStr">
        <is>
          <t>Average</t>
        </is>
      </c>
      <c r="Y647" s="605" t="n">
        <v>1000000</v>
      </c>
      <c r="AA647" s="605" t="n">
        <v>1000000</v>
      </c>
      <c r="AC647" s="605" t="inlineStr">
        <is>
          <t>0171922403012</t>
        </is>
      </c>
      <c r="AD647" s="605" t="inlineStr">
        <is>
          <t>2020000028576</t>
        </is>
      </c>
      <c r="AE647" s="605" t="inlineStr">
        <is>
          <t>VOJTISEK RENATA</t>
        </is>
      </c>
      <c r="AF647" s="605" t="inlineStr">
        <is>
          <t>A NEW GENERATION III LLC</t>
        </is>
      </c>
      <c r="AI647" s="605">
        <f>IF(AND($E647=Subj_OccCode,Subj_BldgSF&gt;0,ABS($L647-Subj_BldgSF)&lt;=Subj_BldgSF*Subj_SizeTol),ABS($L647-Subj_BldgSF),NA())</f>
        <v/>
      </c>
      <c r="AJ647">
        <f>IF(ISNA(AI647),NA(),AI647+ROW()/10000000)</f>
        <v/>
      </c>
      <c r="AK647" s="605">
        <f>IF(AND(ISNUMBER($N647),$N647&gt;0,ISNUMBER($Y647)),$Y647/$N647,"")</f>
        <v/>
      </c>
    </row>
    <row r="648" ht="15" customHeight="1" s="545">
      <c r="A648" s="385" t="n">
        <v>8</v>
      </c>
      <c r="B648" s="605" t="n">
        <v>644</v>
      </c>
      <c r="C648" s="605" t="inlineStr">
        <is>
          <t>R0179724</t>
        </is>
      </c>
      <c r="D648" s="605" t="inlineStr">
        <is>
          <t>3055  CRAFT WAY</t>
        </is>
      </c>
      <c r="E648" s="605" t="n">
        <v>343</v>
      </c>
      <c r="F648" s="605" t="inlineStr">
        <is>
          <t>WESTMINSTER</t>
        </is>
      </c>
      <c r="G648" s="605" t="inlineStr">
        <is>
          <t>4</t>
        </is>
      </c>
      <c r="H648" s="59">
        <f>Y648/J648</f>
        <v/>
      </c>
      <c r="I648" s="386" t="n">
        <v>44729</v>
      </c>
      <c r="J648" s="605" t="n">
        <v>13191</v>
      </c>
      <c r="L648" s="605" t="n">
        <v>13191</v>
      </c>
      <c r="M648" s="605" t="n">
        <v>2014</v>
      </c>
      <c r="P648" s="605" t="inlineStr">
        <is>
          <t>SPD</t>
        </is>
      </c>
      <c r="R648" s="152" t="inlineStr">
        <is>
          <t>Average</t>
        </is>
      </c>
      <c r="S648" s="605" t="n">
        <v>43799</v>
      </c>
      <c r="T648" s="387">
        <f>S648/J648</f>
        <v/>
      </c>
      <c r="U648" s="605" t="inlineStr">
        <is>
          <t>Average</t>
        </is>
      </c>
      <c r="Y648" s="605" t="n">
        <v>3450000</v>
      </c>
      <c r="AA648" s="605" t="n">
        <v>3450000</v>
      </c>
      <c r="AC648" s="605" t="inlineStr">
        <is>
          <t>0182505201042</t>
        </is>
      </c>
      <c r="AD648" s="605" t="inlineStr">
        <is>
          <t>2022000053807</t>
        </is>
      </c>
      <c r="AE648" s="605" t="inlineStr">
        <is>
          <t>MARO CORP</t>
        </is>
      </c>
      <c r="AF648" s="605" t="inlineStr">
        <is>
          <t>G &amp; A GROUP LLC</t>
        </is>
      </c>
      <c r="AI648" s="605">
        <f>IF(AND($E648=Subj_OccCode,Subj_BldgSF&gt;0,ABS($L648-Subj_BldgSF)&lt;=Subj_BldgSF*Subj_SizeTol),ABS($L648-Subj_BldgSF),NA())</f>
        <v/>
      </c>
      <c r="AJ648">
        <f>IF(ISNA(AI648),NA(),AI648+ROW()/10000000)</f>
        <v/>
      </c>
      <c r="AK648" s="605">
        <f>IF(AND(ISNUMBER($N648),$N648&gt;0,ISNUMBER($Y648)),$Y648/$N648,"")</f>
        <v/>
      </c>
    </row>
    <row r="649" ht="15" customHeight="1" s="545">
      <c r="A649" s="385" t="n">
        <v>8</v>
      </c>
      <c r="B649" s="605" t="n">
        <v>645</v>
      </c>
      <c r="C649" s="605" t="inlineStr">
        <is>
          <t>R0179014</t>
        </is>
      </c>
      <c r="D649" s="605" t="inlineStr">
        <is>
          <t>7010  LOWELL BLVD</t>
        </is>
      </c>
      <c r="E649" s="605" t="n">
        <v>325</v>
      </c>
      <c r="F649" s="605" t="inlineStr">
        <is>
          <t>WESTMINSTER</t>
        </is>
      </c>
      <c r="G649" s="605" t="inlineStr">
        <is>
          <t>4</t>
        </is>
      </c>
      <c r="H649" s="59">
        <f>Y649/J649</f>
        <v/>
      </c>
      <c r="I649" s="386" t="n">
        <v>44007</v>
      </c>
      <c r="J649" s="605" t="n">
        <v>17200</v>
      </c>
      <c r="L649" s="605" t="n">
        <v>17200</v>
      </c>
      <c r="M649" s="605" t="n">
        <v>1960</v>
      </c>
      <c r="P649" s="605" t="inlineStr">
        <is>
          <t>SPD</t>
        </is>
      </c>
      <c r="R649" s="152" t="inlineStr">
        <is>
          <t>Average</t>
        </is>
      </c>
      <c r="S649" s="605" t="n">
        <v>89210.88</v>
      </c>
      <c r="T649" s="387">
        <f>S649/J649</f>
        <v/>
      </c>
      <c r="U649" s="605" t="inlineStr">
        <is>
          <t>Fair</t>
        </is>
      </c>
      <c r="Y649" s="605" t="n">
        <v>1900000</v>
      </c>
      <c r="AA649" s="605" t="n">
        <v>1900000</v>
      </c>
      <c r="AC649" s="605" t="inlineStr">
        <is>
          <t>0182505219005</t>
        </is>
      </c>
      <c r="AD649" s="605" t="inlineStr">
        <is>
          <t>2020000059175</t>
        </is>
      </c>
      <c r="AE649" s="605" t="inlineStr">
        <is>
          <t>LOWELL GROUP LLC</t>
        </is>
      </c>
      <c r="AF649" s="605" t="inlineStr">
        <is>
          <t>LOW DOWN LLC UND 78.81% INT AND, LXXTWO LLC UND 21.19% INT</t>
        </is>
      </c>
      <c r="AI649" s="605">
        <f>IF(AND($E649=Subj_OccCode,Subj_BldgSF&gt;0,ABS($L649-Subj_BldgSF)&lt;=Subj_BldgSF*Subj_SizeTol),ABS($L649-Subj_BldgSF),NA())</f>
        <v/>
      </c>
      <c r="AJ649">
        <f>IF(ISNA(AI649),NA(),AI649+ROW()/10000000)</f>
        <v/>
      </c>
      <c r="AK649" s="605">
        <f>IF(AND(ISNUMBER($N649),$N649&gt;0,ISNUMBER($Y649)),$Y649/$N649,"")</f>
        <v/>
      </c>
    </row>
    <row r="650" ht="15" customHeight="1" s="545">
      <c r="A650" s="385" t="n">
        <v>8</v>
      </c>
      <c r="B650" s="605" t="n">
        <v>646</v>
      </c>
      <c r="C650" s="605" t="inlineStr">
        <is>
          <t>R0180551</t>
        </is>
      </c>
      <c r="D650" s="605" t="inlineStr">
        <is>
          <t>1953 GUNCLUB RD</t>
        </is>
      </c>
      <c r="E650" s="605" t="n">
        <v>584</v>
      </c>
      <c r="F650" s="605" t="inlineStr">
        <is>
          <t>AURORA</t>
        </is>
      </c>
      <c r="G650" s="605" t="inlineStr">
        <is>
          <t>1</t>
        </is>
      </c>
      <c r="H650" s="59">
        <f>Y650/J650</f>
        <v/>
      </c>
      <c r="I650" s="386" t="n">
        <v>44459</v>
      </c>
      <c r="J650" s="605" t="n">
        <v>220000</v>
      </c>
      <c r="L650" s="605" t="n">
        <v>220000</v>
      </c>
      <c r="M650" s="605" t="n">
        <v>2012</v>
      </c>
      <c r="P650" s="605" t="inlineStr">
        <is>
          <t>E-470</t>
        </is>
      </c>
      <c r="R650" s="152" t="inlineStr">
        <is>
          <t>Average</t>
        </is>
      </c>
      <c r="S650" s="605" t="n">
        <v>750297</v>
      </c>
      <c r="T650" s="387">
        <f>S650/J650</f>
        <v/>
      </c>
      <c r="U650" s="605" t="inlineStr">
        <is>
          <t>Average</t>
        </is>
      </c>
      <c r="Y650" s="605" t="n">
        <v>36150000</v>
      </c>
      <c r="AA650" s="605" t="n">
        <v>36150000</v>
      </c>
      <c r="AC650" s="605" t="inlineStr">
        <is>
          <t>0181931301010</t>
        </is>
      </c>
      <c r="AD650" s="605" t="inlineStr">
        <is>
          <t>2021000111716</t>
        </is>
      </c>
      <c r="AE650" s="605" t="inlineStr">
        <is>
          <t>1953 GCR ASSOCIATES LLC 24% INT ET AL</t>
        </is>
      </c>
      <c r="AF650" s="605" t="inlineStr">
        <is>
          <t>CHERRY OWNER III LLC</t>
        </is>
      </c>
      <c r="AI650" s="605">
        <f>IF(AND($E650=Subj_OccCode,Subj_BldgSF&gt;0,ABS($L650-Subj_BldgSF)&lt;=Subj_BldgSF*Subj_SizeTol),ABS($L650-Subj_BldgSF),NA())</f>
        <v/>
      </c>
      <c r="AJ650">
        <f>IF(ISNA(AI650),NA(),AI650+ROW()/10000000)</f>
        <v/>
      </c>
      <c r="AK650" s="605">
        <f>IF(AND(ISNUMBER($N650),$N650&gt;0,ISNUMBER($Y650)),$Y650/$N650,"")</f>
        <v/>
      </c>
    </row>
    <row r="651" ht="15" customHeight="1" s="545">
      <c r="A651" s="385" t="n">
        <v>8</v>
      </c>
      <c r="B651" s="605" t="n">
        <v>647</v>
      </c>
      <c r="C651" s="605" t="inlineStr">
        <is>
          <t>R0082497</t>
        </is>
      </c>
      <c r="D651" s="605" t="inlineStr">
        <is>
          <t>47500 E 38TH AVE</t>
        </is>
      </c>
      <c r="E651" s="605" t="n">
        <v>406</v>
      </c>
      <c r="F651" s="605" t="inlineStr">
        <is>
          <t>BENNETT</t>
        </is>
      </c>
      <c r="G651" s="605" t="inlineStr">
        <is>
          <t>1</t>
        </is>
      </c>
      <c r="H651" s="59">
        <f>Y651/J651</f>
        <v/>
      </c>
      <c r="I651" s="386" t="n">
        <v>43934</v>
      </c>
      <c r="J651" s="605" t="n">
        <v>1500</v>
      </c>
      <c r="L651" s="605" t="n">
        <v>1500</v>
      </c>
      <c r="M651" s="605" t="n">
        <v>1986</v>
      </c>
      <c r="P651" s="605" t="inlineStr">
        <is>
          <t>Bennett</t>
        </is>
      </c>
      <c r="R651" s="152" t="inlineStr">
        <is>
          <t>Average</t>
        </is>
      </c>
      <c r="S651" s="605" t="n">
        <v>65340</v>
      </c>
      <c r="T651" s="387">
        <f>S651/J651</f>
        <v/>
      </c>
      <c r="U651" s="605" t="inlineStr">
        <is>
          <t>Average</t>
        </is>
      </c>
      <c r="Y651" s="605" t="n">
        <v>250000</v>
      </c>
      <c r="AA651" s="605" t="n">
        <v>250000</v>
      </c>
      <c r="AC651" s="605" t="inlineStr">
        <is>
          <t>0181527200036</t>
        </is>
      </c>
      <c r="AD651" s="605" t="inlineStr">
        <is>
          <t>2020000034035</t>
        </is>
      </c>
      <c r="AE651" s="605" t="inlineStr">
        <is>
          <t>SCOUT VENTURES LLC</t>
        </is>
      </c>
      <c r="AF651" s="605" t="inlineStr">
        <is>
          <t>LFE HOLDINGS LLC</t>
        </is>
      </c>
      <c r="AI651" s="605">
        <f>IF(AND($E651=Subj_OccCode,Subj_BldgSF&gt;0,ABS($L651-Subj_BldgSF)&lt;=Subj_BldgSF*Subj_SizeTol),ABS($L651-Subj_BldgSF),NA())</f>
        <v/>
      </c>
      <c r="AJ651">
        <f>IF(ISNA(AI651),NA(),AI651+ROW()/10000000)</f>
        <v/>
      </c>
      <c r="AK651" s="605">
        <f>IF(AND(ISNUMBER($N651),$N651&gt;0,ISNUMBER($Y651)),$Y651/$N651,"")</f>
        <v/>
      </c>
    </row>
    <row r="652" ht="15" customHeight="1" s="545">
      <c r="A652" s="385" t="n">
        <v>8</v>
      </c>
      <c r="B652" s="605" t="n">
        <v>648</v>
      </c>
      <c r="C652" s="605" t="inlineStr">
        <is>
          <t>R0190173</t>
        </is>
      </c>
      <c r="D652" s="605" t="inlineStr">
        <is>
          <t>1501 W 124TH AVE #800</t>
        </is>
      </c>
      <c r="E652" s="605" t="n">
        <v>425</v>
      </c>
      <c r="F652" s="605" t="inlineStr">
        <is>
          <t>WESTMINSTER</t>
        </is>
      </c>
      <c r="G652" s="605" t="inlineStr">
        <is>
          <t>3</t>
        </is>
      </c>
      <c r="H652" s="59">
        <f>Y652/J652</f>
        <v/>
      </c>
      <c r="I652" s="386" t="n">
        <v>43882</v>
      </c>
      <c r="J652" s="605" t="n">
        <v>1791</v>
      </c>
      <c r="L652" s="605" t="n">
        <v>1791</v>
      </c>
      <c r="M652" s="605" t="n">
        <v>2016</v>
      </c>
      <c r="P652" s="605" t="inlineStr">
        <is>
          <t>PUD-Wes</t>
        </is>
      </c>
      <c r="R652" s="152" t="inlineStr">
        <is>
          <t>Good</t>
        </is>
      </c>
      <c r="S652" s="605" t="n">
        <v>5569</v>
      </c>
      <c r="T652" s="387">
        <f>S652/J652</f>
        <v/>
      </c>
      <c r="U652" s="605" t="inlineStr">
        <is>
          <t>Good</t>
        </is>
      </c>
      <c r="Y652" s="605" t="n">
        <v>473000</v>
      </c>
      <c r="AA652" s="605" t="n">
        <v>473000</v>
      </c>
      <c r="AC652" s="605" t="inlineStr">
        <is>
          <t>0157333101003</t>
        </is>
      </c>
      <c r="AD652" s="605" t="inlineStr">
        <is>
          <t>2020000017258</t>
        </is>
      </c>
      <c r="AE652" s="605" t="inlineStr">
        <is>
          <t>URBAN BOX 800 LLC</t>
        </is>
      </c>
      <c r="AF652" s="605" t="inlineStr">
        <is>
          <t>1501 W 124TH AVE UNIT 800 WESTMINSTER CO 80234 LLC</t>
        </is>
      </c>
      <c r="AI652" s="605">
        <f>IF(AND($E652=Subj_OccCode,Subj_BldgSF&gt;0,ABS($L652-Subj_BldgSF)&lt;=Subj_BldgSF*Subj_SizeTol),ABS($L652-Subj_BldgSF),NA())</f>
        <v/>
      </c>
      <c r="AJ652">
        <f>IF(ISNA(AI652),NA(),AI652+ROW()/10000000)</f>
        <v/>
      </c>
      <c r="AK652" s="605">
        <f>IF(AND(ISNUMBER($N652),$N652&gt;0,ISNUMBER($Y652)),$Y652/$N652,"")</f>
        <v/>
      </c>
    </row>
    <row r="653" ht="15" customHeight="1" s="545">
      <c r="A653" s="385" t="n">
        <v>8</v>
      </c>
      <c r="B653" s="605" t="n">
        <v>649</v>
      </c>
      <c r="C653" s="605" t="inlineStr">
        <is>
          <t>R0190174</t>
        </is>
      </c>
      <c r="D653" s="605" t="inlineStr">
        <is>
          <t>1501 W 124TH AVE #700</t>
        </is>
      </c>
      <c r="E653" s="605" t="n">
        <v>425</v>
      </c>
      <c r="F653" s="605" t="inlineStr">
        <is>
          <t>WESTMINSTER</t>
        </is>
      </c>
      <c r="G653" s="605" t="inlineStr">
        <is>
          <t>3</t>
        </is>
      </c>
      <c r="H653" s="59">
        <f>Y653/J653</f>
        <v/>
      </c>
      <c r="I653" s="386" t="n">
        <v>44610</v>
      </c>
      <c r="J653" s="605" t="n">
        <v>1791</v>
      </c>
      <c r="L653" s="605" t="n">
        <v>1791</v>
      </c>
      <c r="M653" s="605" t="n">
        <v>2016</v>
      </c>
      <c r="P653" s="605" t="inlineStr">
        <is>
          <t>PUD-Wes</t>
        </is>
      </c>
      <c r="R653" s="152" t="inlineStr">
        <is>
          <t>Good</t>
        </is>
      </c>
      <c r="S653" s="605" t="n">
        <v>5569</v>
      </c>
      <c r="T653" s="387">
        <f>S653/J653</f>
        <v/>
      </c>
      <c r="U653" s="605" t="inlineStr">
        <is>
          <t>Good</t>
        </is>
      </c>
      <c r="Y653" s="605" t="n">
        <v>700000</v>
      </c>
      <c r="AA653" s="605" t="n">
        <v>700000</v>
      </c>
      <c r="AC653" s="605" t="inlineStr">
        <is>
          <t>0157333101004</t>
        </is>
      </c>
      <c r="AD653" s="605" t="inlineStr">
        <is>
          <t>2022000017149</t>
        </is>
      </c>
      <c r="AE653" s="605" t="inlineStr">
        <is>
          <t>RECOB SAMIRA J</t>
        </is>
      </c>
      <c r="AF653" s="605" t="inlineStr">
        <is>
          <t>1501 W 124TH AVE 700 LLC</t>
        </is>
      </c>
      <c r="AI653" s="605">
        <f>IF(AND($E653=Subj_OccCode,Subj_BldgSF&gt;0,ABS($L653-Subj_BldgSF)&lt;=Subj_BldgSF*Subj_SizeTol),ABS($L653-Subj_BldgSF),NA())</f>
        <v/>
      </c>
      <c r="AJ653">
        <f>IF(ISNA(AI653),NA(),AI653+ROW()/10000000)</f>
        <v/>
      </c>
      <c r="AK653" s="605">
        <f>IF(AND(ISNUMBER($N653),$N653&gt;0,ISNUMBER($Y653)),$Y653/$N653,"")</f>
        <v/>
      </c>
    </row>
    <row r="654" ht="15" customHeight="1" s="545">
      <c r="A654" s="385" t="n">
        <v>8</v>
      </c>
      <c r="B654" s="605" t="n">
        <v>650</v>
      </c>
      <c r="C654" s="605" t="inlineStr">
        <is>
          <t>R0181733</t>
        </is>
      </c>
      <c r="D654" s="605" t="inlineStr">
        <is>
          <t>10401  BELLE CREEK BLVD</t>
        </is>
      </c>
      <c r="E654" s="605" t="n">
        <v>353</v>
      </c>
      <c r="F654" s="605" t="inlineStr">
        <is>
          <t>COMMERCE CITY</t>
        </is>
      </c>
      <c r="G654" s="605" t="inlineStr">
        <is>
          <t>2</t>
        </is>
      </c>
      <c r="H654" s="59">
        <f>Y654/J654</f>
        <v/>
      </c>
      <c r="I654" s="386" t="n">
        <v>43178</v>
      </c>
      <c r="J654" s="605" t="n">
        <v>8212</v>
      </c>
      <c r="L654" s="605" t="n">
        <v>8212</v>
      </c>
      <c r="M654" s="605" t="n">
        <v>2013</v>
      </c>
      <c r="R654" s="152" t="inlineStr">
        <is>
          <t>Average</t>
        </is>
      </c>
      <c r="S654" s="605" t="n">
        <v>60653</v>
      </c>
      <c r="T654" s="387">
        <f>S654/J654</f>
        <v/>
      </c>
      <c r="U654" s="605" t="inlineStr">
        <is>
          <t>Average</t>
        </is>
      </c>
      <c r="Y654" s="605" t="n">
        <v>3500000</v>
      </c>
      <c r="AA654" s="605" t="n">
        <v>3500000</v>
      </c>
      <c r="AC654" s="605" t="inlineStr">
        <is>
          <t>0172110317032</t>
        </is>
      </c>
      <c r="AD654" s="605" t="inlineStr">
        <is>
          <t>2018000022255</t>
        </is>
      </c>
      <c r="AE654" s="605" t="inlineStr">
        <is>
          <t>BELLE CREEK CORNER SHOPS LLC</t>
        </is>
      </c>
      <c r="AF654" s="605" t="inlineStr">
        <is>
          <t>BELLE CREEK PLAZA LLC</t>
        </is>
      </c>
      <c r="AI654" s="605">
        <f>IF(AND($E654=Subj_OccCode,Subj_BldgSF&gt;0,ABS($L654-Subj_BldgSF)&lt;=Subj_BldgSF*Subj_SizeTol),ABS($L654-Subj_BldgSF),NA())</f>
        <v/>
      </c>
      <c r="AJ654">
        <f>IF(ISNA(AI654),NA(),AI654+ROW()/10000000)</f>
        <v/>
      </c>
      <c r="AK654" s="605">
        <f>IF(AND(ISNUMBER($N654),$N654&gt;0,ISNUMBER($Y654)),$Y654/$N654,"")</f>
        <v/>
      </c>
    </row>
    <row r="655" ht="15" customHeight="1" s="545">
      <c r="A655" s="385" t="n">
        <v>8</v>
      </c>
      <c r="B655" s="605" t="n">
        <v>651</v>
      </c>
      <c r="C655" s="605" t="inlineStr">
        <is>
          <t>R0175860</t>
        </is>
      </c>
      <c r="D655" s="605" t="inlineStr">
        <is>
          <t>5781 E 128TH AVE</t>
        </is>
      </c>
      <c r="E655" s="605" t="n">
        <v>353</v>
      </c>
      <c r="F655" s="605" t="inlineStr">
        <is>
          <t>THORNTON</t>
        </is>
      </c>
      <c r="G655" s="605" t="inlineStr">
        <is>
          <t>2</t>
        </is>
      </c>
      <c r="H655" s="59">
        <f>Y655/J655</f>
        <v/>
      </c>
      <c r="I655" s="386" t="n">
        <v>43385</v>
      </c>
      <c r="J655" s="605" t="n">
        <v>10875</v>
      </c>
      <c r="L655" s="605" t="n">
        <v>10875</v>
      </c>
      <c r="M655" s="605" t="n">
        <v>2008</v>
      </c>
      <c r="R655" s="152" t="inlineStr">
        <is>
          <t>Average</t>
        </is>
      </c>
      <c r="S655" s="605" t="n">
        <v>52970</v>
      </c>
      <c r="T655" s="387">
        <f>S655/J655</f>
        <v/>
      </c>
      <c r="U655" s="605" t="inlineStr">
        <is>
          <t>Average</t>
        </is>
      </c>
      <c r="Y655" s="605" t="n">
        <v>3500000</v>
      </c>
      <c r="AA655" s="605" t="n">
        <v>3500000</v>
      </c>
      <c r="AC655" s="605" t="inlineStr">
        <is>
          <t>0157129310044</t>
        </is>
      </c>
      <c r="AD655" s="605" t="inlineStr">
        <is>
          <t>2018000082919</t>
        </is>
      </c>
      <c r="AE655" s="605" t="inlineStr">
        <is>
          <t>MK 22 INVESTMENTS LLC</t>
        </is>
      </c>
      <c r="AF655" s="605" t="inlineStr">
        <is>
          <t>BEST 101 LLC</t>
        </is>
      </c>
      <c r="AI655" s="605">
        <f>IF(AND($E655=Subj_OccCode,Subj_BldgSF&gt;0,ABS($L655-Subj_BldgSF)&lt;=Subj_BldgSF*Subj_SizeTol),ABS($L655-Subj_BldgSF),NA())</f>
        <v/>
      </c>
      <c r="AJ655">
        <f>IF(ISNA(AI655),NA(),AI655+ROW()/10000000)</f>
        <v/>
      </c>
      <c r="AK655" s="605">
        <f>IF(AND(ISNUMBER($N655),$N655&gt;0,ISNUMBER($Y655)),$Y655/$N655,"")</f>
        <v/>
      </c>
    </row>
    <row r="656" ht="15" customHeight="1" s="545">
      <c r="A656" s="385" t="n">
        <v>8</v>
      </c>
      <c r="B656" s="605" t="n">
        <v>652</v>
      </c>
      <c r="C656" s="605" t="inlineStr">
        <is>
          <t>R0188699</t>
        </is>
      </c>
      <c r="D656" s="605" t="inlineStr">
        <is>
          <t>15100 E 40TH AVE</t>
        </is>
      </c>
      <c r="E656" s="605" t="n">
        <v>407</v>
      </c>
      <c r="F656" s="605" t="inlineStr">
        <is>
          <t>AURORA</t>
        </is>
      </c>
      <c r="G656" s="605" t="inlineStr">
        <is>
          <t>6</t>
        </is>
      </c>
      <c r="H656" s="59">
        <f>Y656/J656</f>
        <v/>
      </c>
      <c r="I656" s="386" t="n">
        <v>43245</v>
      </c>
      <c r="J656" s="605" t="n">
        <v>105848</v>
      </c>
      <c r="L656" s="605" t="n">
        <v>105848</v>
      </c>
      <c r="M656" s="605" t="n">
        <v>2016</v>
      </c>
      <c r="P656" s="605" t="inlineStr">
        <is>
          <t>M-1-Aur</t>
        </is>
      </c>
      <c r="R656" s="152" t="inlineStr">
        <is>
          <t>Average</t>
        </is>
      </c>
      <c r="S656" s="605" t="n">
        <v>268481</v>
      </c>
      <c r="T656" s="387">
        <f>S656/J656</f>
        <v/>
      </c>
      <c r="U656" s="605" t="inlineStr">
        <is>
          <t>Average</t>
        </is>
      </c>
      <c r="Y656" s="605" t="n">
        <v>15725000</v>
      </c>
      <c r="AA656" s="605" t="n">
        <v>15725000</v>
      </c>
      <c r="AC656" s="605" t="inlineStr">
        <is>
          <t>0182119401004</t>
        </is>
      </c>
      <c r="AD656" s="605" t="inlineStr">
        <is>
          <t>2018000044527</t>
        </is>
      </c>
      <c r="AE656" s="605" t="inlineStr">
        <is>
          <t>CONFLUENT CENTER 70 LLC, ATTN GENERAL COUNSEL</t>
        </is>
      </c>
      <c r="AF656" s="605" t="inlineStr">
        <is>
          <t>LBA NCC2-COMPANY II LLC</t>
        </is>
      </c>
      <c r="AI656" s="605">
        <f>IF(AND($E656=Subj_OccCode,Subj_BldgSF&gt;0,ABS($L656-Subj_BldgSF)&lt;=Subj_BldgSF*Subj_SizeTol),ABS($L656-Subj_BldgSF),NA())</f>
        <v/>
      </c>
      <c r="AJ656">
        <f>IF(ISNA(AI656),NA(),AI656+ROW()/10000000)</f>
        <v/>
      </c>
      <c r="AK656" s="605">
        <f>IF(AND(ISNUMBER($N656),$N656&gt;0,ISNUMBER($Y656)),$Y656/$N656,"")</f>
        <v/>
      </c>
    </row>
    <row r="657" ht="15" customHeight="1" s="545">
      <c r="A657" s="385" t="n">
        <v>8</v>
      </c>
      <c r="B657" s="605" t="n">
        <v>653</v>
      </c>
      <c r="C657" s="605" t="inlineStr">
        <is>
          <t>R0175821</t>
        </is>
      </c>
      <c r="D657" s="605" t="inlineStr">
        <is>
          <t>13591  HURON ST</t>
        </is>
      </c>
      <c r="E657" s="605" t="n">
        <v>353</v>
      </c>
      <c r="F657" s="605" t="inlineStr">
        <is>
          <t>WESTMINSTER</t>
        </is>
      </c>
      <c r="G657" s="605" t="inlineStr">
        <is>
          <t>3</t>
        </is>
      </c>
      <c r="H657" s="59">
        <f>Y657/J657</f>
        <v/>
      </c>
      <c r="I657" s="386" t="n">
        <v>43278</v>
      </c>
      <c r="J657" s="605" t="n">
        <v>5858</v>
      </c>
      <c r="L657" s="605" t="n">
        <v>5858</v>
      </c>
      <c r="M657" s="605" t="n">
        <v>2015</v>
      </c>
      <c r="R657" s="152" t="inlineStr">
        <is>
          <t>Good</t>
        </is>
      </c>
      <c r="S657" s="605" t="n">
        <v>50016</v>
      </c>
      <c r="T657" s="387">
        <f>S657/J657</f>
        <v/>
      </c>
      <c r="U657" s="605" t="inlineStr">
        <is>
          <t>Good</t>
        </is>
      </c>
      <c r="Y657" s="605" t="n">
        <v>3250000</v>
      </c>
      <c r="AA657" s="605" t="n">
        <v>3250000</v>
      </c>
      <c r="AC657" s="605" t="inlineStr">
        <is>
          <t>0157328125006</t>
        </is>
      </c>
      <c r="AD657" s="605" t="inlineStr">
        <is>
          <t>2018000054647</t>
        </is>
      </c>
      <c r="AE657" s="605" t="inlineStr">
        <is>
          <t>WESTMINSTER HURON RETAIL GROUP, LLC</t>
        </is>
      </c>
      <c r="AF657" s="605" t="inlineStr">
        <is>
          <t>13591 HURON STREET LLC</t>
        </is>
      </c>
      <c r="AI657" s="605">
        <f>IF(AND($E657=Subj_OccCode,Subj_BldgSF&gt;0,ABS($L657-Subj_BldgSF)&lt;=Subj_BldgSF*Subj_SizeTol),ABS($L657-Subj_BldgSF),NA())</f>
        <v/>
      </c>
      <c r="AJ657">
        <f>IF(ISNA(AI657),NA(),AI657+ROW()/10000000)</f>
        <v/>
      </c>
      <c r="AK657" s="605">
        <f>IF(AND(ISNUMBER($N657),$N657&gt;0,ISNUMBER($Y657)),$Y657/$N657,"")</f>
        <v/>
      </c>
    </row>
    <row r="658" ht="15" customHeight="1" s="545">
      <c r="A658" s="385" t="n">
        <v>8</v>
      </c>
      <c r="B658" s="605" t="n">
        <v>654</v>
      </c>
      <c r="C658" s="605" t="inlineStr">
        <is>
          <t>R0182980</t>
        </is>
      </c>
      <c r="D658" s="605" t="inlineStr">
        <is>
          <t>210  GREAT WESTERN RD</t>
        </is>
      </c>
      <c r="E658" s="605" t="n">
        <v>344</v>
      </c>
      <c r="F658" s="605" t="inlineStr">
        <is>
          <t>BRIGHTON</t>
        </is>
      </c>
      <c r="G658" s="605" t="inlineStr">
        <is>
          <t>2</t>
        </is>
      </c>
      <c r="H658" s="59">
        <f>Y658/J658</f>
        <v/>
      </c>
      <c r="I658" s="386" t="n">
        <v>44620</v>
      </c>
      <c r="J658" s="605" t="n">
        <v>2508</v>
      </c>
      <c r="L658" s="605" t="n">
        <v>2508</v>
      </c>
      <c r="M658" s="605" t="n">
        <v>2014</v>
      </c>
      <c r="P658" s="605" t="inlineStr">
        <is>
          <t>DT</t>
        </is>
      </c>
      <c r="R658" s="152" t="inlineStr">
        <is>
          <t>Average</t>
        </is>
      </c>
      <c r="S658" s="605" t="n">
        <v>46843</v>
      </c>
      <c r="T658" s="387">
        <f>S658/J658</f>
        <v/>
      </c>
      <c r="U658" s="605" t="inlineStr">
        <is>
          <t>Average</t>
        </is>
      </c>
      <c r="Y658" s="605" t="n">
        <v>1000000</v>
      </c>
      <c r="AA658" s="605" t="n">
        <v>1000000</v>
      </c>
      <c r="AC658" s="605" t="inlineStr">
        <is>
          <t>0156906306021</t>
        </is>
      </c>
      <c r="AD658" s="605" t="inlineStr">
        <is>
          <t>2022000019376</t>
        </is>
      </c>
      <c r="AE658" s="605" t="inlineStr">
        <is>
          <t>RAM AUTO REPAIR INC</t>
        </is>
      </c>
      <c r="AF658" s="605" t="inlineStr">
        <is>
          <t>RENEW ROOFING AND PAVING LLC</t>
        </is>
      </c>
      <c r="AI658" s="605">
        <f>IF(AND($E658=Subj_OccCode,Subj_BldgSF&gt;0,ABS($L658-Subj_BldgSF)&lt;=Subj_BldgSF*Subj_SizeTol),ABS($L658-Subj_BldgSF),NA())</f>
        <v/>
      </c>
      <c r="AJ658">
        <f>IF(ISNA(AI658),NA(),AI658+ROW()/10000000)</f>
        <v/>
      </c>
      <c r="AK658" s="605">
        <f>IF(AND(ISNUMBER($N658),$N658&gt;0,ISNUMBER($Y658)),$Y658/$N658,"")</f>
        <v/>
      </c>
    </row>
    <row r="659" ht="15" customHeight="1" s="545">
      <c r="A659" s="385" t="n">
        <v>8</v>
      </c>
      <c r="B659" s="605" t="n">
        <v>655</v>
      </c>
      <c r="C659" s="605" t="inlineStr">
        <is>
          <t>R0190879</t>
        </is>
      </c>
      <c r="D659" s="605" t="inlineStr">
        <is>
          <t>1321 S 4TH AVE</t>
        </is>
      </c>
      <c r="E659" s="605" t="n">
        <v>341</v>
      </c>
      <c r="F659" s="605" t="inlineStr">
        <is>
          <t>BRIGHTON</t>
        </is>
      </c>
      <c r="G659" s="605" t="inlineStr">
        <is>
          <t>2</t>
        </is>
      </c>
      <c r="H659" s="59">
        <f>Y659/J659</f>
        <v/>
      </c>
      <c r="I659" s="386" t="n">
        <v>44414</v>
      </c>
      <c r="J659" s="605" t="n">
        <v>9444</v>
      </c>
      <c r="L659" s="605" t="n">
        <v>9444</v>
      </c>
      <c r="M659" s="605" t="n">
        <v>2016</v>
      </c>
      <c r="P659" s="605" t="inlineStr">
        <is>
          <t>I-1-Bri</t>
        </is>
      </c>
      <c r="R659" s="152" t="inlineStr">
        <is>
          <t>Average</t>
        </is>
      </c>
      <c r="S659" s="605" t="n">
        <v>45271</v>
      </c>
      <c r="T659" s="387">
        <f>S659/J659</f>
        <v/>
      </c>
      <c r="U659" s="605" t="inlineStr">
        <is>
          <t>Average</t>
        </is>
      </c>
      <c r="Y659" s="605" t="n">
        <v>3066747</v>
      </c>
      <c r="AA659" s="605" t="n">
        <v>3066747</v>
      </c>
      <c r="AC659" s="605" t="inlineStr">
        <is>
          <t>0156918203008</t>
        </is>
      </c>
      <c r="AD659" s="605" t="inlineStr">
        <is>
          <t>2021000094535</t>
        </is>
      </c>
      <c r="AE659" s="605" t="inlineStr">
        <is>
          <t>148TH AND SABLE BOULEVARD BUILDING, LOT 3 LLC</t>
        </is>
      </c>
      <c r="AF659" s="605" t="inlineStr">
        <is>
          <t>DP BRIGHTON LLC</t>
        </is>
      </c>
      <c r="AI659" s="605">
        <f>IF(AND($E659=Subj_OccCode,Subj_BldgSF&gt;0,ABS($L659-Subj_BldgSF)&lt;=Subj_BldgSF*Subj_SizeTol),ABS($L659-Subj_BldgSF),NA())</f>
        <v/>
      </c>
      <c r="AJ659">
        <f>IF(ISNA(AI659),NA(),AI659+ROW()/10000000)</f>
        <v/>
      </c>
      <c r="AK659" s="605">
        <f>IF(AND(ISNUMBER($N659),$N659&gt;0,ISNUMBER($Y659)),$Y659/$N659,"")</f>
        <v/>
      </c>
    </row>
    <row r="660" ht="15" customHeight="1" s="545">
      <c r="A660" s="385" t="n">
        <v>8</v>
      </c>
      <c r="B660" s="605" t="n">
        <v>656</v>
      </c>
      <c r="C660" s="605" t="inlineStr">
        <is>
          <t>R0181286</t>
        </is>
      </c>
      <c r="D660" s="605" t="inlineStr">
        <is>
          <t>10555 IRMA DR</t>
        </is>
      </c>
      <c r="E660" s="605" t="n">
        <v>325</v>
      </c>
      <c r="F660" s="605" t="inlineStr">
        <is>
          <t>NORTHGLENN</t>
        </is>
      </c>
      <c r="G660" s="605" t="inlineStr">
        <is>
          <t>4</t>
        </is>
      </c>
      <c r="H660" s="59">
        <f>Y660/J660</f>
        <v/>
      </c>
      <c r="I660" s="386" t="n">
        <v>44560</v>
      </c>
      <c r="J660" s="605" t="n">
        <v>9836</v>
      </c>
      <c r="L660" s="605" t="n">
        <v>9836</v>
      </c>
      <c r="M660" s="605" t="n">
        <v>2014</v>
      </c>
      <c r="P660" s="605" t="inlineStr">
        <is>
          <t>PUD-Nor</t>
        </is>
      </c>
      <c r="R660" s="152" t="inlineStr">
        <is>
          <t>Average</t>
        </is>
      </c>
      <c r="S660" s="605" t="n">
        <v>49222.8</v>
      </c>
      <c r="T660" s="387">
        <f>S660/J660</f>
        <v/>
      </c>
      <c r="U660" s="605" t="inlineStr">
        <is>
          <t>Average</t>
        </is>
      </c>
      <c r="Y660" s="605" t="n">
        <v>2602249</v>
      </c>
      <c r="AA660" s="605" t="n">
        <v>2602249</v>
      </c>
      <c r="AC660" s="605" t="inlineStr">
        <is>
          <t>0171911406031</t>
        </is>
      </c>
      <c r="AD660" s="605" t="inlineStr">
        <is>
          <t>2022000013419</t>
        </is>
      </c>
      <c r="AE660" s="605" t="inlineStr">
        <is>
          <t>TILZER HOLDINGS LLC</t>
        </is>
      </c>
      <c r="AF660" s="605" t="inlineStr">
        <is>
          <t>SCF RC FUNDING III LLC</t>
        </is>
      </c>
      <c r="AI660" s="605">
        <f>IF(AND($E660=Subj_OccCode,Subj_BldgSF&gt;0,ABS($L660-Subj_BldgSF)&lt;=Subj_BldgSF*Subj_SizeTol),ABS($L660-Subj_BldgSF),NA())</f>
        <v/>
      </c>
      <c r="AJ660">
        <f>IF(ISNA(AI660),NA(),AI660+ROW()/10000000)</f>
        <v/>
      </c>
      <c r="AK660" s="605">
        <f>IF(AND(ISNUMBER($N660),$N660&gt;0,ISNUMBER($Y660)),$Y660/$N660,"")</f>
        <v/>
      </c>
    </row>
    <row r="661" ht="15" customHeight="1" s="545">
      <c r="A661" s="385" t="n">
        <v>8</v>
      </c>
      <c r="B661" s="605" t="n">
        <v>657</v>
      </c>
      <c r="C661" s="605" t="inlineStr">
        <is>
          <t>R0190170</t>
        </is>
      </c>
      <c r="D661" s="605" t="inlineStr">
        <is>
          <t>601 E 64TH AVE</t>
        </is>
      </c>
      <c r="E661" s="605" t="n">
        <v>407</v>
      </c>
      <c r="G661" s="605" t="inlineStr">
        <is>
          <t>5</t>
        </is>
      </c>
      <c r="H661" s="59">
        <f>Y661/J661</f>
        <v/>
      </c>
      <c r="I661" s="386" t="n">
        <v>43230</v>
      </c>
      <c r="J661" s="605" t="n">
        <v>419745</v>
      </c>
      <c r="L661" s="605" t="n">
        <v>419745</v>
      </c>
      <c r="M661" s="605" t="n">
        <v>2016</v>
      </c>
      <c r="R661" s="152" t="inlineStr">
        <is>
          <t>Average</t>
        </is>
      </c>
      <c r="S661" s="605" t="n">
        <v>1078261</v>
      </c>
      <c r="T661" s="387">
        <f>S661/J661</f>
        <v/>
      </c>
      <c r="U661" s="605" t="inlineStr">
        <is>
          <t>Average</t>
        </is>
      </c>
      <c r="Y661" s="605" t="n">
        <v>74000000</v>
      </c>
      <c r="AA661" s="605" t="n">
        <v>74000000</v>
      </c>
      <c r="AC661" s="605" t="inlineStr">
        <is>
          <t>0182503402011</t>
        </is>
      </c>
      <c r="AD661" s="605" t="inlineStr">
        <is>
          <t>2018000037912</t>
        </is>
      </c>
      <c r="AE661" s="605" t="inlineStr">
        <is>
          <t xml:space="preserve">MAPLETON INDUSTRIAL INVESTORS LLLP, C/O WESTFIELD COMPANY INC </t>
        </is>
      </c>
      <c r="AF661" s="605" t="inlineStr">
        <is>
          <t>HUB ACQUISITION LLC, C/O WESTFIELD PROPERTY SERVICES</t>
        </is>
      </c>
      <c r="AI661" s="605">
        <f>IF(AND($E661=Subj_OccCode,Subj_BldgSF&gt;0,ABS($L661-Subj_BldgSF)&lt;=Subj_BldgSF*Subj_SizeTol),ABS($L661-Subj_BldgSF),NA())</f>
        <v/>
      </c>
      <c r="AJ661">
        <f>IF(ISNA(AI661),NA(),AI661+ROW()/10000000)</f>
        <v/>
      </c>
      <c r="AK661" s="605">
        <f>IF(AND(ISNUMBER($N661),$N661&gt;0,ISNUMBER($Y661)),$Y661/$N661,"")</f>
        <v/>
      </c>
    </row>
    <row r="662" ht="15" customHeight="1" s="545">
      <c r="A662" s="385" t="n">
        <v>8</v>
      </c>
      <c r="B662" s="605" t="n">
        <v>658</v>
      </c>
      <c r="C662" s="605" t="inlineStr">
        <is>
          <t>R0188149</t>
        </is>
      </c>
      <c r="D662" s="605" t="inlineStr">
        <is>
          <t>7580  SHERIDAN BLVD</t>
        </is>
      </c>
      <c r="E662" s="605" t="n">
        <v>353</v>
      </c>
      <c r="F662" s="605" t="inlineStr">
        <is>
          <t>WESTMINSTER</t>
        </is>
      </c>
      <c r="G662" s="605" t="inlineStr">
        <is>
          <t>4</t>
        </is>
      </c>
      <c r="H662" s="59">
        <f>Y662/J662</f>
        <v/>
      </c>
      <c r="I662" s="386" t="n">
        <v>44179</v>
      </c>
      <c r="J662" s="605" t="n">
        <v>2275</v>
      </c>
      <c r="L662" s="605" t="n">
        <v>2275</v>
      </c>
      <c r="M662" s="605" t="n">
        <v>1971</v>
      </c>
      <c r="P662" s="605" t="inlineStr">
        <is>
          <t>PUD-Wes</t>
        </is>
      </c>
      <c r="R662" s="152" t="inlineStr">
        <is>
          <t>Average</t>
        </is>
      </c>
      <c r="S662" s="605" t="n">
        <v>20140</v>
      </c>
      <c r="T662" s="387">
        <f>S662/J662</f>
        <v/>
      </c>
      <c r="U662" s="605" t="inlineStr">
        <is>
          <t>Average</t>
        </is>
      </c>
      <c r="Y662" s="605" t="n">
        <v>645000</v>
      </c>
      <c r="AA662" s="605" t="n">
        <v>645000</v>
      </c>
      <c r="AC662" s="605" t="inlineStr">
        <is>
          <t>0171931301022</t>
        </is>
      </c>
      <c r="AD662" s="605" t="inlineStr">
        <is>
          <t>2020000131129</t>
        </is>
      </c>
      <c r="AE662" s="605" t="inlineStr">
        <is>
          <t>TRAN TU Q AND NGUYEN XUAN T</t>
        </is>
      </c>
      <c r="AF662" s="605" t="inlineStr">
        <is>
          <t>7580 SHERIDAN BLVD LLC</t>
        </is>
      </c>
      <c r="AI662" s="605">
        <f>IF(AND($E662=Subj_OccCode,Subj_BldgSF&gt;0,ABS($L662-Subj_BldgSF)&lt;=Subj_BldgSF*Subj_SizeTol),ABS($L662-Subj_BldgSF),NA())</f>
        <v/>
      </c>
      <c r="AJ662">
        <f>IF(ISNA(AI662),NA(),AI662+ROW()/10000000)</f>
        <v/>
      </c>
      <c r="AK662" s="605">
        <f>IF(AND(ISNUMBER($N662),$N662&gt;0,ISNUMBER($Y662)),$Y662/$N662,"")</f>
        <v/>
      </c>
    </row>
    <row r="663" ht="15" customHeight="1" s="545">
      <c r="A663" s="385" t="n">
        <v>8</v>
      </c>
      <c r="B663" s="605" t="n">
        <v>659</v>
      </c>
      <c r="C663" s="605" t="inlineStr">
        <is>
          <t>R0180952</t>
        </is>
      </c>
      <c r="D663" s="605" t="inlineStr">
        <is>
          <t>3350 ODESSA WY</t>
        </is>
      </c>
      <c r="E663" s="605" t="n">
        <v>406</v>
      </c>
      <c r="F663" s="605" t="inlineStr">
        <is>
          <t>AURORA</t>
        </is>
      </c>
      <c r="G663" s="605" t="inlineStr">
        <is>
          <t>6</t>
        </is>
      </c>
      <c r="H663" s="59">
        <f>Y663/J663</f>
        <v/>
      </c>
      <c r="I663" s="386" t="n">
        <v>44351</v>
      </c>
      <c r="J663" s="605" t="n">
        <v>32845</v>
      </c>
      <c r="L663" s="605" t="n">
        <v>32845</v>
      </c>
      <c r="M663" s="605" t="n">
        <v>2013</v>
      </c>
      <c r="P663" s="605" t="inlineStr">
        <is>
          <t>M-1-Aur</t>
        </is>
      </c>
      <c r="R663" s="152" t="inlineStr">
        <is>
          <t>Average</t>
        </is>
      </c>
      <c r="S663" s="605" t="n">
        <v>297945</v>
      </c>
      <c r="T663" s="387">
        <f>S663/J663</f>
        <v/>
      </c>
      <c r="U663" s="605" t="inlineStr">
        <is>
          <t>Average</t>
        </is>
      </c>
      <c r="Y663" s="605" t="n">
        <v>6075000</v>
      </c>
      <c r="AA663" s="605" t="n">
        <v>6075000</v>
      </c>
      <c r="AC663" s="605" t="inlineStr">
        <is>
          <t>0182126101005</t>
        </is>
      </c>
      <c r="AD663" s="605" t="inlineStr">
        <is>
          <t>2021000069300</t>
        </is>
      </c>
      <c r="AE663" s="605" t="inlineStr">
        <is>
          <t>PROPERTY LEASING DENVER LLC</t>
        </is>
      </c>
      <c r="AF663" s="605" t="inlineStr">
        <is>
          <t>FIRST INDUSTRIAL L P</t>
        </is>
      </c>
      <c r="AI663" s="605">
        <f>IF(AND($E663=Subj_OccCode,Subj_BldgSF&gt;0,ABS($L663-Subj_BldgSF)&lt;=Subj_BldgSF*Subj_SizeTol),ABS($L663-Subj_BldgSF),NA())</f>
        <v/>
      </c>
      <c r="AJ663">
        <f>IF(ISNA(AI663),NA(),AI663+ROW()/10000000)</f>
        <v/>
      </c>
      <c r="AK663" s="605">
        <f>IF(AND(ISNUMBER($N663),$N663&gt;0,ISNUMBER($Y663)),$Y663/$N663,"")</f>
        <v/>
      </c>
    </row>
    <row r="664" ht="15" customHeight="1" s="545">
      <c r="A664" s="385" t="n">
        <v>8</v>
      </c>
      <c r="B664" s="605" t="n">
        <v>660</v>
      </c>
      <c r="C664" s="605" t="inlineStr">
        <is>
          <t>R0192486</t>
        </is>
      </c>
      <c r="D664" s="605" t="inlineStr">
        <is>
          <t>7398  FEDERAL BLVD</t>
        </is>
      </c>
      <c r="E664" s="605" t="n">
        <v>344</v>
      </c>
      <c r="F664" s="605" t="inlineStr">
        <is>
          <t>WESTMINSTER</t>
        </is>
      </c>
      <c r="G664" s="605" t="inlineStr">
        <is>
          <t>4</t>
        </is>
      </c>
      <c r="H664" s="59">
        <f>Y664/J664</f>
        <v/>
      </c>
      <c r="I664" s="386" t="n">
        <v>44091</v>
      </c>
      <c r="J664" s="605" t="n">
        <v>2410</v>
      </c>
      <c r="L664" s="605" t="n">
        <v>2410</v>
      </c>
      <c r="M664" s="605" t="n">
        <v>1971</v>
      </c>
      <c r="P664" s="605" t="inlineStr">
        <is>
          <t>C-1-Wes</t>
        </is>
      </c>
      <c r="R664" s="152" t="inlineStr">
        <is>
          <t>Average</t>
        </is>
      </c>
      <c r="S664" s="605" t="n">
        <v>23139</v>
      </c>
      <c r="T664" s="387">
        <f>S664/J664</f>
        <v/>
      </c>
      <c r="U664" s="605" t="inlineStr">
        <is>
          <t>Average</t>
        </is>
      </c>
      <c r="Y664" s="605" t="n">
        <v>850000</v>
      </c>
      <c r="AA664" s="605" t="n">
        <v>850000</v>
      </c>
      <c r="AC664" s="605" t="inlineStr">
        <is>
          <t>0171932421006</t>
        </is>
      </c>
      <c r="AD664" s="605" t="inlineStr">
        <is>
          <t>2020000093213</t>
        </is>
      </c>
      <c r="AE664" s="605" t="inlineStr">
        <is>
          <t>MTD 74FED LLC, C/O CADENCE DEVELOPMENT LLC</t>
        </is>
      </c>
      <c r="AF664" s="605" t="inlineStr">
        <is>
          <t>SEUNG H LEE LLC</t>
        </is>
      </c>
      <c r="AI664" s="605">
        <f>IF(AND($E664=Subj_OccCode,Subj_BldgSF&gt;0,ABS($L664-Subj_BldgSF)&lt;=Subj_BldgSF*Subj_SizeTol),ABS($L664-Subj_BldgSF),NA())</f>
        <v/>
      </c>
      <c r="AJ664">
        <f>IF(ISNA(AI664),NA(),AI664+ROW()/10000000)</f>
        <v/>
      </c>
      <c r="AK664" s="605">
        <f>IF(AND(ISNUMBER($N664),$N664&gt;0,ISNUMBER($Y664)),$Y664/$N664,"")</f>
        <v/>
      </c>
    </row>
    <row r="665" ht="15" customHeight="1" s="545">
      <c r="A665" s="385" t="n">
        <v>8</v>
      </c>
      <c r="B665" s="605" t="n">
        <v>661</v>
      </c>
      <c r="C665" s="605" t="inlineStr">
        <is>
          <t>R0195676</t>
        </is>
      </c>
      <c r="D665" s="605" t="inlineStr">
        <is>
          <t>8411 N STACY DR</t>
        </is>
      </c>
      <c r="E665" s="605" t="n">
        <v>444</v>
      </c>
      <c r="F665" s="605" t="inlineStr">
        <is>
          <t>FEDERAL HEIGHTS</t>
        </is>
      </c>
      <c r="G665" s="605" t="inlineStr">
        <is>
          <t>4</t>
        </is>
      </c>
      <c r="H665" s="59">
        <f>Y665/J665</f>
        <v/>
      </c>
      <c r="I665" s="386" t="n">
        <v>44523</v>
      </c>
      <c r="J665" s="605" t="n">
        <v>2873</v>
      </c>
      <c r="L665" s="605" t="n">
        <v>2873</v>
      </c>
      <c r="M665" s="605" t="n">
        <v>2001</v>
      </c>
      <c r="P665" s="605" t="inlineStr">
        <is>
          <t>C-1-Fed</t>
        </is>
      </c>
      <c r="R665" s="152" t="inlineStr">
        <is>
          <t>Good</t>
        </is>
      </c>
      <c r="S665" s="605" t="n">
        <v>3588</v>
      </c>
      <c r="T665" s="387">
        <f>S665/J665</f>
        <v/>
      </c>
      <c r="U665" s="605" t="inlineStr">
        <is>
          <t>Good</t>
        </is>
      </c>
      <c r="Y665" s="605" t="n">
        <v>1350000</v>
      </c>
      <c r="AA665" s="605" t="n">
        <v>1350000</v>
      </c>
      <c r="AC665" s="605" t="inlineStr">
        <is>
          <t>0171928206013</t>
        </is>
      </c>
      <c r="AD665" s="605" t="inlineStr">
        <is>
          <t>2021000137591</t>
        </is>
      </c>
      <c r="AE665" s="605" t="inlineStr">
        <is>
          <t>WONG ALAN DDS PC</t>
        </is>
      </c>
      <c r="AF665" s="605" t="inlineStr">
        <is>
          <t>FRANK AND LOU ENTERPRISES LLC</t>
        </is>
      </c>
      <c r="AI665" s="605">
        <f>IF(AND($E665=Subj_OccCode,Subj_BldgSF&gt;0,ABS($L665-Subj_BldgSF)&lt;=Subj_BldgSF*Subj_SizeTol),ABS($L665-Subj_BldgSF),NA())</f>
        <v/>
      </c>
      <c r="AJ665">
        <f>IF(ISNA(AI665),NA(),AI665+ROW()/10000000)</f>
        <v/>
      </c>
      <c r="AK665" s="605">
        <f>IF(AND(ISNUMBER($N665),$N665&gt;0,ISNUMBER($Y665)),$Y665/$N665,"")</f>
        <v/>
      </c>
    </row>
    <row r="666" ht="15" customHeight="1" s="545">
      <c r="A666" s="385" t="n">
        <v>8</v>
      </c>
      <c r="B666" s="605" t="n">
        <v>662</v>
      </c>
      <c r="C666" s="605" t="inlineStr">
        <is>
          <t>R0194307</t>
        </is>
      </c>
      <c r="D666" s="605" t="inlineStr">
        <is>
          <t xml:space="preserve">6496  HWY 2 </t>
        </is>
      </c>
      <c r="E666" s="605" t="n">
        <v>442</v>
      </c>
      <c r="F666" s="605" t="inlineStr">
        <is>
          <t>COMMERCE CITY</t>
        </is>
      </c>
      <c r="G666" s="605" t="inlineStr">
        <is>
          <t>5</t>
        </is>
      </c>
      <c r="H666" s="59">
        <f>Y666/J666</f>
        <v/>
      </c>
      <c r="I666" s="386" t="n">
        <v>43159</v>
      </c>
      <c r="J666" s="605" t="n">
        <v>5016</v>
      </c>
      <c r="L666" s="605" t="n">
        <v>5016</v>
      </c>
      <c r="M666" s="605" t="n">
        <v>1941</v>
      </c>
      <c r="R666" s="152" t="inlineStr">
        <is>
          <t>Average</t>
        </is>
      </c>
      <c r="S666" s="605" t="n">
        <v>42636</v>
      </c>
      <c r="T666" s="387">
        <f>S666/J666</f>
        <v/>
      </c>
      <c r="U666" s="605" t="inlineStr">
        <is>
          <t>Average</t>
        </is>
      </c>
      <c r="Y666" s="605" t="n">
        <v>755000</v>
      </c>
      <c r="AA666" s="605" t="n">
        <v>755000</v>
      </c>
      <c r="AC666" s="605" t="inlineStr">
        <is>
          <t>0182306406020</t>
        </is>
      </c>
      <c r="AD666" s="605" t="inlineStr">
        <is>
          <t>2018000017154</t>
        </is>
      </c>
      <c r="AE666" s="605" t="inlineStr">
        <is>
          <t>SHARPLESS CLAUDE J JR</t>
        </is>
      </c>
      <c r="AF666" s="605" t="inlineStr">
        <is>
          <t>FERRER LORENZO</t>
        </is>
      </c>
      <c r="AI666" s="605">
        <f>IF(AND($E666=Subj_OccCode,Subj_BldgSF&gt;0,ABS($L666-Subj_BldgSF)&lt;=Subj_BldgSF*Subj_SizeTol),ABS($L666-Subj_BldgSF),NA())</f>
        <v/>
      </c>
      <c r="AJ666">
        <f>IF(ISNA(AI666),NA(),AI666+ROW()/10000000)</f>
        <v/>
      </c>
      <c r="AK666" s="605">
        <f>IF(AND(ISNUMBER($N666),$N666&gt;0,ISNUMBER($Y666)),$Y666/$N666,"")</f>
        <v/>
      </c>
    </row>
    <row r="667" ht="15" customHeight="1" s="545">
      <c r="A667" s="385" t="n">
        <v>8</v>
      </c>
      <c r="B667" s="605" t="n">
        <v>663</v>
      </c>
      <c r="C667" s="605" t="inlineStr">
        <is>
          <t>R0176600</t>
        </is>
      </c>
      <c r="D667" s="605" t="inlineStr">
        <is>
          <t>521 W 115TH AVE</t>
        </is>
      </c>
      <c r="E667" s="605" t="n">
        <v>386</v>
      </c>
      <c r="F667" s="605" t="inlineStr">
        <is>
          <t>NORTHGLENN</t>
        </is>
      </c>
      <c r="G667" s="605" t="inlineStr">
        <is>
          <t>4</t>
        </is>
      </c>
      <c r="H667" s="59">
        <f>Y667/J667</f>
        <v/>
      </c>
      <c r="I667" s="386" t="n">
        <v>44545</v>
      </c>
      <c r="J667" s="605" t="n">
        <v>11715</v>
      </c>
      <c r="L667" s="605" t="n">
        <v>11715</v>
      </c>
      <c r="M667" s="605" t="n">
        <v>2016</v>
      </c>
      <c r="P667" s="605" t="inlineStr">
        <is>
          <t>PUD-Nor</t>
        </is>
      </c>
      <c r="R667" s="152" t="inlineStr">
        <is>
          <t>Average</t>
        </is>
      </c>
      <c r="S667" s="605" t="n">
        <v>34033</v>
      </c>
      <c r="T667" s="387">
        <f>S667/J667</f>
        <v/>
      </c>
      <c r="U667" s="605" t="inlineStr">
        <is>
          <t>Average</t>
        </is>
      </c>
      <c r="Y667" s="605" t="n">
        <v>1000000</v>
      </c>
      <c r="AA667" s="605" t="n">
        <v>1000000</v>
      </c>
      <c r="AC667" s="605" t="inlineStr">
        <is>
          <t>0171903305001</t>
        </is>
      </c>
      <c r="AD667" s="605" t="inlineStr">
        <is>
          <t>2021000145894</t>
        </is>
      </c>
      <c r="AE667" s="605" t="inlineStr">
        <is>
          <t>BRANDON SCOTT AND, BRANDON MARLENE</t>
        </is>
      </c>
      <c r="AF667" s="605" t="inlineStr">
        <is>
          <t>PINEAPPLE PROPERTIES LTD</t>
        </is>
      </c>
      <c r="AI667" s="605">
        <f>IF(AND($E667=Subj_OccCode,Subj_BldgSF&gt;0,ABS($L667-Subj_BldgSF)&lt;=Subj_BldgSF*Subj_SizeTol),ABS($L667-Subj_BldgSF),NA())</f>
        <v/>
      </c>
      <c r="AJ667">
        <f>IF(ISNA(AI667),NA(),AI667+ROW()/10000000)</f>
        <v/>
      </c>
      <c r="AK667" s="605">
        <f>IF(AND(ISNUMBER($N667),$N667&gt;0,ISNUMBER($Y667)),$Y667/$N667,"")</f>
        <v/>
      </c>
    </row>
    <row r="668" ht="15" customHeight="1" s="545">
      <c r="A668" s="385" t="n">
        <v>8</v>
      </c>
      <c r="B668" s="605" t="n">
        <v>664</v>
      </c>
      <c r="C668" s="605" t="inlineStr">
        <is>
          <t>R0190171</t>
        </is>
      </c>
      <c r="D668" s="605" t="inlineStr">
        <is>
          <t>1511 W 124TH AVE</t>
        </is>
      </c>
      <c r="E668" s="605" t="n">
        <v>425</v>
      </c>
      <c r="F668" s="605" t="inlineStr">
        <is>
          <t>WESTMINSTER</t>
        </is>
      </c>
      <c r="G668" s="605" t="inlineStr">
        <is>
          <t>3</t>
        </is>
      </c>
      <c r="H668" s="59">
        <f>Y668/J668</f>
        <v/>
      </c>
      <c r="I668" s="386" t="n">
        <v>43920</v>
      </c>
      <c r="J668" s="605" t="n">
        <v>4000</v>
      </c>
      <c r="L668" s="605" t="n">
        <v>4000</v>
      </c>
      <c r="M668" s="605" t="n">
        <v>2016</v>
      </c>
      <c r="P668" s="605" t="inlineStr">
        <is>
          <t>PUD-Wes</t>
        </is>
      </c>
      <c r="R668" s="152" t="inlineStr">
        <is>
          <t>Good</t>
        </is>
      </c>
      <c r="S668" s="605" t="n">
        <v>5569</v>
      </c>
      <c r="T668" s="387">
        <f>S668/J668</f>
        <v/>
      </c>
      <c r="U668" s="605" t="inlineStr">
        <is>
          <t>Good</t>
        </is>
      </c>
      <c r="Y668" s="605" t="n">
        <v>600000</v>
      </c>
      <c r="AA668" s="605" t="n">
        <v>600000</v>
      </c>
      <c r="AC668" s="605" t="inlineStr">
        <is>
          <t>0157333101001</t>
        </is>
      </c>
      <c r="AD668" s="605" t="inlineStr">
        <is>
          <t>2020000031849</t>
        </is>
      </c>
      <c r="AE668" s="605" t="inlineStr">
        <is>
          <t>1511 WEST 124TH AVE LLC</t>
        </is>
      </c>
      <c r="AF668" s="605" t="inlineStr">
        <is>
          <t>ABA REAL ESTATE LLC</t>
        </is>
      </c>
      <c r="AI668" s="605">
        <f>IF(AND($E668=Subj_OccCode,Subj_BldgSF&gt;0,ABS($L668-Subj_BldgSF)&lt;=Subj_BldgSF*Subj_SizeTol),ABS($L668-Subj_BldgSF),NA())</f>
        <v/>
      </c>
      <c r="AJ668">
        <f>IF(ISNA(AI668),NA(),AI668+ROW()/10000000)</f>
        <v/>
      </c>
      <c r="AK668" s="605">
        <f>IF(AND(ISNUMBER($N668),$N668&gt;0,ISNUMBER($Y668)),$Y668/$N668,"")</f>
        <v/>
      </c>
    </row>
    <row r="669" ht="15" customHeight="1" s="545">
      <c r="A669" s="385" t="n">
        <v>8</v>
      </c>
      <c r="B669" s="605" t="n">
        <v>665</v>
      </c>
      <c r="C669" s="605" t="inlineStr">
        <is>
          <t>R0190176</t>
        </is>
      </c>
      <c r="D669" s="605" t="inlineStr">
        <is>
          <t>1501 W 124TH AVE</t>
        </is>
      </c>
      <c r="E669" s="605" t="n">
        <v>425</v>
      </c>
      <c r="F669" s="605" t="inlineStr">
        <is>
          <t>WESTMINSTER</t>
        </is>
      </c>
      <c r="G669" s="605" t="inlineStr">
        <is>
          <t>3</t>
        </is>
      </c>
      <c r="H669" s="59">
        <f>Y669/J669</f>
        <v/>
      </c>
      <c r="I669" s="386" t="n">
        <v>44316</v>
      </c>
      <c r="J669" s="605" t="n">
        <v>15818</v>
      </c>
      <c r="L669" s="605" t="n">
        <v>15818</v>
      </c>
      <c r="M669" s="605" t="n">
        <v>2016</v>
      </c>
      <c r="P669" s="605" t="inlineStr">
        <is>
          <t>PUD-Wes</t>
        </is>
      </c>
      <c r="R669" s="152" t="inlineStr">
        <is>
          <t>Good</t>
        </is>
      </c>
      <c r="S669" s="605" t="n">
        <v>5569</v>
      </c>
      <c r="T669" s="387">
        <f>S669/J669</f>
        <v/>
      </c>
      <c r="U669" s="605" t="inlineStr">
        <is>
          <t>Good</t>
        </is>
      </c>
      <c r="Y669" s="605" t="n">
        <v>680000</v>
      </c>
      <c r="AA669" s="605" t="n">
        <v>680000</v>
      </c>
      <c r="AC669" s="605" t="inlineStr">
        <is>
          <t>0157333101006</t>
        </is>
      </c>
      <c r="AD669" s="605" t="inlineStr">
        <is>
          <t>2021000053506</t>
        </is>
      </c>
      <c r="AE669" s="605" t="inlineStr">
        <is>
          <t>URBAN BOX 500 LLC</t>
        </is>
      </c>
      <c r="AF669" s="605" t="inlineStr">
        <is>
          <t>MADJOSH ENTERPRISES LLC</t>
        </is>
      </c>
      <c r="AI669" s="605">
        <f>IF(AND($E669=Subj_OccCode,Subj_BldgSF&gt;0,ABS($L669-Subj_BldgSF)&lt;=Subj_BldgSF*Subj_SizeTol),ABS($L669-Subj_BldgSF),NA())</f>
        <v/>
      </c>
      <c r="AJ669">
        <f>IF(ISNA(AI669),NA(),AI669+ROW()/10000000)</f>
        <v/>
      </c>
      <c r="AK669" s="605">
        <f>IF(AND(ISNUMBER($N669),$N669&gt;0,ISNUMBER($Y669)),$Y669/$N669,"")</f>
        <v/>
      </c>
    </row>
    <row r="670" ht="15" customHeight="1" s="545">
      <c r="A670" s="385" t="n">
        <v>8</v>
      </c>
      <c r="B670" s="605" t="n">
        <v>666</v>
      </c>
      <c r="C670" s="605" t="inlineStr">
        <is>
          <t>R0103510</t>
        </is>
      </c>
      <c r="D670" s="605" t="inlineStr">
        <is>
          <t>6145 BROADWAY ST</t>
        </is>
      </c>
      <c r="E670" s="605" t="n">
        <v>406</v>
      </c>
      <c r="G670" s="605" t="inlineStr">
        <is>
          <t>5</t>
        </is>
      </c>
      <c r="H670" s="59">
        <f>Y670/J670</f>
        <v/>
      </c>
      <c r="I670" s="386" t="n">
        <v>44679</v>
      </c>
      <c r="J670" s="605" t="n">
        <v>19812</v>
      </c>
      <c r="L670" s="605" t="n">
        <v>19812</v>
      </c>
      <c r="M670" s="605" t="n">
        <v>2016</v>
      </c>
      <c r="P670" s="605" t="inlineStr">
        <is>
          <t>Industrial</t>
        </is>
      </c>
      <c r="R670" s="152" t="inlineStr">
        <is>
          <t>Good</t>
        </is>
      </c>
      <c r="S670" s="605" t="n">
        <v>87120</v>
      </c>
      <c r="T670" s="387">
        <f>S670/J670</f>
        <v/>
      </c>
      <c r="U670" s="605" t="inlineStr">
        <is>
          <t>Good</t>
        </is>
      </c>
      <c r="Y670" s="605" t="n">
        <v>4450000</v>
      </c>
      <c r="AA670" s="605" t="n">
        <v>4450000</v>
      </c>
      <c r="AC670" s="605" t="inlineStr">
        <is>
          <t>0182510203003</t>
        </is>
      </c>
      <c r="AD670" s="605" t="inlineStr">
        <is>
          <t>2022000038923</t>
        </is>
      </c>
      <c r="AE670" s="605" t="inlineStr">
        <is>
          <t>6145 BROADWAY LLC</t>
        </is>
      </c>
      <c r="AF670" s="605" t="inlineStr">
        <is>
          <t>GWK LLC</t>
        </is>
      </c>
      <c r="AI670" s="605">
        <f>IF(AND($E670=Subj_OccCode,Subj_BldgSF&gt;0,ABS($L670-Subj_BldgSF)&lt;=Subj_BldgSF*Subj_SizeTol),ABS($L670-Subj_BldgSF),NA())</f>
        <v/>
      </c>
      <c r="AJ670">
        <f>IF(ISNA(AI670),NA(),AI670+ROW()/10000000)</f>
        <v/>
      </c>
      <c r="AK670" s="605">
        <f>IF(AND(ISNUMBER($N670),$N670&gt;0,ISNUMBER($Y670)),$Y670/$N670,"")</f>
        <v/>
      </c>
    </row>
    <row r="671" ht="15" customHeight="1" s="545">
      <c r="A671" s="385" t="n">
        <v>8</v>
      </c>
      <c r="B671" s="605" t="n">
        <v>667</v>
      </c>
      <c r="C671" s="605" t="inlineStr">
        <is>
          <t>R0188697</t>
        </is>
      </c>
      <c r="D671" s="605" t="inlineStr">
        <is>
          <t>10195 E MONTVIEW BLVD</t>
        </is>
      </c>
      <c r="E671" s="605" t="n">
        <v>353</v>
      </c>
      <c r="F671" s="605" t="inlineStr">
        <is>
          <t>AURORA</t>
        </is>
      </c>
      <c r="G671" s="605" t="inlineStr">
        <is>
          <t>6</t>
        </is>
      </c>
      <c r="H671" s="59">
        <f>Y671/J671</f>
        <v/>
      </c>
      <c r="I671" s="386" t="n">
        <v>43159</v>
      </c>
      <c r="J671" s="605" t="n">
        <v>4850</v>
      </c>
      <c r="L671" s="605" t="n">
        <v>4850</v>
      </c>
      <c r="M671" s="605" t="n">
        <v>1952</v>
      </c>
      <c r="R671" s="152" t="inlineStr">
        <is>
          <t>Average</t>
        </is>
      </c>
      <c r="S671" s="605" t="n">
        <v>6282</v>
      </c>
      <c r="T671" s="387">
        <f>S671/J671</f>
        <v/>
      </c>
      <c r="U671" s="605" t="inlineStr">
        <is>
          <t>Average</t>
        </is>
      </c>
      <c r="Y671" s="605" t="n">
        <v>660000</v>
      </c>
      <c r="AA671" s="605" t="n">
        <v>660000</v>
      </c>
      <c r="AC671" s="605" t="inlineStr">
        <is>
          <t>0182334129029</t>
        </is>
      </c>
      <c r="AD671" s="605" t="inlineStr">
        <is>
          <t>2018000017241</t>
        </is>
      </c>
      <c r="AE671" s="605" t="inlineStr">
        <is>
          <t>10195 E MONTVIEW LLC</t>
        </is>
      </c>
      <c r="AF671" s="605" t="inlineStr">
        <is>
          <t>TRECO HOLDINGS LLC</t>
        </is>
      </c>
      <c r="AI671" s="605">
        <f>IF(AND($E671=Subj_OccCode,Subj_BldgSF&gt;0,ABS($L671-Subj_BldgSF)&lt;=Subj_BldgSF*Subj_SizeTol),ABS($L671-Subj_BldgSF),NA())</f>
        <v/>
      </c>
      <c r="AJ671">
        <f>IF(ISNA(AI671),NA(),AI671+ROW()/10000000)</f>
        <v/>
      </c>
      <c r="AK671" s="605">
        <f>IF(AND(ISNUMBER($N671),$N671&gt;0,ISNUMBER($Y671)),$Y671/$N671,"")</f>
        <v/>
      </c>
    </row>
    <row r="672" ht="15" customHeight="1" s="545">
      <c r="A672" s="385" t="n">
        <v>8</v>
      </c>
      <c r="B672" s="605" t="n">
        <v>668</v>
      </c>
      <c r="C672" s="605" t="inlineStr">
        <is>
          <t>R0188347</t>
        </is>
      </c>
      <c r="D672" s="605" t="inlineStr">
        <is>
          <t>17901 E 81ST AVE</t>
        </is>
      </c>
      <c r="E672" s="605" t="n">
        <v>325</v>
      </c>
      <c r="F672" s="605" t="inlineStr">
        <is>
          <t>COMMERCE CITY</t>
        </is>
      </c>
      <c r="G672" s="605" t="inlineStr">
        <is>
          <t>2</t>
        </is>
      </c>
      <c r="H672" s="59">
        <f>Y672/J672</f>
        <v/>
      </c>
      <c r="I672" s="386" t="n">
        <v>44579</v>
      </c>
      <c r="J672" s="605" t="n">
        <v>3398</v>
      </c>
      <c r="L672" s="605" t="n">
        <v>3398</v>
      </c>
      <c r="M672" s="605" t="n">
        <v>2017</v>
      </c>
      <c r="P672" s="605" t="inlineStr">
        <is>
          <t>PUD-Com</t>
        </is>
      </c>
      <c r="R672" s="152" t="inlineStr">
        <is>
          <t>Average</t>
        </is>
      </c>
      <c r="S672" s="605" t="n">
        <v>236811.9798</v>
      </c>
      <c r="T672" s="387">
        <f>S672/J672</f>
        <v/>
      </c>
      <c r="U672" s="605" t="inlineStr">
        <is>
          <t>Average</t>
        </is>
      </c>
      <c r="Y672" s="605" t="n">
        <v>2250000</v>
      </c>
      <c r="AA672" s="605" t="n">
        <v>2250000</v>
      </c>
      <c r="AC672" s="605" t="inlineStr">
        <is>
          <t>0172328301001</t>
        </is>
      </c>
      <c r="AD672" s="605" t="inlineStr">
        <is>
          <t>2022000006303</t>
        </is>
      </c>
      <c r="AE672" s="605" t="inlineStr">
        <is>
          <t>AVR DENVER LLC</t>
        </is>
      </c>
      <c r="AF672" s="605" t="inlineStr">
        <is>
          <t>DUKE LLC</t>
        </is>
      </c>
      <c r="AI672" s="605">
        <f>IF(AND($E672=Subj_OccCode,Subj_BldgSF&gt;0,ABS($L672-Subj_BldgSF)&lt;=Subj_BldgSF*Subj_SizeTol),ABS($L672-Subj_BldgSF),NA())</f>
        <v/>
      </c>
      <c r="AJ672">
        <f>IF(ISNA(AI672),NA(),AI672+ROW()/10000000)</f>
        <v/>
      </c>
      <c r="AK672" s="605">
        <f>IF(AND(ISNUMBER($N672),$N672&gt;0,ISNUMBER($Y672)),$Y672/$N672,"")</f>
        <v/>
      </c>
    </row>
    <row r="673" ht="15" customHeight="1" s="545">
      <c r="A673" s="385" t="n">
        <v>8</v>
      </c>
      <c r="B673" s="605" t="n">
        <v>669</v>
      </c>
      <c r="C673" s="605" t="inlineStr">
        <is>
          <t>R0184702</t>
        </is>
      </c>
      <c r="D673" s="605" t="inlineStr">
        <is>
          <t>15150 E 104TH AVE</t>
        </is>
      </c>
      <c r="E673" s="605" t="n">
        <v>350</v>
      </c>
      <c r="F673" s="605" t="inlineStr">
        <is>
          <t>COMMERCE CITY</t>
        </is>
      </c>
      <c r="G673" s="605" t="inlineStr">
        <is>
          <t>2</t>
        </is>
      </c>
      <c r="H673" s="59">
        <f>Y673/J673</f>
        <v/>
      </c>
      <c r="I673" s="386" t="n">
        <v>44553</v>
      </c>
      <c r="J673" s="605" t="n">
        <v>5688</v>
      </c>
      <c r="L673" s="605" t="n">
        <v>5688</v>
      </c>
      <c r="M673" s="605" t="n">
        <v>2016</v>
      </c>
      <c r="P673" s="605" t="inlineStr">
        <is>
          <t>PUD-Com</t>
        </is>
      </c>
      <c r="R673" s="152" t="inlineStr">
        <is>
          <t>Good</t>
        </is>
      </c>
      <c r="S673" s="605" t="n">
        <v>58589</v>
      </c>
      <c r="T673" s="387">
        <f>S673/J673</f>
        <v/>
      </c>
      <c r="U673" s="605" t="inlineStr">
        <is>
          <t>Good</t>
        </is>
      </c>
      <c r="Y673" s="605" t="n">
        <v>2308600</v>
      </c>
      <c r="AA673" s="605" t="n">
        <v>2308600</v>
      </c>
      <c r="AC673" s="605" t="inlineStr">
        <is>
          <t>0172318102015</t>
        </is>
      </c>
      <c r="AD673" s="605" t="inlineStr">
        <is>
          <t>2022000006706</t>
        </is>
      </c>
      <c r="AE673" s="605" t="inlineStr">
        <is>
          <t>MEGA PIE LLC</t>
        </is>
      </c>
      <c r="AF673" s="605" t="inlineStr">
        <is>
          <t>FIP MASTER FUNDING I LLC</t>
        </is>
      </c>
      <c r="AI673" s="605">
        <f>IF(AND($E673=Subj_OccCode,Subj_BldgSF&gt;0,ABS($L673-Subj_BldgSF)&lt;=Subj_BldgSF*Subj_SizeTol),ABS($L673-Subj_BldgSF),NA())</f>
        <v/>
      </c>
      <c r="AJ673">
        <f>IF(ISNA(AI673),NA(),AI673+ROW()/10000000)</f>
        <v/>
      </c>
      <c r="AK673" s="605">
        <f>IF(AND(ISNUMBER($N673),$N673&gt;0,ISNUMBER($Y673)),$Y673/$N673,"")</f>
        <v/>
      </c>
    </row>
    <row r="674" ht="15" customHeight="1" s="545">
      <c r="A674" s="385" t="n">
        <v>8</v>
      </c>
      <c r="B674" s="605" t="n">
        <v>670</v>
      </c>
      <c r="C674" s="605" t="inlineStr">
        <is>
          <t>R0191873</t>
        </is>
      </c>
      <c r="D674" s="605" t="inlineStr">
        <is>
          <t>5725 E 56TH AVE</t>
        </is>
      </c>
      <c r="E674" s="605" t="n">
        <v>210</v>
      </c>
      <c r="F674" s="605" t="inlineStr">
        <is>
          <t>COMMERCE CITY</t>
        </is>
      </c>
      <c r="G674" s="605" t="inlineStr">
        <is>
          <t>5</t>
        </is>
      </c>
      <c r="H674" s="59">
        <f>Y674/J674</f>
        <v/>
      </c>
      <c r="I674" s="386" t="n">
        <v>44559</v>
      </c>
      <c r="J674" s="605" t="n">
        <v>25000</v>
      </c>
      <c r="L674" s="605" t="n">
        <v>25000</v>
      </c>
      <c r="M674" s="605" t="n">
        <v>2018</v>
      </c>
      <c r="P674" s="605" t="inlineStr">
        <is>
          <t>I-1-Com</t>
        </is>
      </c>
      <c r="R674" s="152" t="inlineStr">
        <is>
          <t>Average</t>
        </is>
      </c>
      <c r="S674" s="605" t="n">
        <v>72506</v>
      </c>
      <c r="T674" s="387">
        <f>S674/J674</f>
        <v/>
      </c>
      <c r="U674" s="605" t="inlineStr">
        <is>
          <t>Average</t>
        </is>
      </c>
      <c r="Y674" s="605" t="n">
        <v>4000000</v>
      </c>
      <c r="AA674" s="605" t="n">
        <v>4000000</v>
      </c>
      <c r="AC674" s="605" t="inlineStr">
        <is>
          <t>0182308302078</t>
        </is>
      </c>
      <c r="AD674" s="605" t="inlineStr">
        <is>
          <t>2021000151224</t>
        </is>
      </c>
      <c r="AE674" s="605" t="inlineStr">
        <is>
          <t>MERMIS LLC</t>
        </is>
      </c>
      <c r="AF674" s="605" t="inlineStr">
        <is>
          <t>JSM 5725 LLC</t>
        </is>
      </c>
      <c r="AI674" s="605">
        <f>IF(AND($E674=Subj_OccCode,Subj_BldgSF&gt;0,ABS($L674-Subj_BldgSF)&lt;=Subj_BldgSF*Subj_SizeTol),ABS($L674-Subj_BldgSF),NA())</f>
        <v/>
      </c>
      <c r="AJ674">
        <f>IF(ISNA(AI674),NA(),AI674+ROW()/10000000)</f>
        <v/>
      </c>
      <c r="AK674" s="605">
        <f>IF(AND(ISNUMBER($N674),$N674&gt;0,ISNUMBER($Y674)),$Y674/$N674,"")</f>
        <v/>
      </c>
    </row>
    <row r="675" ht="15" customHeight="1" s="545">
      <c r="A675" s="385" t="n">
        <v>8</v>
      </c>
      <c r="B675" s="605" t="n">
        <v>671</v>
      </c>
      <c r="C675" s="605" t="inlineStr">
        <is>
          <t>R0194299</t>
        </is>
      </c>
      <c r="D675" s="605" t="inlineStr">
        <is>
          <t>11821 HURON ST</t>
        </is>
      </c>
      <c r="E675" s="605" t="n">
        <v>334</v>
      </c>
      <c r="F675" s="605" t="inlineStr">
        <is>
          <t>WESTMINSTER</t>
        </is>
      </c>
      <c r="G675" s="605" t="inlineStr">
        <is>
          <t>4</t>
        </is>
      </c>
      <c r="H675" s="59">
        <f>Y675/J675</f>
        <v/>
      </c>
      <c r="I675" s="386" t="n">
        <v>43420</v>
      </c>
      <c r="J675" s="605" t="n">
        <v>36250</v>
      </c>
      <c r="L675" s="605" t="n">
        <v>36250</v>
      </c>
      <c r="M675" s="605" t="n">
        <v>2018</v>
      </c>
      <c r="R675" s="152" t="inlineStr">
        <is>
          <t>Average</t>
        </is>
      </c>
      <c r="S675" s="605" t="n">
        <v>178992</v>
      </c>
      <c r="T675" s="387">
        <f>S675/J675</f>
        <v/>
      </c>
      <c r="U675" s="605" t="inlineStr">
        <is>
          <t>Average</t>
        </is>
      </c>
      <c r="Y675" s="605" t="n">
        <v>5077800</v>
      </c>
      <c r="AA675" s="605" t="n">
        <v>5077800</v>
      </c>
      <c r="AC675" s="605" t="inlineStr">
        <is>
          <t>0171904101015</t>
        </is>
      </c>
      <c r="AD675" s="605" t="inlineStr">
        <is>
          <t>2018000092766</t>
        </is>
      </c>
      <c r="AE675" s="605" t="inlineStr">
        <is>
          <t>WL PARK 12 HUNDRED OWNER LLC</t>
        </is>
      </c>
      <c r="AF675" s="605" t="inlineStr">
        <is>
          <t>PARK 12 HUNDRED LLC</t>
        </is>
      </c>
      <c r="AI675" s="605">
        <f>IF(AND($E675=Subj_OccCode,Subj_BldgSF&gt;0,ABS($L675-Subj_BldgSF)&lt;=Subj_BldgSF*Subj_SizeTol),ABS($L675-Subj_BldgSF),NA())</f>
        <v/>
      </c>
      <c r="AJ675">
        <f>IF(ISNA(AI675),NA(),AI675+ROW()/10000000)</f>
        <v/>
      </c>
      <c r="AK675" s="605">
        <f>IF(AND(ISNUMBER($N675),$N675&gt;0,ISNUMBER($Y675)),$Y675/$N675,"")</f>
        <v/>
      </c>
    </row>
    <row r="676" ht="15" customHeight="1" s="545">
      <c r="A676" s="385" t="n">
        <v>8</v>
      </c>
      <c r="B676" s="605" t="n">
        <v>672</v>
      </c>
      <c r="C676" s="605" t="inlineStr">
        <is>
          <t>R0190581</t>
        </is>
      </c>
      <c r="D676" s="605" t="inlineStr">
        <is>
          <t>9760  GRANT ST</t>
        </is>
      </c>
      <c r="E676" s="605" t="n">
        <v>353</v>
      </c>
      <c r="F676" s="605" t="inlineStr">
        <is>
          <t>THORNTON</t>
        </is>
      </c>
      <c r="G676" s="605" t="inlineStr">
        <is>
          <t>4</t>
        </is>
      </c>
      <c r="H676" s="59">
        <f>Y676/J676</f>
        <v/>
      </c>
      <c r="I676" s="386" t="n">
        <v>44559</v>
      </c>
      <c r="J676" s="605" t="n">
        <v>9771</v>
      </c>
      <c r="L676" s="605" t="n">
        <v>9771</v>
      </c>
      <c r="M676" s="605" t="n">
        <v>2008</v>
      </c>
      <c r="P676" s="605" t="inlineStr">
        <is>
          <t>Planned Development</t>
        </is>
      </c>
      <c r="R676" s="152" t="inlineStr">
        <is>
          <t>Average</t>
        </is>
      </c>
      <c r="S676" s="605" t="n">
        <v>71500</v>
      </c>
      <c r="T676" s="387">
        <f>S676/J676</f>
        <v/>
      </c>
      <c r="U676" s="605" t="inlineStr">
        <is>
          <t>Average</t>
        </is>
      </c>
      <c r="Y676" s="605" t="n">
        <v>1902500</v>
      </c>
      <c r="AA676" s="605" t="n">
        <v>1902500</v>
      </c>
      <c r="AC676" s="605" t="inlineStr">
        <is>
          <t>0171915413010</t>
        </is>
      </c>
      <c r="AD676" s="605" t="inlineStr">
        <is>
          <t>2022000000789</t>
        </is>
      </c>
      <c r="AE676" s="605" t="inlineStr">
        <is>
          <t>ARMSTRONG HIGHPOINTE LLC</t>
        </is>
      </c>
      <c r="AF676" s="605" t="inlineStr">
        <is>
          <t>9760 GRANT ST LLC</t>
        </is>
      </c>
      <c r="AI676" s="605">
        <f>IF(AND($E676=Subj_OccCode,Subj_BldgSF&gt;0,ABS($L676-Subj_BldgSF)&lt;=Subj_BldgSF*Subj_SizeTol),ABS($L676-Subj_BldgSF),NA())</f>
        <v/>
      </c>
      <c r="AJ676">
        <f>IF(ISNA(AI676),NA(),AI676+ROW()/10000000)</f>
        <v/>
      </c>
      <c r="AK676" s="605">
        <f>IF(AND(ISNUMBER($N676),$N676&gt;0,ISNUMBER($Y676)),$Y676/$N676,"")</f>
        <v/>
      </c>
    </row>
    <row r="677" ht="15" customHeight="1" s="545">
      <c r="A677" s="385" t="n">
        <v>8</v>
      </c>
      <c r="B677" s="605" t="n">
        <v>673</v>
      </c>
      <c r="C677" s="605" t="inlineStr">
        <is>
          <t>R0201361</t>
        </is>
      </c>
      <c r="D677" s="605" t="inlineStr">
        <is>
          <t>4820 FOREST ST</t>
        </is>
      </c>
      <c r="E677" s="605" t="n">
        <v>406</v>
      </c>
      <c r="F677" s="605" t="inlineStr">
        <is>
          <t>COMMERCE CITY</t>
        </is>
      </c>
      <c r="G677" s="605" t="inlineStr">
        <is>
          <t>5</t>
        </is>
      </c>
      <c r="H677" s="59">
        <f>Y677/J677</f>
        <v/>
      </c>
      <c r="I677" s="386" t="n">
        <v>43781</v>
      </c>
      <c r="J677" s="605" t="n">
        <v>16423</v>
      </c>
      <c r="L677" s="605" t="n">
        <v>16423</v>
      </c>
      <c r="M677" s="605" t="n">
        <v>1999</v>
      </c>
      <c r="R677" s="152" t="inlineStr">
        <is>
          <t>Average</t>
        </is>
      </c>
      <c r="S677" s="605" t="n">
        <v>80507</v>
      </c>
      <c r="T677" s="387">
        <f>S677/J677</f>
        <v/>
      </c>
      <c r="U677" s="605" t="inlineStr">
        <is>
          <t>Average</t>
        </is>
      </c>
      <c r="Y677" s="605" t="n">
        <v>2761464</v>
      </c>
      <c r="AA677" s="605" t="n">
        <v>2761464</v>
      </c>
      <c r="AC677" s="605" t="inlineStr">
        <is>
          <t>0182318401008</t>
        </is>
      </c>
      <c r="AD677" s="605" t="inlineStr">
        <is>
          <t>2019000098339</t>
        </is>
      </c>
      <c r="AE677" s="605" t="inlineStr">
        <is>
          <t>MAALCORT LLC</t>
        </is>
      </c>
      <c r="AF677" s="605" t="inlineStr">
        <is>
          <t>CK FOREST LLC</t>
        </is>
      </c>
      <c r="AI677" s="605">
        <f>IF(AND($E677=Subj_OccCode,Subj_BldgSF&gt;0,ABS($L677-Subj_BldgSF)&lt;=Subj_BldgSF*Subj_SizeTol),ABS($L677-Subj_BldgSF),NA())</f>
        <v/>
      </c>
      <c r="AJ677">
        <f>IF(ISNA(AI677),NA(),AI677+ROW()/10000000)</f>
        <v/>
      </c>
      <c r="AK677" s="605">
        <f>IF(AND(ISNUMBER($N677),$N677&gt;0,ISNUMBER($Y677)),$Y677/$N677,"")</f>
        <v/>
      </c>
    </row>
    <row r="678" ht="15" customHeight="1" s="545">
      <c r="A678" s="385" t="n">
        <v>8</v>
      </c>
      <c r="B678" s="605" t="n">
        <v>674</v>
      </c>
      <c r="C678" s="605" t="inlineStr">
        <is>
          <t>R0194699</t>
        </is>
      </c>
      <c r="D678" s="605" t="inlineStr">
        <is>
          <t>12170  TEJON ST</t>
        </is>
      </c>
      <c r="E678" s="605" t="n">
        <v>425</v>
      </c>
      <c r="F678" s="605" t="inlineStr">
        <is>
          <t>WESTMINSTER</t>
        </is>
      </c>
      <c r="G678" s="605" t="inlineStr">
        <is>
          <t>3</t>
        </is>
      </c>
      <c r="H678" s="59">
        <f>Y678/J678</f>
        <v/>
      </c>
      <c r="I678" s="386" t="n">
        <v>43444</v>
      </c>
      <c r="J678" s="605" t="n">
        <v>2508</v>
      </c>
      <c r="L678" s="605" t="n">
        <v>2508</v>
      </c>
      <c r="M678" s="605" t="n">
        <v>2018</v>
      </c>
      <c r="R678" s="152" t="inlineStr">
        <is>
          <t>Good</t>
        </is>
      </c>
      <c r="S678" s="605" t="n">
        <v>8986</v>
      </c>
      <c r="T678" s="387">
        <f>S678/J678</f>
        <v/>
      </c>
      <c r="U678" s="605" t="inlineStr">
        <is>
          <t>Average</t>
        </is>
      </c>
      <c r="Y678" s="605" t="n">
        <v>595000</v>
      </c>
      <c r="AA678" s="605" t="n">
        <v>595000</v>
      </c>
      <c r="AC678" s="605" t="inlineStr">
        <is>
          <t>0157333302019</t>
        </is>
      </c>
      <c r="AD678" s="605" t="inlineStr">
        <is>
          <t>2018000099123</t>
        </is>
      </c>
      <c r="AE678" s="605" t="inlineStr">
        <is>
          <t>FLUID LLLP THE</t>
        </is>
      </c>
      <c r="AF678" s="605" t="inlineStr">
        <is>
          <t>JRC COLORADO PROPERTIES LLC</t>
        </is>
      </c>
      <c r="AI678" s="605">
        <f>IF(AND($E678=Subj_OccCode,Subj_BldgSF&gt;0,ABS($L678-Subj_BldgSF)&lt;=Subj_BldgSF*Subj_SizeTol),ABS($L678-Subj_BldgSF),NA())</f>
        <v/>
      </c>
      <c r="AJ678">
        <f>IF(ISNA(AI678),NA(),AI678+ROW()/10000000)</f>
        <v/>
      </c>
      <c r="AK678" s="605">
        <f>IF(AND(ISNUMBER($N678),$N678&gt;0,ISNUMBER($Y678)),$Y678/$N678,"")</f>
        <v/>
      </c>
    </row>
    <row r="679" ht="15" customHeight="1" s="545">
      <c r="A679" s="385" t="n">
        <v>8</v>
      </c>
      <c r="B679" s="605" t="n">
        <v>675</v>
      </c>
      <c r="C679" s="605" t="inlineStr">
        <is>
          <t>R0190763</t>
        </is>
      </c>
      <c r="D679" s="605" t="inlineStr">
        <is>
          <t>11901 HOLLY ST</t>
        </is>
      </c>
      <c r="E679" s="605" t="n">
        <v>426</v>
      </c>
      <c r="F679" s="605" t="inlineStr">
        <is>
          <t>THORNTON</t>
        </is>
      </c>
      <c r="G679" s="605" t="inlineStr">
        <is>
          <t>4</t>
        </is>
      </c>
      <c r="H679" s="59">
        <f>Y679/J679</f>
        <v/>
      </c>
      <c r="I679" s="386" t="n">
        <v>44712</v>
      </c>
      <c r="J679" s="605" t="n">
        <v>10000</v>
      </c>
      <c r="L679" s="605" t="n">
        <v>10000</v>
      </c>
      <c r="M679" s="605" t="n">
        <v>2018</v>
      </c>
      <c r="P679" s="605" t="inlineStr">
        <is>
          <t>Community Retail</t>
        </is>
      </c>
      <c r="R679" s="152" t="inlineStr">
        <is>
          <t>Average</t>
        </is>
      </c>
      <c r="S679" s="605" t="n">
        <v>50841</v>
      </c>
      <c r="T679" s="387">
        <f>S679/J679</f>
        <v/>
      </c>
      <c r="U679" s="605" t="inlineStr">
        <is>
          <t>Average</t>
        </is>
      </c>
      <c r="Y679" s="605" t="n">
        <v>3700000</v>
      </c>
      <c r="AA679" s="605" t="n">
        <v>3700000</v>
      </c>
      <c r="AC679" s="605" t="inlineStr">
        <is>
          <t>0172106117007</t>
        </is>
      </c>
      <c r="AD679" s="605" t="inlineStr">
        <is>
          <t>2022000048784</t>
        </is>
      </c>
      <c r="AE679" s="605" t="inlineStr">
        <is>
          <t>PRENTICE AVE APARTMENTS LLC</t>
        </is>
      </c>
      <c r="AF679" s="605" t="inlineStr">
        <is>
          <t>SALUS PETER &amp; KORAH LLC</t>
        </is>
      </c>
      <c r="AI679" s="605">
        <f>IF(AND($E679=Subj_OccCode,Subj_BldgSF&gt;0,ABS($L679-Subj_BldgSF)&lt;=Subj_BldgSF*Subj_SizeTol),ABS($L679-Subj_BldgSF),NA())</f>
        <v/>
      </c>
      <c r="AJ679">
        <f>IF(ISNA(AI679),NA(),AI679+ROW()/10000000)</f>
        <v/>
      </c>
      <c r="AK679" s="605">
        <f>IF(AND(ISNUMBER($N679),$N679&gt;0,ISNUMBER($Y679)),$Y679/$N679,"")</f>
        <v/>
      </c>
    </row>
    <row r="680" ht="15" customHeight="1" s="545">
      <c r="A680" s="385" t="n">
        <v>8</v>
      </c>
      <c r="B680" s="605" t="n">
        <v>676</v>
      </c>
      <c r="C680" s="605" t="inlineStr">
        <is>
          <t>R0190763</t>
        </is>
      </c>
      <c r="D680" s="605" t="inlineStr">
        <is>
          <t>11901 HOLLY ST</t>
        </is>
      </c>
      <c r="E680" s="605" t="n">
        <v>426</v>
      </c>
      <c r="F680" s="605" t="inlineStr">
        <is>
          <t>THORNTON</t>
        </is>
      </c>
      <c r="G680" s="605" t="inlineStr">
        <is>
          <t>4</t>
        </is>
      </c>
      <c r="H680" s="59">
        <f>Y680/J680</f>
        <v/>
      </c>
      <c r="I680" s="386" t="n">
        <v>43301</v>
      </c>
      <c r="J680" s="605" t="n">
        <v>10080</v>
      </c>
      <c r="L680" s="605" t="n">
        <v>10080</v>
      </c>
      <c r="M680" s="605" t="n">
        <v>2018</v>
      </c>
      <c r="P680" s="605" t="inlineStr">
        <is>
          <t>Community Retail</t>
        </is>
      </c>
      <c r="R680" s="152" t="inlineStr">
        <is>
          <t>Average</t>
        </is>
      </c>
      <c r="S680" s="605" t="n">
        <v>50841</v>
      </c>
      <c r="T680" s="387">
        <f>S680/J680</f>
        <v/>
      </c>
      <c r="U680" s="605" t="inlineStr">
        <is>
          <t>Average</t>
        </is>
      </c>
      <c r="Y680" s="605" t="n">
        <v>3642800</v>
      </c>
      <c r="AA680" s="605" t="n">
        <v>3642800</v>
      </c>
      <c r="AC680" s="605" t="inlineStr">
        <is>
          <t>0172106117007</t>
        </is>
      </c>
      <c r="AD680" s="605" t="inlineStr">
        <is>
          <t>2018000058580</t>
        </is>
      </c>
      <c r="AE680" s="605" t="inlineStr">
        <is>
          <t>DND PROPERTIES LLC</t>
        </is>
      </c>
      <c r="AF680" s="605" t="inlineStr">
        <is>
          <t>PRENTICE AVE APARTMENTS LLC</t>
        </is>
      </c>
      <c r="AI680" s="605">
        <f>IF(AND($E680=Subj_OccCode,Subj_BldgSF&gt;0,ABS($L680-Subj_BldgSF)&lt;=Subj_BldgSF*Subj_SizeTol),ABS($L680-Subj_BldgSF),NA())</f>
        <v/>
      </c>
      <c r="AJ680">
        <f>IF(ISNA(AI680),NA(),AI680+ROW()/10000000)</f>
        <v/>
      </c>
      <c r="AK680" s="605">
        <f>IF(AND(ISNUMBER($N680),$N680&gt;0,ISNUMBER($Y680)),$Y680/$N680,"")</f>
        <v/>
      </c>
    </row>
    <row r="681" ht="15" customHeight="1" s="545">
      <c r="A681" s="385" t="n">
        <v>8</v>
      </c>
      <c r="B681" s="605" t="n">
        <v>677</v>
      </c>
      <c r="C681" s="605" t="inlineStr">
        <is>
          <t>R0198007</t>
        </is>
      </c>
      <c r="D681" s="605" t="inlineStr">
        <is>
          <t>15521 E 104TH AVE</t>
        </is>
      </c>
      <c r="E681" s="605" t="n">
        <v>325</v>
      </c>
      <c r="F681" s="605" t="inlineStr">
        <is>
          <t>COMMERCE CITY</t>
        </is>
      </c>
      <c r="G681" s="605" t="inlineStr">
        <is>
          <t>2</t>
        </is>
      </c>
      <c r="H681" s="59">
        <f>Y681/J681</f>
        <v/>
      </c>
      <c r="I681" s="386" t="n">
        <v>44420</v>
      </c>
      <c r="J681" s="605" t="n">
        <v>4948</v>
      </c>
      <c r="L681" s="605" t="n">
        <v>4948</v>
      </c>
      <c r="M681" s="605" t="n">
        <v>2020</v>
      </c>
      <c r="R681" s="152" t="inlineStr">
        <is>
          <t>Average</t>
        </is>
      </c>
      <c r="S681" s="605" t="n">
        <v>40754</v>
      </c>
      <c r="T681" s="387">
        <f>S681/J681</f>
        <v/>
      </c>
      <c r="U681" s="605" t="inlineStr">
        <is>
          <t>Average</t>
        </is>
      </c>
      <c r="Y681" s="605" t="n">
        <v>3300000</v>
      </c>
      <c r="AA681" s="605" t="n">
        <v>3300000</v>
      </c>
      <c r="AC681" s="605" t="inlineStr">
        <is>
          <t>0172308306075</t>
        </is>
      </c>
      <c r="AD681" s="605" t="inlineStr">
        <is>
          <t>2021000096914</t>
        </is>
      </c>
      <c r="AE681" s="605" t="inlineStr">
        <is>
          <t>BPCO PROPERTIES LLC</t>
        </is>
      </c>
      <c r="AF681" s="605" t="inlineStr">
        <is>
          <t>RUSTIC PARTNERS LLC</t>
        </is>
      </c>
      <c r="AI681" s="605">
        <f>IF(AND($E681=Subj_OccCode,Subj_BldgSF&gt;0,ABS($L681-Subj_BldgSF)&lt;=Subj_BldgSF*Subj_SizeTol),ABS($L681-Subj_BldgSF),NA())</f>
        <v/>
      </c>
      <c r="AJ681">
        <f>IF(ISNA(AI681),NA(),AI681+ROW()/10000000)</f>
        <v/>
      </c>
      <c r="AK681" s="605">
        <f>IF(AND(ISNUMBER($N681),$N681&gt;0,ISNUMBER($Y681)),$Y681/$N681,"")</f>
        <v/>
      </c>
    </row>
    <row r="682" ht="15" customHeight="1" s="545">
      <c r="A682" s="385" t="n">
        <v>8</v>
      </c>
      <c r="B682" s="605" t="n">
        <v>678</v>
      </c>
      <c r="C682" s="605" t="inlineStr">
        <is>
          <t>R0204670</t>
        </is>
      </c>
      <c r="D682" s="605" t="inlineStr">
        <is>
          <t>12235 N PECOS ST</t>
        </is>
      </c>
      <c r="E682" s="605" t="n">
        <v>1344</v>
      </c>
      <c r="F682" s="605" t="inlineStr">
        <is>
          <t>WESTMINSTER</t>
        </is>
      </c>
      <c r="G682" s="605" t="inlineStr">
        <is>
          <t>3</t>
        </is>
      </c>
      <c r="H682" s="59">
        <f>Y682/J682</f>
        <v/>
      </c>
      <c r="I682" s="386" t="n">
        <v>44027</v>
      </c>
      <c r="J682" s="605" t="n">
        <v>2353</v>
      </c>
      <c r="L682" s="605" t="n">
        <v>2353</v>
      </c>
      <c r="M682" s="605" t="n">
        <v>2020</v>
      </c>
      <c r="R682" s="152" t="inlineStr">
        <is>
          <t>Average</t>
        </is>
      </c>
      <c r="S682" s="605" t="n">
        <v>2051</v>
      </c>
      <c r="T682" s="387">
        <f>S682/J682</f>
        <v/>
      </c>
      <c r="U682" s="605" t="inlineStr">
        <is>
          <t>Average</t>
        </is>
      </c>
      <c r="Y682" s="605" t="n">
        <v>824850</v>
      </c>
      <c r="AA682" s="605" t="n">
        <v>824850</v>
      </c>
      <c r="AC682" s="605" t="inlineStr">
        <is>
          <t>0157333301013</t>
        </is>
      </c>
      <c r="AD682" s="605" t="inlineStr">
        <is>
          <t>2020000066953</t>
        </is>
      </c>
      <c r="AE682" s="605" t="inlineStr">
        <is>
          <t>TAIVA 2-3 LLLP</t>
        </is>
      </c>
      <c r="AF682" s="605" t="inlineStr">
        <is>
          <t>12235 PECOS LLC</t>
        </is>
      </c>
      <c r="AI682" s="605">
        <f>IF(AND($E682=Subj_OccCode,Subj_BldgSF&gt;0,ABS($L682-Subj_BldgSF)&lt;=Subj_BldgSF*Subj_SizeTol),ABS($L682-Subj_BldgSF),NA())</f>
        <v/>
      </c>
      <c r="AJ682">
        <f>IF(ISNA(AI682),NA(),AI682+ROW()/10000000)</f>
        <v/>
      </c>
      <c r="AK682" s="605">
        <f>IF(AND(ISNUMBER($N682),$N682&gt;0,ISNUMBER($Y682)),$Y682/$N682,"")</f>
        <v/>
      </c>
    </row>
    <row r="683" ht="15" customHeight="1" s="545">
      <c r="A683" s="385" t="n">
        <v>8</v>
      </c>
      <c r="B683" s="605" t="n">
        <v>679</v>
      </c>
      <c r="C683" s="605" t="inlineStr">
        <is>
          <t>R0193009</t>
        </is>
      </c>
      <c r="D683" s="605" t="inlineStr">
        <is>
          <t>134 S 50TH AVE</t>
        </is>
      </c>
      <c r="E683" s="605" t="n">
        <v>386</v>
      </c>
      <c r="F683" s="605" t="inlineStr">
        <is>
          <t>BRIGHTON</t>
        </is>
      </c>
      <c r="G683" s="605" t="inlineStr">
        <is>
          <t>2</t>
        </is>
      </c>
      <c r="H683" s="59">
        <f>Y683/J683</f>
        <v/>
      </c>
      <c r="I683" s="386" t="n">
        <v>44718</v>
      </c>
      <c r="J683" s="605" t="n">
        <v>107135</v>
      </c>
      <c r="L683" s="605" t="n">
        <v>107135</v>
      </c>
      <c r="M683" s="605" t="n">
        <v>2019</v>
      </c>
      <c r="P683" s="605" t="inlineStr">
        <is>
          <t>PUD-Bri</t>
        </is>
      </c>
      <c r="R683" s="152" t="inlineStr">
        <is>
          <t>Good</t>
        </is>
      </c>
      <c r="S683" s="605" t="n">
        <v>161944</v>
      </c>
      <c r="T683" s="387">
        <f>S683/J683</f>
        <v/>
      </c>
      <c r="U683" s="605" t="inlineStr">
        <is>
          <t>Good</t>
        </is>
      </c>
      <c r="Y683" s="605" t="n">
        <v>18000000</v>
      </c>
      <c r="AA683" s="605" t="n">
        <v>18000000</v>
      </c>
      <c r="AC683" s="605" t="inlineStr">
        <is>
          <t>0156911213026</t>
        </is>
      </c>
      <c r="AD683" s="605" t="inlineStr">
        <is>
          <t>2022000051534</t>
        </is>
      </c>
      <c r="AE683" s="605" t="inlineStr">
        <is>
          <t>BRIGHTON SELF STORAGE LLC</t>
        </is>
      </c>
      <c r="AF683" s="605" t="inlineStr">
        <is>
          <t>PS MOUNTAIN WEST LLC</t>
        </is>
      </c>
      <c r="AI683" s="605">
        <f>IF(AND($E683=Subj_OccCode,Subj_BldgSF&gt;0,ABS($L683-Subj_BldgSF)&lt;=Subj_BldgSF*Subj_SizeTol),ABS($L683-Subj_BldgSF),NA())</f>
        <v/>
      </c>
      <c r="AJ683">
        <f>IF(ISNA(AI683),NA(),AI683+ROW()/10000000)</f>
        <v/>
      </c>
      <c r="AK683" s="605">
        <f>IF(AND(ISNUMBER($N683),$N683&gt;0,ISNUMBER($Y683)),$Y683/$N683,"")</f>
        <v/>
      </c>
    </row>
    <row r="684" ht="15" customHeight="1" s="545">
      <c r="A684" s="385" t="n">
        <v>8</v>
      </c>
      <c r="B684" s="605" t="n">
        <v>680</v>
      </c>
      <c r="C684" s="605" t="inlineStr">
        <is>
          <t>R0190582</t>
        </is>
      </c>
      <c r="D684" s="605" t="inlineStr">
        <is>
          <t>9740  GRANT ST</t>
        </is>
      </c>
      <c r="E684" s="605" t="n">
        <v>353</v>
      </c>
      <c r="F684" s="605" t="inlineStr">
        <is>
          <t>THORNTON</t>
        </is>
      </c>
      <c r="G684" s="605" t="inlineStr">
        <is>
          <t>4</t>
        </is>
      </c>
      <c r="H684" s="59">
        <f>Y684/J684</f>
        <v/>
      </c>
      <c r="I684" s="386" t="n">
        <v>44559</v>
      </c>
      <c r="J684" s="605" t="n">
        <v>9851</v>
      </c>
      <c r="L684" s="605" t="n">
        <v>9851</v>
      </c>
      <c r="M684" s="605" t="n">
        <v>2008</v>
      </c>
      <c r="P684" s="605" t="inlineStr">
        <is>
          <t>Planned Development</t>
        </is>
      </c>
      <c r="R684" s="152" t="inlineStr">
        <is>
          <t>Average</t>
        </is>
      </c>
      <c r="S684" s="605" t="n">
        <v>91611</v>
      </c>
      <c r="T684" s="387">
        <f>S684/J684</f>
        <v/>
      </c>
      <c r="U684" s="605" t="inlineStr">
        <is>
          <t>Average</t>
        </is>
      </c>
      <c r="Y684" s="605" t="n">
        <v>1902500</v>
      </c>
      <c r="AA684" s="605" t="n">
        <v>1902500</v>
      </c>
      <c r="AC684" s="605" t="inlineStr">
        <is>
          <t>0171915413011</t>
        </is>
      </c>
      <c r="AD684" s="605" t="inlineStr">
        <is>
          <t>2022000000788</t>
        </is>
      </c>
      <c r="AE684" s="605" t="inlineStr">
        <is>
          <t>ARMSTRONG HIGHPOINTE LLC</t>
        </is>
      </c>
      <c r="AF684" s="605" t="inlineStr">
        <is>
          <t>9740 GRANT STREET LLC</t>
        </is>
      </c>
      <c r="AI684" s="605">
        <f>IF(AND($E684=Subj_OccCode,Subj_BldgSF&gt;0,ABS($L684-Subj_BldgSF)&lt;=Subj_BldgSF*Subj_SizeTol),ABS($L684-Subj_BldgSF),NA())</f>
        <v/>
      </c>
      <c r="AJ684">
        <f>IF(ISNA(AI684),NA(),AI684+ROW()/10000000)</f>
        <v/>
      </c>
      <c r="AK684" s="605">
        <f>IF(AND(ISNUMBER($N684),$N684&gt;0,ISNUMBER($Y684)),$Y684/$N684,"")</f>
        <v/>
      </c>
    </row>
    <row r="685" ht="15" customHeight="1" s="545">
      <c r="A685" s="385" t="n">
        <v>8</v>
      </c>
      <c r="B685" s="605" t="n">
        <v>681</v>
      </c>
      <c r="C685" s="605" t="inlineStr">
        <is>
          <t>R0204669</t>
        </is>
      </c>
      <c r="D685" s="605" t="inlineStr">
        <is>
          <t>12235 N PECOS ST</t>
        </is>
      </c>
      <c r="E685" s="605" t="n">
        <v>1344</v>
      </c>
      <c r="F685" s="605" t="inlineStr">
        <is>
          <t>WESTMINSTER</t>
        </is>
      </c>
      <c r="G685" s="605" t="inlineStr">
        <is>
          <t>3</t>
        </is>
      </c>
      <c r="H685" s="59">
        <f>Y685/J685</f>
        <v/>
      </c>
      <c r="I685" s="386" t="n">
        <v>44160</v>
      </c>
      <c r="J685" s="605" t="n">
        <v>2281</v>
      </c>
      <c r="L685" s="605" t="n">
        <v>2281</v>
      </c>
      <c r="M685" s="605" t="n">
        <v>2020</v>
      </c>
      <c r="R685" s="152" t="inlineStr">
        <is>
          <t>Average</t>
        </is>
      </c>
      <c r="S685" s="605" t="n">
        <v>2051</v>
      </c>
      <c r="T685" s="387">
        <f>S685/J685</f>
        <v/>
      </c>
      <c r="U685" s="605" t="inlineStr">
        <is>
          <t>Average</t>
        </is>
      </c>
      <c r="Y685" s="605" t="n">
        <v>773600</v>
      </c>
      <c r="AA685" s="605" t="n">
        <v>773600</v>
      </c>
      <c r="AC685" s="605" t="inlineStr">
        <is>
          <t>0157333301012</t>
        </is>
      </c>
      <c r="AD685" s="605" t="inlineStr">
        <is>
          <t>2020000124877</t>
        </is>
      </c>
      <c r="AE685" s="605" t="inlineStr">
        <is>
          <t>TAIVA 2-3 LLLP</t>
        </is>
      </c>
      <c r="AF685" s="605" t="inlineStr">
        <is>
          <t>MOUNTAIN CAPITAL PARTNERS TAIVA LLC</t>
        </is>
      </c>
      <c r="AI685" s="605">
        <f>IF(AND($E685=Subj_OccCode,Subj_BldgSF&gt;0,ABS($L685-Subj_BldgSF)&lt;=Subj_BldgSF*Subj_SizeTol),ABS($L685-Subj_BldgSF),NA())</f>
        <v/>
      </c>
      <c r="AJ685">
        <f>IF(ISNA(AI685),NA(),AI685+ROW()/10000000)</f>
        <v/>
      </c>
      <c r="AK685" s="605">
        <f>IF(AND(ISNUMBER($N685),$N685&gt;0,ISNUMBER($Y685)),$Y685/$N685,"")</f>
        <v/>
      </c>
    </row>
    <row r="686" ht="15" customHeight="1" s="545">
      <c r="A686" s="385" t="n">
        <v>8</v>
      </c>
      <c r="B686" s="605" t="n">
        <v>682</v>
      </c>
      <c r="C686" s="605" t="inlineStr">
        <is>
          <t>R0194701</t>
        </is>
      </c>
      <c r="D686" s="605" t="inlineStr">
        <is>
          <t>12170  TEJON ST</t>
        </is>
      </c>
      <c r="E686" s="605" t="n">
        <v>425</v>
      </c>
      <c r="F686" s="605" t="inlineStr">
        <is>
          <t>WESTMINSTER</t>
        </is>
      </c>
      <c r="G686" s="605" t="inlineStr">
        <is>
          <t>3</t>
        </is>
      </c>
      <c r="H686" s="59">
        <f>Y686/J686</f>
        <v/>
      </c>
      <c r="I686" s="386" t="n">
        <v>43544</v>
      </c>
      <c r="J686" s="605" t="n">
        <v>2538</v>
      </c>
      <c r="L686" s="605" t="n">
        <v>2538</v>
      </c>
      <c r="M686" s="605" t="n">
        <v>2018</v>
      </c>
      <c r="R686" s="152" t="inlineStr">
        <is>
          <t>Good</t>
        </is>
      </c>
      <c r="S686" s="605" t="n">
        <v>8986</v>
      </c>
      <c r="T686" s="387">
        <f>S686/J686</f>
        <v/>
      </c>
      <c r="U686" s="605" t="inlineStr">
        <is>
          <t>Average</t>
        </is>
      </c>
      <c r="Y686" s="605" t="n">
        <v>650000</v>
      </c>
      <c r="AA686" s="605" t="n">
        <v>650000</v>
      </c>
      <c r="AC686" s="605" t="inlineStr">
        <is>
          <t>0157333302021</t>
        </is>
      </c>
      <c r="AD686" s="605" t="inlineStr">
        <is>
          <t>2019000020439</t>
        </is>
      </c>
      <c r="AE686" s="605" t="inlineStr">
        <is>
          <t>FLUID LLLP THE</t>
        </is>
      </c>
      <c r="AF686" s="605" t="inlineStr">
        <is>
          <t>SIERRA MADRE INVESTMENTS LLC</t>
        </is>
      </c>
      <c r="AI686" s="605">
        <f>IF(AND($E686=Subj_OccCode,Subj_BldgSF&gt;0,ABS($L686-Subj_BldgSF)&lt;=Subj_BldgSF*Subj_SizeTol),ABS($L686-Subj_BldgSF),NA())</f>
        <v/>
      </c>
      <c r="AJ686">
        <f>IF(ISNA(AI686),NA(),AI686+ROW()/10000000)</f>
        <v/>
      </c>
      <c r="AK686" s="605">
        <f>IF(AND(ISNUMBER($N686),$N686&gt;0,ISNUMBER($Y686)),$Y686/$N686,"")</f>
        <v/>
      </c>
    </row>
    <row r="687" ht="15" customHeight="1" s="545">
      <c r="A687" s="385" t="n">
        <v>8</v>
      </c>
      <c r="B687" s="605" t="n">
        <v>683</v>
      </c>
      <c r="C687" s="605" t="inlineStr">
        <is>
          <t>R0198832</t>
        </is>
      </c>
      <c r="D687" s="605" t="inlineStr">
        <is>
          <t>11150  HURON ST #2</t>
        </is>
      </c>
      <c r="E687" s="605" t="n">
        <v>1344</v>
      </c>
      <c r="F687" s="605" t="inlineStr">
        <is>
          <t>NORTHGLENN</t>
        </is>
      </c>
      <c r="G687" s="605" t="inlineStr">
        <is>
          <t>4</t>
        </is>
      </c>
      <c r="H687" s="59">
        <f>Y687/J687</f>
        <v/>
      </c>
      <c r="I687" s="386" t="n">
        <v>43543</v>
      </c>
      <c r="J687" s="605" t="n">
        <v>981</v>
      </c>
      <c r="L687" s="605" t="n">
        <v>981</v>
      </c>
      <c r="M687" s="605" t="n">
        <v>1999</v>
      </c>
      <c r="R687" s="152" t="inlineStr">
        <is>
          <t>Good</t>
        </is>
      </c>
      <c r="S687" s="605" t="n">
        <v>0</v>
      </c>
      <c r="T687" s="387">
        <f>S687/J687</f>
        <v/>
      </c>
      <c r="U687" s="605" t="inlineStr">
        <is>
          <t>Good</t>
        </is>
      </c>
      <c r="Y687" s="605" t="n">
        <v>253000</v>
      </c>
      <c r="AA687" s="605" t="n">
        <v>253000</v>
      </c>
      <c r="AC687" s="605" t="inlineStr">
        <is>
          <t>0171910205055</t>
        </is>
      </c>
      <c r="AD687" s="605" t="inlineStr">
        <is>
          <t>2019000022345</t>
        </is>
      </c>
      <c r="AE687" s="605" t="inlineStr">
        <is>
          <t>HURON PARK LLC</t>
        </is>
      </c>
      <c r="AF687" s="605" t="inlineStr">
        <is>
          <t>JACOBS HOLDINGS LLC</t>
        </is>
      </c>
      <c r="AI687" s="605">
        <f>IF(AND($E687=Subj_OccCode,Subj_BldgSF&gt;0,ABS($L687-Subj_BldgSF)&lt;=Subj_BldgSF*Subj_SizeTol),ABS($L687-Subj_BldgSF),NA())</f>
        <v/>
      </c>
      <c r="AJ687">
        <f>IF(ISNA(AI687),NA(),AI687+ROW()/10000000)</f>
        <v/>
      </c>
      <c r="AK687" s="605">
        <f>IF(AND(ISNUMBER($N687),$N687&gt;0,ISNUMBER($Y687)),$Y687/$N687,"")</f>
        <v/>
      </c>
    </row>
    <row r="688" ht="15" customHeight="1" s="545">
      <c r="A688" s="385" t="n">
        <v>8</v>
      </c>
      <c r="B688" s="605" t="n">
        <v>684</v>
      </c>
      <c r="C688" s="605" t="inlineStr">
        <is>
          <t>R0208784</t>
        </is>
      </c>
      <c r="D688" s="605" t="inlineStr">
        <is>
          <t>5160  VIOLET HILL ST #S7</t>
        </is>
      </c>
      <c r="E688" s="605" t="n">
        <v>328</v>
      </c>
      <c r="G688" s="605" t="inlineStr">
        <is>
          <t>1</t>
        </is>
      </c>
      <c r="H688" s="59">
        <f>Y688/J688</f>
        <v/>
      </c>
      <c r="I688" s="386" t="n">
        <v>44091</v>
      </c>
      <c r="J688" s="605" t="n">
        <v>1103</v>
      </c>
      <c r="L688" s="605" t="n">
        <v>1103</v>
      </c>
      <c r="R688" s="152" t="inlineStr">
        <is>
          <t>Average</t>
        </is>
      </c>
      <c r="S688" s="605" t="n">
        <v>0</v>
      </c>
      <c r="T688" s="387">
        <f>S688/J688</f>
        <v/>
      </c>
      <c r="U688" s="605" t="inlineStr">
        <is>
          <t>Average</t>
        </is>
      </c>
      <c r="Y688" s="605" t="n">
        <v>80800</v>
      </c>
      <c r="AA688" s="605" t="n">
        <v>80800</v>
      </c>
      <c r="AC688" s="605" t="inlineStr">
        <is>
          <t>0181716411014</t>
        </is>
      </c>
      <c r="AD688" s="605" t="inlineStr">
        <is>
          <t>2022000081304</t>
        </is>
      </c>
      <c r="AE688" s="605" t="inlineStr">
        <is>
          <t>HG HANAGR ONE LLC</t>
        </is>
      </c>
      <c r="AF688" s="605" t="inlineStr">
        <is>
          <t>GEISERT CARL</t>
        </is>
      </c>
      <c r="AI688" s="605">
        <f>IF(AND($E688=Subj_OccCode,Subj_BldgSF&gt;0,ABS($L688-Subj_BldgSF)&lt;=Subj_BldgSF*Subj_SizeTol),ABS($L688-Subj_BldgSF),NA())</f>
        <v/>
      </c>
      <c r="AJ688">
        <f>IF(ISNA(AI688),NA(),AI688+ROW()/10000000)</f>
        <v/>
      </c>
      <c r="AK688" s="605">
        <f>IF(AND(ISNUMBER($N688),$N688&gt;0,ISNUMBER($Y688)),$Y688/$N688,"")</f>
        <v/>
      </c>
    </row>
    <row r="689" ht="15" customHeight="1" s="545">
      <c r="A689" s="385" t="n">
        <v>8</v>
      </c>
      <c r="B689" s="605" t="n">
        <v>685</v>
      </c>
      <c r="C689" s="605" t="inlineStr">
        <is>
          <t>R0208781</t>
        </is>
      </c>
      <c r="D689" s="605" t="inlineStr">
        <is>
          <t>5160  VIOLET HILL ST #S1</t>
        </is>
      </c>
      <c r="E689" s="605" t="n">
        <v>328</v>
      </c>
      <c r="G689" s="605" t="inlineStr">
        <is>
          <t>1</t>
        </is>
      </c>
      <c r="H689" s="59">
        <f>Y689/J689</f>
        <v/>
      </c>
      <c r="I689" s="386" t="n">
        <v>44091</v>
      </c>
      <c r="J689" s="605" t="n">
        <v>1166</v>
      </c>
      <c r="L689" s="605" t="n">
        <v>1166</v>
      </c>
      <c r="R689" s="152" t="inlineStr">
        <is>
          <t>Average</t>
        </is>
      </c>
      <c r="S689" s="605" t="n">
        <v>0</v>
      </c>
      <c r="T689" s="387">
        <f>S689/J689</f>
        <v/>
      </c>
      <c r="U689" s="605" t="inlineStr">
        <is>
          <t>Average</t>
        </is>
      </c>
      <c r="Y689" s="605" t="n">
        <v>81000</v>
      </c>
      <c r="AA689" s="605" t="n">
        <v>81000</v>
      </c>
      <c r="AC689" s="605" t="inlineStr">
        <is>
          <t>0181716411011</t>
        </is>
      </c>
      <c r="AD689" s="605" t="inlineStr">
        <is>
          <t>2022000081297</t>
        </is>
      </c>
      <c r="AE689" s="605" t="inlineStr">
        <is>
          <t>HG HANAGR ONE LLC</t>
        </is>
      </c>
      <c r="AF689" s="605" t="inlineStr">
        <is>
          <t>AV CONSULTING SERVICES LLC</t>
        </is>
      </c>
      <c r="AI689" s="605">
        <f>IF(AND($E689=Subj_OccCode,Subj_BldgSF&gt;0,ABS($L689-Subj_BldgSF)&lt;=Subj_BldgSF*Subj_SizeTol),ABS($L689-Subj_BldgSF),NA())</f>
        <v/>
      </c>
      <c r="AJ689">
        <f>IF(ISNA(AI689),NA(),AI689+ROW()/10000000)</f>
        <v/>
      </c>
      <c r="AK689" s="605">
        <f>IF(AND(ISNUMBER($N689),$N689&gt;0,ISNUMBER($Y689)),$Y689/$N689,"")</f>
        <v/>
      </c>
    </row>
    <row r="690" ht="15" customHeight="1" s="545">
      <c r="A690" s="385" t="n">
        <v>8</v>
      </c>
      <c r="B690" s="605" t="n">
        <v>686</v>
      </c>
      <c r="C690" s="605" t="inlineStr">
        <is>
          <t>R0208781</t>
        </is>
      </c>
      <c r="D690" s="605" t="inlineStr">
        <is>
          <t>5160  VIOLET HILL ST #S1</t>
        </is>
      </c>
      <c r="E690" s="605" t="n">
        <v>328</v>
      </c>
      <c r="G690" s="605" t="inlineStr">
        <is>
          <t>1</t>
        </is>
      </c>
      <c r="H690" s="59">
        <f>Y690/J690</f>
        <v/>
      </c>
      <c r="I690" s="386" t="n">
        <v>44651</v>
      </c>
      <c r="J690" s="605" t="n">
        <v>1166</v>
      </c>
      <c r="L690" s="605" t="n">
        <v>1166</v>
      </c>
      <c r="R690" s="152" t="inlineStr">
        <is>
          <t>Average</t>
        </is>
      </c>
      <c r="S690" s="605" t="n">
        <v>0</v>
      </c>
      <c r="T690" s="387">
        <f>S690/J690</f>
        <v/>
      </c>
      <c r="U690" s="605" t="inlineStr">
        <is>
          <t>Average</t>
        </is>
      </c>
      <c r="Y690" s="605" t="n">
        <v>125000</v>
      </c>
      <c r="AA690" s="605" t="n">
        <v>125000</v>
      </c>
      <c r="AC690" s="605" t="inlineStr">
        <is>
          <t>0181716411011</t>
        </is>
      </c>
      <c r="AD690" s="605" t="inlineStr">
        <is>
          <t>2022000081298</t>
        </is>
      </c>
      <c r="AE690" s="605" t="inlineStr">
        <is>
          <t>AV CONSULTING SERVICES LLC</t>
        </is>
      </c>
      <c r="AF690" s="605" t="inlineStr">
        <is>
          <t>BURNEY DEREK</t>
        </is>
      </c>
      <c r="AI690" s="605">
        <f>IF(AND($E690=Subj_OccCode,Subj_BldgSF&gt;0,ABS($L690-Subj_BldgSF)&lt;=Subj_BldgSF*Subj_SizeTol),ABS($L690-Subj_BldgSF),NA())</f>
        <v/>
      </c>
      <c r="AJ690">
        <f>IF(ISNA(AI690),NA(),AI690+ROW()/10000000)</f>
        <v/>
      </c>
      <c r="AK690" s="605">
        <f>IF(AND(ISNUMBER($N690),$N690&gt;0,ISNUMBER($Y690)),$Y690/$N690,"")</f>
        <v/>
      </c>
    </row>
    <row r="691" ht="15" customHeight="1" s="545">
      <c r="A691" s="385" t="n">
        <v>8</v>
      </c>
      <c r="B691" s="605" t="n">
        <v>687</v>
      </c>
      <c r="C691" s="605" t="inlineStr">
        <is>
          <t>R0205074</t>
        </is>
      </c>
      <c r="D691" s="605" t="inlineStr">
        <is>
          <t>189  BROMLEY BUSINESS PKWY</t>
        </is>
      </c>
      <c r="E691" s="605" t="n">
        <v>447</v>
      </c>
      <c r="F691" s="605" t="inlineStr">
        <is>
          <t>BRIGHTON</t>
        </is>
      </c>
      <c r="G691" s="605" t="inlineStr">
        <is>
          <t>2</t>
        </is>
      </c>
      <c r="H691" s="59">
        <f>Y691/J691</f>
        <v/>
      </c>
      <c r="I691" s="386" t="n">
        <v>44512</v>
      </c>
      <c r="J691" s="605" t="n">
        <v>243589</v>
      </c>
      <c r="L691" s="605" t="n">
        <v>243589</v>
      </c>
      <c r="M691" s="605" t="n">
        <v>2021</v>
      </c>
      <c r="R691" s="152" t="inlineStr">
        <is>
          <t>Good</t>
        </is>
      </c>
      <c r="S691" s="605" t="n">
        <v>727821</v>
      </c>
      <c r="T691" s="387">
        <f>S691/J691</f>
        <v/>
      </c>
      <c r="U691" s="605" t="inlineStr">
        <is>
          <t>Average</t>
        </is>
      </c>
      <c r="Y691" s="605" t="n">
        <v>53635200</v>
      </c>
      <c r="AA691" s="605" t="n">
        <v>53635200</v>
      </c>
      <c r="AC691" s="605" t="inlineStr">
        <is>
          <t>0156911106020</t>
        </is>
      </c>
      <c r="AD691" s="605" t="inlineStr">
        <is>
          <t>2021000133557</t>
        </is>
      </c>
      <c r="AE691" s="605" t="inlineStr">
        <is>
          <t>DRE KCS BRIGHTON LLC</t>
        </is>
      </c>
      <c r="AF691" s="605" t="inlineStr">
        <is>
          <t>AMERICOLD REAL ESTATE LP</t>
        </is>
      </c>
      <c r="AI691" s="605">
        <f>IF(AND($E691=Subj_OccCode,Subj_BldgSF&gt;0,ABS($L691-Subj_BldgSF)&lt;=Subj_BldgSF*Subj_SizeTol),ABS($L691-Subj_BldgSF),NA())</f>
        <v/>
      </c>
      <c r="AJ691">
        <f>IF(ISNA(AI691),NA(),AI691+ROW()/10000000)</f>
        <v/>
      </c>
      <c r="AK691" s="605">
        <f>IF(AND(ISNUMBER($N691),$N691&gt;0,ISNUMBER($Y691)),$Y691/$N691,"")</f>
        <v/>
      </c>
    </row>
    <row r="692" ht="15" customHeight="1" s="545">
      <c r="A692" s="385" t="n">
        <v>8</v>
      </c>
      <c r="B692" s="605" t="n">
        <v>688</v>
      </c>
      <c r="C692" s="605" t="inlineStr">
        <is>
          <t>R0213045</t>
        </is>
      </c>
      <c r="D692" s="605" t="inlineStr">
        <is>
          <t>9658  HAVANA ST</t>
        </is>
      </c>
      <c r="E692" s="605" t="n">
        <v>425</v>
      </c>
      <c r="F692" s="605" t="inlineStr">
        <is>
          <t>COMMERCE CITY</t>
        </is>
      </c>
      <c r="G692" s="605" t="inlineStr">
        <is>
          <t>5</t>
        </is>
      </c>
      <c r="H692" s="59">
        <f>Y692/J692</f>
        <v/>
      </c>
      <c r="I692" s="386" t="n">
        <v>44735</v>
      </c>
      <c r="J692" s="605" t="n">
        <v>1350</v>
      </c>
      <c r="L692" s="605" t="n">
        <v>1350</v>
      </c>
      <c r="M692" s="605" t="n">
        <v>2022</v>
      </c>
      <c r="R692" s="152" t="inlineStr">
        <is>
          <t>Average</t>
        </is>
      </c>
      <c r="S692" s="605" t="n">
        <v>0</v>
      </c>
      <c r="T692" s="387">
        <f>S692/J692</f>
        <v/>
      </c>
      <c r="U692" s="605" t="inlineStr">
        <is>
          <t>Average</t>
        </is>
      </c>
      <c r="Y692" s="605" t="n">
        <v>263200</v>
      </c>
      <c r="AA692" s="605" t="n">
        <v>263200</v>
      </c>
      <c r="AC692" s="605" t="inlineStr">
        <is>
          <t>0172115405003</t>
        </is>
      </c>
      <c r="AD692" s="605" t="inlineStr">
        <is>
          <t>2022000060304</t>
        </is>
      </c>
      <c r="AE692" s="605" t="inlineStr">
        <is>
          <t>THE GARAGE SOCIETY HOLDINGS LLC</t>
        </is>
      </c>
      <c r="AF692" s="605" t="inlineStr">
        <is>
          <t xml:space="preserve">MITCHELL MAURICE D AND , MITCHELL CALLIE-BEN S </t>
        </is>
      </c>
      <c r="AI692" s="605">
        <f>IF(AND($E692=Subj_OccCode,Subj_BldgSF&gt;0,ABS($L692-Subj_BldgSF)&lt;=Subj_BldgSF*Subj_SizeTol),ABS($L692-Subj_BldgSF),NA())</f>
        <v/>
      </c>
      <c r="AJ692">
        <f>IF(ISNA(AI692),NA(),AI692+ROW()/10000000)</f>
        <v/>
      </c>
      <c r="AK692" s="605">
        <f>IF(AND(ISNUMBER($N692),$N692&gt;0,ISNUMBER($Y692)),$Y692/$N692,"")</f>
        <v/>
      </c>
    </row>
    <row r="693" ht="15" customHeight="1" s="545">
      <c r="A693" s="385" t="n">
        <v>8</v>
      </c>
      <c r="B693" s="605" t="n">
        <v>689</v>
      </c>
      <c r="C693" s="605" t="inlineStr">
        <is>
          <t>R0201311</t>
        </is>
      </c>
      <c r="D693" s="605" t="inlineStr">
        <is>
          <t>17776-18146 E 84TH AVE</t>
        </is>
      </c>
      <c r="E693" s="605" t="n">
        <v>584</v>
      </c>
      <c r="F693" s="605" t="inlineStr">
        <is>
          <t>COMMERCE CITY</t>
        </is>
      </c>
      <c r="G693" s="605" t="inlineStr">
        <is>
          <t>2</t>
        </is>
      </c>
      <c r="H693" s="59">
        <f>Y693/J693</f>
        <v/>
      </c>
      <c r="I693" s="386" t="n">
        <v>44301</v>
      </c>
      <c r="J693" s="605" t="n">
        <v>594400</v>
      </c>
      <c r="L693" s="605" t="n">
        <v>594400</v>
      </c>
      <c r="M693" s="605" t="n">
        <v>2020</v>
      </c>
      <c r="R693" s="152" t="inlineStr">
        <is>
          <t>Average</t>
        </is>
      </c>
      <c r="S693" s="605" t="n">
        <v>1442973</v>
      </c>
      <c r="T693" s="387">
        <f>S693/J693</f>
        <v/>
      </c>
      <c r="U693" s="605" t="inlineStr">
        <is>
          <t>Average</t>
        </is>
      </c>
      <c r="Y693" s="605" t="n">
        <v>63750000</v>
      </c>
      <c r="AA693" s="605" t="n">
        <v>63750000</v>
      </c>
      <c r="AC693" s="605" t="inlineStr">
        <is>
          <t>0172328402005</t>
        </is>
      </c>
      <c r="AD693" s="605" t="inlineStr">
        <is>
          <t>2021000046919</t>
        </is>
      </c>
      <c r="AE693" s="605" t="inlineStr">
        <is>
          <t>CH REALTY VIII-LPC I DENVER 84TH TELLURIDE LLC</t>
        </is>
      </c>
      <c r="AF693" s="605" t="inlineStr">
        <is>
          <t>PR ASCENT COMMERCE CENTER LLC, C/O PGIM REAL ESTATE</t>
        </is>
      </c>
      <c r="AI693" s="605">
        <f>IF(AND($E693=Subj_OccCode,Subj_BldgSF&gt;0,ABS($L693-Subj_BldgSF)&lt;=Subj_BldgSF*Subj_SizeTol),ABS($L693-Subj_BldgSF),NA())</f>
        <v/>
      </c>
      <c r="AJ693">
        <f>IF(ISNA(AI693),NA(),AI693+ROW()/10000000)</f>
        <v/>
      </c>
      <c r="AK693" s="605">
        <f>IF(AND(ISNUMBER($N693),$N693&gt;0,ISNUMBER($Y693)),$Y693/$N693,"")</f>
        <v/>
      </c>
    </row>
    <row r="694" ht="15" customHeight="1" s="545">
      <c r="A694" s="385" t="n">
        <v>8</v>
      </c>
      <c r="B694" s="605" t="n">
        <v>690</v>
      </c>
      <c r="C694" s="605" t="inlineStr">
        <is>
          <t>R0204250</t>
        </is>
      </c>
      <c r="D694" s="605" t="inlineStr">
        <is>
          <t>2205  104TH AVE</t>
        </is>
      </c>
      <c r="E694" s="605" t="n">
        <v>353</v>
      </c>
      <c r="F694" s="605" t="inlineStr">
        <is>
          <t>NORTHGLENN</t>
        </is>
      </c>
      <c r="G694" s="605" t="inlineStr">
        <is>
          <t>4</t>
        </is>
      </c>
      <c r="H694" s="59">
        <f>Y694/J694</f>
        <v/>
      </c>
      <c r="I694" s="386" t="n">
        <v>44091</v>
      </c>
      <c r="J694" s="605" t="n">
        <v>1500</v>
      </c>
      <c r="L694" s="605" t="n">
        <v>1500</v>
      </c>
      <c r="M694" s="605" t="n">
        <v>1986</v>
      </c>
      <c r="R694" s="152" t="inlineStr">
        <is>
          <t>Low</t>
        </is>
      </c>
      <c r="S694" s="605" t="n">
        <v>42879</v>
      </c>
      <c r="T694" s="387">
        <f>S694/J694</f>
        <v/>
      </c>
      <c r="U694" s="605" t="inlineStr">
        <is>
          <t>Fair</t>
        </is>
      </c>
      <c r="Y694" s="605" t="n">
        <v>1675000</v>
      </c>
      <c r="AA694" s="605" t="n">
        <v>1675000</v>
      </c>
      <c r="AC694" s="605" t="inlineStr">
        <is>
          <t>0171911405022</t>
        </is>
      </c>
      <c r="AD694" s="605" t="inlineStr">
        <is>
          <t>2020000093880</t>
        </is>
      </c>
      <c r="AE694" s="605" t="inlineStr">
        <is>
          <t>EHMKA CHARLIE DBA, CHARLIES AUTO AND TRUCK SALES</t>
        </is>
      </c>
      <c r="AF694" s="605" t="inlineStr">
        <is>
          <t>41581 NORTHGLENN CO LLC</t>
        </is>
      </c>
      <c r="AI694" s="605">
        <f>IF(AND($E694=Subj_OccCode,Subj_BldgSF&gt;0,ABS($L694-Subj_BldgSF)&lt;=Subj_BldgSF*Subj_SizeTol),ABS($L694-Subj_BldgSF),NA())</f>
        <v/>
      </c>
      <c r="AJ694">
        <f>IF(ISNA(AI694),NA(),AI694+ROW()/10000000)</f>
        <v/>
      </c>
      <c r="AK694" s="605">
        <f>IF(AND(ISNUMBER($N694),$N694&gt;0,ISNUMBER($Y694)),$Y694/$N694,"")</f>
        <v/>
      </c>
    </row>
    <row r="695" ht="15" customHeight="1" s="545">
      <c r="A695" s="385" t="n">
        <v>8</v>
      </c>
      <c r="B695" s="605" t="n">
        <v>691</v>
      </c>
      <c r="C695" s="605" t="inlineStr">
        <is>
          <t>R0199655</t>
        </is>
      </c>
      <c r="D695" s="605" t="inlineStr">
        <is>
          <t xml:space="preserve">  LIBSON ST</t>
        </is>
      </c>
      <c r="E695" s="605" t="n">
        <v>334</v>
      </c>
      <c r="F695" s="605" t="inlineStr">
        <is>
          <t>AURORA</t>
        </is>
      </c>
      <c r="G695" s="605" t="inlineStr">
        <is>
          <t>6</t>
        </is>
      </c>
      <c r="H695" s="59">
        <f>Y695/J695</f>
        <v/>
      </c>
      <c r="I695" s="386" t="n">
        <v>43858</v>
      </c>
      <c r="J695" s="605" t="n">
        <v>30030</v>
      </c>
      <c r="L695" s="605" t="n">
        <v>30030</v>
      </c>
      <c r="M695" s="605" t="n">
        <v>2019</v>
      </c>
      <c r="R695" s="152" t="inlineStr">
        <is>
          <t>Good</t>
        </is>
      </c>
      <c r="S695" s="605" t="n">
        <v>96173</v>
      </c>
      <c r="T695" s="387">
        <f>S695/J695</f>
        <v/>
      </c>
      <c r="U695" s="605" t="inlineStr">
        <is>
          <t>Good</t>
        </is>
      </c>
      <c r="Y695" s="605" t="n">
        <v>4600000</v>
      </c>
      <c r="AA695" s="605" t="n">
        <v>4600000</v>
      </c>
      <c r="AC695" s="605" t="inlineStr">
        <is>
          <t>0182126302003</t>
        </is>
      </c>
      <c r="AD695" s="605" t="inlineStr">
        <is>
          <t>2020000009566</t>
        </is>
      </c>
      <c r="AE695" s="605" t="inlineStr">
        <is>
          <t>MAJESTIC LISBON BUILDING LLC</t>
        </is>
      </c>
      <c r="AF695" s="605" t="inlineStr">
        <is>
          <t>REFRIGERATION SUPPLIES DISTRIBUTOR</t>
        </is>
      </c>
      <c r="AI695" s="605">
        <f>IF(AND($E695=Subj_OccCode,Subj_BldgSF&gt;0,ABS($L695-Subj_BldgSF)&lt;=Subj_BldgSF*Subj_SizeTol),ABS($L695-Subj_BldgSF),NA())</f>
        <v/>
      </c>
      <c r="AJ695">
        <f>IF(ISNA(AI695),NA(),AI695+ROW()/10000000)</f>
        <v/>
      </c>
      <c r="AK695" s="605">
        <f>IF(AND(ISNUMBER($N695),$N695&gt;0,ISNUMBER($Y695)),$Y695/$N695,"")</f>
        <v/>
      </c>
    </row>
    <row r="696" ht="15" customHeight="1" s="545">
      <c r="A696" s="385" t="n">
        <v>8</v>
      </c>
      <c r="B696" s="605" t="n">
        <v>692</v>
      </c>
      <c r="C696" s="605" t="inlineStr">
        <is>
          <t>R0194697</t>
        </is>
      </c>
      <c r="D696" s="605" t="inlineStr">
        <is>
          <t>12170  TEJON ST</t>
        </is>
      </c>
      <c r="E696" s="605" t="n">
        <v>425</v>
      </c>
      <c r="F696" s="605" t="inlineStr">
        <is>
          <t>WESTMINSTER</t>
        </is>
      </c>
      <c r="G696" s="605" t="inlineStr">
        <is>
          <t>3</t>
        </is>
      </c>
      <c r="H696" s="59">
        <f>Y696/J696</f>
        <v/>
      </c>
      <c r="I696" s="386" t="n">
        <v>44200</v>
      </c>
      <c r="J696" s="605" t="n">
        <v>2498</v>
      </c>
      <c r="L696" s="605" t="n">
        <v>2498</v>
      </c>
      <c r="M696" s="605" t="n">
        <v>2018</v>
      </c>
      <c r="P696" s="605" t="inlineStr">
        <is>
          <t>PUD-Wes</t>
        </is>
      </c>
      <c r="R696" s="152" t="inlineStr">
        <is>
          <t>Good</t>
        </is>
      </c>
      <c r="S696" s="605" t="n">
        <v>8986</v>
      </c>
      <c r="T696" s="387">
        <f>S696/J696</f>
        <v/>
      </c>
      <c r="U696" s="605" t="inlineStr">
        <is>
          <t>Good</t>
        </is>
      </c>
      <c r="Y696" s="605" t="n">
        <v>665000</v>
      </c>
      <c r="AA696" s="605" t="n">
        <v>665000</v>
      </c>
      <c r="AC696" s="605" t="inlineStr">
        <is>
          <t>0157333302017</t>
        </is>
      </c>
      <c r="AD696" s="605" t="inlineStr">
        <is>
          <t>2021000000719</t>
        </is>
      </c>
      <c r="AE696" s="605" t="inlineStr">
        <is>
          <t>12170 TEJON STREET UNIT 500, LLC</t>
        </is>
      </c>
      <c r="AF696" s="605" t="inlineStr">
        <is>
          <t>BUTLER PROPERTIES LLC</t>
        </is>
      </c>
      <c r="AI696" s="605">
        <f>IF(AND($E696=Subj_OccCode,Subj_BldgSF&gt;0,ABS($L696-Subj_BldgSF)&lt;=Subj_BldgSF*Subj_SizeTol),ABS($L696-Subj_BldgSF),NA())</f>
        <v/>
      </c>
      <c r="AJ696">
        <f>IF(ISNA(AI696),NA(),AI696+ROW()/10000000)</f>
        <v/>
      </c>
      <c r="AK696" s="605">
        <f>IF(AND(ISNUMBER($N696),$N696&gt;0,ISNUMBER($Y696)),$Y696/$N696,"")</f>
        <v/>
      </c>
    </row>
    <row r="697" ht="15" customHeight="1" s="545">
      <c r="A697" s="385" t="n">
        <v>8</v>
      </c>
      <c r="B697" s="605" t="n">
        <v>693</v>
      </c>
      <c r="C697" s="605" t="inlineStr">
        <is>
          <t>R0194698</t>
        </is>
      </c>
      <c r="D697" s="605" t="inlineStr">
        <is>
          <t>12170  TEJON ST</t>
        </is>
      </c>
      <c r="E697" s="605" t="n">
        <v>425</v>
      </c>
      <c r="F697" s="605" t="inlineStr">
        <is>
          <t>WESTMINSTER</t>
        </is>
      </c>
      <c r="G697" s="605" t="inlineStr">
        <is>
          <t>3</t>
        </is>
      </c>
      <c r="H697" s="59">
        <f>Y697/J697</f>
        <v/>
      </c>
      <c r="I697" s="386" t="n">
        <v>44494</v>
      </c>
      <c r="J697" s="605" t="n">
        <v>2508</v>
      </c>
      <c r="L697" s="605" t="n">
        <v>2508</v>
      </c>
      <c r="M697" s="605" t="n">
        <v>2018</v>
      </c>
      <c r="P697" s="605" t="inlineStr">
        <is>
          <t>PUD-Wes</t>
        </is>
      </c>
      <c r="R697" s="152" t="inlineStr">
        <is>
          <t>Good</t>
        </is>
      </c>
      <c r="S697" s="605" t="n">
        <v>8986</v>
      </c>
      <c r="T697" s="387">
        <f>S697/J697</f>
        <v/>
      </c>
      <c r="U697" s="605" t="inlineStr">
        <is>
          <t>Good</t>
        </is>
      </c>
      <c r="Y697" s="605" t="n">
        <v>710000</v>
      </c>
      <c r="AA697" s="605" t="n">
        <v>710000</v>
      </c>
      <c r="AC697" s="605" t="inlineStr">
        <is>
          <t>0157333302018</t>
        </is>
      </c>
      <c r="AD697" s="605" t="inlineStr">
        <is>
          <t>2021000126028</t>
        </is>
      </c>
      <c r="AE697" s="605" t="inlineStr">
        <is>
          <t>FLUID 4 LLC</t>
        </is>
      </c>
      <c r="AF697" s="605" t="inlineStr">
        <is>
          <t>SPHARK PROPERTIES LLC</t>
        </is>
      </c>
      <c r="AI697" s="605">
        <f>IF(AND($E697=Subj_OccCode,Subj_BldgSF&gt;0,ABS($L697-Subj_BldgSF)&lt;=Subj_BldgSF*Subj_SizeTol),ABS($L697-Subj_BldgSF),NA())</f>
        <v/>
      </c>
      <c r="AJ697">
        <f>IF(ISNA(AI697),NA(),AI697+ROW()/10000000)</f>
        <v/>
      </c>
      <c r="AK697" s="605">
        <f>IF(AND(ISNUMBER($N697),$N697&gt;0,ISNUMBER($Y697)),$Y697/$N697,"")</f>
        <v/>
      </c>
    </row>
    <row r="698" ht="15" customHeight="1" s="545">
      <c r="A698" s="385" t="n">
        <v>8</v>
      </c>
      <c r="B698" s="605" t="n">
        <v>694</v>
      </c>
      <c r="C698" s="605" t="inlineStr">
        <is>
          <t>R0201166</t>
        </is>
      </c>
      <c r="D698" s="605" t="inlineStr">
        <is>
          <t>6130  JACKSON GAP WAY</t>
        </is>
      </c>
      <c r="E698" s="605" t="n">
        <v>325</v>
      </c>
      <c r="F698" s="605" t="inlineStr">
        <is>
          <t>AURORA</t>
        </is>
      </c>
      <c r="G698" s="605" t="inlineStr">
        <is>
          <t>1</t>
        </is>
      </c>
      <c r="H698" s="59">
        <f>Y698/J698</f>
        <v/>
      </c>
      <c r="I698" s="386" t="n">
        <v>44510</v>
      </c>
      <c r="J698" s="605" t="n">
        <v>6777</v>
      </c>
      <c r="L698" s="605" t="n">
        <v>6777</v>
      </c>
      <c r="M698" s="605" t="n">
        <v>2018</v>
      </c>
      <c r="R698" s="152" t="inlineStr">
        <is>
          <t>Good</t>
        </is>
      </c>
      <c r="S698" s="605" t="n">
        <v>175110</v>
      </c>
      <c r="T698" s="387">
        <f>S698/J698</f>
        <v/>
      </c>
      <c r="U698" s="605" t="inlineStr">
        <is>
          <t>Good</t>
        </is>
      </c>
      <c r="Y698" s="605" t="n">
        <v>6200000</v>
      </c>
      <c r="AA698" s="605" t="n">
        <v>6200000</v>
      </c>
      <c r="AC698" s="605" t="inlineStr">
        <is>
          <t>0181908201001</t>
        </is>
      </c>
      <c r="AD698" s="605" t="inlineStr">
        <is>
          <t>2021000132689</t>
        </is>
      </c>
      <c r="AE698" s="605" t="inlineStr">
        <is>
          <t>DGH JACKSON GAP LLC</t>
        </is>
      </c>
      <c r="AF698" s="605" t="inlineStr">
        <is>
          <t>PACIFIC ENT LLC</t>
        </is>
      </c>
      <c r="AI698" s="605">
        <f>IF(AND($E698=Subj_OccCode,Subj_BldgSF&gt;0,ABS($L698-Subj_BldgSF)&lt;=Subj_BldgSF*Subj_SizeTol),ABS($L698-Subj_BldgSF),NA())</f>
        <v/>
      </c>
      <c r="AJ698">
        <f>IF(ISNA(AI698),NA(),AI698+ROW()/10000000)</f>
        <v/>
      </c>
      <c r="AK698" s="605">
        <f>IF(AND(ISNUMBER($N698),$N698&gt;0,ISNUMBER($Y698)),$Y698/$N698,"")</f>
        <v/>
      </c>
    </row>
    <row r="699" ht="15" customHeight="1" s="545">
      <c r="A699" s="385" t="n">
        <v>8</v>
      </c>
      <c r="B699" s="605" t="n">
        <v>695</v>
      </c>
      <c r="C699" s="605" t="inlineStr">
        <is>
          <t>R0194696</t>
        </is>
      </c>
      <c r="D699" s="605" t="inlineStr">
        <is>
          <t>12170  TEJON ST</t>
        </is>
      </c>
      <c r="E699" s="605" t="n">
        <v>425</v>
      </c>
      <c r="F699" s="605" t="inlineStr">
        <is>
          <t>WESTMINSTER</t>
        </is>
      </c>
      <c r="G699" s="605" t="inlineStr">
        <is>
          <t>3</t>
        </is>
      </c>
      <c r="H699" s="59">
        <f>Y699/J699</f>
        <v/>
      </c>
      <c r="I699" s="386" t="n">
        <v>43907</v>
      </c>
      <c r="J699" s="605" t="n">
        <v>2815</v>
      </c>
      <c r="L699" s="605" t="n">
        <v>2815</v>
      </c>
      <c r="M699" s="605" t="n">
        <v>2018</v>
      </c>
      <c r="P699" s="605" t="inlineStr">
        <is>
          <t>PUD-Wes</t>
        </is>
      </c>
      <c r="R699" s="152" t="inlineStr">
        <is>
          <t>Good</t>
        </is>
      </c>
      <c r="S699" s="605" t="n">
        <v>8986</v>
      </c>
      <c r="T699" s="387">
        <f>S699/J699</f>
        <v/>
      </c>
      <c r="U699" s="605" t="inlineStr">
        <is>
          <t>Good</t>
        </is>
      </c>
      <c r="Y699" s="605" t="n">
        <v>750000</v>
      </c>
      <c r="AA699" s="605" t="n">
        <v>750000</v>
      </c>
      <c r="AC699" s="605" t="inlineStr">
        <is>
          <t>0157333302016</t>
        </is>
      </c>
      <c r="AD699" s="605" t="inlineStr">
        <is>
          <t>2020000025600</t>
        </is>
      </c>
      <c r="AE699" s="605" t="inlineStr">
        <is>
          <t>12170 TEJON STREET UNIT 600, LLC</t>
        </is>
      </c>
      <c r="AF699" s="605" t="inlineStr">
        <is>
          <t>BROTHERS HOLDINGS LLC</t>
        </is>
      </c>
      <c r="AI699" s="605">
        <f>IF(AND($E699=Subj_OccCode,Subj_BldgSF&gt;0,ABS($L699-Subj_BldgSF)&lt;=Subj_BldgSF*Subj_SizeTol),ABS($L699-Subj_BldgSF),NA())</f>
        <v/>
      </c>
      <c r="AJ699">
        <f>IF(ISNA(AI699),NA(),AI699+ROW()/10000000)</f>
        <v/>
      </c>
      <c r="AK699" s="605">
        <f>IF(AND(ISNUMBER($N699),$N699&gt;0,ISNUMBER($Y699)),$Y699/$N699,"")</f>
        <v/>
      </c>
    </row>
    <row r="700" ht="15" customHeight="1" s="545">
      <c r="A700" s="385" t="n">
        <v>8</v>
      </c>
      <c r="B700" s="605" t="n">
        <v>696</v>
      </c>
      <c r="C700" s="605" t="inlineStr">
        <is>
          <t>R0201382</t>
        </is>
      </c>
      <c r="D700" s="605" t="inlineStr">
        <is>
          <t>13575 E 37TH AVE</t>
        </is>
      </c>
      <c r="E700" s="605" t="n">
        <v>406</v>
      </c>
      <c r="F700" s="605" t="inlineStr">
        <is>
          <t>AURORA</t>
        </is>
      </c>
      <c r="G700" s="605" t="inlineStr">
        <is>
          <t>6</t>
        </is>
      </c>
      <c r="H700" s="59">
        <f>Y700/J700</f>
        <v/>
      </c>
      <c r="I700" s="386" t="n">
        <v>44553</v>
      </c>
      <c r="J700" s="605" t="n">
        <v>142708</v>
      </c>
      <c r="L700" s="605" t="n">
        <v>142708</v>
      </c>
      <c r="M700" s="605" t="n">
        <v>2020</v>
      </c>
      <c r="R700" s="152" t="inlineStr">
        <is>
          <t>Average</t>
        </is>
      </c>
      <c r="S700" s="605" t="n">
        <v>636236</v>
      </c>
      <c r="T700" s="387">
        <f>S700/J700</f>
        <v/>
      </c>
      <c r="U700" s="605" t="inlineStr">
        <is>
          <t>Average</t>
        </is>
      </c>
      <c r="Y700" s="605" t="n">
        <v>33000000</v>
      </c>
      <c r="AA700" s="605" t="n">
        <v>33000000</v>
      </c>
      <c r="AC700" s="605" t="inlineStr">
        <is>
          <t>0182325114010</t>
        </is>
      </c>
      <c r="AD700" s="605" t="inlineStr">
        <is>
          <t>2021000149371</t>
        </is>
      </c>
      <c r="AE700" s="605" t="inlineStr">
        <is>
          <t>P8 D-C INDUSTRIAL SITE 225 LLC</t>
        </is>
      </c>
      <c r="AF700" s="605" t="inlineStr">
        <is>
          <t>WESTCORE CG II PARK 225 LLC</t>
        </is>
      </c>
      <c r="AI700" s="605">
        <f>IF(AND($E700=Subj_OccCode,Subj_BldgSF&gt;0,ABS($L700-Subj_BldgSF)&lt;=Subj_BldgSF*Subj_SizeTol),ABS($L700-Subj_BldgSF),NA())</f>
        <v/>
      </c>
      <c r="AJ700">
        <f>IF(ISNA(AI700),NA(),AI700+ROW()/10000000)</f>
        <v/>
      </c>
      <c r="AK700" s="605">
        <f>IF(AND(ISNUMBER($N700),$N700&gt;0,ISNUMBER($Y700)),$Y700/$N700,"")</f>
        <v/>
      </c>
    </row>
    <row r="701" ht="15" customHeight="1" s="545">
      <c r="A701" s="385" t="n">
        <v>8</v>
      </c>
      <c r="B701" s="605" t="n">
        <v>697</v>
      </c>
      <c r="C701" s="605" t="inlineStr">
        <is>
          <t>R0209679</t>
        </is>
      </c>
      <c r="D701" s="605" t="inlineStr">
        <is>
          <t>17501 E 84TH AVE</t>
        </is>
      </c>
      <c r="E701" s="605" t="n">
        <v>584</v>
      </c>
      <c r="F701" s="605" t="inlineStr">
        <is>
          <t>COMMERCE CITY</t>
        </is>
      </c>
      <c r="G701" s="605" t="inlineStr">
        <is>
          <t>2</t>
        </is>
      </c>
      <c r="H701" s="59">
        <f>Y701/J701</f>
        <v/>
      </c>
      <c r="I701" s="386" t="n">
        <v>44547</v>
      </c>
      <c r="J701" s="605" t="n">
        <v>999780</v>
      </c>
      <c r="L701" s="605" t="n">
        <v>999780</v>
      </c>
      <c r="M701" s="605" t="n">
        <v>2021</v>
      </c>
      <c r="R701" s="152" t="inlineStr">
        <is>
          <t>Average</t>
        </is>
      </c>
      <c r="S701" s="605" t="n">
        <v>3152070</v>
      </c>
      <c r="T701" s="387">
        <f>S701/J701</f>
        <v/>
      </c>
      <c r="U701" s="605" t="inlineStr">
        <is>
          <t>Average</t>
        </is>
      </c>
      <c r="Y701" s="605" t="n">
        <v>97558700</v>
      </c>
      <c r="AA701" s="605" t="n">
        <v>97558700</v>
      </c>
      <c r="AC701" s="605" t="inlineStr">
        <is>
          <t>0172328201001</t>
        </is>
      </c>
      <c r="AD701" s="605" t="inlineStr">
        <is>
          <t>2021000148257</t>
        </is>
      </c>
      <c r="AE701" s="605" t="inlineStr">
        <is>
          <t>NEXUS NORTH OWNER LLC</t>
        </is>
      </c>
      <c r="AF701" s="605" t="inlineStr">
        <is>
          <t>QUINTERO OWNER LLC, C/O KHLBERG KRAVIS ROBERTS</t>
        </is>
      </c>
      <c r="AI701" s="605">
        <f>IF(AND($E701=Subj_OccCode,Subj_BldgSF&gt;0,ABS($L701-Subj_BldgSF)&lt;=Subj_BldgSF*Subj_SizeTol),ABS($L701-Subj_BldgSF),NA())</f>
        <v/>
      </c>
      <c r="AJ701">
        <f>IF(ISNA(AI701),NA(),AI701+ROW()/10000000)</f>
        <v/>
      </c>
      <c r="AK701" s="605">
        <f>IF(AND(ISNUMBER($N701),$N701&gt;0,ISNUMBER($Y701)),$Y701/$N701,"")</f>
        <v/>
      </c>
    </row>
    <row r="702" ht="15" customHeight="1" s="545">
      <c r="A702" s="385" t="n">
        <v>8</v>
      </c>
      <c r="B702" s="605" t="n">
        <v>698</v>
      </c>
      <c r="C702" s="605" t="inlineStr">
        <is>
          <t>R0210404</t>
        </is>
      </c>
      <c r="D702" s="605" t="inlineStr">
        <is>
          <t>2000 W 104TH AVE</t>
        </is>
      </c>
      <c r="E702" s="605" t="n">
        <v>227</v>
      </c>
      <c r="F702" s="605" t="inlineStr">
        <is>
          <t>THORNTON</t>
        </is>
      </c>
      <c r="G702" s="605" t="inlineStr">
        <is>
          <t>4</t>
        </is>
      </c>
      <c r="H702" s="59">
        <f>Y702/J702</f>
        <v/>
      </c>
      <c r="I702" s="386" t="n">
        <v>44553</v>
      </c>
      <c r="J702" s="605" t="n">
        <v>23064</v>
      </c>
      <c r="L702" s="605" t="n">
        <v>23064</v>
      </c>
      <c r="M702" s="605" t="n">
        <v>1980</v>
      </c>
      <c r="R702" s="152" t="inlineStr">
        <is>
          <t>Average</t>
        </is>
      </c>
      <c r="S702" s="605" t="n">
        <v>1750390</v>
      </c>
      <c r="T702" s="387">
        <f>S702/J702</f>
        <v/>
      </c>
      <c r="U702" s="605" t="inlineStr">
        <is>
          <t>Average</t>
        </is>
      </c>
      <c r="Y702" s="605" t="n">
        <v>6500000</v>
      </c>
      <c r="AA702" s="605" t="n">
        <v>6500000</v>
      </c>
      <c r="AC702" s="605" t="inlineStr">
        <is>
          <t>0171916215007</t>
        </is>
      </c>
      <c r="AD702" s="605" t="inlineStr">
        <is>
          <t>2021000149152</t>
        </is>
      </c>
      <c r="AE702" s="605" t="inlineStr">
        <is>
          <t>MORELAND COLORADO PROPERTIES LLC</t>
        </is>
      </c>
      <c r="AF702" s="605" t="inlineStr">
        <is>
          <t>ROCKS OF ROCK CITY LLC</t>
        </is>
      </c>
      <c r="AI702" s="605">
        <f>IF(AND($E702=Subj_OccCode,Subj_BldgSF&gt;0,ABS($L702-Subj_BldgSF)&lt;=Subj_BldgSF*Subj_SizeTol),ABS($L702-Subj_BldgSF),NA())</f>
        <v/>
      </c>
      <c r="AJ702">
        <f>IF(ISNA(AI702),NA(),AI702+ROW()/10000000)</f>
        <v/>
      </c>
      <c r="AK702" s="605">
        <f>IF(AND(ISNUMBER($N702),$N702&gt;0,ISNUMBER($Y702)),$Y702/$N702,"")</f>
        <v/>
      </c>
    </row>
    <row r="703" ht="15" customHeight="1" s="545">
      <c r="A703" s="385" t="n">
        <v>8</v>
      </c>
      <c r="B703" s="605" t="n">
        <v>699</v>
      </c>
      <c r="C703" s="605" t="inlineStr">
        <is>
          <t>R0208787</t>
        </is>
      </c>
      <c r="D703" s="605" t="inlineStr">
        <is>
          <t>5140  VIOLET HILL ST #S3</t>
        </is>
      </c>
      <c r="E703" s="605" t="n">
        <v>328</v>
      </c>
      <c r="G703" s="605" t="inlineStr">
        <is>
          <t>1</t>
        </is>
      </c>
      <c r="H703" s="59">
        <f>Y703/J703</f>
        <v/>
      </c>
      <c r="I703" s="386" t="n">
        <v>44621</v>
      </c>
      <c r="J703" s="605" t="n">
        <v>2465</v>
      </c>
      <c r="L703" s="605" t="n">
        <v>2465</v>
      </c>
      <c r="R703" s="152" t="inlineStr">
        <is>
          <t>Average</t>
        </is>
      </c>
      <c r="S703" s="605" t="n">
        <v>0</v>
      </c>
      <c r="T703" s="387">
        <f>S703/J703</f>
        <v/>
      </c>
      <c r="U703" s="605" t="inlineStr">
        <is>
          <t>Average</t>
        </is>
      </c>
      <c r="Y703" s="605" t="n">
        <v>225000</v>
      </c>
      <c r="AA703" s="605" t="n">
        <v>225000</v>
      </c>
      <c r="AC703" s="605" t="inlineStr">
        <is>
          <t>0181716411017</t>
        </is>
      </c>
      <c r="AD703" s="605" t="inlineStr">
        <is>
          <t>2022000021178</t>
        </is>
      </c>
      <c r="AE703" s="605" t="inlineStr">
        <is>
          <t>HUGHBANKS MATTHEW</t>
        </is>
      </c>
      <c r="AF703" s="605" t="inlineStr">
        <is>
          <t>CARVERCO LLLP</t>
        </is>
      </c>
      <c r="AI703" s="605">
        <f>IF(AND($E703=Subj_OccCode,Subj_BldgSF&gt;0,ABS($L703-Subj_BldgSF)&lt;=Subj_BldgSF*Subj_SizeTol),ABS($L703-Subj_BldgSF),NA())</f>
        <v/>
      </c>
      <c r="AJ703">
        <f>IF(ISNA(AI703),NA(),AI703+ROW()/10000000)</f>
        <v/>
      </c>
      <c r="AK703" s="605">
        <f>IF(AND(ISNUMBER($N703),$N703&gt;0,ISNUMBER($Y703)),$Y703/$N703,"")</f>
        <v/>
      </c>
    </row>
    <row r="704" ht="15" customHeight="1" s="545">
      <c r="A704" s="385" t="n">
        <v>8</v>
      </c>
      <c r="B704" s="605" t="n">
        <v>700</v>
      </c>
      <c r="C704" s="605" t="inlineStr">
        <is>
          <t>R0208785</t>
        </is>
      </c>
      <c r="D704" s="605" t="inlineStr">
        <is>
          <t>5160  VIOLET HILL ST #S9</t>
        </is>
      </c>
      <c r="E704" s="605" t="n">
        <v>328</v>
      </c>
      <c r="G704" s="605" t="inlineStr">
        <is>
          <t>1</t>
        </is>
      </c>
      <c r="H704" s="59">
        <f>Y704/J704</f>
        <v/>
      </c>
      <c r="I704" s="386" t="n">
        <v>44178</v>
      </c>
      <c r="J704" s="605" t="n">
        <v>1229</v>
      </c>
      <c r="L704" s="605" t="n">
        <v>1229</v>
      </c>
      <c r="R704" s="152" t="inlineStr">
        <is>
          <t>Average</t>
        </is>
      </c>
      <c r="S704" s="605" t="n">
        <v>0</v>
      </c>
      <c r="T704" s="387">
        <f>S704/J704</f>
        <v/>
      </c>
      <c r="U704" s="605" t="inlineStr">
        <is>
          <t>Average</t>
        </is>
      </c>
      <c r="Y704" s="605" t="n">
        <v>103000</v>
      </c>
      <c r="AA704" s="605" t="n">
        <v>103000</v>
      </c>
      <c r="AC704" s="605" t="inlineStr">
        <is>
          <t>0181716411015</t>
        </is>
      </c>
      <c r="AD704" s="605" t="inlineStr">
        <is>
          <t>2022000083055</t>
        </is>
      </c>
      <c r="AE704" s="605" t="inlineStr">
        <is>
          <t>DILLON DOUG</t>
        </is>
      </c>
      <c r="AF704" s="605" t="inlineStr">
        <is>
          <t>MARTENS LIVING TRUST</t>
        </is>
      </c>
      <c r="AI704" s="605">
        <f>IF(AND($E704=Subj_OccCode,Subj_BldgSF&gt;0,ABS($L704-Subj_BldgSF)&lt;=Subj_BldgSF*Subj_SizeTol),ABS($L704-Subj_BldgSF),NA())</f>
        <v/>
      </c>
      <c r="AJ704">
        <f>IF(ISNA(AI704),NA(),AI704+ROW()/10000000)</f>
        <v/>
      </c>
      <c r="AK704" s="605">
        <f>IF(AND(ISNUMBER($N704),$N704&gt;0,ISNUMBER($Y704)),$Y704/$N704,"")</f>
        <v/>
      </c>
    </row>
    <row r="705" ht="15" customHeight="1" s="545">
      <c r="A705" s="385" t="n">
        <v>8</v>
      </c>
      <c r="B705" s="605" t="n">
        <v>701</v>
      </c>
      <c r="C705" s="605" t="inlineStr">
        <is>
          <t>R0208777</t>
        </is>
      </c>
      <c r="D705" s="605" t="inlineStr">
        <is>
          <t>5160  VIOLET HILL ST #N8</t>
        </is>
      </c>
      <c r="E705" s="605" t="n">
        <v>328</v>
      </c>
      <c r="G705" s="605" t="inlineStr">
        <is>
          <t>1</t>
        </is>
      </c>
      <c r="H705" s="59">
        <f>Y705/J705</f>
        <v/>
      </c>
      <c r="I705" s="386" t="n">
        <v>43832</v>
      </c>
      <c r="J705" s="605" t="n">
        <v>1530</v>
      </c>
      <c r="L705" s="605" t="n">
        <v>1530</v>
      </c>
      <c r="R705" s="152" t="inlineStr">
        <is>
          <t>Average</t>
        </is>
      </c>
      <c r="S705" s="605" t="n">
        <v>0</v>
      </c>
      <c r="T705" s="387">
        <f>S705/J705</f>
        <v/>
      </c>
      <c r="U705" s="605" t="inlineStr">
        <is>
          <t>Average</t>
        </is>
      </c>
      <c r="Y705" s="605" t="n">
        <v>115000</v>
      </c>
      <c r="AA705" s="605" t="n">
        <v>115000</v>
      </c>
      <c r="AC705" s="605" t="inlineStr">
        <is>
          <t>0181716411007</t>
        </is>
      </c>
      <c r="AD705" s="605" t="inlineStr">
        <is>
          <t>2022000042693</t>
        </is>
      </c>
      <c r="AE705" s="605" t="inlineStr">
        <is>
          <t>HG HANAGR ONE LLC, C/O HUGH COOK</t>
        </is>
      </c>
      <c r="AF705" s="605" t="inlineStr">
        <is>
          <t>COOK HUGH</t>
        </is>
      </c>
      <c r="AI705" s="605">
        <f>IF(AND($E705=Subj_OccCode,Subj_BldgSF&gt;0,ABS($L705-Subj_BldgSF)&lt;=Subj_BldgSF*Subj_SizeTol),ABS($L705-Subj_BldgSF),NA())</f>
        <v/>
      </c>
      <c r="AJ705">
        <f>IF(ISNA(AI705),NA(),AI705+ROW()/10000000)</f>
        <v/>
      </c>
      <c r="AK705" s="605">
        <f>IF(AND(ISNUMBER($N705),$N705&gt;0,ISNUMBER($Y705)),$Y705/$N705,"")</f>
        <v/>
      </c>
    </row>
    <row r="706" ht="15" customHeight="1" s="545">
      <c r="A706" s="385" t="n">
        <v>8</v>
      </c>
      <c r="B706" s="605" t="n">
        <v>702</v>
      </c>
      <c r="C706" s="605" t="inlineStr">
        <is>
          <t>R0208780</t>
        </is>
      </c>
      <c r="D706" s="605" t="inlineStr">
        <is>
          <t>5160  VIOLET HILL ST #N2</t>
        </is>
      </c>
      <c r="E706" s="605" t="n">
        <v>328</v>
      </c>
      <c r="G706" s="605" t="inlineStr">
        <is>
          <t>1</t>
        </is>
      </c>
      <c r="H706" s="59">
        <f>Y706/J706</f>
        <v/>
      </c>
      <c r="I706" s="386" t="n">
        <v>44091</v>
      </c>
      <c r="J706" s="605" t="n">
        <v>1530</v>
      </c>
      <c r="L706" s="605" t="n">
        <v>1530</v>
      </c>
      <c r="R706" s="152" t="inlineStr">
        <is>
          <t>Average</t>
        </is>
      </c>
      <c r="S706" s="605" t="n">
        <v>0</v>
      </c>
      <c r="T706" s="387">
        <f>S706/J706</f>
        <v/>
      </c>
      <c r="U706" s="605" t="inlineStr">
        <is>
          <t>Average</t>
        </is>
      </c>
      <c r="Y706" s="605" t="n">
        <v>117670</v>
      </c>
      <c r="AA706" s="605" t="n">
        <v>117670</v>
      </c>
      <c r="AC706" s="605" t="inlineStr">
        <is>
          <t>0181716411010</t>
        </is>
      </c>
      <c r="AD706" s="605" t="inlineStr">
        <is>
          <t>2022000081299</t>
        </is>
      </c>
      <c r="AE706" s="605" t="inlineStr">
        <is>
          <t>HG HANAGR ONE LLC</t>
        </is>
      </c>
      <c r="AF706" s="605" t="inlineStr">
        <is>
          <t>VOLIN DAN</t>
        </is>
      </c>
      <c r="AI706" s="605">
        <f>IF(AND($E706=Subj_OccCode,Subj_BldgSF&gt;0,ABS($L706-Subj_BldgSF)&lt;=Subj_BldgSF*Subj_SizeTol),ABS($L706-Subj_BldgSF),NA())</f>
        <v/>
      </c>
      <c r="AJ706">
        <f>IF(ISNA(AI706),NA(),AI706+ROW()/10000000)</f>
        <v/>
      </c>
      <c r="AK706" s="605">
        <f>IF(AND(ISNUMBER($N706),$N706&gt;0,ISNUMBER($Y706)),$Y706/$N706,"")</f>
        <v/>
      </c>
    </row>
    <row r="707" ht="15" customHeight="1" s="545">
      <c r="A707" s="385" t="n">
        <v>8</v>
      </c>
      <c r="B707" s="605" t="n">
        <v>703</v>
      </c>
      <c r="C707" s="605" t="inlineStr">
        <is>
          <t>R0211079</t>
        </is>
      </c>
      <c r="D707" s="605" t="inlineStr">
        <is>
          <t>12245 N PECOS ST</t>
        </is>
      </c>
      <c r="E707" s="605" t="n">
        <v>1344</v>
      </c>
      <c r="F707" s="605" t="inlineStr">
        <is>
          <t>WESTMINSTER</t>
        </is>
      </c>
      <c r="G707" s="605" t="inlineStr">
        <is>
          <t>3</t>
        </is>
      </c>
      <c r="H707" s="59">
        <f>Y707/J707</f>
        <v/>
      </c>
      <c r="I707" s="386" t="n">
        <v>44426</v>
      </c>
      <c r="J707" s="605" t="n">
        <v>4726</v>
      </c>
      <c r="L707" s="605" t="n">
        <v>4726</v>
      </c>
      <c r="M707" s="605" t="n">
        <v>2020</v>
      </c>
      <c r="R707" s="152" t="inlineStr">
        <is>
          <t>Average</t>
        </is>
      </c>
      <c r="S707" s="605" t="n">
        <v>0</v>
      </c>
      <c r="T707" s="387">
        <f>S707/J707</f>
        <v/>
      </c>
      <c r="U707" s="605" t="inlineStr">
        <is>
          <t>Average</t>
        </is>
      </c>
      <c r="Y707" s="605" t="n">
        <v>820000</v>
      </c>
      <c r="AA707" s="605" t="n">
        <v>820000</v>
      </c>
      <c r="AC707" s="605" t="inlineStr">
        <is>
          <t>0157333301017</t>
        </is>
      </c>
      <c r="AD707" s="605" t="inlineStr">
        <is>
          <t>2021000099394</t>
        </is>
      </c>
      <c r="AE707" s="605" t="inlineStr">
        <is>
          <t>TAIVA 2-3 LLLP</t>
        </is>
      </c>
      <c r="AF707" s="605" t="inlineStr">
        <is>
          <t>12245 N PECOS STREET LLC</t>
        </is>
      </c>
      <c r="AI707" s="605">
        <f>IF(AND($E707=Subj_OccCode,Subj_BldgSF&gt;0,ABS($L707-Subj_BldgSF)&lt;=Subj_BldgSF*Subj_SizeTol),ABS($L707-Subj_BldgSF),NA())</f>
        <v/>
      </c>
      <c r="AJ707">
        <f>IF(ISNA(AI707),NA(),AI707+ROW()/10000000)</f>
        <v/>
      </c>
      <c r="AK707" s="605">
        <f>IF(AND(ISNUMBER($N707),$N707&gt;0,ISNUMBER($Y707)),$Y707/$N707,"")</f>
        <v/>
      </c>
    </row>
    <row r="708" ht="15" customHeight="1" s="545">
      <c r="A708" s="385" t="n">
        <v>8</v>
      </c>
      <c r="B708" s="605" t="n">
        <v>704</v>
      </c>
      <c r="C708" s="605" t="inlineStr">
        <is>
          <t>R0204668</t>
        </is>
      </c>
      <c r="D708" s="605" t="inlineStr">
        <is>
          <t>12235 N PECOS ST</t>
        </is>
      </c>
      <c r="E708" s="605" t="n">
        <v>1344</v>
      </c>
      <c r="F708" s="605" t="inlineStr">
        <is>
          <t>WESTMINSTER</t>
        </is>
      </c>
      <c r="G708" s="605" t="inlineStr">
        <is>
          <t>3</t>
        </is>
      </c>
      <c r="H708" s="59">
        <f>Y708/J708</f>
        <v/>
      </c>
      <c r="I708" s="386" t="n">
        <v>44131</v>
      </c>
      <c r="J708" s="605" t="n">
        <v>2337</v>
      </c>
      <c r="L708" s="605" t="n">
        <v>2337</v>
      </c>
      <c r="M708" s="605" t="n">
        <v>2020</v>
      </c>
      <c r="R708" s="152" t="inlineStr">
        <is>
          <t>Average</t>
        </is>
      </c>
      <c r="S708" s="605" t="n">
        <v>2051</v>
      </c>
      <c r="T708" s="387">
        <f>S708/J708</f>
        <v/>
      </c>
      <c r="U708" s="605" t="inlineStr">
        <is>
          <t>Average</t>
        </is>
      </c>
      <c r="Y708" s="605" t="n">
        <v>794300</v>
      </c>
      <c r="AA708" s="605" t="n">
        <v>794300</v>
      </c>
      <c r="AC708" s="605" t="inlineStr">
        <is>
          <t>0157333301011</t>
        </is>
      </c>
      <c r="AD708" s="605" t="inlineStr">
        <is>
          <t>2020000111811</t>
        </is>
      </c>
      <c r="AE708" s="605" t="inlineStr">
        <is>
          <t>TAIVA 2-3 LLLP</t>
        </is>
      </c>
      <c r="AF708" s="605" t="inlineStr">
        <is>
          <t>ADDNAS LLC</t>
        </is>
      </c>
      <c r="AI708" s="605">
        <f>IF(AND($E708=Subj_OccCode,Subj_BldgSF&gt;0,ABS($L708-Subj_BldgSF)&lt;=Subj_BldgSF*Subj_SizeTol),ABS($L708-Subj_BldgSF),NA())</f>
        <v/>
      </c>
      <c r="AJ708">
        <f>IF(ISNA(AI708),NA(),AI708+ROW()/10000000)</f>
        <v/>
      </c>
      <c r="AK708" s="605">
        <f>IF(AND(ISNUMBER($N708),$N708&gt;0,ISNUMBER($Y708)),$Y708/$N708,"")</f>
        <v/>
      </c>
    </row>
    <row r="709" ht="15" customHeight="1" s="545">
      <c r="A709" s="385" t="n">
        <v>8</v>
      </c>
      <c r="B709" s="605" t="n">
        <v>705</v>
      </c>
      <c r="C709" s="605" t="inlineStr">
        <is>
          <t>R0208786</t>
        </is>
      </c>
      <c r="D709" s="605" t="inlineStr">
        <is>
          <t>5140  VIOLET HILL ST #S4</t>
        </is>
      </c>
      <c r="E709" s="605" t="n">
        <v>328</v>
      </c>
      <c r="G709" s="605" t="inlineStr">
        <is>
          <t>1</t>
        </is>
      </c>
      <c r="H709" s="59">
        <f>Y709/J709</f>
        <v/>
      </c>
      <c r="I709" s="386" t="n">
        <v>43971</v>
      </c>
      <c r="J709" s="605" t="n">
        <v>2968</v>
      </c>
      <c r="L709" s="605" t="n">
        <v>2968</v>
      </c>
      <c r="R709" s="152" t="inlineStr">
        <is>
          <t>Average</t>
        </is>
      </c>
      <c r="S709" s="605" t="n">
        <v>0</v>
      </c>
      <c r="T709" s="387">
        <f>S709/J709</f>
        <v/>
      </c>
      <c r="U709" s="605" t="inlineStr">
        <is>
          <t>Average</t>
        </is>
      </c>
      <c r="Y709" s="605" t="n">
        <v>230000</v>
      </c>
      <c r="AA709" s="605" t="n">
        <v>230000</v>
      </c>
      <c r="AC709" s="605" t="inlineStr">
        <is>
          <t>0181716411016</t>
        </is>
      </c>
      <c r="AD709" s="605" t="inlineStr">
        <is>
          <t>2020000046689</t>
        </is>
      </c>
      <c r="AE709" s="605" t="inlineStr">
        <is>
          <t>HG HANGAR ONE LLC</t>
        </is>
      </c>
      <c r="AF709" s="605" t="inlineStr">
        <is>
          <t>BIELANSKI ROBERT ALLAN</t>
        </is>
      </c>
      <c r="AI709" s="605">
        <f>IF(AND($E709=Subj_OccCode,Subj_BldgSF&gt;0,ABS($L709-Subj_BldgSF)&lt;=Subj_BldgSF*Subj_SizeTol),ABS($L709-Subj_BldgSF),NA())</f>
        <v/>
      </c>
      <c r="AJ709">
        <f>IF(ISNA(AI709),NA(),AI709+ROW()/10000000)</f>
        <v/>
      </c>
      <c r="AK709" s="605">
        <f>IF(AND(ISNUMBER($N709),$N709&gt;0,ISNUMBER($Y709)),$Y709/$N709,"")</f>
        <v/>
      </c>
    </row>
    <row r="710" ht="15" customHeight="1" s="545">
      <c r="A710" s="385" t="n">
        <v>8</v>
      </c>
      <c r="B710" s="605" t="n">
        <v>706</v>
      </c>
      <c r="C710" s="605" t="inlineStr">
        <is>
          <t>R0208782</t>
        </is>
      </c>
      <c r="D710" s="605" t="inlineStr">
        <is>
          <t>5160  VIOLET HILL ST #S3</t>
        </is>
      </c>
      <c r="E710" s="605" t="n">
        <v>328</v>
      </c>
      <c r="G710" s="605" t="inlineStr">
        <is>
          <t>1</t>
        </is>
      </c>
      <c r="H710" s="59">
        <f>Y710/J710</f>
        <v/>
      </c>
      <c r="I710" s="386" t="n">
        <v>43868</v>
      </c>
      <c r="J710" s="605" t="n">
        <v>1103</v>
      </c>
      <c r="L710" s="605" t="n">
        <v>1103</v>
      </c>
      <c r="R710" s="152" t="inlineStr">
        <is>
          <t>Average</t>
        </is>
      </c>
      <c r="S710" s="605" t="n">
        <v>0</v>
      </c>
      <c r="T710" s="387">
        <f>S710/J710</f>
        <v/>
      </c>
      <c r="U710" s="605" t="inlineStr">
        <is>
          <t>Average</t>
        </is>
      </c>
      <c r="Y710" s="605" t="n">
        <v>56500</v>
      </c>
      <c r="AA710" s="605" t="n">
        <v>56500</v>
      </c>
      <c r="AC710" s="605" t="inlineStr">
        <is>
          <t>0181716411012</t>
        </is>
      </c>
      <c r="AD710" s="605" t="inlineStr">
        <is>
          <t>2020000013096</t>
        </is>
      </c>
      <c r="AE710" s="605" t="inlineStr">
        <is>
          <t>HG HANAGR ONE LLC</t>
        </is>
      </c>
      <c r="AF710" s="605" t="inlineStr">
        <is>
          <t>SUNBURST AVIATION LLC</t>
        </is>
      </c>
      <c r="AI710" s="605">
        <f>IF(AND($E710=Subj_OccCode,Subj_BldgSF&gt;0,ABS($L710-Subj_BldgSF)&lt;=Subj_BldgSF*Subj_SizeTol),ABS($L710-Subj_BldgSF),NA())</f>
        <v/>
      </c>
      <c r="AJ710">
        <f>IF(ISNA(AI710),NA(),AI710+ROW()/10000000)</f>
        <v/>
      </c>
      <c r="AK710" s="605">
        <f>IF(AND(ISNUMBER($N710),$N710&gt;0,ISNUMBER($Y710)),$Y710/$N710,"")</f>
        <v/>
      </c>
    </row>
    <row r="711" ht="15" customHeight="1" s="545">
      <c r="A711" s="385" t="n">
        <v>8</v>
      </c>
      <c r="B711" s="605" t="n">
        <v>707</v>
      </c>
      <c r="C711" s="605" t="inlineStr">
        <is>
          <t>R0208782</t>
        </is>
      </c>
      <c r="D711" s="605" t="inlineStr">
        <is>
          <t>5160  VIOLET HILL ST #S3</t>
        </is>
      </c>
      <c r="E711" s="605" t="n">
        <v>328</v>
      </c>
      <c r="G711" s="605" t="inlineStr">
        <is>
          <t>1</t>
        </is>
      </c>
      <c r="H711" s="59">
        <f>Y711/J711</f>
        <v/>
      </c>
      <c r="I711" s="386" t="n">
        <v>44091</v>
      </c>
      <c r="J711" s="605" t="n">
        <v>1103</v>
      </c>
      <c r="L711" s="605" t="n">
        <v>1103</v>
      </c>
      <c r="R711" s="152" t="inlineStr">
        <is>
          <t>Average</t>
        </is>
      </c>
      <c r="S711" s="605" t="n">
        <v>0</v>
      </c>
      <c r="T711" s="387">
        <f>S711/J711</f>
        <v/>
      </c>
      <c r="U711" s="605" t="inlineStr">
        <is>
          <t>Average</t>
        </is>
      </c>
      <c r="Y711" s="605" t="n">
        <v>87000</v>
      </c>
      <c r="AA711" s="605" t="n">
        <v>87000</v>
      </c>
      <c r="AC711" s="605" t="inlineStr">
        <is>
          <t>0181716411012</t>
        </is>
      </c>
      <c r="AD711" s="605" t="inlineStr">
        <is>
          <t>2022000081300</t>
        </is>
      </c>
      <c r="AE711" s="605" t="inlineStr">
        <is>
          <t>SUNBURST AVIATION LLC</t>
        </is>
      </c>
      <c r="AF711" s="605" t="inlineStr">
        <is>
          <t>SANDERS JEFF</t>
        </is>
      </c>
      <c r="AI711" s="605">
        <f>IF(AND($E711=Subj_OccCode,Subj_BldgSF&gt;0,ABS($L711-Subj_BldgSF)&lt;=Subj_BldgSF*Subj_SizeTol),ABS($L711-Subj_BldgSF),NA())</f>
        <v/>
      </c>
      <c r="AJ711">
        <f>IF(ISNA(AI711),NA(),AI711+ROW()/10000000)</f>
        <v/>
      </c>
      <c r="AK711" s="605">
        <f>IF(AND(ISNUMBER($N711),$N711&gt;0,ISNUMBER($Y711)),$Y711/$N711,"")</f>
        <v/>
      </c>
    </row>
    <row r="712" ht="15" customHeight="1" s="545">
      <c r="A712" s="385" t="n">
        <v>8</v>
      </c>
      <c r="B712" s="605" t="n">
        <v>708</v>
      </c>
      <c r="C712" s="605" t="inlineStr">
        <is>
          <t>R0198519</t>
        </is>
      </c>
      <c r="D712" s="605" t="inlineStr">
        <is>
          <t>2160  PRAIRIE CENTER PKWY</t>
        </is>
      </c>
      <c r="E712" s="605" t="n">
        <v>436</v>
      </c>
      <c r="F712" s="605" t="inlineStr">
        <is>
          <t>BRIGHTON</t>
        </is>
      </c>
      <c r="G712" s="605" t="inlineStr">
        <is>
          <t>2</t>
        </is>
      </c>
      <c r="H712" s="59">
        <f>Y712/J712</f>
        <v/>
      </c>
      <c r="I712" s="386" t="n">
        <v>43523</v>
      </c>
      <c r="J712" s="605" t="n">
        <v>4272</v>
      </c>
      <c r="L712" s="605" t="n">
        <v>4272</v>
      </c>
      <c r="M712" s="605" t="n">
        <v>2019</v>
      </c>
      <c r="R712" s="152" t="inlineStr">
        <is>
          <t>Good</t>
        </is>
      </c>
      <c r="S712" s="605" t="n">
        <v>54605</v>
      </c>
      <c r="T712" s="387">
        <f>S712/J712</f>
        <v/>
      </c>
      <c r="U712" s="605" t="inlineStr">
        <is>
          <t>Good</t>
        </is>
      </c>
      <c r="Y712" s="605" t="n">
        <v>900000</v>
      </c>
      <c r="AA712" s="605" t="n">
        <v>900000</v>
      </c>
      <c r="AC712" s="605" t="inlineStr">
        <is>
          <t>0156921103003</t>
        </is>
      </c>
      <c r="AD712" s="605" t="inlineStr">
        <is>
          <t>2019000015302</t>
        </is>
      </c>
      <c r="AE712" s="605" t="inlineStr">
        <is>
          <t>THF PRARIE CENTER RETAIL THREE LLC</t>
        </is>
      </c>
      <c r="AF712" s="605" t="inlineStr">
        <is>
          <t>IMO US WEST LLC</t>
        </is>
      </c>
      <c r="AI712" s="605">
        <f>IF(AND($E712=Subj_OccCode,Subj_BldgSF&gt;0,ABS($L712-Subj_BldgSF)&lt;=Subj_BldgSF*Subj_SizeTol),ABS($L712-Subj_BldgSF),NA())</f>
        <v/>
      </c>
      <c r="AJ712">
        <f>IF(ISNA(AI712),NA(),AI712+ROW()/10000000)</f>
        <v/>
      </c>
      <c r="AK712" s="605">
        <f>IF(AND(ISNUMBER($N712),$N712&gt;0,ISNUMBER($Y712)),$Y712/$N712,"")</f>
        <v/>
      </c>
    </row>
    <row r="713" ht="15" customHeight="1" s="545">
      <c r="A713" s="385" t="n">
        <v>8</v>
      </c>
      <c r="B713" s="605" t="n">
        <v>709</v>
      </c>
      <c r="C713" s="605" t="inlineStr">
        <is>
          <t>R0115415</t>
        </is>
      </c>
      <c r="D713" s="605" t="inlineStr">
        <is>
          <t>9640  HAVANA ST</t>
        </is>
      </c>
      <c r="E713" s="605" t="n">
        <v>407</v>
      </c>
      <c r="F713" s="605" t="inlineStr">
        <is>
          <t>COMMERCE CITY</t>
        </is>
      </c>
      <c r="G713" s="605" t="inlineStr">
        <is>
          <t>5</t>
        </is>
      </c>
      <c r="H713" s="59">
        <f>Y713/J713</f>
        <v/>
      </c>
      <c r="I713" s="386" t="n">
        <v>44327</v>
      </c>
      <c r="J713" s="605" t="n">
        <v>19499</v>
      </c>
      <c r="L713" s="605" t="n">
        <v>19499</v>
      </c>
      <c r="M713" s="605" t="n">
        <v>2020</v>
      </c>
      <c r="P713" s="605" t="inlineStr">
        <is>
          <t>PUD-Com</t>
        </is>
      </c>
      <c r="R713" s="152" t="inlineStr">
        <is>
          <t>Average</t>
        </is>
      </c>
      <c r="S713" s="605" t="n">
        <v>64459</v>
      </c>
      <c r="T713" s="387">
        <f>S713/J713</f>
        <v/>
      </c>
      <c r="U713" s="605" t="inlineStr">
        <is>
          <t>Average</t>
        </is>
      </c>
      <c r="Y713" s="605" t="n">
        <v>2877500</v>
      </c>
      <c r="AA713" s="605" t="n">
        <v>2877500</v>
      </c>
      <c r="AC713" s="605" t="inlineStr">
        <is>
          <t>0172115012001</t>
        </is>
      </c>
      <c r="AD713" s="605" t="inlineStr">
        <is>
          <t>2021000058561</t>
        </is>
      </c>
      <c r="AE713" s="605" t="inlineStr">
        <is>
          <t>WHITING BRIAN AND , WHITING FRAN</t>
        </is>
      </c>
      <c r="AF713" s="605" t="inlineStr">
        <is>
          <t>HAVANA CREST LLC</t>
        </is>
      </c>
      <c r="AI713" s="605">
        <f>IF(AND($E713=Subj_OccCode,Subj_BldgSF&gt;0,ABS($L713-Subj_BldgSF)&lt;=Subj_BldgSF*Subj_SizeTol),ABS($L713-Subj_BldgSF),NA())</f>
        <v/>
      </c>
      <c r="AJ713">
        <f>IF(ISNA(AI713),NA(),AI713+ROW()/10000000)</f>
        <v/>
      </c>
      <c r="AK713" s="605">
        <f>IF(AND(ISNUMBER($N713),$N713&gt;0,ISNUMBER($Y713)),$Y713/$N713,"")</f>
        <v/>
      </c>
    </row>
    <row r="714" ht="15" customHeight="1" s="545">
      <c r="A714" s="385" t="n">
        <v>8</v>
      </c>
      <c r="B714" s="605" t="n">
        <v>710</v>
      </c>
      <c r="C714" s="605" t="inlineStr">
        <is>
          <t>R0208789</t>
        </is>
      </c>
      <c r="D714" s="605" t="inlineStr">
        <is>
          <t>5140  VIOLET HILL ST</t>
        </is>
      </c>
      <c r="E714" s="605" t="n">
        <v>328</v>
      </c>
      <c r="G714" s="605" t="inlineStr">
        <is>
          <t>1</t>
        </is>
      </c>
      <c r="H714" s="59">
        <f>Y714/J714</f>
        <v/>
      </c>
      <c r="I714" s="386" t="n">
        <v>43951</v>
      </c>
      <c r="J714" s="605" t="n">
        <v>2470</v>
      </c>
      <c r="L714" s="605" t="n">
        <v>2470</v>
      </c>
      <c r="R714" s="152" t="inlineStr">
        <is>
          <t>Average</t>
        </is>
      </c>
      <c r="T714" s="387">
        <f>S714/J714</f>
        <v/>
      </c>
      <c r="U714" s="605" t="inlineStr">
        <is>
          <t>Average</t>
        </is>
      </c>
      <c r="Y714" s="605" t="n">
        <v>198500</v>
      </c>
      <c r="AA714" s="605" t="n">
        <v>198500</v>
      </c>
      <c r="AC714" s="605" t="inlineStr">
        <is>
          <t>0181716411019</t>
        </is>
      </c>
      <c r="AD714" s="605" t="inlineStr">
        <is>
          <t>2022000083056</t>
        </is>
      </c>
      <c r="AE714" s="605" t="inlineStr">
        <is>
          <t>HG HANGAR ONE LLC</t>
        </is>
      </c>
      <c r="AF714" s="605" t="inlineStr">
        <is>
          <t>BEIM GLORIA</t>
        </is>
      </c>
      <c r="AI714" s="605">
        <f>IF(AND($E714=Subj_OccCode,Subj_BldgSF&gt;0,ABS($L714-Subj_BldgSF)&lt;=Subj_BldgSF*Subj_SizeTol),ABS($L714-Subj_BldgSF),NA())</f>
        <v/>
      </c>
      <c r="AJ714">
        <f>IF(ISNA(AI714),NA(),AI714+ROW()/10000000)</f>
        <v/>
      </c>
      <c r="AK714" s="605">
        <f>IF(AND(ISNUMBER($N714),$N714&gt;0,ISNUMBER($Y714)),$Y714/$N714,"")</f>
        <v/>
      </c>
    </row>
    <row r="715" ht="15" customHeight="1" s="545">
      <c r="A715" s="388" t="n">
        <v>8</v>
      </c>
      <c r="B715" s="605" t="n">
        <v>711</v>
      </c>
      <c r="AI715" s="605">
        <f>IF(AND($E715=Subj_OccCode,Subj_BldgSF&gt;0,ABS($L715-Subj_BldgSF)&lt;=Subj_BldgSF*Subj_SizeTol),ABS($L715-Subj_BldgSF),NA())</f>
        <v/>
      </c>
      <c r="AJ715">
        <f>IF(ISNA(AI715),NA(),AI715+ROW()/10000000)</f>
        <v/>
      </c>
      <c r="AK715" s="605">
        <f>IF(AND(ISNUMBER($N715),$N715&gt;0,ISNUMBER($Y715)),$Y715/$N715,"")</f>
        <v/>
      </c>
    </row>
    <row r="716" ht="15" customHeight="1" s="545">
      <c r="A716" s="388" t="n">
        <v>8</v>
      </c>
      <c r="B716" s="605" t="n">
        <v>712</v>
      </c>
      <c r="AI716" s="605">
        <f>IF(AND($E716=Subj_OccCode,Subj_BldgSF&gt;0,ABS($L716-Subj_BldgSF)&lt;=Subj_BldgSF*Subj_SizeTol),ABS($L716-Subj_BldgSF),NA())</f>
        <v/>
      </c>
      <c r="AJ716">
        <f>IF(ISNA(AI716),NA(),AI716+ROW()/10000000)</f>
        <v/>
      </c>
      <c r="AK716" s="605">
        <f>IF(AND(ISNUMBER($N716),$N716&gt;0,ISNUMBER($Y716)),$Y716/$N716,"")</f>
        <v/>
      </c>
    </row>
    <row r="717" ht="15" customHeight="1" s="545">
      <c r="A717" s="388" t="n">
        <v>8</v>
      </c>
      <c r="B717" s="605" t="n">
        <v>713</v>
      </c>
      <c r="AI717" s="605">
        <f>IF(AND($E717=Subj_OccCode,Subj_BldgSF&gt;0,ABS($L717-Subj_BldgSF)&lt;=Subj_BldgSF*Subj_SizeTol),ABS($L717-Subj_BldgSF),NA())</f>
        <v/>
      </c>
      <c r="AJ717">
        <f>IF(ISNA(AI717),NA(),AI717+ROW()/10000000)</f>
        <v/>
      </c>
      <c r="AK717" s="605">
        <f>IF(AND(ISNUMBER($N717),$N717&gt;0,ISNUMBER($Y717)),$Y717/$N717,"")</f>
        <v/>
      </c>
    </row>
    <row r="718" ht="15" customHeight="1" s="545">
      <c r="A718" s="388" t="n">
        <v>8</v>
      </c>
      <c r="B718" s="605" t="n">
        <v>714</v>
      </c>
      <c r="AI718" s="605">
        <f>IF(AND($E718=Subj_OccCode,Subj_BldgSF&gt;0,ABS($L718-Subj_BldgSF)&lt;=Subj_BldgSF*Subj_SizeTol),ABS($L718-Subj_BldgSF),NA())</f>
        <v/>
      </c>
      <c r="AJ718">
        <f>IF(ISNA(AI718),NA(),AI718+ROW()/10000000)</f>
        <v/>
      </c>
      <c r="AK718" s="605">
        <f>IF(AND(ISNUMBER($N718),$N718&gt;0,ISNUMBER($Y718)),$Y718/$N718,"")</f>
        <v/>
      </c>
    </row>
    <row r="719" ht="15" customHeight="1" s="545">
      <c r="A719" s="388" t="n">
        <v>8</v>
      </c>
      <c r="B719" s="605" t="n">
        <v>715</v>
      </c>
      <c r="AI719" s="605">
        <f>IF(AND($E719=Subj_OccCode,Subj_BldgSF&gt;0,ABS($L719-Subj_BldgSF)&lt;=Subj_BldgSF*Subj_SizeTol),ABS($L719-Subj_BldgSF),NA())</f>
        <v/>
      </c>
      <c r="AJ719">
        <f>IF(ISNA(AI719),NA(),AI719+ROW()/10000000)</f>
        <v/>
      </c>
      <c r="AK719" s="605">
        <f>IF(AND(ISNUMBER($N719),$N719&gt;0,ISNUMBER($Y719)),$Y719/$N719,"")</f>
        <v/>
      </c>
    </row>
    <row r="720" ht="15" customHeight="1" s="545">
      <c r="A720" s="388" t="n">
        <v>8</v>
      </c>
      <c r="B720" s="605" t="n">
        <v>716</v>
      </c>
      <c r="AI720" s="605">
        <f>IF(AND($E720=Subj_OccCode,Subj_BldgSF&gt;0,ABS($L720-Subj_BldgSF)&lt;=Subj_BldgSF*Subj_SizeTol),ABS($L720-Subj_BldgSF),NA())</f>
        <v/>
      </c>
      <c r="AJ720">
        <f>IF(ISNA(AI720),NA(),AI720+ROW()/10000000)</f>
        <v/>
      </c>
      <c r="AK720" s="605">
        <f>IF(AND(ISNUMBER($N720),$N720&gt;0,ISNUMBER($Y720)),$Y720/$N720,"")</f>
        <v/>
      </c>
    </row>
    <row r="721" ht="15" customHeight="1" s="545">
      <c r="A721" s="388" t="n">
        <v>8</v>
      </c>
      <c r="B721" s="605" t="n">
        <v>717</v>
      </c>
      <c r="AI721" s="605">
        <f>IF(AND($E721=Subj_OccCode,Subj_BldgSF&gt;0,ABS($L721-Subj_BldgSF)&lt;=Subj_BldgSF*Subj_SizeTol),ABS($L721-Subj_BldgSF),NA())</f>
        <v/>
      </c>
      <c r="AJ721">
        <f>IF(ISNA(AI721),NA(),AI721+ROW()/10000000)</f>
        <v/>
      </c>
      <c r="AK721" s="605">
        <f>IF(AND(ISNUMBER($N721),$N721&gt;0,ISNUMBER($Y721)),$Y721/$N721,"")</f>
        <v/>
      </c>
    </row>
    <row r="722" ht="15" customHeight="1" s="545">
      <c r="A722" s="388" t="n">
        <v>8</v>
      </c>
      <c r="B722" s="605" t="n">
        <v>718</v>
      </c>
      <c r="AI722" s="605">
        <f>IF(AND($E722=Subj_OccCode,Subj_BldgSF&gt;0,ABS($L722-Subj_BldgSF)&lt;=Subj_BldgSF*Subj_SizeTol),ABS($L722-Subj_BldgSF),NA())</f>
        <v/>
      </c>
      <c r="AJ722">
        <f>IF(ISNA(AI722),NA(),AI722+ROW()/10000000)</f>
        <v/>
      </c>
      <c r="AK722" s="605">
        <f>IF(AND(ISNUMBER($N722),$N722&gt;0,ISNUMBER($Y722)),$Y722/$N722,"")</f>
        <v/>
      </c>
    </row>
    <row r="723" ht="15" customHeight="1" s="545">
      <c r="A723" s="388" t="n">
        <v>8</v>
      </c>
      <c r="B723" s="605" t="n">
        <v>719</v>
      </c>
      <c r="AI723" s="605">
        <f>IF(AND($E723=Subj_OccCode,Subj_BldgSF&gt;0,ABS($L723-Subj_BldgSF)&lt;=Subj_BldgSF*Subj_SizeTol),ABS($L723-Subj_BldgSF),NA())</f>
        <v/>
      </c>
      <c r="AJ723">
        <f>IF(ISNA(AI723),NA(),AI723+ROW()/10000000)</f>
        <v/>
      </c>
      <c r="AK723" s="605">
        <f>IF(AND(ISNUMBER($N723),$N723&gt;0,ISNUMBER($Y723)),$Y723/$N723,"")</f>
        <v/>
      </c>
    </row>
    <row r="724" ht="15" customHeight="1" s="545">
      <c r="A724" s="388" t="n">
        <v>8</v>
      </c>
      <c r="B724" s="605" t="n">
        <v>720</v>
      </c>
      <c r="AI724" s="605">
        <f>IF(AND($E724=Subj_OccCode,Subj_BldgSF&gt;0,ABS($L724-Subj_BldgSF)&lt;=Subj_BldgSF*Subj_SizeTol),ABS($L724-Subj_BldgSF),NA())</f>
        <v/>
      </c>
      <c r="AJ724">
        <f>IF(ISNA(AI724),NA(),AI724+ROW()/10000000)</f>
        <v/>
      </c>
      <c r="AK724" s="605">
        <f>IF(AND(ISNUMBER($N724),$N724&gt;0,ISNUMBER($Y724)),$Y724/$N724,"")</f>
        <v/>
      </c>
    </row>
    <row r="725" ht="15" customHeight="1" s="545">
      <c r="A725" s="388" t="n">
        <v>8</v>
      </c>
      <c r="B725" s="605" t="n">
        <v>721</v>
      </c>
      <c r="AI725" s="605">
        <f>IF(AND($E725=Subj_OccCode,Subj_BldgSF&gt;0,ABS($L725-Subj_BldgSF)&lt;=Subj_BldgSF*Subj_SizeTol),ABS($L725-Subj_BldgSF),NA())</f>
        <v/>
      </c>
      <c r="AJ725">
        <f>IF(ISNA(AI725),NA(),AI725+ROW()/10000000)</f>
        <v/>
      </c>
      <c r="AK725" s="605">
        <f>IF(AND(ISNUMBER($N725),$N725&gt;0,ISNUMBER($Y725)),$Y725/$N725,"")</f>
        <v/>
      </c>
    </row>
    <row r="726" ht="15" customHeight="1" s="545">
      <c r="A726" s="388" t="n">
        <v>8</v>
      </c>
      <c r="B726" s="605" t="n">
        <v>722</v>
      </c>
      <c r="AI726" s="605">
        <f>IF(AND($E726=Subj_OccCode,Subj_BldgSF&gt;0,ABS($L726-Subj_BldgSF)&lt;=Subj_BldgSF*Subj_SizeTol),ABS($L726-Subj_BldgSF),NA())</f>
        <v/>
      </c>
      <c r="AJ726">
        <f>IF(ISNA(AI726),NA(),AI726+ROW()/10000000)</f>
        <v/>
      </c>
      <c r="AK726" s="605">
        <f>IF(AND(ISNUMBER($N726),$N726&gt;0,ISNUMBER($Y726)),$Y726/$N726,"")</f>
        <v/>
      </c>
    </row>
    <row r="727" ht="15" customHeight="1" s="545">
      <c r="A727" s="388" t="n">
        <v>8</v>
      </c>
      <c r="B727" s="605" t="n">
        <v>723</v>
      </c>
      <c r="AI727" s="605">
        <f>IF(AND($E727=Subj_OccCode,Subj_BldgSF&gt;0,ABS($L727-Subj_BldgSF)&lt;=Subj_BldgSF*Subj_SizeTol),ABS($L727-Subj_BldgSF),NA())</f>
        <v/>
      </c>
      <c r="AJ727">
        <f>IF(ISNA(AI727),NA(),AI727+ROW()/10000000)</f>
        <v/>
      </c>
      <c r="AK727" s="605">
        <f>IF(AND(ISNUMBER($N727),$N727&gt;0,ISNUMBER($Y727)),$Y727/$N727,"")</f>
        <v/>
      </c>
    </row>
    <row r="728" ht="15" customHeight="1" s="545">
      <c r="A728" s="388" t="n">
        <v>8</v>
      </c>
      <c r="B728" s="605" t="n">
        <v>724</v>
      </c>
      <c r="AI728" s="605">
        <f>IF(AND($E728=Subj_OccCode,Subj_BldgSF&gt;0,ABS($L728-Subj_BldgSF)&lt;=Subj_BldgSF*Subj_SizeTol),ABS($L728-Subj_BldgSF),NA())</f>
        <v/>
      </c>
      <c r="AJ728">
        <f>IF(ISNA(AI728),NA(),AI728+ROW()/10000000)</f>
        <v/>
      </c>
      <c r="AK728" s="605">
        <f>IF(AND(ISNUMBER($N728),$N728&gt;0,ISNUMBER($Y728)),$Y728/$N728,"")</f>
        <v/>
      </c>
    </row>
    <row r="729" ht="15" customHeight="1" s="545">
      <c r="A729" s="388" t="n">
        <v>8</v>
      </c>
      <c r="B729" s="605" t="n">
        <v>725</v>
      </c>
      <c r="AI729" s="605">
        <f>IF(AND($E729=Subj_OccCode,Subj_BldgSF&gt;0,ABS($L729-Subj_BldgSF)&lt;=Subj_BldgSF*Subj_SizeTol),ABS($L729-Subj_BldgSF),NA())</f>
        <v/>
      </c>
      <c r="AJ729">
        <f>IF(ISNA(AI729),NA(),AI729+ROW()/10000000)</f>
        <v/>
      </c>
      <c r="AK729" s="605">
        <f>IF(AND(ISNUMBER($N729),$N729&gt;0,ISNUMBER($Y729)),$Y729/$N729,"")</f>
        <v/>
      </c>
    </row>
    <row r="730" ht="15" customHeight="1" s="545">
      <c r="A730" s="388" t="n">
        <v>8</v>
      </c>
      <c r="B730" s="605" t="n">
        <v>726</v>
      </c>
      <c r="AI730" s="605">
        <f>IF(AND($E730=Subj_OccCode,Subj_BldgSF&gt;0,ABS($L730-Subj_BldgSF)&lt;=Subj_BldgSF*Subj_SizeTol),ABS($L730-Subj_BldgSF),NA())</f>
        <v/>
      </c>
      <c r="AJ730">
        <f>IF(ISNA(AI730),NA(),AI730+ROW()/10000000)</f>
        <v/>
      </c>
      <c r="AK730" s="605">
        <f>IF(AND(ISNUMBER($N730),$N730&gt;0,ISNUMBER($Y730)),$Y730/$N730,"")</f>
        <v/>
      </c>
    </row>
    <row r="731" ht="15" customHeight="1" s="545">
      <c r="A731" s="388" t="n">
        <v>8</v>
      </c>
      <c r="B731" s="605" t="n">
        <v>727</v>
      </c>
      <c r="AI731" s="605">
        <f>IF(AND($E731=Subj_OccCode,Subj_BldgSF&gt;0,ABS($L731-Subj_BldgSF)&lt;=Subj_BldgSF*Subj_SizeTol),ABS($L731-Subj_BldgSF),NA())</f>
        <v/>
      </c>
      <c r="AJ731">
        <f>IF(ISNA(AI731),NA(),AI731+ROW()/10000000)</f>
        <v/>
      </c>
      <c r="AK731" s="605">
        <f>IF(AND(ISNUMBER($N731),$N731&gt;0,ISNUMBER($Y731)),$Y731/$N731,"")</f>
        <v/>
      </c>
    </row>
    <row r="732" ht="15" customHeight="1" s="545">
      <c r="A732" s="388" t="n">
        <v>8</v>
      </c>
      <c r="B732" s="605" t="n">
        <v>728</v>
      </c>
      <c r="AI732" s="605">
        <f>IF(AND($E732=Subj_OccCode,Subj_BldgSF&gt;0,ABS($L732-Subj_BldgSF)&lt;=Subj_BldgSF*Subj_SizeTol),ABS($L732-Subj_BldgSF),NA())</f>
        <v/>
      </c>
      <c r="AJ732">
        <f>IF(ISNA(AI732),NA(),AI732+ROW()/10000000)</f>
        <v/>
      </c>
      <c r="AK732" s="605">
        <f>IF(AND(ISNUMBER($N732),$N732&gt;0,ISNUMBER($Y732)),$Y732/$N732,"")</f>
        <v/>
      </c>
    </row>
    <row r="733" ht="15" customHeight="1" s="545">
      <c r="A733" s="388" t="n">
        <v>8</v>
      </c>
      <c r="B733" s="605" t="n">
        <v>729</v>
      </c>
      <c r="AI733" s="605">
        <f>IF(AND($E733=Subj_OccCode,Subj_BldgSF&gt;0,ABS($L733-Subj_BldgSF)&lt;=Subj_BldgSF*Subj_SizeTol),ABS($L733-Subj_BldgSF),NA())</f>
        <v/>
      </c>
      <c r="AJ733">
        <f>IF(ISNA(AI733),NA(),AI733+ROW()/10000000)</f>
        <v/>
      </c>
      <c r="AK733" s="605">
        <f>IF(AND(ISNUMBER($N733),$N733&gt;0,ISNUMBER($Y733)),$Y733/$N733,"")</f>
        <v/>
      </c>
    </row>
    <row r="734" ht="15" customHeight="1" s="545">
      <c r="A734" s="388" t="n">
        <v>8</v>
      </c>
      <c r="B734" s="605" t="n">
        <v>730</v>
      </c>
      <c r="AI734" s="605">
        <f>IF(AND($E734=Subj_OccCode,Subj_BldgSF&gt;0,ABS($L734-Subj_BldgSF)&lt;=Subj_BldgSF*Subj_SizeTol),ABS($L734-Subj_BldgSF),NA())</f>
        <v/>
      </c>
      <c r="AJ734">
        <f>IF(ISNA(AI734),NA(),AI734+ROW()/10000000)</f>
        <v/>
      </c>
      <c r="AK734" s="605">
        <f>IF(AND(ISNUMBER($N734),$N734&gt;0,ISNUMBER($Y734)),$Y734/$N734,"")</f>
        <v/>
      </c>
    </row>
    <row r="735" ht="15" customHeight="1" s="545">
      <c r="A735" s="388" t="n">
        <v>8</v>
      </c>
      <c r="B735" s="605" t="n">
        <v>731</v>
      </c>
      <c r="AI735" s="605">
        <f>IF(AND($E735=Subj_OccCode,Subj_BldgSF&gt;0,ABS($L735-Subj_BldgSF)&lt;=Subj_BldgSF*Subj_SizeTol),ABS($L735-Subj_BldgSF),NA())</f>
        <v/>
      </c>
      <c r="AJ735">
        <f>IF(ISNA(AI735),NA(),AI735+ROW()/10000000)</f>
        <v/>
      </c>
      <c r="AK735" s="605">
        <f>IF(AND(ISNUMBER($N735),$N735&gt;0,ISNUMBER($Y735)),$Y735/$N735,"")</f>
        <v/>
      </c>
    </row>
    <row r="736" ht="15" customHeight="1" s="545">
      <c r="A736" s="388" t="n">
        <v>8</v>
      </c>
      <c r="B736" s="605" t="n">
        <v>732</v>
      </c>
      <c r="AI736" s="605">
        <f>IF(AND($E736=Subj_OccCode,Subj_BldgSF&gt;0,ABS($L736-Subj_BldgSF)&lt;=Subj_BldgSF*Subj_SizeTol),ABS($L736-Subj_BldgSF),NA())</f>
        <v/>
      </c>
      <c r="AJ736">
        <f>IF(ISNA(AI736),NA(),AI736+ROW()/10000000)</f>
        <v/>
      </c>
      <c r="AK736" s="605">
        <f>IF(AND(ISNUMBER($N736),$N736&gt;0,ISNUMBER($Y736)),$Y736/$N736,"")</f>
        <v/>
      </c>
    </row>
    <row r="737" ht="15" customHeight="1" s="545">
      <c r="A737" s="388" t="n">
        <v>8</v>
      </c>
      <c r="B737" s="605" t="n">
        <v>733</v>
      </c>
      <c r="AI737" s="605">
        <f>IF(AND($E737=Subj_OccCode,Subj_BldgSF&gt;0,ABS($L737-Subj_BldgSF)&lt;=Subj_BldgSF*Subj_SizeTol),ABS($L737-Subj_BldgSF),NA())</f>
        <v/>
      </c>
      <c r="AJ737">
        <f>IF(ISNA(AI737),NA(),AI737+ROW()/10000000)</f>
        <v/>
      </c>
      <c r="AK737" s="605">
        <f>IF(AND(ISNUMBER($N737),$N737&gt;0,ISNUMBER($Y737)),$Y737/$N737,"")</f>
        <v/>
      </c>
    </row>
    <row r="738" ht="15" customHeight="1" s="545">
      <c r="A738" s="388" t="n">
        <v>8</v>
      </c>
      <c r="B738" s="605" t="n">
        <v>734</v>
      </c>
      <c r="AI738" s="605">
        <f>IF(AND($E738=Subj_OccCode,Subj_BldgSF&gt;0,ABS($L738-Subj_BldgSF)&lt;=Subj_BldgSF*Subj_SizeTol),ABS($L738-Subj_BldgSF),NA())</f>
        <v/>
      </c>
      <c r="AJ738">
        <f>IF(ISNA(AI738),NA(),AI738+ROW()/10000000)</f>
        <v/>
      </c>
      <c r="AK738" s="605">
        <f>IF(AND(ISNUMBER($N738),$N738&gt;0,ISNUMBER($Y738)),$Y738/$N738,"")</f>
        <v/>
      </c>
    </row>
    <row r="739" ht="15" customHeight="1" s="545">
      <c r="A739" s="388" t="n">
        <v>8</v>
      </c>
      <c r="B739" s="605" t="n">
        <v>735</v>
      </c>
      <c r="AI739" s="605">
        <f>IF(AND($E739=Subj_OccCode,Subj_BldgSF&gt;0,ABS($L739-Subj_BldgSF)&lt;=Subj_BldgSF*Subj_SizeTol),ABS($L739-Subj_BldgSF),NA())</f>
        <v/>
      </c>
      <c r="AJ739">
        <f>IF(ISNA(AI739),NA(),AI739+ROW()/10000000)</f>
        <v/>
      </c>
      <c r="AK739" s="605">
        <f>IF(AND(ISNUMBER($N739),$N739&gt;0,ISNUMBER($Y739)),$Y739/$N739,"")</f>
        <v/>
      </c>
    </row>
    <row r="740" ht="15" customHeight="1" s="545">
      <c r="A740" s="388" t="n">
        <v>8</v>
      </c>
      <c r="B740" s="605" t="n">
        <v>736</v>
      </c>
      <c r="AI740" s="605">
        <f>IF(AND($E740=Subj_OccCode,Subj_BldgSF&gt;0,ABS($L740-Subj_BldgSF)&lt;=Subj_BldgSF*Subj_SizeTol),ABS($L740-Subj_BldgSF),NA())</f>
        <v/>
      </c>
      <c r="AJ740">
        <f>IF(ISNA(AI740),NA(),AI740+ROW()/10000000)</f>
        <v/>
      </c>
      <c r="AK740" s="605">
        <f>IF(AND(ISNUMBER($N740),$N740&gt;0,ISNUMBER($Y740)),$Y740/$N740,"")</f>
        <v/>
      </c>
    </row>
    <row r="741" ht="15" customHeight="1" s="545">
      <c r="A741" s="388" t="n">
        <v>8</v>
      </c>
      <c r="B741" s="605" t="n">
        <v>737</v>
      </c>
      <c r="AI741" s="605">
        <f>IF(AND($E741=Subj_OccCode,Subj_BldgSF&gt;0,ABS($L741-Subj_BldgSF)&lt;=Subj_BldgSF*Subj_SizeTol),ABS($L741-Subj_BldgSF),NA())</f>
        <v/>
      </c>
      <c r="AJ741">
        <f>IF(ISNA(AI741),NA(),AI741+ROW()/10000000)</f>
        <v/>
      </c>
      <c r="AK741" s="605">
        <f>IF(AND(ISNUMBER($N741),$N741&gt;0,ISNUMBER($Y741)),$Y741/$N741,"")</f>
        <v/>
      </c>
    </row>
    <row r="742" ht="15" customHeight="1" s="545">
      <c r="A742" s="388" t="n">
        <v>8</v>
      </c>
      <c r="B742" s="605" t="n">
        <v>738</v>
      </c>
      <c r="AI742" s="605">
        <f>IF(AND($E742=Subj_OccCode,Subj_BldgSF&gt;0,ABS($L742-Subj_BldgSF)&lt;=Subj_BldgSF*Subj_SizeTol),ABS($L742-Subj_BldgSF),NA())</f>
        <v/>
      </c>
      <c r="AJ742">
        <f>IF(ISNA(AI742),NA(),AI742+ROW()/10000000)</f>
        <v/>
      </c>
      <c r="AK742" s="605">
        <f>IF(AND(ISNUMBER($N742),$N742&gt;0,ISNUMBER($Y742)),$Y742/$N742,"")</f>
        <v/>
      </c>
    </row>
    <row r="743" ht="15" customHeight="1" s="545">
      <c r="A743" s="388" t="n">
        <v>8</v>
      </c>
      <c r="B743" s="605" t="n">
        <v>739</v>
      </c>
      <c r="AI743" s="605">
        <f>IF(AND($E743=Subj_OccCode,Subj_BldgSF&gt;0,ABS($L743-Subj_BldgSF)&lt;=Subj_BldgSF*Subj_SizeTol),ABS($L743-Subj_BldgSF),NA())</f>
        <v/>
      </c>
      <c r="AJ743">
        <f>IF(ISNA(AI743),NA(),AI743+ROW()/10000000)</f>
        <v/>
      </c>
      <c r="AK743" s="605">
        <f>IF(AND(ISNUMBER($N743),$N743&gt;0,ISNUMBER($Y743)),$Y743/$N743,"")</f>
        <v/>
      </c>
    </row>
    <row r="744" ht="15" customHeight="1" s="545">
      <c r="A744" s="388" t="n">
        <v>8</v>
      </c>
      <c r="B744" s="605" t="n">
        <v>740</v>
      </c>
      <c r="AI744" s="605">
        <f>IF(AND($E744=Subj_OccCode,Subj_BldgSF&gt;0,ABS($L744-Subj_BldgSF)&lt;=Subj_BldgSF*Subj_SizeTol),ABS($L744-Subj_BldgSF),NA())</f>
        <v/>
      </c>
      <c r="AJ744">
        <f>IF(ISNA(AI744),NA(),AI744+ROW()/10000000)</f>
        <v/>
      </c>
      <c r="AK744" s="605">
        <f>IF(AND(ISNUMBER($N744),$N744&gt;0,ISNUMBER($Y744)),$Y744/$N744,"")</f>
        <v/>
      </c>
    </row>
    <row r="745" ht="15" customHeight="1" s="545">
      <c r="A745" s="388" t="n">
        <v>8</v>
      </c>
      <c r="B745" s="605" t="n">
        <v>741</v>
      </c>
      <c r="AI745" s="605">
        <f>IF(AND($E745=Subj_OccCode,Subj_BldgSF&gt;0,ABS($L745-Subj_BldgSF)&lt;=Subj_BldgSF*Subj_SizeTol),ABS($L745-Subj_BldgSF),NA())</f>
        <v/>
      </c>
      <c r="AJ745">
        <f>IF(ISNA(AI745),NA(),AI745+ROW()/10000000)</f>
        <v/>
      </c>
      <c r="AK745" s="605">
        <f>IF(AND(ISNUMBER($N745),$N745&gt;0,ISNUMBER($Y745)),$Y745/$N745,"")</f>
        <v/>
      </c>
    </row>
    <row r="746" ht="15" customHeight="1" s="545">
      <c r="A746" s="388" t="n">
        <v>8</v>
      </c>
      <c r="B746" s="605" t="n">
        <v>742</v>
      </c>
      <c r="AI746" s="605">
        <f>IF(AND($E746=Subj_OccCode,Subj_BldgSF&gt;0,ABS($L746-Subj_BldgSF)&lt;=Subj_BldgSF*Subj_SizeTol),ABS($L746-Subj_BldgSF),NA())</f>
        <v/>
      </c>
      <c r="AJ746">
        <f>IF(ISNA(AI746),NA(),AI746+ROW()/10000000)</f>
        <v/>
      </c>
      <c r="AK746" s="605">
        <f>IF(AND(ISNUMBER($N746),$N746&gt;0,ISNUMBER($Y746)),$Y746/$N746,"")</f>
        <v/>
      </c>
    </row>
    <row r="747" ht="15" customHeight="1" s="545">
      <c r="A747" s="388" t="n">
        <v>8</v>
      </c>
      <c r="B747" s="605" t="n">
        <v>743</v>
      </c>
      <c r="AI747" s="605">
        <f>IF(AND($E747=Subj_OccCode,Subj_BldgSF&gt;0,ABS($L747-Subj_BldgSF)&lt;=Subj_BldgSF*Subj_SizeTol),ABS($L747-Subj_BldgSF),NA())</f>
        <v/>
      </c>
      <c r="AJ747">
        <f>IF(ISNA(AI747),NA(),AI747+ROW()/10000000)</f>
        <v/>
      </c>
      <c r="AK747" s="605">
        <f>IF(AND(ISNUMBER($N747),$N747&gt;0,ISNUMBER($Y747)),$Y747/$N747,"")</f>
        <v/>
      </c>
    </row>
    <row r="748" ht="15" customHeight="1" s="545">
      <c r="A748" s="388" t="n">
        <v>8</v>
      </c>
      <c r="B748" s="605" t="n">
        <v>744</v>
      </c>
      <c r="AI748" s="605">
        <f>IF(AND($E748=Subj_OccCode,Subj_BldgSF&gt;0,ABS($L748-Subj_BldgSF)&lt;=Subj_BldgSF*Subj_SizeTol),ABS($L748-Subj_BldgSF),NA())</f>
        <v/>
      </c>
      <c r="AJ748">
        <f>IF(ISNA(AI748),NA(),AI748+ROW()/10000000)</f>
        <v/>
      </c>
      <c r="AK748" s="605">
        <f>IF(AND(ISNUMBER($N748),$N748&gt;0,ISNUMBER($Y748)),$Y748/$N748,"")</f>
        <v/>
      </c>
    </row>
    <row r="749" ht="15" customHeight="1" s="545">
      <c r="A749" s="388" t="n">
        <v>8</v>
      </c>
      <c r="B749" s="605" t="n">
        <v>745</v>
      </c>
      <c r="AI749" s="605">
        <f>IF(AND($E749=Subj_OccCode,Subj_BldgSF&gt;0,ABS($L749-Subj_BldgSF)&lt;=Subj_BldgSF*Subj_SizeTol),ABS($L749-Subj_BldgSF),NA())</f>
        <v/>
      </c>
      <c r="AJ749">
        <f>IF(ISNA(AI749),NA(),AI749+ROW()/10000000)</f>
        <v/>
      </c>
      <c r="AK749" s="605">
        <f>IF(AND(ISNUMBER($N749),$N749&gt;0,ISNUMBER($Y749)),$Y749/$N749,"")</f>
        <v/>
      </c>
    </row>
    <row r="750" ht="15" customHeight="1" s="545">
      <c r="A750" s="388" t="n">
        <v>8</v>
      </c>
      <c r="B750" s="605" t="n">
        <v>746</v>
      </c>
      <c r="AI750" s="605">
        <f>IF(AND($E750=Subj_OccCode,Subj_BldgSF&gt;0,ABS($L750-Subj_BldgSF)&lt;=Subj_BldgSF*Subj_SizeTol),ABS($L750-Subj_BldgSF),NA())</f>
        <v/>
      </c>
      <c r="AJ750">
        <f>IF(ISNA(AI750),NA(),AI750+ROW()/10000000)</f>
        <v/>
      </c>
      <c r="AK750" s="605">
        <f>IF(AND(ISNUMBER($N750),$N750&gt;0,ISNUMBER($Y750)),$Y750/$N750,"")</f>
        <v/>
      </c>
    </row>
    <row r="751" ht="15" customHeight="1" s="545">
      <c r="A751" s="388" t="n">
        <v>8</v>
      </c>
      <c r="B751" s="605" t="n">
        <v>747</v>
      </c>
      <c r="AI751" s="605">
        <f>IF(AND($E751=Subj_OccCode,Subj_BldgSF&gt;0,ABS($L751-Subj_BldgSF)&lt;=Subj_BldgSF*Subj_SizeTol),ABS($L751-Subj_BldgSF),NA())</f>
        <v/>
      </c>
      <c r="AJ751">
        <f>IF(ISNA(AI751),NA(),AI751+ROW()/10000000)</f>
        <v/>
      </c>
      <c r="AK751" s="605">
        <f>IF(AND(ISNUMBER($N751),$N751&gt;0,ISNUMBER($Y751)),$Y751/$N751,"")</f>
        <v/>
      </c>
    </row>
    <row r="752" ht="15" customHeight="1" s="545">
      <c r="A752" s="388" t="n">
        <v>8</v>
      </c>
      <c r="B752" s="605" t="n">
        <v>748</v>
      </c>
      <c r="AI752" s="605">
        <f>IF(AND($E752=Subj_OccCode,Subj_BldgSF&gt;0,ABS($L752-Subj_BldgSF)&lt;=Subj_BldgSF*Subj_SizeTol),ABS($L752-Subj_BldgSF),NA())</f>
        <v/>
      </c>
      <c r="AJ752">
        <f>IF(ISNA(AI752),NA(),AI752+ROW()/10000000)</f>
        <v/>
      </c>
      <c r="AK752" s="605">
        <f>IF(AND(ISNUMBER($N752),$N752&gt;0,ISNUMBER($Y752)),$Y752/$N752,"")</f>
        <v/>
      </c>
    </row>
    <row r="753" ht="15" customHeight="1" s="545">
      <c r="A753" s="388" t="n">
        <v>8</v>
      </c>
      <c r="B753" s="605" t="n">
        <v>749</v>
      </c>
      <c r="AI753" s="605">
        <f>IF(AND($E753=Subj_OccCode,Subj_BldgSF&gt;0,ABS($L753-Subj_BldgSF)&lt;=Subj_BldgSF*Subj_SizeTol),ABS($L753-Subj_BldgSF),NA())</f>
        <v/>
      </c>
      <c r="AJ753">
        <f>IF(ISNA(AI753),NA(),AI753+ROW()/10000000)</f>
        <v/>
      </c>
      <c r="AK753" s="605">
        <f>IF(AND(ISNUMBER($N753),$N753&gt;0,ISNUMBER($Y753)),$Y753/$N753,"")</f>
        <v/>
      </c>
    </row>
    <row r="754" ht="15" customHeight="1" s="545">
      <c r="A754" s="388" t="n">
        <v>8</v>
      </c>
      <c r="B754" s="605" t="n">
        <v>750</v>
      </c>
      <c r="AI754" s="605">
        <f>IF(AND($E754=Subj_OccCode,Subj_BldgSF&gt;0,ABS($L754-Subj_BldgSF)&lt;=Subj_BldgSF*Subj_SizeTol),ABS($L754-Subj_BldgSF),NA())</f>
        <v/>
      </c>
      <c r="AJ754">
        <f>IF(ISNA(AI754),NA(),AI754+ROW()/10000000)</f>
        <v/>
      </c>
      <c r="AK754" s="605">
        <f>IF(AND(ISNUMBER($N754),$N754&gt;0,ISNUMBER($Y754)),$Y754/$N754,"")</f>
        <v/>
      </c>
    </row>
    <row r="755" ht="15" customHeight="1" s="545">
      <c r="A755" s="388" t="n">
        <v>8</v>
      </c>
      <c r="B755" s="605" t="n">
        <v>751</v>
      </c>
      <c r="AI755" s="605">
        <f>IF(AND($E755=Subj_OccCode,Subj_BldgSF&gt;0,ABS($L755-Subj_BldgSF)&lt;=Subj_BldgSF*Subj_SizeTol),ABS($L755-Subj_BldgSF),NA())</f>
        <v/>
      </c>
      <c r="AJ755">
        <f>IF(ISNA(AI755),NA(),AI755+ROW()/10000000)</f>
        <v/>
      </c>
      <c r="AK755" s="605">
        <f>IF(AND(ISNUMBER($N755),$N755&gt;0,ISNUMBER($Y755)),$Y755/$N755,"")</f>
        <v/>
      </c>
    </row>
    <row r="756" ht="15" customHeight="1" s="545">
      <c r="A756" s="388" t="n">
        <v>8</v>
      </c>
      <c r="B756" s="605" t="n">
        <v>752</v>
      </c>
      <c r="AI756" s="605">
        <f>IF(AND($E756=Subj_OccCode,Subj_BldgSF&gt;0,ABS($L756-Subj_BldgSF)&lt;=Subj_BldgSF*Subj_SizeTol),ABS($L756-Subj_BldgSF),NA())</f>
        <v/>
      </c>
      <c r="AJ756">
        <f>IF(ISNA(AI756),NA(),AI756+ROW()/10000000)</f>
        <v/>
      </c>
      <c r="AK756" s="605">
        <f>IF(AND(ISNUMBER($N756),$N756&gt;0,ISNUMBER($Y756)),$Y756/$N756,"")</f>
        <v/>
      </c>
    </row>
    <row r="757" ht="15" customHeight="1" s="545">
      <c r="A757" s="388" t="n">
        <v>8</v>
      </c>
      <c r="B757" s="605" t="n">
        <v>753</v>
      </c>
      <c r="AI757" s="605">
        <f>IF(AND($E757=Subj_OccCode,Subj_BldgSF&gt;0,ABS($L757-Subj_BldgSF)&lt;=Subj_BldgSF*Subj_SizeTol),ABS($L757-Subj_BldgSF),NA())</f>
        <v/>
      </c>
      <c r="AJ757">
        <f>IF(ISNA(AI757),NA(),AI757+ROW()/10000000)</f>
        <v/>
      </c>
      <c r="AK757" s="605">
        <f>IF(AND(ISNUMBER($N757),$N757&gt;0,ISNUMBER($Y757)),$Y757/$N757,"")</f>
        <v/>
      </c>
    </row>
    <row r="758" ht="15" customHeight="1" s="545">
      <c r="A758" s="388" t="n">
        <v>8</v>
      </c>
      <c r="B758" s="605" t="n">
        <v>754</v>
      </c>
      <c r="AI758" s="605">
        <f>IF(AND($E758=Subj_OccCode,Subj_BldgSF&gt;0,ABS($L758-Subj_BldgSF)&lt;=Subj_BldgSF*Subj_SizeTol),ABS($L758-Subj_BldgSF),NA())</f>
        <v/>
      </c>
      <c r="AJ758">
        <f>IF(ISNA(AI758),NA(),AI758+ROW()/10000000)</f>
        <v/>
      </c>
      <c r="AK758" s="605">
        <f>IF(AND(ISNUMBER($N758),$N758&gt;0,ISNUMBER($Y758)),$Y758/$N758,"")</f>
        <v/>
      </c>
    </row>
    <row r="759" ht="15" customHeight="1" s="545">
      <c r="A759" s="388" t="n">
        <v>8</v>
      </c>
      <c r="B759" s="605" t="n">
        <v>755</v>
      </c>
      <c r="AI759" s="605">
        <f>IF(AND($E759=Subj_OccCode,Subj_BldgSF&gt;0,ABS($L759-Subj_BldgSF)&lt;=Subj_BldgSF*Subj_SizeTol),ABS($L759-Subj_BldgSF),NA())</f>
        <v/>
      </c>
      <c r="AJ759">
        <f>IF(ISNA(AI759),NA(),AI759+ROW()/10000000)</f>
        <v/>
      </c>
      <c r="AK759" s="605">
        <f>IF(AND(ISNUMBER($N759),$N759&gt;0,ISNUMBER($Y759)),$Y759/$N759,"")</f>
        <v/>
      </c>
    </row>
    <row r="760" ht="15" customHeight="1" s="545">
      <c r="A760" s="388" t="n">
        <v>8</v>
      </c>
      <c r="B760" s="605" t="n">
        <v>756</v>
      </c>
      <c r="AI760" s="605">
        <f>IF(AND($E760=Subj_OccCode,Subj_BldgSF&gt;0,ABS($L760-Subj_BldgSF)&lt;=Subj_BldgSF*Subj_SizeTol),ABS($L760-Subj_BldgSF),NA())</f>
        <v/>
      </c>
      <c r="AJ760">
        <f>IF(ISNA(AI760),NA(),AI760+ROW()/10000000)</f>
        <v/>
      </c>
      <c r="AK760" s="605">
        <f>IF(AND(ISNUMBER($N760),$N760&gt;0,ISNUMBER($Y760)),$Y760/$N760,"")</f>
        <v/>
      </c>
    </row>
    <row r="761" ht="15" customHeight="1" s="545">
      <c r="A761" s="388" t="n">
        <v>8</v>
      </c>
      <c r="B761" s="605" t="n">
        <v>757</v>
      </c>
      <c r="AI761" s="605">
        <f>IF(AND($E761=Subj_OccCode,Subj_BldgSF&gt;0,ABS($L761-Subj_BldgSF)&lt;=Subj_BldgSF*Subj_SizeTol),ABS($L761-Subj_BldgSF),NA())</f>
        <v/>
      </c>
      <c r="AJ761">
        <f>IF(ISNA(AI761),NA(),AI761+ROW()/10000000)</f>
        <v/>
      </c>
      <c r="AK761" s="605">
        <f>IF(AND(ISNUMBER($N761),$N761&gt;0,ISNUMBER($Y761)),$Y761/$N761,"")</f>
        <v/>
      </c>
    </row>
    <row r="762" ht="15" customHeight="1" s="545">
      <c r="A762" s="388" t="n">
        <v>8</v>
      </c>
      <c r="B762" s="605" t="n">
        <v>758</v>
      </c>
      <c r="AI762" s="605">
        <f>IF(AND($E762=Subj_OccCode,Subj_BldgSF&gt;0,ABS($L762-Subj_BldgSF)&lt;=Subj_BldgSF*Subj_SizeTol),ABS($L762-Subj_BldgSF),NA())</f>
        <v/>
      </c>
      <c r="AJ762">
        <f>IF(ISNA(AI762),NA(),AI762+ROW()/10000000)</f>
        <v/>
      </c>
      <c r="AK762" s="605">
        <f>IF(AND(ISNUMBER($N762),$N762&gt;0,ISNUMBER($Y762)),$Y762/$N762,"")</f>
        <v/>
      </c>
    </row>
    <row r="763" ht="15" customHeight="1" s="545">
      <c r="A763" s="388" t="n">
        <v>8</v>
      </c>
      <c r="B763" s="605" t="n">
        <v>759</v>
      </c>
      <c r="AI763" s="605">
        <f>IF(AND($E763=Subj_OccCode,Subj_BldgSF&gt;0,ABS($L763-Subj_BldgSF)&lt;=Subj_BldgSF*Subj_SizeTol),ABS($L763-Subj_BldgSF),NA())</f>
        <v/>
      </c>
      <c r="AJ763">
        <f>IF(ISNA(AI763),NA(),AI763+ROW()/10000000)</f>
        <v/>
      </c>
      <c r="AK763" s="605">
        <f>IF(AND(ISNUMBER($N763),$N763&gt;0,ISNUMBER($Y763)),$Y763/$N763,"")</f>
        <v/>
      </c>
    </row>
    <row r="764" ht="15" customHeight="1" s="545">
      <c r="A764" s="388" t="n">
        <v>8</v>
      </c>
      <c r="B764" s="605" t="n">
        <v>760</v>
      </c>
      <c r="AI764" s="605">
        <f>IF(AND($E764=Subj_OccCode,Subj_BldgSF&gt;0,ABS($L764-Subj_BldgSF)&lt;=Subj_BldgSF*Subj_SizeTol),ABS($L764-Subj_BldgSF),NA())</f>
        <v/>
      </c>
      <c r="AJ764">
        <f>IF(ISNA(AI764),NA(),AI764+ROW()/10000000)</f>
        <v/>
      </c>
      <c r="AK764" s="605">
        <f>IF(AND(ISNUMBER($N764),$N764&gt;0,ISNUMBER($Y764)),$Y764/$N764,"")</f>
        <v/>
      </c>
    </row>
    <row r="765" ht="15" customHeight="1" s="545">
      <c r="A765" s="388" t="n">
        <v>8</v>
      </c>
      <c r="B765" s="605" t="n">
        <v>761</v>
      </c>
      <c r="AI765" s="605">
        <f>IF(AND($E765=Subj_OccCode,Subj_BldgSF&gt;0,ABS($L765-Subj_BldgSF)&lt;=Subj_BldgSF*Subj_SizeTol),ABS($L765-Subj_BldgSF),NA())</f>
        <v/>
      </c>
      <c r="AJ765">
        <f>IF(ISNA(AI765),NA(),AI765+ROW()/10000000)</f>
        <v/>
      </c>
      <c r="AK765" s="605">
        <f>IF(AND(ISNUMBER($N765),$N765&gt;0,ISNUMBER($Y765)),$Y765/$N765,"")</f>
        <v/>
      </c>
    </row>
    <row r="766" ht="15" customHeight="1" s="545">
      <c r="A766" s="388" t="n">
        <v>8</v>
      </c>
      <c r="B766" s="605" t="n">
        <v>762</v>
      </c>
      <c r="AI766" s="605">
        <f>IF(AND($E766=Subj_OccCode,Subj_BldgSF&gt;0,ABS($L766-Subj_BldgSF)&lt;=Subj_BldgSF*Subj_SizeTol),ABS($L766-Subj_BldgSF),NA())</f>
        <v/>
      </c>
      <c r="AJ766">
        <f>IF(ISNA(AI766),NA(),AI766+ROW()/10000000)</f>
        <v/>
      </c>
      <c r="AK766" s="605">
        <f>IF(AND(ISNUMBER($N766),$N766&gt;0,ISNUMBER($Y766)),$Y766/$N766,"")</f>
        <v/>
      </c>
    </row>
    <row r="767" ht="15" customHeight="1" s="545">
      <c r="A767" s="388" t="n">
        <v>8</v>
      </c>
      <c r="B767" s="605" t="n">
        <v>763</v>
      </c>
      <c r="AI767" s="605">
        <f>IF(AND($E767=Subj_OccCode,Subj_BldgSF&gt;0,ABS($L767-Subj_BldgSF)&lt;=Subj_BldgSF*Subj_SizeTol),ABS($L767-Subj_BldgSF),NA())</f>
        <v/>
      </c>
      <c r="AJ767">
        <f>IF(ISNA(AI767),NA(),AI767+ROW()/10000000)</f>
        <v/>
      </c>
      <c r="AK767" s="605">
        <f>IF(AND(ISNUMBER($N767),$N767&gt;0,ISNUMBER($Y767)),$Y767/$N767,"")</f>
        <v/>
      </c>
    </row>
    <row r="768" ht="15" customHeight="1" s="545">
      <c r="A768" s="388" t="n">
        <v>8</v>
      </c>
      <c r="B768" s="605" t="n">
        <v>764</v>
      </c>
      <c r="AI768" s="605">
        <f>IF(AND($E768=Subj_OccCode,Subj_BldgSF&gt;0,ABS($L768-Subj_BldgSF)&lt;=Subj_BldgSF*Subj_SizeTol),ABS($L768-Subj_BldgSF),NA())</f>
        <v/>
      </c>
      <c r="AJ768">
        <f>IF(ISNA(AI768),NA(),AI768+ROW()/10000000)</f>
        <v/>
      </c>
      <c r="AK768" s="605">
        <f>IF(AND(ISNUMBER($N768),$N768&gt;0,ISNUMBER($Y768)),$Y768/$N768,"")</f>
        <v/>
      </c>
    </row>
    <row r="769" ht="15" customHeight="1" s="545">
      <c r="A769" s="388" t="n">
        <v>8</v>
      </c>
      <c r="B769" s="605" t="n">
        <v>765</v>
      </c>
      <c r="AI769" s="605">
        <f>IF(AND($E769=Subj_OccCode,Subj_BldgSF&gt;0,ABS($L769-Subj_BldgSF)&lt;=Subj_BldgSF*Subj_SizeTol),ABS($L769-Subj_BldgSF),NA())</f>
        <v/>
      </c>
      <c r="AJ769">
        <f>IF(ISNA(AI769),NA(),AI769+ROW()/10000000)</f>
        <v/>
      </c>
      <c r="AK769" s="605">
        <f>IF(AND(ISNUMBER($N769),$N769&gt;0,ISNUMBER($Y769)),$Y769/$N769,"")</f>
        <v/>
      </c>
    </row>
    <row r="770" ht="15" customHeight="1" s="545">
      <c r="A770" s="388" t="n">
        <v>8</v>
      </c>
      <c r="B770" s="605" t="n">
        <v>766</v>
      </c>
      <c r="AI770" s="605">
        <f>IF(AND($E770=Subj_OccCode,Subj_BldgSF&gt;0,ABS($L770-Subj_BldgSF)&lt;=Subj_BldgSF*Subj_SizeTol),ABS($L770-Subj_BldgSF),NA())</f>
        <v/>
      </c>
      <c r="AJ770">
        <f>IF(ISNA(AI770),NA(),AI770+ROW()/10000000)</f>
        <v/>
      </c>
      <c r="AK770" s="605">
        <f>IF(AND(ISNUMBER($N770),$N770&gt;0,ISNUMBER($Y770)),$Y770/$N770,"")</f>
        <v/>
      </c>
    </row>
    <row r="771" ht="15" customHeight="1" s="545">
      <c r="A771" s="388" t="n">
        <v>8</v>
      </c>
      <c r="B771" s="605" t="n">
        <v>767</v>
      </c>
      <c r="AI771" s="605">
        <f>IF(AND($E771=Subj_OccCode,Subj_BldgSF&gt;0,ABS($L771-Subj_BldgSF)&lt;=Subj_BldgSF*Subj_SizeTol),ABS($L771-Subj_BldgSF),NA())</f>
        <v/>
      </c>
      <c r="AJ771">
        <f>IF(ISNA(AI771),NA(),AI771+ROW()/10000000)</f>
        <v/>
      </c>
      <c r="AK771" s="605">
        <f>IF(AND(ISNUMBER($N771),$N771&gt;0,ISNUMBER($Y771)),$Y771/$N771,"")</f>
        <v/>
      </c>
    </row>
    <row r="772" ht="15" customHeight="1" s="545">
      <c r="A772" s="388" t="n">
        <v>8</v>
      </c>
      <c r="B772" s="605" t="n">
        <v>768</v>
      </c>
      <c r="AI772" s="605">
        <f>IF(AND($E772=Subj_OccCode,Subj_BldgSF&gt;0,ABS($L772-Subj_BldgSF)&lt;=Subj_BldgSF*Subj_SizeTol),ABS($L772-Subj_BldgSF),NA())</f>
        <v/>
      </c>
      <c r="AJ772">
        <f>IF(ISNA(AI772),NA(),AI772+ROW()/10000000)</f>
        <v/>
      </c>
      <c r="AK772" s="605">
        <f>IF(AND(ISNUMBER($N772),$N772&gt;0,ISNUMBER($Y772)),$Y772/$N772,"")</f>
        <v/>
      </c>
    </row>
    <row r="773" ht="15" customHeight="1" s="545">
      <c r="A773" s="388" t="n">
        <v>8</v>
      </c>
      <c r="B773" s="605" t="n">
        <v>769</v>
      </c>
      <c r="AI773" s="605">
        <f>IF(AND($E773=Subj_OccCode,Subj_BldgSF&gt;0,ABS($L773-Subj_BldgSF)&lt;=Subj_BldgSF*Subj_SizeTol),ABS($L773-Subj_BldgSF),NA())</f>
        <v/>
      </c>
      <c r="AJ773">
        <f>IF(ISNA(AI773),NA(),AI773+ROW()/10000000)</f>
        <v/>
      </c>
      <c r="AK773" s="605">
        <f>IF(AND(ISNUMBER($N773),$N773&gt;0,ISNUMBER($Y773)),$Y773/$N773,"")</f>
        <v/>
      </c>
    </row>
    <row r="774" ht="15" customHeight="1" s="545">
      <c r="A774" s="388" t="n">
        <v>8</v>
      </c>
      <c r="B774" s="605" t="n">
        <v>770</v>
      </c>
      <c r="AI774" s="605">
        <f>IF(AND($E774=Subj_OccCode,Subj_BldgSF&gt;0,ABS($L774-Subj_BldgSF)&lt;=Subj_BldgSF*Subj_SizeTol),ABS($L774-Subj_BldgSF),NA())</f>
        <v/>
      </c>
      <c r="AJ774">
        <f>IF(ISNA(AI774),NA(),AI774+ROW()/10000000)</f>
        <v/>
      </c>
      <c r="AK774" s="605">
        <f>IF(AND(ISNUMBER($N774),$N774&gt;0,ISNUMBER($Y774)),$Y774/$N774,"")</f>
        <v/>
      </c>
    </row>
    <row r="775" ht="15" customHeight="1" s="545">
      <c r="A775" s="388" t="n">
        <v>8</v>
      </c>
      <c r="B775" s="605" t="n">
        <v>771</v>
      </c>
      <c r="AI775" s="605">
        <f>IF(AND($E775=Subj_OccCode,Subj_BldgSF&gt;0,ABS($L775-Subj_BldgSF)&lt;=Subj_BldgSF*Subj_SizeTol),ABS($L775-Subj_BldgSF),NA())</f>
        <v/>
      </c>
      <c r="AJ775">
        <f>IF(ISNA(AI775),NA(),AI775+ROW()/10000000)</f>
        <v/>
      </c>
      <c r="AK775" s="605">
        <f>IF(AND(ISNUMBER($N775),$N775&gt;0,ISNUMBER($Y775)),$Y775/$N775,"")</f>
        <v/>
      </c>
    </row>
    <row r="776" ht="15" customHeight="1" s="545">
      <c r="A776" s="388" t="n">
        <v>8</v>
      </c>
      <c r="B776" s="605" t="n">
        <v>772</v>
      </c>
      <c r="AI776" s="605">
        <f>IF(AND($E776=Subj_OccCode,Subj_BldgSF&gt;0,ABS($L776-Subj_BldgSF)&lt;=Subj_BldgSF*Subj_SizeTol),ABS($L776-Subj_BldgSF),NA())</f>
        <v/>
      </c>
      <c r="AJ776">
        <f>IF(ISNA(AI776),NA(),AI776+ROW()/10000000)</f>
        <v/>
      </c>
      <c r="AK776" s="605">
        <f>IF(AND(ISNUMBER($N776),$N776&gt;0,ISNUMBER($Y776)),$Y776/$N776,"")</f>
        <v/>
      </c>
    </row>
    <row r="777" ht="15" customHeight="1" s="545">
      <c r="A777" s="388" t="n">
        <v>8</v>
      </c>
      <c r="B777" s="605" t="n">
        <v>773</v>
      </c>
      <c r="AI777" s="605">
        <f>IF(AND($E777=Subj_OccCode,Subj_BldgSF&gt;0,ABS($L777-Subj_BldgSF)&lt;=Subj_BldgSF*Subj_SizeTol),ABS($L777-Subj_BldgSF),NA())</f>
        <v/>
      </c>
      <c r="AJ777">
        <f>IF(ISNA(AI777),NA(),AI777+ROW()/10000000)</f>
        <v/>
      </c>
      <c r="AK777" s="605">
        <f>IF(AND(ISNUMBER($N777),$N777&gt;0,ISNUMBER($Y777)),$Y777/$N777,"")</f>
        <v/>
      </c>
    </row>
    <row r="778" ht="15" customHeight="1" s="545">
      <c r="A778" s="388" t="n">
        <v>8</v>
      </c>
      <c r="B778" s="605" t="n">
        <v>774</v>
      </c>
      <c r="AI778" s="605">
        <f>IF(AND($E778=Subj_OccCode,Subj_BldgSF&gt;0,ABS($L778-Subj_BldgSF)&lt;=Subj_BldgSF*Subj_SizeTol),ABS($L778-Subj_BldgSF),NA())</f>
        <v/>
      </c>
      <c r="AJ778">
        <f>IF(ISNA(AI778),NA(),AI778+ROW()/10000000)</f>
        <v/>
      </c>
      <c r="AK778" s="605">
        <f>IF(AND(ISNUMBER($N778),$N778&gt;0,ISNUMBER($Y778)),$Y778/$N778,"")</f>
        <v/>
      </c>
    </row>
    <row r="779" ht="15" customHeight="1" s="545">
      <c r="A779" s="388" t="n">
        <v>8</v>
      </c>
      <c r="B779" s="605" t="n">
        <v>775</v>
      </c>
      <c r="AI779" s="605">
        <f>IF(AND($E779=Subj_OccCode,Subj_BldgSF&gt;0,ABS($L779-Subj_BldgSF)&lt;=Subj_BldgSF*Subj_SizeTol),ABS($L779-Subj_BldgSF),NA())</f>
        <v/>
      </c>
      <c r="AJ779">
        <f>IF(ISNA(AI779),NA(),AI779+ROW()/10000000)</f>
        <v/>
      </c>
      <c r="AK779" s="605">
        <f>IF(AND(ISNUMBER($N779),$N779&gt;0,ISNUMBER($Y779)),$Y779/$N779,"")</f>
        <v/>
      </c>
    </row>
    <row r="780" ht="15" customHeight="1" s="545">
      <c r="A780" s="388" t="n">
        <v>8</v>
      </c>
      <c r="B780" s="605" t="n">
        <v>776</v>
      </c>
      <c r="AI780" s="605">
        <f>IF(AND($E780=Subj_OccCode,Subj_BldgSF&gt;0,ABS($L780-Subj_BldgSF)&lt;=Subj_BldgSF*Subj_SizeTol),ABS($L780-Subj_BldgSF),NA())</f>
        <v/>
      </c>
      <c r="AJ780">
        <f>IF(ISNA(AI780),NA(),AI780+ROW()/10000000)</f>
        <v/>
      </c>
      <c r="AK780" s="605">
        <f>IF(AND(ISNUMBER($N780),$N780&gt;0,ISNUMBER($Y780)),$Y780/$N780,"")</f>
        <v/>
      </c>
    </row>
    <row r="781" ht="15" customHeight="1" s="545">
      <c r="A781" s="388" t="n">
        <v>8</v>
      </c>
      <c r="B781" s="605" t="n">
        <v>777</v>
      </c>
      <c r="AI781" s="605">
        <f>IF(AND($E781=Subj_OccCode,Subj_BldgSF&gt;0,ABS($L781-Subj_BldgSF)&lt;=Subj_BldgSF*Subj_SizeTol),ABS($L781-Subj_BldgSF),NA())</f>
        <v/>
      </c>
      <c r="AJ781">
        <f>IF(ISNA(AI781),NA(),AI781+ROW()/10000000)</f>
        <v/>
      </c>
      <c r="AK781" s="605">
        <f>IF(AND(ISNUMBER($N781),$N781&gt;0,ISNUMBER($Y781)),$Y781/$N781,"")</f>
        <v/>
      </c>
    </row>
    <row r="782" ht="15" customHeight="1" s="545">
      <c r="A782" s="388" t="n">
        <v>8</v>
      </c>
      <c r="B782" s="605" t="n">
        <v>778</v>
      </c>
      <c r="AI782" s="605">
        <f>IF(AND($E782=Subj_OccCode,Subj_BldgSF&gt;0,ABS($L782-Subj_BldgSF)&lt;=Subj_BldgSF*Subj_SizeTol),ABS($L782-Subj_BldgSF),NA())</f>
        <v/>
      </c>
      <c r="AJ782">
        <f>IF(ISNA(AI782),NA(),AI782+ROW()/10000000)</f>
        <v/>
      </c>
      <c r="AK782" s="605">
        <f>IF(AND(ISNUMBER($N782),$N782&gt;0,ISNUMBER($Y782)),$Y782/$N782,"")</f>
        <v/>
      </c>
    </row>
    <row r="783" ht="15" customHeight="1" s="545">
      <c r="A783" s="388" t="n">
        <v>8</v>
      </c>
      <c r="B783" s="605" t="n">
        <v>779</v>
      </c>
      <c r="AI783" s="605">
        <f>IF(AND($E783=Subj_OccCode,Subj_BldgSF&gt;0,ABS($L783-Subj_BldgSF)&lt;=Subj_BldgSF*Subj_SizeTol),ABS($L783-Subj_BldgSF),NA())</f>
        <v/>
      </c>
      <c r="AJ783">
        <f>IF(ISNA(AI783),NA(),AI783+ROW()/10000000)</f>
        <v/>
      </c>
      <c r="AK783" s="605">
        <f>IF(AND(ISNUMBER($N783),$N783&gt;0,ISNUMBER($Y783)),$Y783/$N783,"")</f>
        <v/>
      </c>
    </row>
    <row r="784" ht="15" customHeight="1" s="545">
      <c r="A784" s="388" t="n">
        <v>8</v>
      </c>
      <c r="B784" s="605" t="n">
        <v>780</v>
      </c>
      <c r="AI784" s="605">
        <f>IF(AND($E784=Subj_OccCode,Subj_BldgSF&gt;0,ABS($L784-Subj_BldgSF)&lt;=Subj_BldgSF*Subj_SizeTol),ABS($L784-Subj_BldgSF),NA())</f>
        <v/>
      </c>
      <c r="AJ784">
        <f>IF(ISNA(AI784),NA(),AI784+ROW()/10000000)</f>
        <v/>
      </c>
      <c r="AK784" s="605">
        <f>IF(AND(ISNUMBER($N784),$N784&gt;0,ISNUMBER($Y784)),$Y784/$N784,"")</f>
        <v/>
      </c>
    </row>
    <row r="785" ht="15" customHeight="1" s="545">
      <c r="A785" s="388" t="n">
        <v>8</v>
      </c>
      <c r="B785" s="605" t="n">
        <v>781</v>
      </c>
      <c r="AI785" s="605">
        <f>IF(AND($E785=Subj_OccCode,Subj_BldgSF&gt;0,ABS($L785-Subj_BldgSF)&lt;=Subj_BldgSF*Subj_SizeTol),ABS($L785-Subj_BldgSF),NA())</f>
        <v/>
      </c>
      <c r="AJ785">
        <f>IF(ISNA(AI785),NA(),AI785+ROW()/10000000)</f>
        <v/>
      </c>
      <c r="AK785" s="605">
        <f>IF(AND(ISNUMBER($N785),$N785&gt;0,ISNUMBER($Y785)),$Y785/$N785,"")</f>
        <v/>
      </c>
    </row>
    <row r="786" ht="15" customHeight="1" s="545">
      <c r="A786" s="388" t="n">
        <v>8</v>
      </c>
      <c r="B786" s="605" t="n">
        <v>782</v>
      </c>
      <c r="AI786" s="605">
        <f>IF(AND($E786=Subj_OccCode,Subj_BldgSF&gt;0,ABS($L786-Subj_BldgSF)&lt;=Subj_BldgSF*Subj_SizeTol),ABS($L786-Subj_BldgSF),NA())</f>
        <v/>
      </c>
      <c r="AJ786">
        <f>IF(ISNA(AI786),NA(),AI786+ROW()/10000000)</f>
        <v/>
      </c>
      <c r="AK786" s="605">
        <f>IF(AND(ISNUMBER($N786),$N786&gt;0,ISNUMBER($Y786)),$Y786/$N786,"")</f>
        <v/>
      </c>
    </row>
    <row r="787" ht="15" customHeight="1" s="545">
      <c r="A787" s="388" t="n">
        <v>8</v>
      </c>
      <c r="B787" s="605" t="n">
        <v>783</v>
      </c>
      <c r="AI787" s="605">
        <f>IF(AND($E787=Subj_OccCode,Subj_BldgSF&gt;0,ABS($L787-Subj_BldgSF)&lt;=Subj_BldgSF*Subj_SizeTol),ABS($L787-Subj_BldgSF),NA())</f>
        <v/>
      </c>
      <c r="AJ787">
        <f>IF(ISNA(AI787),NA(),AI787+ROW()/10000000)</f>
        <v/>
      </c>
      <c r="AK787" s="605">
        <f>IF(AND(ISNUMBER($N787),$N787&gt;0,ISNUMBER($Y787)),$Y787/$N787,"")</f>
        <v/>
      </c>
    </row>
    <row r="788" ht="15" customHeight="1" s="545">
      <c r="A788" s="388" t="n">
        <v>8</v>
      </c>
      <c r="B788" s="605" t="n">
        <v>784</v>
      </c>
      <c r="AI788" s="605">
        <f>IF(AND($E788=Subj_OccCode,Subj_BldgSF&gt;0,ABS($L788-Subj_BldgSF)&lt;=Subj_BldgSF*Subj_SizeTol),ABS($L788-Subj_BldgSF),NA())</f>
        <v/>
      </c>
      <c r="AJ788">
        <f>IF(ISNA(AI788),NA(),AI788+ROW()/10000000)</f>
        <v/>
      </c>
      <c r="AK788" s="605">
        <f>IF(AND(ISNUMBER($N788),$N788&gt;0,ISNUMBER($Y788)),$Y788/$N788,"")</f>
        <v/>
      </c>
    </row>
    <row r="789" ht="15" customHeight="1" s="545">
      <c r="A789" s="388" t="n">
        <v>8</v>
      </c>
      <c r="B789" s="605" t="n">
        <v>785</v>
      </c>
      <c r="AI789" s="605">
        <f>IF(AND($E789=Subj_OccCode,Subj_BldgSF&gt;0,ABS($L789-Subj_BldgSF)&lt;=Subj_BldgSF*Subj_SizeTol),ABS($L789-Subj_BldgSF),NA())</f>
        <v/>
      </c>
      <c r="AJ789">
        <f>IF(ISNA(AI789),NA(),AI789+ROW()/10000000)</f>
        <v/>
      </c>
      <c r="AK789" s="605">
        <f>IF(AND(ISNUMBER($N789),$N789&gt;0,ISNUMBER($Y789)),$Y789/$N789,"")</f>
        <v/>
      </c>
    </row>
    <row r="790" ht="15" customHeight="1" s="545">
      <c r="A790" s="388" t="n">
        <v>8</v>
      </c>
      <c r="B790" s="605" t="n">
        <v>786</v>
      </c>
      <c r="AI790" s="605">
        <f>IF(AND($E790=Subj_OccCode,Subj_BldgSF&gt;0,ABS($L790-Subj_BldgSF)&lt;=Subj_BldgSF*Subj_SizeTol),ABS($L790-Subj_BldgSF),NA())</f>
        <v/>
      </c>
      <c r="AJ790">
        <f>IF(ISNA(AI790),NA(),AI790+ROW()/10000000)</f>
        <v/>
      </c>
      <c r="AK790" s="605">
        <f>IF(AND(ISNUMBER($N790),$N790&gt;0,ISNUMBER($Y790)),$Y790/$N790,"")</f>
        <v/>
      </c>
    </row>
    <row r="791" ht="15" customHeight="1" s="545">
      <c r="A791" s="388" t="n">
        <v>8</v>
      </c>
      <c r="B791" s="605" t="n">
        <v>787</v>
      </c>
      <c r="AI791" s="605">
        <f>IF(AND($E791=Subj_OccCode,Subj_BldgSF&gt;0,ABS($L791-Subj_BldgSF)&lt;=Subj_BldgSF*Subj_SizeTol),ABS($L791-Subj_BldgSF),NA())</f>
        <v/>
      </c>
      <c r="AJ791">
        <f>IF(ISNA(AI791),NA(),AI791+ROW()/10000000)</f>
        <v/>
      </c>
      <c r="AK791" s="605">
        <f>IF(AND(ISNUMBER($N791),$N791&gt;0,ISNUMBER($Y791)),$Y791/$N791,"")</f>
        <v/>
      </c>
    </row>
    <row r="792" ht="15" customHeight="1" s="545">
      <c r="A792" s="388" t="n">
        <v>8</v>
      </c>
      <c r="B792" s="605" t="n">
        <v>788</v>
      </c>
      <c r="AI792" s="605">
        <f>IF(AND($E792=Subj_OccCode,Subj_BldgSF&gt;0,ABS($L792-Subj_BldgSF)&lt;=Subj_BldgSF*Subj_SizeTol),ABS($L792-Subj_BldgSF),NA())</f>
        <v/>
      </c>
      <c r="AJ792">
        <f>IF(ISNA(AI792),NA(),AI792+ROW()/10000000)</f>
        <v/>
      </c>
      <c r="AK792" s="605">
        <f>IF(AND(ISNUMBER($N792),$N792&gt;0,ISNUMBER($Y792)),$Y792/$N792,"")</f>
        <v/>
      </c>
    </row>
    <row r="793" ht="15" customHeight="1" s="545">
      <c r="A793" s="388" t="n">
        <v>8</v>
      </c>
      <c r="B793" s="605" t="n">
        <v>789</v>
      </c>
      <c r="AI793" s="605">
        <f>IF(AND($E793=Subj_OccCode,Subj_BldgSF&gt;0,ABS($L793-Subj_BldgSF)&lt;=Subj_BldgSF*Subj_SizeTol),ABS($L793-Subj_BldgSF),NA())</f>
        <v/>
      </c>
      <c r="AJ793">
        <f>IF(ISNA(AI793),NA(),AI793+ROW()/10000000)</f>
        <v/>
      </c>
      <c r="AK793" s="605">
        <f>IF(AND(ISNUMBER($N793),$N793&gt;0,ISNUMBER($Y793)),$Y793/$N793,"")</f>
        <v/>
      </c>
    </row>
    <row r="794" ht="15" customHeight="1" s="545">
      <c r="A794" s="388" t="n">
        <v>8</v>
      </c>
      <c r="B794" s="605" t="n">
        <v>790</v>
      </c>
      <c r="AI794" s="605">
        <f>IF(AND($E794=Subj_OccCode,Subj_BldgSF&gt;0,ABS($L794-Subj_BldgSF)&lt;=Subj_BldgSF*Subj_SizeTol),ABS($L794-Subj_BldgSF),NA())</f>
        <v/>
      </c>
      <c r="AJ794">
        <f>IF(ISNA(AI794),NA(),AI794+ROW()/10000000)</f>
        <v/>
      </c>
      <c r="AK794" s="605">
        <f>IF(AND(ISNUMBER($N794),$N794&gt;0,ISNUMBER($Y794)),$Y794/$N794,"")</f>
        <v/>
      </c>
    </row>
    <row r="795" ht="15" customHeight="1" s="545">
      <c r="A795" s="388" t="n">
        <v>8</v>
      </c>
      <c r="B795" s="605" t="n">
        <v>791</v>
      </c>
      <c r="AI795" s="605">
        <f>IF(AND($E795=Subj_OccCode,Subj_BldgSF&gt;0,ABS($L795-Subj_BldgSF)&lt;=Subj_BldgSF*Subj_SizeTol),ABS($L795-Subj_BldgSF),NA())</f>
        <v/>
      </c>
      <c r="AJ795">
        <f>IF(ISNA(AI795),NA(),AI795+ROW()/10000000)</f>
        <v/>
      </c>
      <c r="AK795" s="605">
        <f>IF(AND(ISNUMBER($N795),$N795&gt;0,ISNUMBER($Y795)),$Y795/$N795,"")</f>
        <v/>
      </c>
    </row>
    <row r="796" ht="15" customHeight="1" s="545">
      <c r="A796" s="388" t="n">
        <v>8</v>
      </c>
      <c r="B796" s="605" t="n">
        <v>792</v>
      </c>
      <c r="AI796" s="605">
        <f>IF(AND($E796=Subj_OccCode,Subj_BldgSF&gt;0,ABS($L796-Subj_BldgSF)&lt;=Subj_BldgSF*Subj_SizeTol),ABS($L796-Subj_BldgSF),NA())</f>
        <v/>
      </c>
      <c r="AJ796">
        <f>IF(ISNA(AI796),NA(),AI796+ROW()/10000000)</f>
        <v/>
      </c>
      <c r="AK796" s="605">
        <f>IF(AND(ISNUMBER($N796),$N796&gt;0,ISNUMBER($Y796)),$Y796/$N796,"")</f>
        <v/>
      </c>
    </row>
    <row r="797" ht="15" customHeight="1" s="545">
      <c r="A797" s="388" t="n">
        <v>8</v>
      </c>
      <c r="B797" s="605" t="n">
        <v>793</v>
      </c>
      <c r="AI797" s="605">
        <f>IF(AND($E797=Subj_OccCode,Subj_BldgSF&gt;0,ABS($L797-Subj_BldgSF)&lt;=Subj_BldgSF*Subj_SizeTol),ABS($L797-Subj_BldgSF),NA())</f>
        <v/>
      </c>
      <c r="AJ797">
        <f>IF(ISNA(AI797),NA(),AI797+ROW()/10000000)</f>
        <v/>
      </c>
      <c r="AK797" s="605">
        <f>IF(AND(ISNUMBER($N797),$N797&gt;0,ISNUMBER($Y797)),$Y797/$N797,"")</f>
        <v/>
      </c>
    </row>
    <row r="798" ht="15" customHeight="1" s="545">
      <c r="A798" s="388" t="n">
        <v>8</v>
      </c>
      <c r="B798" s="605" t="n">
        <v>794</v>
      </c>
      <c r="AI798" s="605">
        <f>IF(AND($E798=Subj_OccCode,Subj_BldgSF&gt;0,ABS($L798-Subj_BldgSF)&lt;=Subj_BldgSF*Subj_SizeTol),ABS($L798-Subj_BldgSF),NA())</f>
        <v/>
      </c>
      <c r="AJ798">
        <f>IF(ISNA(AI798),NA(),AI798+ROW()/10000000)</f>
        <v/>
      </c>
      <c r="AK798" s="605">
        <f>IF(AND(ISNUMBER($N798),$N798&gt;0,ISNUMBER($Y798)),$Y798/$N798,"")</f>
        <v/>
      </c>
    </row>
    <row r="799" ht="15" customHeight="1" s="545">
      <c r="A799" s="388" t="n">
        <v>8</v>
      </c>
      <c r="B799" s="605" t="n">
        <v>795</v>
      </c>
      <c r="AI799" s="605">
        <f>IF(AND($E799=Subj_OccCode,Subj_BldgSF&gt;0,ABS($L799-Subj_BldgSF)&lt;=Subj_BldgSF*Subj_SizeTol),ABS($L799-Subj_BldgSF),NA())</f>
        <v/>
      </c>
      <c r="AJ799">
        <f>IF(ISNA(AI799),NA(),AI799+ROW()/10000000)</f>
        <v/>
      </c>
      <c r="AK799" s="605">
        <f>IF(AND(ISNUMBER($N799),$N799&gt;0,ISNUMBER($Y799)),$Y799/$N799,"")</f>
        <v/>
      </c>
    </row>
    <row r="800" ht="15" customHeight="1" s="545">
      <c r="A800" s="388" t="n">
        <v>8</v>
      </c>
      <c r="B800" s="605" t="n">
        <v>796</v>
      </c>
      <c r="AI800" s="605">
        <f>IF(AND($E800=Subj_OccCode,Subj_BldgSF&gt;0,ABS($L800-Subj_BldgSF)&lt;=Subj_BldgSF*Subj_SizeTol),ABS($L800-Subj_BldgSF),NA())</f>
        <v/>
      </c>
      <c r="AJ800">
        <f>IF(ISNA(AI800),NA(),AI800+ROW()/10000000)</f>
        <v/>
      </c>
      <c r="AK800" s="605">
        <f>IF(AND(ISNUMBER($N800),$N800&gt;0,ISNUMBER($Y800)),$Y800/$N800,"")</f>
        <v/>
      </c>
    </row>
    <row r="801" ht="15" customHeight="1" s="545">
      <c r="A801" s="388" t="n">
        <v>8</v>
      </c>
      <c r="B801" s="605" t="n">
        <v>797</v>
      </c>
      <c r="AI801" s="605">
        <f>IF(AND($E801=Subj_OccCode,Subj_BldgSF&gt;0,ABS($L801-Subj_BldgSF)&lt;=Subj_BldgSF*Subj_SizeTol),ABS($L801-Subj_BldgSF),NA())</f>
        <v/>
      </c>
      <c r="AJ801">
        <f>IF(ISNA(AI801),NA(),AI801+ROW()/10000000)</f>
        <v/>
      </c>
      <c r="AK801" s="605">
        <f>IF(AND(ISNUMBER($N801),$N801&gt;0,ISNUMBER($Y801)),$Y801/$N801,"")</f>
        <v/>
      </c>
    </row>
    <row r="802" ht="15" customHeight="1" s="545">
      <c r="A802" s="388" t="n">
        <v>8</v>
      </c>
      <c r="B802" s="605" t="n">
        <v>798</v>
      </c>
      <c r="AI802" s="605">
        <f>IF(AND($E802=Subj_OccCode,Subj_BldgSF&gt;0,ABS($L802-Subj_BldgSF)&lt;=Subj_BldgSF*Subj_SizeTol),ABS($L802-Subj_BldgSF),NA())</f>
        <v/>
      </c>
      <c r="AJ802">
        <f>IF(ISNA(AI802),NA(),AI802+ROW()/10000000)</f>
        <v/>
      </c>
      <c r="AK802" s="605">
        <f>IF(AND(ISNUMBER($N802),$N802&gt;0,ISNUMBER($Y802)),$Y802/$N802,"")</f>
        <v/>
      </c>
    </row>
    <row r="803" ht="15" customHeight="1" s="545">
      <c r="A803" s="388" t="n">
        <v>8</v>
      </c>
      <c r="B803" s="605" t="n">
        <v>799</v>
      </c>
      <c r="AI803" s="605">
        <f>IF(AND($E803=Subj_OccCode,Subj_BldgSF&gt;0,ABS($L803-Subj_BldgSF)&lt;=Subj_BldgSF*Subj_SizeTol),ABS($L803-Subj_BldgSF),NA())</f>
        <v/>
      </c>
      <c r="AJ803">
        <f>IF(ISNA(AI803),NA(),AI803+ROW()/10000000)</f>
        <v/>
      </c>
      <c r="AK803" s="605">
        <f>IF(AND(ISNUMBER($N803),$N803&gt;0,ISNUMBER($Y803)),$Y803/$N803,"")</f>
        <v/>
      </c>
    </row>
    <row r="804" ht="15" customHeight="1" s="545">
      <c r="A804" s="388" t="n">
        <v>8</v>
      </c>
      <c r="B804" s="605" t="n">
        <v>800</v>
      </c>
      <c r="AI804" s="605">
        <f>IF(AND($E804=Subj_OccCode,Subj_BldgSF&gt;0,ABS($L804-Subj_BldgSF)&lt;=Subj_BldgSF*Subj_SizeTol),ABS($L804-Subj_BldgSF),NA())</f>
        <v/>
      </c>
      <c r="AJ804">
        <f>IF(ISNA(AI804),NA(),AI804+ROW()/10000000)</f>
        <v/>
      </c>
      <c r="AK804" s="605">
        <f>IF(AND(ISNUMBER($N804),$N804&gt;0,ISNUMBER($Y804)),$Y804/$N804,"")</f>
        <v/>
      </c>
    </row>
    <row r="805" ht="15" customHeight="1" s="545">
      <c r="A805" s="388" t="n">
        <v>8</v>
      </c>
      <c r="B805" s="605" t="n">
        <v>801</v>
      </c>
      <c r="AI805" s="605">
        <f>IF(AND($E805=Subj_OccCode,Subj_BldgSF&gt;0,ABS($L805-Subj_BldgSF)&lt;=Subj_BldgSF*Subj_SizeTol),ABS($L805-Subj_BldgSF),NA())</f>
        <v/>
      </c>
      <c r="AJ805">
        <f>IF(ISNA(AI805),NA(),AI805+ROW()/10000000)</f>
        <v/>
      </c>
      <c r="AK805" s="605">
        <f>IF(AND(ISNUMBER($N805),$N805&gt;0,ISNUMBER($Y805)),$Y805/$N805,"")</f>
        <v/>
      </c>
    </row>
    <row r="806" ht="15" customHeight="1" s="545">
      <c r="A806" s="388" t="n">
        <v>8</v>
      </c>
      <c r="B806" s="605" t="n">
        <v>802</v>
      </c>
      <c r="AI806" s="605">
        <f>IF(AND($E806=Subj_OccCode,Subj_BldgSF&gt;0,ABS($L806-Subj_BldgSF)&lt;=Subj_BldgSF*Subj_SizeTol),ABS($L806-Subj_BldgSF),NA())</f>
        <v/>
      </c>
      <c r="AJ806">
        <f>IF(ISNA(AI806),NA(),AI806+ROW()/10000000)</f>
        <v/>
      </c>
      <c r="AK806" s="605">
        <f>IF(AND(ISNUMBER($N806),$N806&gt;0,ISNUMBER($Y806)),$Y806/$N806,"")</f>
        <v/>
      </c>
    </row>
    <row r="807" ht="15" customHeight="1" s="545">
      <c r="A807" s="388" t="n">
        <v>8</v>
      </c>
      <c r="B807" s="605" t="n">
        <v>803</v>
      </c>
      <c r="AI807" s="605">
        <f>IF(AND($E807=Subj_OccCode,Subj_BldgSF&gt;0,ABS($L807-Subj_BldgSF)&lt;=Subj_BldgSF*Subj_SizeTol),ABS($L807-Subj_BldgSF),NA())</f>
        <v/>
      </c>
      <c r="AJ807">
        <f>IF(ISNA(AI807),NA(),AI807+ROW()/10000000)</f>
        <v/>
      </c>
      <c r="AK807" s="605">
        <f>IF(AND(ISNUMBER($N807),$N807&gt;0,ISNUMBER($Y807)),$Y807/$N807,"")</f>
        <v/>
      </c>
    </row>
    <row r="808" ht="15" customHeight="1" s="545">
      <c r="A808" s="388" t="n">
        <v>8</v>
      </c>
      <c r="B808" s="605" t="n">
        <v>804</v>
      </c>
      <c r="AI808" s="605">
        <f>IF(AND($E808=Subj_OccCode,Subj_BldgSF&gt;0,ABS($L808-Subj_BldgSF)&lt;=Subj_BldgSF*Subj_SizeTol),ABS($L808-Subj_BldgSF),NA())</f>
        <v/>
      </c>
      <c r="AJ808">
        <f>IF(ISNA(AI808),NA(),AI808+ROW()/10000000)</f>
        <v/>
      </c>
      <c r="AK808" s="605">
        <f>IF(AND(ISNUMBER($N808),$N808&gt;0,ISNUMBER($Y808)),$Y808/$N808,"")</f>
        <v/>
      </c>
    </row>
    <row r="809" ht="15" customHeight="1" s="545">
      <c r="A809" s="388" t="n">
        <v>8</v>
      </c>
      <c r="B809" s="605" t="n">
        <v>805</v>
      </c>
      <c r="AI809" s="605">
        <f>IF(AND($E809=Subj_OccCode,Subj_BldgSF&gt;0,ABS($L809-Subj_BldgSF)&lt;=Subj_BldgSF*Subj_SizeTol),ABS($L809-Subj_BldgSF),NA())</f>
        <v/>
      </c>
      <c r="AJ809">
        <f>IF(ISNA(AI809),NA(),AI809+ROW()/10000000)</f>
        <v/>
      </c>
      <c r="AK809" s="605">
        <f>IF(AND(ISNUMBER($N809),$N809&gt;0,ISNUMBER($Y809)),$Y809/$N809,"")</f>
        <v/>
      </c>
    </row>
    <row r="810" ht="15" customHeight="1" s="545">
      <c r="A810" s="388" t="n">
        <v>8</v>
      </c>
      <c r="B810" s="605" t="n">
        <v>806</v>
      </c>
      <c r="AI810" s="605">
        <f>IF(AND($E810=Subj_OccCode,Subj_BldgSF&gt;0,ABS($L810-Subj_BldgSF)&lt;=Subj_BldgSF*Subj_SizeTol),ABS($L810-Subj_BldgSF),NA())</f>
        <v/>
      </c>
      <c r="AJ810">
        <f>IF(ISNA(AI810),NA(),AI810+ROW()/10000000)</f>
        <v/>
      </c>
      <c r="AK810" s="605">
        <f>IF(AND(ISNUMBER($N810),$N810&gt;0,ISNUMBER($Y810)),$Y810/$N810,"")</f>
        <v/>
      </c>
    </row>
    <row r="811" ht="15" customHeight="1" s="545">
      <c r="A811" s="388" t="n">
        <v>8</v>
      </c>
      <c r="B811" s="605" t="n">
        <v>807</v>
      </c>
      <c r="AI811" s="605">
        <f>IF(AND($E811=Subj_OccCode,Subj_BldgSF&gt;0,ABS($L811-Subj_BldgSF)&lt;=Subj_BldgSF*Subj_SizeTol),ABS($L811-Subj_BldgSF),NA())</f>
        <v/>
      </c>
      <c r="AJ811">
        <f>IF(ISNA(AI811),NA(),AI811+ROW()/10000000)</f>
        <v/>
      </c>
      <c r="AK811" s="605">
        <f>IF(AND(ISNUMBER($N811),$N811&gt;0,ISNUMBER($Y811)),$Y811/$N811,"")</f>
        <v/>
      </c>
    </row>
    <row r="812" ht="15" customHeight="1" s="545">
      <c r="A812" s="388" t="n">
        <v>8</v>
      </c>
      <c r="B812" s="605" t="n">
        <v>808</v>
      </c>
      <c r="AI812" s="605">
        <f>IF(AND($E812=Subj_OccCode,Subj_BldgSF&gt;0,ABS($L812-Subj_BldgSF)&lt;=Subj_BldgSF*Subj_SizeTol),ABS($L812-Subj_BldgSF),NA())</f>
        <v/>
      </c>
      <c r="AJ812">
        <f>IF(ISNA(AI812),NA(),AI812+ROW()/10000000)</f>
        <v/>
      </c>
      <c r="AK812" s="605">
        <f>IF(AND(ISNUMBER($N812),$N812&gt;0,ISNUMBER($Y812)),$Y812/$N812,"")</f>
        <v/>
      </c>
    </row>
    <row r="813" ht="15" customHeight="1" s="545">
      <c r="A813" s="388" t="n">
        <v>8</v>
      </c>
      <c r="B813" s="605" t="n">
        <v>809</v>
      </c>
      <c r="AI813" s="605">
        <f>IF(AND($E813=Subj_OccCode,Subj_BldgSF&gt;0,ABS($L813-Subj_BldgSF)&lt;=Subj_BldgSF*Subj_SizeTol),ABS($L813-Subj_BldgSF),NA())</f>
        <v/>
      </c>
      <c r="AJ813">
        <f>IF(ISNA(AI813),NA(),AI813+ROW()/10000000)</f>
        <v/>
      </c>
      <c r="AK813" s="605">
        <f>IF(AND(ISNUMBER($N813),$N813&gt;0,ISNUMBER($Y813)),$Y813/$N813,"")</f>
        <v/>
      </c>
    </row>
    <row r="814" ht="15" customHeight="1" s="545">
      <c r="A814" s="388" t="n">
        <v>8</v>
      </c>
      <c r="B814" s="605" t="n">
        <v>810</v>
      </c>
      <c r="AI814" s="605">
        <f>IF(AND($E814=Subj_OccCode,Subj_BldgSF&gt;0,ABS($L814-Subj_BldgSF)&lt;=Subj_BldgSF*Subj_SizeTol),ABS($L814-Subj_BldgSF),NA())</f>
        <v/>
      </c>
      <c r="AJ814">
        <f>IF(ISNA(AI814),NA(),AI814+ROW()/10000000)</f>
        <v/>
      </c>
      <c r="AK814" s="605">
        <f>IF(AND(ISNUMBER($N814),$N814&gt;0,ISNUMBER($Y814)),$Y814/$N814,"")</f>
        <v/>
      </c>
    </row>
    <row r="815" ht="15" customHeight="1" s="545">
      <c r="A815" s="388" t="n">
        <v>8</v>
      </c>
      <c r="B815" s="605" t="n">
        <v>811</v>
      </c>
      <c r="AI815" s="605">
        <f>IF(AND($E815=Subj_OccCode,Subj_BldgSF&gt;0,ABS($L815-Subj_BldgSF)&lt;=Subj_BldgSF*Subj_SizeTol),ABS($L815-Subj_BldgSF),NA())</f>
        <v/>
      </c>
      <c r="AJ815">
        <f>IF(ISNA(AI815),NA(),AI815+ROW()/10000000)</f>
        <v/>
      </c>
      <c r="AK815" s="605">
        <f>IF(AND(ISNUMBER($N815),$N815&gt;0,ISNUMBER($Y815)),$Y815/$N815,"")</f>
        <v/>
      </c>
    </row>
    <row r="816" ht="15" customHeight="1" s="545">
      <c r="A816" s="388" t="n">
        <v>8</v>
      </c>
      <c r="B816" s="605" t="n">
        <v>812</v>
      </c>
      <c r="AI816" s="605">
        <f>IF(AND($E816=Subj_OccCode,Subj_BldgSF&gt;0,ABS($L816-Subj_BldgSF)&lt;=Subj_BldgSF*Subj_SizeTol),ABS($L816-Subj_BldgSF),NA())</f>
        <v/>
      </c>
      <c r="AJ816">
        <f>IF(ISNA(AI816),NA(),AI816+ROW()/10000000)</f>
        <v/>
      </c>
      <c r="AK816" s="605">
        <f>IF(AND(ISNUMBER($N816),$N816&gt;0,ISNUMBER($Y816)),$Y816/$N816,"")</f>
        <v/>
      </c>
    </row>
    <row r="817" ht="15" customHeight="1" s="545">
      <c r="A817" s="388" t="n">
        <v>8</v>
      </c>
      <c r="B817" s="605" t="n">
        <v>813</v>
      </c>
      <c r="AI817" s="605">
        <f>IF(AND($E817=Subj_OccCode,Subj_BldgSF&gt;0,ABS($L817-Subj_BldgSF)&lt;=Subj_BldgSF*Subj_SizeTol),ABS($L817-Subj_BldgSF),NA())</f>
        <v/>
      </c>
      <c r="AJ817">
        <f>IF(ISNA(AI817),NA(),AI817+ROW()/10000000)</f>
        <v/>
      </c>
      <c r="AK817" s="605">
        <f>IF(AND(ISNUMBER($N817),$N817&gt;0,ISNUMBER($Y817)),$Y817/$N817,"")</f>
        <v/>
      </c>
    </row>
    <row r="818" ht="15" customHeight="1" s="545">
      <c r="A818" s="388" t="n">
        <v>8</v>
      </c>
      <c r="B818" s="605" t="n">
        <v>814</v>
      </c>
      <c r="AI818" s="605">
        <f>IF(AND($E818=Subj_OccCode,Subj_BldgSF&gt;0,ABS($L818-Subj_BldgSF)&lt;=Subj_BldgSF*Subj_SizeTol),ABS($L818-Subj_BldgSF),NA())</f>
        <v/>
      </c>
      <c r="AJ818">
        <f>IF(ISNA(AI818),NA(),AI818+ROW()/10000000)</f>
        <v/>
      </c>
      <c r="AK818" s="605">
        <f>IF(AND(ISNUMBER($N818),$N818&gt;0,ISNUMBER($Y818)),$Y818/$N818,"")</f>
        <v/>
      </c>
    </row>
    <row r="819" ht="15" customHeight="1" s="545">
      <c r="A819" s="388" t="n">
        <v>8</v>
      </c>
      <c r="B819" s="605" t="n">
        <v>815</v>
      </c>
      <c r="AI819" s="605">
        <f>IF(AND($E819=Subj_OccCode,Subj_BldgSF&gt;0,ABS($L819-Subj_BldgSF)&lt;=Subj_BldgSF*Subj_SizeTol),ABS($L819-Subj_BldgSF),NA())</f>
        <v/>
      </c>
      <c r="AJ819">
        <f>IF(ISNA(AI819),NA(),AI819+ROW()/10000000)</f>
        <v/>
      </c>
      <c r="AK819" s="605">
        <f>IF(AND(ISNUMBER($N819),$N819&gt;0,ISNUMBER($Y819)),$Y819/$N819,"")</f>
        <v/>
      </c>
    </row>
    <row r="820" ht="15" customHeight="1" s="545">
      <c r="A820" s="388" t="n">
        <v>8</v>
      </c>
      <c r="B820" s="605" t="n">
        <v>816</v>
      </c>
      <c r="AI820" s="605">
        <f>IF(AND($E820=Subj_OccCode,Subj_BldgSF&gt;0,ABS($L820-Subj_BldgSF)&lt;=Subj_BldgSF*Subj_SizeTol),ABS($L820-Subj_BldgSF),NA())</f>
        <v/>
      </c>
      <c r="AJ820">
        <f>IF(ISNA(AI820),NA(),AI820+ROW()/10000000)</f>
        <v/>
      </c>
      <c r="AK820" s="605">
        <f>IF(AND(ISNUMBER($N820),$N820&gt;0,ISNUMBER($Y820)),$Y820/$N820,"")</f>
        <v/>
      </c>
    </row>
    <row r="821" ht="15" customHeight="1" s="545">
      <c r="A821" s="388" t="n">
        <v>8</v>
      </c>
      <c r="B821" s="605" t="n">
        <v>817</v>
      </c>
      <c r="AI821" s="605">
        <f>IF(AND($E821=Subj_OccCode,Subj_BldgSF&gt;0,ABS($L821-Subj_BldgSF)&lt;=Subj_BldgSF*Subj_SizeTol),ABS($L821-Subj_BldgSF),NA())</f>
        <v/>
      </c>
      <c r="AJ821">
        <f>IF(ISNA(AI821),NA(),AI821+ROW()/10000000)</f>
        <v/>
      </c>
      <c r="AK821" s="605">
        <f>IF(AND(ISNUMBER($N821),$N821&gt;0,ISNUMBER($Y821)),$Y821/$N821,"")</f>
        <v/>
      </c>
    </row>
    <row r="822" ht="15" customHeight="1" s="545">
      <c r="A822" s="388" t="n">
        <v>8</v>
      </c>
      <c r="B822" s="605" t="n">
        <v>818</v>
      </c>
      <c r="AI822" s="605">
        <f>IF(AND($E822=Subj_OccCode,Subj_BldgSF&gt;0,ABS($L822-Subj_BldgSF)&lt;=Subj_BldgSF*Subj_SizeTol),ABS($L822-Subj_BldgSF),NA())</f>
        <v/>
      </c>
      <c r="AJ822">
        <f>IF(ISNA(AI822),NA(),AI822+ROW()/10000000)</f>
        <v/>
      </c>
      <c r="AK822" s="605">
        <f>IF(AND(ISNUMBER($N822),$N822&gt;0,ISNUMBER($Y822)),$Y822/$N822,"")</f>
        <v/>
      </c>
    </row>
    <row r="823" ht="15" customHeight="1" s="545">
      <c r="A823" s="388" t="n">
        <v>8</v>
      </c>
      <c r="B823" s="605" t="n">
        <v>819</v>
      </c>
      <c r="AI823" s="605">
        <f>IF(AND($E823=Subj_OccCode,Subj_BldgSF&gt;0,ABS($L823-Subj_BldgSF)&lt;=Subj_BldgSF*Subj_SizeTol),ABS($L823-Subj_BldgSF),NA())</f>
        <v/>
      </c>
      <c r="AJ823">
        <f>IF(ISNA(AI823),NA(),AI823+ROW()/10000000)</f>
        <v/>
      </c>
      <c r="AK823" s="605">
        <f>IF(AND(ISNUMBER($N823),$N823&gt;0,ISNUMBER($Y823)),$Y823/$N823,"")</f>
        <v/>
      </c>
    </row>
    <row r="824" ht="15" customHeight="1" s="545">
      <c r="A824" s="388" t="n">
        <v>8</v>
      </c>
      <c r="B824" s="605" t="n">
        <v>820</v>
      </c>
      <c r="AI824" s="605">
        <f>IF(AND($E824=Subj_OccCode,Subj_BldgSF&gt;0,ABS($L824-Subj_BldgSF)&lt;=Subj_BldgSF*Subj_SizeTol),ABS($L824-Subj_BldgSF),NA())</f>
        <v/>
      </c>
      <c r="AJ824">
        <f>IF(ISNA(AI824),NA(),AI824+ROW()/10000000)</f>
        <v/>
      </c>
      <c r="AK824" s="605">
        <f>IF(AND(ISNUMBER($N824),$N824&gt;0,ISNUMBER($Y824)),$Y824/$N824,"")</f>
        <v/>
      </c>
    </row>
    <row r="825" ht="15" customHeight="1" s="545">
      <c r="A825" s="388" t="n">
        <v>8</v>
      </c>
      <c r="B825" s="605" t="n">
        <v>821</v>
      </c>
      <c r="AI825" s="605">
        <f>IF(AND($E825=Subj_OccCode,Subj_BldgSF&gt;0,ABS($L825-Subj_BldgSF)&lt;=Subj_BldgSF*Subj_SizeTol),ABS($L825-Subj_BldgSF),NA())</f>
        <v/>
      </c>
      <c r="AJ825">
        <f>IF(ISNA(AI825),NA(),AI825+ROW()/10000000)</f>
        <v/>
      </c>
      <c r="AK825" s="605">
        <f>IF(AND(ISNUMBER($N825),$N825&gt;0,ISNUMBER($Y825)),$Y825/$N825,"")</f>
        <v/>
      </c>
    </row>
    <row r="826" ht="15" customHeight="1" s="545">
      <c r="A826" s="388" t="n">
        <v>8</v>
      </c>
      <c r="B826" s="605" t="n">
        <v>822</v>
      </c>
      <c r="AI826" s="605">
        <f>IF(AND($E826=Subj_OccCode,Subj_BldgSF&gt;0,ABS($L826-Subj_BldgSF)&lt;=Subj_BldgSF*Subj_SizeTol),ABS($L826-Subj_BldgSF),NA())</f>
        <v/>
      </c>
      <c r="AJ826">
        <f>IF(ISNA(AI826),NA(),AI826+ROW()/10000000)</f>
        <v/>
      </c>
      <c r="AK826" s="605">
        <f>IF(AND(ISNUMBER($N826),$N826&gt;0,ISNUMBER($Y826)),$Y826/$N826,"")</f>
        <v/>
      </c>
    </row>
    <row r="827" ht="15" customHeight="1" s="545">
      <c r="A827" s="388" t="n">
        <v>8</v>
      </c>
      <c r="B827" s="605" t="n">
        <v>823</v>
      </c>
      <c r="AI827" s="605">
        <f>IF(AND($E827=Subj_OccCode,Subj_BldgSF&gt;0,ABS($L827-Subj_BldgSF)&lt;=Subj_BldgSF*Subj_SizeTol),ABS($L827-Subj_BldgSF),NA())</f>
        <v/>
      </c>
      <c r="AJ827">
        <f>IF(ISNA(AI827),NA(),AI827+ROW()/10000000)</f>
        <v/>
      </c>
      <c r="AK827" s="605">
        <f>IF(AND(ISNUMBER($N827),$N827&gt;0,ISNUMBER($Y827)),$Y827/$N827,"")</f>
        <v/>
      </c>
    </row>
    <row r="828" ht="15" customHeight="1" s="545">
      <c r="A828" s="388" t="n">
        <v>8</v>
      </c>
      <c r="B828" s="605" t="n">
        <v>824</v>
      </c>
      <c r="AI828" s="605">
        <f>IF(AND($E828=Subj_OccCode,Subj_BldgSF&gt;0,ABS($L828-Subj_BldgSF)&lt;=Subj_BldgSF*Subj_SizeTol),ABS($L828-Subj_BldgSF),NA())</f>
        <v/>
      </c>
      <c r="AJ828">
        <f>IF(ISNA(AI828),NA(),AI828+ROW()/10000000)</f>
        <v/>
      </c>
      <c r="AK828" s="605">
        <f>IF(AND(ISNUMBER($N828),$N828&gt;0,ISNUMBER($Y828)),$Y828/$N828,"")</f>
        <v/>
      </c>
    </row>
    <row r="829" ht="15" customHeight="1" s="545">
      <c r="A829" s="388" t="n">
        <v>8</v>
      </c>
      <c r="B829" s="605" t="n">
        <v>825</v>
      </c>
      <c r="AI829" s="605">
        <f>IF(AND($E829=Subj_OccCode,Subj_BldgSF&gt;0,ABS($L829-Subj_BldgSF)&lt;=Subj_BldgSF*Subj_SizeTol),ABS($L829-Subj_BldgSF),NA())</f>
        <v/>
      </c>
      <c r="AJ829">
        <f>IF(ISNA(AI829),NA(),AI829+ROW()/10000000)</f>
        <v/>
      </c>
      <c r="AK829" s="605">
        <f>IF(AND(ISNUMBER($N829),$N829&gt;0,ISNUMBER($Y829)),$Y829/$N829,"")</f>
        <v/>
      </c>
    </row>
    <row r="830" ht="15" customHeight="1" s="545">
      <c r="A830" s="388" t="n">
        <v>8</v>
      </c>
      <c r="B830" s="605" t="n">
        <v>826</v>
      </c>
      <c r="AI830" s="605">
        <f>IF(AND($E830=Subj_OccCode,Subj_BldgSF&gt;0,ABS($L830-Subj_BldgSF)&lt;=Subj_BldgSF*Subj_SizeTol),ABS($L830-Subj_BldgSF),NA())</f>
        <v/>
      </c>
      <c r="AJ830">
        <f>IF(ISNA(AI830),NA(),AI830+ROW()/10000000)</f>
        <v/>
      </c>
      <c r="AK830" s="605">
        <f>IF(AND(ISNUMBER($N830),$N830&gt;0,ISNUMBER($Y830)),$Y830/$N830,"")</f>
        <v/>
      </c>
    </row>
    <row r="831" ht="15" customHeight="1" s="545">
      <c r="A831" s="388" t="n">
        <v>8</v>
      </c>
      <c r="B831" s="605" t="n">
        <v>827</v>
      </c>
      <c r="AI831" s="605">
        <f>IF(AND($E831=Subj_OccCode,Subj_BldgSF&gt;0,ABS($L831-Subj_BldgSF)&lt;=Subj_BldgSF*Subj_SizeTol),ABS($L831-Subj_BldgSF),NA())</f>
        <v/>
      </c>
      <c r="AJ831">
        <f>IF(ISNA(AI831),NA(),AI831+ROW()/10000000)</f>
        <v/>
      </c>
      <c r="AK831" s="605">
        <f>IF(AND(ISNUMBER($N831),$N831&gt;0,ISNUMBER($Y831)),$Y831/$N831,"")</f>
        <v/>
      </c>
    </row>
    <row r="832" ht="15" customHeight="1" s="545">
      <c r="A832" s="388" t="n">
        <v>8</v>
      </c>
      <c r="B832" s="605" t="n">
        <v>828</v>
      </c>
      <c r="AI832" s="605">
        <f>IF(AND($E832=Subj_OccCode,Subj_BldgSF&gt;0,ABS($L832-Subj_BldgSF)&lt;=Subj_BldgSF*Subj_SizeTol),ABS($L832-Subj_BldgSF),NA())</f>
        <v/>
      </c>
      <c r="AJ832">
        <f>IF(ISNA(AI832),NA(),AI832+ROW()/10000000)</f>
        <v/>
      </c>
      <c r="AK832" s="605">
        <f>IF(AND(ISNUMBER($N832),$N832&gt;0,ISNUMBER($Y832)),$Y832/$N832,"")</f>
        <v/>
      </c>
    </row>
    <row r="833" ht="15" customHeight="1" s="545">
      <c r="A833" s="388" t="n">
        <v>8</v>
      </c>
      <c r="B833" s="605" t="n">
        <v>829</v>
      </c>
      <c r="AI833" s="605">
        <f>IF(AND($E833=Subj_OccCode,Subj_BldgSF&gt;0,ABS($L833-Subj_BldgSF)&lt;=Subj_BldgSF*Subj_SizeTol),ABS($L833-Subj_BldgSF),NA())</f>
        <v/>
      </c>
      <c r="AJ833">
        <f>IF(ISNA(AI833),NA(),AI833+ROW()/10000000)</f>
        <v/>
      </c>
      <c r="AK833" s="605">
        <f>IF(AND(ISNUMBER($N833),$N833&gt;0,ISNUMBER($Y833)),$Y833/$N833,"")</f>
        <v/>
      </c>
    </row>
    <row r="834" ht="15" customHeight="1" s="545">
      <c r="A834" s="388" t="n">
        <v>8</v>
      </c>
      <c r="B834" s="605" t="n">
        <v>830</v>
      </c>
      <c r="AI834" s="605">
        <f>IF(AND($E834=Subj_OccCode,Subj_BldgSF&gt;0,ABS($L834-Subj_BldgSF)&lt;=Subj_BldgSF*Subj_SizeTol),ABS($L834-Subj_BldgSF),NA())</f>
        <v/>
      </c>
      <c r="AJ834">
        <f>IF(ISNA(AI834),NA(),AI834+ROW()/10000000)</f>
        <v/>
      </c>
      <c r="AK834" s="605">
        <f>IF(AND(ISNUMBER($N834),$N834&gt;0,ISNUMBER($Y834)),$Y834/$N834,"")</f>
        <v/>
      </c>
    </row>
    <row r="835" ht="15" customHeight="1" s="545">
      <c r="A835" s="388" t="n">
        <v>8</v>
      </c>
      <c r="B835" s="605" t="n">
        <v>831</v>
      </c>
      <c r="AI835" s="605">
        <f>IF(AND($E835=Subj_OccCode,Subj_BldgSF&gt;0,ABS($L835-Subj_BldgSF)&lt;=Subj_BldgSF*Subj_SizeTol),ABS($L835-Subj_BldgSF),NA())</f>
        <v/>
      </c>
      <c r="AJ835">
        <f>IF(ISNA(AI835),NA(),AI835+ROW()/10000000)</f>
        <v/>
      </c>
      <c r="AK835" s="605">
        <f>IF(AND(ISNUMBER($N835),$N835&gt;0,ISNUMBER($Y835)),$Y835/$N835,"")</f>
        <v/>
      </c>
    </row>
    <row r="836" ht="15" customHeight="1" s="545">
      <c r="A836" s="388" t="n">
        <v>8</v>
      </c>
      <c r="B836" s="605" t="n">
        <v>832</v>
      </c>
      <c r="AI836" s="605">
        <f>IF(AND($E836=Subj_OccCode,Subj_BldgSF&gt;0,ABS($L836-Subj_BldgSF)&lt;=Subj_BldgSF*Subj_SizeTol),ABS($L836-Subj_BldgSF),NA())</f>
        <v/>
      </c>
      <c r="AJ836">
        <f>IF(ISNA(AI836),NA(),AI836+ROW()/10000000)</f>
        <v/>
      </c>
      <c r="AK836" s="605">
        <f>IF(AND(ISNUMBER($N836),$N836&gt;0,ISNUMBER($Y836)),$Y836/$N836,"")</f>
        <v/>
      </c>
    </row>
    <row r="837" ht="15" customHeight="1" s="545">
      <c r="A837" s="388" t="n">
        <v>8</v>
      </c>
      <c r="B837" s="605" t="n">
        <v>833</v>
      </c>
      <c r="AI837" s="605">
        <f>IF(AND($E837=Subj_OccCode,Subj_BldgSF&gt;0,ABS($L837-Subj_BldgSF)&lt;=Subj_BldgSF*Subj_SizeTol),ABS($L837-Subj_BldgSF),NA())</f>
        <v/>
      </c>
      <c r="AJ837">
        <f>IF(ISNA(AI837),NA(),AI837+ROW()/10000000)</f>
        <v/>
      </c>
      <c r="AK837" s="605">
        <f>IF(AND(ISNUMBER($N837),$N837&gt;0,ISNUMBER($Y837)),$Y837/$N837,"")</f>
        <v/>
      </c>
    </row>
    <row r="838" ht="15" customHeight="1" s="545">
      <c r="A838" s="388" t="n">
        <v>8</v>
      </c>
      <c r="B838" s="605" t="n">
        <v>834</v>
      </c>
      <c r="AI838" s="605">
        <f>IF(AND($E838=Subj_OccCode,Subj_BldgSF&gt;0,ABS($L838-Subj_BldgSF)&lt;=Subj_BldgSF*Subj_SizeTol),ABS($L838-Subj_BldgSF),NA())</f>
        <v/>
      </c>
      <c r="AJ838">
        <f>IF(ISNA(AI838),NA(),AI838+ROW()/10000000)</f>
        <v/>
      </c>
      <c r="AK838" s="605">
        <f>IF(AND(ISNUMBER($N838),$N838&gt;0,ISNUMBER($Y838)),$Y838/$N838,"")</f>
        <v/>
      </c>
    </row>
    <row r="839" ht="15" customHeight="1" s="545">
      <c r="A839" s="388" t="n">
        <v>8</v>
      </c>
      <c r="B839" s="605" t="n">
        <v>835</v>
      </c>
      <c r="AI839" s="605">
        <f>IF(AND($E839=Subj_OccCode,Subj_BldgSF&gt;0,ABS($L839-Subj_BldgSF)&lt;=Subj_BldgSF*Subj_SizeTol),ABS($L839-Subj_BldgSF),NA())</f>
        <v/>
      </c>
      <c r="AJ839">
        <f>IF(ISNA(AI839),NA(),AI839+ROW()/10000000)</f>
        <v/>
      </c>
      <c r="AK839" s="605">
        <f>IF(AND(ISNUMBER($N839),$N839&gt;0,ISNUMBER($Y839)),$Y839/$N839,"")</f>
        <v/>
      </c>
    </row>
    <row r="840" ht="15" customHeight="1" s="545">
      <c r="A840" s="388" t="n">
        <v>8</v>
      </c>
      <c r="B840" s="605" t="n">
        <v>836</v>
      </c>
      <c r="AI840" s="605">
        <f>IF(AND($E840=Subj_OccCode,Subj_BldgSF&gt;0,ABS($L840-Subj_BldgSF)&lt;=Subj_BldgSF*Subj_SizeTol),ABS($L840-Subj_BldgSF),NA())</f>
        <v/>
      </c>
      <c r="AJ840">
        <f>IF(ISNA(AI840),NA(),AI840+ROW()/10000000)</f>
        <v/>
      </c>
      <c r="AK840" s="605">
        <f>IF(AND(ISNUMBER($N840),$N840&gt;0,ISNUMBER($Y840)),$Y840/$N840,"")</f>
        <v/>
      </c>
    </row>
    <row r="841" ht="15" customHeight="1" s="545">
      <c r="A841" s="388" t="n">
        <v>8</v>
      </c>
      <c r="B841" s="605" t="n">
        <v>837</v>
      </c>
      <c r="AI841" s="605">
        <f>IF(AND($E841=Subj_OccCode,Subj_BldgSF&gt;0,ABS($L841-Subj_BldgSF)&lt;=Subj_BldgSF*Subj_SizeTol),ABS($L841-Subj_BldgSF),NA())</f>
        <v/>
      </c>
      <c r="AJ841">
        <f>IF(ISNA(AI841),NA(),AI841+ROW()/10000000)</f>
        <v/>
      </c>
      <c r="AK841" s="605">
        <f>IF(AND(ISNUMBER($N841),$N841&gt;0,ISNUMBER($Y841)),$Y841/$N841,"")</f>
        <v/>
      </c>
    </row>
    <row r="842" ht="15" customHeight="1" s="545">
      <c r="A842" s="388" t="n">
        <v>8</v>
      </c>
      <c r="B842" s="605" t="n">
        <v>838</v>
      </c>
      <c r="AI842" s="605">
        <f>IF(AND($E842=Subj_OccCode,Subj_BldgSF&gt;0,ABS($L842-Subj_BldgSF)&lt;=Subj_BldgSF*Subj_SizeTol),ABS($L842-Subj_BldgSF),NA())</f>
        <v/>
      </c>
      <c r="AJ842">
        <f>IF(ISNA(AI842),NA(),AI842+ROW()/10000000)</f>
        <v/>
      </c>
      <c r="AK842" s="605">
        <f>IF(AND(ISNUMBER($N842),$N842&gt;0,ISNUMBER($Y842)),$Y842/$N842,"")</f>
        <v/>
      </c>
    </row>
    <row r="843" ht="15" customHeight="1" s="545">
      <c r="A843" s="388" t="n">
        <v>8</v>
      </c>
      <c r="B843" s="605" t="n">
        <v>839</v>
      </c>
      <c r="AI843" s="605">
        <f>IF(AND($E843=Subj_OccCode,Subj_BldgSF&gt;0,ABS($L843-Subj_BldgSF)&lt;=Subj_BldgSF*Subj_SizeTol),ABS($L843-Subj_BldgSF),NA())</f>
        <v/>
      </c>
      <c r="AJ843">
        <f>IF(ISNA(AI843),NA(),AI843+ROW()/10000000)</f>
        <v/>
      </c>
      <c r="AK843" s="605">
        <f>IF(AND(ISNUMBER($N843),$N843&gt;0,ISNUMBER($Y843)),$Y843/$N843,"")</f>
        <v/>
      </c>
    </row>
    <row r="844" ht="15" customHeight="1" s="545">
      <c r="A844" s="388" t="n">
        <v>8</v>
      </c>
      <c r="B844" s="605" t="n">
        <v>840</v>
      </c>
      <c r="AI844" s="605">
        <f>IF(AND($E844=Subj_OccCode,Subj_BldgSF&gt;0,ABS($L844-Subj_BldgSF)&lt;=Subj_BldgSF*Subj_SizeTol),ABS($L844-Subj_BldgSF),NA())</f>
        <v/>
      </c>
      <c r="AJ844">
        <f>IF(ISNA(AI844),NA(),AI844+ROW()/10000000)</f>
        <v/>
      </c>
      <c r="AK844" s="605">
        <f>IF(AND(ISNUMBER($N844),$N844&gt;0,ISNUMBER($Y844)),$Y844/$N844,"")</f>
        <v/>
      </c>
    </row>
    <row r="845" ht="15" customHeight="1" s="545">
      <c r="A845" s="388" t="n">
        <v>8</v>
      </c>
      <c r="B845" s="605" t="n">
        <v>841</v>
      </c>
      <c r="AI845" s="605">
        <f>IF(AND($E845=Subj_OccCode,Subj_BldgSF&gt;0,ABS($L845-Subj_BldgSF)&lt;=Subj_BldgSF*Subj_SizeTol),ABS($L845-Subj_BldgSF),NA())</f>
        <v/>
      </c>
      <c r="AJ845">
        <f>IF(ISNA(AI845),NA(),AI845+ROW()/10000000)</f>
        <v/>
      </c>
      <c r="AK845" s="605">
        <f>IF(AND(ISNUMBER($N845),$N845&gt;0,ISNUMBER($Y845)),$Y845/$N845,"")</f>
        <v/>
      </c>
    </row>
    <row r="846" ht="15" customHeight="1" s="545">
      <c r="A846" s="388" t="n">
        <v>8</v>
      </c>
      <c r="B846" s="605" t="n">
        <v>842</v>
      </c>
      <c r="AI846" s="605">
        <f>IF(AND($E846=Subj_OccCode,Subj_BldgSF&gt;0,ABS($L846-Subj_BldgSF)&lt;=Subj_BldgSF*Subj_SizeTol),ABS($L846-Subj_BldgSF),NA())</f>
        <v/>
      </c>
      <c r="AJ846">
        <f>IF(ISNA(AI846),NA(),AI846+ROW()/10000000)</f>
        <v/>
      </c>
      <c r="AK846" s="605">
        <f>IF(AND(ISNUMBER($N846),$N846&gt;0,ISNUMBER($Y846)),$Y846/$N846,"")</f>
        <v/>
      </c>
    </row>
    <row r="847" ht="15" customHeight="1" s="545">
      <c r="A847" s="388" t="n">
        <v>8</v>
      </c>
      <c r="B847" s="605" t="n">
        <v>843</v>
      </c>
      <c r="AI847" s="605">
        <f>IF(AND($E847=Subj_OccCode,Subj_BldgSF&gt;0,ABS($L847-Subj_BldgSF)&lt;=Subj_BldgSF*Subj_SizeTol),ABS($L847-Subj_BldgSF),NA())</f>
        <v/>
      </c>
      <c r="AJ847">
        <f>IF(ISNA(AI847),NA(),AI847+ROW()/10000000)</f>
        <v/>
      </c>
      <c r="AK847" s="605">
        <f>IF(AND(ISNUMBER($N847),$N847&gt;0,ISNUMBER($Y847)),$Y847/$N847,"")</f>
        <v/>
      </c>
    </row>
    <row r="848" ht="15" customHeight="1" s="545">
      <c r="A848" s="388" t="n">
        <v>8</v>
      </c>
      <c r="B848" s="605" t="n">
        <v>844</v>
      </c>
      <c r="AI848" s="605">
        <f>IF(AND($E848=Subj_OccCode,Subj_BldgSF&gt;0,ABS($L848-Subj_BldgSF)&lt;=Subj_BldgSF*Subj_SizeTol),ABS($L848-Subj_BldgSF),NA())</f>
        <v/>
      </c>
      <c r="AJ848">
        <f>IF(ISNA(AI848),NA(),AI848+ROW()/10000000)</f>
        <v/>
      </c>
      <c r="AK848" s="605">
        <f>IF(AND(ISNUMBER($N848),$N848&gt;0,ISNUMBER($Y848)),$Y848/$N848,"")</f>
        <v/>
      </c>
    </row>
    <row r="849" ht="15" customHeight="1" s="545">
      <c r="A849" s="388" t="n">
        <v>8</v>
      </c>
      <c r="B849" s="605" t="n">
        <v>845</v>
      </c>
      <c r="AI849" s="605">
        <f>IF(AND($E849=Subj_OccCode,Subj_BldgSF&gt;0,ABS($L849-Subj_BldgSF)&lt;=Subj_BldgSF*Subj_SizeTol),ABS($L849-Subj_BldgSF),NA())</f>
        <v/>
      </c>
      <c r="AJ849">
        <f>IF(ISNA(AI849),NA(),AI849+ROW()/10000000)</f>
        <v/>
      </c>
      <c r="AK849" s="605">
        <f>IF(AND(ISNUMBER($N849),$N849&gt;0,ISNUMBER($Y849)),$Y849/$N849,"")</f>
        <v/>
      </c>
    </row>
    <row r="850" ht="15" customHeight="1" s="545">
      <c r="A850" s="388" t="n">
        <v>8</v>
      </c>
      <c r="B850" s="605" t="n">
        <v>846</v>
      </c>
      <c r="AI850" s="605">
        <f>IF(AND($E850=Subj_OccCode,Subj_BldgSF&gt;0,ABS($L850-Subj_BldgSF)&lt;=Subj_BldgSF*Subj_SizeTol),ABS($L850-Subj_BldgSF),NA())</f>
        <v/>
      </c>
      <c r="AJ850">
        <f>IF(ISNA(AI850),NA(),AI850+ROW()/10000000)</f>
        <v/>
      </c>
      <c r="AK850" s="605">
        <f>IF(AND(ISNUMBER($N850),$N850&gt;0,ISNUMBER($Y850)),$Y850/$N850,"")</f>
        <v/>
      </c>
    </row>
    <row r="851" ht="15" customHeight="1" s="545">
      <c r="A851" s="388" t="n">
        <v>8</v>
      </c>
      <c r="B851" s="605" t="n">
        <v>847</v>
      </c>
      <c r="AI851" s="605">
        <f>IF(AND($E851=Subj_OccCode,Subj_BldgSF&gt;0,ABS($L851-Subj_BldgSF)&lt;=Subj_BldgSF*Subj_SizeTol),ABS($L851-Subj_BldgSF),NA())</f>
        <v/>
      </c>
      <c r="AJ851">
        <f>IF(ISNA(AI851),NA(),AI851+ROW()/10000000)</f>
        <v/>
      </c>
      <c r="AK851" s="605">
        <f>IF(AND(ISNUMBER($N851),$N851&gt;0,ISNUMBER($Y851)),$Y851/$N851,"")</f>
        <v/>
      </c>
    </row>
    <row r="852" ht="15" customHeight="1" s="545">
      <c r="A852" s="388" t="n">
        <v>8</v>
      </c>
      <c r="B852" s="605" t="n">
        <v>848</v>
      </c>
      <c r="AI852" s="605">
        <f>IF(AND($E852=Subj_OccCode,Subj_BldgSF&gt;0,ABS($L852-Subj_BldgSF)&lt;=Subj_BldgSF*Subj_SizeTol),ABS($L852-Subj_BldgSF),NA())</f>
        <v/>
      </c>
      <c r="AJ852">
        <f>IF(ISNA(AI852),NA(),AI852+ROW()/10000000)</f>
        <v/>
      </c>
      <c r="AK852" s="605">
        <f>IF(AND(ISNUMBER($N852),$N852&gt;0,ISNUMBER($Y852)),$Y852/$N852,"")</f>
        <v/>
      </c>
    </row>
    <row r="853" ht="15" customHeight="1" s="545">
      <c r="A853" s="388" t="n">
        <v>8</v>
      </c>
      <c r="B853" s="605" t="n">
        <v>849</v>
      </c>
      <c r="AI853" s="605">
        <f>IF(AND($E853=Subj_OccCode,Subj_BldgSF&gt;0,ABS($L853-Subj_BldgSF)&lt;=Subj_BldgSF*Subj_SizeTol),ABS($L853-Subj_BldgSF),NA())</f>
        <v/>
      </c>
      <c r="AJ853">
        <f>IF(ISNA(AI853),NA(),AI853+ROW()/10000000)</f>
        <v/>
      </c>
      <c r="AK853" s="605">
        <f>IF(AND(ISNUMBER($N853),$N853&gt;0,ISNUMBER($Y853)),$Y853/$N853,"")</f>
        <v/>
      </c>
    </row>
    <row r="854" ht="15" customHeight="1" s="545">
      <c r="A854" s="388" t="n">
        <v>8</v>
      </c>
      <c r="B854" s="605" t="n">
        <v>850</v>
      </c>
      <c r="AI854" s="605">
        <f>IF(AND($E854=Subj_OccCode,Subj_BldgSF&gt;0,ABS($L854-Subj_BldgSF)&lt;=Subj_BldgSF*Subj_SizeTol),ABS($L854-Subj_BldgSF),NA())</f>
        <v/>
      </c>
      <c r="AJ854">
        <f>IF(ISNA(AI854),NA(),AI854+ROW()/10000000)</f>
        <v/>
      </c>
      <c r="AK854" s="605">
        <f>IF(AND(ISNUMBER($N854),$N854&gt;0,ISNUMBER($Y854)),$Y854/$N854,"")</f>
        <v/>
      </c>
    </row>
    <row r="855" ht="15" customHeight="1" s="545">
      <c r="A855" s="388" t="n">
        <v>8</v>
      </c>
      <c r="B855" s="605" t="n">
        <v>851</v>
      </c>
      <c r="AI855" s="605">
        <f>IF(AND($E855=Subj_OccCode,Subj_BldgSF&gt;0,ABS($L855-Subj_BldgSF)&lt;=Subj_BldgSF*Subj_SizeTol),ABS($L855-Subj_BldgSF),NA())</f>
        <v/>
      </c>
      <c r="AJ855">
        <f>IF(ISNA(AI855),NA(),AI855+ROW()/10000000)</f>
        <v/>
      </c>
      <c r="AK855" s="605">
        <f>IF(AND(ISNUMBER($N855),$N855&gt;0,ISNUMBER($Y855)),$Y855/$N855,"")</f>
        <v/>
      </c>
    </row>
    <row r="856" ht="15" customHeight="1" s="545">
      <c r="A856" s="388" t="n">
        <v>8</v>
      </c>
      <c r="B856" s="605" t="n">
        <v>852</v>
      </c>
      <c r="AI856" s="605">
        <f>IF(AND($E856=Subj_OccCode,Subj_BldgSF&gt;0,ABS($L856-Subj_BldgSF)&lt;=Subj_BldgSF*Subj_SizeTol),ABS($L856-Subj_BldgSF),NA())</f>
        <v/>
      </c>
      <c r="AJ856">
        <f>IF(ISNA(AI856),NA(),AI856+ROW()/10000000)</f>
        <v/>
      </c>
      <c r="AK856" s="605">
        <f>IF(AND(ISNUMBER($N856),$N856&gt;0,ISNUMBER($Y856)),$Y856/$N856,"")</f>
        <v/>
      </c>
    </row>
    <row r="857" ht="15" customHeight="1" s="545">
      <c r="A857" s="388" t="n">
        <v>8</v>
      </c>
      <c r="B857" s="605" t="n">
        <v>853</v>
      </c>
      <c r="AI857" s="605">
        <f>IF(AND($E857=Subj_OccCode,Subj_BldgSF&gt;0,ABS($L857-Subj_BldgSF)&lt;=Subj_BldgSF*Subj_SizeTol),ABS($L857-Subj_BldgSF),NA())</f>
        <v/>
      </c>
      <c r="AJ857">
        <f>IF(ISNA(AI857),NA(),AI857+ROW()/10000000)</f>
        <v/>
      </c>
      <c r="AK857" s="605">
        <f>IF(AND(ISNUMBER($N857),$N857&gt;0,ISNUMBER($Y857)),$Y857/$N857,"")</f>
        <v/>
      </c>
    </row>
    <row r="858" ht="15" customHeight="1" s="545">
      <c r="A858" s="388" t="n">
        <v>8</v>
      </c>
      <c r="B858" s="605" t="n">
        <v>854</v>
      </c>
      <c r="AI858" s="605">
        <f>IF(AND($E858=Subj_OccCode,Subj_BldgSF&gt;0,ABS($L858-Subj_BldgSF)&lt;=Subj_BldgSF*Subj_SizeTol),ABS($L858-Subj_BldgSF),NA())</f>
        <v/>
      </c>
      <c r="AJ858">
        <f>IF(ISNA(AI858),NA(),AI858+ROW()/10000000)</f>
        <v/>
      </c>
      <c r="AK858" s="605">
        <f>IF(AND(ISNUMBER($N858),$N858&gt;0,ISNUMBER($Y858)),$Y858/$N858,"")</f>
        <v/>
      </c>
    </row>
    <row r="859" ht="15" customHeight="1" s="545">
      <c r="A859" s="388" t="n">
        <v>8</v>
      </c>
      <c r="B859" s="605" t="n">
        <v>855</v>
      </c>
      <c r="AI859" s="605">
        <f>IF(AND($E859=Subj_OccCode,Subj_BldgSF&gt;0,ABS($L859-Subj_BldgSF)&lt;=Subj_BldgSF*Subj_SizeTol),ABS($L859-Subj_BldgSF),NA())</f>
        <v/>
      </c>
      <c r="AJ859">
        <f>IF(ISNA(AI859),NA(),AI859+ROW()/10000000)</f>
        <v/>
      </c>
      <c r="AK859" s="605">
        <f>IF(AND(ISNUMBER($N859),$N859&gt;0,ISNUMBER($Y859)),$Y859/$N859,"")</f>
        <v/>
      </c>
    </row>
    <row r="860" ht="15" customHeight="1" s="545">
      <c r="A860" s="388" t="n">
        <v>8</v>
      </c>
      <c r="B860" s="605" t="n">
        <v>856</v>
      </c>
      <c r="AI860" s="605">
        <f>IF(AND($E860=Subj_OccCode,Subj_BldgSF&gt;0,ABS($L860-Subj_BldgSF)&lt;=Subj_BldgSF*Subj_SizeTol),ABS($L860-Subj_BldgSF),NA())</f>
        <v/>
      </c>
      <c r="AJ860">
        <f>IF(ISNA(AI860),NA(),AI860+ROW()/10000000)</f>
        <v/>
      </c>
      <c r="AK860" s="605">
        <f>IF(AND(ISNUMBER($N860),$N860&gt;0,ISNUMBER($Y860)),$Y860/$N860,"")</f>
        <v/>
      </c>
    </row>
    <row r="861" ht="15" customHeight="1" s="545">
      <c r="A861" s="388" t="n">
        <v>8</v>
      </c>
      <c r="B861" s="605" t="n">
        <v>857</v>
      </c>
      <c r="AI861" s="605">
        <f>IF(AND($E861=Subj_OccCode,Subj_BldgSF&gt;0,ABS($L861-Subj_BldgSF)&lt;=Subj_BldgSF*Subj_SizeTol),ABS($L861-Subj_BldgSF),NA())</f>
        <v/>
      </c>
      <c r="AJ861">
        <f>IF(ISNA(AI861),NA(),AI861+ROW()/10000000)</f>
        <v/>
      </c>
      <c r="AK861" s="605">
        <f>IF(AND(ISNUMBER($N861),$N861&gt;0,ISNUMBER($Y861)),$Y861/$N861,"")</f>
        <v/>
      </c>
    </row>
    <row r="862" ht="15" customHeight="1" s="545">
      <c r="A862" s="388" t="n">
        <v>8</v>
      </c>
      <c r="B862" s="605" t="n">
        <v>858</v>
      </c>
      <c r="AI862" s="605">
        <f>IF(AND($E862=Subj_OccCode,Subj_BldgSF&gt;0,ABS($L862-Subj_BldgSF)&lt;=Subj_BldgSF*Subj_SizeTol),ABS($L862-Subj_BldgSF),NA())</f>
        <v/>
      </c>
      <c r="AJ862">
        <f>IF(ISNA(AI862),NA(),AI862+ROW()/10000000)</f>
        <v/>
      </c>
      <c r="AK862" s="605">
        <f>IF(AND(ISNUMBER($N862),$N862&gt;0,ISNUMBER($Y862)),$Y862/$N862,"")</f>
        <v/>
      </c>
    </row>
    <row r="863" ht="15" customHeight="1" s="545">
      <c r="A863" s="388" t="n">
        <v>8</v>
      </c>
      <c r="B863" s="605" t="n">
        <v>859</v>
      </c>
      <c r="AI863" s="605">
        <f>IF(AND($E863=Subj_OccCode,Subj_BldgSF&gt;0,ABS($L863-Subj_BldgSF)&lt;=Subj_BldgSF*Subj_SizeTol),ABS($L863-Subj_BldgSF),NA())</f>
        <v/>
      </c>
      <c r="AJ863">
        <f>IF(ISNA(AI863),NA(),AI863+ROW()/10000000)</f>
        <v/>
      </c>
      <c r="AK863" s="605">
        <f>IF(AND(ISNUMBER($N863),$N863&gt;0,ISNUMBER($Y863)),$Y863/$N863,"")</f>
        <v/>
      </c>
    </row>
    <row r="864" ht="15" customHeight="1" s="545">
      <c r="A864" s="388" t="n">
        <v>8</v>
      </c>
      <c r="B864" s="605" t="n">
        <v>860</v>
      </c>
      <c r="AI864" s="605">
        <f>IF(AND($E864=Subj_OccCode,Subj_BldgSF&gt;0,ABS($L864-Subj_BldgSF)&lt;=Subj_BldgSF*Subj_SizeTol),ABS($L864-Subj_BldgSF),NA())</f>
        <v/>
      </c>
      <c r="AJ864">
        <f>IF(ISNA(AI864),NA(),AI864+ROW()/10000000)</f>
        <v/>
      </c>
      <c r="AK864" s="605">
        <f>IF(AND(ISNUMBER($N864),$N864&gt;0,ISNUMBER($Y864)),$Y864/$N864,"")</f>
        <v/>
      </c>
    </row>
    <row r="865" ht="15" customHeight="1" s="545">
      <c r="A865" s="388" t="n">
        <v>8</v>
      </c>
      <c r="B865" s="605" t="n">
        <v>861</v>
      </c>
      <c r="AI865" s="605">
        <f>IF(AND($E865=Subj_OccCode,Subj_BldgSF&gt;0,ABS($L865-Subj_BldgSF)&lt;=Subj_BldgSF*Subj_SizeTol),ABS($L865-Subj_BldgSF),NA())</f>
        <v/>
      </c>
      <c r="AJ865">
        <f>IF(ISNA(AI865),NA(),AI865+ROW()/10000000)</f>
        <v/>
      </c>
      <c r="AK865" s="605">
        <f>IF(AND(ISNUMBER($N865),$N865&gt;0,ISNUMBER($Y865)),$Y865/$N865,"")</f>
        <v/>
      </c>
    </row>
    <row r="866" ht="15" customHeight="1" s="545">
      <c r="A866" s="388" t="n">
        <v>8</v>
      </c>
      <c r="B866" s="605" t="n">
        <v>862</v>
      </c>
      <c r="AI866" s="605">
        <f>IF(AND($E866=Subj_OccCode,Subj_BldgSF&gt;0,ABS($L866-Subj_BldgSF)&lt;=Subj_BldgSF*Subj_SizeTol),ABS($L866-Subj_BldgSF),NA())</f>
        <v/>
      </c>
      <c r="AJ866">
        <f>IF(ISNA(AI866),NA(),AI866+ROW()/10000000)</f>
        <v/>
      </c>
      <c r="AK866" s="605">
        <f>IF(AND(ISNUMBER($N866),$N866&gt;0,ISNUMBER($Y866)),$Y866/$N866,"")</f>
        <v/>
      </c>
    </row>
    <row r="867" ht="15" customHeight="1" s="545">
      <c r="A867" s="388" t="n">
        <v>8</v>
      </c>
      <c r="B867" s="605" t="n">
        <v>863</v>
      </c>
      <c r="AI867" s="605">
        <f>IF(AND($E867=Subj_OccCode,Subj_BldgSF&gt;0,ABS($L867-Subj_BldgSF)&lt;=Subj_BldgSF*Subj_SizeTol),ABS($L867-Subj_BldgSF),NA())</f>
        <v/>
      </c>
      <c r="AJ867">
        <f>IF(ISNA(AI867),NA(),AI867+ROW()/10000000)</f>
        <v/>
      </c>
      <c r="AK867" s="605">
        <f>IF(AND(ISNUMBER($N867),$N867&gt;0,ISNUMBER($Y867)),$Y867/$N867,"")</f>
        <v/>
      </c>
    </row>
    <row r="868" ht="15" customHeight="1" s="545">
      <c r="A868" s="388" t="n">
        <v>8</v>
      </c>
      <c r="B868" s="605" t="n">
        <v>864</v>
      </c>
      <c r="AI868" s="605">
        <f>IF(AND($E868=Subj_OccCode,Subj_BldgSF&gt;0,ABS($L868-Subj_BldgSF)&lt;=Subj_BldgSF*Subj_SizeTol),ABS($L868-Subj_BldgSF),NA())</f>
        <v/>
      </c>
      <c r="AJ868">
        <f>IF(ISNA(AI868),NA(),AI868+ROW()/10000000)</f>
        <v/>
      </c>
      <c r="AK868" s="605">
        <f>IF(AND(ISNUMBER($N868),$N868&gt;0,ISNUMBER($Y868)),$Y868/$N868,"")</f>
        <v/>
      </c>
    </row>
    <row r="869" ht="15" customHeight="1" s="545">
      <c r="A869" s="388" t="n">
        <v>8</v>
      </c>
      <c r="B869" s="605" t="n">
        <v>865</v>
      </c>
      <c r="AI869" s="605">
        <f>IF(AND($E869=Subj_OccCode,Subj_BldgSF&gt;0,ABS($L869-Subj_BldgSF)&lt;=Subj_BldgSF*Subj_SizeTol),ABS($L869-Subj_BldgSF),NA())</f>
        <v/>
      </c>
      <c r="AJ869">
        <f>IF(ISNA(AI869),NA(),AI869+ROW()/10000000)</f>
        <v/>
      </c>
      <c r="AK869" s="605">
        <f>IF(AND(ISNUMBER($N869),$N869&gt;0,ISNUMBER($Y869)),$Y869/$N869,"")</f>
        <v/>
      </c>
    </row>
    <row r="870" ht="15" customHeight="1" s="545">
      <c r="A870" s="388" t="n">
        <v>8</v>
      </c>
      <c r="B870" s="605" t="n">
        <v>866</v>
      </c>
      <c r="AI870" s="605">
        <f>IF(AND($E870=Subj_OccCode,Subj_BldgSF&gt;0,ABS($L870-Subj_BldgSF)&lt;=Subj_BldgSF*Subj_SizeTol),ABS($L870-Subj_BldgSF),NA())</f>
        <v/>
      </c>
      <c r="AJ870">
        <f>IF(ISNA(AI870),NA(),AI870+ROW()/10000000)</f>
        <v/>
      </c>
      <c r="AK870" s="605">
        <f>IF(AND(ISNUMBER($N870),$N870&gt;0,ISNUMBER($Y870)),$Y870/$N870,"")</f>
        <v/>
      </c>
    </row>
    <row r="871" ht="15" customHeight="1" s="545">
      <c r="A871" s="388" t="n">
        <v>8</v>
      </c>
      <c r="B871" s="605" t="n">
        <v>867</v>
      </c>
      <c r="AI871" s="605">
        <f>IF(AND($E871=Subj_OccCode,Subj_BldgSF&gt;0,ABS($L871-Subj_BldgSF)&lt;=Subj_BldgSF*Subj_SizeTol),ABS($L871-Subj_BldgSF),NA())</f>
        <v/>
      </c>
      <c r="AJ871">
        <f>IF(ISNA(AI871),NA(),AI871+ROW()/10000000)</f>
        <v/>
      </c>
      <c r="AK871" s="605">
        <f>IF(AND(ISNUMBER($N871),$N871&gt;0,ISNUMBER($Y871)),$Y871/$N871,"")</f>
        <v/>
      </c>
    </row>
    <row r="872" ht="15" customHeight="1" s="545">
      <c r="A872" s="388" t="n">
        <v>8</v>
      </c>
      <c r="B872" s="605" t="n">
        <v>868</v>
      </c>
      <c r="AI872" s="605">
        <f>IF(AND($E872=Subj_OccCode,Subj_BldgSF&gt;0,ABS($L872-Subj_BldgSF)&lt;=Subj_BldgSF*Subj_SizeTol),ABS($L872-Subj_BldgSF),NA())</f>
        <v/>
      </c>
      <c r="AJ872">
        <f>IF(ISNA(AI872),NA(),AI872+ROW()/10000000)</f>
        <v/>
      </c>
      <c r="AK872" s="605">
        <f>IF(AND(ISNUMBER($N872),$N872&gt;0,ISNUMBER($Y872)),$Y872/$N872,"")</f>
        <v/>
      </c>
    </row>
    <row r="873" ht="15" customHeight="1" s="545">
      <c r="A873" s="388" t="n">
        <v>8</v>
      </c>
      <c r="B873" s="605" t="n">
        <v>869</v>
      </c>
      <c r="AI873" s="605">
        <f>IF(AND($E873=Subj_OccCode,Subj_BldgSF&gt;0,ABS($L873-Subj_BldgSF)&lt;=Subj_BldgSF*Subj_SizeTol),ABS($L873-Subj_BldgSF),NA())</f>
        <v/>
      </c>
      <c r="AJ873">
        <f>IF(ISNA(AI873),NA(),AI873+ROW()/10000000)</f>
        <v/>
      </c>
      <c r="AK873" s="605">
        <f>IF(AND(ISNUMBER($N873),$N873&gt;0,ISNUMBER($Y873)),$Y873/$N873,"")</f>
        <v/>
      </c>
    </row>
    <row r="874" ht="15" customHeight="1" s="545">
      <c r="A874" s="388" t="n">
        <v>8</v>
      </c>
      <c r="B874" s="605" t="n">
        <v>870</v>
      </c>
      <c r="AI874" s="605">
        <f>IF(AND($E874=Subj_OccCode,Subj_BldgSF&gt;0,ABS($L874-Subj_BldgSF)&lt;=Subj_BldgSF*Subj_SizeTol),ABS($L874-Subj_BldgSF),NA())</f>
        <v/>
      </c>
      <c r="AJ874">
        <f>IF(ISNA(AI874),NA(),AI874+ROW()/10000000)</f>
        <v/>
      </c>
      <c r="AK874" s="605">
        <f>IF(AND(ISNUMBER($N874),$N874&gt;0,ISNUMBER($Y874)),$Y874/$N874,"")</f>
        <v/>
      </c>
    </row>
    <row r="875" ht="15" customHeight="1" s="545">
      <c r="A875" s="388" t="n">
        <v>8</v>
      </c>
      <c r="B875" s="605" t="n">
        <v>871</v>
      </c>
      <c r="AI875" s="605">
        <f>IF(AND($E875=Subj_OccCode,Subj_BldgSF&gt;0,ABS($L875-Subj_BldgSF)&lt;=Subj_BldgSF*Subj_SizeTol),ABS($L875-Subj_BldgSF),NA())</f>
        <v/>
      </c>
      <c r="AJ875">
        <f>IF(ISNA(AI875),NA(),AI875+ROW()/10000000)</f>
        <v/>
      </c>
      <c r="AK875" s="605">
        <f>IF(AND(ISNUMBER($N875),$N875&gt;0,ISNUMBER($Y875)),$Y875/$N875,"")</f>
        <v/>
      </c>
    </row>
    <row r="876" ht="15" customHeight="1" s="545">
      <c r="A876" s="388" t="n">
        <v>8</v>
      </c>
      <c r="B876" s="605" t="n">
        <v>872</v>
      </c>
      <c r="AI876" s="605">
        <f>IF(AND($E876=Subj_OccCode,Subj_BldgSF&gt;0,ABS($L876-Subj_BldgSF)&lt;=Subj_BldgSF*Subj_SizeTol),ABS($L876-Subj_BldgSF),NA())</f>
        <v/>
      </c>
      <c r="AJ876">
        <f>IF(ISNA(AI876),NA(),AI876+ROW()/10000000)</f>
        <v/>
      </c>
      <c r="AK876" s="605">
        <f>IF(AND(ISNUMBER($N876),$N876&gt;0,ISNUMBER($Y876)),$Y876/$N876,"")</f>
        <v/>
      </c>
    </row>
    <row r="877" ht="15" customHeight="1" s="545">
      <c r="A877" s="388" t="n">
        <v>8</v>
      </c>
      <c r="B877" s="605" t="n">
        <v>873</v>
      </c>
      <c r="AI877" s="605">
        <f>IF(AND($E877=Subj_OccCode,Subj_BldgSF&gt;0,ABS($L877-Subj_BldgSF)&lt;=Subj_BldgSF*Subj_SizeTol),ABS($L877-Subj_BldgSF),NA())</f>
        <v/>
      </c>
      <c r="AJ877">
        <f>IF(ISNA(AI877),NA(),AI877+ROW()/10000000)</f>
        <v/>
      </c>
      <c r="AK877" s="605">
        <f>IF(AND(ISNUMBER($N877),$N877&gt;0,ISNUMBER($Y877)),$Y877/$N877,"")</f>
        <v/>
      </c>
    </row>
    <row r="878" ht="15" customHeight="1" s="545">
      <c r="A878" s="388" t="n">
        <v>8</v>
      </c>
      <c r="B878" s="605" t="n">
        <v>874</v>
      </c>
      <c r="AI878" s="605">
        <f>IF(AND($E878=Subj_OccCode,Subj_BldgSF&gt;0,ABS($L878-Subj_BldgSF)&lt;=Subj_BldgSF*Subj_SizeTol),ABS($L878-Subj_BldgSF),NA())</f>
        <v/>
      </c>
      <c r="AJ878">
        <f>IF(ISNA(AI878),NA(),AI878+ROW()/10000000)</f>
        <v/>
      </c>
      <c r="AK878" s="605">
        <f>IF(AND(ISNUMBER($N878),$N878&gt;0,ISNUMBER($Y878)),$Y878/$N878,"")</f>
        <v/>
      </c>
    </row>
    <row r="879" ht="15" customHeight="1" s="545">
      <c r="A879" s="388" t="n">
        <v>8</v>
      </c>
      <c r="B879" s="605" t="n">
        <v>875</v>
      </c>
      <c r="AI879" s="605">
        <f>IF(AND($E879=Subj_OccCode,Subj_BldgSF&gt;0,ABS($L879-Subj_BldgSF)&lt;=Subj_BldgSF*Subj_SizeTol),ABS($L879-Subj_BldgSF),NA())</f>
        <v/>
      </c>
      <c r="AJ879">
        <f>IF(ISNA(AI879),NA(),AI879+ROW()/10000000)</f>
        <v/>
      </c>
      <c r="AK879" s="605">
        <f>IF(AND(ISNUMBER($N879),$N879&gt;0,ISNUMBER($Y879)),$Y879/$N879,"")</f>
        <v/>
      </c>
    </row>
    <row r="880" ht="15" customHeight="1" s="545">
      <c r="A880" s="388" t="n">
        <v>8</v>
      </c>
      <c r="B880" s="605" t="n">
        <v>876</v>
      </c>
      <c r="AI880" s="605">
        <f>IF(AND($E880=Subj_OccCode,Subj_BldgSF&gt;0,ABS($L880-Subj_BldgSF)&lt;=Subj_BldgSF*Subj_SizeTol),ABS($L880-Subj_BldgSF),NA())</f>
        <v/>
      </c>
      <c r="AJ880">
        <f>IF(ISNA(AI880),NA(),AI880+ROW()/10000000)</f>
        <v/>
      </c>
      <c r="AK880" s="605">
        <f>IF(AND(ISNUMBER($N880),$N880&gt;0,ISNUMBER($Y880)),$Y880/$N880,"")</f>
        <v/>
      </c>
    </row>
    <row r="881" ht="15" customHeight="1" s="545">
      <c r="A881" s="388" t="n">
        <v>8</v>
      </c>
      <c r="B881" s="605" t="n">
        <v>877</v>
      </c>
      <c r="AI881" s="605">
        <f>IF(AND($E881=Subj_OccCode,Subj_BldgSF&gt;0,ABS($L881-Subj_BldgSF)&lt;=Subj_BldgSF*Subj_SizeTol),ABS($L881-Subj_BldgSF),NA())</f>
        <v/>
      </c>
      <c r="AJ881">
        <f>IF(ISNA(AI881),NA(),AI881+ROW()/10000000)</f>
        <v/>
      </c>
      <c r="AK881" s="605">
        <f>IF(AND(ISNUMBER($N881),$N881&gt;0,ISNUMBER($Y881)),$Y881/$N881,"")</f>
        <v/>
      </c>
    </row>
    <row r="882" ht="15" customHeight="1" s="545">
      <c r="A882" s="388" t="n">
        <v>8</v>
      </c>
      <c r="B882" s="605" t="n">
        <v>878</v>
      </c>
      <c r="AI882" s="605">
        <f>IF(AND($E882=Subj_OccCode,Subj_BldgSF&gt;0,ABS($L882-Subj_BldgSF)&lt;=Subj_BldgSF*Subj_SizeTol),ABS($L882-Subj_BldgSF),NA())</f>
        <v/>
      </c>
      <c r="AJ882">
        <f>IF(ISNA(AI882),NA(),AI882+ROW()/10000000)</f>
        <v/>
      </c>
      <c r="AK882" s="605">
        <f>IF(AND(ISNUMBER($N882),$N882&gt;0,ISNUMBER($Y882)),$Y882/$N882,"")</f>
        <v/>
      </c>
    </row>
    <row r="883" ht="15" customHeight="1" s="545">
      <c r="A883" s="388" t="n">
        <v>8</v>
      </c>
      <c r="B883" s="605" t="n">
        <v>879</v>
      </c>
      <c r="AI883" s="605">
        <f>IF(AND($E883=Subj_OccCode,Subj_BldgSF&gt;0,ABS($L883-Subj_BldgSF)&lt;=Subj_BldgSF*Subj_SizeTol),ABS($L883-Subj_BldgSF),NA())</f>
        <v/>
      </c>
      <c r="AJ883">
        <f>IF(ISNA(AI883),NA(),AI883+ROW()/10000000)</f>
        <v/>
      </c>
      <c r="AK883" s="605">
        <f>IF(AND(ISNUMBER($N883),$N883&gt;0,ISNUMBER($Y883)),$Y883/$N883,"")</f>
        <v/>
      </c>
    </row>
    <row r="884" ht="15" customHeight="1" s="545">
      <c r="A884" s="388" t="n">
        <v>8</v>
      </c>
      <c r="B884" s="605" t="n">
        <v>880</v>
      </c>
      <c r="AI884" s="605">
        <f>IF(AND($E884=Subj_OccCode,Subj_BldgSF&gt;0,ABS($L884-Subj_BldgSF)&lt;=Subj_BldgSF*Subj_SizeTol),ABS($L884-Subj_BldgSF),NA())</f>
        <v/>
      </c>
      <c r="AJ884">
        <f>IF(ISNA(AI884),NA(),AI884+ROW()/10000000)</f>
        <v/>
      </c>
      <c r="AK884" s="605">
        <f>IF(AND(ISNUMBER($N884),$N884&gt;0,ISNUMBER($Y884)),$Y884/$N884,"")</f>
        <v/>
      </c>
    </row>
    <row r="885" ht="15" customHeight="1" s="545">
      <c r="A885" s="388" t="n">
        <v>8</v>
      </c>
      <c r="B885" s="605" t="n">
        <v>881</v>
      </c>
      <c r="AI885" s="605">
        <f>IF(AND($E885=Subj_OccCode,Subj_BldgSF&gt;0,ABS($L885-Subj_BldgSF)&lt;=Subj_BldgSF*Subj_SizeTol),ABS($L885-Subj_BldgSF),NA())</f>
        <v/>
      </c>
      <c r="AJ885">
        <f>IF(ISNA(AI885),NA(),AI885+ROW()/10000000)</f>
        <v/>
      </c>
      <c r="AK885" s="605">
        <f>IF(AND(ISNUMBER($N885),$N885&gt;0,ISNUMBER($Y885)),$Y885/$N885,"")</f>
        <v/>
      </c>
    </row>
    <row r="886" ht="15" customHeight="1" s="545">
      <c r="A886" s="388" t="n">
        <v>8</v>
      </c>
      <c r="B886" s="605" t="n">
        <v>882</v>
      </c>
      <c r="AI886" s="605">
        <f>IF(AND($E886=Subj_OccCode,Subj_BldgSF&gt;0,ABS($L886-Subj_BldgSF)&lt;=Subj_BldgSF*Subj_SizeTol),ABS($L886-Subj_BldgSF),NA())</f>
        <v/>
      </c>
      <c r="AJ886">
        <f>IF(ISNA(AI886),NA(),AI886+ROW()/10000000)</f>
        <v/>
      </c>
      <c r="AK886" s="605">
        <f>IF(AND(ISNUMBER($N886),$N886&gt;0,ISNUMBER($Y886)),$Y886/$N886,"")</f>
        <v/>
      </c>
    </row>
    <row r="887" ht="15" customHeight="1" s="545">
      <c r="A887" s="388" t="n">
        <v>8</v>
      </c>
      <c r="B887" s="605" t="n">
        <v>883</v>
      </c>
      <c r="AI887" s="605">
        <f>IF(AND($E887=Subj_OccCode,Subj_BldgSF&gt;0,ABS($L887-Subj_BldgSF)&lt;=Subj_BldgSF*Subj_SizeTol),ABS($L887-Subj_BldgSF),NA())</f>
        <v/>
      </c>
      <c r="AJ887">
        <f>IF(ISNA(AI887),NA(),AI887+ROW()/10000000)</f>
        <v/>
      </c>
      <c r="AK887" s="605">
        <f>IF(AND(ISNUMBER($N887),$N887&gt;0,ISNUMBER($Y887)),$Y887/$N887,"")</f>
        <v/>
      </c>
    </row>
    <row r="888" ht="15" customHeight="1" s="545">
      <c r="A888" s="388" t="n">
        <v>8</v>
      </c>
      <c r="B888" s="605" t="n">
        <v>884</v>
      </c>
      <c r="AI888" s="605">
        <f>IF(AND($E888=Subj_OccCode,Subj_BldgSF&gt;0,ABS($L888-Subj_BldgSF)&lt;=Subj_BldgSF*Subj_SizeTol),ABS($L888-Subj_BldgSF),NA())</f>
        <v/>
      </c>
      <c r="AJ888">
        <f>IF(ISNA(AI888),NA(),AI888+ROW()/10000000)</f>
        <v/>
      </c>
      <c r="AK888" s="605">
        <f>IF(AND(ISNUMBER($N888),$N888&gt;0,ISNUMBER($Y888)),$Y888/$N888,"")</f>
        <v/>
      </c>
    </row>
    <row r="889" ht="15" customHeight="1" s="545">
      <c r="A889" s="388" t="n">
        <v>8</v>
      </c>
      <c r="B889" s="605" t="n">
        <v>885</v>
      </c>
      <c r="AI889" s="605">
        <f>IF(AND($E889=Subj_OccCode,Subj_BldgSF&gt;0,ABS($L889-Subj_BldgSF)&lt;=Subj_BldgSF*Subj_SizeTol),ABS($L889-Subj_BldgSF),NA())</f>
        <v/>
      </c>
      <c r="AJ889">
        <f>IF(ISNA(AI889),NA(),AI889+ROW()/10000000)</f>
        <v/>
      </c>
      <c r="AK889" s="605">
        <f>IF(AND(ISNUMBER($N889),$N889&gt;0,ISNUMBER($Y889)),$Y889/$N889,"")</f>
        <v/>
      </c>
    </row>
    <row r="890" ht="15" customHeight="1" s="545">
      <c r="A890" s="388" t="n">
        <v>8</v>
      </c>
      <c r="B890" s="605" t="n">
        <v>886</v>
      </c>
      <c r="AI890" s="605">
        <f>IF(AND($E890=Subj_OccCode,Subj_BldgSF&gt;0,ABS($L890-Subj_BldgSF)&lt;=Subj_BldgSF*Subj_SizeTol),ABS($L890-Subj_BldgSF),NA())</f>
        <v/>
      </c>
      <c r="AJ890">
        <f>IF(ISNA(AI890),NA(),AI890+ROW()/10000000)</f>
        <v/>
      </c>
      <c r="AK890" s="605">
        <f>IF(AND(ISNUMBER($N890),$N890&gt;0,ISNUMBER($Y890)),$Y890/$N890,"")</f>
        <v/>
      </c>
    </row>
    <row r="891" ht="15" customHeight="1" s="545">
      <c r="A891" s="388" t="n">
        <v>8</v>
      </c>
      <c r="B891" s="605" t="n">
        <v>887</v>
      </c>
      <c r="AI891" s="605">
        <f>IF(AND($E891=Subj_OccCode,Subj_BldgSF&gt;0,ABS($L891-Subj_BldgSF)&lt;=Subj_BldgSF*Subj_SizeTol),ABS($L891-Subj_BldgSF),NA())</f>
        <v/>
      </c>
      <c r="AJ891">
        <f>IF(ISNA(AI891),NA(),AI891+ROW()/10000000)</f>
        <v/>
      </c>
      <c r="AK891" s="605">
        <f>IF(AND(ISNUMBER($N891),$N891&gt;0,ISNUMBER($Y891)),$Y891/$N891,"")</f>
        <v/>
      </c>
    </row>
    <row r="892" ht="15" customHeight="1" s="545">
      <c r="A892" s="388" t="n">
        <v>8</v>
      </c>
      <c r="B892" s="605" t="n">
        <v>888</v>
      </c>
      <c r="AI892" s="605">
        <f>IF(AND($E892=Subj_OccCode,Subj_BldgSF&gt;0,ABS($L892-Subj_BldgSF)&lt;=Subj_BldgSF*Subj_SizeTol),ABS($L892-Subj_BldgSF),NA())</f>
        <v/>
      </c>
      <c r="AJ892">
        <f>IF(ISNA(AI892),NA(),AI892+ROW()/10000000)</f>
        <v/>
      </c>
      <c r="AK892" s="605">
        <f>IF(AND(ISNUMBER($N892),$N892&gt;0,ISNUMBER($Y892)),$Y892/$N892,"")</f>
        <v/>
      </c>
    </row>
    <row r="893" ht="15" customHeight="1" s="545">
      <c r="A893" s="388" t="n">
        <v>8</v>
      </c>
      <c r="B893" s="605" t="n">
        <v>889</v>
      </c>
      <c r="AI893" s="605">
        <f>IF(AND($E893=Subj_OccCode,Subj_BldgSF&gt;0,ABS($L893-Subj_BldgSF)&lt;=Subj_BldgSF*Subj_SizeTol),ABS($L893-Subj_BldgSF),NA())</f>
        <v/>
      </c>
      <c r="AJ893">
        <f>IF(ISNA(AI893),NA(),AI893+ROW()/10000000)</f>
        <v/>
      </c>
      <c r="AK893" s="605">
        <f>IF(AND(ISNUMBER($N893),$N893&gt;0,ISNUMBER($Y893)),$Y893/$N893,"")</f>
        <v/>
      </c>
    </row>
    <row r="894" ht="15" customHeight="1" s="545">
      <c r="A894" s="388" t="n">
        <v>8</v>
      </c>
      <c r="B894" s="605" t="n">
        <v>890</v>
      </c>
      <c r="AI894" s="605">
        <f>IF(AND($E894=Subj_OccCode,Subj_BldgSF&gt;0,ABS($L894-Subj_BldgSF)&lt;=Subj_BldgSF*Subj_SizeTol),ABS($L894-Subj_BldgSF),NA())</f>
        <v/>
      </c>
      <c r="AJ894">
        <f>IF(ISNA(AI894),NA(),AI894+ROW()/10000000)</f>
        <v/>
      </c>
      <c r="AK894" s="605">
        <f>IF(AND(ISNUMBER($N894),$N894&gt;0,ISNUMBER($Y894)),$Y894/$N894,"")</f>
        <v/>
      </c>
    </row>
    <row r="895" ht="15" customHeight="1" s="545">
      <c r="A895" s="388" t="n">
        <v>8</v>
      </c>
      <c r="B895" s="605" t="n">
        <v>891</v>
      </c>
      <c r="AI895" s="605">
        <f>IF(AND($E895=Subj_OccCode,Subj_BldgSF&gt;0,ABS($L895-Subj_BldgSF)&lt;=Subj_BldgSF*Subj_SizeTol),ABS($L895-Subj_BldgSF),NA())</f>
        <v/>
      </c>
      <c r="AJ895">
        <f>IF(ISNA(AI895),NA(),AI895+ROW()/10000000)</f>
        <v/>
      </c>
      <c r="AK895" s="605">
        <f>IF(AND(ISNUMBER($N895),$N895&gt;0,ISNUMBER($Y895)),$Y895/$N895,"")</f>
        <v/>
      </c>
    </row>
    <row r="896" ht="15" customHeight="1" s="545">
      <c r="A896" s="388" t="n">
        <v>8</v>
      </c>
      <c r="B896" s="605" t="n">
        <v>892</v>
      </c>
      <c r="AI896" s="605">
        <f>IF(AND($E896=Subj_OccCode,Subj_BldgSF&gt;0,ABS($L896-Subj_BldgSF)&lt;=Subj_BldgSF*Subj_SizeTol),ABS($L896-Subj_BldgSF),NA())</f>
        <v/>
      </c>
      <c r="AJ896">
        <f>IF(ISNA(AI896),NA(),AI896+ROW()/10000000)</f>
        <v/>
      </c>
      <c r="AK896" s="605">
        <f>IF(AND(ISNUMBER($N896),$N896&gt;0,ISNUMBER($Y896)),$Y896/$N896,"")</f>
        <v/>
      </c>
    </row>
    <row r="897" ht="15" customHeight="1" s="545">
      <c r="A897" s="388" t="n">
        <v>8</v>
      </c>
      <c r="B897" s="605" t="n">
        <v>893</v>
      </c>
      <c r="AI897" s="605">
        <f>IF(AND($E897=Subj_OccCode,Subj_BldgSF&gt;0,ABS($L897-Subj_BldgSF)&lt;=Subj_BldgSF*Subj_SizeTol),ABS($L897-Subj_BldgSF),NA())</f>
        <v/>
      </c>
      <c r="AJ897">
        <f>IF(ISNA(AI897),NA(),AI897+ROW()/10000000)</f>
        <v/>
      </c>
      <c r="AK897" s="605">
        <f>IF(AND(ISNUMBER($N897),$N897&gt;0,ISNUMBER($Y897)),$Y897/$N897,"")</f>
        <v/>
      </c>
    </row>
    <row r="898" ht="15" customHeight="1" s="545">
      <c r="A898" s="388" t="n">
        <v>8</v>
      </c>
      <c r="B898" s="605" t="n">
        <v>894</v>
      </c>
      <c r="AI898" s="605">
        <f>IF(AND($E898=Subj_OccCode,Subj_BldgSF&gt;0,ABS($L898-Subj_BldgSF)&lt;=Subj_BldgSF*Subj_SizeTol),ABS($L898-Subj_BldgSF),NA())</f>
        <v/>
      </c>
      <c r="AJ898">
        <f>IF(ISNA(AI898),NA(),AI898+ROW()/10000000)</f>
        <v/>
      </c>
      <c r="AK898" s="605">
        <f>IF(AND(ISNUMBER($N898),$N898&gt;0,ISNUMBER($Y898)),$Y898/$N898,"")</f>
        <v/>
      </c>
    </row>
    <row r="899" ht="15" customHeight="1" s="545">
      <c r="A899" s="388" t="n">
        <v>8</v>
      </c>
      <c r="B899" s="605" t="n">
        <v>895</v>
      </c>
      <c r="AI899" s="605">
        <f>IF(AND($E899=Subj_OccCode,Subj_BldgSF&gt;0,ABS($L899-Subj_BldgSF)&lt;=Subj_BldgSF*Subj_SizeTol),ABS($L899-Subj_BldgSF),NA())</f>
        <v/>
      </c>
      <c r="AJ899">
        <f>IF(ISNA(AI899),NA(),AI899+ROW()/10000000)</f>
        <v/>
      </c>
      <c r="AK899" s="605">
        <f>IF(AND(ISNUMBER($N899),$N899&gt;0,ISNUMBER($Y899)),$Y899/$N899,"")</f>
        <v/>
      </c>
    </row>
    <row r="900" ht="15" customHeight="1" s="545">
      <c r="A900" s="388" t="n">
        <v>8</v>
      </c>
      <c r="B900" s="605" t="n">
        <v>896</v>
      </c>
      <c r="AI900" s="605">
        <f>IF(AND($E900=Subj_OccCode,Subj_BldgSF&gt;0,ABS($L900-Subj_BldgSF)&lt;=Subj_BldgSF*Subj_SizeTol),ABS($L900-Subj_BldgSF),NA())</f>
        <v/>
      </c>
      <c r="AJ900">
        <f>IF(ISNA(AI900),NA(),AI900+ROW()/10000000)</f>
        <v/>
      </c>
      <c r="AK900" s="605">
        <f>IF(AND(ISNUMBER($N900),$N900&gt;0,ISNUMBER($Y900)),$Y900/$N900,"")</f>
        <v/>
      </c>
    </row>
    <row r="901" ht="15" customHeight="1" s="545">
      <c r="A901" s="388" t="n">
        <v>8</v>
      </c>
      <c r="B901" s="605" t="n">
        <v>897</v>
      </c>
      <c r="AI901" s="605">
        <f>IF(AND($E901=Subj_OccCode,Subj_BldgSF&gt;0,ABS($L901-Subj_BldgSF)&lt;=Subj_BldgSF*Subj_SizeTol),ABS($L901-Subj_BldgSF),NA())</f>
        <v/>
      </c>
      <c r="AJ901">
        <f>IF(ISNA(AI901),NA(),AI901+ROW()/10000000)</f>
        <v/>
      </c>
      <c r="AK901" s="605">
        <f>IF(AND(ISNUMBER($N901),$N901&gt;0,ISNUMBER($Y901)),$Y901/$N901,"")</f>
        <v/>
      </c>
    </row>
    <row r="902" ht="15" customHeight="1" s="545">
      <c r="A902" s="388" t="n">
        <v>8</v>
      </c>
      <c r="B902" s="605" t="n">
        <v>898</v>
      </c>
      <c r="AI902" s="605">
        <f>IF(AND($E902=Subj_OccCode,Subj_BldgSF&gt;0,ABS($L902-Subj_BldgSF)&lt;=Subj_BldgSF*Subj_SizeTol),ABS($L902-Subj_BldgSF),NA())</f>
        <v/>
      </c>
      <c r="AJ902">
        <f>IF(ISNA(AI902),NA(),AI902+ROW()/10000000)</f>
        <v/>
      </c>
      <c r="AK902" s="605">
        <f>IF(AND(ISNUMBER($N902),$N902&gt;0,ISNUMBER($Y902)),$Y902/$N902,"")</f>
        <v/>
      </c>
    </row>
    <row r="903" ht="15" customHeight="1" s="545">
      <c r="A903" s="388" t="n">
        <v>8</v>
      </c>
      <c r="B903" s="605" t="n">
        <v>899</v>
      </c>
      <c r="AI903" s="605">
        <f>IF(AND($E903=Subj_OccCode,Subj_BldgSF&gt;0,ABS($L903-Subj_BldgSF)&lt;=Subj_BldgSF*Subj_SizeTol),ABS($L903-Subj_BldgSF),NA())</f>
        <v/>
      </c>
      <c r="AJ903">
        <f>IF(ISNA(AI903),NA(),AI903+ROW()/10000000)</f>
        <v/>
      </c>
      <c r="AK903" s="605">
        <f>IF(AND(ISNUMBER($N903),$N903&gt;0,ISNUMBER($Y903)),$Y903/$N903,"")</f>
        <v/>
      </c>
    </row>
    <row r="904" ht="15" customHeight="1" s="545">
      <c r="A904" s="388" t="n">
        <v>8</v>
      </c>
      <c r="B904" s="605" t="n">
        <v>900</v>
      </c>
      <c r="AI904" s="605">
        <f>IF(AND($E904=Subj_OccCode,Subj_BldgSF&gt;0,ABS($L904-Subj_BldgSF)&lt;=Subj_BldgSF*Subj_SizeTol),ABS($L904-Subj_BldgSF),NA())</f>
        <v/>
      </c>
      <c r="AJ904">
        <f>IF(ISNA(AI904),NA(),AI904+ROW()/10000000)</f>
        <v/>
      </c>
      <c r="AK904" s="605">
        <f>IF(AND(ISNUMBER($N904),$N904&gt;0,ISNUMBER($Y904)),$Y904/$N904,"")</f>
        <v/>
      </c>
    </row>
    <row r="905" ht="15" customHeight="1" s="545">
      <c r="A905" s="388" t="n">
        <v>8</v>
      </c>
      <c r="B905" s="605" t="n">
        <v>901</v>
      </c>
      <c r="AI905" s="605">
        <f>IF(AND($E905=Subj_OccCode,Subj_BldgSF&gt;0,ABS($L905-Subj_BldgSF)&lt;=Subj_BldgSF*Subj_SizeTol),ABS($L905-Subj_BldgSF),NA())</f>
        <v/>
      </c>
      <c r="AJ905">
        <f>IF(ISNA(AI905),NA(),AI905+ROW()/10000000)</f>
        <v/>
      </c>
      <c r="AK905" s="605">
        <f>IF(AND(ISNUMBER($N905),$N905&gt;0,ISNUMBER($Y905)),$Y905/$N905,"")</f>
        <v/>
      </c>
    </row>
    <row r="906" ht="15" customHeight="1" s="545">
      <c r="A906" s="388" t="n">
        <v>8</v>
      </c>
      <c r="B906" s="605" t="n">
        <v>902</v>
      </c>
      <c r="AI906" s="605">
        <f>IF(AND($E906=Subj_OccCode,Subj_BldgSF&gt;0,ABS($L906-Subj_BldgSF)&lt;=Subj_BldgSF*Subj_SizeTol),ABS($L906-Subj_BldgSF),NA())</f>
        <v/>
      </c>
      <c r="AJ906">
        <f>IF(ISNA(AI906),NA(),AI906+ROW()/10000000)</f>
        <v/>
      </c>
      <c r="AK906" s="605">
        <f>IF(AND(ISNUMBER($N906),$N906&gt;0,ISNUMBER($Y906)),$Y906/$N906,"")</f>
        <v/>
      </c>
    </row>
    <row r="907" ht="15" customHeight="1" s="545">
      <c r="A907" s="388" t="n">
        <v>8</v>
      </c>
      <c r="B907" s="605" t="n">
        <v>903</v>
      </c>
      <c r="AI907" s="605">
        <f>IF(AND($E907=Subj_OccCode,Subj_BldgSF&gt;0,ABS($L907-Subj_BldgSF)&lt;=Subj_BldgSF*Subj_SizeTol),ABS($L907-Subj_BldgSF),NA())</f>
        <v/>
      </c>
      <c r="AJ907">
        <f>IF(ISNA(AI907),NA(),AI907+ROW()/10000000)</f>
        <v/>
      </c>
      <c r="AK907" s="605">
        <f>IF(AND(ISNUMBER($N907),$N907&gt;0,ISNUMBER($Y907)),$Y907/$N907,"")</f>
        <v/>
      </c>
    </row>
    <row r="908" ht="15" customHeight="1" s="545">
      <c r="A908" s="388" t="n">
        <v>8</v>
      </c>
      <c r="B908" s="605" t="n">
        <v>904</v>
      </c>
      <c r="AI908" s="605">
        <f>IF(AND($E908=Subj_OccCode,Subj_BldgSF&gt;0,ABS($L908-Subj_BldgSF)&lt;=Subj_BldgSF*Subj_SizeTol),ABS($L908-Subj_BldgSF),NA())</f>
        <v/>
      </c>
      <c r="AJ908">
        <f>IF(ISNA(AI908),NA(),AI908+ROW()/10000000)</f>
        <v/>
      </c>
      <c r="AK908" s="605">
        <f>IF(AND(ISNUMBER($N908),$N908&gt;0,ISNUMBER($Y908)),$Y908/$N908,"")</f>
        <v/>
      </c>
    </row>
    <row r="909" ht="15" customHeight="1" s="545">
      <c r="A909" s="388" t="n">
        <v>8</v>
      </c>
      <c r="B909" s="605" t="n">
        <v>905</v>
      </c>
      <c r="AI909" s="605">
        <f>IF(AND($E909=Subj_OccCode,Subj_BldgSF&gt;0,ABS($L909-Subj_BldgSF)&lt;=Subj_BldgSF*Subj_SizeTol),ABS($L909-Subj_BldgSF),NA())</f>
        <v/>
      </c>
      <c r="AJ909">
        <f>IF(ISNA(AI909),NA(),AI909+ROW()/10000000)</f>
        <v/>
      </c>
      <c r="AK909" s="605">
        <f>IF(AND(ISNUMBER($N909),$N909&gt;0,ISNUMBER($Y909)),$Y909/$N909,"")</f>
        <v/>
      </c>
    </row>
    <row r="910" ht="15" customHeight="1" s="545">
      <c r="A910" s="388" t="n">
        <v>8</v>
      </c>
      <c r="B910" s="605" t="n">
        <v>906</v>
      </c>
      <c r="AI910" s="605">
        <f>IF(AND($E910=Subj_OccCode,Subj_BldgSF&gt;0,ABS($L910-Subj_BldgSF)&lt;=Subj_BldgSF*Subj_SizeTol),ABS($L910-Subj_BldgSF),NA())</f>
        <v/>
      </c>
      <c r="AJ910">
        <f>IF(ISNA(AI910),NA(),AI910+ROW()/10000000)</f>
        <v/>
      </c>
      <c r="AK910" s="605">
        <f>IF(AND(ISNUMBER($N910),$N910&gt;0,ISNUMBER($Y910)),$Y910/$N910,"")</f>
        <v/>
      </c>
    </row>
    <row r="911" ht="15" customHeight="1" s="545">
      <c r="A911" s="388" t="n">
        <v>8</v>
      </c>
      <c r="B911" s="605" t="n">
        <v>907</v>
      </c>
      <c r="AI911" s="605">
        <f>IF(AND($E911=Subj_OccCode,Subj_BldgSF&gt;0,ABS($L911-Subj_BldgSF)&lt;=Subj_BldgSF*Subj_SizeTol),ABS($L911-Subj_BldgSF),NA())</f>
        <v/>
      </c>
      <c r="AJ911">
        <f>IF(ISNA(AI911),NA(),AI911+ROW()/10000000)</f>
        <v/>
      </c>
      <c r="AK911" s="605">
        <f>IF(AND(ISNUMBER($N911),$N911&gt;0,ISNUMBER($Y911)),$Y911/$N911,"")</f>
        <v/>
      </c>
    </row>
    <row r="912" ht="15" customHeight="1" s="545">
      <c r="A912" s="388" t="n">
        <v>8</v>
      </c>
      <c r="B912" s="605" t="n">
        <v>908</v>
      </c>
      <c r="AI912" s="605">
        <f>IF(AND($E912=Subj_OccCode,Subj_BldgSF&gt;0,ABS($L912-Subj_BldgSF)&lt;=Subj_BldgSF*Subj_SizeTol),ABS($L912-Subj_BldgSF),NA())</f>
        <v/>
      </c>
      <c r="AJ912">
        <f>IF(ISNA(AI912),NA(),AI912+ROW()/10000000)</f>
        <v/>
      </c>
      <c r="AK912" s="605">
        <f>IF(AND(ISNUMBER($N912),$N912&gt;0,ISNUMBER($Y912)),$Y912/$N912,"")</f>
        <v/>
      </c>
    </row>
    <row r="913" ht="15" customHeight="1" s="545">
      <c r="A913" s="388" t="n">
        <v>8</v>
      </c>
      <c r="B913" s="605" t="n">
        <v>909</v>
      </c>
      <c r="AI913" s="605">
        <f>IF(AND($E913=Subj_OccCode,Subj_BldgSF&gt;0,ABS($L913-Subj_BldgSF)&lt;=Subj_BldgSF*Subj_SizeTol),ABS($L913-Subj_BldgSF),NA())</f>
        <v/>
      </c>
      <c r="AJ913">
        <f>IF(ISNA(AI913),NA(),AI913+ROW()/10000000)</f>
        <v/>
      </c>
      <c r="AK913" s="605">
        <f>IF(AND(ISNUMBER($N913),$N913&gt;0,ISNUMBER($Y913)),$Y913/$N913,"")</f>
        <v/>
      </c>
    </row>
    <row r="914" ht="15" customHeight="1" s="545">
      <c r="A914" s="388" t="n">
        <v>8</v>
      </c>
      <c r="B914" s="605" t="n">
        <v>910</v>
      </c>
      <c r="AI914" s="605">
        <f>IF(AND($E914=Subj_OccCode,Subj_BldgSF&gt;0,ABS($L914-Subj_BldgSF)&lt;=Subj_BldgSF*Subj_SizeTol),ABS($L914-Subj_BldgSF),NA())</f>
        <v/>
      </c>
      <c r="AJ914">
        <f>IF(ISNA(AI914),NA(),AI914+ROW()/10000000)</f>
        <v/>
      </c>
      <c r="AK914" s="605">
        <f>IF(AND(ISNUMBER($N914),$N914&gt;0,ISNUMBER($Y914)),$Y914/$N914,"")</f>
        <v/>
      </c>
    </row>
    <row r="915" ht="15" customHeight="1" s="545">
      <c r="A915" s="388" t="n">
        <v>8</v>
      </c>
      <c r="B915" s="605" t="n">
        <v>911</v>
      </c>
      <c r="AI915" s="605">
        <f>IF(AND($E915=Subj_OccCode,Subj_BldgSF&gt;0,ABS($L915-Subj_BldgSF)&lt;=Subj_BldgSF*Subj_SizeTol),ABS($L915-Subj_BldgSF),NA())</f>
        <v/>
      </c>
      <c r="AJ915">
        <f>IF(ISNA(AI915),NA(),AI915+ROW()/10000000)</f>
        <v/>
      </c>
      <c r="AK915" s="605">
        <f>IF(AND(ISNUMBER($N915),$N915&gt;0,ISNUMBER($Y915)),$Y915/$N915,"")</f>
        <v/>
      </c>
    </row>
    <row r="916" ht="15" customHeight="1" s="545">
      <c r="A916" s="388" t="n">
        <v>8</v>
      </c>
      <c r="B916" s="605" t="n">
        <v>912</v>
      </c>
      <c r="AI916" s="605">
        <f>IF(AND($E916=Subj_OccCode,Subj_BldgSF&gt;0,ABS($L916-Subj_BldgSF)&lt;=Subj_BldgSF*Subj_SizeTol),ABS($L916-Subj_BldgSF),NA())</f>
        <v/>
      </c>
      <c r="AJ916">
        <f>IF(ISNA(AI916),NA(),AI916+ROW()/10000000)</f>
        <v/>
      </c>
      <c r="AK916" s="605">
        <f>IF(AND(ISNUMBER($N916),$N916&gt;0,ISNUMBER($Y916)),$Y916/$N916,"")</f>
        <v/>
      </c>
    </row>
    <row r="917" ht="15" customHeight="1" s="545">
      <c r="A917" s="388" t="n">
        <v>8</v>
      </c>
      <c r="B917" s="605" t="n">
        <v>913</v>
      </c>
      <c r="AI917" s="605">
        <f>IF(AND($E917=Subj_OccCode,Subj_BldgSF&gt;0,ABS($L917-Subj_BldgSF)&lt;=Subj_BldgSF*Subj_SizeTol),ABS($L917-Subj_BldgSF),NA())</f>
        <v/>
      </c>
      <c r="AJ917">
        <f>IF(ISNA(AI917),NA(),AI917+ROW()/10000000)</f>
        <v/>
      </c>
      <c r="AK917" s="605">
        <f>IF(AND(ISNUMBER($N917),$N917&gt;0,ISNUMBER($Y917)),$Y917/$N917,"")</f>
        <v/>
      </c>
    </row>
    <row r="918" ht="15" customHeight="1" s="545">
      <c r="A918" s="388" t="n">
        <v>8</v>
      </c>
      <c r="B918" s="605" t="n">
        <v>914</v>
      </c>
      <c r="AI918" s="605">
        <f>IF(AND($E918=Subj_OccCode,Subj_BldgSF&gt;0,ABS($L918-Subj_BldgSF)&lt;=Subj_BldgSF*Subj_SizeTol),ABS($L918-Subj_BldgSF),NA())</f>
        <v/>
      </c>
      <c r="AJ918">
        <f>IF(ISNA(AI918),NA(),AI918+ROW()/10000000)</f>
        <v/>
      </c>
      <c r="AK918" s="605">
        <f>IF(AND(ISNUMBER($N918),$N918&gt;0,ISNUMBER($Y918)),$Y918/$N918,"")</f>
        <v/>
      </c>
    </row>
    <row r="919" ht="15" customHeight="1" s="545">
      <c r="A919" s="388" t="n">
        <v>8</v>
      </c>
      <c r="B919" s="605" t="n">
        <v>915</v>
      </c>
      <c r="AI919" s="605">
        <f>IF(AND($E919=Subj_OccCode,Subj_BldgSF&gt;0,ABS($L919-Subj_BldgSF)&lt;=Subj_BldgSF*Subj_SizeTol),ABS($L919-Subj_BldgSF),NA())</f>
        <v/>
      </c>
      <c r="AJ919">
        <f>IF(ISNA(AI919),NA(),AI919+ROW()/10000000)</f>
        <v/>
      </c>
      <c r="AK919" s="605">
        <f>IF(AND(ISNUMBER($N919),$N919&gt;0,ISNUMBER($Y919)),$Y919/$N919,"")</f>
        <v/>
      </c>
    </row>
    <row r="920" ht="15" customHeight="1" s="545">
      <c r="A920" s="388" t="n">
        <v>8</v>
      </c>
      <c r="B920" s="605" t="n">
        <v>916</v>
      </c>
      <c r="AI920" s="605">
        <f>IF(AND($E920=Subj_OccCode,Subj_BldgSF&gt;0,ABS($L920-Subj_BldgSF)&lt;=Subj_BldgSF*Subj_SizeTol),ABS($L920-Subj_BldgSF),NA())</f>
        <v/>
      </c>
      <c r="AJ920">
        <f>IF(ISNA(AI920),NA(),AI920+ROW()/10000000)</f>
        <v/>
      </c>
      <c r="AK920" s="605">
        <f>IF(AND(ISNUMBER($N920),$N920&gt;0,ISNUMBER($Y920)),$Y920/$N920,"")</f>
        <v/>
      </c>
    </row>
    <row r="921" ht="15" customHeight="1" s="545">
      <c r="A921" s="388" t="n">
        <v>8</v>
      </c>
      <c r="B921" s="605" t="n">
        <v>917</v>
      </c>
      <c r="AI921" s="605">
        <f>IF(AND($E921=Subj_OccCode,Subj_BldgSF&gt;0,ABS($L921-Subj_BldgSF)&lt;=Subj_BldgSF*Subj_SizeTol),ABS($L921-Subj_BldgSF),NA())</f>
        <v/>
      </c>
      <c r="AJ921">
        <f>IF(ISNA(AI921),NA(),AI921+ROW()/10000000)</f>
        <v/>
      </c>
      <c r="AK921" s="605">
        <f>IF(AND(ISNUMBER($N921),$N921&gt;0,ISNUMBER($Y921)),$Y921/$N921,"")</f>
        <v/>
      </c>
    </row>
    <row r="922" ht="15" customHeight="1" s="545">
      <c r="A922" s="388" t="n">
        <v>8</v>
      </c>
      <c r="B922" s="605" t="n">
        <v>918</v>
      </c>
      <c r="AI922" s="605">
        <f>IF(AND($E922=Subj_OccCode,Subj_BldgSF&gt;0,ABS($L922-Subj_BldgSF)&lt;=Subj_BldgSF*Subj_SizeTol),ABS($L922-Subj_BldgSF),NA())</f>
        <v/>
      </c>
      <c r="AJ922">
        <f>IF(ISNA(AI922),NA(),AI922+ROW()/10000000)</f>
        <v/>
      </c>
      <c r="AK922" s="605">
        <f>IF(AND(ISNUMBER($N922),$N922&gt;0,ISNUMBER($Y922)),$Y922/$N922,"")</f>
        <v/>
      </c>
    </row>
    <row r="923" ht="15" customHeight="1" s="545">
      <c r="A923" s="388" t="n">
        <v>8</v>
      </c>
      <c r="B923" s="605" t="n">
        <v>919</v>
      </c>
      <c r="AI923" s="605">
        <f>IF(AND($E923=Subj_OccCode,Subj_BldgSF&gt;0,ABS($L923-Subj_BldgSF)&lt;=Subj_BldgSF*Subj_SizeTol),ABS($L923-Subj_BldgSF),NA())</f>
        <v/>
      </c>
      <c r="AJ923">
        <f>IF(ISNA(AI923),NA(),AI923+ROW()/10000000)</f>
        <v/>
      </c>
      <c r="AK923" s="605">
        <f>IF(AND(ISNUMBER($N923),$N923&gt;0,ISNUMBER($Y923)),$Y923/$N923,"")</f>
        <v/>
      </c>
    </row>
    <row r="924" ht="15" customHeight="1" s="545">
      <c r="A924" s="388" t="n">
        <v>8</v>
      </c>
      <c r="B924" s="605" t="n">
        <v>920</v>
      </c>
      <c r="AI924" s="605">
        <f>IF(AND($E924=Subj_OccCode,Subj_BldgSF&gt;0,ABS($L924-Subj_BldgSF)&lt;=Subj_BldgSF*Subj_SizeTol),ABS($L924-Subj_BldgSF),NA())</f>
        <v/>
      </c>
      <c r="AJ924">
        <f>IF(ISNA(AI924),NA(),AI924+ROW()/10000000)</f>
        <v/>
      </c>
      <c r="AK924" s="605">
        <f>IF(AND(ISNUMBER($N924),$N924&gt;0,ISNUMBER($Y924)),$Y924/$N924,"")</f>
        <v/>
      </c>
    </row>
    <row r="925" ht="15" customHeight="1" s="545">
      <c r="A925" s="388" t="n">
        <v>8</v>
      </c>
      <c r="B925" s="605" t="n">
        <v>921</v>
      </c>
      <c r="AI925" s="605">
        <f>IF(AND($E925=Subj_OccCode,Subj_BldgSF&gt;0,ABS($L925-Subj_BldgSF)&lt;=Subj_BldgSF*Subj_SizeTol),ABS($L925-Subj_BldgSF),NA())</f>
        <v/>
      </c>
      <c r="AJ925">
        <f>IF(ISNA(AI925),NA(),AI925+ROW()/10000000)</f>
        <v/>
      </c>
      <c r="AK925" s="605">
        <f>IF(AND(ISNUMBER($N925),$N925&gt;0,ISNUMBER($Y925)),$Y925/$N925,"")</f>
        <v/>
      </c>
    </row>
    <row r="926" ht="15" customHeight="1" s="545">
      <c r="A926" s="388" t="n">
        <v>8</v>
      </c>
      <c r="B926" s="605" t="n">
        <v>922</v>
      </c>
      <c r="AI926" s="605">
        <f>IF(AND($E926=Subj_OccCode,Subj_BldgSF&gt;0,ABS($L926-Subj_BldgSF)&lt;=Subj_BldgSF*Subj_SizeTol),ABS($L926-Subj_BldgSF),NA())</f>
        <v/>
      </c>
      <c r="AJ926">
        <f>IF(ISNA(AI926),NA(),AI926+ROW()/10000000)</f>
        <v/>
      </c>
      <c r="AK926" s="605">
        <f>IF(AND(ISNUMBER($N926),$N926&gt;0,ISNUMBER($Y926)),$Y926/$N926,"")</f>
        <v/>
      </c>
    </row>
    <row r="927" ht="15" customHeight="1" s="545">
      <c r="A927" s="388" t="n">
        <v>8</v>
      </c>
      <c r="B927" s="605" t="n">
        <v>923</v>
      </c>
      <c r="AI927" s="605">
        <f>IF(AND($E927=Subj_OccCode,Subj_BldgSF&gt;0,ABS($L927-Subj_BldgSF)&lt;=Subj_BldgSF*Subj_SizeTol),ABS($L927-Subj_BldgSF),NA())</f>
        <v/>
      </c>
      <c r="AJ927">
        <f>IF(ISNA(AI927),NA(),AI927+ROW()/10000000)</f>
        <v/>
      </c>
      <c r="AK927" s="605">
        <f>IF(AND(ISNUMBER($N927),$N927&gt;0,ISNUMBER($Y927)),$Y927/$N927,"")</f>
        <v/>
      </c>
    </row>
    <row r="928" ht="15" customHeight="1" s="545">
      <c r="A928" s="388" t="n">
        <v>8</v>
      </c>
      <c r="B928" s="605" t="n">
        <v>924</v>
      </c>
      <c r="AI928" s="605">
        <f>IF(AND($E928=Subj_OccCode,Subj_BldgSF&gt;0,ABS($L928-Subj_BldgSF)&lt;=Subj_BldgSF*Subj_SizeTol),ABS($L928-Subj_BldgSF),NA())</f>
        <v/>
      </c>
      <c r="AJ928">
        <f>IF(ISNA(AI928),NA(),AI928+ROW()/10000000)</f>
        <v/>
      </c>
      <c r="AK928" s="605">
        <f>IF(AND(ISNUMBER($N928),$N928&gt;0,ISNUMBER($Y928)),$Y928/$N928,"")</f>
        <v/>
      </c>
    </row>
    <row r="929" ht="15" customHeight="1" s="545">
      <c r="A929" s="388" t="n">
        <v>8</v>
      </c>
      <c r="B929" s="605" t="n">
        <v>925</v>
      </c>
      <c r="AI929" s="605">
        <f>IF(AND($E929=Subj_OccCode,Subj_BldgSF&gt;0,ABS($L929-Subj_BldgSF)&lt;=Subj_BldgSF*Subj_SizeTol),ABS($L929-Subj_BldgSF),NA())</f>
        <v/>
      </c>
      <c r="AJ929">
        <f>IF(ISNA(AI929),NA(),AI929+ROW()/10000000)</f>
        <v/>
      </c>
      <c r="AK929" s="605">
        <f>IF(AND(ISNUMBER($N929),$N929&gt;0,ISNUMBER($Y929)),$Y929/$N929,"")</f>
        <v/>
      </c>
    </row>
    <row r="930" ht="15" customHeight="1" s="545">
      <c r="A930" s="388" t="n">
        <v>8</v>
      </c>
      <c r="B930" s="605" t="n">
        <v>926</v>
      </c>
      <c r="AI930" s="605">
        <f>IF(AND($E930=Subj_OccCode,Subj_BldgSF&gt;0,ABS($L930-Subj_BldgSF)&lt;=Subj_BldgSF*Subj_SizeTol),ABS($L930-Subj_BldgSF),NA())</f>
        <v/>
      </c>
      <c r="AJ930">
        <f>IF(ISNA(AI930),NA(),AI930+ROW()/10000000)</f>
        <v/>
      </c>
      <c r="AK930" s="605">
        <f>IF(AND(ISNUMBER($N930),$N930&gt;0,ISNUMBER($Y930)),$Y930/$N930,"")</f>
        <v/>
      </c>
    </row>
    <row r="931" ht="15" customHeight="1" s="545">
      <c r="A931" s="388" t="n">
        <v>8</v>
      </c>
      <c r="B931" s="605" t="n">
        <v>927</v>
      </c>
      <c r="AI931" s="605">
        <f>IF(AND($E931=Subj_OccCode,Subj_BldgSF&gt;0,ABS($L931-Subj_BldgSF)&lt;=Subj_BldgSF*Subj_SizeTol),ABS($L931-Subj_BldgSF),NA())</f>
        <v/>
      </c>
      <c r="AJ931">
        <f>IF(ISNA(AI931),NA(),AI931+ROW()/10000000)</f>
        <v/>
      </c>
      <c r="AK931" s="605">
        <f>IF(AND(ISNUMBER($N931),$N931&gt;0,ISNUMBER($Y931)),$Y931/$N931,"")</f>
        <v/>
      </c>
    </row>
    <row r="932" ht="15" customHeight="1" s="545">
      <c r="A932" s="388" t="n">
        <v>8</v>
      </c>
      <c r="B932" s="605" t="n">
        <v>928</v>
      </c>
      <c r="AI932" s="605">
        <f>IF(AND($E932=Subj_OccCode,Subj_BldgSF&gt;0,ABS($L932-Subj_BldgSF)&lt;=Subj_BldgSF*Subj_SizeTol),ABS($L932-Subj_BldgSF),NA())</f>
        <v/>
      </c>
      <c r="AJ932">
        <f>IF(ISNA(AI932),NA(),AI932+ROW()/10000000)</f>
        <v/>
      </c>
      <c r="AK932" s="605">
        <f>IF(AND(ISNUMBER($N932),$N932&gt;0,ISNUMBER($Y932)),$Y932/$N932,"")</f>
        <v/>
      </c>
    </row>
    <row r="933" ht="15" customHeight="1" s="545">
      <c r="A933" s="388" t="n">
        <v>8</v>
      </c>
      <c r="B933" s="605" t="n">
        <v>929</v>
      </c>
      <c r="AI933" s="605">
        <f>IF(AND($E933=Subj_OccCode,Subj_BldgSF&gt;0,ABS($L933-Subj_BldgSF)&lt;=Subj_BldgSF*Subj_SizeTol),ABS($L933-Subj_BldgSF),NA())</f>
        <v/>
      </c>
      <c r="AJ933">
        <f>IF(ISNA(AI933),NA(),AI933+ROW()/10000000)</f>
        <v/>
      </c>
      <c r="AK933" s="605">
        <f>IF(AND(ISNUMBER($N933),$N933&gt;0,ISNUMBER($Y933)),$Y933/$N933,"")</f>
        <v/>
      </c>
    </row>
    <row r="934" ht="15" customHeight="1" s="545">
      <c r="A934" s="388" t="n">
        <v>8</v>
      </c>
      <c r="B934" s="605" t="n">
        <v>930</v>
      </c>
      <c r="AI934" s="605">
        <f>IF(AND($E934=Subj_OccCode,Subj_BldgSF&gt;0,ABS($L934-Subj_BldgSF)&lt;=Subj_BldgSF*Subj_SizeTol),ABS($L934-Subj_BldgSF),NA())</f>
        <v/>
      </c>
      <c r="AJ934">
        <f>IF(ISNA(AI934),NA(),AI934+ROW()/10000000)</f>
        <v/>
      </c>
      <c r="AK934" s="605">
        <f>IF(AND(ISNUMBER($N934),$N934&gt;0,ISNUMBER($Y934)),$Y934/$N934,"")</f>
        <v/>
      </c>
    </row>
    <row r="935" ht="15" customHeight="1" s="545">
      <c r="A935" s="388" t="n">
        <v>8</v>
      </c>
      <c r="B935" s="605" t="n">
        <v>931</v>
      </c>
      <c r="AI935" s="605">
        <f>IF(AND($E935=Subj_OccCode,Subj_BldgSF&gt;0,ABS($L935-Subj_BldgSF)&lt;=Subj_BldgSF*Subj_SizeTol),ABS($L935-Subj_BldgSF),NA())</f>
        <v/>
      </c>
      <c r="AJ935">
        <f>IF(ISNA(AI935),NA(),AI935+ROW()/10000000)</f>
        <v/>
      </c>
      <c r="AK935" s="605">
        <f>IF(AND(ISNUMBER($N935),$N935&gt;0,ISNUMBER($Y935)),$Y935/$N935,"")</f>
        <v/>
      </c>
    </row>
    <row r="936" ht="15" customHeight="1" s="545">
      <c r="A936" s="388" t="n">
        <v>8</v>
      </c>
      <c r="B936" s="605" t="n">
        <v>932</v>
      </c>
      <c r="AI936" s="605">
        <f>IF(AND($E936=Subj_OccCode,Subj_BldgSF&gt;0,ABS($L936-Subj_BldgSF)&lt;=Subj_BldgSF*Subj_SizeTol),ABS($L936-Subj_BldgSF),NA())</f>
        <v/>
      </c>
      <c r="AJ936">
        <f>IF(ISNA(AI936),NA(),AI936+ROW()/10000000)</f>
        <v/>
      </c>
      <c r="AK936" s="605">
        <f>IF(AND(ISNUMBER($N936),$N936&gt;0,ISNUMBER($Y936)),$Y936/$N936,"")</f>
        <v/>
      </c>
    </row>
    <row r="937" ht="15" customHeight="1" s="545">
      <c r="A937" s="388" t="n">
        <v>8</v>
      </c>
      <c r="B937" s="605" t="n">
        <v>933</v>
      </c>
      <c r="AI937" s="605">
        <f>IF(AND($E937=Subj_OccCode,Subj_BldgSF&gt;0,ABS($L937-Subj_BldgSF)&lt;=Subj_BldgSF*Subj_SizeTol),ABS($L937-Subj_BldgSF),NA())</f>
        <v/>
      </c>
      <c r="AJ937">
        <f>IF(ISNA(AI937),NA(),AI937+ROW()/10000000)</f>
        <v/>
      </c>
      <c r="AK937" s="605">
        <f>IF(AND(ISNUMBER($N937),$N937&gt;0,ISNUMBER($Y937)),$Y937/$N937,"")</f>
        <v/>
      </c>
    </row>
    <row r="938" ht="15" customHeight="1" s="545">
      <c r="A938" s="388" t="n">
        <v>8</v>
      </c>
      <c r="B938" s="605" t="n">
        <v>934</v>
      </c>
      <c r="AI938" s="605">
        <f>IF(AND($E938=Subj_OccCode,Subj_BldgSF&gt;0,ABS($L938-Subj_BldgSF)&lt;=Subj_BldgSF*Subj_SizeTol),ABS($L938-Subj_BldgSF),NA())</f>
        <v/>
      </c>
      <c r="AJ938">
        <f>IF(ISNA(AI938),NA(),AI938+ROW()/10000000)</f>
        <v/>
      </c>
      <c r="AK938" s="605">
        <f>IF(AND(ISNUMBER($N938),$N938&gt;0,ISNUMBER($Y938)),$Y938/$N938,"")</f>
        <v/>
      </c>
    </row>
    <row r="939" ht="15" customHeight="1" s="545">
      <c r="A939" s="388" t="n">
        <v>8</v>
      </c>
      <c r="B939" s="605" t="n">
        <v>935</v>
      </c>
      <c r="AI939" s="605">
        <f>IF(AND($E939=Subj_OccCode,Subj_BldgSF&gt;0,ABS($L939-Subj_BldgSF)&lt;=Subj_BldgSF*Subj_SizeTol),ABS($L939-Subj_BldgSF),NA())</f>
        <v/>
      </c>
      <c r="AJ939">
        <f>IF(ISNA(AI939),NA(),AI939+ROW()/10000000)</f>
        <v/>
      </c>
      <c r="AK939" s="605">
        <f>IF(AND(ISNUMBER($N939),$N939&gt;0,ISNUMBER($Y939)),$Y939/$N939,"")</f>
        <v/>
      </c>
    </row>
    <row r="940" ht="15" customHeight="1" s="545">
      <c r="A940" s="388" t="n">
        <v>8</v>
      </c>
      <c r="B940" s="605" t="n">
        <v>936</v>
      </c>
      <c r="AI940" s="605">
        <f>IF(AND($E940=Subj_OccCode,Subj_BldgSF&gt;0,ABS($L940-Subj_BldgSF)&lt;=Subj_BldgSF*Subj_SizeTol),ABS($L940-Subj_BldgSF),NA())</f>
        <v/>
      </c>
      <c r="AJ940">
        <f>IF(ISNA(AI940),NA(),AI940+ROW()/10000000)</f>
        <v/>
      </c>
      <c r="AK940" s="605">
        <f>IF(AND(ISNUMBER($N940),$N940&gt;0,ISNUMBER($Y940)),$Y940/$N940,"")</f>
        <v/>
      </c>
    </row>
    <row r="941" ht="15" customHeight="1" s="545">
      <c r="A941" s="388" t="n">
        <v>8</v>
      </c>
      <c r="B941" s="605" t="n">
        <v>937</v>
      </c>
      <c r="AI941" s="605">
        <f>IF(AND($E941=Subj_OccCode,Subj_BldgSF&gt;0,ABS($L941-Subj_BldgSF)&lt;=Subj_BldgSF*Subj_SizeTol),ABS($L941-Subj_BldgSF),NA())</f>
        <v/>
      </c>
      <c r="AJ941">
        <f>IF(ISNA(AI941),NA(),AI941+ROW()/10000000)</f>
        <v/>
      </c>
      <c r="AK941" s="605">
        <f>IF(AND(ISNUMBER($N941),$N941&gt;0,ISNUMBER($Y941)),$Y941/$N941,"")</f>
        <v/>
      </c>
    </row>
  </sheetData>
  <autoFilter ref="A1:AH941"/>
  <conditionalFormatting sqref="C6:C289">
    <cfRule type="duplicateValues" priority="2" dxfId="2"/>
  </conditionalFormatting>
  <conditionalFormatting sqref="A2:AH941">
    <cfRule type="expression" priority="3" dxfId="0">
      <formula>MOD(ROW(),2)=0</formula>
    </cfRule>
  </conditionalFormatting>
  <pageMargins left="0.2" right="0.229861111111111" top="1" bottom="1" header="0.511811023622047" footer="0.511811023622047"/>
  <pageSetup orientation="landscape" paperSize="5" horizontalDpi="300" verticalDpi="300"/>
  <legacyDrawing xmlns:r="http://schemas.openxmlformats.org/officeDocument/2006/relationships" r:id="anysvml"/>
</worksheet>
</file>

<file path=xl/worksheets/sheet24.xml><?xml version="1.0" encoding="utf-8"?>
<worksheet xmlns="http://schemas.openxmlformats.org/spreadsheetml/2006/main">
  <sheetPr>
    <tabColor rgb="FF0E7490"/>
    <outlinePr summaryBelow="1" summaryRight="1"/>
    <pageSetUpPr fitToPage="1"/>
  </sheetPr>
  <dimension ref="A1:AP1019"/>
  <sheetViews>
    <sheetView zoomScale="90" zoomScaleNormal="90" workbookViewId="0">
      <pane ySplit="1" topLeftCell="A2" activePane="bottomLeft" state="frozen"/>
      <selection pane="bottomLeft" activeCell="A2" sqref="A2"/>
    </sheetView>
  </sheetViews>
  <sheetFormatPr baseColWidth="8" defaultColWidth="10.5703125" defaultRowHeight="12.75"/>
  <cols>
    <col width="6.42578125" customWidth="1" style="605" min="1" max="1"/>
    <col width="9.140625" customWidth="1" style="391" min="2" max="2"/>
    <col width="8" customWidth="1" style="605" min="3" max="3"/>
    <col width="21.7109375" customWidth="1" style="605" min="4" max="4"/>
    <col width="11.42578125" customWidth="1" style="605" min="5" max="5"/>
    <col width="36.42578125" customWidth="1" style="605" min="6" max="6"/>
    <col width="12.5703125" customWidth="1" style="392" min="7" max="7"/>
    <col width="8" customWidth="1" style="378" min="8" max="8"/>
    <col width="10.28515625" customWidth="1" style="605" min="9" max="10"/>
    <col width="9.140625" customWidth="1" style="605" min="11" max="11"/>
    <col width="8.7109375" customWidth="1" style="605" min="12" max="12"/>
    <col width="8" customWidth="1" style="378" min="13" max="14"/>
    <col width="9.140625" customWidth="1" style="393" min="15" max="16"/>
    <col width="10.5703125" customWidth="1" style="605" min="17" max="17"/>
    <col width="6.85546875" customWidth="1" style="545" min="18" max="18"/>
    <col width="9.140625" customWidth="1" style="545" min="19" max="19"/>
    <col width="14.85546875" customWidth="1" style="545" min="20" max="20"/>
    <col width="6.85546875" customWidth="1" style="605" min="21" max="21"/>
    <col width="10.28515625" customWidth="1" style="605" min="22" max="23"/>
    <col width="20.5703125" customWidth="1" style="605" min="24" max="24"/>
    <col width="25.140625" customWidth="1" style="605" min="25" max="25"/>
    <col width="6.85546875" customWidth="1" style="605" min="26" max="26"/>
    <col width="6.85546875" customWidth="1" style="545" min="27" max="27"/>
    <col width="6.85546875" customWidth="1" style="605" min="28" max="29"/>
    <col width="28.42578125" customWidth="1" style="605" min="30" max="30"/>
    <col width="9.42578125" customWidth="1" style="605" min="31" max="33"/>
    <col width="8.42578125" customWidth="1" style="605" min="34" max="34"/>
    <col width="13.28515625" customWidth="1" style="605" min="35" max="35"/>
    <col width="13.85546875" customWidth="1" style="605" min="36" max="36"/>
    <col width="59.28515625" customWidth="1" style="605" min="37" max="37"/>
    <col width="10.5703125" customWidth="1" style="605" min="38" max="38"/>
    <col width="6.85546875" customWidth="1" style="545" min="39" max="39"/>
    <col width="10.5703125" customWidth="1" style="605" min="40" max="42"/>
    <col width="10.5703125" customWidth="1" style="605" min="43" max="16384"/>
  </cols>
  <sheetData>
    <row r="1" ht="40.5" customHeight="1" s="545">
      <c r="A1" s="394" t="inlineStr">
        <is>
          <t>Pos</t>
        </is>
      </c>
      <c r="B1" s="395" t="inlineStr">
        <is>
          <t>Num</t>
        </is>
      </c>
      <c r="C1" s="394" t="inlineStr">
        <is>
          <t>Source</t>
        </is>
      </c>
      <c r="D1" s="394" t="inlineStr">
        <is>
          <t>Schedule</t>
        </is>
      </c>
      <c r="E1" s="394" t="inlineStr">
        <is>
          <t>Source</t>
        </is>
      </c>
      <c r="F1" s="394" t="inlineStr">
        <is>
          <t>Address</t>
        </is>
      </c>
      <c r="G1" s="396" t="inlineStr">
        <is>
          <t>Cls</t>
        </is>
      </c>
      <c r="H1" s="394" t="inlineStr">
        <is>
          <t>Model</t>
        </is>
      </c>
      <c r="I1" s="394" t="inlineStr">
        <is>
          <t>Loc</t>
        </is>
      </c>
      <c r="J1" s="394" t="inlineStr">
        <is>
          <t>NRA</t>
        </is>
      </c>
      <c r="K1" s="394" t="inlineStr">
        <is>
          <t>Rent</t>
        </is>
      </c>
      <c r="L1" s="394" t="inlineStr">
        <is>
          <t>Vac</t>
        </is>
      </c>
      <c r="M1" s="394" t="inlineStr">
        <is>
          <t>Exp</t>
        </is>
      </c>
      <c r="N1" s="394" t="inlineStr">
        <is>
          <t>YOC</t>
        </is>
      </c>
      <c r="O1" s="397" t="inlineStr">
        <is>
          <t>Office
Enclos.</t>
        </is>
      </c>
      <c r="P1" s="397" t="inlineStr">
        <is>
          <t>Extend.
Office</t>
        </is>
      </c>
      <c r="Q1" s="394" t="inlineStr">
        <is>
          <t>Wall
Height</t>
        </is>
      </c>
      <c r="R1" s="394" t="inlineStr">
        <is>
          <t>Wall
Type</t>
        </is>
      </c>
      <c r="S1" s="379" t="inlineStr">
        <is>
          <t># Units</t>
        </is>
      </c>
      <c r="T1" s="394" t="inlineStr">
        <is>
          <t>Zone</t>
        </is>
      </c>
      <c r="U1" s="394" t="inlineStr">
        <is>
          <t>Str</t>
        </is>
      </c>
      <c r="V1" s="394" t="inlineStr">
        <is>
          <t>L Area</t>
        </is>
      </c>
      <c r="W1" s="394" t="inlineStr">
        <is>
          <t>Land R</t>
        </is>
      </c>
      <c r="X1" s="394" t="inlineStr">
        <is>
          <t>L:B Ratio</t>
        </is>
      </c>
      <c r="Y1" s="394" t="inlineStr">
        <is>
          <t>Imp R</t>
        </is>
      </c>
      <c r="Z1" s="394" t="inlineStr">
        <is>
          <t>Grd</t>
        </is>
      </c>
      <c r="AA1" s="394" t="inlineStr">
        <is>
          <t>Phy</t>
        </is>
      </c>
      <c r="AB1" s="394" t="inlineStr">
        <is>
          <t>Fun</t>
        </is>
      </c>
      <c r="AC1" s="394" t="inlineStr">
        <is>
          <t>P_F</t>
        </is>
      </c>
      <c r="AD1" s="394" t="inlineStr">
        <is>
          <t>Tenant</t>
        </is>
      </c>
      <c r="AE1" s="394" t="inlineStr">
        <is>
          <t>PGI</t>
        </is>
      </c>
      <c r="AF1" s="394" t="inlineStr">
        <is>
          <t>EGI</t>
        </is>
      </c>
      <c r="AG1" s="394" t="inlineStr">
        <is>
          <t>NOI</t>
        </is>
      </c>
      <c r="AH1" s="394" t="inlineStr">
        <is>
          <t>$ EXP</t>
        </is>
      </c>
      <c r="AI1" s="394" t="inlineStr">
        <is>
          <t>Oth Inc/SF</t>
        </is>
      </c>
      <c r="AJ1" s="394" t="inlineStr">
        <is>
          <t>Pkg Inc/SP</t>
        </is>
      </c>
      <c r="AK1" s="398" t="inlineStr">
        <is>
          <t>Comments</t>
        </is>
      </c>
      <c r="AL1" s="605" t="inlineStr">
        <is>
          <t>Rent / Unit-Key</t>
        </is>
      </c>
    </row>
    <row r="2" ht="13.5" customHeight="1" s="545">
      <c r="A2" s="383" t="n">
        <v>5</v>
      </c>
      <c r="O2" s="399" t="n"/>
      <c r="P2" s="399" t="n"/>
      <c r="Q2" s="400" t="n"/>
      <c r="AB2" s="401" t="n"/>
      <c r="AC2" s="393" t="n"/>
      <c r="AL2" s="605">
        <f>IF(AND(ISNUMBER($S2),$S2&gt;0,ISNUMBER($K2),ISNUMBER($J2)),($K2*$J2)/$S2,"")</f>
        <v/>
      </c>
    </row>
    <row r="3" ht="12.75" customHeight="1" s="545">
      <c r="A3" s="383" t="n">
        <v>5</v>
      </c>
      <c r="O3" s="399" t="n"/>
      <c r="P3" s="399" t="n"/>
      <c r="Q3" s="400" t="n"/>
      <c r="AC3" s="393" t="n"/>
      <c r="AL3" s="605">
        <f>IF(AND(ISNUMBER($S3),$S3&gt;0,ISNUMBER($K3),ISNUMBER($J3)),($K3*$J3)/$S3,"")</f>
        <v/>
      </c>
    </row>
    <row r="4" ht="12.75" customHeight="1" s="545">
      <c r="A4" s="383" t="n">
        <v>5</v>
      </c>
      <c r="AB4" s="401" t="n"/>
      <c r="AC4" s="393" t="n"/>
      <c r="AL4" s="605">
        <f>IF(AND(ISNUMBER($S4),$S4&gt;0,ISNUMBER($K4),ISNUMBER($J4)),($K4*$J4)/$S4,"")</f>
        <v/>
      </c>
    </row>
    <row r="5" ht="12.75" customHeight="1" s="545">
      <c r="A5" s="383" t="n">
        <v>5</v>
      </c>
      <c r="AB5" s="401" t="n"/>
      <c r="AC5" s="393" t="n"/>
      <c r="AL5" s="605">
        <f>IF(AND(ISNUMBER($S5),$S5&gt;0,ISNUMBER($K5),ISNUMBER($J5)),($K5*$J5)/$S5,"")</f>
        <v/>
      </c>
    </row>
    <row r="6" ht="12.75" customFormat="1" customHeight="1" s="605">
      <c r="A6" s="402" t="n">
        <v>6</v>
      </c>
      <c r="B6" s="605" t="n">
        <v>1</v>
      </c>
      <c r="C6" s="605" t="inlineStr">
        <is>
          <t>2013Q</t>
        </is>
      </c>
      <c r="D6" s="605" t="inlineStr">
        <is>
          <t xml:space="preserve">01141-04-058-058 </t>
        </is>
      </c>
      <c r="E6" s="403" t="inlineStr">
        <is>
          <t>Actual</t>
        </is>
      </c>
      <c r="F6" s="605" t="inlineStr">
        <is>
          <t>5475   PEORIA               ST</t>
        </is>
      </c>
      <c r="G6" s="605" t="n">
        <v>44.8</v>
      </c>
      <c r="H6" s="605" t="n">
        <v>9102</v>
      </c>
      <c r="I6" s="403" t="n">
        <v>3</v>
      </c>
      <c r="J6" s="404" t="n">
        <v>1490</v>
      </c>
      <c r="K6" s="145" t="n">
        <v>6.04026845637584</v>
      </c>
      <c r="L6" s="153" t="n">
        <v>0</v>
      </c>
      <c r="M6" s="153" t="n">
        <v>0.272777777777778</v>
      </c>
      <c r="N6" s="605" t="n">
        <v>1985</v>
      </c>
      <c r="O6" s="605" t="n">
        <v>678</v>
      </c>
      <c r="P6" s="605" t="n">
        <v>0</v>
      </c>
      <c r="Q6" s="605" t="n">
        <v>17</v>
      </c>
      <c r="R6" s="605" t="n">
        <v>10</v>
      </c>
      <c r="S6" s="605" t="n">
        <v>1</v>
      </c>
      <c r="T6" s="403" t="inlineStr">
        <is>
          <t xml:space="preserve">I-MX-3      </t>
        </is>
      </c>
      <c r="U6" s="605" t="n">
        <v>398</v>
      </c>
      <c r="V6" s="404" t="n">
        <v>5810</v>
      </c>
      <c r="W6" s="404" t="n">
        <v>6000</v>
      </c>
      <c r="X6" s="392" t="inlineStr">
        <is>
          <t>3.9:1</t>
        </is>
      </c>
      <c r="Y6" s="404" t="n">
        <v>1000</v>
      </c>
      <c r="Z6" s="403" t="inlineStr">
        <is>
          <t xml:space="preserve">C </t>
        </is>
      </c>
      <c r="AD6" s="605" t="inlineStr">
        <is>
          <t xml:space="preserve">PEORIA PLAZA #4-112 </t>
        </is>
      </c>
      <c r="AK6" s="405" t="n"/>
    </row>
    <row r="7" ht="12.75" customFormat="1" customHeight="1" s="605">
      <c r="A7" s="402" t="n">
        <v>6</v>
      </c>
      <c r="B7" s="605" t="n">
        <v>2</v>
      </c>
      <c r="C7" s="605" t="inlineStr">
        <is>
          <t>2013Q</t>
        </is>
      </c>
      <c r="D7" s="605" t="inlineStr">
        <is>
          <t xml:space="preserve">01142-03-007-000 </t>
        </is>
      </c>
      <c r="E7" s="403" t="inlineStr">
        <is>
          <t>Actual</t>
        </is>
      </c>
      <c r="F7" s="605" t="inlineStr">
        <is>
          <t>5500   JOLIET               ST</t>
        </is>
      </c>
      <c r="G7" s="605" t="n">
        <v>44.2</v>
      </c>
      <c r="H7" s="605" t="n">
        <v>9102</v>
      </c>
      <c r="I7" s="403" t="n">
        <v>0</v>
      </c>
      <c r="J7" s="404" t="n">
        <v>15000</v>
      </c>
      <c r="K7" s="145" t="n">
        <v>8</v>
      </c>
      <c r="L7" s="153" t="n">
        <v>0</v>
      </c>
      <c r="M7" s="153" t="n">
        <v>0</v>
      </c>
      <c r="N7" s="605" t="n">
        <v>1981</v>
      </c>
      <c r="O7" s="605" t="n">
        <v>1860</v>
      </c>
      <c r="P7" s="605" t="n">
        <v>0</v>
      </c>
      <c r="Q7" s="605" t="n">
        <v>20</v>
      </c>
      <c r="R7" s="605" t="n">
        <v>3</v>
      </c>
      <c r="S7" s="605" t="n">
        <v>1</v>
      </c>
      <c r="T7" s="403" t="inlineStr">
        <is>
          <t xml:space="preserve">I-B         </t>
        </is>
      </c>
      <c r="U7" s="605" t="n">
        <v>398</v>
      </c>
      <c r="V7" s="404" t="n">
        <v>49257</v>
      </c>
      <c r="W7" s="404" t="n">
        <v>49000</v>
      </c>
      <c r="X7" s="392" t="inlineStr">
        <is>
          <t>3.3:1</t>
        </is>
      </c>
      <c r="Y7" s="404" t="n">
        <v>15000</v>
      </c>
      <c r="Z7" s="403" t="inlineStr">
        <is>
          <t xml:space="preserve">C </t>
        </is>
      </c>
      <c r="AK7" s="405" t="n"/>
    </row>
    <row r="8" ht="25.5" customFormat="1" customHeight="1" s="605">
      <c r="A8" s="402" t="n">
        <v>6</v>
      </c>
      <c r="B8" s="605" t="n">
        <v>3</v>
      </c>
      <c r="C8" s="605" t="inlineStr">
        <is>
          <t>2013Q</t>
        </is>
      </c>
      <c r="D8" s="605" t="inlineStr">
        <is>
          <t xml:space="preserve">01142-03-011-000 </t>
        </is>
      </c>
      <c r="E8" s="403" t="inlineStr">
        <is>
          <t>Actual</t>
        </is>
      </c>
      <c r="F8" s="605" t="inlineStr">
        <is>
          <t>5550   JOLIET               ST</t>
        </is>
      </c>
      <c r="G8" s="605" t="n">
        <v>44.2</v>
      </c>
      <c r="H8" s="605" t="n">
        <v>9102</v>
      </c>
      <c r="I8" s="403" t="n">
        <v>0</v>
      </c>
      <c r="J8" s="404" t="n">
        <v>19715</v>
      </c>
      <c r="K8" s="145" t="n">
        <v>5.96500126807</v>
      </c>
      <c r="L8" s="153" t="n">
        <v>0</v>
      </c>
      <c r="M8" s="153" t="n">
        <v>0</v>
      </c>
      <c r="N8" s="605" t="n">
        <v>1985</v>
      </c>
      <c r="O8" s="605" t="n">
        <v>4143</v>
      </c>
      <c r="P8" s="605" t="n">
        <v>0</v>
      </c>
      <c r="Q8" s="605" t="n">
        <v>26</v>
      </c>
      <c r="R8" s="605" t="n">
        <v>3</v>
      </c>
      <c r="S8" s="605" t="n">
        <v>1</v>
      </c>
      <c r="T8" s="403" t="inlineStr">
        <is>
          <t xml:space="preserve">I-B         </t>
        </is>
      </c>
      <c r="U8" s="605" t="n">
        <v>398</v>
      </c>
      <c r="V8" s="404" t="n">
        <v>46294</v>
      </c>
      <c r="W8" s="404" t="n">
        <v>46000</v>
      </c>
      <c r="X8" s="392" t="inlineStr">
        <is>
          <t>2.3:1</t>
        </is>
      </c>
      <c r="Y8" s="404" t="n">
        <v>20000</v>
      </c>
      <c r="Z8" s="403" t="inlineStr">
        <is>
          <t xml:space="preserve">C </t>
        </is>
      </c>
      <c r="AK8" s="405" t="inlineStr">
        <is>
          <t xml:space="preserve">MONTHLY LEASE - DATE OF COMMENCEMENT UNKNOWN.                     </t>
        </is>
      </c>
    </row>
    <row r="9" ht="12.75" customFormat="1" customHeight="1" s="605">
      <c r="A9" s="402" t="n">
        <v>6</v>
      </c>
      <c r="B9" s="605" t="n">
        <v>4</v>
      </c>
      <c r="C9" s="605" t="inlineStr">
        <is>
          <t>2013Q</t>
        </is>
      </c>
      <c r="D9" s="605" t="inlineStr">
        <is>
          <t xml:space="preserve">01142-03-014-000 </t>
        </is>
      </c>
      <c r="E9" s="403" t="inlineStr">
        <is>
          <t>Actual</t>
        </is>
      </c>
      <c r="F9" s="605" t="inlineStr">
        <is>
          <t>10975 E 55TH                 AV</t>
        </is>
      </c>
      <c r="G9" s="605" t="n">
        <v>44.2</v>
      </c>
      <c r="H9" s="605" t="n">
        <v>9102</v>
      </c>
      <c r="I9" s="403" t="n">
        <v>0</v>
      </c>
      <c r="J9" s="404" t="n">
        <v>37012</v>
      </c>
      <c r="K9" s="145" t="n">
        <v>4.03599539700806</v>
      </c>
      <c r="L9" s="153" t="n">
        <v>0</v>
      </c>
      <c r="M9" s="153" t="n">
        <v>0.104331561780069</v>
      </c>
      <c r="N9" s="605" t="n">
        <v>1999</v>
      </c>
      <c r="O9" s="605" t="n">
        <v>4485</v>
      </c>
      <c r="P9" s="605" t="n">
        <v>0</v>
      </c>
      <c r="Q9" s="605" t="n">
        <v>25</v>
      </c>
      <c r="R9" s="605" t="n">
        <v>14</v>
      </c>
      <c r="S9" s="605" t="n">
        <v>5</v>
      </c>
      <c r="T9" s="403" t="inlineStr">
        <is>
          <t xml:space="preserve">I-B         </t>
        </is>
      </c>
      <c r="U9" s="605" t="n">
        <v>398</v>
      </c>
      <c r="V9" s="404" t="n">
        <v>87567</v>
      </c>
      <c r="W9" s="404" t="n">
        <v>88000</v>
      </c>
      <c r="X9" s="392" t="inlineStr">
        <is>
          <t>2.4:1</t>
        </is>
      </c>
      <c r="Y9" s="404" t="n">
        <v>37000</v>
      </c>
      <c r="Z9" s="403" t="inlineStr">
        <is>
          <t xml:space="preserve">C </t>
        </is>
      </c>
      <c r="AD9" s="605" t="inlineStr">
        <is>
          <t xml:space="preserve">M-W                 </t>
        </is>
      </c>
      <c r="AK9" s="405" t="n"/>
    </row>
    <row r="10" ht="12.75" customFormat="1" customHeight="1" s="605">
      <c r="A10" s="402" t="n">
        <v>6</v>
      </c>
      <c r="B10" s="605" t="n">
        <v>5</v>
      </c>
      <c r="C10" s="605" t="inlineStr">
        <is>
          <t>2013Q</t>
        </is>
      </c>
      <c r="D10" s="605" t="inlineStr">
        <is>
          <t xml:space="preserve">01142-04-012-000 </t>
        </is>
      </c>
      <c r="E10" s="403" t="inlineStr">
        <is>
          <t>Actual</t>
        </is>
      </c>
      <c r="F10" s="605" t="inlineStr">
        <is>
          <t>5400   JOLIET               ST</t>
        </is>
      </c>
      <c r="G10" s="605" t="n">
        <v>44.2</v>
      </c>
      <c r="H10" s="605" t="n">
        <v>9102</v>
      </c>
      <c r="I10" s="403" t="n">
        <v>0</v>
      </c>
      <c r="J10" s="404" t="n">
        <v>25060</v>
      </c>
      <c r="K10" s="145" t="n">
        <v>5.75003990422985</v>
      </c>
      <c r="L10" s="153" t="n">
        <v>0</v>
      </c>
      <c r="M10" s="153" t="n">
        <v>0</v>
      </c>
      <c r="N10" s="605" t="n">
        <v>1982</v>
      </c>
      <c r="O10" s="605" t="n">
        <v>4620</v>
      </c>
      <c r="P10" s="605" t="n">
        <v>0</v>
      </c>
      <c r="Q10" s="605" t="n">
        <v>23</v>
      </c>
      <c r="R10" s="605" t="n">
        <v>3</v>
      </c>
      <c r="S10" s="605" t="n">
        <v>1</v>
      </c>
      <c r="T10" s="403" t="inlineStr">
        <is>
          <t xml:space="preserve">I-B         </t>
        </is>
      </c>
      <c r="U10" s="605" t="n">
        <v>398</v>
      </c>
      <c r="V10" s="404" t="n">
        <v>133400</v>
      </c>
      <c r="W10" s="404" t="n">
        <v>133000</v>
      </c>
      <c r="X10" s="392" t="inlineStr">
        <is>
          <t>5.3:1</t>
        </is>
      </c>
      <c r="Y10" s="404" t="n">
        <v>25000</v>
      </c>
      <c r="Z10" s="403" t="inlineStr">
        <is>
          <t xml:space="preserve">C </t>
        </is>
      </c>
      <c r="AD10" s="605" t="inlineStr">
        <is>
          <t>BURLINGTON AIR FRGHT</t>
        </is>
      </c>
      <c r="AK10" s="405" t="inlineStr">
        <is>
          <t xml:space="preserve">MAY BE OWNER-OCCUPIED.                                            </t>
        </is>
      </c>
    </row>
    <row r="11" ht="12.75" customFormat="1" customHeight="1" s="605">
      <c r="A11" s="402" t="n">
        <v>6</v>
      </c>
      <c r="B11" s="605" t="n">
        <v>6</v>
      </c>
      <c r="C11" s="605" t="inlineStr">
        <is>
          <t>2013Q</t>
        </is>
      </c>
      <c r="D11" s="605" t="inlineStr">
        <is>
          <t xml:space="preserve">01142-05-006-000 </t>
        </is>
      </c>
      <c r="E11" s="403" t="inlineStr">
        <is>
          <t>Actual</t>
        </is>
      </c>
      <c r="F11" s="605" t="inlineStr">
        <is>
          <t>11000 E 53RD                 AV</t>
        </is>
      </c>
      <c r="G11" s="605" t="n">
        <v>44.2</v>
      </c>
      <c r="H11" s="605" t="n">
        <v>9102</v>
      </c>
      <c r="I11" s="403" t="n">
        <v>0</v>
      </c>
      <c r="J11" s="404" t="n">
        <v>24319</v>
      </c>
      <c r="K11" s="145" t="n">
        <v>3.5034335293392</v>
      </c>
      <c r="L11" s="153" t="n">
        <v>0</v>
      </c>
      <c r="M11" s="153" t="n">
        <v>0</v>
      </c>
      <c r="N11" s="605" t="n">
        <v>1983</v>
      </c>
      <c r="O11" s="605" t="n">
        <v>462</v>
      </c>
      <c r="P11" s="605" t="n">
        <v>3519</v>
      </c>
      <c r="Q11" s="605" t="n">
        <v>23</v>
      </c>
      <c r="R11" s="605" t="n">
        <v>7</v>
      </c>
      <c r="S11" s="605" t="n">
        <v>1</v>
      </c>
      <c r="T11" s="403" t="inlineStr">
        <is>
          <t xml:space="preserve">I-B         </t>
        </is>
      </c>
      <c r="U11" s="605" t="n">
        <v>398</v>
      </c>
      <c r="V11" s="404" t="n">
        <v>100126</v>
      </c>
      <c r="W11" s="404" t="n">
        <v>100000</v>
      </c>
      <c r="X11" s="392" t="inlineStr">
        <is>
          <t>4.1:1</t>
        </is>
      </c>
      <c r="Y11" s="404" t="n">
        <v>24000</v>
      </c>
      <c r="Z11" s="403" t="inlineStr">
        <is>
          <t xml:space="preserve">C </t>
        </is>
      </c>
      <c r="AD11" s="605" t="inlineStr">
        <is>
          <t xml:space="preserve">KEY PRODUCTS        </t>
        </is>
      </c>
      <c r="AK11" s="405" t="inlineStr">
        <is>
          <t xml:space="preserve">2010 LEASE.                                                       </t>
        </is>
      </c>
    </row>
    <row r="12" ht="12.75" customFormat="1" customHeight="1" s="605">
      <c r="A12" s="402" t="n">
        <v>6</v>
      </c>
      <c r="B12" s="605" t="n">
        <v>7</v>
      </c>
      <c r="C12" s="605" t="inlineStr">
        <is>
          <t>2013Q</t>
        </is>
      </c>
      <c r="D12" s="605" t="inlineStr">
        <is>
          <t xml:space="preserve">01143-04-009-000 </t>
        </is>
      </c>
      <c r="E12" s="403" t="inlineStr">
        <is>
          <t>Actual</t>
        </is>
      </c>
      <c r="F12" s="605" t="inlineStr">
        <is>
          <t>4949   IRONTON              ST</t>
        </is>
      </c>
      <c r="G12" s="605" t="n">
        <v>44.2</v>
      </c>
      <c r="H12" s="605" t="n">
        <v>9102</v>
      </c>
      <c r="I12" s="403" t="n">
        <v>0</v>
      </c>
      <c r="J12" s="404" t="n">
        <v>9750</v>
      </c>
      <c r="K12" s="145" t="n">
        <v>10.4492307692308</v>
      </c>
      <c r="L12" s="153" t="n">
        <v>0</v>
      </c>
      <c r="M12" s="153" t="n">
        <v>0.0174126423243031</v>
      </c>
      <c r="N12" s="605" t="n">
        <v>1969</v>
      </c>
      <c r="O12" s="605" t="n">
        <v>4332</v>
      </c>
      <c r="P12" s="605" t="n">
        <v>0</v>
      </c>
      <c r="Q12" s="605" t="n">
        <v>14</v>
      </c>
      <c r="R12" s="605" t="n">
        <v>3</v>
      </c>
      <c r="S12" s="605" t="n">
        <v>1</v>
      </c>
      <c r="T12" s="403" t="inlineStr">
        <is>
          <t xml:space="preserve">I-B         </t>
        </is>
      </c>
      <c r="U12" s="605" t="n">
        <v>398</v>
      </c>
      <c r="V12" s="404" t="n">
        <v>27610</v>
      </c>
      <c r="W12" s="404" t="n">
        <v>28000</v>
      </c>
      <c r="X12" s="392" t="inlineStr">
        <is>
          <t>2.8:1</t>
        </is>
      </c>
      <c r="Y12" s="404" t="n">
        <v>10000</v>
      </c>
      <c r="Z12" s="403" t="inlineStr">
        <is>
          <t xml:space="preserve">C </t>
        </is>
      </c>
      <c r="AK12" s="405" t="inlineStr">
        <is>
          <t xml:space="preserve">2009 LEASE.                                                       </t>
        </is>
      </c>
    </row>
    <row r="13" ht="12.75" customFormat="1" customHeight="1" s="605">
      <c r="A13" s="402" t="n">
        <v>6</v>
      </c>
      <c r="B13" s="605" t="n">
        <v>8</v>
      </c>
      <c r="C13" s="605" t="inlineStr">
        <is>
          <t>2013Q</t>
        </is>
      </c>
      <c r="D13" s="605" t="inlineStr">
        <is>
          <t xml:space="preserve">01143-04-012-000 </t>
        </is>
      </c>
      <c r="E13" s="403" t="inlineStr">
        <is>
          <t>Actual</t>
        </is>
      </c>
      <c r="F13" s="605" t="inlineStr">
        <is>
          <t>5005   IRONTON              ST</t>
        </is>
      </c>
      <c r="G13" s="605" t="n">
        <v>44.2</v>
      </c>
      <c r="H13" s="605" t="n">
        <v>9102</v>
      </c>
      <c r="I13" s="403" t="n">
        <v>0</v>
      </c>
      <c r="J13" s="404" t="n">
        <v>51649</v>
      </c>
      <c r="K13" s="145" t="n">
        <v>3.75000484036477</v>
      </c>
      <c r="L13" s="153" t="n">
        <v>0</v>
      </c>
      <c r="M13" s="153" t="n">
        <v>0</v>
      </c>
      <c r="N13" s="605" t="n">
        <v>1981</v>
      </c>
      <c r="O13" s="605" t="n">
        <v>2089</v>
      </c>
      <c r="P13" s="605" t="n">
        <v>0</v>
      </c>
      <c r="Q13" s="605" t="n">
        <v>20</v>
      </c>
      <c r="R13" s="605" t="n">
        <v>3</v>
      </c>
      <c r="S13" s="605" t="n">
        <v>1</v>
      </c>
      <c r="T13" s="403" t="inlineStr">
        <is>
          <t xml:space="preserve">I-B         </t>
        </is>
      </c>
      <c r="U13" s="605" t="n">
        <v>398</v>
      </c>
      <c r="V13" s="404" t="n">
        <v>83200</v>
      </c>
      <c r="W13" s="404" t="n">
        <v>83000</v>
      </c>
      <c r="X13" s="392" t="inlineStr">
        <is>
          <t>1.6:1</t>
        </is>
      </c>
      <c r="Y13" s="404" t="n">
        <v>52000</v>
      </c>
      <c r="Z13" s="403" t="inlineStr">
        <is>
          <t xml:space="preserve">C </t>
        </is>
      </c>
      <c r="AK13" s="405" t="n"/>
    </row>
    <row r="14" ht="12.75" customFormat="1" customHeight="1" s="605">
      <c r="A14" s="402" t="n">
        <v>6</v>
      </c>
      <c r="B14" s="605" t="n">
        <v>9</v>
      </c>
      <c r="C14" s="605" t="inlineStr">
        <is>
          <t>2013Q</t>
        </is>
      </c>
      <c r="D14" s="605" t="inlineStr">
        <is>
          <t xml:space="preserve">01144-01-017-000 </t>
        </is>
      </c>
      <c r="E14" s="403" t="inlineStr">
        <is>
          <t>Actual</t>
        </is>
      </c>
      <c r="F14" s="605" t="inlineStr">
        <is>
          <t>11185 E 51ST                 AV</t>
        </is>
      </c>
      <c r="G14" s="605" t="n">
        <v>44.2</v>
      </c>
      <c r="H14" s="605" t="n">
        <v>9102</v>
      </c>
      <c r="I14" s="403" t="n">
        <v>0</v>
      </c>
      <c r="J14" s="404" t="n">
        <v>3321</v>
      </c>
      <c r="K14" s="145" t="n">
        <v>10.5389942788317</v>
      </c>
      <c r="L14" s="153" t="n">
        <v>0</v>
      </c>
      <c r="M14" s="153" t="n">
        <v>0.122</v>
      </c>
      <c r="N14" s="605" t="n">
        <v>1973</v>
      </c>
      <c r="O14" s="605" t="n">
        <v>820</v>
      </c>
      <c r="P14" s="605" t="n">
        <v>0</v>
      </c>
      <c r="Q14" s="605" t="n">
        <v>16</v>
      </c>
      <c r="R14" s="605" t="n">
        <v>7</v>
      </c>
      <c r="S14" s="605" t="n">
        <v>1</v>
      </c>
      <c r="T14" s="403" t="inlineStr">
        <is>
          <t xml:space="preserve">I-B         </t>
        </is>
      </c>
      <c r="U14" s="605" t="n">
        <v>398</v>
      </c>
      <c r="V14" s="404" t="n">
        <v>18097</v>
      </c>
      <c r="W14" s="404" t="n">
        <v>18000</v>
      </c>
      <c r="X14" s="392" t="inlineStr">
        <is>
          <t>5.4:1</t>
        </is>
      </c>
      <c r="Y14" s="404" t="n">
        <v>3000</v>
      </c>
      <c r="Z14" s="403" t="inlineStr">
        <is>
          <t xml:space="preserve">C </t>
        </is>
      </c>
      <c r="AD14" s="605" t="inlineStr">
        <is>
          <t>S-D-CONSOL ENGINEERG</t>
        </is>
      </c>
      <c r="AK14" s="405" t="n"/>
    </row>
    <row r="15" ht="12.75" customFormat="1" customHeight="1" s="605">
      <c r="A15" s="402" t="n">
        <v>6</v>
      </c>
      <c r="B15" s="605" t="n">
        <v>10</v>
      </c>
      <c r="C15" s="605" t="inlineStr">
        <is>
          <t>2013Q</t>
        </is>
      </c>
      <c r="D15" s="605" t="inlineStr">
        <is>
          <t xml:space="preserve">01144-02-008-000 </t>
        </is>
      </c>
      <c r="E15" s="403" t="inlineStr">
        <is>
          <t>Actual</t>
        </is>
      </c>
      <c r="F15" s="605" t="inlineStr">
        <is>
          <t>5055   LIMA                 ST</t>
        </is>
      </c>
      <c r="G15" s="605" t="n">
        <v>44.2</v>
      </c>
      <c r="H15" s="605" t="n">
        <v>9102</v>
      </c>
      <c r="I15" s="403" t="n">
        <v>0</v>
      </c>
      <c r="J15" s="404" t="n">
        <v>39832</v>
      </c>
      <c r="K15" s="145" t="n">
        <v>4.21771440048202</v>
      </c>
      <c r="L15" s="153" t="n">
        <v>0</v>
      </c>
      <c r="M15" s="153" t="n">
        <v>0.169672619047619</v>
      </c>
      <c r="N15" s="605" t="n">
        <v>1978</v>
      </c>
      <c r="O15" s="605" t="n">
        <v>335</v>
      </c>
      <c r="P15" s="605" t="n">
        <v>3874</v>
      </c>
      <c r="Q15" s="605" t="n">
        <v>26</v>
      </c>
      <c r="R15" s="605" t="n">
        <v>3</v>
      </c>
      <c r="S15" s="605" t="n">
        <v>1</v>
      </c>
      <c r="T15" s="403" t="inlineStr">
        <is>
          <t xml:space="preserve">I-B         </t>
        </is>
      </c>
      <c r="U15" s="605" t="n">
        <v>398</v>
      </c>
      <c r="V15" s="404" t="n">
        <v>77488</v>
      </c>
      <c r="W15" s="404" t="n">
        <v>77000</v>
      </c>
      <c r="X15" s="392" t="inlineStr">
        <is>
          <t>1.9:1</t>
        </is>
      </c>
      <c r="Y15" s="404" t="n">
        <v>40000</v>
      </c>
      <c r="Z15" s="403" t="inlineStr">
        <is>
          <t xml:space="preserve">C </t>
        </is>
      </c>
      <c r="AD15" s="605" t="inlineStr">
        <is>
          <t xml:space="preserve">S-W                 </t>
        </is>
      </c>
      <c r="AK15" s="405" t="inlineStr">
        <is>
          <t xml:space="preserve">2009 LEASE - SINGLE-TENANT.                                       </t>
        </is>
      </c>
    </row>
    <row r="16" ht="12.75" customFormat="1" customHeight="1" s="605">
      <c r="A16" s="402" t="n">
        <v>6</v>
      </c>
      <c r="B16" s="605" t="n">
        <v>11</v>
      </c>
      <c r="C16" s="605" t="inlineStr">
        <is>
          <t>2013Q</t>
        </is>
      </c>
      <c r="D16" s="605" t="inlineStr">
        <is>
          <t xml:space="preserve">01144-04-004-000 </t>
        </is>
      </c>
      <c r="E16" s="403" t="inlineStr">
        <is>
          <t>Actual</t>
        </is>
      </c>
      <c r="F16" s="605" t="inlineStr">
        <is>
          <t>5098   PARIS                ST</t>
        </is>
      </c>
      <c r="G16" s="605" t="n">
        <v>47.2</v>
      </c>
      <c r="H16" s="605" t="n">
        <v>9102</v>
      </c>
      <c r="I16" s="403" t="n">
        <v>0</v>
      </c>
      <c r="J16" s="404" t="n">
        <v>8167</v>
      </c>
      <c r="K16" s="145" t="n">
        <v>7.34663891269744</v>
      </c>
      <c r="L16" s="153" t="n">
        <v>0</v>
      </c>
      <c r="M16" s="153" t="n">
        <v>0.10865</v>
      </c>
      <c r="N16" s="605" t="n">
        <v>1980</v>
      </c>
      <c r="O16" s="605" t="n">
        <v>2237</v>
      </c>
      <c r="P16" s="605" t="n">
        <v>0</v>
      </c>
      <c r="Q16" s="605" t="n">
        <v>14</v>
      </c>
      <c r="R16" s="605" t="n">
        <v>7</v>
      </c>
      <c r="S16" s="605" t="n">
        <v>1</v>
      </c>
      <c r="T16" s="403" t="inlineStr">
        <is>
          <t xml:space="preserve">I-A         </t>
        </is>
      </c>
      <c r="U16" s="605" t="n">
        <v>401</v>
      </c>
      <c r="V16" s="404" t="n">
        <v>49529</v>
      </c>
      <c r="W16" s="404" t="n">
        <v>50000</v>
      </c>
      <c r="X16" s="392" t="inlineStr">
        <is>
          <t>6.1:1</t>
        </is>
      </c>
      <c r="Y16" s="404" t="n">
        <v>8000</v>
      </c>
      <c r="Z16" s="403" t="inlineStr">
        <is>
          <t xml:space="preserve">C </t>
        </is>
      </c>
      <c r="AK16" s="405" t="inlineStr">
        <is>
          <t xml:space="preserve">2010 LEASE.                                                       </t>
        </is>
      </c>
    </row>
    <row r="17" ht="12.75" customFormat="1" customHeight="1" s="605">
      <c r="A17" s="402" t="n">
        <v>6</v>
      </c>
      <c r="B17" s="605" t="n">
        <v>12</v>
      </c>
      <c r="C17" s="605" t="inlineStr">
        <is>
          <t>2013Q</t>
        </is>
      </c>
      <c r="D17" s="605" t="inlineStr">
        <is>
          <t xml:space="preserve">01144-04-008-000 </t>
        </is>
      </c>
      <c r="E17" s="403" t="inlineStr">
        <is>
          <t>Actual</t>
        </is>
      </c>
      <c r="F17" s="605" t="inlineStr">
        <is>
          <t>4990   PARIS                ST</t>
        </is>
      </c>
      <c r="G17" s="605" t="n">
        <v>44.2</v>
      </c>
      <c r="H17" s="605" t="n">
        <v>9102</v>
      </c>
      <c r="I17" s="403" t="n">
        <v>0</v>
      </c>
      <c r="J17" s="404" t="n">
        <v>9192</v>
      </c>
      <c r="K17" s="145" t="n">
        <v>6.09268929503917</v>
      </c>
      <c r="L17" s="153" t="n">
        <v>0</v>
      </c>
      <c r="M17" s="153" t="n">
        <v>0.0537818727233769</v>
      </c>
      <c r="N17" s="605" t="n">
        <v>1981</v>
      </c>
      <c r="O17" s="605" t="n">
        <v>2752</v>
      </c>
      <c r="P17" s="605" t="n">
        <v>946</v>
      </c>
      <c r="Q17" s="605" t="n">
        <v>17</v>
      </c>
      <c r="R17" s="605" t="n">
        <v>10</v>
      </c>
      <c r="S17" s="605" t="n">
        <v>1</v>
      </c>
      <c r="T17" s="403" t="inlineStr">
        <is>
          <t xml:space="preserve">I-A         </t>
        </is>
      </c>
      <c r="U17" s="605" t="n">
        <v>398</v>
      </c>
      <c r="V17" s="404" t="n">
        <v>25983</v>
      </c>
      <c r="W17" s="404" t="n">
        <v>26000</v>
      </c>
      <c r="X17" s="392" t="inlineStr">
        <is>
          <t>2.8:1</t>
        </is>
      </c>
      <c r="Y17" s="404" t="n">
        <v>9000</v>
      </c>
      <c r="Z17" s="403" t="inlineStr">
        <is>
          <t xml:space="preserve">C </t>
        </is>
      </c>
      <c r="AK17" s="405" t="n"/>
    </row>
    <row r="18" ht="12.75" customFormat="1" customHeight="1" s="605">
      <c r="A18" s="402" t="n">
        <v>6</v>
      </c>
      <c r="B18" s="605" t="n">
        <v>13</v>
      </c>
      <c r="C18" s="605" t="inlineStr">
        <is>
          <t>2013Q</t>
        </is>
      </c>
      <c r="D18" s="605" t="inlineStr">
        <is>
          <t xml:space="preserve">01144-05-011-000 </t>
        </is>
      </c>
      <c r="E18" s="403" t="inlineStr">
        <is>
          <t>Actual</t>
        </is>
      </c>
      <c r="F18" s="605" t="inlineStr">
        <is>
          <t>5045   OAKLAND              ST</t>
        </is>
      </c>
      <c r="G18" s="605" t="n">
        <v>44.2</v>
      </c>
      <c r="H18" s="605" t="n">
        <v>9102</v>
      </c>
      <c r="I18" s="403" t="n">
        <v>0</v>
      </c>
      <c r="J18" s="404" t="n">
        <v>30878</v>
      </c>
      <c r="K18" s="145" t="n">
        <v>3.34999028434484</v>
      </c>
      <c r="L18" s="153" t="n">
        <v>0</v>
      </c>
      <c r="M18" s="153" t="n">
        <v>0.0715383648649955</v>
      </c>
      <c r="N18" s="605" t="n">
        <v>1978</v>
      </c>
      <c r="O18" s="605" t="n">
        <v>817</v>
      </c>
      <c r="P18" s="605" t="n">
        <v>1742</v>
      </c>
      <c r="Q18" s="605" t="n">
        <v>21</v>
      </c>
      <c r="R18" s="605" t="n">
        <v>10</v>
      </c>
      <c r="S18" s="605" t="n">
        <v>1</v>
      </c>
      <c r="T18" s="403" t="inlineStr">
        <is>
          <t xml:space="preserve">I-A         </t>
        </is>
      </c>
      <c r="U18" s="605" t="n">
        <v>398</v>
      </c>
      <c r="V18" s="404" t="n">
        <v>58464</v>
      </c>
      <c r="W18" s="404" t="n">
        <v>58000</v>
      </c>
      <c r="X18" s="392" t="inlineStr">
        <is>
          <t>1.9:1</t>
        </is>
      </c>
      <c r="Y18" s="404" t="n">
        <v>31000</v>
      </c>
      <c r="Z18" s="403" t="inlineStr">
        <is>
          <t xml:space="preserve">C </t>
        </is>
      </c>
      <c r="AD18" s="605" t="inlineStr">
        <is>
          <t xml:space="preserve">S-W ERICKSON METALS </t>
        </is>
      </c>
      <c r="AK18" s="405" t="n"/>
    </row>
    <row r="19" ht="12.75" customFormat="1" customHeight="1" s="605">
      <c r="A19" s="402" t="n">
        <v>6</v>
      </c>
      <c r="B19" s="605" t="inlineStr">
        <is>
          <t>OFFICE</t>
        </is>
      </c>
      <c r="C19" s="605" t="inlineStr">
        <is>
          <t>2013Q</t>
        </is>
      </c>
      <c r="D19" s="605" t="inlineStr">
        <is>
          <t xml:space="preserve">01144-06-010-000 </t>
        </is>
      </c>
      <c r="E19" s="403" t="inlineStr">
        <is>
          <t>Actual</t>
        </is>
      </c>
      <c r="F19" s="605" t="inlineStr">
        <is>
          <t>4990   OAKLAND              ST</t>
        </is>
      </c>
      <c r="G19" s="605" t="n">
        <v>44.1</v>
      </c>
      <c r="H19" s="605" t="n">
        <v>9102</v>
      </c>
      <c r="I19" s="403" t="n">
        <v>0</v>
      </c>
      <c r="J19" s="404" t="n">
        <v>27238</v>
      </c>
      <c r="K19" s="145" t="n">
        <v>5.21642558190763</v>
      </c>
      <c r="L19" s="153" t="n">
        <v>0</v>
      </c>
      <c r="M19" s="153" t="n">
        <v>0.0281521624379773</v>
      </c>
      <c r="N19" s="605" t="n">
        <v>1978</v>
      </c>
      <c r="O19" s="605" t="n">
        <v>4925</v>
      </c>
      <c r="P19" s="605" t="n">
        <v>0</v>
      </c>
      <c r="Q19" s="605" t="n">
        <v>21</v>
      </c>
      <c r="R19" s="605" t="n">
        <v>10</v>
      </c>
      <c r="S19" s="605" t="n">
        <v>1</v>
      </c>
      <c r="T19" s="403" t="inlineStr">
        <is>
          <t xml:space="preserve">I-A         </t>
        </is>
      </c>
      <c r="U19" s="605" t="n">
        <v>398</v>
      </c>
      <c r="V19" s="404" t="n">
        <v>51811</v>
      </c>
      <c r="W19" s="404" t="n">
        <v>52000</v>
      </c>
      <c r="X19" s="392" t="inlineStr">
        <is>
          <t>1.9:1</t>
        </is>
      </c>
      <c r="Y19" s="404" t="n">
        <v>27000</v>
      </c>
      <c r="Z19" s="403" t="inlineStr">
        <is>
          <t xml:space="preserve">C </t>
        </is>
      </c>
      <c r="AD19" s="605" t="inlineStr">
        <is>
          <t xml:space="preserve">ETD DIST            </t>
        </is>
      </c>
      <c r="AK19" s="405" t="n"/>
    </row>
    <row r="20" ht="12.75" customFormat="1" customHeight="1" s="605">
      <c r="A20" s="402" t="n">
        <v>6</v>
      </c>
      <c r="B20" s="605" t="n">
        <v>15</v>
      </c>
      <c r="C20" s="605" t="inlineStr">
        <is>
          <t>2013Q</t>
        </is>
      </c>
      <c r="D20" s="605" t="inlineStr">
        <is>
          <t xml:space="preserve">01144-06-016-000 </t>
        </is>
      </c>
      <c r="E20" s="403" t="inlineStr">
        <is>
          <t>Actual</t>
        </is>
      </c>
      <c r="F20" s="605" t="inlineStr">
        <is>
          <t>5015   PARIS                ST</t>
        </is>
      </c>
      <c r="G20" s="605" t="n">
        <v>44.2</v>
      </c>
      <c r="H20" s="605" t="n">
        <v>9102</v>
      </c>
      <c r="I20" s="403" t="n">
        <v>0</v>
      </c>
      <c r="J20" s="404" t="n">
        <v>16328</v>
      </c>
      <c r="K20" s="145" t="n">
        <v>6.58114894659481</v>
      </c>
      <c r="L20" s="153" t="n">
        <v>0</v>
      </c>
      <c r="M20" s="153" t="n">
        <v>0.0403137999385801</v>
      </c>
      <c r="N20" s="605" t="n">
        <v>1979</v>
      </c>
      <c r="O20" s="605" t="n">
        <v>225</v>
      </c>
      <c r="P20" s="605" t="n">
        <v>0</v>
      </c>
      <c r="Q20" s="605" t="n">
        <v>23</v>
      </c>
      <c r="R20" s="605" t="n">
        <v>10</v>
      </c>
      <c r="S20" s="605" t="n">
        <v>1</v>
      </c>
      <c r="T20" s="403" t="inlineStr">
        <is>
          <t xml:space="preserve">I-A         </t>
        </is>
      </c>
      <c r="U20" s="605" t="n">
        <v>398</v>
      </c>
      <c r="V20" s="404" t="n">
        <v>40424</v>
      </c>
      <c r="W20" s="404" t="n">
        <v>40000</v>
      </c>
      <c r="X20" s="392" t="inlineStr">
        <is>
          <t>2.5:1</t>
        </is>
      </c>
      <c r="Y20" s="404" t="n">
        <v>16000</v>
      </c>
      <c r="Z20" s="403" t="inlineStr">
        <is>
          <t xml:space="preserve">C </t>
        </is>
      </c>
      <c r="AK20" s="405" t="inlineStr">
        <is>
          <t xml:space="preserve">2009 LEASE.                                                       </t>
        </is>
      </c>
    </row>
    <row r="21" ht="12.75" customFormat="1" customHeight="1" s="605">
      <c r="A21" s="402" t="n">
        <v>6</v>
      </c>
      <c r="B21" s="605" t="n">
        <v>16</v>
      </c>
      <c r="C21" s="605" t="inlineStr">
        <is>
          <t>2013Q</t>
        </is>
      </c>
      <c r="D21" s="605" t="inlineStr">
        <is>
          <t xml:space="preserve">01144-07-014-000 </t>
        </is>
      </c>
      <c r="E21" s="403" t="inlineStr">
        <is>
          <t>Actual</t>
        </is>
      </c>
      <c r="F21" s="605" t="inlineStr">
        <is>
          <t>4895   OAKLAND              ST</t>
        </is>
      </c>
      <c r="G21" s="605" t="n">
        <v>47.1</v>
      </c>
      <c r="H21" s="605" t="n">
        <v>9102</v>
      </c>
      <c r="I21" s="403" t="n">
        <v>0</v>
      </c>
      <c r="J21" s="404" t="n">
        <v>14400</v>
      </c>
      <c r="K21" s="145" t="n">
        <v>4.5</v>
      </c>
      <c r="L21" s="153" t="n">
        <v>0</v>
      </c>
      <c r="M21" s="153" t="n">
        <v>0</v>
      </c>
      <c r="N21" s="605" t="n">
        <v>1974</v>
      </c>
      <c r="O21" s="605" t="n">
        <v>2000</v>
      </c>
      <c r="P21" s="605" t="n">
        <v>1800</v>
      </c>
      <c r="Q21" s="605" t="n">
        <v>18</v>
      </c>
      <c r="R21" s="605" t="n">
        <v>10</v>
      </c>
      <c r="S21" s="605" t="n">
        <v>1</v>
      </c>
      <c r="T21" s="403" t="inlineStr">
        <is>
          <t xml:space="preserve">I-A         </t>
        </is>
      </c>
      <c r="U21" s="605" t="n">
        <v>401</v>
      </c>
      <c r="V21" s="404" t="n">
        <v>45601</v>
      </c>
      <c r="W21" s="404" t="n">
        <v>46000</v>
      </c>
      <c r="X21" s="392" t="inlineStr">
        <is>
          <t>3.2:1</t>
        </is>
      </c>
      <c r="Y21" s="404" t="n">
        <v>14000</v>
      </c>
      <c r="Z21" s="403" t="inlineStr">
        <is>
          <t xml:space="preserve">B </t>
        </is>
      </c>
      <c r="AK21" s="405" t="inlineStr">
        <is>
          <t xml:space="preserve">LEASE COMMENCEMENT UNKNOWN.                                       </t>
        </is>
      </c>
    </row>
    <row r="22" ht="12.75" customFormat="1" customHeight="1" s="605">
      <c r="A22" s="402" t="n">
        <v>6</v>
      </c>
      <c r="B22" s="605" t="n">
        <v>17</v>
      </c>
      <c r="C22" s="605" t="inlineStr">
        <is>
          <t>2013Q</t>
        </is>
      </c>
      <c r="D22" s="605" t="inlineStr">
        <is>
          <t xml:space="preserve">01144-11-006-000 </t>
        </is>
      </c>
      <c r="E22" s="403" t="inlineStr">
        <is>
          <t>Actual</t>
        </is>
      </c>
      <c r="F22" s="605" t="inlineStr">
        <is>
          <t>4950   LIMA                 ST</t>
        </is>
      </c>
      <c r="G22" s="605" t="n">
        <v>44.2</v>
      </c>
      <c r="H22" s="605" t="n">
        <v>9102</v>
      </c>
      <c r="I22" s="403" t="n">
        <v>0</v>
      </c>
      <c r="J22" s="404" t="n">
        <v>31200</v>
      </c>
      <c r="K22" s="145" t="n">
        <v>4.32692307692308</v>
      </c>
      <c r="L22" s="153" t="n">
        <v>0</v>
      </c>
      <c r="M22" s="153" t="n">
        <v>0</v>
      </c>
      <c r="N22" s="605" t="n">
        <v>2000</v>
      </c>
      <c r="O22" s="605" t="n">
        <v>1336</v>
      </c>
      <c r="P22" s="605" t="n">
        <v>0</v>
      </c>
      <c r="Q22" s="605" t="n">
        <v>19</v>
      </c>
      <c r="R22" s="605" t="n">
        <v>14</v>
      </c>
      <c r="S22" s="605" t="n">
        <v>1</v>
      </c>
      <c r="T22" s="403" t="inlineStr">
        <is>
          <t xml:space="preserve">I-B         </t>
        </is>
      </c>
      <c r="U22" s="605" t="n">
        <v>398</v>
      </c>
      <c r="V22" s="404" t="n">
        <v>69243</v>
      </c>
      <c r="W22" s="404" t="n">
        <v>69000</v>
      </c>
      <c r="X22" s="392" t="inlineStr">
        <is>
          <t>2.2:1</t>
        </is>
      </c>
      <c r="Y22" s="404" t="n">
        <v>31000</v>
      </c>
      <c r="Z22" s="403" t="inlineStr">
        <is>
          <t xml:space="preserve">C </t>
        </is>
      </c>
      <c r="AD22" s="605" t="inlineStr">
        <is>
          <t xml:space="preserve">INDUSTRIAL VALCO    </t>
        </is>
      </c>
      <c r="AK22" s="405" t="n"/>
    </row>
    <row r="23" ht="25.5" customFormat="1" customHeight="1" s="605">
      <c r="A23" s="402" t="n">
        <v>6</v>
      </c>
      <c r="B23" s="605" t="n">
        <v>18</v>
      </c>
      <c r="C23" s="605" t="inlineStr">
        <is>
          <t>2013Q</t>
        </is>
      </c>
      <c r="D23" s="605" t="inlineStr">
        <is>
          <t xml:space="preserve">01153-03-006-000 </t>
        </is>
      </c>
      <c r="E23" s="403" t="inlineStr">
        <is>
          <t>Actual</t>
        </is>
      </c>
      <c r="F23" s="605" t="inlineStr">
        <is>
          <t>9305 E 49TH                 AV</t>
        </is>
      </c>
      <c r="G23" s="605" t="n">
        <v>44.1</v>
      </c>
      <c r="H23" s="605" t="n">
        <v>9103</v>
      </c>
      <c r="I23" s="403" t="n">
        <v>0</v>
      </c>
      <c r="J23" s="404" t="n">
        <v>10530</v>
      </c>
      <c r="K23" s="145" t="n">
        <v>11.3960113960114</v>
      </c>
      <c r="L23" s="153" t="n">
        <v>0</v>
      </c>
      <c r="M23" s="153" t="n">
        <v>0.00035</v>
      </c>
      <c r="N23" s="605" t="n">
        <v>2006</v>
      </c>
      <c r="O23" s="605" t="n">
        <v>3547</v>
      </c>
      <c r="P23" s="605" t="n">
        <v>0</v>
      </c>
      <c r="Q23" s="605" t="n">
        <v>25</v>
      </c>
      <c r="R23" s="605" t="n">
        <v>14</v>
      </c>
      <c r="S23" s="605" t="n">
        <v>1</v>
      </c>
      <c r="T23" s="403" t="inlineStr">
        <is>
          <t xml:space="preserve">C-MU-30     </t>
        </is>
      </c>
      <c r="U23" s="605" t="n">
        <v>398</v>
      </c>
      <c r="V23" s="404" t="n">
        <v>44907</v>
      </c>
      <c r="W23" s="404" t="n">
        <v>45000</v>
      </c>
      <c r="X23" s="392" t="inlineStr">
        <is>
          <t>4.3:1</t>
        </is>
      </c>
      <c r="Y23" s="404" t="n">
        <v>11000</v>
      </c>
      <c r="Z23" s="403" t="inlineStr">
        <is>
          <t xml:space="preserve">C </t>
        </is>
      </c>
      <c r="AD23" s="605" t="inlineStr">
        <is>
          <t xml:space="preserve">SINGLE TENANT WHSE  </t>
        </is>
      </c>
      <c r="AK23" s="405" t="inlineStr">
        <is>
          <t xml:space="preserve">COMMENCEMENT DATE OF LEASE UNKNOWN.                               </t>
        </is>
      </c>
    </row>
    <row r="24" ht="12.75" customFormat="1" customHeight="1" s="605">
      <c r="A24" s="402" t="n">
        <v>6</v>
      </c>
      <c r="B24" s="605" t="n">
        <v>19</v>
      </c>
      <c r="C24" s="605" t="inlineStr">
        <is>
          <t>2013Q</t>
        </is>
      </c>
      <c r="D24" s="605" t="inlineStr">
        <is>
          <t xml:space="preserve">01153-03-010-000 </t>
        </is>
      </c>
      <c r="E24" s="403" t="inlineStr">
        <is>
          <t>Actual</t>
        </is>
      </c>
      <c r="F24" s="605" t="inlineStr">
        <is>
          <t>9501 E 49TH                 AV</t>
        </is>
      </c>
      <c r="G24" s="605" t="n">
        <v>44.2</v>
      </c>
      <c r="H24" s="605" t="n">
        <v>9103</v>
      </c>
      <c r="I24" s="403" t="n">
        <v>0</v>
      </c>
      <c r="J24" s="404" t="n">
        <v>31412</v>
      </c>
      <c r="K24" s="145" t="n">
        <v>6.49433337577996</v>
      </c>
      <c r="L24" s="153" t="n">
        <v>0</v>
      </c>
      <c r="M24" s="153" t="n">
        <v>0</v>
      </c>
      <c r="N24" s="605" t="n">
        <v>2007</v>
      </c>
      <c r="O24" s="605" t="n">
        <v>15084</v>
      </c>
      <c r="P24" s="605" t="n">
        <v>0</v>
      </c>
      <c r="Q24" s="605" t="n">
        <v>32</v>
      </c>
      <c r="R24" s="605" t="n">
        <v>14</v>
      </c>
      <c r="S24" s="605" t="n">
        <v>1</v>
      </c>
      <c r="T24" s="403" t="inlineStr">
        <is>
          <t xml:space="preserve">C-MU-30     </t>
        </is>
      </c>
      <c r="U24" s="605" t="n">
        <v>398</v>
      </c>
      <c r="V24" s="404" t="n">
        <v>43747</v>
      </c>
      <c r="W24" s="404" t="n">
        <v>44000</v>
      </c>
      <c r="X24" s="392" t="inlineStr">
        <is>
          <t>1.4:1</t>
        </is>
      </c>
      <c r="Y24" s="404" t="n">
        <v>31000</v>
      </c>
      <c r="Z24" s="403" t="inlineStr">
        <is>
          <t xml:space="preserve">C </t>
        </is>
      </c>
      <c r="AD24" s="605" t="inlineStr">
        <is>
          <t xml:space="preserve">S-T WHSE.           </t>
        </is>
      </c>
      <c r="AK24" s="405" t="inlineStr">
        <is>
          <t xml:space="preserve">2010 LEASE.                                                       </t>
        </is>
      </c>
    </row>
    <row r="25" ht="12.75" customFormat="1" customHeight="1" s="605">
      <c r="A25" s="402" t="n">
        <v>6</v>
      </c>
      <c r="B25" s="605" t="n">
        <v>20</v>
      </c>
      <c r="C25" s="605" t="inlineStr">
        <is>
          <t>2013Q</t>
        </is>
      </c>
      <c r="D25" s="605" t="inlineStr">
        <is>
          <t xml:space="preserve">01154-00-031-000 </t>
        </is>
      </c>
      <c r="E25" s="403" t="inlineStr">
        <is>
          <t>Actual</t>
        </is>
      </c>
      <c r="F25" s="605" t="inlineStr">
        <is>
          <t>10450 E 51ST                 AV</t>
        </is>
      </c>
      <c r="G25" s="605" t="n">
        <v>44.1</v>
      </c>
      <c r="H25" s="605" t="n">
        <v>9103</v>
      </c>
      <c r="I25" s="403" t="n">
        <v>0</v>
      </c>
      <c r="J25" s="404" t="n">
        <v>46400</v>
      </c>
      <c r="K25" s="145" t="n">
        <v>8.15478448275862</v>
      </c>
      <c r="L25" s="153" t="n">
        <v>0</v>
      </c>
      <c r="M25" s="153" t="n">
        <v>0</v>
      </c>
      <c r="N25" s="605" t="n">
        <v>2008</v>
      </c>
      <c r="O25" s="605" t="n">
        <v>1100</v>
      </c>
      <c r="P25" s="605" t="n">
        <v>0</v>
      </c>
      <c r="Q25" s="605" t="n">
        <v>20</v>
      </c>
      <c r="R25" s="605" t="n">
        <v>9</v>
      </c>
      <c r="S25" s="605" t="n">
        <v>1</v>
      </c>
      <c r="T25" s="403" t="inlineStr">
        <is>
          <t xml:space="preserve">I-A         </t>
        </is>
      </c>
      <c r="U25" s="605" t="n">
        <v>398</v>
      </c>
      <c r="V25" s="404" t="n">
        <v>153609</v>
      </c>
      <c r="W25" s="404" t="n">
        <v>154000</v>
      </c>
      <c r="X25" s="392" t="inlineStr">
        <is>
          <t>3.3:1</t>
        </is>
      </c>
      <c r="Y25" s="404" t="n">
        <v>46000</v>
      </c>
      <c r="Z25" s="403" t="inlineStr">
        <is>
          <t xml:space="preserve">C </t>
        </is>
      </c>
      <c r="AD25" s="605" t="inlineStr">
        <is>
          <t xml:space="preserve">CERTIFIT AUTO PARTS </t>
        </is>
      </c>
      <c r="AK25" s="405" t="inlineStr">
        <is>
          <t xml:space="preserve">2009 LEASE.                                                       </t>
        </is>
      </c>
    </row>
    <row r="26" ht="12.75" customFormat="1" customHeight="1" s="605">
      <c r="A26" s="402" t="n">
        <v>6</v>
      </c>
      <c r="B26" s="605" t="n">
        <v>21</v>
      </c>
      <c r="C26" s="605" t="inlineStr">
        <is>
          <t>2013Q</t>
        </is>
      </c>
      <c r="D26" s="605" t="inlineStr">
        <is>
          <t xml:space="preserve">01154-04-005-000 </t>
        </is>
      </c>
      <c r="E26" s="403" t="inlineStr">
        <is>
          <t>Actual</t>
        </is>
      </c>
      <c r="F26" s="605" t="inlineStr">
        <is>
          <t>4890   GENEVA               ST</t>
        </is>
      </c>
      <c r="G26" s="605" t="n">
        <v>44.2</v>
      </c>
      <c r="H26" s="605" t="n">
        <v>9103</v>
      </c>
      <c r="I26" s="403" t="n">
        <v>0</v>
      </c>
      <c r="J26" s="404" t="n">
        <v>17750</v>
      </c>
      <c r="K26" s="145" t="n">
        <v>5.00056338028169</v>
      </c>
      <c r="L26" s="153" t="n">
        <v>0</v>
      </c>
      <c r="M26" s="153" t="n">
        <v>0.0878323569175304</v>
      </c>
      <c r="N26" s="605" t="n">
        <v>2004</v>
      </c>
      <c r="O26" s="605" t="n">
        <v>8277</v>
      </c>
      <c r="P26" s="605" t="n">
        <v>0</v>
      </c>
      <c r="Q26" s="605" t="n">
        <v>30</v>
      </c>
      <c r="R26" s="605" t="n">
        <v>14</v>
      </c>
      <c r="S26" s="605" t="n">
        <v>1</v>
      </c>
      <c r="T26" s="403" t="inlineStr">
        <is>
          <t xml:space="preserve">C-MU-30     </t>
        </is>
      </c>
      <c r="U26" s="605" t="n">
        <v>398</v>
      </c>
      <c r="V26" s="404" t="n">
        <v>65250</v>
      </c>
      <c r="W26" s="404" t="n">
        <v>65000</v>
      </c>
      <c r="X26" s="392" t="inlineStr">
        <is>
          <t>3.7:1</t>
        </is>
      </c>
      <c r="Y26" s="404" t="n">
        <v>18000</v>
      </c>
      <c r="Z26" s="403" t="inlineStr">
        <is>
          <t xml:space="preserve">C </t>
        </is>
      </c>
      <c r="AD26" s="605" t="inlineStr">
        <is>
          <t xml:space="preserve">STRYKER             </t>
        </is>
      </c>
      <c r="AK26" s="405" t="n"/>
    </row>
    <row r="27" ht="12.75" customFormat="1" customHeight="1" s="605">
      <c r="A27" s="402" t="n">
        <v>6</v>
      </c>
      <c r="B27" s="605" t="n">
        <v>22</v>
      </c>
      <c r="C27" s="605" t="inlineStr">
        <is>
          <t>2013Q</t>
        </is>
      </c>
      <c r="D27" s="605" t="inlineStr">
        <is>
          <t xml:space="preserve">01183-00-019-000 </t>
        </is>
      </c>
      <c r="E27" s="403" t="inlineStr">
        <is>
          <t>Actual</t>
        </is>
      </c>
      <c r="F27" s="605" t="inlineStr">
        <is>
          <t>4200 E 52ND                 AV</t>
        </is>
      </c>
      <c r="G27" s="605" t="n">
        <v>44.3</v>
      </c>
      <c r="H27" s="605" t="n">
        <v>9101</v>
      </c>
      <c r="I27" s="403" t="n">
        <v>0</v>
      </c>
      <c r="J27" s="404" t="n">
        <v>128963</v>
      </c>
      <c r="K27" s="145" t="n">
        <v>3.16369811496321</v>
      </c>
      <c r="L27" s="153" t="n">
        <v>0</v>
      </c>
      <c r="M27" s="153" t="n">
        <v>0</v>
      </c>
      <c r="N27" s="605" t="n">
        <v>1966</v>
      </c>
      <c r="O27" s="605" t="n">
        <v>9653</v>
      </c>
      <c r="P27" s="605" t="n">
        <v>1015</v>
      </c>
      <c r="Q27" s="605" t="n">
        <v>34</v>
      </c>
      <c r="R27" s="605" t="n">
        <v>3</v>
      </c>
      <c r="S27" s="605" t="n">
        <v>1</v>
      </c>
      <c r="T27" s="403" t="inlineStr">
        <is>
          <t xml:space="preserve">I-B         </t>
        </is>
      </c>
      <c r="U27" s="605" t="n">
        <v>398</v>
      </c>
      <c r="V27" s="404" t="n">
        <v>292070</v>
      </c>
      <c r="W27" s="404" t="n">
        <v>292000</v>
      </c>
      <c r="X27" s="392" t="inlineStr">
        <is>
          <t>2.3:1</t>
        </is>
      </c>
      <c r="Y27" s="404" t="n">
        <v>129000</v>
      </c>
      <c r="Z27" s="403" t="inlineStr">
        <is>
          <t xml:space="preserve">C </t>
        </is>
      </c>
      <c r="AD27" s="605" t="inlineStr">
        <is>
          <t xml:space="preserve">S-W-AMERICAN WHSE   </t>
        </is>
      </c>
      <c r="AK27" s="405" t="inlineStr">
        <is>
          <t xml:space="preserve">2009 LEASE.                                                       </t>
        </is>
      </c>
    </row>
    <row r="28" ht="12.75" customFormat="1" customHeight="1" s="605">
      <c r="A28" s="402" t="n">
        <v>6</v>
      </c>
      <c r="B28" s="605" t="n">
        <v>23</v>
      </c>
      <c r="C28" s="605" t="inlineStr">
        <is>
          <t>2013Q</t>
        </is>
      </c>
      <c r="D28" s="605" t="inlineStr">
        <is>
          <t xml:space="preserve">01183-01-024-000 </t>
        </is>
      </c>
      <c r="E28" s="403" t="inlineStr">
        <is>
          <t>Actual</t>
        </is>
      </c>
      <c r="F28" s="605" t="inlineStr">
        <is>
          <t>4545 E 51ST                 AV</t>
        </is>
      </c>
      <c r="G28" s="605" t="n">
        <v>44.4</v>
      </c>
      <c r="H28" s="605" t="n">
        <v>9101</v>
      </c>
      <c r="I28" s="403" t="n">
        <v>0</v>
      </c>
      <c r="J28" s="404" t="n">
        <v>122398</v>
      </c>
      <c r="K28" s="145" t="n">
        <v>4.7691955750911</v>
      </c>
      <c r="L28" s="153" t="n">
        <v>1</v>
      </c>
      <c r="M28" s="153" t="n">
        <v>0.0839740295336965</v>
      </c>
      <c r="N28" s="605" t="n">
        <v>1993</v>
      </c>
      <c r="O28" s="605" t="n">
        <v>6829</v>
      </c>
      <c r="P28" s="605" t="n">
        <v>13273</v>
      </c>
      <c r="Q28" s="605" t="n">
        <v>30</v>
      </c>
      <c r="R28" s="605" t="n">
        <v>14</v>
      </c>
      <c r="S28" s="605" t="n">
        <v>1</v>
      </c>
      <c r="T28" s="403" t="inlineStr">
        <is>
          <t xml:space="preserve">I-B         </t>
        </is>
      </c>
      <c r="U28" s="605" t="n">
        <v>398</v>
      </c>
      <c r="V28" s="404" t="n">
        <v>317659</v>
      </c>
      <c r="W28" s="404" t="n">
        <v>318000</v>
      </c>
      <c r="X28" s="392" t="inlineStr">
        <is>
          <t>2.6:1</t>
        </is>
      </c>
      <c r="Y28" s="404" t="n">
        <v>122000</v>
      </c>
      <c r="Z28" s="403" t="inlineStr">
        <is>
          <t xml:space="preserve">C </t>
        </is>
      </c>
      <c r="AD28" s="605" t="inlineStr">
        <is>
          <t xml:space="preserve">S-W-MILLER BRANDS   </t>
        </is>
      </c>
      <c r="AK28" s="405" t="inlineStr">
        <is>
          <t xml:space="preserve">2010 LEASE                                                        </t>
        </is>
      </c>
    </row>
    <row r="29" ht="12.75" customFormat="1" customHeight="1" s="605">
      <c r="A29" s="402" t="n">
        <v>6</v>
      </c>
      <c r="B29" s="605" t="n">
        <v>24</v>
      </c>
      <c r="C29" s="605" t="inlineStr">
        <is>
          <t>2013Q</t>
        </is>
      </c>
      <c r="D29" s="605" t="inlineStr">
        <is>
          <t xml:space="preserve">01183-02-011-000 </t>
        </is>
      </c>
      <c r="E29" s="403" t="inlineStr">
        <is>
          <t>Actual</t>
        </is>
      </c>
      <c r="F29" s="605" t="inlineStr">
        <is>
          <t>4770 E 51ST                 AV</t>
        </is>
      </c>
      <c r="G29" s="605" t="n">
        <v>44.7</v>
      </c>
      <c r="H29" s="605" t="n">
        <v>9101</v>
      </c>
      <c r="I29" s="403" t="n">
        <v>0</v>
      </c>
      <c r="J29" s="404" t="n">
        <v>106353</v>
      </c>
      <c r="K29" s="145" t="n">
        <v>3.07714874051508</v>
      </c>
      <c r="L29" s="153" t="n">
        <v>0</v>
      </c>
      <c r="M29" s="153" t="n">
        <v>0.00834494475408233</v>
      </c>
      <c r="N29" s="605" t="n">
        <v>1974</v>
      </c>
      <c r="O29" s="605" t="n">
        <v>8047</v>
      </c>
      <c r="P29" s="605" t="n">
        <v>0</v>
      </c>
      <c r="Q29" s="605" t="n">
        <v>24</v>
      </c>
      <c r="R29" s="605" t="n">
        <v>10</v>
      </c>
      <c r="S29" s="605" t="n">
        <v>1</v>
      </c>
      <c r="T29" s="403" t="inlineStr">
        <is>
          <t xml:space="preserve">I-B         </t>
        </is>
      </c>
      <c r="U29" s="605" t="n">
        <v>398</v>
      </c>
      <c r="V29" s="404" t="n">
        <v>261000</v>
      </c>
      <c r="W29" s="404" t="n">
        <v>261000</v>
      </c>
      <c r="X29" s="392" t="inlineStr">
        <is>
          <t>2.5:1</t>
        </is>
      </c>
      <c r="Y29" s="404" t="n">
        <v>106000</v>
      </c>
      <c r="Z29" s="403" t="inlineStr">
        <is>
          <t xml:space="preserve">C </t>
        </is>
      </c>
      <c r="AD29" s="605" t="inlineStr">
        <is>
          <t>MILE-HI FROZEN FOODS</t>
        </is>
      </c>
      <c r="AK29" s="405" t="n"/>
    </row>
    <row r="30" ht="12.75" customFormat="1" customHeight="1" s="605">
      <c r="A30" s="402" t="n">
        <v>6</v>
      </c>
      <c r="B30" s="605" t="n">
        <v>25</v>
      </c>
      <c r="C30" s="605" t="inlineStr">
        <is>
          <t>2013Q</t>
        </is>
      </c>
      <c r="D30" s="605" t="inlineStr">
        <is>
          <t xml:space="preserve">01183-02-012-000 </t>
        </is>
      </c>
      <c r="E30" s="403" t="inlineStr">
        <is>
          <t>Actual</t>
        </is>
      </c>
      <c r="F30" s="605" t="inlineStr">
        <is>
          <t>4501 E 50TH                 AV</t>
        </is>
      </c>
      <c r="G30" s="605" t="n">
        <v>44.7</v>
      </c>
      <c r="H30" s="605" t="n">
        <v>9101</v>
      </c>
      <c r="I30" s="403" t="n">
        <v>0</v>
      </c>
      <c r="J30" s="404" t="n">
        <v>104748</v>
      </c>
      <c r="K30" s="145" t="n">
        <v>8.457984180437</v>
      </c>
      <c r="L30" s="153" t="n">
        <v>0</v>
      </c>
      <c r="M30" s="153" t="n">
        <v>0.06616666666666671</v>
      </c>
      <c r="N30" s="605" t="n">
        <v>1973</v>
      </c>
      <c r="O30" s="605" t="n">
        <v>1041</v>
      </c>
      <c r="P30" s="605" t="n">
        <v>7500</v>
      </c>
      <c r="Q30" s="605" t="n">
        <v>27</v>
      </c>
      <c r="R30" s="605" t="n">
        <v>3</v>
      </c>
      <c r="S30" s="605" t="n">
        <v>2</v>
      </c>
      <c r="T30" s="403" t="inlineStr">
        <is>
          <t xml:space="preserve">I-B         </t>
        </is>
      </c>
      <c r="U30" s="605" t="n">
        <v>398</v>
      </c>
      <c r="V30" s="404" t="n">
        <v>261359</v>
      </c>
      <c r="W30" s="404" t="n">
        <v>261000</v>
      </c>
      <c r="X30" s="392" t="inlineStr">
        <is>
          <t>2.5:1</t>
        </is>
      </c>
      <c r="Y30" s="404" t="n">
        <v>105000</v>
      </c>
      <c r="Z30" s="403" t="inlineStr">
        <is>
          <t xml:space="preserve">C </t>
        </is>
      </c>
      <c r="AD30" s="605" t="inlineStr">
        <is>
          <t>MILE HIGH FROZEN FOO</t>
        </is>
      </c>
      <c r="AK30" s="405" t="inlineStr">
        <is>
          <t xml:space="preserve">2010 LEASE                                                        </t>
        </is>
      </c>
    </row>
    <row r="31" ht="12.75" customFormat="1" customHeight="1" s="605">
      <c r="A31" s="402" t="n">
        <v>6</v>
      </c>
      <c r="B31" s="605" t="n">
        <v>26</v>
      </c>
      <c r="C31" s="605" t="inlineStr">
        <is>
          <t>2013Q</t>
        </is>
      </c>
      <c r="D31" s="605" t="inlineStr">
        <is>
          <t xml:space="preserve">01183-02-016-000 </t>
        </is>
      </c>
      <c r="E31" s="403" t="inlineStr">
        <is>
          <t>Actual</t>
        </is>
      </c>
      <c r="F31" s="605" t="inlineStr">
        <is>
          <t>5075   DAHLIA               ST</t>
        </is>
      </c>
      <c r="G31" s="605" t="n">
        <v>44.7</v>
      </c>
      <c r="H31" s="605" t="n">
        <v>9101</v>
      </c>
      <c r="I31" s="403" t="n">
        <v>0</v>
      </c>
      <c r="J31" s="404" t="n">
        <v>13066</v>
      </c>
      <c r="K31" s="145" t="n">
        <v>3.73105770702587</v>
      </c>
      <c r="L31" s="153" t="n">
        <v>0</v>
      </c>
      <c r="M31" s="153" t="n">
        <v>0.00406153846153846</v>
      </c>
      <c r="N31" s="605" t="n">
        <v>1966</v>
      </c>
      <c r="O31" s="605" t="n">
        <v>1560</v>
      </c>
      <c r="P31" s="605" t="n">
        <v>0</v>
      </c>
      <c r="Q31" s="605" t="n">
        <v>20</v>
      </c>
      <c r="R31" s="605" t="n">
        <v>3</v>
      </c>
      <c r="S31" s="605" t="n">
        <v>2</v>
      </c>
      <c r="T31" s="403" t="inlineStr">
        <is>
          <t xml:space="preserve">I-B         </t>
        </is>
      </c>
      <c r="U31" s="605" t="n">
        <v>398</v>
      </c>
      <c r="V31" s="404" t="n">
        <v>18315</v>
      </c>
      <c r="W31" s="404" t="n">
        <v>18000</v>
      </c>
      <c r="X31" s="392" t="inlineStr">
        <is>
          <t>1.4:1</t>
        </is>
      </c>
      <c r="Y31" s="404" t="n">
        <v>13000</v>
      </c>
      <c r="Z31" s="403" t="inlineStr">
        <is>
          <t>C+</t>
        </is>
      </c>
      <c r="AK31" s="405" t="n"/>
    </row>
    <row r="32" ht="12.75" customFormat="1" customHeight="1" s="605">
      <c r="A32" s="402" t="n">
        <v>6</v>
      </c>
      <c r="B32" s="605" t="n">
        <v>27</v>
      </c>
      <c r="C32" s="605" t="inlineStr">
        <is>
          <t>2013Q</t>
        </is>
      </c>
      <c r="D32" s="605" t="inlineStr">
        <is>
          <t xml:space="preserve">01183-02-017-000 </t>
        </is>
      </c>
      <c r="E32" s="403" t="inlineStr">
        <is>
          <t>Actual</t>
        </is>
      </c>
      <c r="F32" s="605" t="inlineStr">
        <is>
          <t>5025   DAHLIA               ST</t>
        </is>
      </c>
      <c r="G32" s="605" t="n">
        <v>44.2</v>
      </c>
      <c r="H32" s="605" t="n">
        <v>9101</v>
      </c>
      <c r="I32" s="403" t="n">
        <v>0</v>
      </c>
      <c r="J32" s="404" t="n">
        <v>11440</v>
      </c>
      <c r="K32" s="145" t="n">
        <v>6.29370629370629</v>
      </c>
      <c r="L32" s="153" t="n">
        <v>0</v>
      </c>
      <c r="M32" s="153" t="n">
        <v>0.0482222222222222</v>
      </c>
      <c r="N32" s="605" t="n">
        <v>1974</v>
      </c>
      <c r="O32" s="605" t="n">
        <v>1564</v>
      </c>
      <c r="P32" s="605" t="n">
        <v>0</v>
      </c>
      <c r="Q32" s="605" t="n">
        <v>22</v>
      </c>
      <c r="R32" s="605" t="n">
        <v>1</v>
      </c>
      <c r="S32" s="605" t="n">
        <v>1</v>
      </c>
      <c r="T32" s="403" t="inlineStr">
        <is>
          <t xml:space="preserve">I-B         </t>
        </is>
      </c>
      <c r="U32" s="605" t="n">
        <v>398</v>
      </c>
      <c r="V32" s="404" t="n">
        <v>21764</v>
      </c>
      <c r="W32" s="404" t="n">
        <v>22000</v>
      </c>
      <c r="X32" s="392" t="inlineStr">
        <is>
          <t>1.9:1</t>
        </is>
      </c>
      <c r="Y32" s="404" t="n">
        <v>11000</v>
      </c>
      <c r="Z32" s="403" t="inlineStr">
        <is>
          <t xml:space="preserve">C </t>
        </is>
      </c>
      <c r="AK32" s="405" t="n"/>
    </row>
    <row r="33" ht="12.75" customFormat="1" customHeight="1" s="605">
      <c r="A33" s="402" t="n">
        <v>6</v>
      </c>
      <c r="B33" s="605" t="n">
        <v>28</v>
      </c>
      <c r="C33" s="605" t="inlineStr">
        <is>
          <t>2013Q</t>
        </is>
      </c>
      <c r="D33" s="605" t="inlineStr">
        <is>
          <t xml:space="preserve">01184-00-016-000 </t>
        </is>
      </c>
      <c r="E33" s="403" t="inlineStr">
        <is>
          <t>Actual</t>
        </is>
      </c>
      <c r="F33" s="605" t="inlineStr">
        <is>
          <t>4900   DAHLIA               ST</t>
        </is>
      </c>
      <c r="G33" s="605" t="n">
        <v>44.2</v>
      </c>
      <c r="H33" s="605" t="n">
        <v>9101</v>
      </c>
      <c r="I33" s="403" t="n">
        <v>0</v>
      </c>
      <c r="J33" s="404" t="n">
        <v>40200</v>
      </c>
      <c r="K33" s="145" t="n">
        <v>5.97014925373134</v>
      </c>
      <c r="L33" s="153" t="n">
        <v>1</v>
      </c>
      <c r="M33" s="153" t="n">
        <v>0.0302875</v>
      </c>
      <c r="N33" s="605" t="n">
        <v>1966</v>
      </c>
      <c r="O33" s="605" t="n">
        <v>0</v>
      </c>
      <c r="P33" s="605" t="n">
        <v>0</v>
      </c>
      <c r="Q33" s="605" t="n">
        <v>30</v>
      </c>
      <c r="R33" s="605" t="n">
        <v>1</v>
      </c>
      <c r="S33" s="605" t="n">
        <v>1</v>
      </c>
      <c r="T33" s="403" t="inlineStr">
        <is>
          <t xml:space="preserve">I-B         </t>
        </is>
      </c>
      <c r="U33" s="605" t="n">
        <v>398</v>
      </c>
      <c r="V33" s="404" t="n">
        <v>102703</v>
      </c>
      <c r="W33" s="404" t="n">
        <v>103000</v>
      </c>
      <c r="X33" s="392" t="inlineStr">
        <is>
          <t>2.6:1</t>
        </is>
      </c>
      <c r="Y33" s="404" t="n">
        <v>40000</v>
      </c>
      <c r="Z33" s="403" t="inlineStr">
        <is>
          <t xml:space="preserve">C </t>
        </is>
      </c>
      <c r="AD33" s="605" t="inlineStr">
        <is>
          <t xml:space="preserve">AMERICAN WHSE       </t>
        </is>
      </c>
      <c r="AK33" s="405" t="inlineStr">
        <is>
          <t xml:space="preserve">2010 LEASE.                                                       </t>
        </is>
      </c>
    </row>
    <row r="34" ht="12.75" customFormat="1" customHeight="1" s="605">
      <c r="A34" s="402" t="n">
        <v>6</v>
      </c>
      <c r="B34" s="605" t="n">
        <v>29</v>
      </c>
      <c r="C34" s="605" t="inlineStr">
        <is>
          <t>2013Q</t>
        </is>
      </c>
      <c r="D34" s="605" t="inlineStr">
        <is>
          <t xml:space="preserve">01184-00-019-000 </t>
        </is>
      </c>
      <c r="E34" s="403" t="inlineStr">
        <is>
          <t>Actual</t>
        </is>
      </c>
      <c r="F34" s="605" t="inlineStr">
        <is>
          <t>5055 E 48TH                 AV</t>
        </is>
      </c>
      <c r="G34" s="605" t="n">
        <v>44.1</v>
      </c>
      <c r="H34" s="605" t="n">
        <v>9101</v>
      </c>
      <c r="I34" s="403" t="n">
        <v>0</v>
      </c>
      <c r="J34" s="404" t="n">
        <v>40000</v>
      </c>
      <c r="K34" s="145" t="n">
        <v>3.69</v>
      </c>
      <c r="L34" s="153" t="n">
        <v>0</v>
      </c>
      <c r="M34" s="153" t="n">
        <v>0</v>
      </c>
      <c r="N34" s="605" t="n">
        <v>1997</v>
      </c>
      <c r="O34" s="605" t="n">
        <v>5412</v>
      </c>
      <c r="P34" s="605" t="n">
        <v>0</v>
      </c>
      <c r="Q34" s="605" t="n">
        <v>25</v>
      </c>
      <c r="R34" s="605" t="n">
        <v>7</v>
      </c>
      <c r="S34" s="605" t="n">
        <v>1</v>
      </c>
      <c r="T34" s="403" t="inlineStr">
        <is>
          <t xml:space="preserve">I-B         </t>
        </is>
      </c>
      <c r="U34" s="605" t="n">
        <v>398</v>
      </c>
      <c r="V34" s="404" t="n">
        <v>120740</v>
      </c>
      <c r="W34" s="404" t="n">
        <v>121000</v>
      </c>
      <c r="X34" s="392" t="inlineStr">
        <is>
          <t>3:1</t>
        </is>
      </c>
      <c r="Y34" s="404" t="n">
        <v>40000</v>
      </c>
      <c r="Z34" s="403" t="inlineStr">
        <is>
          <t xml:space="preserve">C </t>
        </is>
      </c>
      <c r="AD34" s="605" t="inlineStr">
        <is>
          <t xml:space="preserve">S-W GLENCO DIST     </t>
        </is>
      </c>
      <c r="AK34" s="405" t="inlineStr">
        <is>
          <t xml:space="preserve">2010 LEASE.                                                       </t>
        </is>
      </c>
    </row>
    <row r="35" ht="12.75" customFormat="1" customHeight="1" s="605">
      <c r="A35" s="402" t="n">
        <v>6</v>
      </c>
      <c r="B35" s="605" t="n">
        <v>30</v>
      </c>
      <c r="C35" s="605" t="inlineStr">
        <is>
          <t>2013Q</t>
        </is>
      </c>
      <c r="D35" s="605" t="inlineStr">
        <is>
          <t xml:space="preserve">01184-01-006-000 </t>
        </is>
      </c>
      <c r="E35" s="403" t="inlineStr">
        <is>
          <t>Actual</t>
        </is>
      </c>
      <c r="F35" s="605" t="inlineStr">
        <is>
          <t>4851   FOREST               ST</t>
        </is>
      </c>
      <c r="G35" s="605" t="n">
        <v>44.2</v>
      </c>
      <c r="H35" s="605" t="n">
        <v>9101</v>
      </c>
      <c r="I35" s="403" t="n">
        <v>0</v>
      </c>
      <c r="J35" s="404" t="n">
        <v>6480</v>
      </c>
      <c r="K35" s="145" t="n">
        <v>9.25925925925926</v>
      </c>
      <c r="L35" s="153" t="n">
        <v>0</v>
      </c>
      <c r="M35" s="153" t="n">
        <v>0</v>
      </c>
      <c r="N35" s="605" t="n">
        <v>1987</v>
      </c>
      <c r="O35" s="605" t="n">
        <v>1744</v>
      </c>
      <c r="P35" s="605" t="n">
        <v>0</v>
      </c>
      <c r="Q35" s="605" t="n">
        <v>16</v>
      </c>
      <c r="R35" s="605" t="n">
        <v>8</v>
      </c>
      <c r="S35" s="605" t="n">
        <v>1</v>
      </c>
      <c r="T35" s="403" t="inlineStr">
        <is>
          <t xml:space="preserve">I-B         </t>
        </is>
      </c>
      <c r="U35" s="605" t="n">
        <v>398</v>
      </c>
      <c r="V35" s="404" t="n">
        <v>45216</v>
      </c>
      <c r="W35" s="404" t="n">
        <v>45000</v>
      </c>
      <c r="X35" s="392" t="inlineStr">
        <is>
          <t>7:1</t>
        </is>
      </c>
      <c r="Y35" s="404" t="n">
        <v>6000</v>
      </c>
      <c r="Z35" s="403" t="inlineStr">
        <is>
          <t xml:space="preserve">C </t>
        </is>
      </c>
      <c r="AD35" s="605" t="inlineStr">
        <is>
          <t xml:space="preserve">SEAL MASTER/DENVER  </t>
        </is>
      </c>
      <c r="AK35" s="405" t="inlineStr">
        <is>
          <t xml:space="preserve">LEASE COMMENCEMENT UNKNOWN.                                       </t>
        </is>
      </c>
    </row>
    <row r="36" ht="12.75" customFormat="1" customHeight="1" s="605">
      <c r="A36" s="402" t="n">
        <v>6</v>
      </c>
      <c r="B36" s="605" t="n">
        <v>31</v>
      </c>
      <c r="C36" s="605" t="inlineStr">
        <is>
          <t>2013Q</t>
        </is>
      </c>
      <c r="D36" s="605" t="inlineStr">
        <is>
          <t xml:space="preserve">01191-00-059-000 </t>
        </is>
      </c>
      <c r="E36" s="403" t="inlineStr">
        <is>
          <t>Actual</t>
        </is>
      </c>
      <c r="F36" s="605" t="inlineStr">
        <is>
          <t>4747   HOLLY                ST</t>
        </is>
      </c>
      <c r="G36" s="605" t="n">
        <v>44.2</v>
      </c>
      <c r="H36" s="605" t="n">
        <v>9101</v>
      </c>
      <c r="I36" s="403" t="n">
        <v>0</v>
      </c>
      <c r="J36" s="404" t="n">
        <v>29447</v>
      </c>
      <c r="K36" s="145" t="n">
        <v>4.07511800862567</v>
      </c>
      <c r="L36" s="153" t="n">
        <v>0</v>
      </c>
      <c r="M36" s="153" t="n">
        <v>0.0196083333333333</v>
      </c>
      <c r="N36" s="605" t="n">
        <v>1967</v>
      </c>
      <c r="O36" s="605" t="n">
        <v>7053</v>
      </c>
      <c r="P36" s="605" t="n">
        <v>0</v>
      </c>
      <c r="Q36" s="605" t="n">
        <v>24</v>
      </c>
      <c r="R36" s="605" t="n">
        <v>10</v>
      </c>
      <c r="S36" s="605" t="n">
        <v>1</v>
      </c>
      <c r="T36" s="403" t="inlineStr">
        <is>
          <t xml:space="preserve">I-B         </t>
        </is>
      </c>
      <c r="U36" s="605" t="n">
        <v>398</v>
      </c>
      <c r="V36" s="404" t="n">
        <v>90213</v>
      </c>
      <c r="W36" s="404" t="n">
        <v>90000</v>
      </c>
      <c r="X36" s="392" t="inlineStr">
        <is>
          <t>3.1:1</t>
        </is>
      </c>
      <c r="Y36" s="404" t="n">
        <v>29000</v>
      </c>
      <c r="Z36" s="403" t="inlineStr">
        <is>
          <t xml:space="preserve">C </t>
        </is>
      </c>
      <c r="AK36" s="405" t="inlineStr">
        <is>
          <t xml:space="preserve">LEASE COMMENCEMENT UNKNOWN.                                       </t>
        </is>
      </c>
    </row>
    <row r="37" ht="12.75" customFormat="1" customHeight="1" s="605">
      <c r="A37" s="402" t="n">
        <v>6</v>
      </c>
      <c r="B37" s="605" t="n">
        <v>32</v>
      </c>
      <c r="C37" s="605" t="inlineStr">
        <is>
          <t>2013Q</t>
        </is>
      </c>
      <c r="D37" s="605" t="inlineStr">
        <is>
          <t xml:space="preserve">01191-00-078-000 </t>
        </is>
      </c>
      <c r="E37" s="403" t="inlineStr">
        <is>
          <t>Actual</t>
        </is>
      </c>
      <c r="F37" s="605" t="inlineStr">
        <is>
          <t>5155 E 46TH                 AV</t>
        </is>
      </c>
      <c r="G37" s="605" t="n">
        <v>44.2</v>
      </c>
      <c r="H37" s="605" t="n">
        <v>9101</v>
      </c>
      <c r="I37" s="403" t="n">
        <v>0</v>
      </c>
      <c r="J37" s="404" t="n">
        <v>38863</v>
      </c>
      <c r="K37" s="145" t="n">
        <v>3</v>
      </c>
      <c r="L37" s="153" t="n">
        <v>0</v>
      </c>
      <c r="M37" s="153" t="n">
        <v>0</v>
      </c>
      <c r="N37" s="605" t="n">
        <v>1974</v>
      </c>
      <c r="O37" s="605" t="n">
        <v>3250</v>
      </c>
      <c r="P37" s="605" t="n">
        <v>0</v>
      </c>
      <c r="Q37" s="605" t="n">
        <v>24</v>
      </c>
      <c r="R37" s="605" t="n">
        <v>10</v>
      </c>
      <c r="S37" s="605" t="n">
        <v>1</v>
      </c>
      <c r="T37" s="403" t="inlineStr">
        <is>
          <t xml:space="preserve">I-B         </t>
        </is>
      </c>
      <c r="U37" s="605" t="n">
        <v>398</v>
      </c>
      <c r="V37" s="404" t="n">
        <v>82810</v>
      </c>
      <c r="W37" s="404" t="n">
        <v>83000</v>
      </c>
      <c r="X37" s="392" t="inlineStr">
        <is>
          <t>2.1:1</t>
        </is>
      </c>
      <c r="Y37" s="404" t="n">
        <v>39000</v>
      </c>
      <c r="Z37" s="403" t="inlineStr">
        <is>
          <t xml:space="preserve">C </t>
        </is>
      </c>
      <c r="AK37" s="405" t="n"/>
    </row>
    <row r="38" ht="12.75" customFormat="1" customHeight="1" s="605">
      <c r="A38" s="402" t="n">
        <v>6</v>
      </c>
      <c r="B38" s="605" t="n">
        <v>33</v>
      </c>
      <c r="C38" s="605" t="inlineStr">
        <is>
          <t>2013Q</t>
        </is>
      </c>
      <c r="D38" s="605" t="inlineStr">
        <is>
          <t xml:space="preserve">01192-00-064-000 </t>
        </is>
      </c>
      <c r="E38" s="403" t="inlineStr">
        <is>
          <t>Actual</t>
        </is>
      </c>
      <c r="F38" s="605" t="inlineStr">
        <is>
          <t>4330 E 48TH                 AV</t>
        </is>
      </c>
      <c r="G38" s="605" t="n">
        <v>44.2</v>
      </c>
      <c r="H38" s="605" t="n">
        <v>9101</v>
      </c>
      <c r="I38" s="403" t="n">
        <v>0</v>
      </c>
      <c r="J38" s="404" t="n">
        <v>43824</v>
      </c>
      <c r="K38" s="145" t="n">
        <v>2.8647544724352</v>
      </c>
      <c r="L38" s="153" t="n">
        <v>0</v>
      </c>
      <c r="M38" s="153" t="n">
        <v>0</v>
      </c>
      <c r="N38" s="605" t="n">
        <v>1973</v>
      </c>
      <c r="O38" s="605" t="n">
        <v>1474</v>
      </c>
      <c r="P38" s="605" t="n">
        <v>0</v>
      </c>
      <c r="Q38" s="605" t="n">
        <v>22</v>
      </c>
      <c r="R38" s="605" t="n">
        <v>10</v>
      </c>
      <c r="S38" s="605" t="n">
        <v>1</v>
      </c>
      <c r="T38" s="403" t="inlineStr">
        <is>
          <t xml:space="preserve">I-B         </t>
        </is>
      </c>
      <c r="U38" s="605" t="n">
        <v>398</v>
      </c>
      <c r="V38" s="404" t="n">
        <v>117172</v>
      </c>
      <c r="W38" s="404" t="n">
        <v>117000</v>
      </c>
      <c r="X38" s="392" t="inlineStr">
        <is>
          <t>2.7:1</t>
        </is>
      </c>
      <c r="Y38" s="404" t="n">
        <v>44000</v>
      </c>
      <c r="Z38" s="403" t="inlineStr">
        <is>
          <t xml:space="preserve">C </t>
        </is>
      </c>
      <c r="AD38" s="605" t="inlineStr">
        <is>
          <t xml:space="preserve">DIST WHSE           </t>
        </is>
      </c>
      <c r="AK38" s="405" t="inlineStr">
        <is>
          <t xml:space="preserve">2009/2010 LEASES.                                                 </t>
        </is>
      </c>
    </row>
    <row r="39" ht="12.75" customFormat="1" customHeight="1" s="605">
      <c r="A39" s="402" t="n">
        <v>6</v>
      </c>
      <c r="B39" s="605" t="n">
        <v>34</v>
      </c>
      <c r="C39" s="605" t="inlineStr">
        <is>
          <t>2013Q</t>
        </is>
      </c>
      <c r="D39" s="605" t="inlineStr">
        <is>
          <t xml:space="preserve">01194-00-046-000 </t>
        </is>
      </c>
      <c r="E39" s="403" t="inlineStr">
        <is>
          <t>Actual</t>
        </is>
      </c>
      <c r="F39" s="605" t="inlineStr">
        <is>
          <t>5105 E 39TH                 AV</t>
        </is>
      </c>
      <c r="G39" s="605" t="n">
        <v>44.1</v>
      </c>
      <c r="H39" s="605" t="n">
        <v>9101</v>
      </c>
      <c r="I39" s="403" t="n">
        <v>0</v>
      </c>
      <c r="J39" s="404" t="n">
        <v>13514</v>
      </c>
      <c r="K39" s="145" t="n">
        <v>5.32780819890484</v>
      </c>
      <c r="L39" s="153" t="n">
        <v>0</v>
      </c>
      <c r="M39" s="153" t="n">
        <v>0.0555555555555556</v>
      </c>
      <c r="N39" s="605" t="n">
        <v>1957</v>
      </c>
      <c r="O39" s="605" t="n">
        <v>1530</v>
      </c>
      <c r="P39" s="605" t="n">
        <v>0</v>
      </c>
      <c r="Q39" s="605" t="n">
        <v>17</v>
      </c>
      <c r="R39" s="605" t="n">
        <v>3</v>
      </c>
      <c r="S39" s="605" t="n">
        <v>1</v>
      </c>
      <c r="T39" s="403" t="inlineStr">
        <is>
          <t xml:space="preserve">I-A         </t>
        </is>
      </c>
      <c r="U39" s="605" t="n">
        <v>398</v>
      </c>
      <c r="V39" s="404" t="n">
        <v>42458</v>
      </c>
      <c r="W39" s="404" t="n">
        <v>42000</v>
      </c>
      <c r="X39" s="392" t="inlineStr">
        <is>
          <t>3.1:1</t>
        </is>
      </c>
      <c r="Y39" s="404" t="n">
        <v>14000</v>
      </c>
      <c r="Z39" s="403" t="inlineStr">
        <is>
          <t xml:space="preserve">C </t>
        </is>
      </c>
      <c r="AK39" s="405" t="n"/>
    </row>
    <row r="40" ht="25.5" customFormat="1" customHeight="1" s="605">
      <c r="A40" s="402" t="n">
        <v>6</v>
      </c>
      <c r="B40" s="605" t="n">
        <v>35</v>
      </c>
      <c r="C40" s="605" t="inlineStr">
        <is>
          <t>2013Q</t>
        </is>
      </c>
      <c r="D40" s="605" t="inlineStr">
        <is>
          <t xml:space="preserve">01194-00-071-000 </t>
        </is>
      </c>
      <c r="E40" s="403" t="inlineStr">
        <is>
          <t>Actual</t>
        </is>
      </c>
      <c r="F40" s="605" t="inlineStr">
        <is>
          <t>3870   ELM                  ST</t>
        </is>
      </c>
      <c r="G40" s="605" t="n">
        <v>44.1</v>
      </c>
      <c r="H40" s="605" t="n">
        <v>9101</v>
      </c>
      <c r="I40" s="403" t="n">
        <v>0</v>
      </c>
      <c r="J40" s="404" t="n">
        <v>14500</v>
      </c>
      <c r="K40" s="145" t="n">
        <v>5</v>
      </c>
      <c r="L40" s="153" t="n">
        <v>1</v>
      </c>
      <c r="M40" s="153" t="n">
        <v>0</v>
      </c>
      <c r="N40" s="605" t="n">
        <v>1961</v>
      </c>
      <c r="O40" s="605" t="n">
        <v>1805</v>
      </c>
      <c r="P40" s="605" t="n">
        <v>0</v>
      </c>
      <c r="Q40" s="605" t="n">
        <v>14</v>
      </c>
      <c r="R40" s="605" t="n">
        <v>1</v>
      </c>
      <c r="S40" s="605" t="n">
        <v>1</v>
      </c>
      <c r="T40" s="403" t="inlineStr">
        <is>
          <t xml:space="preserve">I-MX-3      </t>
        </is>
      </c>
      <c r="U40" s="605" t="n">
        <v>398</v>
      </c>
      <c r="V40" s="404" t="n">
        <v>22618</v>
      </c>
      <c r="W40" s="404" t="n">
        <v>23000</v>
      </c>
      <c r="X40" s="392" t="inlineStr">
        <is>
          <t>1.6:1</t>
        </is>
      </c>
      <c r="Y40" s="404" t="n">
        <v>15000</v>
      </c>
      <c r="Z40" s="403" t="inlineStr">
        <is>
          <t xml:space="preserve">C </t>
        </is>
      </c>
      <c r="AK40" s="405" t="inlineStr">
        <is>
          <t>LEASE DATE UNKNOWN; CAN'T DIVIDE EXPENSE BETWEEN OWNER AND TENANT.</t>
        </is>
      </c>
    </row>
    <row r="41" ht="25.5" customFormat="1" customHeight="1" s="605">
      <c r="A41" s="402" t="n">
        <v>6</v>
      </c>
      <c r="B41" s="605" t="n">
        <v>36</v>
      </c>
      <c r="C41" s="605" t="inlineStr">
        <is>
          <t>2013Q</t>
        </is>
      </c>
      <c r="D41" s="605" t="inlineStr">
        <is>
          <t xml:space="preserve">01194-00-076-000 </t>
        </is>
      </c>
      <c r="E41" s="403" t="inlineStr">
        <is>
          <t>Actual</t>
        </is>
      </c>
      <c r="F41" s="605" t="inlineStr">
        <is>
          <t>3855   ELM                  ST</t>
        </is>
      </c>
      <c r="G41" s="605" t="n">
        <v>44.2</v>
      </c>
      <c r="H41" s="605" t="n">
        <v>9101</v>
      </c>
      <c r="I41" s="403" t="n">
        <v>0</v>
      </c>
      <c r="J41" s="404" t="n">
        <v>7280</v>
      </c>
      <c r="K41" s="145" t="n">
        <v>13.3333333333333</v>
      </c>
      <c r="L41" s="153" t="n">
        <v>0</v>
      </c>
      <c r="M41" s="153" t="n">
        <v>0</v>
      </c>
      <c r="N41" s="605" t="n">
        <v>1961</v>
      </c>
      <c r="O41" s="605" t="n">
        <v>3164</v>
      </c>
      <c r="P41" s="605" t="n">
        <v>0</v>
      </c>
      <c r="Q41" s="605" t="n">
        <v>15</v>
      </c>
      <c r="R41" s="605" t="n">
        <v>3</v>
      </c>
      <c r="S41" s="605" t="n">
        <v>1</v>
      </c>
      <c r="T41" s="403" t="inlineStr">
        <is>
          <t xml:space="preserve">I-MX-3      </t>
        </is>
      </c>
      <c r="U41" s="605" t="n">
        <v>398</v>
      </c>
      <c r="V41" s="404" t="n">
        <v>14387</v>
      </c>
      <c r="W41" s="404" t="n">
        <v>14000</v>
      </c>
      <c r="X41" s="392" t="inlineStr">
        <is>
          <t>2:1</t>
        </is>
      </c>
      <c r="Y41" s="404" t="n">
        <v>7000</v>
      </c>
      <c r="Z41" s="403" t="inlineStr">
        <is>
          <t xml:space="preserve">B </t>
        </is>
      </c>
      <c r="AD41" s="605" t="inlineStr">
        <is>
          <t xml:space="preserve">CANNACOPIA          </t>
        </is>
      </c>
      <c r="AK41" s="405" t="inlineStr">
        <is>
          <t xml:space="preserve">CAN'T ALLOCATE EXPENSE BETWEEN OWNER &amp; TENANT                     </t>
        </is>
      </c>
    </row>
    <row r="42" ht="25.5" customFormat="1" customHeight="1" s="605">
      <c r="A42" s="402" t="n">
        <v>6</v>
      </c>
      <c r="B42" s="605" t="n">
        <v>37</v>
      </c>
      <c r="C42" s="605" t="inlineStr">
        <is>
          <t>2013Q</t>
        </is>
      </c>
      <c r="D42" s="605" t="inlineStr">
        <is>
          <t xml:space="preserve">01194-00-136-000 </t>
        </is>
      </c>
      <c r="E42" s="403" t="inlineStr">
        <is>
          <t>Actual</t>
        </is>
      </c>
      <c r="F42" s="605" t="inlineStr">
        <is>
          <t>3931   HOLLY                ST</t>
        </is>
      </c>
      <c r="G42" s="605" t="n">
        <v>44.2</v>
      </c>
      <c r="H42" s="605" t="n">
        <v>9101</v>
      </c>
      <c r="I42" s="403" t="n">
        <v>0</v>
      </c>
      <c r="J42" s="404" t="n">
        <v>16770</v>
      </c>
      <c r="K42" s="145" t="n">
        <v>4.86583184257603</v>
      </c>
      <c r="L42" s="153" t="n">
        <v>0.48</v>
      </c>
      <c r="M42" s="153" t="n">
        <v>0</v>
      </c>
      <c r="N42" s="605" t="n">
        <v>1980</v>
      </c>
      <c r="O42" s="605" t="n">
        <v>3949</v>
      </c>
      <c r="P42" s="605" t="n">
        <v>0</v>
      </c>
      <c r="Q42" s="605" t="n">
        <v>16</v>
      </c>
      <c r="R42" s="605" t="n">
        <v>1</v>
      </c>
      <c r="S42" s="605" t="n">
        <v>1</v>
      </c>
      <c r="T42" s="403" t="inlineStr">
        <is>
          <t xml:space="preserve">I-A         </t>
        </is>
      </c>
      <c r="U42" s="605" t="n">
        <v>398</v>
      </c>
      <c r="V42" s="404" t="n">
        <v>39942</v>
      </c>
      <c r="W42" s="404" t="n">
        <v>40000</v>
      </c>
      <c r="X42" s="392" t="inlineStr">
        <is>
          <t>2.4:1</t>
        </is>
      </c>
      <c r="Y42" s="404" t="n">
        <v>17000</v>
      </c>
      <c r="Z42" s="403" t="inlineStr">
        <is>
          <t xml:space="preserve">C </t>
        </is>
      </c>
      <c r="AD42" s="605" t="inlineStr">
        <is>
          <t xml:space="preserve">M-W                 </t>
        </is>
      </c>
      <c r="AK42" s="405" t="inlineStr">
        <is>
          <t xml:space="preserve">OWNER PAYS TOO MUCH OF EXPENSES HERE = NOT LISTED.                </t>
        </is>
      </c>
    </row>
    <row r="43" ht="12.75" customFormat="1" customHeight="1" s="605">
      <c r="A43" s="402" t="n">
        <v>6</v>
      </c>
      <c r="B43" s="605" t="n">
        <v>38</v>
      </c>
      <c r="C43" s="605" t="inlineStr">
        <is>
          <t>2013Q</t>
        </is>
      </c>
      <c r="D43" s="605" t="inlineStr">
        <is>
          <t xml:space="preserve">01194-00-181-000 </t>
        </is>
      </c>
      <c r="E43" s="403" t="inlineStr">
        <is>
          <t>Actual</t>
        </is>
      </c>
      <c r="F43" s="605" t="inlineStr">
        <is>
          <t>4855 E 41ST                 AV</t>
        </is>
      </c>
      <c r="G43" s="605" t="n">
        <v>44.1</v>
      </c>
      <c r="H43" s="605" t="n">
        <v>9101</v>
      </c>
      <c r="I43" s="403" t="n">
        <v>0</v>
      </c>
      <c r="J43" s="404" t="n">
        <v>8960</v>
      </c>
      <c r="K43" s="145" t="n">
        <v>5.86607142857143</v>
      </c>
      <c r="L43" s="153" t="n">
        <v>0</v>
      </c>
      <c r="M43" s="153" t="n">
        <v>0.0812404870624049</v>
      </c>
      <c r="N43" s="605" t="n">
        <v>1972</v>
      </c>
      <c r="O43" s="605" t="n">
        <v>2820</v>
      </c>
      <c r="P43" s="605" t="n">
        <v>0</v>
      </c>
      <c r="Q43" s="605" t="n">
        <v>16</v>
      </c>
      <c r="R43" s="605" t="n">
        <v>3</v>
      </c>
      <c r="S43" s="605" t="n">
        <v>1</v>
      </c>
      <c r="T43" s="403" t="inlineStr">
        <is>
          <t xml:space="preserve">I-A         </t>
        </is>
      </c>
      <c r="U43" s="605" t="n">
        <v>398</v>
      </c>
      <c r="V43" s="404" t="n">
        <v>26435</v>
      </c>
      <c r="W43" s="404" t="n">
        <v>26000</v>
      </c>
      <c r="X43" s="392" t="inlineStr">
        <is>
          <t>3:1</t>
        </is>
      </c>
      <c r="Y43" s="404" t="n">
        <v>9000</v>
      </c>
      <c r="Z43" s="403" t="inlineStr">
        <is>
          <t xml:space="preserve">C </t>
        </is>
      </c>
      <c r="AD43" s="605" t="inlineStr">
        <is>
          <t xml:space="preserve">BELLAIR EXPRESS     </t>
        </is>
      </c>
      <c r="AK43" s="405" t="inlineStr">
        <is>
          <t xml:space="preserve">LEASE COMMENCEMENT UNKNOWN.                                       </t>
        </is>
      </c>
    </row>
    <row r="44" ht="25.5" customFormat="1" customHeight="1" s="605">
      <c r="A44" s="402" t="n">
        <v>6</v>
      </c>
      <c r="B44" s="605" t="n">
        <v>39</v>
      </c>
      <c r="C44" s="605" t="inlineStr">
        <is>
          <t>2013Q</t>
        </is>
      </c>
      <c r="D44" s="605" t="inlineStr">
        <is>
          <t xml:space="preserve">01194-00-229-000 </t>
        </is>
      </c>
      <c r="E44" s="403" t="inlineStr">
        <is>
          <t>Actual</t>
        </is>
      </c>
      <c r="F44" s="605" t="inlineStr">
        <is>
          <t>3812   DAHLIA               ST</t>
        </is>
      </c>
      <c r="G44" s="605" t="n">
        <v>44.1</v>
      </c>
      <c r="H44" s="605" t="n">
        <v>9101</v>
      </c>
      <c r="I44" s="403" t="n">
        <v>0</v>
      </c>
      <c r="J44" s="404" t="n">
        <v>6579</v>
      </c>
      <c r="K44" s="145" t="n">
        <v>2.83018867924528</v>
      </c>
      <c r="L44" s="153" t="n">
        <v>0</v>
      </c>
      <c r="M44" s="153" t="n">
        <v>0</v>
      </c>
      <c r="N44" s="605" t="n">
        <v>1926</v>
      </c>
      <c r="O44" s="605" t="n">
        <v>1620</v>
      </c>
      <c r="P44" s="605" t="n">
        <v>0</v>
      </c>
      <c r="Q44" s="605" t="n">
        <v>10</v>
      </c>
      <c r="R44" s="605" t="n">
        <v>1</v>
      </c>
      <c r="S44" s="605" t="n">
        <v>1</v>
      </c>
      <c r="T44" s="403" t="inlineStr">
        <is>
          <t xml:space="preserve">I-MX-3      </t>
        </is>
      </c>
      <c r="U44" s="605" t="n">
        <v>398</v>
      </c>
      <c r="V44" s="404" t="n">
        <v>92437</v>
      </c>
      <c r="W44" s="404" t="n">
        <v>92000</v>
      </c>
      <c r="X44" s="392" t="inlineStr">
        <is>
          <t>14.1:1</t>
        </is>
      </c>
      <c r="Y44" s="404" t="n">
        <v>7000</v>
      </c>
      <c r="Z44" s="403" t="inlineStr">
        <is>
          <t xml:space="preserve">C </t>
        </is>
      </c>
      <c r="AK44" s="405" t="inlineStr">
        <is>
          <t xml:space="preserve">OWNER PAYS TOO MUCH OF EXPENSES HERE = NOT LISTED.                </t>
        </is>
      </c>
    </row>
    <row r="45" ht="12.75" customFormat="1" customHeight="1" s="605">
      <c r="A45" s="402" t="n">
        <v>6</v>
      </c>
      <c r="B45" s="605" t="n">
        <v>40</v>
      </c>
      <c r="C45" s="605" t="inlineStr">
        <is>
          <t>2013Q</t>
        </is>
      </c>
      <c r="D45" s="605" t="inlineStr">
        <is>
          <t xml:space="preserve">01194-00-230-000 </t>
        </is>
      </c>
      <c r="E45" s="403" t="inlineStr">
        <is>
          <t>Actual</t>
        </is>
      </c>
      <c r="F45" s="605" t="inlineStr">
        <is>
          <t>3820   FOREST               ST</t>
        </is>
      </c>
      <c r="G45" s="605" t="n">
        <v>44.1</v>
      </c>
      <c r="H45" s="605" t="n">
        <v>9101</v>
      </c>
      <c r="I45" s="403" t="n">
        <v>0</v>
      </c>
      <c r="J45" s="404" t="n">
        <v>4400</v>
      </c>
      <c r="K45" s="145" t="n">
        <v>5.62636363636364</v>
      </c>
      <c r="L45" s="153" t="n">
        <v>0</v>
      </c>
      <c r="M45" s="153" t="n">
        <v>0</v>
      </c>
      <c r="N45" s="605" t="n">
        <v>1958</v>
      </c>
      <c r="O45" s="605" t="n">
        <v>1712</v>
      </c>
      <c r="P45" s="605" t="n">
        <v>0</v>
      </c>
      <c r="Q45" s="605" t="n">
        <v>14</v>
      </c>
      <c r="R45" s="605" t="n">
        <v>4</v>
      </c>
      <c r="S45" s="605" t="n">
        <v>1</v>
      </c>
      <c r="T45" s="403" t="inlineStr">
        <is>
          <t xml:space="preserve">I-MX-3      </t>
        </is>
      </c>
      <c r="U45" s="605" t="n">
        <v>398</v>
      </c>
      <c r="V45" s="404" t="n">
        <v>9000</v>
      </c>
      <c r="W45" s="404" t="n">
        <v>9000</v>
      </c>
      <c r="X45" s="392" t="inlineStr">
        <is>
          <t>2:1</t>
        </is>
      </c>
      <c r="Y45" s="404" t="n">
        <v>4000</v>
      </c>
      <c r="Z45" s="403" t="inlineStr">
        <is>
          <t xml:space="preserve">C </t>
        </is>
      </c>
      <c r="AD45" s="605" t="inlineStr">
        <is>
          <t>S-D-LANDEROF PLUMBNG</t>
        </is>
      </c>
      <c r="AK45" s="405" t="inlineStr">
        <is>
          <t xml:space="preserve">LEASE COMMENCEMENT UNKNOWN.                                       </t>
        </is>
      </c>
    </row>
    <row r="46" ht="25.5" customFormat="1" customHeight="1" s="605">
      <c r="A46" s="402" t="n">
        <v>6</v>
      </c>
      <c r="B46" s="605" t="n">
        <v>41</v>
      </c>
      <c r="C46" s="605" t="inlineStr">
        <is>
          <t>2013Q</t>
        </is>
      </c>
      <c r="D46" s="605" t="inlineStr">
        <is>
          <t xml:space="preserve">01194-00-239-000 </t>
        </is>
      </c>
      <c r="E46" s="403" t="inlineStr">
        <is>
          <t>Actual</t>
        </is>
      </c>
      <c r="F46" s="605" t="inlineStr">
        <is>
          <t>5255 E 38TH                 AV</t>
        </is>
      </c>
      <c r="G46" s="605" t="n">
        <v>44.1</v>
      </c>
      <c r="H46" s="605" t="n">
        <v>9101</v>
      </c>
      <c r="I46" s="403" t="n">
        <v>0</v>
      </c>
      <c r="J46" s="404" t="n">
        <v>10000</v>
      </c>
      <c r="K46" s="145" t="n">
        <v>7.28816326530612</v>
      </c>
      <c r="L46" s="153" t="n">
        <v>0</v>
      </c>
      <c r="M46" s="153" t="n">
        <v>0</v>
      </c>
      <c r="N46" s="605" t="n">
        <v>1958</v>
      </c>
      <c r="O46" s="605" t="n">
        <v>2612</v>
      </c>
      <c r="P46" s="605" t="n">
        <v>0</v>
      </c>
      <c r="Q46" s="605" t="n">
        <v>13</v>
      </c>
      <c r="R46" s="605" t="n">
        <v>1</v>
      </c>
      <c r="S46" s="605" t="n">
        <v>1</v>
      </c>
      <c r="T46" s="403" t="inlineStr">
        <is>
          <t xml:space="preserve">I-MX-3      </t>
        </is>
      </c>
      <c r="U46" s="605" t="n">
        <v>398</v>
      </c>
      <c r="V46" s="404" t="n">
        <v>21300</v>
      </c>
      <c r="W46" s="404" t="n">
        <v>21000</v>
      </c>
      <c r="X46" s="392" t="inlineStr">
        <is>
          <t>2.1:1</t>
        </is>
      </c>
      <c r="Y46" s="404" t="n">
        <v>10000</v>
      </c>
      <c r="Z46" s="403" t="inlineStr">
        <is>
          <t xml:space="preserve">C </t>
        </is>
      </c>
      <c r="AD46" s="605" t="inlineStr">
        <is>
          <t xml:space="preserve">LAWNTECH ENT'PRS    </t>
        </is>
      </c>
      <c r="AK46" s="405" t="inlineStr">
        <is>
          <t xml:space="preserve">CAN'T SEPARATE EXPENSES ATTRIBUTABLE TO OWNER &amp; TENANT.           </t>
        </is>
      </c>
    </row>
    <row r="47" ht="25.5" customFormat="1" customHeight="1" s="605">
      <c r="A47" s="402" t="n">
        <v>6</v>
      </c>
      <c r="B47" s="605" t="n">
        <v>42</v>
      </c>
      <c r="C47" s="605" t="inlineStr">
        <is>
          <t>2013Q</t>
        </is>
      </c>
      <c r="D47" s="605" t="inlineStr">
        <is>
          <t xml:space="preserve">01194-00-262-000 </t>
        </is>
      </c>
      <c r="E47" s="403" t="inlineStr">
        <is>
          <t>Actual</t>
        </is>
      </c>
      <c r="F47" s="605" t="inlineStr">
        <is>
          <t>5105 E 41ST                 AV</t>
        </is>
      </c>
      <c r="G47" s="605" t="n">
        <v>44.2</v>
      </c>
      <c r="H47" s="605" t="n">
        <v>9101</v>
      </c>
      <c r="I47" s="403" t="n">
        <v>0</v>
      </c>
      <c r="J47" s="404" t="n">
        <v>76174</v>
      </c>
      <c r="K47" s="145" t="n">
        <v>3.87258119568357</v>
      </c>
      <c r="L47" s="153" t="n">
        <v>0</v>
      </c>
      <c r="M47" s="153" t="n">
        <v>0</v>
      </c>
      <c r="N47" s="605" t="n">
        <v>1974</v>
      </c>
      <c r="O47" s="605" t="n">
        <v>17712</v>
      </c>
      <c r="P47" s="605" t="n">
        <v>0</v>
      </c>
      <c r="Q47" s="605" t="n">
        <v>22</v>
      </c>
      <c r="R47" s="605" t="n">
        <v>14</v>
      </c>
      <c r="S47" s="605" t="n">
        <v>2</v>
      </c>
      <c r="T47" s="403" t="n"/>
      <c r="U47" s="605" t="n">
        <v>398</v>
      </c>
      <c r="V47" s="404" t="n">
        <v>154295</v>
      </c>
      <c r="W47" s="404" t="n">
        <v>154000</v>
      </c>
      <c r="X47" s="392" t="inlineStr">
        <is>
          <t>2:1</t>
        </is>
      </c>
      <c r="Y47" s="404" t="n">
        <v>76000</v>
      </c>
      <c r="Z47" s="403" t="inlineStr">
        <is>
          <t xml:space="preserve">C </t>
        </is>
      </c>
      <c r="AD47" s="605" t="inlineStr">
        <is>
          <t xml:space="preserve">DIST.               </t>
        </is>
      </c>
      <c r="AK47" s="405" t="inlineStr">
        <is>
          <t>LEASE DATES FROM 2000 - ONLY HERE TO MAKE A RECORD FOR STEVENS W.O</t>
        </is>
      </c>
    </row>
    <row r="48" ht="25.5" customFormat="1" customHeight="1" s="605">
      <c r="A48" s="402" t="n">
        <v>6</v>
      </c>
      <c r="B48" s="605" t="n">
        <v>43</v>
      </c>
      <c r="C48" s="605" t="inlineStr">
        <is>
          <t>2013Q</t>
        </is>
      </c>
      <c r="D48" s="605" t="inlineStr">
        <is>
          <t xml:space="preserve">01194-00-264-000 </t>
        </is>
      </c>
      <c r="E48" s="403" t="inlineStr">
        <is>
          <t>Actual</t>
        </is>
      </c>
      <c r="F48" s="605" t="inlineStr">
        <is>
          <t>5180   SMITH                RD</t>
        </is>
      </c>
      <c r="G48" s="605" t="n">
        <v>44.2</v>
      </c>
      <c r="H48" s="605" t="n">
        <v>9101</v>
      </c>
      <c r="I48" s="403" t="n">
        <v>0</v>
      </c>
      <c r="J48" s="404" t="n">
        <v>26700</v>
      </c>
      <c r="K48" s="145" t="n">
        <v>5.19996254681648</v>
      </c>
      <c r="L48" s="153" t="n">
        <v>0</v>
      </c>
      <c r="M48" s="153" t="n">
        <v>0.175613480362146</v>
      </c>
      <c r="N48" s="605" t="n">
        <v>1974</v>
      </c>
      <c r="O48" s="605" t="n">
        <v>6743</v>
      </c>
      <c r="P48" s="605" t="n">
        <v>0</v>
      </c>
      <c r="Q48" s="605" t="n">
        <v>17</v>
      </c>
      <c r="R48" s="605" t="n">
        <v>14</v>
      </c>
      <c r="S48" s="605" t="n">
        <v>6</v>
      </c>
      <c r="T48" s="403" t="inlineStr">
        <is>
          <t xml:space="preserve">I-A         </t>
        </is>
      </c>
      <c r="U48" s="605" t="n">
        <v>398</v>
      </c>
      <c r="V48" s="404" t="n">
        <v>62461</v>
      </c>
      <c r="W48" s="404" t="n">
        <v>62000</v>
      </c>
      <c r="X48" s="392" t="inlineStr">
        <is>
          <t>2.3:1</t>
        </is>
      </c>
      <c r="Y48" s="404" t="n">
        <v>27000</v>
      </c>
      <c r="Z48" s="403" t="inlineStr">
        <is>
          <t xml:space="preserve">C </t>
        </is>
      </c>
      <c r="AD48" s="605" t="inlineStr">
        <is>
          <t xml:space="preserve">DIST/OFC            </t>
        </is>
      </c>
      <c r="AK48" s="405" t="inlineStr">
        <is>
          <t xml:space="preserve">LEASES DATE FROM 2006 -2010;OWNER PAYS TOO MUCH OF EXPENSES.      </t>
        </is>
      </c>
    </row>
    <row r="49" ht="12.75" customFormat="1" customHeight="1" s="605">
      <c r="A49" s="402" t="n">
        <v>6</v>
      </c>
      <c r="B49" s="605" t="n">
        <v>44</v>
      </c>
      <c r="C49" s="605" t="inlineStr">
        <is>
          <t>2013Q</t>
        </is>
      </c>
      <c r="D49" s="605" t="inlineStr">
        <is>
          <t xml:space="preserve">01194-01-003-000 </t>
        </is>
      </c>
      <c r="E49" s="403" t="inlineStr">
        <is>
          <t>Actual</t>
        </is>
      </c>
      <c r="F49" s="605" t="inlineStr">
        <is>
          <t>4801 E 39TH                 AV</t>
        </is>
      </c>
      <c r="G49" s="605" t="n">
        <v>44.1</v>
      </c>
      <c r="H49" s="605" t="n">
        <v>9101</v>
      </c>
      <c r="I49" s="403" t="n">
        <v>0</v>
      </c>
      <c r="J49" s="404" t="n">
        <v>11902</v>
      </c>
      <c r="K49" s="145" t="n">
        <v>7.56175432700387</v>
      </c>
      <c r="L49" s="153" t="n">
        <v>0</v>
      </c>
      <c r="M49" s="153" t="n">
        <v>0.166666666666667</v>
      </c>
      <c r="N49" s="605" t="n">
        <v>1966</v>
      </c>
      <c r="O49" s="605" t="n">
        <v>1804</v>
      </c>
      <c r="P49" s="605" t="n">
        <v>0</v>
      </c>
      <c r="Q49" s="605" t="n">
        <v>15</v>
      </c>
      <c r="R49" s="605" t="n">
        <v>1</v>
      </c>
      <c r="S49" s="605" t="n">
        <v>1</v>
      </c>
      <c r="T49" s="403" t="inlineStr">
        <is>
          <t xml:space="preserve">I-A         </t>
        </is>
      </c>
      <c r="U49" s="605" t="n">
        <v>398</v>
      </c>
      <c r="V49" s="404" t="n">
        <v>27923</v>
      </c>
      <c r="W49" s="404" t="n">
        <v>28000</v>
      </c>
      <c r="X49" s="392" t="inlineStr">
        <is>
          <t>2.3:1</t>
        </is>
      </c>
      <c r="Y49" s="404" t="n">
        <v>12000</v>
      </c>
      <c r="Z49" s="403" t="inlineStr">
        <is>
          <t xml:space="preserve">C </t>
        </is>
      </c>
      <c r="AD49" s="605" t="inlineStr">
        <is>
          <t xml:space="preserve">DIST WAREHOUSE      </t>
        </is>
      </c>
      <c r="AK49" s="405" t="n"/>
    </row>
    <row r="50" ht="12.75" customFormat="1" customHeight="1" s="605">
      <c r="A50" s="402" t="n">
        <v>6</v>
      </c>
      <c r="B50" s="605" t="n">
        <v>45</v>
      </c>
      <c r="C50" s="605" t="inlineStr">
        <is>
          <t>2013Q</t>
        </is>
      </c>
      <c r="D50" s="605" t="inlineStr">
        <is>
          <t xml:space="preserve">01194-03-002-000 </t>
        </is>
      </c>
      <c r="E50" s="403" t="inlineStr">
        <is>
          <t>Actual</t>
        </is>
      </c>
      <c r="F50" s="605" t="inlineStr">
        <is>
          <t>3875   ELM                  ST</t>
        </is>
      </c>
      <c r="G50" s="605" t="n">
        <v>44.1</v>
      </c>
      <c r="H50" s="605" t="n">
        <v>9101</v>
      </c>
      <c r="I50" s="403" t="n">
        <v>0</v>
      </c>
      <c r="J50" s="404" t="n">
        <v>7200</v>
      </c>
      <c r="K50" s="145" t="n">
        <v>6.33333333333333</v>
      </c>
      <c r="L50" s="153" t="n">
        <v>0</v>
      </c>
      <c r="M50" s="153" t="n">
        <v>0.0269517543859649</v>
      </c>
      <c r="N50" s="605" t="n">
        <v>1962</v>
      </c>
      <c r="O50" s="605" t="n">
        <v>2411</v>
      </c>
      <c r="P50" s="605" t="n">
        <v>0</v>
      </c>
      <c r="Q50" s="605" t="n">
        <v>12</v>
      </c>
      <c r="R50" s="605" t="n">
        <v>3</v>
      </c>
      <c r="S50" s="605" t="n">
        <v>1</v>
      </c>
      <c r="T50" s="403" t="inlineStr">
        <is>
          <t xml:space="preserve">I-MX-3      </t>
        </is>
      </c>
      <c r="U50" s="605" t="n">
        <v>398</v>
      </c>
      <c r="V50" s="404" t="n">
        <v>19800</v>
      </c>
      <c r="W50" s="404" t="n">
        <v>20000</v>
      </c>
      <c r="X50" s="392" t="inlineStr">
        <is>
          <t>2.8:1</t>
        </is>
      </c>
      <c r="Y50" s="404" t="n">
        <v>7000</v>
      </c>
      <c r="Z50" s="403" t="inlineStr">
        <is>
          <t xml:space="preserve">C </t>
        </is>
      </c>
      <c r="AD50" s="605" t="inlineStr">
        <is>
          <t xml:space="preserve">DIST    AIRPRO      </t>
        </is>
      </c>
      <c r="AK50" s="405" t="n"/>
    </row>
    <row r="51" ht="12.75" customFormat="1" customHeight="1" s="605">
      <c r="A51" s="402" t="n">
        <v>6</v>
      </c>
      <c r="B51" s="605" t="n">
        <v>46</v>
      </c>
      <c r="C51" s="605" t="inlineStr">
        <is>
          <t>2013Q</t>
        </is>
      </c>
      <c r="D51" s="605" t="inlineStr">
        <is>
          <t xml:space="preserve">01194-03-006-000 </t>
        </is>
      </c>
      <c r="E51" s="403" t="inlineStr">
        <is>
          <t>Actual</t>
        </is>
      </c>
      <c r="F51" s="605" t="inlineStr">
        <is>
          <t>4940 E 39TH                 AV</t>
        </is>
      </c>
      <c r="G51" s="605" t="n">
        <v>43.2</v>
      </c>
      <c r="H51" s="605" t="n">
        <v>9101</v>
      </c>
      <c r="I51" s="403" t="n">
        <v>0</v>
      </c>
      <c r="J51" s="404" t="n">
        <v>6272</v>
      </c>
      <c r="K51" s="145" t="n">
        <v>7.43638392857143</v>
      </c>
      <c r="L51" s="153" t="n">
        <v>0</v>
      </c>
      <c r="M51" s="153" t="n">
        <v>0.0586608348877597</v>
      </c>
      <c r="N51" s="605" t="n">
        <v>1966</v>
      </c>
      <c r="O51" s="605" t="n">
        <v>1040</v>
      </c>
      <c r="P51" s="605" t="n">
        <v>0</v>
      </c>
      <c r="Q51" s="605" t="n">
        <v>12</v>
      </c>
      <c r="R51" s="605" t="n">
        <v>1</v>
      </c>
      <c r="S51" s="605" t="n">
        <v>1</v>
      </c>
      <c r="T51" s="403" t="inlineStr">
        <is>
          <t xml:space="preserve">I-A         </t>
        </is>
      </c>
      <c r="U51" s="605" t="n">
        <v>401</v>
      </c>
      <c r="V51" s="404" t="n">
        <v>12951</v>
      </c>
      <c r="W51" s="404" t="n">
        <v>13000</v>
      </c>
      <c r="X51" s="392" t="inlineStr">
        <is>
          <t>2.1:1</t>
        </is>
      </c>
      <c r="Y51" s="404" t="n">
        <v>6000</v>
      </c>
      <c r="Z51" s="403" t="inlineStr">
        <is>
          <t xml:space="preserve">C </t>
        </is>
      </c>
      <c r="AD51" s="605" t="inlineStr">
        <is>
          <t>S-M BC PRINTING INC.</t>
        </is>
      </c>
      <c r="AK51" s="405" t="n"/>
    </row>
    <row r="52" ht="25.5" customFormat="1" customHeight="1" s="605">
      <c r="A52" s="402" t="n">
        <v>6</v>
      </c>
      <c r="B52" s="605" t="n">
        <v>47</v>
      </c>
      <c r="C52" s="605" t="inlineStr">
        <is>
          <t>2013Q</t>
        </is>
      </c>
      <c r="D52" s="605" t="inlineStr">
        <is>
          <t xml:space="preserve">01194-04-001-000 </t>
        </is>
      </c>
      <c r="E52" s="403" t="inlineStr">
        <is>
          <t>Actual</t>
        </is>
      </c>
      <c r="F52" s="605" t="inlineStr">
        <is>
          <t>3835   ELM                  ST</t>
        </is>
      </c>
      <c r="G52" s="605" t="n">
        <v>44.2</v>
      </c>
      <c r="H52" s="605" t="n">
        <v>9101</v>
      </c>
      <c r="I52" s="403" t="n">
        <v>0</v>
      </c>
      <c r="J52" s="404" t="n">
        <v>18000</v>
      </c>
      <c r="K52" s="145" t="n">
        <v>5.23953911461492</v>
      </c>
      <c r="L52" s="153" t="n">
        <v>0</v>
      </c>
      <c r="M52" s="153" t="n">
        <v>0</v>
      </c>
      <c r="N52" s="605" t="n">
        <v>1962</v>
      </c>
      <c r="O52" s="605" t="n">
        <v>9120</v>
      </c>
      <c r="P52" s="605" t="n">
        <v>0</v>
      </c>
      <c r="Q52" s="605" t="n">
        <v>13</v>
      </c>
      <c r="R52" s="605" t="n">
        <v>3</v>
      </c>
      <c r="S52" s="605" t="n">
        <v>6</v>
      </c>
      <c r="T52" s="403" t="inlineStr">
        <is>
          <t xml:space="preserve">I-MX-3      </t>
        </is>
      </c>
      <c r="U52" s="605" t="n">
        <v>398</v>
      </c>
      <c r="V52" s="404" t="n">
        <v>41400</v>
      </c>
      <c r="W52" s="404" t="n">
        <v>41000</v>
      </c>
      <c r="X52" s="392" t="inlineStr">
        <is>
          <t>2.3:1</t>
        </is>
      </c>
      <c r="Y52" s="404" t="n">
        <v>18000</v>
      </c>
      <c r="Z52" s="403" t="inlineStr">
        <is>
          <t xml:space="preserve">C </t>
        </is>
      </c>
      <c r="AD52" s="605" t="inlineStr">
        <is>
          <t xml:space="preserve">DIST/MULTI TENANT   </t>
        </is>
      </c>
      <c r="AK52" s="405" t="inlineStr">
        <is>
          <t xml:space="preserve">EXP LEFT OUT BECAUSE OWNER PAYS WAY TOO MUCH.                     </t>
        </is>
      </c>
    </row>
    <row r="53" ht="25.5" customFormat="1" customHeight="1" s="605">
      <c r="A53" s="402" t="n">
        <v>6</v>
      </c>
      <c r="B53" s="605" t="n">
        <v>48</v>
      </c>
      <c r="C53" s="605" t="inlineStr">
        <is>
          <t>2013Q</t>
        </is>
      </c>
      <c r="D53" s="605" t="inlineStr">
        <is>
          <t xml:space="preserve">01201-00-042-000 </t>
        </is>
      </c>
      <c r="E53" s="403" t="inlineStr">
        <is>
          <t>Actual</t>
        </is>
      </c>
      <c r="F53" s="605" t="inlineStr">
        <is>
          <t>4300   MONACO               PY</t>
        </is>
      </c>
      <c r="G53" s="605" t="n">
        <v>44.2</v>
      </c>
      <c r="H53" s="605" t="n">
        <v>9101</v>
      </c>
      <c r="I53" s="403" t="n">
        <v>0</v>
      </c>
      <c r="J53" s="404" t="n">
        <v>20000</v>
      </c>
      <c r="K53" s="145" t="n">
        <v>2.92</v>
      </c>
      <c r="L53" s="153" t="n">
        <v>0</v>
      </c>
      <c r="M53" s="153" t="n">
        <v>0</v>
      </c>
      <c r="N53" s="605" t="n">
        <v>1969</v>
      </c>
      <c r="O53" s="605" t="n">
        <v>2350</v>
      </c>
      <c r="P53" s="605" t="n">
        <v>0</v>
      </c>
      <c r="Q53" s="605" t="n">
        <v>20</v>
      </c>
      <c r="R53" s="605" t="n">
        <v>3</v>
      </c>
      <c r="S53" s="605" t="n">
        <v>1</v>
      </c>
      <c r="T53" s="403" t="inlineStr">
        <is>
          <t xml:space="preserve">I-B         </t>
        </is>
      </c>
      <c r="U53" s="605" t="n">
        <v>398</v>
      </c>
      <c r="V53" s="404" t="n">
        <v>63328</v>
      </c>
      <c r="W53" s="404" t="n">
        <v>63000</v>
      </c>
      <c r="X53" s="392" t="inlineStr">
        <is>
          <t>3.2:1</t>
        </is>
      </c>
      <c r="Y53" s="404" t="n">
        <v>20000</v>
      </c>
      <c r="Z53" s="403" t="inlineStr">
        <is>
          <t xml:space="preserve">C </t>
        </is>
      </c>
      <c r="AK53" s="405" t="inlineStr">
        <is>
          <t xml:space="preserve">NNN LEASE SIGNED 10/2011 -- SOURCE: COSTAR                        </t>
        </is>
      </c>
    </row>
    <row r="54" ht="12.75" customFormat="1" customHeight="1" s="605">
      <c r="A54" s="402" t="n">
        <v>6</v>
      </c>
      <c r="B54" s="605" t="n">
        <v>49</v>
      </c>
      <c r="C54" s="605" t="inlineStr">
        <is>
          <t>2013Q</t>
        </is>
      </c>
      <c r="D54" s="605" t="inlineStr">
        <is>
          <t xml:space="preserve">01201-19-020-000 </t>
        </is>
      </c>
      <c r="E54" s="403" t="inlineStr">
        <is>
          <t>Actual</t>
        </is>
      </c>
      <c r="F54" s="605" t="inlineStr">
        <is>
          <t>6804 E 48TH                 AV</t>
        </is>
      </c>
      <c r="G54" s="605" t="n">
        <v>44.2</v>
      </c>
      <c r="H54" s="605" t="n">
        <v>9101</v>
      </c>
      <c r="I54" s="403" t="n">
        <v>0</v>
      </c>
      <c r="J54" s="404" t="n">
        <v>46464</v>
      </c>
      <c r="K54" s="145" t="n">
        <v>6.14925533746557</v>
      </c>
      <c r="L54" s="153" t="n">
        <v>0.37</v>
      </c>
      <c r="M54" s="153" t="n">
        <v>0.09556592316226779</v>
      </c>
      <c r="N54" s="605" t="n">
        <v>1973</v>
      </c>
      <c r="O54" s="605" t="n">
        <v>5987</v>
      </c>
      <c r="P54" s="605" t="n">
        <v>0</v>
      </c>
      <c r="Q54" s="605" t="n">
        <v>15</v>
      </c>
      <c r="R54" s="605" t="n">
        <v>10</v>
      </c>
      <c r="S54" s="605" t="n">
        <v>8</v>
      </c>
      <c r="T54" s="403" t="inlineStr">
        <is>
          <t xml:space="preserve">I-B         </t>
        </is>
      </c>
      <c r="U54" s="605" t="n">
        <v>398</v>
      </c>
      <c r="V54" s="404" t="n">
        <v>97473</v>
      </c>
      <c r="W54" s="404" t="n">
        <v>97000</v>
      </c>
      <c r="X54" s="392" t="inlineStr">
        <is>
          <t>2.1:1</t>
        </is>
      </c>
      <c r="Y54" s="404" t="n">
        <v>46000</v>
      </c>
      <c r="Z54" s="403" t="inlineStr">
        <is>
          <t xml:space="preserve">C </t>
        </is>
      </c>
      <c r="AK54" s="405" t="n"/>
    </row>
    <row r="55" ht="12.75" customFormat="1" customHeight="1" s="605">
      <c r="A55" s="402" t="n">
        <v>6</v>
      </c>
      <c r="B55" s="605" t="n">
        <v>50</v>
      </c>
      <c r="C55" s="605" t="inlineStr">
        <is>
          <t>2013Q</t>
        </is>
      </c>
      <c r="D55" s="605" t="inlineStr">
        <is>
          <t xml:space="preserve">01201-21-030-030 </t>
        </is>
      </c>
      <c r="E55" s="403" t="inlineStr">
        <is>
          <t>Actual</t>
        </is>
      </c>
      <c r="F55" s="605" t="inlineStr">
        <is>
          <t>7030 E 46TH AVENUE          DR</t>
        </is>
      </c>
      <c r="G55" s="605" t="n">
        <v>44.8</v>
      </c>
      <c r="H55" s="605" t="n">
        <v>9101</v>
      </c>
      <c r="I55" s="403" t="n">
        <v>0</v>
      </c>
      <c r="J55" s="404" t="n">
        <v>1688</v>
      </c>
      <c r="K55" s="145" t="n">
        <v>7.81990521327014</v>
      </c>
      <c r="L55" s="153" t="n">
        <v>0</v>
      </c>
      <c r="M55" s="153" t="n">
        <v>0.170378787878788</v>
      </c>
      <c r="N55" s="605" t="n">
        <v>2003</v>
      </c>
      <c r="O55" s="605" t="n">
        <v>520</v>
      </c>
      <c r="P55" s="605" t="n">
        <v>0</v>
      </c>
      <c r="Q55" s="605" t="n">
        <v>22</v>
      </c>
      <c r="R55" s="605" t="n">
        <v>14</v>
      </c>
      <c r="S55" s="605" t="n">
        <v>1</v>
      </c>
      <c r="T55" s="403" t="inlineStr">
        <is>
          <t xml:space="preserve">I-B         </t>
        </is>
      </c>
      <c r="U55" s="605" t="n">
        <v>398</v>
      </c>
      <c r="V55" s="404" t="n">
        <v>4383</v>
      </c>
      <c r="W55" s="404" t="n">
        <v>4000</v>
      </c>
      <c r="X55" s="392" t="inlineStr">
        <is>
          <t>2.6:1</t>
        </is>
      </c>
      <c r="Y55" s="404" t="n">
        <v>2000</v>
      </c>
      <c r="Z55" s="403" t="inlineStr">
        <is>
          <t xml:space="preserve">C </t>
        </is>
      </c>
      <c r="AD55" s="605" t="inlineStr">
        <is>
          <t xml:space="preserve">UNIT #D             </t>
        </is>
      </c>
      <c r="AK55" s="405" t="n"/>
    </row>
    <row r="56" ht="23.25" customFormat="1" customHeight="1" s="605">
      <c r="A56" s="402" t="n">
        <v>6</v>
      </c>
      <c r="B56" s="605" t="n">
        <v>51</v>
      </c>
      <c r="C56" s="605" t="inlineStr">
        <is>
          <t>2013Q</t>
        </is>
      </c>
      <c r="D56" s="605" t="inlineStr">
        <is>
          <t xml:space="preserve">01201-21-045-045 </t>
        </is>
      </c>
      <c r="E56" s="403" t="inlineStr">
        <is>
          <t>Actual</t>
        </is>
      </c>
      <c r="F56" s="605" t="inlineStr">
        <is>
          <t>4601   QUEBEC               ST</t>
        </is>
      </c>
      <c r="G56" s="605" t="n">
        <v>44.8</v>
      </c>
      <c r="H56" s="605" t="n">
        <v>9101</v>
      </c>
      <c r="I56" s="403" t="n">
        <v>0</v>
      </c>
      <c r="J56" s="404" t="n">
        <v>3567</v>
      </c>
      <c r="K56" s="145" t="n">
        <v>12.1110176619008</v>
      </c>
      <c r="L56" s="153" t="n">
        <v>0</v>
      </c>
      <c r="M56" s="153" t="n">
        <v>0</v>
      </c>
      <c r="N56" s="605" t="n">
        <v>2004</v>
      </c>
      <c r="O56" s="605" t="n">
        <v>0</v>
      </c>
      <c r="P56" s="605" t="n">
        <v>0</v>
      </c>
      <c r="Q56" s="605" t="n">
        <v>18</v>
      </c>
      <c r="R56" s="605" t="n">
        <v>14</v>
      </c>
      <c r="S56" s="605" t="n">
        <v>1</v>
      </c>
      <c r="T56" s="403" t="inlineStr">
        <is>
          <t xml:space="preserve">I-B         </t>
        </is>
      </c>
      <c r="U56" s="605" t="n">
        <v>398</v>
      </c>
      <c r="V56" s="404" t="n">
        <v>8767</v>
      </c>
      <c r="W56" s="404" t="n">
        <v>9000</v>
      </c>
      <c r="X56" s="392" t="inlineStr">
        <is>
          <t>2.5:1</t>
        </is>
      </c>
      <c r="Y56" s="404" t="n">
        <v>4000</v>
      </c>
      <c r="Z56" s="403" t="inlineStr">
        <is>
          <t xml:space="preserve">C </t>
        </is>
      </c>
      <c r="AD56" s="605" t="inlineStr">
        <is>
          <t xml:space="preserve">C-10 (J) STPL BUS   </t>
        </is>
      </c>
      <c r="AK56" s="405" t="inlineStr">
        <is>
          <t xml:space="preserve">LEASE COMMENCEMENT DATE UNKNOWN.                                  </t>
        </is>
      </c>
    </row>
    <row r="57" ht="12.75" customFormat="1" customHeight="1" s="605">
      <c r="A57" s="402" t="n">
        <v>6</v>
      </c>
      <c r="B57" s="605" t="n">
        <v>52</v>
      </c>
      <c r="C57" s="605" t="inlineStr">
        <is>
          <t>2013Q</t>
        </is>
      </c>
      <c r="D57" s="605" t="inlineStr">
        <is>
          <t xml:space="preserve">01201-21-055-055 </t>
        </is>
      </c>
      <c r="E57" s="403" t="inlineStr">
        <is>
          <t>Actual</t>
        </is>
      </c>
      <c r="F57" s="605" t="inlineStr">
        <is>
          <t>4605   QUEBEC               ST</t>
        </is>
      </c>
      <c r="G57" s="605" t="n">
        <v>44.8</v>
      </c>
      <c r="H57" s="605" t="n">
        <v>9101</v>
      </c>
      <c r="I57" s="403" t="n">
        <v>0</v>
      </c>
      <c r="J57" s="404" t="n">
        <v>1433</v>
      </c>
      <c r="K57" s="145" t="n">
        <v>8.374040474528959</v>
      </c>
      <c r="L57" s="153" t="n">
        <v>0</v>
      </c>
      <c r="M57" s="153" t="n">
        <v>0.483583333333333</v>
      </c>
      <c r="N57" s="605" t="n">
        <v>2007</v>
      </c>
      <c r="O57" s="605" t="n">
        <v>0</v>
      </c>
      <c r="P57" s="605" t="n">
        <v>0</v>
      </c>
      <c r="Q57" s="605" t="n">
        <v>18</v>
      </c>
      <c r="R57" s="605" t="n">
        <v>14</v>
      </c>
      <c r="S57" s="605" t="n">
        <v>1</v>
      </c>
      <c r="T57" s="403" t="inlineStr">
        <is>
          <t xml:space="preserve">I-B         </t>
        </is>
      </c>
      <c r="U57" s="605" t="n">
        <v>398</v>
      </c>
      <c r="V57" s="404" t="n">
        <v>3783</v>
      </c>
      <c r="W57" s="404" t="n">
        <v>4000</v>
      </c>
      <c r="X57" s="392" t="inlineStr">
        <is>
          <t>2.6:1</t>
        </is>
      </c>
      <c r="Y57" s="404" t="n">
        <v>1000</v>
      </c>
      <c r="Z57" s="403" t="inlineStr">
        <is>
          <t xml:space="preserve">C </t>
        </is>
      </c>
      <c r="AD57" s="605" t="inlineStr">
        <is>
          <t xml:space="preserve">UNIT J-4605 QUEBEC  </t>
        </is>
      </c>
      <c r="AK57" s="405" t="n"/>
    </row>
    <row r="58" ht="12.75" customFormat="1" customHeight="1" s="605">
      <c r="A58" s="402" t="n">
        <v>6</v>
      </c>
      <c r="B58" s="605" t="n">
        <v>53</v>
      </c>
      <c r="C58" s="605" t="inlineStr">
        <is>
          <t>2013Q</t>
        </is>
      </c>
      <c r="D58" s="605" t="inlineStr">
        <is>
          <t xml:space="preserve">01201-21-056-056 </t>
        </is>
      </c>
      <c r="E58" s="403" t="inlineStr">
        <is>
          <t>Actual</t>
        </is>
      </c>
      <c r="F58" s="605" t="inlineStr">
        <is>
          <t>4605   QUEBEC               ST</t>
        </is>
      </c>
      <c r="G58" s="605" t="n">
        <v>44.8</v>
      </c>
      <c r="H58" s="605" t="n">
        <v>9101</v>
      </c>
      <c r="I58" s="403" t="n">
        <v>0</v>
      </c>
      <c r="J58" s="404" t="n">
        <v>1433</v>
      </c>
      <c r="K58" s="145" t="n">
        <v>9.04396371249128</v>
      </c>
      <c r="L58" s="153" t="n">
        <v>0</v>
      </c>
      <c r="M58" s="153" t="n">
        <v>0</v>
      </c>
      <c r="N58" s="605" t="n">
        <v>2007</v>
      </c>
      <c r="O58" s="605" t="n">
        <v>0</v>
      </c>
      <c r="P58" s="605" t="n">
        <v>0</v>
      </c>
      <c r="Q58" s="605" t="n">
        <v>18</v>
      </c>
      <c r="R58" s="605" t="n">
        <v>14</v>
      </c>
      <c r="S58" s="605" t="n">
        <v>1</v>
      </c>
      <c r="T58" s="403" t="inlineStr">
        <is>
          <t xml:space="preserve">I-B         </t>
        </is>
      </c>
      <c r="U58" s="605" t="n">
        <v>398</v>
      </c>
      <c r="V58" s="404" t="n">
        <v>3783</v>
      </c>
      <c r="W58" s="404" t="n">
        <v>4000</v>
      </c>
      <c r="X58" s="392" t="inlineStr">
        <is>
          <t>2.6:1</t>
        </is>
      </c>
      <c r="Y58" s="404" t="n">
        <v>1000</v>
      </c>
      <c r="Z58" s="403" t="inlineStr">
        <is>
          <t xml:space="preserve">C </t>
        </is>
      </c>
      <c r="AD58" s="605" t="inlineStr">
        <is>
          <t xml:space="preserve">UNIT K-4605 QUEBEC  </t>
        </is>
      </c>
      <c r="AK58" s="405" t="inlineStr">
        <is>
          <t xml:space="preserve">2010 LEASE.                                                       </t>
        </is>
      </c>
    </row>
    <row r="59" ht="12.75" customFormat="1" customHeight="1" s="605">
      <c r="A59" s="402" t="n">
        <v>6</v>
      </c>
      <c r="B59" s="605" t="n">
        <v>54</v>
      </c>
      <c r="C59" s="605" t="inlineStr">
        <is>
          <t>2013Q</t>
        </is>
      </c>
      <c r="D59" s="605" t="inlineStr">
        <is>
          <t xml:space="preserve">01201-21-057-057 </t>
        </is>
      </c>
      <c r="E59" s="403" t="inlineStr">
        <is>
          <t>Actual</t>
        </is>
      </c>
      <c r="F59" s="605" t="inlineStr">
        <is>
          <t>4605   QUEBEC               ST</t>
        </is>
      </c>
      <c r="G59" s="605" t="n">
        <v>44.8</v>
      </c>
      <c r="H59" s="605" t="n">
        <v>9101</v>
      </c>
      <c r="I59" s="403" t="n">
        <v>0</v>
      </c>
      <c r="J59" s="404" t="n">
        <v>3396</v>
      </c>
      <c r="K59" s="145" t="n">
        <v>8.904593639575969</v>
      </c>
      <c r="L59" s="153" t="n">
        <v>0</v>
      </c>
      <c r="M59" s="153" t="n">
        <v>0</v>
      </c>
      <c r="N59" s="605" t="n">
        <v>2007</v>
      </c>
      <c r="O59" s="605" t="n">
        <v>0</v>
      </c>
      <c r="P59" s="605" t="n">
        <v>0</v>
      </c>
      <c r="Q59" s="605" t="n">
        <v>18</v>
      </c>
      <c r="R59" s="605" t="n">
        <v>14</v>
      </c>
      <c r="S59" s="605" t="n">
        <v>1</v>
      </c>
      <c r="T59" s="403" t="inlineStr">
        <is>
          <t xml:space="preserve">I-B         </t>
        </is>
      </c>
      <c r="U59" s="605" t="n">
        <v>398</v>
      </c>
      <c r="V59" s="404" t="n">
        <v>8767</v>
      </c>
      <c r="W59" s="404" t="n">
        <v>9000</v>
      </c>
      <c r="X59" s="392" t="inlineStr">
        <is>
          <t>2.6:1</t>
        </is>
      </c>
      <c r="Y59" s="404" t="n">
        <v>3000</v>
      </c>
      <c r="Z59" s="403" t="inlineStr">
        <is>
          <t xml:space="preserve">C </t>
        </is>
      </c>
      <c r="AD59" s="605" t="inlineStr">
        <is>
          <t xml:space="preserve">UNIT BLDG 3         </t>
        </is>
      </c>
      <c r="AK59" s="405" t="inlineStr">
        <is>
          <t xml:space="preserve">2010 LEASE.                                                       </t>
        </is>
      </c>
    </row>
    <row r="60" ht="25.5" customFormat="1" customHeight="1" s="605">
      <c r="A60" s="402" t="n">
        <v>6</v>
      </c>
      <c r="B60" s="605" t="n">
        <v>55</v>
      </c>
      <c r="C60" s="605" t="inlineStr">
        <is>
          <t>2013Q</t>
        </is>
      </c>
      <c r="D60" s="605" t="inlineStr">
        <is>
          <t xml:space="preserve">01202-00-064-000 </t>
        </is>
      </c>
      <c r="E60" s="403" t="inlineStr">
        <is>
          <t>Actual</t>
        </is>
      </c>
      <c r="F60" s="605" t="inlineStr">
        <is>
          <t>4686   IVY                  ST</t>
        </is>
      </c>
      <c r="G60" s="605" t="n">
        <v>44.2</v>
      </c>
      <c r="H60" s="605" t="n">
        <v>9101</v>
      </c>
      <c r="I60" s="403" t="n">
        <v>0</v>
      </c>
      <c r="J60" s="404" t="n">
        <v>61468</v>
      </c>
      <c r="K60" s="145" t="n">
        <v>4.37442246372096</v>
      </c>
      <c r="L60" s="153" t="n">
        <v>0</v>
      </c>
      <c r="M60" s="153" t="n">
        <v>0</v>
      </c>
      <c r="N60" s="605" t="n">
        <v>1962</v>
      </c>
      <c r="O60" s="605" t="n">
        <v>9200</v>
      </c>
      <c r="P60" s="605" t="n">
        <v>0</v>
      </c>
      <c r="Q60" s="605" t="n">
        <v>20</v>
      </c>
      <c r="R60" s="605" t="n">
        <v>1</v>
      </c>
      <c r="S60" s="605" t="n">
        <v>1</v>
      </c>
      <c r="T60" s="403" t="inlineStr">
        <is>
          <t xml:space="preserve">I-B         </t>
        </is>
      </c>
      <c r="U60" s="605" t="n">
        <v>398</v>
      </c>
      <c r="V60" s="404" t="n">
        <v>241619</v>
      </c>
      <c r="W60" s="404" t="n">
        <v>242000</v>
      </c>
      <c r="X60" s="392" t="inlineStr">
        <is>
          <t>3.9:1</t>
        </is>
      </c>
      <c r="Y60" s="404" t="n">
        <v>61000</v>
      </c>
      <c r="Z60" s="403" t="inlineStr">
        <is>
          <t xml:space="preserve">C </t>
        </is>
      </c>
      <c r="AK60" s="405" t="inlineStr">
        <is>
          <t xml:space="preserve">2010 LEASE; NEED BREAKDOWN FOR EXPENSES.                          </t>
        </is>
      </c>
    </row>
    <row r="61" ht="12.75" customFormat="1" customHeight="1" s="605">
      <c r="A61" s="402" t="n">
        <v>6</v>
      </c>
      <c r="B61" s="605" t="n">
        <v>56</v>
      </c>
      <c r="C61" s="605" t="inlineStr">
        <is>
          <t>2013Q</t>
        </is>
      </c>
      <c r="D61" s="605" t="inlineStr">
        <is>
          <t xml:space="preserve">01202-00-071-000 </t>
        </is>
      </c>
      <c r="E61" s="403" t="inlineStr">
        <is>
          <t>Actual</t>
        </is>
      </c>
      <c r="F61" s="605" t="inlineStr">
        <is>
          <t>4571   IVY                  ST</t>
        </is>
      </c>
      <c r="G61" s="605" t="n">
        <v>44.2</v>
      </c>
      <c r="H61" s="605" t="n">
        <v>9101</v>
      </c>
      <c r="I61" s="403" t="n">
        <v>0</v>
      </c>
      <c r="J61" s="404" t="n">
        <v>14628</v>
      </c>
      <c r="K61" s="145" t="n">
        <v>5.31856713152858</v>
      </c>
      <c r="L61" s="153" t="n">
        <v>0</v>
      </c>
      <c r="M61" s="153" t="n">
        <v>0.08949871465295629</v>
      </c>
      <c r="N61" s="605" t="n">
        <v>1970</v>
      </c>
      <c r="O61" s="605" t="n">
        <v>1457</v>
      </c>
      <c r="P61" s="605" t="n">
        <v>0</v>
      </c>
      <c r="Q61" s="605" t="n">
        <v>20</v>
      </c>
      <c r="R61" s="605" t="n">
        <v>14</v>
      </c>
      <c r="S61" s="605" t="n">
        <v>1</v>
      </c>
      <c r="T61" s="403" t="inlineStr">
        <is>
          <t xml:space="preserve">I-B         </t>
        </is>
      </c>
      <c r="U61" s="605" t="n">
        <v>398</v>
      </c>
      <c r="V61" s="404" t="n">
        <v>36853</v>
      </c>
      <c r="W61" s="404" t="n">
        <v>37000</v>
      </c>
      <c r="X61" s="392" t="inlineStr">
        <is>
          <t>2.5:1</t>
        </is>
      </c>
      <c r="Y61" s="404" t="n">
        <v>15000</v>
      </c>
      <c r="Z61" s="403" t="inlineStr">
        <is>
          <t xml:space="preserve">C </t>
        </is>
      </c>
      <c r="AD61" s="605" t="inlineStr">
        <is>
          <t xml:space="preserve">AMERICAN IND G/D    </t>
        </is>
      </c>
      <c r="AK61" s="405" t="inlineStr">
        <is>
          <t xml:space="preserve">2010 LEASE.                                                       </t>
        </is>
      </c>
    </row>
    <row r="62" ht="12.75" customFormat="1" customHeight="1" s="605">
      <c r="A62" s="402" t="n">
        <v>6</v>
      </c>
      <c r="B62" s="605" t="n">
        <v>57</v>
      </c>
      <c r="C62" s="605" t="inlineStr">
        <is>
          <t>2013Q</t>
        </is>
      </c>
      <c r="D62" s="605" t="inlineStr">
        <is>
          <t xml:space="preserve">01203-00-073-000 </t>
        </is>
      </c>
      <c r="E62" s="403" t="inlineStr">
        <is>
          <t>Actual</t>
        </is>
      </c>
      <c r="F62" s="605" t="inlineStr">
        <is>
          <t>3880   HOLLY                ST</t>
        </is>
      </c>
      <c r="G62" s="605" t="n">
        <v>47.1</v>
      </c>
      <c r="H62" s="605" t="n">
        <v>9101</v>
      </c>
      <c r="I62" s="403" t="n">
        <v>0</v>
      </c>
      <c r="J62" s="404" t="n">
        <v>40388</v>
      </c>
      <c r="K62" s="145" t="n">
        <v>4.28845201545013</v>
      </c>
      <c r="L62" s="153" t="n">
        <v>0</v>
      </c>
      <c r="M62" s="153" t="n">
        <v>0.0288680269280955</v>
      </c>
      <c r="N62" s="605" t="n">
        <v>1965</v>
      </c>
      <c r="O62" s="605" t="n">
        <v>8677</v>
      </c>
      <c r="P62" s="605" t="n">
        <v>0</v>
      </c>
      <c r="Q62" s="605" t="n">
        <v>19</v>
      </c>
      <c r="R62" s="605" t="n">
        <v>4</v>
      </c>
      <c r="S62" s="605" t="n">
        <v>1</v>
      </c>
      <c r="T62" s="403" t="inlineStr">
        <is>
          <t xml:space="preserve">I-MX-3      </t>
        </is>
      </c>
      <c r="U62" s="605" t="n">
        <v>398</v>
      </c>
      <c r="V62" s="404" t="n">
        <v>106128</v>
      </c>
      <c r="W62" s="404" t="n">
        <v>106000</v>
      </c>
      <c r="X62" s="392" t="inlineStr">
        <is>
          <t>2.6:1</t>
        </is>
      </c>
      <c r="Y62" s="404" t="n">
        <v>40000</v>
      </c>
      <c r="Z62" s="403" t="inlineStr">
        <is>
          <t xml:space="preserve">C </t>
        </is>
      </c>
      <c r="AD62" s="605" t="inlineStr">
        <is>
          <t xml:space="preserve">MILE HIGH GROWS     </t>
        </is>
      </c>
      <c r="AK62" s="405" t="inlineStr">
        <is>
          <t xml:space="preserve">2010 LEASE.                                                       </t>
        </is>
      </c>
    </row>
    <row r="63" ht="12.75" customFormat="1" customHeight="1" s="605">
      <c r="A63" s="402" t="n">
        <v>6</v>
      </c>
      <c r="B63" s="605" t="n">
        <v>58</v>
      </c>
      <c r="C63" s="605" t="inlineStr">
        <is>
          <t>2013Q</t>
        </is>
      </c>
      <c r="D63" s="605" t="inlineStr">
        <is>
          <t xml:space="preserve">01203-00-100-000 </t>
        </is>
      </c>
      <c r="E63" s="403" t="inlineStr">
        <is>
          <t>Actual</t>
        </is>
      </c>
      <c r="F63" s="605" t="inlineStr">
        <is>
          <t>5775 E 39TH                 AV</t>
        </is>
      </c>
      <c r="G63" s="605" t="n">
        <v>44.1</v>
      </c>
      <c r="H63" s="605" t="n">
        <v>9101</v>
      </c>
      <c r="I63" s="403" t="n">
        <v>0</v>
      </c>
      <c r="J63" s="404" t="n">
        <v>25212</v>
      </c>
      <c r="K63" s="145" t="n">
        <v>3.24516103442805</v>
      </c>
      <c r="L63" s="153" t="n">
        <v>0</v>
      </c>
      <c r="M63" s="153" t="n">
        <v>0.155383355537358</v>
      </c>
      <c r="N63" s="605" t="n">
        <v>1966</v>
      </c>
      <c r="O63" s="605" t="n">
        <v>2989</v>
      </c>
      <c r="P63" s="605" t="n">
        <v>0</v>
      </c>
      <c r="Q63" s="605" t="n">
        <v>17</v>
      </c>
      <c r="R63" s="605" t="n">
        <v>1</v>
      </c>
      <c r="S63" s="605" t="n">
        <v>1</v>
      </c>
      <c r="T63" s="403" t="inlineStr">
        <is>
          <t xml:space="preserve">I-A         </t>
        </is>
      </c>
      <c r="U63" s="605" t="n">
        <v>398</v>
      </c>
      <c r="V63" s="404" t="n">
        <v>38163</v>
      </c>
      <c r="W63" s="404" t="n">
        <v>38000</v>
      </c>
      <c r="X63" s="392" t="inlineStr">
        <is>
          <t>1.5:1</t>
        </is>
      </c>
      <c r="Y63" s="404" t="n">
        <v>25000</v>
      </c>
      <c r="Z63" s="403" t="inlineStr">
        <is>
          <t xml:space="preserve">C </t>
        </is>
      </c>
      <c r="AK63" s="405" t="inlineStr">
        <is>
          <t xml:space="preserve">2010 LEASE.                                                       </t>
        </is>
      </c>
    </row>
    <row r="64" ht="12.75" customFormat="1" customHeight="1" s="605">
      <c r="A64" s="402" t="n">
        <v>6</v>
      </c>
      <c r="B64" s="605" t="n">
        <v>59</v>
      </c>
      <c r="C64" s="605" t="inlineStr">
        <is>
          <t>2013Q</t>
        </is>
      </c>
      <c r="D64" s="605" t="inlineStr">
        <is>
          <t xml:space="preserve">01203-00-134-000 </t>
        </is>
      </c>
      <c r="E64" s="403" t="inlineStr">
        <is>
          <t>Actual</t>
        </is>
      </c>
      <c r="F64" s="605" t="inlineStr">
        <is>
          <t>6300 E 39TH                 AV</t>
        </is>
      </c>
      <c r="G64" s="605" t="n">
        <v>44.1</v>
      </c>
      <c r="H64" s="605" t="n">
        <v>9101</v>
      </c>
      <c r="I64" s="403" t="n">
        <v>0</v>
      </c>
      <c r="J64" s="404" t="n">
        <v>29376</v>
      </c>
      <c r="K64" s="145" t="n">
        <v>4.19342320261438</v>
      </c>
      <c r="L64" s="153" t="n">
        <v>0</v>
      </c>
      <c r="M64" s="153" t="n">
        <v>0</v>
      </c>
      <c r="N64" s="605" t="n">
        <v>1971</v>
      </c>
      <c r="O64" s="605" t="n">
        <v>5721</v>
      </c>
      <c r="P64" s="605" t="n">
        <v>0</v>
      </c>
      <c r="Q64" s="605" t="n">
        <v>22</v>
      </c>
      <c r="R64" s="605" t="n">
        <v>10</v>
      </c>
      <c r="S64" s="605" t="n">
        <v>1</v>
      </c>
      <c r="T64" s="403" t="inlineStr">
        <is>
          <t xml:space="preserve">I-MX-3      </t>
        </is>
      </c>
      <c r="U64" s="605" t="n">
        <v>398</v>
      </c>
      <c r="V64" s="404" t="n">
        <v>61218</v>
      </c>
      <c r="W64" s="404" t="n">
        <v>61000</v>
      </c>
      <c r="X64" s="392" t="inlineStr">
        <is>
          <t>2.1:1</t>
        </is>
      </c>
      <c r="Y64" s="404" t="n">
        <v>29000</v>
      </c>
      <c r="Z64" s="403" t="inlineStr">
        <is>
          <t xml:space="preserve">C </t>
        </is>
      </c>
      <c r="AK64" s="405" t="n"/>
    </row>
    <row r="65" ht="12.75" customFormat="1" customHeight="1" s="605">
      <c r="A65" s="402" t="n">
        <v>6</v>
      </c>
      <c r="B65" s="605" t="n">
        <v>60</v>
      </c>
      <c r="C65" s="605" t="inlineStr">
        <is>
          <t>2013Q</t>
        </is>
      </c>
      <c r="D65" s="605" t="inlineStr">
        <is>
          <t xml:space="preserve">01203-00-160-000 </t>
        </is>
      </c>
      <c r="E65" s="403" t="inlineStr">
        <is>
          <t>Actual</t>
        </is>
      </c>
      <c r="F65" s="605" t="inlineStr">
        <is>
          <t>6211 E 42ND                 AV</t>
        </is>
      </c>
      <c r="G65" s="605" t="n">
        <v>44.6</v>
      </c>
      <c r="H65" s="605" t="n">
        <v>9101</v>
      </c>
      <c r="I65" s="403" t="n">
        <v>0</v>
      </c>
      <c r="J65" s="404" t="n">
        <v>63040</v>
      </c>
      <c r="K65" s="145" t="n">
        <v>8.123110248657429</v>
      </c>
      <c r="L65" s="153" t="n">
        <v>0</v>
      </c>
      <c r="M65" s="153" t="n">
        <v>0</v>
      </c>
      <c r="N65" s="605" t="n">
        <v>1982</v>
      </c>
      <c r="O65" s="605" t="n">
        <v>9601</v>
      </c>
      <c r="P65" s="605" t="n">
        <v>0</v>
      </c>
      <c r="Q65" s="605" t="n">
        <v>14</v>
      </c>
      <c r="R65" s="605" t="n">
        <v>14</v>
      </c>
      <c r="S65" s="605" t="n">
        <v>1</v>
      </c>
      <c r="T65" s="403" t="inlineStr">
        <is>
          <t xml:space="preserve">I-B         </t>
        </is>
      </c>
      <c r="U65" s="605" t="n">
        <v>398</v>
      </c>
      <c r="V65" s="404" t="n">
        <v>129650</v>
      </c>
      <c r="W65" s="404" t="n">
        <v>130000</v>
      </c>
      <c r="X65" s="392" t="inlineStr">
        <is>
          <t>2.1:1</t>
        </is>
      </c>
      <c r="Y65" s="404" t="n">
        <v>63000</v>
      </c>
      <c r="Z65" s="403" t="inlineStr">
        <is>
          <t xml:space="preserve">C </t>
        </is>
      </c>
      <c r="AD65" s="605" t="inlineStr">
        <is>
          <t xml:space="preserve">DIST SNGL TENANT    </t>
        </is>
      </c>
      <c r="AK65" s="405" t="n"/>
    </row>
    <row r="66" ht="12.75" customFormat="1" customHeight="1" s="605">
      <c r="A66" s="402" t="n">
        <v>6</v>
      </c>
      <c r="B66" s="605" t="n">
        <v>61</v>
      </c>
      <c r="C66" s="605" t="inlineStr">
        <is>
          <t>2013Q</t>
        </is>
      </c>
      <c r="D66" s="605" t="inlineStr">
        <is>
          <t xml:space="preserve">01203-00-185-000 </t>
        </is>
      </c>
      <c r="E66" s="403" t="inlineStr">
        <is>
          <t>Actual</t>
        </is>
      </c>
      <c r="F66" s="605" t="inlineStr">
        <is>
          <t>3950   HOLLY                ST</t>
        </is>
      </c>
      <c r="G66" s="605" t="n">
        <v>44.1</v>
      </c>
      <c r="H66" s="605" t="n">
        <v>9101</v>
      </c>
      <c r="I66" s="403" t="n">
        <v>0</v>
      </c>
      <c r="J66" s="404" t="n">
        <v>7083</v>
      </c>
      <c r="K66" s="145" t="n">
        <v>10.1651842439644</v>
      </c>
      <c r="L66" s="153" t="n">
        <v>0</v>
      </c>
      <c r="M66" s="153" t="n">
        <v>0.0347222222222222</v>
      </c>
      <c r="N66" s="605" t="n">
        <v>1965</v>
      </c>
      <c r="O66" s="605" t="n">
        <v>1258</v>
      </c>
      <c r="P66" s="605" t="n">
        <v>0</v>
      </c>
      <c r="Q66" s="605" t="n">
        <v>14</v>
      </c>
      <c r="R66" s="605" t="n">
        <v>1</v>
      </c>
      <c r="S66" s="605" t="n">
        <v>1</v>
      </c>
      <c r="T66" s="403" t="inlineStr">
        <is>
          <t xml:space="preserve">I-A         </t>
        </is>
      </c>
      <c r="U66" s="605" t="n">
        <v>398</v>
      </c>
      <c r="V66" s="404" t="n">
        <v>11375</v>
      </c>
      <c r="W66" s="404" t="n">
        <v>11000</v>
      </c>
      <c r="X66" s="392" t="inlineStr">
        <is>
          <t>1.6:1</t>
        </is>
      </c>
      <c r="Y66" s="404" t="n">
        <v>7000</v>
      </c>
      <c r="Z66" s="403" t="inlineStr">
        <is>
          <t xml:space="preserve">C </t>
        </is>
      </c>
      <c r="AK66" s="405" t="inlineStr">
        <is>
          <t xml:space="preserve">2010 LEASE.                                                       </t>
        </is>
      </c>
    </row>
    <row r="67" ht="12.75" customFormat="1" customHeight="1" s="605">
      <c r="A67" s="402" t="n">
        <v>6</v>
      </c>
      <c r="B67" s="605" t="n">
        <v>62</v>
      </c>
      <c r="C67" s="605" t="inlineStr">
        <is>
          <t>2013Q</t>
        </is>
      </c>
      <c r="D67" s="605" t="inlineStr">
        <is>
          <t xml:space="preserve">01213-00-038-000 </t>
        </is>
      </c>
      <c r="E67" s="403" t="inlineStr">
        <is>
          <t>Actual</t>
        </is>
      </c>
      <c r="F67" s="605" t="inlineStr">
        <is>
          <t>7777 E 40TH                 AV</t>
        </is>
      </c>
      <c r="G67" s="605" t="n">
        <v>44.1</v>
      </c>
      <c r="H67" s="605" t="n">
        <v>9101</v>
      </c>
      <c r="I67" s="403" t="n">
        <v>0</v>
      </c>
      <c r="J67" s="404" t="n">
        <v>63164</v>
      </c>
      <c r="K67" s="145" t="n">
        <v>3.22968779684631</v>
      </c>
      <c r="L67" s="153" t="n">
        <v>0</v>
      </c>
      <c r="M67" s="153" t="n">
        <v>0</v>
      </c>
      <c r="N67" s="605" t="n">
        <v>1963</v>
      </c>
      <c r="O67" s="605" t="n">
        <v>3300</v>
      </c>
      <c r="P67" s="605" t="n">
        <v>7164</v>
      </c>
      <c r="Q67" s="605" t="n">
        <v>19</v>
      </c>
      <c r="R67" s="605" t="n">
        <v>1</v>
      </c>
      <c r="S67" s="605" t="n">
        <v>1</v>
      </c>
      <c r="T67" s="403" t="inlineStr">
        <is>
          <t xml:space="preserve">I-MX-5      </t>
        </is>
      </c>
      <c r="U67" s="605" t="n">
        <v>398</v>
      </c>
      <c r="V67" s="404" t="n">
        <v>149373</v>
      </c>
      <c r="W67" s="404" t="n">
        <v>149000</v>
      </c>
      <c r="X67" s="392" t="inlineStr">
        <is>
          <t>2.4:1</t>
        </is>
      </c>
      <c r="Y67" s="404" t="n">
        <v>63000</v>
      </c>
      <c r="Z67" s="403" t="inlineStr">
        <is>
          <t>C-</t>
        </is>
      </c>
      <c r="AK67" s="405" t="n"/>
    </row>
    <row r="68" ht="25.5" customFormat="1" customHeight="1" s="605">
      <c r="A68" s="402" t="n">
        <v>6</v>
      </c>
      <c r="B68" s="605" t="n">
        <v>63</v>
      </c>
      <c r="C68" s="605" t="inlineStr">
        <is>
          <t>2013Q</t>
        </is>
      </c>
      <c r="D68" s="605" t="inlineStr">
        <is>
          <t xml:space="preserve">01231-05-002-000 </t>
        </is>
      </c>
      <c r="E68" s="403" t="inlineStr">
        <is>
          <t>Actual</t>
        </is>
      </c>
      <c r="F68" s="605" t="inlineStr">
        <is>
          <t>4701   MOLINE               ST</t>
        </is>
      </c>
      <c r="G68" s="605" t="n">
        <v>44.4</v>
      </c>
      <c r="H68" s="605" t="n">
        <v>9102</v>
      </c>
      <c r="I68" s="403" t="n">
        <v>0</v>
      </c>
      <c r="J68" s="404" t="n">
        <v>104891</v>
      </c>
      <c r="K68" s="145" t="n">
        <v>5.216157725639</v>
      </c>
      <c r="L68" s="153" t="n">
        <v>0</v>
      </c>
      <c r="M68" s="153" t="n">
        <v>0.311663815414309</v>
      </c>
      <c r="N68" s="605" t="n">
        <v>1985</v>
      </c>
      <c r="O68" s="605" t="n">
        <v>14479</v>
      </c>
      <c r="P68" s="605" t="n">
        <v>0</v>
      </c>
      <c r="Q68" s="605" t="n">
        <v>24</v>
      </c>
      <c r="R68" s="605" t="n">
        <v>14</v>
      </c>
      <c r="S68" s="605" t="n">
        <v>8</v>
      </c>
      <c r="T68" s="403" t="inlineStr">
        <is>
          <t xml:space="preserve">I-B         </t>
        </is>
      </c>
      <c r="U68" s="605" t="n">
        <v>398</v>
      </c>
      <c r="V68" s="404" t="n">
        <v>219619</v>
      </c>
      <c r="W68" s="404" t="n">
        <v>220000</v>
      </c>
      <c r="X68" s="392" t="inlineStr">
        <is>
          <t>2.1:1</t>
        </is>
      </c>
      <c r="Y68" s="404" t="n">
        <v>105000</v>
      </c>
      <c r="Z68" s="403" t="inlineStr">
        <is>
          <t xml:space="preserve">C </t>
        </is>
      </c>
      <c r="AD68" s="605" t="inlineStr">
        <is>
          <t xml:space="preserve">M-W DIST WAREHOUSE  </t>
        </is>
      </c>
      <c r="AK68" s="405" t="inlineStr">
        <is>
          <t xml:space="preserve">LEASES 2008-2012; OWNER PAYS TOO BIG SHARE OF EXPENSE.            </t>
        </is>
      </c>
    </row>
    <row r="69" ht="12.75" customFormat="1" customHeight="1" s="605">
      <c r="A69" s="402" t="n">
        <v>6</v>
      </c>
      <c r="B69" s="605" t="n">
        <v>64</v>
      </c>
      <c r="C69" s="605" t="inlineStr">
        <is>
          <t>2013Q</t>
        </is>
      </c>
      <c r="D69" s="605" t="inlineStr">
        <is>
          <t xml:space="preserve">01232-00-040-000 </t>
        </is>
      </c>
      <c r="E69" s="403" t="inlineStr">
        <is>
          <t>Actual</t>
        </is>
      </c>
      <c r="F69" s="605" t="inlineStr">
        <is>
          <t>4620   IRONTON              ST</t>
        </is>
      </c>
      <c r="G69" s="605" t="n">
        <v>44.2</v>
      </c>
      <c r="H69" s="605" t="n">
        <v>9102</v>
      </c>
      <c r="I69" s="403" t="n">
        <v>0</v>
      </c>
      <c r="J69" s="404" t="n">
        <v>19776</v>
      </c>
      <c r="K69" s="145" t="n">
        <v>4.41990291262136</v>
      </c>
      <c r="L69" s="153" t="n">
        <v>0</v>
      </c>
      <c r="M69" s="153" t="n">
        <v>0.0572030020135457</v>
      </c>
      <c r="N69" s="605" t="n">
        <v>1969</v>
      </c>
      <c r="O69" s="605" t="n">
        <v>7104</v>
      </c>
      <c r="P69" s="605" t="n">
        <v>0</v>
      </c>
      <c r="Q69" s="605" t="n">
        <v>12</v>
      </c>
      <c r="R69" s="605" t="n">
        <v>14</v>
      </c>
      <c r="S69" s="605" t="n">
        <v>1</v>
      </c>
      <c r="T69" s="403" t="inlineStr">
        <is>
          <t xml:space="preserve">I-B         </t>
        </is>
      </c>
      <c r="U69" s="605" t="n">
        <v>398</v>
      </c>
      <c r="V69" s="404" t="n">
        <v>45325</v>
      </c>
      <c r="W69" s="404" t="n">
        <v>45000</v>
      </c>
      <c r="X69" s="392" t="inlineStr">
        <is>
          <t>2.3:1</t>
        </is>
      </c>
      <c r="Y69" s="404" t="n">
        <v>20000</v>
      </c>
      <c r="Z69" s="403" t="inlineStr">
        <is>
          <t xml:space="preserve">C </t>
        </is>
      </c>
      <c r="AD69" s="605" t="inlineStr">
        <is>
          <t xml:space="preserve">PLASTIC CREATIONS   </t>
        </is>
      </c>
      <c r="AK69" s="405" t="inlineStr">
        <is>
          <t xml:space="preserve">2010 LEASE.                                                       </t>
        </is>
      </c>
    </row>
    <row r="70" ht="25.5" customFormat="1" customHeight="1" s="605">
      <c r="A70" s="402" t="n">
        <v>6</v>
      </c>
      <c r="B70" s="605" t="n">
        <v>65</v>
      </c>
      <c r="C70" s="605" t="inlineStr">
        <is>
          <t>2013Q</t>
        </is>
      </c>
      <c r="D70" s="605" t="inlineStr">
        <is>
          <t xml:space="preserve">01232-00-051-000 </t>
        </is>
      </c>
      <c r="E70" s="403" t="inlineStr">
        <is>
          <t>Actual</t>
        </is>
      </c>
      <c r="F70" s="605" t="inlineStr">
        <is>
          <t>4690   IRONTON              ST</t>
        </is>
      </c>
      <c r="G70" s="605" t="n">
        <v>44.2</v>
      </c>
      <c r="H70" s="605" t="n">
        <v>9102</v>
      </c>
      <c r="I70" s="403" t="n">
        <v>0</v>
      </c>
      <c r="J70" s="404" t="n">
        <v>11918</v>
      </c>
      <c r="K70" s="145" t="n">
        <v>6.2174861553952</v>
      </c>
      <c r="L70" s="153" t="n">
        <v>0</v>
      </c>
      <c r="M70" s="153" t="n">
        <v>0.334588394062078</v>
      </c>
      <c r="N70" s="605" t="n">
        <v>1967</v>
      </c>
      <c r="O70" s="605" t="n">
        <v>442</v>
      </c>
      <c r="P70" s="605" t="n">
        <v>0</v>
      </c>
      <c r="Q70" s="605" t="n">
        <v>22</v>
      </c>
      <c r="R70" s="605" t="n">
        <v>1</v>
      </c>
      <c r="S70" s="605" t="n">
        <v>1</v>
      </c>
      <c r="T70" s="403" t="inlineStr">
        <is>
          <t xml:space="preserve">I-B         </t>
        </is>
      </c>
      <c r="U70" s="605" t="n">
        <v>398</v>
      </c>
      <c r="V70" s="404" t="n">
        <v>32585</v>
      </c>
      <c r="W70" s="404" t="n">
        <v>33000</v>
      </c>
      <c r="X70" s="392" t="inlineStr">
        <is>
          <t>2.7:1</t>
        </is>
      </c>
      <c r="Y70" s="404" t="n">
        <v>12000</v>
      </c>
      <c r="Z70" s="403" t="inlineStr">
        <is>
          <t xml:space="preserve">C </t>
        </is>
      </c>
      <c r="AD70" s="605" t="inlineStr">
        <is>
          <t xml:space="preserve">M-W                 </t>
        </is>
      </c>
      <c r="AK70" s="405" t="inlineStr">
        <is>
          <t xml:space="preserve">OWNER PAYING TOO MUCH OF EXPENSES HERE.                           </t>
        </is>
      </c>
    </row>
    <row r="71" ht="12.75" customFormat="1" customHeight="1" s="605">
      <c r="A71" s="402" t="n">
        <v>6</v>
      </c>
      <c r="B71" s="605" t="n">
        <v>66</v>
      </c>
      <c r="C71" s="605" t="inlineStr">
        <is>
          <t>2013Q</t>
        </is>
      </c>
      <c r="D71" s="605" t="inlineStr">
        <is>
          <t xml:space="preserve">01232-03-004-000 </t>
        </is>
      </c>
      <c r="E71" s="403" t="inlineStr">
        <is>
          <t>Actual</t>
        </is>
      </c>
      <c r="F71" s="605" t="inlineStr">
        <is>
          <t>4695   KINGSTON             ST</t>
        </is>
      </c>
      <c r="G71" s="605" t="n">
        <v>44.2</v>
      </c>
      <c r="H71" s="605" t="n">
        <v>9102</v>
      </c>
      <c r="I71" s="403" t="n">
        <v>0</v>
      </c>
      <c r="J71" s="404" t="n">
        <v>10794</v>
      </c>
      <c r="K71" s="145" t="n">
        <v>5.18806744487678</v>
      </c>
      <c r="L71" s="153" t="n">
        <v>0.5</v>
      </c>
      <c r="M71" s="153" t="n">
        <v>0.125</v>
      </c>
      <c r="N71" s="605" t="n">
        <v>1985</v>
      </c>
      <c r="O71" s="605" t="n">
        <v>0</v>
      </c>
      <c r="P71" s="605" t="n">
        <v>5424</v>
      </c>
      <c r="Q71" s="605" t="n">
        <v>14</v>
      </c>
      <c r="R71" s="605" t="n">
        <v>3</v>
      </c>
      <c r="S71" s="605" t="n">
        <v>1</v>
      </c>
      <c r="T71" s="403" t="inlineStr">
        <is>
          <t xml:space="preserve">I-B         </t>
        </is>
      </c>
      <c r="U71" s="605" t="n">
        <v>398</v>
      </c>
      <c r="V71" s="404" t="n">
        <v>25300</v>
      </c>
      <c r="W71" s="404" t="n">
        <v>25000</v>
      </c>
      <c r="X71" s="392" t="inlineStr">
        <is>
          <t>2.3:1</t>
        </is>
      </c>
      <c r="Y71" s="404" t="n">
        <v>11000</v>
      </c>
      <c r="Z71" s="403" t="inlineStr">
        <is>
          <t xml:space="preserve">C </t>
        </is>
      </c>
      <c r="AK71" s="405" t="n"/>
    </row>
    <row r="72" ht="12.75" customFormat="1" customHeight="1" s="605">
      <c r="A72" s="402" t="n">
        <v>6</v>
      </c>
      <c r="B72" s="605" t="n">
        <v>67</v>
      </c>
      <c r="C72" s="605" t="inlineStr">
        <is>
          <t>2013Q</t>
        </is>
      </c>
      <c r="D72" s="605" t="inlineStr">
        <is>
          <t xml:space="preserve">01232-03-006-000 </t>
        </is>
      </c>
      <c r="E72" s="403" t="inlineStr">
        <is>
          <t>Actual</t>
        </is>
      </c>
      <c r="F72" s="605" t="inlineStr">
        <is>
          <t>4675   KINGSTON             ST</t>
        </is>
      </c>
      <c r="G72" s="605" t="n">
        <v>44.2</v>
      </c>
      <c r="H72" s="605" t="n">
        <v>9102</v>
      </c>
      <c r="I72" s="403" t="n">
        <v>0</v>
      </c>
      <c r="J72" s="404" t="n">
        <v>22922</v>
      </c>
      <c r="K72" s="145" t="n">
        <v>4.48477445249106</v>
      </c>
      <c r="L72" s="153" t="n">
        <v>0</v>
      </c>
      <c r="M72" s="153" t="n">
        <v>0</v>
      </c>
      <c r="N72" s="605" t="n">
        <v>1985</v>
      </c>
      <c r="O72" s="605" t="n">
        <v>2168</v>
      </c>
      <c r="P72" s="605" t="n">
        <v>0</v>
      </c>
      <c r="Q72" s="605" t="n">
        <v>20</v>
      </c>
      <c r="R72" s="605" t="n">
        <v>10</v>
      </c>
      <c r="S72" s="605" t="n">
        <v>1</v>
      </c>
      <c r="T72" s="403" t="inlineStr">
        <is>
          <t xml:space="preserve">I-B         </t>
        </is>
      </c>
      <c r="U72" s="605" t="n">
        <v>398</v>
      </c>
      <c r="V72" s="404" t="n">
        <v>40700</v>
      </c>
      <c r="W72" s="404" t="n">
        <v>41000</v>
      </c>
      <c r="X72" s="392" t="inlineStr">
        <is>
          <t>1.8:1</t>
        </is>
      </c>
      <c r="Y72" s="404" t="n">
        <v>23000</v>
      </c>
      <c r="Z72" s="403" t="inlineStr">
        <is>
          <t>C+</t>
        </is>
      </c>
      <c r="AD72" s="605" t="inlineStr">
        <is>
          <t xml:space="preserve">CANDY AND PECKS     </t>
        </is>
      </c>
      <c r="AK72" s="405" t="n"/>
    </row>
    <row r="73" ht="12.75" customFormat="1" customHeight="1" s="605">
      <c r="A73" s="402" t="n">
        <v>6</v>
      </c>
      <c r="B73" s="605" t="n">
        <v>68</v>
      </c>
      <c r="C73" s="605" t="inlineStr">
        <is>
          <t>2013Q</t>
        </is>
      </c>
      <c r="D73" s="605" t="inlineStr">
        <is>
          <t xml:space="preserve">01232-07-007-000 </t>
        </is>
      </c>
      <c r="E73" s="403" t="inlineStr">
        <is>
          <t>Actual</t>
        </is>
      </c>
      <c r="F73" s="605" t="inlineStr">
        <is>
          <t>4675   JOLIET               ST</t>
        </is>
      </c>
      <c r="G73" s="605" t="n">
        <v>44.1</v>
      </c>
      <c r="H73" s="605" t="n">
        <v>9102</v>
      </c>
      <c r="I73" s="403" t="n">
        <v>0</v>
      </c>
      <c r="J73" s="404" t="n">
        <v>14848</v>
      </c>
      <c r="K73" s="145" t="n">
        <v>5.45076778017241</v>
      </c>
      <c r="L73" s="153" t="n">
        <v>0</v>
      </c>
      <c r="M73" s="153" t="n">
        <v>0</v>
      </c>
      <c r="N73" s="605" t="n">
        <v>1969</v>
      </c>
      <c r="O73" s="605" t="n">
        <v>1239</v>
      </c>
      <c r="P73" s="605" t="n">
        <v>0</v>
      </c>
      <c r="Q73" s="605" t="n">
        <v>22</v>
      </c>
      <c r="R73" s="605" t="n">
        <v>8</v>
      </c>
      <c r="S73" s="605" t="n">
        <v>1</v>
      </c>
      <c r="T73" s="403" t="inlineStr">
        <is>
          <t xml:space="preserve">I-B         </t>
        </is>
      </c>
      <c r="U73" s="605" t="n">
        <v>398</v>
      </c>
      <c r="V73" s="404" t="n">
        <v>44000</v>
      </c>
      <c r="W73" s="404" t="n">
        <v>44000</v>
      </c>
      <c r="X73" s="392" t="inlineStr">
        <is>
          <t>3:1</t>
        </is>
      </c>
      <c r="Y73" s="404" t="n">
        <v>15000</v>
      </c>
      <c r="Z73" s="403" t="inlineStr">
        <is>
          <t xml:space="preserve">C </t>
        </is>
      </c>
      <c r="AD73" s="605" t="inlineStr">
        <is>
          <t xml:space="preserve">RED-D-ARC (AIRGAS)  </t>
        </is>
      </c>
      <c r="AK73" s="405" t="n"/>
    </row>
    <row r="74" ht="12.75" customFormat="1" customHeight="1" s="605">
      <c r="A74" s="402" t="n">
        <v>6</v>
      </c>
      <c r="B74" s="605" t="n">
        <v>69</v>
      </c>
      <c r="C74" s="605" t="inlineStr">
        <is>
          <t>2013Q</t>
        </is>
      </c>
      <c r="D74" s="605" t="inlineStr">
        <is>
          <t xml:space="preserve">01232-10-002-000 </t>
        </is>
      </c>
      <c r="E74" s="403" t="inlineStr">
        <is>
          <t>Actual</t>
        </is>
      </c>
      <c r="F74" s="605" t="inlineStr">
        <is>
          <t>10645 E 47TH                 AV</t>
        </is>
      </c>
      <c r="G74" s="605" t="n">
        <v>44.1</v>
      </c>
      <c r="H74" s="605" t="n">
        <v>9102</v>
      </c>
      <c r="I74" s="403" t="n">
        <v>0</v>
      </c>
      <c r="J74" s="404" t="n">
        <v>10527</v>
      </c>
      <c r="K74" s="145" t="n">
        <v>6.9155504892182</v>
      </c>
      <c r="L74" s="153" t="n">
        <v>1</v>
      </c>
      <c r="M74" s="153" t="n">
        <v>0.151799450549451</v>
      </c>
      <c r="N74" s="605" t="n">
        <v>1968</v>
      </c>
      <c r="O74" s="605" t="n">
        <v>4329</v>
      </c>
      <c r="P74" s="605" t="n">
        <v>0</v>
      </c>
      <c r="Q74" s="605" t="n">
        <v>21</v>
      </c>
      <c r="R74" s="605" t="n">
        <v>1</v>
      </c>
      <c r="S74" s="605" t="n">
        <v>1</v>
      </c>
      <c r="T74" s="403" t="inlineStr">
        <is>
          <t xml:space="preserve">I-B         </t>
        </is>
      </c>
      <c r="U74" s="605" t="n">
        <v>398</v>
      </c>
      <c r="V74" s="404" t="n">
        <v>25100</v>
      </c>
      <c r="W74" s="404" t="n">
        <v>25000</v>
      </c>
      <c r="X74" s="392" t="inlineStr">
        <is>
          <t>2.4:1</t>
        </is>
      </c>
      <c r="Y74" s="404" t="n">
        <v>11000</v>
      </c>
      <c r="Z74" s="403" t="inlineStr">
        <is>
          <t xml:space="preserve">C </t>
        </is>
      </c>
      <c r="AD74" s="605" t="inlineStr">
        <is>
          <t xml:space="preserve">INETDEALS           </t>
        </is>
      </c>
      <c r="AK74" s="405" t="n"/>
    </row>
    <row r="75" ht="25.5" customFormat="1" customHeight="1" s="605">
      <c r="A75" s="402" t="n">
        <v>6</v>
      </c>
      <c r="B75" s="605" t="n">
        <v>70</v>
      </c>
      <c r="C75" s="605" t="inlineStr">
        <is>
          <t>2013Q</t>
        </is>
      </c>
      <c r="D75" s="605" t="inlineStr">
        <is>
          <t xml:space="preserve">01234-01-014-000 </t>
        </is>
      </c>
      <c r="E75" s="403" t="inlineStr">
        <is>
          <t>Actual</t>
        </is>
      </c>
      <c r="F75" s="605" t="inlineStr">
        <is>
          <t>3841   PARIS                ST</t>
        </is>
      </c>
      <c r="G75" s="605" t="n">
        <v>44.2</v>
      </c>
      <c r="H75" s="605" t="n">
        <v>9104</v>
      </c>
      <c r="I75" s="403" t="n">
        <v>0</v>
      </c>
      <c r="J75" s="404" t="n">
        <v>20046</v>
      </c>
      <c r="K75" s="145" t="n">
        <v>6.37533672553128</v>
      </c>
      <c r="L75" s="153" t="n">
        <v>0</v>
      </c>
      <c r="M75" s="153" t="n">
        <v>0.109827856025039</v>
      </c>
      <c r="N75" s="605" t="n">
        <v>1978</v>
      </c>
      <c r="O75" s="605" t="n">
        <v>2278</v>
      </c>
      <c r="P75" s="605" t="n">
        <v>0</v>
      </c>
      <c r="Q75" s="605" t="n">
        <v>20</v>
      </c>
      <c r="R75" s="605" t="n">
        <v>10</v>
      </c>
      <c r="S75" s="605" t="n">
        <v>1</v>
      </c>
      <c r="T75" s="403" t="inlineStr">
        <is>
          <t xml:space="preserve">I-B         </t>
        </is>
      </c>
      <c r="U75" s="605" t="n">
        <v>398</v>
      </c>
      <c r="V75" s="404" t="n">
        <v>43000</v>
      </c>
      <c r="W75" s="404" t="n">
        <v>43000</v>
      </c>
      <c r="X75" s="392" t="inlineStr">
        <is>
          <t>2.1:1</t>
        </is>
      </c>
      <c r="Y75" s="404" t="n">
        <v>20000</v>
      </c>
      <c r="Z75" s="403" t="inlineStr">
        <is>
          <t xml:space="preserve">C </t>
        </is>
      </c>
      <c r="AK75" s="405" t="inlineStr">
        <is>
          <t xml:space="preserve">TOO HIGH A PROPORTION OF EXPENSES PICKED UP BY OWNER.             </t>
        </is>
      </c>
    </row>
    <row r="76" ht="12.75" customFormat="1" customHeight="1" s="605">
      <c r="A76" s="402" t="n">
        <v>6</v>
      </c>
      <c r="B76" s="605" t="n">
        <v>71</v>
      </c>
      <c r="C76" s="605" t="inlineStr">
        <is>
          <t>2013Q</t>
        </is>
      </c>
      <c r="D76" s="605" t="inlineStr">
        <is>
          <t xml:space="preserve">01246-00-039-000 </t>
        </is>
      </c>
      <c r="E76" s="403" t="inlineStr">
        <is>
          <t>Actual</t>
        </is>
      </c>
      <c r="F76" s="605" t="inlineStr">
        <is>
          <t>14155 E 42ND                 AV</t>
        </is>
      </c>
      <c r="G76" s="605" t="n">
        <v>44.4</v>
      </c>
      <c r="H76" s="605" t="n">
        <v>9102</v>
      </c>
      <c r="I76" s="403" t="n">
        <v>0</v>
      </c>
      <c r="J76" s="404" t="n">
        <v>198000</v>
      </c>
      <c r="K76" s="145" t="n">
        <v>5.24</v>
      </c>
      <c r="L76" s="153" t="n">
        <v>0.21</v>
      </c>
      <c r="M76" s="153" t="n">
        <v>0.390995836224844</v>
      </c>
      <c r="N76" s="605" t="n">
        <v>1997</v>
      </c>
      <c r="O76" s="605" t="n">
        <v>38420</v>
      </c>
      <c r="P76" s="605" t="n">
        <v>0</v>
      </c>
      <c r="Q76" s="605" t="n">
        <v>26</v>
      </c>
      <c r="R76" s="605" t="n">
        <v>14</v>
      </c>
      <c r="S76" s="605" t="n">
        <v>9</v>
      </c>
      <c r="T76" s="403" t="inlineStr">
        <is>
          <t xml:space="preserve">I-0         </t>
        </is>
      </c>
      <c r="U76" s="605" t="n">
        <v>398</v>
      </c>
      <c r="V76" s="404" t="n">
        <v>489526</v>
      </c>
      <c r="W76" s="404" t="n">
        <v>490000</v>
      </c>
      <c r="X76" s="392" t="inlineStr">
        <is>
          <t>2.5:1</t>
        </is>
      </c>
      <c r="Y76" s="404" t="n">
        <v>198000</v>
      </c>
      <c r="Z76" s="403" t="inlineStr">
        <is>
          <t xml:space="preserve">C </t>
        </is>
      </c>
      <c r="AD76" s="605" t="inlineStr">
        <is>
          <t xml:space="preserve">ACCENT WINDOWS      </t>
        </is>
      </c>
      <c r="AK76" s="405" t="n"/>
    </row>
    <row r="77" ht="25.5" customFormat="1" customHeight="1" s="605">
      <c r="A77" s="402" t="n">
        <v>6</v>
      </c>
      <c r="B77" s="605" t="n">
        <v>72</v>
      </c>
      <c r="C77" s="605" t="inlineStr">
        <is>
          <t>2013Q</t>
        </is>
      </c>
      <c r="D77" s="605" t="inlineStr">
        <is>
          <t xml:space="preserve">01246-00-039-000 </t>
        </is>
      </c>
      <c r="E77" s="403" t="inlineStr">
        <is>
          <t>Actual</t>
        </is>
      </c>
      <c r="F77" s="605" t="inlineStr">
        <is>
          <t>14155 E 42ND                 AV</t>
        </is>
      </c>
      <c r="G77" s="605" t="n">
        <v>44.4</v>
      </c>
      <c r="H77" s="605" t="n">
        <v>9102</v>
      </c>
      <c r="I77" s="403" t="n">
        <v>0</v>
      </c>
      <c r="J77" s="404" t="n">
        <v>198000</v>
      </c>
      <c r="K77" s="145" t="n">
        <v>7.65</v>
      </c>
      <c r="L77" s="153" t="n">
        <v>0.21</v>
      </c>
      <c r="M77" s="153" t="n">
        <v>0</v>
      </c>
      <c r="N77" s="605" t="n">
        <v>1997</v>
      </c>
      <c r="O77" s="605" t="n">
        <v>38420</v>
      </c>
      <c r="P77" s="605" t="n">
        <v>0</v>
      </c>
      <c r="Q77" s="605" t="n">
        <v>26</v>
      </c>
      <c r="R77" s="605" t="n">
        <v>14</v>
      </c>
      <c r="S77" s="605" t="n">
        <v>9</v>
      </c>
      <c r="T77" s="403" t="inlineStr">
        <is>
          <t xml:space="preserve">I-0         </t>
        </is>
      </c>
      <c r="U77" s="605" t="n">
        <v>398</v>
      </c>
      <c r="V77" s="404" t="n">
        <v>489526</v>
      </c>
      <c r="W77" s="404" t="n">
        <v>490000</v>
      </c>
      <c r="X77" s="392" t="inlineStr">
        <is>
          <t>2.5:1</t>
        </is>
      </c>
      <c r="Y77" s="404" t="n">
        <v>198000</v>
      </c>
      <c r="Z77" s="403" t="inlineStr">
        <is>
          <t xml:space="preserve">C </t>
        </is>
      </c>
      <c r="AD77" s="605" t="inlineStr">
        <is>
          <t xml:space="preserve">ACCENT WINDOWS      </t>
        </is>
      </c>
      <c r="AK77" s="405" t="inlineStr">
        <is>
          <t xml:space="preserve">NNN LEASE SIGNED 2/2012 -- SOURCE: COSTAR                         </t>
        </is>
      </c>
    </row>
    <row r="78" ht="12.75" customFormat="1" customHeight="1" s="605">
      <c r="A78" s="402" t="n">
        <v>6</v>
      </c>
      <c r="B78" s="605" t="n">
        <v>73</v>
      </c>
      <c r="C78" s="605" t="inlineStr">
        <is>
          <t>2013Q</t>
        </is>
      </c>
      <c r="D78" s="605" t="inlineStr">
        <is>
          <t xml:space="preserve">01252-00-034-000 </t>
        </is>
      </c>
      <c r="E78" s="403" t="inlineStr">
        <is>
          <t>Actual</t>
        </is>
      </c>
      <c r="F78" s="605" t="inlineStr">
        <is>
          <t>12770 E 39TH                 AV</t>
        </is>
      </c>
      <c r="G78" s="605" t="n">
        <v>44.4</v>
      </c>
      <c r="H78" s="605" t="n">
        <v>9104</v>
      </c>
      <c r="I78" s="403" t="n">
        <v>0</v>
      </c>
      <c r="J78" s="404" t="n">
        <v>121360</v>
      </c>
      <c r="K78" s="145" t="n">
        <v>3.59473467369809</v>
      </c>
      <c r="L78" s="153" t="n">
        <v>0</v>
      </c>
      <c r="M78" s="153" t="n">
        <v>0.333076603928418</v>
      </c>
      <c r="N78" s="605" t="n">
        <v>1971</v>
      </c>
      <c r="O78" s="605" t="n">
        <v>6439</v>
      </c>
      <c r="P78" s="605" t="n">
        <v>1570</v>
      </c>
      <c r="Q78" s="605" t="n">
        <v>30</v>
      </c>
      <c r="R78" s="605" t="n">
        <v>14</v>
      </c>
      <c r="S78" s="605" t="n">
        <v>2</v>
      </c>
      <c r="T78" s="403" t="inlineStr">
        <is>
          <t xml:space="preserve">I-B         </t>
        </is>
      </c>
      <c r="U78" s="605" t="n">
        <v>398</v>
      </c>
      <c r="V78" s="404" t="n">
        <v>255000</v>
      </c>
      <c r="W78" s="404" t="n">
        <v>255000</v>
      </c>
      <c r="X78" s="392" t="inlineStr">
        <is>
          <t>2.1:1</t>
        </is>
      </c>
      <c r="Y78" s="404" t="n">
        <v>121000</v>
      </c>
      <c r="Z78" s="403" t="inlineStr">
        <is>
          <t xml:space="preserve">C </t>
        </is>
      </c>
      <c r="AD78" s="605" t="inlineStr">
        <is>
          <t xml:space="preserve">M-W UNISOURCE       </t>
        </is>
      </c>
      <c r="AK78" s="405" t="n"/>
    </row>
    <row r="79" ht="12.75" customFormat="1" customHeight="1" s="605">
      <c r="A79" s="402" t="n">
        <v>6</v>
      </c>
      <c r="B79" s="605" t="n">
        <v>74</v>
      </c>
      <c r="C79" s="605" t="inlineStr">
        <is>
          <t>2013Q</t>
        </is>
      </c>
      <c r="D79" s="605" t="inlineStr">
        <is>
          <t xml:space="preserve">01252-00-056-000 </t>
        </is>
      </c>
      <c r="E79" s="403" t="inlineStr">
        <is>
          <t>Actual</t>
        </is>
      </c>
      <c r="F79" s="605" t="inlineStr">
        <is>
          <t>3800   QUENTIN              ST</t>
        </is>
      </c>
      <c r="G79" s="605" t="n">
        <v>44.1</v>
      </c>
      <c r="H79" s="605" t="n">
        <v>9104</v>
      </c>
      <c r="I79" s="403" t="n">
        <v>0</v>
      </c>
      <c r="J79" s="404" t="n">
        <v>25095</v>
      </c>
      <c r="K79" s="145" t="n">
        <v>16.5809922295278</v>
      </c>
      <c r="L79" s="153" t="n">
        <v>0</v>
      </c>
      <c r="M79" s="153" t="n">
        <v>0</v>
      </c>
      <c r="N79" s="605" t="n">
        <v>1990</v>
      </c>
      <c r="O79" s="605" t="n">
        <v>6866</v>
      </c>
      <c r="P79" s="605" t="n">
        <v>0</v>
      </c>
      <c r="Q79" s="605" t="n">
        <v>19</v>
      </c>
      <c r="R79" s="605" t="n">
        <v>3</v>
      </c>
      <c r="S79" s="605" t="n">
        <v>1</v>
      </c>
      <c r="T79" s="403" t="inlineStr">
        <is>
          <t xml:space="preserve">I-B         </t>
        </is>
      </c>
      <c r="U79" s="605" t="n">
        <v>398</v>
      </c>
      <c r="V79" s="404" t="n">
        <v>45240</v>
      </c>
      <c r="W79" s="404" t="n">
        <v>45000</v>
      </c>
      <c r="X79" s="392" t="inlineStr">
        <is>
          <t>1.8:1</t>
        </is>
      </c>
      <c r="Y79" s="404" t="n">
        <v>25000</v>
      </c>
      <c r="Z79" s="403" t="inlineStr">
        <is>
          <t xml:space="preserve">C </t>
        </is>
      </c>
      <c r="AD79" s="605" t="inlineStr">
        <is>
          <t xml:space="preserve">PRINTING PLANT      </t>
        </is>
      </c>
      <c r="AK79" s="405" t="inlineStr">
        <is>
          <t xml:space="preserve">2009 LEASE.                                                       </t>
        </is>
      </c>
    </row>
    <row r="80" ht="12.75" customFormat="1" customHeight="1" s="605">
      <c r="A80" s="402" t="n">
        <v>6</v>
      </c>
      <c r="B80" s="605" t="n">
        <v>75</v>
      </c>
      <c r="C80" s="605" t="inlineStr">
        <is>
          <t>2013Q</t>
        </is>
      </c>
      <c r="D80" s="605" t="inlineStr">
        <is>
          <t xml:space="preserve">01252-00-088-000 </t>
        </is>
      </c>
      <c r="E80" s="403" t="inlineStr">
        <is>
          <t>Actual</t>
        </is>
      </c>
      <c r="F80" s="605" t="inlineStr">
        <is>
          <t>3777   QUENTIN              ST</t>
        </is>
      </c>
      <c r="G80" s="605" t="n">
        <v>44.2</v>
      </c>
      <c r="H80" s="605" t="n">
        <v>9104</v>
      </c>
      <c r="I80" s="403" t="n">
        <v>0</v>
      </c>
      <c r="J80" s="404" t="n">
        <v>12107</v>
      </c>
      <c r="K80" s="145" t="n">
        <v>5.35227554307426</v>
      </c>
      <c r="L80" s="153" t="n">
        <v>0</v>
      </c>
      <c r="M80" s="153" t="n">
        <v>0.307083333333333</v>
      </c>
      <c r="N80" s="605" t="n">
        <v>2000</v>
      </c>
      <c r="O80" s="605" t="n">
        <v>3823</v>
      </c>
      <c r="P80" s="605" t="n">
        <v>0</v>
      </c>
      <c r="Q80" s="605" t="n">
        <v>24</v>
      </c>
      <c r="R80" s="605" t="n">
        <v>3</v>
      </c>
      <c r="S80" s="605" t="n">
        <v>5</v>
      </c>
      <c r="T80" s="403" t="inlineStr">
        <is>
          <t xml:space="preserve">I-B         </t>
        </is>
      </c>
      <c r="U80" s="605" t="n">
        <v>398</v>
      </c>
      <c r="V80" s="404" t="n">
        <v>38408</v>
      </c>
      <c r="W80" s="404" t="n">
        <v>38000</v>
      </c>
      <c r="X80" s="392" t="inlineStr">
        <is>
          <t>3.2:1</t>
        </is>
      </c>
      <c r="Y80" s="404" t="n">
        <v>12000</v>
      </c>
      <c r="Z80" s="403" t="inlineStr">
        <is>
          <t xml:space="preserve">C </t>
        </is>
      </c>
      <c r="AD80" s="605" t="inlineStr">
        <is>
          <t xml:space="preserve">M-W                 </t>
        </is>
      </c>
      <c r="AK80" s="405" t="n"/>
    </row>
    <row r="81" ht="12.75" customFormat="1" customHeight="1" s="605">
      <c r="A81" s="402" t="n">
        <v>6</v>
      </c>
      <c r="B81" s="605" t="n">
        <v>76</v>
      </c>
      <c r="C81" s="605" t="inlineStr">
        <is>
          <t>2013Q</t>
        </is>
      </c>
      <c r="D81" s="605" t="inlineStr">
        <is>
          <t xml:space="preserve">01252-00-093-000 </t>
        </is>
      </c>
      <c r="E81" s="403" t="inlineStr">
        <is>
          <t>Actual</t>
        </is>
      </c>
      <c r="F81" s="605" t="inlineStr">
        <is>
          <t>3899   QUENTIN              ST</t>
        </is>
      </c>
      <c r="G81" s="605" t="n">
        <v>44.1</v>
      </c>
      <c r="H81" s="605" t="n">
        <v>9104</v>
      </c>
      <c r="I81" s="403" t="n">
        <v>0</v>
      </c>
      <c r="J81" s="404" t="n">
        <v>8018</v>
      </c>
      <c r="K81" s="145" t="n">
        <v>11.2247443252682</v>
      </c>
      <c r="L81" s="153" t="n">
        <v>0</v>
      </c>
      <c r="M81" s="153" t="n">
        <v>0.0155555555555556</v>
      </c>
      <c r="N81" s="605" t="n">
        <v>2004</v>
      </c>
      <c r="O81" s="605" t="n">
        <v>1337</v>
      </c>
      <c r="P81" s="605" t="n">
        <v>0</v>
      </c>
      <c r="Q81" s="605" t="n">
        <v>19</v>
      </c>
      <c r="R81" s="605" t="n">
        <v>3</v>
      </c>
      <c r="S81" s="605" t="n">
        <v>1</v>
      </c>
      <c r="T81" s="403" t="inlineStr">
        <is>
          <t xml:space="preserve">I-B         </t>
        </is>
      </c>
      <c r="U81" s="605" t="n">
        <v>398</v>
      </c>
      <c r="V81" s="404" t="n">
        <v>23918</v>
      </c>
      <c r="W81" s="404" t="n">
        <v>24000</v>
      </c>
      <c r="X81" s="392" t="inlineStr">
        <is>
          <t>3:1</t>
        </is>
      </c>
      <c r="Y81" s="404" t="n">
        <v>8000</v>
      </c>
      <c r="Z81" s="403" t="inlineStr">
        <is>
          <t xml:space="preserve">C </t>
        </is>
      </c>
      <c r="AK81" s="405" t="inlineStr">
        <is>
          <t xml:space="preserve">2010 LEASE.                                                       </t>
        </is>
      </c>
    </row>
    <row r="82" ht="25.5" customFormat="1" customHeight="1" s="605">
      <c r="A82" s="402" t="n">
        <v>6</v>
      </c>
      <c r="B82" s="605" t="n">
        <v>77</v>
      </c>
      <c r="C82" s="605" t="inlineStr">
        <is>
          <t>2013Q</t>
        </is>
      </c>
      <c r="D82" s="605" t="inlineStr">
        <is>
          <t xml:space="preserve">01252-00-095-000 </t>
        </is>
      </c>
      <c r="E82" s="403" t="inlineStr">
        <is>
          <t>Actual</t>
        </is>
      </c>
      <c r="F82" s="605" t="inlineStr">
        <is>
          <t>3751   REVERE               ST</t>
        </is>
      </c>
      <c r="G82" s="605" t="n">
        <v>44.1</v>
      </c>
      <c r="H82" s="605" t="n">
        <v>9104</v>
      </c>
      <c r="I82" s="403" t="n">
        <v>0</v>
      </c>
      <c r="J82" s="404" t="n">
        <v>54662</v>
      </c>
      <c r="K82" s="145" t="n">
        <v>5.04701620870074</v>
      </c>
      <c r="L82" s="153" t="n">
        <v>0</v>
      </c>
      <c r="M82" s="153" t="n">
        <v>0.146958822676526</v>
      </c>
      <c r="N82" s="605" t="n">
        <v>1980</v>
      </c>
      <c r="O82" s="605" t="n">
        <v>3736</v>
      </c>
      <c r="P82" s="605" t="n">
        <v>0</v>
      </c>
      <c r="Q82" s="605" t="n">
        <v>27</v>
      </c>
      <c r="R82" s="605" t="n">
        <v>14</v>
      </c>
      <c r="S82" s="605" t="n">
        <v>1</v>
      </c>
      <c r="T82" s="403" t="inlineStr">
        <is>
          <t xml:space="preserve">I-B         </t>
        </is>
      </c>
      <c r="U82" s="605" t="n">
        <v>398</v>
      </c>
      <c r="V82" s="404" t="n">
        <v>99319</v>
      </c>
      <c r="W82" s="404" t="n">
        <v>99000</v>
      </c>
      <c r="X82" s="392" t="inlineStr">
        <is>
          <t>1.8:1</t>
        </is>
      </c>
      <c r="Y82" s="404" t="n">
        <v>55000</v>
      </c>
      <c r="Z82" s="403" t="inlineStr">
        <is>
          <t xml:space="preserve">C </t>
        </is>
      </c>
      <c r="AD82" s="605" t="inlineStr">
        <is>
          <t xml:space="preserve">CONLEY              </t>
        </is>
      </c>
      <c r="AK82" s="405" t="inlineStr">
        <is>
          <t xml:space="preserve">OWNER PAY TOO LARGE A SHARE OF EXPENSES.                          </t>
        </is>
      </c>
    </row>
    <row r="83" ht="12.75" customFormat="1" customHeight="1" s="605">
      <c r="A83" s="402" t="n">
        <v>6</v>
      </c>
      <c r="B83" s="605" t="n">
        <v>78</v>
      </c>
      <c r="C83" s="605" t="inlineStr">
        <is>
          <t>2013Q</t>
        </is>
      </c>
      <c r="D83" s="605" t="inlineStr">
        <is>
          <t xml:space="preserve">01252-04-001-000 </t>
        </is>
      </c>
      <c r="E83" s="403" t="inlineStr">
        <is>
          <t>Actual</t>
        </is>
      </c>
      <c r="F83" s="605" t="inlineStr">
        <is>
          <t>12585 E 39TH                 AV</t>
        </is>
      </c>
      <c r="G83" s="605" t="n">
        <v>44.2</v>
      </c>
      <c r="H83" s="605" t="n">
        <v>9104</v>
      </c>
      <c r="I83" s="403" t="n">
        <v>0</v>
      </c>
      <c r="J83" s="404" t="n">
        <v>9216</v>
      </c>
      <c r="K83" s="145" t="n">
        <v>6.52505609573672</v>
      </c>
      <c r="L83" s="153" t="n">
        <v>0.57</v>
      </c>
      <c r="M83" s="153" t="n">
        <v>0</v>
      </c>
      <c r="N83" s="605" t="n">
        <v>1978</v>
      </c>
      <c r="O83" s="605" t="n">
        <v>2320</v>
      </c>
      <c r="P83" s="605" t="n">
        <v>0</v>
      </c>
      <c r="Q83" s="605" t="n">
        <v>16</v>
      </c>
      <c r="R83" s="605" t="n">
        <v>14</v>
      </c>
      <c r="S83" s="605" t="n">
        <v>1</v>
      </c>
      <c r="T83" s="403" t="inlineStr">
        <is>
          <t xml:space="preserve">I-B         </t>
        </is>
      </c>
      <c r="U83" s="605" t="n">
        <v>398</v>
      </c>
      <c r="V83" s="404" t="n">
        <v>40511</v>
      </c>
      <c r="W83" s="404" t="n">
        <v>41000</v>
      </c>
      <c r="X83" s="392" t="inlineStr">
        <is>
          <t>4.4:1</t>
        </is>
      </c>
      <c r="Y83" s="404" t="n">
        <v>9000</v>
      </c>
      <c r="Z83" s="403" t="inlineStr">
        <is>
          <t xml:space="preserve">C </t>
        </is>
      </c>
      <c r="AK83" s="405" t="inlineStr">
        <is>
          <t xml:space="preserve">CAN'T ALLOCATE EXPENSES.                                          </t>
        </is>
      </c>
    </row>
    <row r="84" ht="12.75" customFormat="1" customHeight="1" s="605">
      <c r="A84" s="402" t="n">
        <v>6</v>
      </c>
      <c r="B84" s="605" t="n">
        <v>79</v>
      </c>
      <c r="C84" s="605" t="inlineStr">
        <is>
          <t>2013Q</t>
        </is>
      </c>
      <c r="D84" s="605" t="inlineStr">
        <is>
          <t xml:space="preserve">01314-32-011-000 </t>
        </is>
      </c>
      <c r="E84" s="403" t="inlineStr">
        <is>
          <t>Actual</t>
        </is>
      </c>
      <c r="F84" s="605" t="inlineStr">
        <is>
          <t>1520   FILBERT              CT</t>
        </is>
      </c>
      <c r="G84" s="605" t="n">
        <v>44.1</v>
      </c>
      <c r="H84" s="605" t="n">
        <v>9101</v>
      </c>
      <c r="I84" s="403" t="n">
        <v>0</v>
      </c>
      <c r="J84" s="404" t="n">
        <v>5495</v>
      </c>
      <c r="K84" s="145" t="n">
        <v>4.66005459508644</v>
      </c>
      <c r="L84" s="153" t="n">
        <v>0</v>
      </c>
      <c r="M84" s="153" t="n">
        <v>0</v>
      </c>
      <c r="N84" s="605" t="n">
        <v>1946</v>
      </c>
      <c r="O84" s="605" t="n">
        <v>4847</v>
      </c>
      <c r="P84" s="605" t="n">
        <v>0</v>
      </c>
      <c r="Q84" s="605" t="n">
        <v>13</v>
      </c>
      <c r="R84" s="605" t="n">
        <v>1</v>
      </c>
      <c r="S84" s="605" t="n">
        <v>1</v>
      </c>
      <c r="T84" s="403" t="inlineStr">
        <is>
          <t xml:space="preserve">U-MS-3      </t>
        </is>
      </c>
      <c r="U84" s="605" t="n">
        <v>398</v>
      </c>
      <c r="V84" s="404" t="n">
        <v>6500</v>
      </c>
      <c r="W84" s="404" t="n">
        <v>7000</v>
      </c>
      <c r="X84" s="392" t="inlineStr">
        <is>
          <t>1.2:1</t>
        </is>
      </c>
      <c r="Y84" s="404" t="n">
        <v>5000</v>
      </c>
      <c r="Z84" s="403" t="inlineStr">
        <is>
          <t xml:space="preserve">C </t>
        </is>
      </c>
      <c r="AK84" s="405" t="inlineStr">
        <is>
          <t xml:space="preserve">MO-TO-MO LEASE.                                                   </t>
        </is>
      </c>
    </row>
    <row r="85" ht="12.75" customFormat="1" customHeight="1" s="605">
      <c r="A85" s="402" t="n">
        <v>6</v>
      </c>
      <c r="B85" s="605" t="n">
        <v>80</v>
      </c>
      <c r="C85" s="605" t="inlineStr">
        <is>
          <t>2013Q</t>
        </is>
      </c>
      <c r="D85" s="605" t="inlineStr">
        <is>
          <t xml:space="preserve">02131-02-012-000 </t>
        </is>
      </c>
      <c r="E85" s="403" t="inlineStr">
        <is>
          <t>Actual</t>
        </is>
      </c>
      <c r="F85" s="605" t="inlineStr">
        <is>
          <t>5300   JACKSON              ST</t>
        </is>
      </c>
      <c r="G85" s="605" t="n">
        <v>44.1</v>
      </c>
      <c r="H85" s="605" t="n">
        <v>9201</v>
      </c>
      <c r="I85" s="403" t="n">
        <v>0</v>
      </c>
      <c r="J85" s="404" t="n">
        <v>4066</v>
      </c>
      <c r="K85" s="145" t="n">
        <v>3.9</v>
      </c>
      <c r="L85" s="153" t="n">
        <v>0</v>
      </c>
      <c r="M85" s="153" t="n">
        <v>0</v>
      </c>
      <c r="N85" s="605" t="n">
        <v>1985</v>
      </c>
      <c r="O85" s="605" t="n">
        <v>0</v>
      </c>
      <c r="P85" s="605" t="n">
        <v>0</v>
      </c>
      <c r="Q85" s="605" t="n">
        <v>16</v>
      </c>
      <c r="R85" s="605" t="n">
        <v>7</v>
      </c>
      <c r="S85" s="605" t="n">
        <v>1</v>
      </c>
      <c r="T85" s="403" t="inlineStr">
        <is>
          <t xml:space="preserve">I-A         </t>
        </is>
      </c>
      <c r="U85" s="605" t="n">
        <v>398</v>
      </c>
      <c r="V85" s="404" t="n">
        <v>13211</v>
      </c>
      <c r="W85" s="404" t="n">
        <v>13000</v>
      </c>
      <c r="X85" s="392" t="inlineStr">
        <is>
          <t>3.2:1</t>
        </is>
      </c>
      <c r="Y85" s="404" t="n">
        <v>4000</v>
      </c>
      <c r="Z85" s="403" t="inlineStr">
        <is>
          <t xml:space="preserve">C </t>
        </is>
      </c>
      <c r="AD85" s="605" t="inlineStr">
        <is>
          <t xml:space="preserve">S-W                 </t>
        </is>
      </c>
      <c r="AK85" s="405" t="inlineStr">
        <is>
          <t xml:space="preserve">MO-TO-MO LEASE.                                                   </t>
        </is>
      </c>
    </row>
    <row r="86" ht="25.5" customFormat="1" customHeight="1" s="605">
      <c r="A86" s="402" t="n">
        <v>6</v>
      </c>
      <c r="B86" s="605" t="n">
        <v>81</v>
      </c>
      <c r="C86" s="605" t="inlineStr">
        <is>
          <t>2013Q</t>
        </is>
      </c>
      <c r="D86" s="605" t="inlineStr">
        <is>
          <t xml:space="preserve">02131-02-014-000 </t>
        </is>
      </c>
      <c r="E86" s="403" t="inlineStr">
        <is>
          <t>Actual</t>
        </is>
      </c>
      <c r="F86" s="605" t="inlineStr">
        <is>
          <t>5335   HARRISON             ST</t>
        </is>
      </c>
      <c r="G86" s="605" t="n">
        <v>44.1</v>
      </c>
      <c r="H86" s="605" t="n">
        <v>9201</v>
      </c>
      <c r="I86" s="403" t="n">
        <v>0</v>
      </c>
      <c r="J86" s="404" t="n">
        <v>7272</v>
      </c>
      <c r="K86" s="145" t="n">
        <v>3.45</v>
      </c>
      <c r="L86" s="153" t="n">
        <v>0</v>
      </c>
      <c r="M86" s="153" t="n">
        <v>0</v>
      </c>
      <c r="N86" s="605" t="n">
        <v>1959</v>
      </c>
      <c r="O86" s="605" t="n">
        <v>2304</v>
      </c>
      <c r="P86" s="605" t="n">
        <v>0</v>
      </c>
      <c r="Q86" s="605" t="n">
        <v>10</v>
      </c>
      <c r="R86" s="605" t="n">
        <v>7</v>
      </c>
      <c r="S86" s="605" t="n">
        <v>1</v>
      </c>
      <c r="T86" s="403" t="inlineStr">
        <is>
          <t xml:space="preserve">I-A         </t>
        </is>
      </c>
      <c r="U86" s="605" t="n">
        <v>398</v>
      </c>
      <c r="V86" s="404" t="n">
        <v>53111</v>
      </c>
      <c r="W86" s="404" t="n">
        <v>53000</v>
      </c>
      <c r="X86" s="392" t="inlineStr">
        <is>
          <t>7.3:1</t>
        </is>
      </c>
      <c r="Y86" s="404" t="n">
        <v>7000</v>
      </c>
      <c r="Z86" s="403" t="inlineStr">
        <is>
          <t xml:space="preserve">C </t>
        </is>
      </c>
      <c r="AD86" s="605" t="inlineStr">
        <is>
          <t xml:space="preserve">DIST/SINGLE TENANT  </t>
        </is>
      </c>
      <c r="AK86" s="405" t="inlineStr">
        <is>
          <t xml:space="preserve">MO-TO-MO LEASE; CAN'T ALLOCATE EXPENSES BETWEEN O &amp; T.            </t>
        </is>
      </c>
    </row>
    <row r="87" ht="12.75" customFormat="1" customHeight="1" s="605">
      <c r="A87" s="402" t="n">
        <v>6</v>
      </c>
      <c r="B87" s="605" t="n">
        <v>82</v>
      </c>
      <c r="C87" s="605" t="inlineStr">
        <is>
          <t>2013Q</t>
        </is>
      </c>
      <c r="D87" s="605" t="inlineStr">
        <is>
          <t xml:space="preserve">02131-04-003-000 </t>
        </is>
      </c>
      <c r="E87" s="403" t="inlineStr">
        <is>
          <t>Actual</t>
        </is>
      </c>
      <c r="F87" s="605" t="inlineStr">
        <is>
          <t>5300   MONROE               ST</t>
        </is>
      </c>
      <c r="G87" s="605" t="n">
        <v>44.1</v>
      </c>
      <c r="H87" s="605" t="n">
        <v>9201</v>
      </c>
      <c r="I87" s="403" t="n">
        <v>0</v>
      </c>
      <c r="J87" s="404" t="n">
        <v>15699</v>
      </c>
      <c r="K87" s="145" t="n">
        <v>4.58627938085228</v>
      </c>
      <c r="L87" s="153" t="n">
        <v>0</v>
      </c>
      <c r="M87" s="153" t="n">
        <v>0</v>
      </c>
      <c r="N87" s="605" t="n">
        <v>1964</v>
      </c>
      <c r="O87" s="605" t="n">
        <v>778</v>
      </c>
      <c r="P87" s="605" t="n">
        <v>0</v>
      </c>
      <c r="Q87" s="605" t="n">
        <v>17</v>
      </c>
      <c r="R87" s="605" t="n">
        <v>3</v>
      </c>
      <c r="S87" s="605" t="n">
        <v>1</v>
      </c>
      <c r="T87" s="403" t="inlineStr">
        <is>
          <t xml:space="preserve">I-A         </t>
        </is>
      </c>
      <c r="U87" s="605" t="n">
        <v>398</v>
      </c>
      <c r="V87" s="404" t="n">
        <v>25000</v>
      </c>
      <c r="W87" s="404" t="n">
        <v>25000</v>
      </c>
      <c r="X87" s="392" t="inlineStr">
        <is>
          <t>1.6:1</t>
        </is>
      </c>
      <c r="Y87" s="404" t="n">
        <v>16000</v>
      </c>
      <c r="Z87" s="403" t="inlineStr">
        <is>
          <t xml:space="preserve">C </t>
        </is>
      </c>
      <c r="AK87" s="405" t="n"/>
    </row>
    <row r="88" ht="25.5" customFormat="1" customHeight="1" s="605">
      <c r="A88" s="402" t="n">
        <v>6</v>
      </c>
      <c r="B88" s="605" t="n">
        <v>83</v>
      </c>
      <c r="C88" s="605" t="inlineStr">
        <is>
          <t>2013Q</t>
        </is>
      </c>
      <c r="D88" s="605" t="inlineStr">
        <is>
          <t xml:space="preserve">02131-08-020-000 </t>
        </is>
      </c>
      <c r="E88" s="403" t="inlineStr">
        <is>
          <t>Actual</t>
        </is>
      </c>
      <c r="F88" s="605" t="inlineStr">
        <is>
          <t>3333 E 52ND                 AV</t>
        </is>
      </c>
      <c r="G88" s="605" t="n">
        <v>44.1</v>
      </c>
      <c r="H88" s="605" t="n">
        <v>9201</v>
      </c>
      <c r="I88" s="403" t="n">
        <v>0</v>
      </c>
      <c r="J88" s="404" t="n">
        <v>37440</v>
      </c>
      <c r="K88" s="145" t="n">
        <v>6.18589743589744</v>
      </c>
      <c r="L88" s="153" t="n">
        <v>0</v>
      </c>
      <c r="M88" s="153" t="n">
        <v>0</v>
      </c>
      <c r="N88" s="605" t="n">
        <v>1970</v>
      </c>
      <c r="O88" s="605" t="n">
        <v>8400</v>
      </c>
      <c r="P88" s="605" t="n">
        <v>0</v>
      </c>
      <c r="Q88" s="605" t="n">
        <v>15</v>
      </c>
      <c r="R88" s="605" t="n">
        <v>7</v>
      </c>
      <c r="S88" s="605" t="n">
        <v>1</v>
      </c>
      <c r="T88" s="403" t="inlineStr">
        <is>
          <t xml:space="preserve">I-A         </t>
        </is>
      </c>
      <c r="U88" s="605" t="n">
        <v>398</v>
      </c>
      <c r="V88" s="404" t="n">
        <v>81300</v>
      </c>
      <c r="W88" s="404" t="n">
        <v>81000</v>
      </c>
      <c r="X88" s="392" t="inlineStr">
        <is>
          <t>2.2:1</t>
        </is>
      </c>
      <c r="Y88" s="404" t="n">
        <v>37000</v>
      </c>
      <c r="Z88" s="403" t="inlineStr">
        <is>
          <t xml:space="preserve">C </t>
        </is>
      </c>
      <c r="AD88" s="605" t="inlineStr">
        <is>
          <t xml:space="preserve">COLORADO DOORWAYS   </t>
        </is>
      </c>
      <c r="AK88" s="405" t="inlineStr">
        <is>
          <t xml:space="preserve">2009 LEASE; PARCEL 02131-08-021 INCLUDED IN LEASE.                </t>
        </is>
      </c>
    </row>
    <row r="89" ht="25.5" customFormat="1" customHeight="1" s="605">
      <c r="A89" s="402" t="n">
        <v>6</v>
      </c>
      <c r="B89" s="605" t="n">
        <v>84</v>
      </c>
      <c r="C89" s="605" t="inlineStr">
        <is>
          <t>2013Q</t>
        </is>
      </c>
      <c r="D89" s="605" t="inlineStr">
        <is>
          <t xml:space="preserve">02132-00-039-000 </t>
        </is>
      </c>
      <c r="E89" s="403" t="inlineStr">
        <is>
          <t>Actual</t>
        </is>
      </c>
      <c r="F89" s="605" t="inlineStr">
        <is>
          <t>3055 E 52ND                 AV</t>
        </is>
      </c>
      <c r="G89" s="605" t="n">
        <v>44.2</v>
      </c>
      <c r="H89" s="605" t="n">
        <v>9201</v>
      </c>
      <c r="I89" s="403" t="n">
        <v>0</v>
      </c>
      <c r="J89" s="404" t="n">
        <v>24250</v>
      </c>
      <c r="K89" s="145" t="n">
        <v>3.56288659793815</v>
      </c>
      <c r="L89" s="153" t="n">
        <v>0</v>
      </c>
      <c r="M89" s="153" t="n">
        <v>0</v>
      </c>
      <c r="N89" s="605" t="n">
        <v>1963</v>
      </c>
      <c r="O89" s="605" t="n">
        <v>2784</v>
      </c>
      <c r="P89" s="605" t="n">
        <v>0</v>
      </c>
      <c r="Q89" s="605" t="n">
        <v>14</v>
      </c>
      <c r="R89" s="605" t="n">
        <v>3</v>
      </c>
      <c r="S89" s="605" t="n">
        <v>5</v>
      </c>
      <c r="T89" s="403" t="inlineStr">
        <is>
          <t xml:space="preserve">I-A         </t>
        </is>
      </c>
      <c r="U89" s="605" t="n">
        <v>398</v>
      </c>
      <c r="V89" s="404" t="n">
        <v>58000</v>
      </c>
      <c r="W89" s="404" t="n">
        <v>58000</v>
      </c>
      <c r="X89" s="392" t="inlineStr">
        <is>
          <t>2.4:1</t>
        </is>
      </c>
      <c r="Y89" s="404" t="n">
        <v>24000</v>
      </c>
      <c r="Z89" s="403" t="inlineStr">
        <is>
          <t xml:space="preserve">C </t>
        </is>
      </c>
      <c r="AD89" s="605" t="inlineStr">
        <is>
          <t xml:space="preserve">DIST/STRGE WHSE     </t>
        </is>
      </c>
      <c r="AK89" s="405" t="inlineStr">
        <is>
          <t xml:space="preserve">EXP NOT ENTERED - OWNER BEAR WAY TOO MUCH OF EXPENSES.            </t>
        </is>
      </c>
    </row>
    <row r="90" ht="12.75" customFormat="1" customHeight="1" s="605">
      <c r="A90" s="402" t="n">
        <v>6</v>
      </c>
      <c r="B90" s="605" t="n">
        <v>85</v>
      </c>
      <c r="C90" s="605" t="inlineStr">
        <is>
          <t>2013Q</t>
        </is>
      </c>
      <c r="D90" s="605" t="inlineStr">
        <is>
          <t xml:space="preserve">02134-00-158-000 </t>
        </is>
      </c>
      <c r="E90" s="403" t="inlineStr">
        <is>
          <t>Actual</t>
        </is>
      </c>
      <c r="F90" s="605" t="inlineStr">
        <is>
          <t>5105   COOK                 ST</t>
        </is>
      </c>
      <c r="G90" s="605" t="n">
        <v>44.1</v>
      </c>
      <c r="H90" s="605" t="n">
        <v>9201</v>
      </c>
      <c r="I90" s="403" t="n">
        <v>0</v>
      </c>
      <c r="J90" s="404" t="n">
        <v>29787</v>
      </c>
      <c r="K90" s="145" t="n">
        <v>5.23718400644577</v>
      </c>
      <c r="L90" s="153" t="n">
        <v>0</v>
      </c>
      <c r="M90" s="153" t="n">
        <v>0</v>
      </c>
      <c r="N90" s="605" t="n">
        <v>1983</v>
      </c>
      <c r="O90" s="605" t="n">
        <v>1063</v>
      </c>
      <c r="P90" s="605" t="n">
        <v>0</v>
      </c>
      <c r="Q90" s="605" t="n">
        <v>18</v>
      </c>
      <c r="R90" s="605" t="n">
        <v>10</v>
      </c>
      <c r="S90" s="605" t="n">
        <v>1</v>
      </c>
      <c r="T90" s="403" t="inlineStr">
        <is>
          <t xml:space="preserve">I-A         </t>
        </is>
      </c>
      <c r="U90" s="605" t="n">
        <v>398</v>
      </c>
      <c r="V90" s="404" t="n">
        <v>130639</v>
      </c>
      <c r="W90" s="404" t="n">
        <v>131000</v>
      </c>
      <c r="X90" s="392" t="inlineStr">
        <is>
          <t>4.4:1</t>
        </is>
      </c>
      <c r="Y90" s="404" t="n">
        <v>30000</v>
      </c>
      <c r="Z90" s="403" t="inlineStr">
        <is>
          <t xml:space="preserve">C </t>
        </is>
      </c>
      <c r="AD90" s="605" t="inlineStr">
        <is>
          <t xml:space="preserve">SAMS PRODUCE        </t>
        </is>
      </c>
      <c r="AK90" s="405" t="inlineStr">
        <is>
          <t xml:space="preserve">2010 LEASE.                                                       </t>
        </is>
      </c>
    </row>
    <row r="91" ht="12.75" customFormat="1" customHeight="1" s="605">
      <c r="A91" s="402" t="n">
        <v>6</v>
      </c>
      <c r="B91" s="605" t="n">
        <v>86</v>
      </c>
      <c r="C91" s="605" t="inlineStr">
        <is>
          <t>2013Q</t>
        </is>
      </c>
      <c r="D91" s="605" t="inlineStr">
        <is>
          <t xml:space="preserve">02134-01-021-000 </t>
        </is>
      </c>
      <c r="E91" s="403" t="inlineStr">
        <is>
          <t>Actual</t>
        </is>
      </c>
      <c r="F91" s="605" t="inlineStr">
        <is>
          <t>4985   COLORADO             BV</t>
        </is>
      </c>
      <c r="G91" s="605" t="n">
        <v>44.1</v>
      </c>
      <c r="H91" s="605" t="n">
        <v>9201</v>
      </c>
      <c r="I91" s="403" t="n">
        <v>5</v>
      </c>
      <c r="J91" s="404" t="n">
        <v>24416</v>
      </c>
      <c r="K91" s="145" t="n">
        <v>3.93184796854522</v>
      </c>
      <c r="L91" s="153" t="n">
        <v>0</v>
      </c>
      <c r="M91" s="153" t="n">
        <v>0.037625</v>
      </c>
      <c r="N91" s="605" t="n">
        <v>1973</v>
      </c>
      <c r="O91" s="605" t="n">
        <v>1560</v>
      </c>
      <c r="P91" s="605" t="n">
        <v>0</v>
      </c>
      <c r="Q91" s="605" t="n">
        <v>18</v>
      </c>
      <c r="R91" s="605" t="n">
        <v>1</v>
      </c>
      <c r="S91" s="605" t="n">
        <v>1</v>
      </c>
      <c r="T91" s="403" t="inlineStr">
        <is>
          <t xml:space="preserve">I-A         </t>
        </is>
      </c>
      <c r="U91" s="605" t="n">
        <v>398</v>
      </c>
      <c r="V91" s="404" t="n">
        <v>45515</v>
      </c>
      <c r="W91" s="404" t="n">
        <v>46000</v>
      </c>
      <c r="X91" s="392" t="inlineStr">
        <is>
          <t>1.9:1</t>
        </is>
      </c>
      <c r="Y91" s="404" t="n">
        <v>24000</v>
      </c>
      <c r="Z91" s="403" t="inlineStr">
        <is>
          <t xml:space="preserve">C </t>
        </is>
      </c>
      <c r="AD91" s="605" t="inlineStr">
        <is>
          <t xml:space="preserve">FOREE TIRE          </t>
        </is>
      </c>
      <c r="AK91" s="405" t="n"/>
    </row>
    <row r="92" ht="25.5" customFormat="1" customHeight="1" s="605">
      <c r="A92" s="402" t="n">
        <v>6</v>
      </c>
      <c r="B92" s="605" t="n">
        <v>87</v>
      </c>
      <c r="C92" s="605" t="inlineStr">
        <is>
          <t>2013Q</t>
        </is>
      </c>
      <c r="D92" s="605" t="inlineStr">
        <is>
          <t xml:space="preserve">02134-01-044-000 </t>
        </is>
      </c>
      <c r="E92" s="403" t="inlineStr">
        <is>
          <t>Actual</t>
        </is>
      </c>
      <c r="F92" s="605" t="inlineStr">
        <is>
          <t>4975   COLORADO             BV</t>
        </is>
      </c>
      <c r="G92" s="605" t="n">
        <v>44.1</v>
      </c>
      <c r="H92" s="605" t="n">
        <v>9201</v>
      </c>
      <c r="I92" s="403" t="n">
        <v>5</v>
      </c>
      <c r="J92" s="404" t="n">
        <v>8520</v>
      </c>
      <c r="K92" s="145" t="n">
        <v>5.60070422535211</v>
      </c>
      <c r="L92" s="153" t="n">
        <v>0</v>
      </c>
      <c r="M92" s="153" t="n">
        <v>0.399576679659667</v>
      </c>
      <c r="N92" s="605" t="n">
        <v>1954</v>
      </c>
      <c r="O92" s="605" t="n">
        <v>2531</v>
      </c>
      <c r="P92" s="605" t="n">
        <v>0</v>
      </c>
      <c r="Q92" s="605" t="n">
        <v>17</v>
      </c>
      <c r="R92" s="605" t="n">
        <v>1</v>
      </c>
      <c r="S92" s="605" t="n">
        <v>1</v>
      </c>
      <c r="T92" s="403" t="inlineStr">
        <is>
          <t xml:space="preserve">I-A         </t>
        </is>
      </c>
      <c r="U92" s="605" t="n">
        <v>398</v>
      </c>
      <c r="V92" s="404" t="n">
        <v>34314</v>
      </c>
      <c r="W92" s="404" t="n">
        <v>34000</v>
      </c>
      <c r="X92" s="392" t="inlineStr">
        <is>
          <t>4:1</t>
        </is>
      </c>
      <c r="Y92" s="404" t="n">
        <v>9000</v>
      </c>
      <c r="Z92" s="403" t="inlineStr">
        <is>
          <t xml:space="preserve">C </t>
        </is>
      </c>
      <c r="AD92" s="605" t="inlineStr">
        <is>
          <t xml:space="preserve">VACANT              </t>
        </is>
      </c>
      <c r="AK92" s="405" t="inlineStr">
        <is>
          <t xml:space="preserve">DATE OF LEASE COMMENCEMENT UNKNOWN.                               </t>
        </is>
      </c>
    </row>
    <row r="93" ht="25.5" customFormat="1" customHeight="1" s="605">
      <c r="A93" s="402" t="n">
        <v>6</v>
      </c>
      <c r="B93" s="605" t="n">
        <v>88</v>
      </c>
      <c r="C93" s="605" t="inlineStr">
        <is>
          <t>2013Q</t>
        </is>
      </c>
      <c r="D93" s="605" t="inlineStr">
        <is>
          <t xml:space="preserve">02143-00-032-000 </t>
        </is>
      </c>
      <c r="E93" s="403" t="inlineStr">
        <is>
          <t>Actual</t>
        </is>
      </c>
      <c r="F93" s="605" t="inlineStr">
        <is>
          <t>707 E 50TH                 AV</t>
        </is>
      </c>
      <c r="G93" s="605" t="n">
        <v>45.6</v>
      </c>
      <c r="H93" s="605" t="n">
        <v>9201</v>
      </c>
      <c r="I93" s="403" t="n">
        <v>0</v>
      </c>
      <c r="J93" s="404" t="n">
        <v>15977</v>
      </c>
      <c r="K93" s="145" t="n">
        <v>10.640295424673</v>
      </c>
      <c r="L93" s="153" t="n">
        <v>0</v>
      </c>
      <c r="M93" s="153" t="n">
        <v>0</v>
      </c>
      <c r="N93" s="605" t="n">
        <v>1956</v>
      </c>
      <c r="O93" s="605" t="n">
        <v>851</v>
      </c>
      <c r="P93" s="605" t="n">
        <v>0</v>
      </c>
      <c r="Q93" s="605" t="n">
        <v>15</v>
      </c>
      <c r="R93" s="605" t="n">
        <v>1</v>
      </c>
      <c r="S93" s="605" t="n">
        <v>1</v>
      </c>
      <c r="T93" s="403" t="inlineStr">
        <is>
          <t xml:space="preserve">I-A         </t>
        </is>
      </c>
      <c r="U93" s="605" t="n">
        <v>401</v>
      </c>
      <c r="V93" s="404" t="n">
        <v>31600</v>
      </c>
      <c r="W93" s="404" t="n">
        <v>32000</v>
      </c>
      <c r="X93" s="392" t="inlineStr">
        <is>
          <t>2:1</t>
        </is>
      </c>
      <c r="Y93" s="404" t="n">
        <v>16000</v>
      </c>
      <c r="Z93" s="403" t="inlineStr">
        <is>
          <t xml:space="preserve">C </t>
        </is>
      </c>
      <c r="AD93" s="605" t="inlineStr">
        <is>
          <t xml:space="preserve">CASTLE ROCK MEATS   </t>
        </is>
      </c>
      <c r="AK93" s="405" t="inlineStr">
        <is>
          <t xml:space="preserve">PER COSTAR, THIS MAY BE OWNER-OCCUPIED PROPERTY.                  </t>
        </is>
      </c>
    </row>
    <row r="94" ht="12.75" customFormat="1" customHeight="1" s="605">
      <c r="A94" s="402" t="n">
        <v>6</v>
      </c>
      <c r="B94" s="605" t="n">
        <v>89</v>
      </c>
      <c r="C94" s="605" t="inlineStr">
        <is>
          <t>2013Q</t>
        </is>
      </c>
      <c r="D94" s="605" t="inlineStr">
        <is>
          <t xml:space="preserve">02143-00-093-000 </t>
        </is>
      </c>
      <c r="E94" s="403" t="inlineStr">
        <is>
          <t>Actual</t>
        </is>
      </c>
      <c r="F94" s="605" t="inlineStr">
        <is>
          <t>770 E 51ST                 AV</t>
        </is>
      </c>
      <c r="G94" s="605" t="n">
        <v>44.2</v>
      </c>
      <c r="H94" s="605" t="n">
        <v>9201</v>
      </c>
      <c r="I94" s="403" t="n">
        <v>0</v>
      </c>
      <c r="J94" s="404" t="n">
        <v>2982</v>
      </c>
      <c r="K94" s="145" t="n">
        <v>4.42655935613682</v>
      </c>
      <c r="L94" s="153" t="n">
        <v>0</v>
      </c>
      <c r="M94" s="153" t="n">
        <v>0.07136363636363641</v>
      </c>
      <c r="N94" s="605" t="n">
        <v>1961</v>
      </c>
      <c r="O94" s="605" t="n">
        <v>0</v>
      </c>
      <c r="P94" s="605" t="n">
        <v>1656</v>
      </c>
      <c r="Q94" s="605" t="n">
        <v>9</v>
      </c>
      <c r="R94" s="605" t="n">
        <v>1</v>
      </c>
      <c r="S94" s="605" t="n">
        <v>1</v>
      </c>
      <c r="T94" s="403" t="inlineStr">
        <is>
          <t xml:space="preserve">I-A         </t>
        </is>
      </c>
      <c r="U94" s="605" t="n">
        <v>353</v>
      </c>
      <c r="V94" s="404" t="n">
        <v>6711</v>
      </c>
      <c r="W94" s="404" t="n">
        <v>7000</v>
      </c>
      <c r="X94" s="392" t="inlineStr">
        <is>
          <t>2.3:1</t>
        </is>
      </c>
      <c r="Y94" s="404" t="n">
        <v>3000</v>
      </c>
      <c r="Z94" s="403" t="inlineStr">
        <is>
          <t xml:space="preserve">C </t>
        </is>
      </c>
      <c r="AK94" s="405" t="n"/>
    </row>
    <row r="95" ht="12.75" customFormat="1" customHeight="1" s="605">
      <c r="A95" s="402" t="n">
        <v>6</v>
      </c>
      <c r="B95" s="605" t="n">
        <v>90</v>
      </c>
      <c r="C95" s="605" t="inlineStr">
        <is>
          <t>2013Q</t>
        </is>
      </c>
      <c r="D95" s="605" t="inlineStr">
        <is>
          <t xml:space="preserve">02143-00-148-000 </t>
        </is>
      </c>
      <c r="E95" s="403" t="inlineStr">
        <is>
          <t>Actual</t>
        </is>
      </c>
      <c r="F95" s="605" t="inlineStr">
        <is>
          <t>5151   FRANKLIN             ST</t>
        </is>
      </c>
      <c r="G95" s="605" t="n">
        <v>44.4</v>
      </c>
      <c r="H95" s="605" t="n">
        <v>9201</v>
      </c>
      <c r="I95" s="403" t="n">
        <v>0</v>
      </c>
      <c r="J95" s="404" t="n">
        <v>143328</v>
      </c>
      <c r="K95" s="145" t="n">
        <v>3.21556848626926</v>
      </c>
      <c r="L95" s="153" t="n">
        <v>0</v>
      </c>
      <c r="M95" s="153" t="n">
        <v>0.0904268129951115</v>
      </c>
      <c r="N95" s="605" t="n">
        <v>1980</v>
      </c>
      <c r="O95" s="605" t="n">
        <v>6391</v>
      </c>
      <c r="P95" s="605" t="n">
        <v>0</v>
      </c>
      <c r="Q95" s="605" t="n">
        <v>25</v>
      </c>
      <c r="R95" s="605" t="n">
        <v>3</v>
      </c>
      <c r="S95" s="605" t="n">
        <v>1</v>
      </c>
      <c r="T95" s="403" t="inlineStr">
        <is>
          <t xml:space="preserve">I-B         </t>
        </is>
      </c>
      <c r="U95" s="605" t="n">
        <v>398</v>
      </c>
      <c r="V95" s="404" t="n">
        <v>286723</v>
      </c>
      <c r="W95" s="404" t="n">
        <v>287000</v>
      </c>
      <c r="X95" s="392" t="inlineStr">
        <is>
          <t>2:1</t>
        </is>
      </c>
      <c r="Y95" s="404" t="n">
        <v>143000</v>
      </c>
      <c r="Z95" s="403" t="inlineStr">
        <is>
          <t xml:space="preserve">C </t>
        </is>
      </c>
      <c r="AD95" s="605" t="inlineStr">
        <is>
          <t>MW PLATTE R DISTRIB.</t>
        </is>
      </c>
      <c r="AK95" s="405" t="inlineStr">
        <is>
          <t xml:space="preserve">2010-2011 LEASES.                                                 </t>
        </is>
      </c>
    </row>
    <row r="96" ht="12.75" customFormat="1" customHeight="1" s="605">
      <c r="A96" s="402" t="n">
        <v>6</v>
      </c>
      <c r="B96" s="605" t="n">
        <v>91</v>
      </c>
      <c r="C96" s="605" t="inlineStr">
        <is>
          <t>2013Q</t>
        </is>
      </c>
      <c r="D96" s="605" t="inlineStr">
        <is>
          <t xml:space="preserve">02143-05-039-000 </t>
        </is>
      </c>
      <c r="E96" s="403" t="inlineStr">
        <is>
          <t>Actual</t>
        </is>
      </c>
      <c r="F96" s="605" t="inlineStr">
        <is>
          <t>5113   CLARKSON             ST</t>
        </is>
      </c>
      <c r="G96" s="605" t="n">
        <v>44.2</v>
      </c>
      <c r="H96" s="605" t="n">
        <v>9201</v>
      </c>
      <c r="I96" s="403" t="n">
        <v>0</v>
      </c>
      <c r="J96" s="404" t="n">
        <v>2304</v>
      </c>
      <c r="K96" s="145" t="n">
        <v>5.20833333333333</v>
      </c>
      <c r="L96" s="153" t="n">
        <v>0</v>
      </c>
      <c r="M96" s="153" t="n">
        <v>0</v>
      </c>
      <c r="N96" s="605" t="n">
        <v>2000</v>
      </c>
      <c r="O96" s="605" t="n">
        <v>0</v>
      </c>
      <c r="P96" s="605" t="n">
        <v>0</v>
      </c>
      <c r="Q96" s="605" t="n">
        <v>13</v>
      </c>
      <c r="R96" s="605" t="n">
        <v>3</v>
      </c>
      <c r="S96" s="605" t="n">
        <v>1</v>
      </c>
      <c r="T96" s="403" t="inlineStr">
        <is>
          <t xml:space="preserve">I-A         </t>
        </is>
      </c>
      <c r="U96" s="605" t="n">
        <v>398</v>
      </c>
      <c r="V96" s="404" t="n">
        <v>15000</v>
      </c>
      <c r="W96" s="404" t="n">
        <v>15000</v>
      </c>
      <c r="X96" s="392" t="inlineStr">
        <is>
          <t>6.5:1</t>
        </is>
      </c>
      <c r="Y96" s="404" t="n">
        <v>2000</v>
      </c>
      <c r="Z96" s="403" t="inlineStr">
        <is>
          <t xml:space="preserve">C </t>
        </is>
      </c>
      <c r="AD96" s="605" t="inlineStr">
        <is>
          <t xml:space="preserve">S-W                 </t>
        </is>
      </c>
      <c r="AK96" s="405" t="n"/>
    </row>
    <row r="97" ht="12.75" customFormat="1" customHeight="1" s="605">
      <c r="A97" s="402" t="n">
        <v>6</v>
      </c>
      <c r="B97" s="605" t="n">
        <v>92</v>
      </c>
      <c r="C97" s="605" t="inlineStr">
        <is>
          <t>2013Q</t>
        </is>
      </c>
      <c r="D97" s="605" t="inlineStr">
        <is>
          <t xml:space="preserve">02144-00-098-000 </t>
        </is>
      </c>
      <c r="E97" s="403" t="inlineStr">
        <is>
          <t>Actual</t>
        </is>
      </c>
      <c r="F97" s="605" t="inlineStr">
        <is>
          <t>5150   RACE                 CT</t>
        </is>
      </c>
      <c r="G97" s="605" t="n">
        <v>44.2</v>
      </c>
      <c r="H97" s="605" t="n">
        <v>9201</v>
      </c>
      <c r="I97" s="403" t="n">
        <v>0</v>
      </c>
      <c r="J97" s="404" t="n">
        <v>27624</v>
      </c>
      <c r="K97" s="145" t="n">
        <v>6.69707500724008</v>
      </c>
      <c r="L97" s="153" t="n">
        <v>0</v>
      </c>
      <c r="M97" s="153" t="n">
        <v>0.00240540540540541</v>
      </c>
      <c r="N97" s="605" t="n">
        <v>1999</v>
      </c>
      <c r="O97" s="605" t="n">
        <v>4027</v>
      </c>
      <c r="P97" s="605" t="n">
        <v>1052</v>
      </c>
      <c r="Q97" s="605" t="n">
        <v>19</v>
      </c>
      <c r="R97" s="605" t="n">
        <v>3</v>
      </c>
      <c r="S97" s="605" t="n">
        <v>1</v>
      </c>
      <c r="T97" s="403" t="inlineStr">
        <is>
          <t xml:space="preserve">I-B         </t>
        </is>
      </c>
      <c r="U97" s="605" t="n">
        <v>398</v>
      </c>
      <c r="V97" s="404" t="n">
        <v>144374</v>
      </c>
      <c r="W97" s="404" t="n">
        <v>144000</v>
      </c>
      <c r="X97" s="392" t="inlineStr">
        <is>
          <t>5.2:1</t>
        </is>
      </c>
      <c r="Y97" s="404" t="n">
        <v>28000</v>
      </c>
      <c r="Z97" s="403" t="inlineStr">
        <is>
          <t xml:space="preserve">C </t>
        </is>
      </c>
      <c r="AD97" s="605" t="inlineStr">
        <is>
          <t xml:space="preserve">S-W                 </t>
        </is>
      </c>
      <c r="AK97" s="405" t="n"/>
    </row>
    <row r="98" ht="12.75" customFormat="1" customHeight="1" s="605">
      <c r="A98" s="402" t="n">
        <v>6</v>
      </c>
      <c r="B98" s="605" t="n">
        <v>93</v>
      </c>
      <c r="C98" s="605" t="inlineStr">
        <is>
          <t>2013Q</t>
        </is>
      </c>
      <c r="D98" s="605" t="inlineStr">
        <is>
          <t xml:space="preserve">02153-00-014-000 </t>
        </is>
      </c>
      <c r="E98" s="403" t="inlineStr">
        <is>
          <t>Actual</t>
        </is>
      </c>
      <c r="F98" s="605" t="inlineStr">
        <is>
          <t>555 W 48TH                 AV</t>
        </is>
      </c>
      <c r="G98" s="605" t="n">
        <v>44.4</v>
      </c>
      <c r="H98" s="605" t="n">
        <v>9208</v>
      </c>
      <c r="I98" s="403" t="n">
        <v>0</v>
      </c>
      <c r="J98" s="404" t="n">
        <v>109323</v>
      </c>
      <c r="K98" s="145" t="n">
        <v>5.37000448213093</v>
      </c>
      <c r="L98" s="153" t="n">
        <v>0.25</v>
      </c>
      <c r="M98" s="153" t="n">
        <v>0.146210385562076</v>
      </c>
      <c r="N98" s="605" t="n">
        <v>1955</v>
      </c>
      <c r="O98" s="605" t="n">
        <v>27857</v>
      </c>
      <c r="P98" s="605" t="n">
        <v>0</v>
      </c>
      <c r="Q98" s="605" t="n">
        <v>20</v>
      </c>
      <c r="R98" s="605" t="n">
        <v>1</v>
      </c>
      <c r="S98" s="605" t="n">
        <v>5</v>
      </c>
      <c r="T98" s="403" t="inlineStr">
        <is>
          <t xml:space="preserve">I-B         </t>
        </is>
      </c>
      <c r="U98" s="605" t="n">
        <v>398</v>
      </c>
      <c r="V98" s="404" t="n">
        <v>240000</v>
      </c>
      <c r="W98" s="404" t="n">
        <v>240000</v>
      </c>
      <c r="X98" s="392" t="inlineStr">
        <is>
          <t>2.2:1</t>
        </is>
      </c>
      <c r="Y98" s="404" t="n">
        <v>109000</v>
      </c>
      <c r="Z98" s="403" t="inlineStr">
        <is>
          <t xml:space="preserve">C </t>
        </is>
      </c>
      <c r="AD98" s="605" t="inlineStr">
        <is>
          <t>M-W-LINCOLN BUS PARK</t>
        </is>
      </c>
      <c r="AK98" s="405" t="n"/>
    </row>
    <row r="99" ht="12.75" customFormat="1" customHeight="1" s="605">
      <c r="A99" s="402" t="n">
        <v>6</v>
      </c>
      <c r="B99" s="605" t="n">
        <v>94</v>
      </c>
      <c r="C99" s="605" t="inlineStr">
        <is>
          <t>2013Q</t>
        </is>
      </c>
      <c r="D99" s="605" t="inlineStr">
        <is>
          <t xml:space="preserve">02153-00-047-000 </t>
        </is>
      </c>
      <c r="E99" s="403" t="inlineStr">
        <is>
          <t>Actual</t>
        </is>
      </c>
      <c r="F99" s="605" t="inlineStr">
        <is>
          <t>601 W 50TH                 AV</t>
        </is>
      </c>
      <c r="G99" s="605" t="n">
        <v>44.2</v>
      </c>
      <c r="H99" s="605" t="n">
        <v>9208</v>
      </c>
      <c r="I99" s="403" t="n">
        <v>0</v>
      </c>
      <c r="J99" s="404" t="n">
        <v>95263</v>
      </c>
      <c r="K99" s="145" t="n">
        <v>4.51224504791997</v>
      </c>
      <c r="L99" s="153" t="n">
        <v>0</v>
      </c>
      <c r="M99" s="153" t="n">
        <v>0.0439711527276957</v>
      </c>
      <c r="N99" s="605" t="n">
        <v>1977</v>
      </c>
      <c r="O99" s="605" t="n">
        <v>1935</v>
      </c>
      <c r="P99" s="605" t="n">
        <v>0</v>
      </c>
      <c r="Q99" s="605" t="n">
        <v>24</v>
      </c>
      <c r="R99" s="605" t="n">
        <v>1</v>
      </c>
      <c r="S99" s="605" t="n">
        <v>1</v>
      </c>
      <c r="T99" s="403" t="inlineStr">
        <is>
          <t xml:space="preserve">I-B         </t>
        </is>
      </c>
      <c r="U99" s="605" t="n">
        <v>398</v>
      </c>
      <c r="V99" s="404" t="n">
        <v>153950</v>
      </c>
      <c r="W99" s="404" t="n">
        <v>154000</v>
      </c>
      <c r="X99" s="392" t="inlineStr">
        <is>
          <t>1.6:1</t>
        </is>
      </c>
      <c r="Y99" s="404" t="n">
        <v>95000</v>
      </c>
      <c r="Z99" s="403" t="inlineStr">
        <is>
          <t xml:space="preserve">C </t>
        </is>
      </c>
      <c r="AD99" s="605" t="inlineStr">
        <is>
          <t xml:space="preserve">DIST WAREHOUSE      </t>
        </is>
      </c>
      <c r="AK99" s="405" t="inlineStr">
        <is>
          <t xml:space="preserve">2010-2011 LEASES.                                                 </t>
        </is>
      </c>
    </row>
    <row r="100" ht="25.5" customFormat="1" customHeight="1" s="605">
      <c r="A100" s="402" t="n">
        <v>6</v>
      </c>
      <c r="B100" s="605" t="n">
        <v>95</v>
      </c>
      <c r="C100" s="605" t="inlineStr">
        <is>
          <t>2013Q</t>
        </is>
      </c>
      <c r="D100" s="605" t="inlineStr">
        <is>
          <t xml:space="preserve">02153-00-047-000 </t>
        </is>
      </c>
      <c r="E100" s="403" t="inlineStr">
        <is>
          <t>Actual</t>
        </is>
      </c>
      <c r="F100" s="605" t="inlineStr">
        <is>
          <t>601 W 50TH                 AV</t>
        </is>
      </c>
      <c r="G100" s="605" t="n">
        <v>44.2</v>
      </c>
      <c r="H100" s="605" t="n">
        <v>9208</v>
      </c>
      <c r="I100" s="403" t="n">
        <v>0</v>
      </c>
      <c r="J100" s="404" t="n">
        <v>95263</v>
      </c>
      <c r="K100" s="145" t="n">
        <v>3.8</v>
      </c>
      <c r="L100" s="153" t="n">
        <v>0</v>
      </c>
      <c r="M100" s="153" t="n">
        <v>0</v>
      </c>
      <c r="N100" s="605" t="n">
        <v>1977</v>
      </c>
      <c r="O100" s="605" t="n">
        <v>1935</v>
      </c>
      <c r="P100" s="605" t="n">
        <v>0</v>
      </c>
      <c r="Q100" s="605" t="n">
        <v>24</v>
      </c>
      <c r="R100" s="605" t="n">
        <v>1</v>
      </c>
      <c r="S100" s="605" t="n">
        <v>1</v>
      </c>
      <c r="T100" s="403" t="inlineStr">
        <is>
          <t xml:space="preserve">I-B         </t>
        </is>
      </c>
      <c r="U100" s="605" t="n">
        <v>398</v>
      </c>
      <c r="V100" s="404" t="n">
        <v>153950</v>
      </c>
      <c r="W100" s="404" t="n">
        <v>154000</v>
      </c>
      <c r="X100" s="392" t="inlineStr">
        <is>
          <t>1.6:1</t>
        </is>
      </c>
      <c r="Y100" s="404" t="n">
        <v>95000</v>
      </c>
      <c r="Z100" s="403" t="inlineStr">
        <is>
          <t xml:space="preserve">C </t>
        </is>
      </c>
      <c r="AD100" s="605" t="inlineStr">
        <is>
          <t xml:space="preserve">DIST WAREHOUSE      </t>
        </is>
      </c>
      <c r="AK100" s="405" t="inlineStr">
        <is>
          <t xml:space="preserve">NNN -- LEASE SIGNED 4/2012 -- SOURCE: COSTAR                      </t>
        </is>
      </c>
    </row>
    <row r="101" ht="25.5" customFormat="1" customHeight="1" s="605">
      <c r="A101" s="402" t="n">
        <v>6</v>
      </c>
      <c r="B101" s="605" t="n">
        <v>96</v>
      </c>
      <c r="C101" s="605" t="inlineStr">
        <is>
          <t>2013Q</t>
        </is>
      </c>
      <c r="D101" s="605" t="inlineStr">
        <is>
          <t xml:space="preserve">02153-09-014-000 </t>
        </is>
      </c>
      <c r="E101" s="403" t="inlineStr">
        <is>
          <t>Actual</t>
        </is>
      </c>
      <c r="F101" s="605" t="inlineStr">
        <is>
          <t>4855   BROADWAY             ST</t>
        </is>
      </c>
      <c r="G101" s="605" t="n">
        <v>44.2</v>
      </c>
      <c r="H101" s="605" t="n">
        <v>9201</v>
      </c>
      <c r="I101" s="403" t="n">
        <v>0</v>
      </c>
      <c r="J101" s="404" t="n">
        <v>14000</v>
      </c>
      <c r="K101" s="145" t="n">
        <v>3.98571428571429</v>
      </c>
      <c r="L101" s="153" t="n">
        <v>0</v>
      </c>
      <c r="M101" s="153" t="n">
        <v>0</v>
      </c>
      <c r="N101" s="605" t="n">
        <v>1968</v>
      </c>
      <c r="O101" s="605" t="n">
        <v>1143</v>
      </c>
      <c r="P101" s="605" t="n">
        <v>0</v>
      </c>
      <c r="Q101" s="605" t="n">
        <v>18</v>
      </c>
      <c r="R101" s="605" t="n">
        <v>10</v>
      </c>
      <c r="S101" s="605" t="n">
        <v>2</v>
      </c>
      <c r="T101" s="403" t="inlineStr">
        <is>
          <t xml:space="preserve">I-A         </t>
        </is>
      </c>
      <c r="U101" s="605" t="n">
        <v>398</v>
      </c>
      <c r="V101" s="404" t="n">
        <v>24000</v>
      </c>
      <c r="W101" s="404" t="n">
        <v>24000</v>
      </c>
      <c r="X101" s="392" t="inlineStr">
        <is>
          <t>1.7:1</t>
        </is>
      </c>
      <c r="Y101" s="404" t="n">
        <v>14000</v>
      </c>
      <c r="Z101" s="403" t="inlineStr">
        <is>
          <t xml:space="preserve">C </t>
        </is>
      </c>
      <c r="AK101" s="405" t="inlineStr">
        <is>
          <t xml:space="preserve">OWNER PAYS TOO LARGE A PROPORTION OF EXP = NOT ENTERED.           </t>
        </is>
      </c>
    </row>
    <row r="102" ht="12.75" customFormat="1" customHeight="1" s="605">
      <c r="A102" s="402" t="n">
        <v>6</v>
      </c>
      <c r="B102" s="605" t="n">
        <v>97</v>
      </c>
      <c r="C102" s="605" t="inlineStr">
        <is>
          <t>2013Q</t>
        </is>
      </c>
      <c r="D102" s="605" t="inlineStr">
        <is>
          <t xml:space="preserve">02154-00-045-000 </t>
        </is>
      </c>
      <c r="E102" s="403" t="inlineStr">
        <is>
          <t>Actual</t>
        </is>
      </c>
      <c r="F102" s="605" t="inlineStr">
        <is>
          <t>5055   WASHINGTON           ST</t>
        </is>
      </c>
      <c r="G102" s="605" t="n">
        <v>44.1</v>
      </c>
      <c r="H102" s="605" t="n">
        <v>9201</v>
      </c>
      <c r="I102" s="403" t="n">
        <v>0</v>
      </c>
      <c r="J102" s="404" t="n">
        <v>16140</v>
      </c>
      <c r="K102" s="145" t="n">
        <v>5.71276332094176</v>
      </c>
      <c r="L102" s="153" t="n">
        <v>0</v>
      </c>
      <c r="M102" s="153" t="n">
        <v>0</v>
      </c>
      <c r="N102" s="605" t="n">
        <v>1951</v>
      </c>
      <c r="O102" s="605" t="n">
        <v>0</v>
      </c>
      <c r="P102" s="605" t="n">
        <v>0</v>
      </c>
      <c r="Q102" s="605" t="n">
        <v>17</v>
      </c>
      <c r="R102" s="605" t="n">
        <v>3</v>
      </c>
      <c r="S102" s="605" t="n">
        <v>1</v>
      </c>
      <c r="T102" s="403" t="inlineStr">
        <is>
          <t xml:space="preserve">I-A         </t>
        </is>
      </c>
      <c r="U102" s="605" t="n">
        <v>398</v>
      </c>
      <c r="V102" s="404" t="n">
        <v>47915</v>
      </c>
      <c r="W102" s="404" t="n">
        <v>48000</v>
      </c>
      <c r="X102" s="392" t="inlineStr">
        <is>
          <t>3:1</t>
        </is>
      </c>
      <c r="Y102" s="404" t="n">
        <v>16000</v>
      </c>
      <c r="Z102" s="403" t="inlineStr">
        <is>
          <t xml:space="preserve">C </t>
        </is>
      </c>
      <c r="AD102" s="605" t="inlineStr">
        <is>
          <t>WESTERN WATERPROOFIN</t>
        </is>
      </c>
      <c r="AK102" s="405" t="n"/>
    </row>
    <row r="103" ht="25.5" customFormat="1" customHeight="1" s="605">
      <c r="A103" s="402" t="n">
        <v>6</v>
      </c>
      <c r="B103" s="605" t="n">
        <v>98</v>
      </c>
      <c r="C103" s="605" t="inlineStr">
        <is>
          <t>2013Q</t>
        </is>
      </c>
      <c r="D103" s="605" t="inlineStr">
        <is>
          <t xml:space="preserve">02154-17-014-000 </t>
        </is>
      </c>
      <c r="E103" s="403" t="inlineStr">
        <is>
          <t>Actual</t>
        </is>
      </c>
      <c r="F103" s="605" t="inlineStr">
        <is>
          <t>4850   BROADWAY             ST</t>
        </is>
      </c>
      <c r="G103" s="605" t="n">
        <v>46.2</v>
      </c>
      <c r="H103" s="605" t="n">
        <v>9201</v>
      </c>
      <c r="I103" s="403" t="n">
        <v>0</v>
      </c>
      <c r="J103" s="404" t="n">
        <v>10354</v>
      </c>
      <c r="K103" s="145" t="n">
        <v>5.42399072822098</v>
      </c>
      <c r="L103" s="153" t="n">
        <v>0</v>
      </c>
      <c r="M103" s="153" t="n">
        <v>0.177617521367521</v>
      </c>
      <c r="N103" s="605" t="n">
        <v>1967</v>
      </c>
      <c r="O103" s="605" t="n">
        <v>3174</v>
      </c>
      <c r="P103" s="605" t="n">
        <v>0</v>
      </c>
      <c r="Q103" s="605" t="n">
        <v>17</v>
      </c>
      <c r="R103" s="605" t="n">
        <v>14</v>
      </c>
      <c r="S103" s="605" t="n">
        <v>3</v>
      </c>
      <c r="T103" s="403" t="inlineStr">
        <is>
          <t xml:space="preserve">I-A         </t>
        </is>
      </c>
      <c r="U103" s="605" t="n">
        <v>401</v>
      </c>
      <c r="V103" s="404" t="n">
        <v>21063</v>
      </c>
      <c r="W103" s="404" t="n">
        <v>21000</v>
      </c>
      <c r="X103" s="392" t="inlineStr">
        <is>
          <t>2:1</t>
        </is>
      </c>
      <c r="Y103" s="404" t="n">
        <v>10000</v>
      </c>
      <c r="Z103" s="403" t="inlineStr">
        <is>
          <t xml:space="preserve">C </t>
        </is>
      </c>
      <c r="AK103" s="405" t="inlineStr">
        <is>
          <t xml:space="preserve">OWNER FOOTS TOO HIGH A PROPORTION OF THE EXPENSES.                </t>
        </is>
      </c>
    </row>
    <row r="104" ht="25.5" customFormat="1" customHeight="1" s="605">
      <c r="A104" s="402" t="n">
        <v>6</v>
      </c>
      <c r="B104" s="605" t="n">
        <v>99</v>
      </c>
      <c r="C104" s="605" t="inlineStr">
        <is>
          <t>2013Q</t>
        </is>
      </c>
      <c r="D104" s="605" t="inlineStr">
        <is>
          <t xml:space="preserve">02154-17-014-000 </t>
        </is>
      </c>
      <c r="E104" s="403" t="inlineStr">
        <is>
          <t>Actual</t>
        </is>
      </c>
      <c r="F104" s="605" t="inlineStr">
        <is>
          <t>4850   BROADWAY             ST</t>
        </is>
      </c>
      <c r="G104" s="605" t="n">
        <v>46.2</v>
      </c>
      <c r="H104" s="605" t="n">
        <v>9201</v>
      </c>
      <c r="I104" s="403" t="n">
        <v>0</v>
      </c>
      <c r="J104" s="404" t="n">
        <v>10354</v>
      </c>
      <c r="K104" s="145" t="n">
        <v>6.72918678771489</v>
      </c>
      <c r="L104" s="153" t="n">
        <v>0</v>
      </c>
      <c r="M104" s="153" t="n">
        <v>0</v>
      </c>
      <c r="N104" s="605" t="n">
        <v>1967</v>
      </c>
      <c r="O104" s="605" t="n">
        <v>3174</v>
      </c>
      <c r="P104" s="605" t="n">
        <v>0</v>
      </c>
      <c r="Q104" s="605" t="n">
        <v>17</v>
      </c>
      <c r="R104" s="605" t="n">
        <v>14</v>
      </c>
      <c r="S104" s="605" t="n">
        <v>3</v>
      </c>
      <c r="T104" s="403" t="inlineStr">
        <is>
          <t xml:space="preserve">I-A         </t>
        </is>
      </c>
      <c r="U104" s="605" t="n">
        <v>401</v>
      </c>
      <c r="V104" s="404" t="n">
        <v>21063</v>
      </c>
      <c r="W104" s="404" t="n">
        <v>21000</v>
      </c>
      <c r="X104" s="392" t="inlineStr">
        <is>
          <t>2:1</t>
        </is>
      </c>
      <c r="Y104" s="404" t="n">
        <v>10000</v>
      </c>
      <c r="Z104" s="403" t="inlineStr">
        <is>
          <t xml:space="preserve">C </t>
        </is>
      </c>
      <c r="AK104" s="405" t="inlineStr">
        <is>
          <t xml:space="preserve">7.42 PSF NNN LEASE SIGNED 10/2011 PER COSTAR CONFIRMED            </t>
        </is>
      </c>
    </row>
    <row r="105" ht="25.5" customFormat="1" customHeight="1" s="605">
      <c r="A105" s="402" t="n">
        <v>6</v>
      </c>
      <c r="B105" s="605" t="n">
        <v>100</v>
      </c>
      <c r="C105" s="605" t="inlineStr">
        <is>
          <t>2013Q</t>
        </is>
      </c>
      <c r="D105" s="605" t="inlineStr">
        <is>
          <t xml:space="preserve">02154-18-021-000 </t>
        </is>
      </c>
      <c r="E105" s="403" t="inlineStr">
        <is>
          <t>Actual</t>
        </is>
      </c>
      <c r="F105" s="605" t="inlineStr">
        <is>
          <t>4836   LEAF                 CT</t>
        </is>
      </c>
      <c r="G105" s="605" t="n">
        <v>44.1</v>
      </c>
      <c r="H105" s="605" t="n">
        <v>9201</v>
      </c>
      <c r="I105" s="403" t="n">
        <v>0</v>
      </c>
      <c r="J105" s="404" t="n">
        <v>23874</v>
      </c>
      <c r="K105" s="145" t="n">
        <v>4.53380246293038</v>
      </c>
      <c r="L105" s="153" t="n">
        <v>0</v>
      </c>
      <c r="M105" s="153" t="n">
        <v>0.159534368070953</v>
      </c>
      <c r="N105" s="605" t="n">
        <v>1969</v>
      </c>
      <c r="O105" s="605" t="n">
        <v>2605</v>
      </c>
      <c r="P105" s="605" t="n">
        <v>0</v>
      </c>
      <c r="Q105" s="605" t="n">
        <v>23</v>
      </c>
      <c r="R105" s="605" t="n">
        <v>14</v>
      </c>
      <c r="S105" s="605" t="n">
        <v>2</v>
      </c>
      <c r="T105" s="403" t="inlineStr">
        <is>
          <t xml:space="preserve">I-MX-3      </t>
        </is>
      </c>
      <c r="U105" s="605" t="n">
        <v>398</v>
      </c>
      <c r="V105" s="404" t="n">
        <v>47500</v>
      </c>
      <c r="W105" s="404" t="n">
        <v>48000</v>
      </c>
      <c r="X105" s="392" t="inlineStr">
        <is>
          <t>2:1</t>
        </is>
      </c>
      <c r="Y105" s="404" t="n">
        <v>24000</v>
      </c>
      <c r="Z105" s="403" t="inlineStr">
        <is>
          <t xml:space="preserve">C </t>
        </is>
      </c>
      <c r="AD105" s="605" t="inlineStr">
        <is>
          <t xml:space="preserve">WAREHOUSE DIST.     </t>
        </is>
      </c>
      <c r="AK105" s="405" t="inlineStr">
        <is>
          <t xml:space="preserve">2010-11 LEASES.  OWNER FOOTS TOO MANY OF THE EXPENSES.            </t>
        </is>
      </c>
    </row>
    <row r="106" ht="12.75" customFormat="1" customHeight="1" s="605">
      <c r="A106" s="402" t="n">
        <v>6</v>
      </c>
      <c r="B106" s="605" t="n">
        <v>101</v>
      </c>
      <c r="C106" s="605" t="inlineStr">
        <is>
          <t>2013Q</t>
        </is>
      </c>
      <c r="D106" s="605" t="inlineStr">
        <is>
          <t xml:space="preserve">02164-09-028-000 </t>
        </is>
      </c>
      <c r="E106" s="403" t="inlineStr">
        <is>
          <t>Actual</t>
        </is>
      </c>
      <c r="F106" s="605" t="inlineStr">
        <is>
          <t>4800   OSAGE                ST</t>
        </is>
      </c>
      <c r="G106" s="605" t="n">
        <v>44.4</v>
      </c>
      <c r="H106" s="605" t="n">
        <v>9208</v>
      </c>
      <c r="I106" s="403" t="n">
        <v>0</v>
      </c>
      <c r="J106" s="404" t="n">
        <v>108000</v>
      </c>
      <c r="K106" s="145" t="n">
        <v>4.95</v>
      </c>
      <c r="L106" s="153" t="n">
        <v>0</v>
      </c>
      <c r="M106" s="153" t="n">
        <v>0</v>
      </c>
      <c r="N106" s="605" t="n">
        <v>2003</v>
      </c>
      <c r="O106" s="605" t="n">
        <v>27707</v>
      </c>
      <c r="P106" s="605" t="n">
        <v>0</v>
      </c>
      <c r="Q106" s="605" t="n">
        <v>35</v>
      </c>
      <c r="R106" s="605" t="n">
        <v>14</v>
      </c>
      <c r="S106" s="605" t="n">
        <v>2</v>
      </c>
      <c r="T106" s="403" t="inlineStr">
        <is>
          <t xml:space="preserve">I-MX-3      </t>
        </is>
      </c>
      <c r="U106" s="605" t="n">
        <v>398</v>
      </c>
      <c r="V106" s="404" t="n">
        <v>259651</v>
      </c>
      <c r="W106" s="404" t="n">
        <v>260000</v>
      </c>
      <c r="X106" s="392" t="inlineStr">
        <is>
          <t>2.4:1</t>
        </is>
      </c>
      <c r="Y106" s="404" t="n">
        <v>108000</v>
      </c>
      <c r="Z106" s="403" t="inlineStr">
        <is>
          <t xml:space="preserve">C </t>
        </is>
      </c>
      <c r="AD106" s="605" t="inlineStr">
        <is>
          <t>CENTERPARK M-T WHSE.</t>
        </is>
      </c>
      <c r="AK106" s="405" t="n"/>
    </row>
    <row r="107" ht="12.75" customFormat="1" customHeight="1" s="605">
      <c r="A107" s="402" t="n">
        <v>6</v>
      </c>
      <c r="B107" s="605" t="n">
        <v>102</v>
      </c>
      <c r="C107" s="605" t="inlineStr">
        <is>
          <t>2013Q</t>
        </is>
      </c>
      <c r="D107" s="605" t="inlineStr">
        <is>
          <t xml:space="preserve">02194-28-018-000 </t>
        </is>
      </c>
      <c r="E107" s="403" t="inlineStr">
        <is>
          <t>Actual</t>
        </is>
      </c>
      <c r="F107" s="605" t="inlineStr">
        <is>
          <t>3868   TENNYSON             ST</t>
        </is>
      </c>
      <c r="G107" s="605" t="n">
        <v>44.2</v>
      </c>
      <c r="H107" s="605" t="n">
        <v>9208</v>
      </c>
      <c r="I107" s="403" t="n">
        <v>3</v>
      </c>
      <c r="J107" s="404" t="n">
        <v>4240</v>
      </c>
      <c r="K107" s="145" t="n">
        <v>2.88985849056604</v>
      </c>
      <c r="L107" s="153" t="n">
        <v>0</v>
      </c>
      <c r="M107" s="153" t="n">
        <v>0.0398269811474741</v>
      </c>
      <c r="N107" s="605" t="n">
        <v>1972</v>
      </c>
      <c r="O107" s="605" t="n">
        <v>640</v>
      </c>
      <c r="P107" s="605" t="n">
        <v>0</v>
      </c>
      <c r="Q107" s="605" t="n">
        <v>14</v>
      </c>
      <c r="R107" s="605" t="n">
        <v>3</v>
      </c>
      <c r="S107" s="605" t="n">
        <v>1</v>
      </c>
      <c r="T107" s="403" t="inlineStr">
        <is>
          <t xml:space="preserve">U-MS-5      </t>
        </is>
      </c>
      <c r="U107" s="605" t="n">
        <v>398</v>
      </c>
      <c r="V107" s="404" t="n">
        <v>9518</v>
      </c>
      <c r="W107" s="404" t="n">
        <v>10000</v>
      </c>
      <c r="X107" s="392" t="inlineStr">
        <is>
          <t>2.2:1</t>
        </is>
      </c>
      <c r="Y107" s="404" t="n">
        <v>4000</v>
      </c>
      <c r="Z107" s="403" t="inlineStr">
        <is>
          <t xml:space="preserve">C </t>
        </is>
      </c>
      <c r="AD107" s="605" t="inlineStr">
        <is>
          <t xml:space="preserve">S-W TULLAR ELECTRIC </t>
        </is>
      </c>
      <c r="AK107" s="405" t="inlineStr">
        <is>
          <t xml:space="preserve">PER COSTAR, LEASE ORIGINATED IN 1998.                             </t>
        </is>
      </c>
    </row>
    <row r="108" ht="12.75" customFormat="1" customHeight="1" s="605">
      <c r="A108" s="402" t="n">
        <v>6</v>
      </c>
      <c r="B108" s="605" t="n">
        <v>103</v>
      </c>
      <c r="C108" s="605" t="inlineStr">
        <is>
          <t>2013Q</t>
        </is>
      </c>
      <c r="D108" s="605" t="inlineStr">
        <is>
          <t xml:space="preserve">02211-08-007-000 </t>
        </is>
      </c>
      <c r="E108" s="403" t="inlineStr">
        <is>
          <t>Actual</t>
        </is>
      </c>
      <c r="F108" s="605" t="inlineStr">
        <is>
          <t>1111 W 47TH                 AV</t>
        </is>
      </c>
      <c r="G108" s="605" t="n">
        <v>44.2</v>
      </c>
      <c r="H108" s="605" t="n">
        <v>9208</v>
      </c>
      <c r="I108" s="403" t="n">
        <v>0</v>
      </c>
      <c r="J108" s="404" t="n">
        <v>10840</v>
      </c>
      <c r="K108" s="145" t="n">
        <v>6.08856088560886</v>
      </c>
      <c r="L108" s="153" t="n">
        <v>0</v>
      </c>
      <c r="M108" s="153" t="n">
        <v>0</v>
      </c>
      <c r="N108" s="605" t="n">
        <v>1972</v>
      </c>
      <c r="O108" s="605" t="n">
        <v>2160</v>
      </c>
      <c r="P108" s="605" t="n">
        <v>0</v>
      </c>
      <c r="Q108" s="605" t="n">
        <v>18</v>
      </c>
      <c r="R108" s="605" t="n">
        <v>7</v>
      </c>
      <c r="S108" s="605" t="n">
        <v>1</v>
      </c>
      <c r="T108" s="403" t="inlineStr">
        <is>
          <t xml:space="preserve">I-A         </t>
        </is>
      </c>
      <c r="U108" s="605" t="n">
        <v>398</v>
      </c>
      <c r="V108" s="404" t="n">
        <v>41250</v>
      </c>
      <c r="W108" s="404" t="n">
        <v>41000</v>
      </c>
      <c r="X108" s="392" t="inlineStr">
        <is>
          <t>3.8:1</t>
        </is>
      </c>
      <c r="Y108" s="404" t="n">
        <v>11000</v>
      </c>
      <c r="Z108" s="403" t="inlineStr">
        <is>
          <t xml:space="preserve">C </t>
        </is>
      </c>
      <c r="AD108" s="605" t="inlineStr">
        <is>
          <t xml:space="preserve">MW BOTH OWNERS      </t>
        </is>
      </c>
      <c r="AK108" s="405" t="n"/>
    </row>
    <row r="109" ht="25.5" customFormat="1" customHeight="1" s="605">
      <c r="A109" s="402" t="n">
        <v>6</v>
      </c>
      <c r="B109" s="605" t="n">
        <v>104</v>
      </c>
      <c r="C109" s="605" t="inlineStr">
        <is>
          <t>2013Q</t>
        </is>
      </c>
      <c r="D109" s="605" t="inlineStr">
        <is>
          <t xml:space="preserve">02211-13-022-000 </t>
        </is>
      </c>
      <c r="E109" s="403" t="inlineStr">
        <is>
          <t>Actual</t>
        </is>
      </c>
      <c r="F109" s="605" t="inlineStr">
        <is>
          <t>1051 W 46TH                 AV</t>
        </is>
      </c>
      <c r="G109" s="605" t="n">
        <v>44.1</v>
      </c>
      <c r="H109" s="605" t="n">
        <v>9208</v>
      </c>
      <c r="I109" s="403" t="n">
        <v>0</v>
      </c>
      <c r="J109" s="404" t="n">
        <v>4008</v>
      </c>
      <c r="K109" s="145" t="n">
        <v>6.73652694610779</v>
      </c>
      <c r="L109" s="153" t="n">
        <v>0</v>
      </c>
      <c r="M109" s="153" t="n">
        <v>0.126</v>
      </c>
      <c r="N109" s="605" t="n">
        <v>1980</v>
      </c>
      <c r="O109" s="605" t="n">
        <v>484</v>
      </c>
      <c r="P109" s="605" t="n">
        <v>0</v>
      </c>
      <c r="Q109" s="605" t="n">
        <v>17</v>
      </c>
      <c r="R109" s="605" t="n">
        <v>3</v>
      </c>
      <c r="S109" s="605" t="n">
        <v>1</v>
      </c>
      <c r="T109" s="403" t="inlineStr">
        <is>
          <t xml:space="preserve">I-A         </t>
        </is>
      </c>
      <c r="U109" s="605" t="n">
        <v>398</v>
      </c>
      <c r="V109" s="404" t="n">
        <v>6625</v>
      </c>
      <c r="W109" s="404" t="n">
        <v>7000</v>
      </c>
      <c r="X109" s="392" t="inlineStr">
        <is>
          <t>1.7:1</t>
        </is>
      </c>
      <c r="Y109" s="404" t="n">
        <v>4000</v>
      </c>
      <c r="Z109" s="403" t="inlineStr">
        <is>
          <t xml:space="preserve">C </t>
        </is>
      </c>
      <c r="AD109" s="605" t="inlineStr">
        <is>
          <t xml:space="preserve">MILE HIGH DOOR SEAL </t>
        </is>
      </c>
      <c r="AK109" s="405" t="inlineStr">
        <is>
          <t xml:space="preserve">DATE OF LEASE COMMENCEMENT UNKNOWN.                               </t>
        </is>
      </c>
    </row>
    <row r="110" ht="12.75" customFormat="1" customHeight="1" s="605">
      <c r="A110" s="402" t="n">
        <v>6</v>
      </c>
      <c r="B110" s="605" t="n">
        <v>105</v>
      </c>
      <c r="C110" s="605" t="inlineStr">
        <is>
          <t>2013Q</t>
        </is>
      </c>
      <c r="D110" s="605" t="inlineStr">
        <is>
          <t xml:space="preserve">02214-19-007-000 </t>
        </is>
      </c>
      <c r="E110" s="403" t="inlineStr">
        <is>
          <t>Actual</t>
        </is>
      </c>
      <c r="F110" s="605" t="inlineStr">
        <is>
          <t>4105   JASON                ST</t>
        </is>
      </c>
      <c r="G110" s="605" t="n">
        <v>44.1</v>
      </c>
      <c r="H110" s="605" t="n">
        <v>9208</v>
      </c>
      <c r="I110" s="403" t="n">
        <v>0</v>
      </c>
      <c r="J110" s="404" t="n">
        <v>5000</v>
      </c>
      <c r="K110" s="145" t="n">
        <v>5.0304</v>
      </c>
      <c r="L110" s="153" t="n">
        <v>0</v>
      </c>
      <c r="M110" s="153" t="n">
        <v>0.0899729643765903</v>
      </c>
      <c r="N110" s="605" t="n">
        <v>1967</v>
      </c>
      <c r="O110" s="605" t="n">
        <v>0</v>
      </c>
      <c r="P110" s="605" t="n">
        <v>0</v>
      </c>
      <c r="Q110" s="605" t="n">
        <v>12</v>
      </c>
      <c r="R110" s="605" t="n">
        <v>1</v>
      </c>
      <c r="S110" s="605" t="n">
        <v>1</v>
      </c>
      <c r="T110" s="403" t="inlineStr">
        <is>
          <t xml:space="preserve">I-MX-3      </t>
        </is>
      </c>
      <c r="U110" s="605" t="n">
        <v>397</v>
      </c>
      <c r="V110" s="404" t="n">
        <v>12500</v>
      </c>
      <c r="W110" s="404" t="n">
        <v>13000</v>
      </c>
      <c r="X110" s="392" t="inlineStr">
        <is>
          <t>2.5:1</t>
        </is>
      </c>
      <c r="Y110" s="404" t="n">
        <v>5000</v>
      </c>
      <c r="Z110" s="403" t="inlineStr">
        <is>
          <t xml:space="preserve">C </t>
        </is>
      </c>
      <c r="AK110" s="405" t="inlineStr">
        <is>
          <t xml:space="preserve">DATE OF LEASE ORIGINATION UNKNOWN.                                </t>
        </is>
      </c>
    </row>
    <row r="111" ht="12.75" customFormat="1" customHeight="1" s="605">
      <c r="A111" s="402" t="n">
        <v>6</v>
      </c>
      <c r="B111" s="605" t="n">
        <v>106</v>
      </c>
      <c r="C111" s="605" t="inlineStr">
        <is>
          <t>2013Q</t>
        </is>
      </c>
      <c r="D111" s="605" t="inlineStr">
        <is>
          <t xml:space="preserve">02214-31-003-000 </t>
        </is>
      </c>
      <c r="E111" s="403" t="inlineStr">
        <is>
          <t>Actual</t>
        </is>
      </c>
      <c r="F111" s="605" t="inlineStr">
        <is>
          <t>4024   JASON                ST</t>
        </is>
      </c>
      <c r="G111" s="605" t="n">
        <v>44.1</v>
      </c>
      <c r="H111" s="605" t="n">
        <v>9208</v>
      </c>
      <c r="I111" s="403" t="n">
        <v>0</v>
      </c>
      <c r="J111" s="404" t="n">
        <v>5000</v>
      </c>
      <c r="K111" s="145" t="n">
        <v>8.4</v>
      </c>
      <c r="L111" s="153" t="n">
        <v>0</v>
      </c>
      <c r="M111" s="153" t="n">
        <v>0.06573809523809521</v>
      </c>
      <c r="N111" s="605" t="n">
        <v>1968</v>
      </c>
      <c r="O111" s="605" t="n">
        <v>500</v>
      </c>
      <c r="P111" s="605" t="n">
        <v>0</v>
      </c>
      <c r="Q111" s="605" t="n">
        <v>11</v>
      </c>
      <c r="R111" s="605" t="n">
        <v>3</v>
      </c>
      <c r="S111" s="605" t="n">
        <v>2</v>
      </c>
      <c r="T111" s="403" t="inlineStr">
        <is>
          <t xml:space="preserve">I-A         </t>
        </is>
      </c>
      <c r="U111" s="605" t="n">
        <v>398</v>
      </c>
      <c r="V111" s="404" t="n">
        <v>9370</v>
      </c>
      <c r="W111" s="404" t="n">
        <v>9000</v>
      </c>
      <c r="X111" s="392" t="inlineStr">
        <is>
          <t>1.9:1</t>
        </is>
      </c>
      <c r="Y111" s="404" t="n">
        <v>5000</v>
      </c>
      <c r="Z111" s="403" t="inlineStr">
        <is>
          <t xml:space="preserve">C </t>
        </is>
      </c>
      <c r="AK111" s="405" t="inlineStr">
        <is>
          <t xml:space="preserve">DATE OF LEASE ORIGINATION UNKNOWN.                                </t>
        </is>
      </c>
    </row>
    <row r="112" ht="12.75" customFormat="1" customHeight="1" s="605">
      <c r="A112" s="402" t="n">
        <v>6</v>
      </c>
      <c r="B112" s="605" t="n">
        <v>107</v>
      </c>
      <c r="C112" s="605" t="inlineStr">
        <is>
          <t>2013Q</t>
        </is>
      </c>
      <c r="D112" s="605" t="inlineStr">
        <is>
          <t xml:space="preserve">02214-31-007-000 </t>
        </is>
      </c>
      <c r="E112" s="403" t="inlineStr">
        <is>
          <t>Actual</t>
        </is>
      </c>
      <c r="F112" s="605" t="inlineStr">
        <is>
          <t>4090   JASON                ST</t>
        </is>
      </c>
      <c r="G112" s="605" t="n">
        <v>44.1</v>
      </c>
      <c r="H112" s="605" t="n">
        <v>9208</v>
      </c>
      <c r="I112" s="403" t="n">
        <v>0</v>
      </c>
      <c r="J112" s="404" t="n">
        <v>2909</v>
      </c>
      <c r="K112" s="145" t="n">
        <v>6.18769336541767</v>
      </c>
      <c r="L112" s="153" t="n">
        <v>0</v>
      </c>
      <c r="M112" s="153" t="n">
        <v>0.109333333333333</v>
      </c>
      <c r="N112" s="605" t="n">
        <v>1951</v>
      </c>
      <c r="O112" s="605" t="n">
        <v>431</v>
      </c>
      <c r="P112" s="605" t="n">
        <v>0</v>
      </c>
      <c r="Q112" s="605" t="n">
        <v>10</v>
      </c>
      <c r="R112" s="605" t="n">
        <v>3</v>
      </c>
      <c r="S112" s="605" t="n">
        <v>1</v>
      </c>
      <c r="T112" s="403" t="inlineStr">
        <is>
          <t xml:space="preserve">I-A         </t>
        </is>
      </c>
      <c r="U112" s="605" t="n">
        <v>398</v>
      </c>
      <c r="V112" s="404" t="n">
        <v>9375</v>
      </c>
      <c r="W112" s="404" t="n">
        <v>9000</v>
      </c>
      <c r="X112" s="392" t="inlineStr">
        <is>
          <t>3.2:1</t>
        </is>
      </c>
      <c r="Y112" s="404" t="n">
        <v>3000</v>
      </c>
      <c r="Z112" s="403" t="inlineStr">
        <is>
          <t xml:space="preserve">C </t>
        </is>
      </c>
      <c r="AD112" s="605" t="inlineStr">
        <is>
          <t xml:space="preserve">S-W CONCRETE CORING </t>
        </is>
      </c>
      <c r="AK112" s="405" t="inlineStr">
        <is>
          <t xml:space="preserve">2010 LEASE PER COSTAR.                                            </t>
        </is>
      </c>
    </row>
    <row r="113" ht="25.5" customFormat="1" customHeight="1" s="605">
      <c r="A113" s="402" t="n">
        <v>6</v>
      </c>
      <c r="B113" s="605" t="n">
        <v>108</v>
      </c>
      <c r="C113" s="605" t="inlineStr">
        <is>
          <t>2013Q</t>
        </is>
      </c>
      <c r="D113" s="605" t="inlineStr">
        <is>
          <t xml:space="preserve">02214-41-006-000 </t>
        </is>
      </c>
      <c r="E113" s="403" t="inlineStr">
        <is>
          <t>Actual</t>
        </is>
      </c>
      <c r="F113" s="605" t="inlineStr">
        <is>
          <t>1627 W 38TH                 AV</t>
        </is>
      </c>
      <c r="G113" s="605" t="n">
        <v>44.1</v>
      </c>
      <c r="H113" s="605" t="n">
        <v>9208</v>
      </c>
      <c r="I113" s="403" t="n">
        <v>9</v>
      </c>
      <c r="J113" s="404" t="n">
        <v>6599</v>
      </c>
      <c r="K113" s="145" t="n">
        <v>7.00106076678285</v>
      </c>
      <c r="L113" s="153" t="n">
        <v>0</v>
      </c>
      <c r="M113" s="153" t="n">
        <v>0.18448051948052</v>
      </c>
      <c r="N113" s="605" t="n">
        <v>1952</v>
      </c>
      <c r="O113" s="605" t="n">
        <v>0</v>
      </c>
      <c r="P113" s="605" t="n">
        <v>0</v>
      </c>
      <c r="Q113" s="605" t="n">
        <v>12</v>
      </c>
      <c r="R113" s="605" t="n">
        <v>3</v>
      </c>
      <c r="S113" s="605" t="n">
        <v>3</v>
      </c>
      <c r="T113" s="403" t="inlineStr">
        <is>
          <t xml:space="preserve">U-MX-3      </t>
        </is>
      </c>
      <c r="U113" s="605" t="n">
        <v>398</v>
      </c>
      <c r="V113" s="404" t="n">
        <v>9440</v>
      </c>
      <c r="W113" s="404" t="n">
        <v>9000</v>
      </c>
      <c r="X113" s="392" t="inlineStr">
        <is>
          <t>1.4:1</t>
        </is>
      </c>
      <c r="Y113" s="404" t="n">
        <v>7000</v>
      </c>
      <c r="Z113" s="403" t="inlineStr">
        <is>
          <t xml:space="preserve">C </t>
        </is>
      </c>
      <c r="AK113" s="405" t="inlineStr">
        <is>
          <t xml:space="preserve">COMMENCEMENT DATE OF LEASES UNKNOWN.                              </t>
        </is>
      </c>
    </row>
    <row r="114" ht="12.75" customFormat="1" customHeight="1" s="605">
      <c r="A114" s="402" t="n">
        <v>6</v>
      </c>
      <c r="B114" s="605" t="n">
        <v>109</v>
      </c>
      <c r="C114" s="605" t="inlineStr">
        <is>
          <t>2013Q</t>
        </is>
      </c>
      <c r="D114" s="605" t="inlineStr">
        <is>
          <t xml:space="preserve">02214-43-017-000 </t>
        </is>
      </c>
      <c r="E114" s="403" t="inlineStr">
        <is>
          <t>Actual</t>
        </is>
      </c>
      <c r="F114" s="605" t="inlineStr">
        <is>
          <t>3855   MARIPOSA             ST</t>
        </is>
      </c>
      <c r="G114" s="605" t="n">
        <v>44.2</v>
      </c>
      <c r="H114" s="605" t="n">
        <v>9208</v>
      </c>
      <c r="I114" s="403" t="n">
        <v>9</v>
      </c>
      <c r="J114" s="404" t="n">
        <v>27955</v>
      </c>
      <c r="K114" s="145" t="n">
        <v>5.49998211411197</v>
      </c>
      <c r="L114" s="153" t="n">
        <v>0.5</v>
      </c>
      <c r="M114" s="153" t="n">
        <v>0.211659035329622</v>
      </c>
      <c r="N114" s="605" t="n">
        <v>1956</v>
      </c>
      <c r="O114" s="605" t="n">
        <v>7498</v>
      </c>
      <c r="P114" s="605" t="n">
        <v>0</v>
      </c>
      <c r="Q114" s="605" t="n">
        <v>16</v>
      </c>
      <c r="R114" s="605" t="n">
        <v>3</v>
      </c>
      <c r="S114" s="605" t="n">
        <v>1</v>
      </c>
      <c r="T114" s="403" t="inlineStr">
        <is>
          <t xml:space="preserve">U-MX-3      </t>
        </is>
      </c>
      <c r="U114" s="605" t="n">
        <v>398</v>
      </c>
      <c r="V114" s="404" t="n">
        <v>47006</v>
      </c>
      <c r="W114" s="404" t="n">
        <v>47000</v>
      </c>
      <c r="X114" s="392" t="inlineStr">
        <is>
          <t>1.7:1</t>
        </is>
      </c>
      <c r="Y114" s="404" t="n">
        <v>28000</v>
      </c>
      <c r="Z114" s="403" t="inlineStr">
        <is>
          <t xml:space="preserve">C </t>
        </is>
      </c>
      <c r="AD114" s="605" t="inlineStr">
        <is>
          <t>M-W URBAN FABRICAT'N</t>
        </is>
      </c>
      <c r="AK114" s="405" t="inlineStr">
        <is>
          <t xml:space="preserve">LEASES 2010-2012.                                                 </t>
        </is>
      </c>
    </row>
    <row r="115" ht="25.5" customFormat="1" customHeight="1" s="605">
      <c r="A115" s="402" t="n">
        <v>6</v>
      </c>
      <c r="B115" s="605" t="n">
        <v>110</v>
      </c>
      <c r="C115" s="605" t="inlineStr">
        <is>
          <t>2013Q</t>
        </is>
      </c>
      <c r="D115" s="605" t="inlineStr">
        <is>
          <t xml:space="preserve">02223-00-078-000 </t>
        </is>
      </c>
      <c r="E115" s="403" t="inlineStr">
        <is>
          <t>Actual</t>
        </is>
      </c>
      <c r="F115" s="605" t="inlineStr">
        <is>
          <t>2570   31ST                 ST</t>
        </is>
      </c>
      <c r="G115" s="605" t="n">
        <v>44.1</v>
      </c>
      <c r="H115" s="605" t="n">
        <v>9208</v>
      </c>
      <c r="I115" s="403" t="n">
        <v>0</v>
      </c>
      <c r="J115" s="404" t="n">
        <v>33280</v>
      </c>
      <c r="K115" s="145" t="n">
        <v>3.11971830985916</v>
      </c>
      <c r="L115" s="153" t="n">
        <v>0</v>
      </c>
      <c r="M115" s="153" t="n">
        <v>0</v>
      </c>
      <c r="N115" s="605" t="n">
        <v>1968</v>
      </c>
      <c r="O115" s="605" t="n">
        <v>4285</v>
      </c>
      <c r="P115" s="605" t="n">
        <v>0</v>
      </c>
      <c r="Q115" s="605" t="n">
        <v>25</v>
      </c>
      <c r="R115" s="605" t="n">
        <v>10</v>
      </c>
      <c r="S115" s="605" t="n">
        <v>1</v>
      </c>
      <c r="T115" s="403" t="inlineStr">
        <is>
          <t xml:space="preserve">I-A         </t>
        </is>
      </c>
      <c r="U115" s="605" t="n">
        <v>398</v>
      </c>
      <c r="V115" s="404" t="n">
        <v>62400</v>
      </c>
      <c r="W115" s="404" t="n">
        <v>62000</v>
      </c>
      <c r="X115" s="392" t="inlineStr">
        <is>
          <t>1.9:1</t>
        </is>
      </c>
      <c r="Y115" s="404" t="n">
        <v>33000</v>
      </c>
      <c r="Z115" s="403" t="inlineStr">
        <is>
          <t xml:space="preserve">C </t>
        </is>
      </c>
      <c r="AK115" s="405" t="inlineStr">
        <is>
          <t xml:space="preserve">INSUFF. INFO TO ALLOCATE EXP. BETWEEN BUSINESS &amp; R.E.             </t>
        </is>
      </c>
    </row>
    <row r="116" ht="12.75" customFormat="1" customHeight="1" s="605">
      <c r="A116" s="402" t="n">
        <v>6</v>
      </c>
      <c r="B116" s="605" t="n">
        <v>111</v>
      </c>
      <c r="C116" s="605" t="inlineStr">
        <is>
          <t>2013Q</t>
        </is>
      </c>
      <c r="D116" s="605" t="inlineStr">
        <is>
          <t xml:space="preserve">02223-11-011-000 </t>
        </is>
      </c>
      <c r="E116" s="403" t="inlineStr">
        <is>
          <t>Actual</t>
        </is>
      </c>
      <c r="F116" s="605" t="inlineStr">
        <is>
          <t>642 W 43RD                 AV</t>
        </is>
      </c>
      <c r="G116" s="605" t="n">
        <v>44.1</v>
      </c>
      <c r="H116" s="605" t="n">
        <v>9208</v>
      </c>
      <c r="I116" s="403" t="n">
        <v>0</v>
      </c>
      <c r="J116" s="404" t="n">
        <v>9000</v>
      </c>
      <c r="K116" s="145" t="n">
        <v>6.66666666666667</v>
      </c>
      <c r="L116" s="153" t="n">
        <v>0</v>
      </c>
      <c r="M116" s="153" t="n">
        <v>0.1</v>
      </c>
      <c r="N116" s="605" t="n">
        <v>1978</v>
      </c>
      <c r="O116" s="605" t="n">
        <v>330</v>
      </c>
      <c r="P116" s="605" t="n">
        <v>1000</v>
      </c>
      <c r="Q116" s="605" t="n">
        <v>16</v>
      </c>
      <c r="R116" s="605" t="n">
        <v>7</v>
      </c>
      <c r="S116" s="605" t="n">
        <v>1</v>
      </c>
      <c r="T116" s="403" t="inlineStr">
        <is>
          <t xml:space="preserve">I-A         </t>
        </is>
      </c>
      <c r="U116" s="605" t="n">
        <v>398</v>
      </c>
      <c r="V116" s="404" t="n">
        <v>12485</v>
      </c>
      <c r="W116" s="404" t="n">
        <v>12000</v>
      </c>
      <c r="X116" s="392" t="inlineStr">
        <is>
          <t>1.4:1</t>
        </is>
      </c>
      <c r="Y116" s="404" t="n">
        <v>9000</v>
      </c>
      <c r="Z116" s="403" t="inlineStr">
        <is>
          <t xml:space="preserve">C </t>
        </is>
      </c>
      <c r="AK116" s="405" t="inlineStr">
        <is>
          <t xml:space="preserve">2009 LEASE.                                                       </t>
        </is>
      </c>
    </row>
    <row r="117" ht="25.5" customFormat="1" customHeight="1" s="605">
      <c r="A117" s="402" t="n">
        <v>6</v>
      </c>
      <c r="B117" s="605" t="n">
        <v>112</v>
      </c>
      <c r="C117" s="605" t="inlineStr">
        <is>
          <t>2013Q</t>
        </is>
      </c>
      <c r="D117" s="605" t="inlineStr">
        <is>
          <t xml:space="preserve">02223-12-017-000 </t>
        </is>
      </c>
      <c r="E117" s="403" t="inlineStr">
        <is>
          <t>Actual</t>
        </is>
      </c>
      <c r="F117" s="605" t="inlineStr">
        <is>
          <t>4225   ELATI                ST</t>
        </is>
      </c>
      <c r="G117" s="605" t="n">
        <v>44.1</v>
      </c>
      <c r="H117" s="605" t="n">
        <v>9208</v>
      </c>
      <c r="I117" s="403" t="n">
        <v>0</v>
      </c>
      <c r="J117" s="404" t="n">
        <v>1320</v>
      </c>
      <c r="K117" s="145" t="n">
        <v>16.3636363636364</v>
      </c>
      <c r="L117" s="153" t="n">
        <v>0</v>
      </c>
      <c r="M117" s="153" t="n">
        <v>0.0175925925925926</v>
      </c>
      <c r="N117" s="605" t="n">
        <v>1972</v>
      </c>
      <c r="O117" s="605" t="n">
        <v>580</v>
      </c>
      <c r="P117" s="605" t="n">
        <v>0</v>
      </c>
      <c r="Q117" s="605" t="n">
        <v>12</v>
      </c>
      <c r="R117" s="605" t="n">
        <v>7</v>
      </c>
      <c r="S117" s="605" t="n">
        <v>1</v>
      </c>
      <c r="T117" s="403" t="inlineStr">
        <is>
          <t xml:space="preserve">I-A         </t>
        </is>
      </c>
      <c r="U117" s="605" t="n">
        <v>398</v>
      </c>
      <c r="V117" s="404" t="n">
        <v>25000</v>
      </c>
      <c r="W117" s="404" t="n">
        <v>25000</v>
      </c>
      <c r="X117" s="392" t="inlineStr">
        <is>
          <t>18.9:1</t>
        </is>
      </c>
      <c r="Y117" s="404" t="n">
        <v>1000</v>
      </c>
      <c r="Z117" s="403" t="inlineStr">
        <is>
          <t xml:space="preserve">C </t>
        </is>
      </c>
      <c r="AD117" s="605" t="inlineStr">
        <is>
          <t xml:space="preserve">S-W DENVER BRICK    </t>
        </is>
      </c>
      <c r="AK117" s="405" t="inlineStr">
        <is>
          <t xml:space="preserve">LEASE ORIGINATION UNKNOWN; HIGH LAND-TO-BLDG RATIO/EXCESS LAND.   </t>
        </is>
      </c>
    </row>
    <row r="118" ht="25.5" customFormat="1" customHeight="1" s="605">
      <c r="A118" s="402" t="n">
        <v>6</v>
      </c>
      <c r="B118" s="605" t="n">
        <v>113</v>
      </c>
      <c r="C118" s="605" t="inlineStr">
        <is>
          <t>2013Q</t>
        </is>
      </c>
      <c r="D118" s="605" t="inlineStr">
        <is>
          <t xml:space="preserve">02223-13-024-000 </t>
        </is>
      </c>
      <c r="E118" s="403" t="inlineStr">
        <is>
          <t>Actual</t>
        </is>
      </c>
      <c r="F118" s="605" t="inlineStr">
        <is>
          <t>4256   ELATI                ST</t>
        </is>
      </c>
      <c r="G118" s="605" t="inlineStr">
        <is>
          <t>44.M</t>
        </is>
      </c>
      <c r="H118" s="605" t="n">
        <v>9208</v>
      </c>
      <c r="I118" s="403" t="n">
        <v>0</v>
      </c>
      <c r="J118" s="404" t="n">
        <v>2000</v>
      </c>
      <c r="K118" s="145" t="n">
        <v>6</v>
      </c>
      <c r="L118" s="153" t="n">
        <v>1</v>
      </c>
      <c r="M118" s="153" t="n">
        <v>0</v>
      </c>
      <c r="N118" s="605" t="n">
        <v>1978</v>
      </c>
      <c r="O118" s="605" t="n">
        <v>150</v>
      </c>
      <c r="P118" s="605" t="n">
        <v>0</v>
      </c>
      <c r="Q118" s="605" t="n">
        <v>10</v>
      </c>
      <c r="R118" s="605" t="n">
        <v>7</v>
      </c>
      <c r="S118" s="605" t="n">
        <v>1</v>
      </c>
      <c r="T118" s="403" t="inlineStr">
        <is>
          <t xml:space="preserve">I-A         </t>
        </is>
      </c>
      <c r="U118" s="605" t="n">
        <v>398</v>
      </c>
      <c r="V118" s="404" t="n">
        <v>7175</v>
      </c>
      <c r="W118" s="404" t="n">
        <v>7000</v>
      </c>
      <c r="X118" s="392" t="inlineStr">
        <is>
          <t>3.6:1</t>
        </is>
      </c>
      <c r="Y118" s="404" t="n">
        <v>2000</v>
      </c>
      <c r="Z118" s="403" t="inlineStr">
        <is>
          <t xml:space="preserve">C </t>
        </is>
      </c>
      <c r="AD118" s="605" t="inlineStr">
        <is>
          <t>S-W ALEX MANUFACTURG</t>
        </is>
      </c>
      <c r="AK118" s="405" t="inlineStr">
        <is>
          <t xml:space="preserve">C&amp;R - CAN'T ALLOCATE EXPENSES BETWEEN THE USES.                   </t>
        </is>
      </c>
    </row>
    <row r="119" ht="12.75" customFormat="1" customHeight="1" s="605">
      <c r="A119" s="402" t="n">
        <v>6</v>
      </c>
      <c r="B119" s="605" t="n">
        <v>114</v>
      </c>
      <c r="C119" s="605" t="inlineStr">
        <is>
          <t>2013Q</t>
        </is>
      </c>
      <c r="D119" s="605" t="inlineStr">
        <is>
          <t xml:space="preserve">02223-19-009-000 </t>
        </is>
      </c>
      <c r="E119" s="403" t="inlineStr">
        <is>
          <t>Actual</t>
        </is>
      </c>
      <c r="F119" s="605" t="inlineStr">
        <is>
          <t>450 W 42ND                 AV</t>
        </is>
      </c>
      <c r="G119" s="605" t="n">
        <v>44.1</v>
      </c>
      <c r="H119" s="605" t="n">
        <v>9208</v>
      </c>
      <c r="I119" s="403" t="n">
        <v>0</v>
      </c>
      <c r="J119" s="404" t="n">
        <v>6144</v>
      </c>
      <c r="K119" s="145" t="n">
        <v>5.22786458333333</v>
      </c>
      <c r="L119" s="153" t="n">
        <v>0</v>
      </c>
      <c r="M119" s="153" t="n">
        <v>0</v>
      </c>
      <c r="N119" s="605" t="n">
        <v>1973</v>
      </c>
      <c r="O119" s="605" t="n">
        <v>1593</v>
      </c>
      <c r="P119" s="605" t="n">
        <v>0</v>
      </c>
      <c r="Q119" s="605" t="n">
        <v>14</v>
      </c>
      <c r="R119" s="605" t="n">
        <v>14</v>
      </c>
      <c r="S119" s="605" t="n">
        <v>1</v>
      </c>
      <c r="T119" s="403" t="inlineStr">
        <is>
          <t xml:space="preserve">I-A         </t>
        </is>
      </c>
      <c r="U119" s="605" t="n">
        <v>398</v>
      </c>
      <c r="V119" s="404" t="n">
        <v>30805</v>
      </c>
      <c r="W119" s="404" t="n">
        <v>31000</v>
      </c>
      <c r="X119" s="392" t="inlineStr">
        <is>
          <t>5:1</t>
        </is>
      </c>
      <c r="Y119" s="404" t="n">
        <v>6000</v>
      </c>
      <c r="Z119" s="403" t="inlineStr">
        <is>
          <t xml:space="preserve">C </t>
        </is>
      </c>
      <c r="AD119" s="605" t="inlineStr">
        <is>
          <t xml:space="preserve">SHERMAN WILLIAMS    </t>
        </is>
      </c>
      <c r="AK119" s="405" t="inlineStr">
        <is>
          <t xml:space="preserve">2010 LEASE.                                                       </t>
        </is>
      </c>
    </row>
    <row r="120" ht="25.5" customFormat="1" customHeight="1" s="605">
      <c r="A120" s="402" t="n">
        <v>6</v>
      </c>
      <c r="B120" s="605" t="n">
        <v>115</v>
      </c>
      <c r="C120" s="605" t="inlineStr">
        <is>
          <t>2013Q</t>
        </is>
      </c>
      <c r="D120" s="605" t="inlineStr">
        <is>
          <t xml:space="preserve">02231-30-009-000 </t>
        </is>
      </c>
      <c r="E120" s="403" t="inlineStr">
        <is>
          <t>Actual</t>
        </is>
      </c>
      <c r="F120" s="605" t="inlineStr">
        <is>
          <t>4301   CLAUDE               CT</t>
        </is>
      </c>
      <c r="G120" s="605" t="n">
        <v>47.2</v>
      </c>
      <c r="H120" s="605" t="n">
        <v>9201</v>
      </c>
      <c r="I120" s="403" t="n">
        <v>0</v>
      </c>
      <c r="J120" s="404" t="n">
        <v>24266</v>
      </c>
      <c r="K120" s="145" t="n">
        <v>6.66666666666667</v>
      </c>
      <c r="L120" s="153" t="n">
        <v>0</v>
      </c>
      <c r="M120" s="153" t="n">
        <v>0</v>
      </c>
      <c r="N120" s="605" t="n">
        <v>1964</v>
      </c>
      <c r="O120" s="605" t="n">
        <v>600</v>
      </c>
      <c r="P120" s="605" t="n">
        <v>0</v>
      </c>
      <c r="Q120" s="605" t="n">
        <v>18</v>
      </c>
      <c r="R120" s="605" t="n">
        <v>1</v>
      </c>
      <c r="S120" s="605" t="n">
        <v>1</v>
      </c>
      <c r="T120" s="403" t="inlineStr">
        <is>
          <t xml:space="preserve">I-A         </t>
        </is>
      </c>
      <c r="U120" s="605" t="n">
        <v>401</v>
      </c>
      <c r="V120" s="404" t="n">
        <v>25425</v>
      </c>
      <c r="W120" s="404" t="n">
        <v>25000</v>
      </c>
      <c r="X120" s="392" t="inlineStr">
        <is>
          <t>1:1</t>
        </is>
      </c>
      <c r="Y120" s="404" t="n">
        <v>24000</v>
      </c>
      <c r="Z120" s="403" t="inlineStr">
        <is>
          <t xml:space="preserve">C </t>
        </is>
      </c>
      <c r="AK120" s="405" t="inlineStr">
        <is>
          <t xml:space="preserve">2010 COMMENCEMENT; CAN'T SEPARATE OWNER &amp; TENANT EXPENSES.        </t>
        </is>
      </c>
    </row>
    <row r="121" ht="25.5" customFormat="1" customHeight="1" s="605">
      <c r="A121" s="402" t="n">
        <v>6</v>
      </c>
      <c r="B121" s="605" t="n">
        <v>116</v>
      </c>
      <c r="C121" s="605" t="inlineStr">
        <is>
          <t>2013Q</t>
        </is>
      </c>
      <c r="D121" s="605" t="inlineStr">
        <is>
          <t xml:space="preserve">02232-00-194-000 </t>
        </is>
      </c>
      <c r="E121" s="403" t="inlineStr">
        <is>
          <t>Actual</t>
        </is>
      </c>
      <c r="F121" s="605" t="inlineStr">
        <is>
          <t>4701   PACKING HOUSE        RD</t>
        </is>
      </c>
      <c r="G121" s="605" t="n">
        <v>44.2</v>
      </c>
      <c r="H121" s="605" t="n">
        <v>9201</v>
      </c>
      <c r="I121" s="403" t="n">
        <v>0</v>
      </c>
      <c r="J121" s="404" t="n">
        <v>18540</v>
      </c>
      <c r="K121" s="145" t="n">
        <v>5.13997997762205</v>
      </c>
      <c r="L121" s="153" t="n">
        <v>0</v>
      </c>
      <c r="M121" s="153" t="n">
        <v>0.206869686762448</v>
      </c>
      <c r="N121" s="605" t="n">
        <v>1918</v>
      </c>
      <c r="O121" s="605" t="n">
        <v>300</v>
      </c>
      <c r="P121" s="605" t="n">
        <v>0</v>
      </c>
      <c r="Q121" s="605" t="n">
        <v>14</v>
      </c>
      <c r="R121" s="605" t="n">
        <v>1</v>
      </c>
      <c r="S121" s="605" t="n">
        <v>1</v>
      </c>
      <c r="T121" s="403" t="inlineStr">
        <is>
          <t xml:space="preserve">I-B         </t>
        </is>
      </c>
      <c r="U121" s="605" t="n">
        <v>398</v>
      </c>
      <c r="V121" s="404" t="n">
        <v>27040</v>
      </c>
      <c r="W121" s="404" t="n">
        <v>27000</v>
      </c>
      <c r="X121" s="392" t="inlineStr">
        <is>
          <t>1.5:1</t>
        </is>
      </c>
      <c r="Y121" s="404" t="n">
        <v>19000</v>
      </c>
      <c r="Z121" s="403" t="inlineStr">
        <is>
          <t xml:space="preserve">C </t>
        </is>
      </c>
      <c r="AD121" s="605" t="inlineStr">
        <is>
          <t xml:space="preserve">ARTIST STUDIOS      </t>
        </is>
      </c>
      <c r="AK121" s="405" t="inlineStr">
        <is>
          <t xml:space="preserve">EXPENSES STABILIZED - OWNER'S SHARE TOO HIGH.                     </t>
        </is>
      </c>
    </row>
    <row r="122" ht="12.75" customFormat="1" customHeight="1" s="605">
      <c r="A122" s="402" t="n">
        <v>6</v>
      </c>
      <c r="B122" s="605" t="n">
        <v>117</v>
      </c>
      <c r="C122" s="605" t="inlineStr">
        <is>
          <t>2013Q</t>
        </is>
      </c>
      <c r="D122" s="605" t="inlineStr">
        <is>
          <t xml:space="preserve">02232-00-221-000 </t>
        </is>
      </c>
      <c r="E122" s="403" t="inlineStr">
        <is>
          <t>Actual</t>
        </is>
      </c>
      <c r="F122" s="605" t="inlineStr">
        <is>
          <t>4800   WASHINGTON           ST</t>
        </is>
      </c>
      <c r="G122" s="605" t="n">
        <v>44.2</v>
      </c>
      <c r="H122" s="605" t="n">
        <v>9201</v>
      </c>
      <c r="I122" s="403" t="n">
        <v>0</v>
      </c>
      <c r="J122" s="404" t="n">
        <v>59837</v>
      </c>
      <c r="K122" s="145" t="n">
        <v>3.51429717398934</v>
      </c>
      <c r="L122" s="153" t="n">
        <v>0</v>
      </c>
      <c r="M122" s="153" t="n">
        <v>0.417866229165181</v>
      </c>
      <c r="N122" s="605" t="n">
        <v>1931</v>
      </c>
      <c r="O122" s="605" t="n">
        <v>5992</v>
      </c>
      <c r="P122" s="605" t="n">
        <v>0</v>
      </c>
      <c r="Q122" s="605" t="n">
        <v>12</v>
      </c>
      <c r="R122" s="605" t="n">
        <v>1</v>
      </c>
      <c r="S122" s="605" t="n">
        <v>5</v>
      </c>
      <c r="T122" s="403" t="inlineStr">
        <is>
          <t xml:space="preserve">I-B         </t>
        </is>
      </c>
      <c r="U122" s="605" t="n">
        <v>398</v>
      </c>
      <c r="V122" s="404" t="n">
        <v>109420</v>
      </c>
      <c r="W122" s="404" t="n">
        <v>109000</v>
      </c>
      <c r="X122" s="392" t="inlineStr">
        <is>
          <t>1.8:1</t>
        </is>
      </c>
      <c r="Y122" s="404" t="n">
        <v>60000</v>
      </c>
      <c r="Z122" s="403" t="inlineStr">
        <is>
          <t xml:space="preserve">C </t>
        </is>
      </c>
      <c r="AD122" s="605" t="inlineStr">
        <is>
          <t xml:space="preserve">M-2 MULTI DISTWHSE  </t>
        </is>
      </c>
      <c r="AK122" s="405" t="inlineStr">
        <is>
          <t xml:space="preserve">SOME LEASES GO BACK AS FAR AS 1998.                               </t>
        </is>
      </c>
    </row>
    <row r="123" ht="12.75" customFormat="1" customHeight="1" s="605">
      <c r="A123" s="402" t="n">
        <v>6</v>
      </c>
      <c r="B123" s="605" t="n">
        <v>118</v>
      </c>
      <c r="C123" s="605" t="inlineStr">
        <is>
          <t>2013Q</t>
        </is>
      </c>
      <c r="D123" s="605" t="inlineStr">
        <is>
          <t xml:space="preserve">02234-00-055-000 </t>
        </is>
      </c>
      <c r="E123" s="403" t="inlineStr">
        <is>
          <t>Actual</t>
        </is>
      </c>
      <c r="F123" s="605" t="inlineStr">
        <is>
          <t>3975   YORK                 ST</t>
        </is>
      </c>
      <c r="G123" s="605" t="n">
        <v>47.1</v>
      </c>
      <c r="H123" s="605" t="n">
        <v>9201</v>
      </c>
      <c r="I123" s="403" t="n">
        <v>0</v>
      </c>
      <c r="J123" s="404" t="n">
        <v>20773</v>
      </c>
      <c r="K123" s="145" t="n">
        <v>5.19905646752997</v>
      </c>
      <c r="L123" s="153" t="n">
        <v>0</v>
      </c>
      <c r="M123" s="153" t="n">
        <v>0</v>
      </c>
      <c r="N123" s="605" t="n">
        <v>1949</v>
      </c>
      <c r="O123" s="605" t="n">
        <v>2655</v>
      </c>
      <c r="P123" s="605" t="n">
        <v>0</v>
      </c>
      <c r="Q123" s="605" t="n">
        <v>18</v>
      </c>
      <c r="R123" s="605" t="n">
        <v>7</v>
      </c>
      <c r="S123" s="605" t="n">
        <v>1</v>
      </c>
      <c r="T123" s="403" t="inlineStr">
        <is>
          <t xml:space="preserve">I-B         </t>
        </is>
      </c>
      <c r="U123" s="605" t="n">
        <v>401</v>
      </c>
      <c r="V123" s="404" t="n">
        <v>173969</v>
      </c>
      <c r="W123" s="404" t="n">
        <v>174000</v>
      </c>
      <c r="X123" s="392" t="inlineStr">
        <is>
          <t>8.4:1</t>
        </is>
      </c>
      <c r="Y123" s="404" t="n">
        <v>21000</v>
      </c>
      <c r="Z123" s="403" t="inlineStr">
        <is>
          <t xml:space="preserve">C </t>
        </is>
      </c>
      <c r="AD123" s="605" t="inlineStr">
        <is>
          <t xml:space="preserve">FELIX'S TOWING      </t>
        </is>
      </c>
      <c r="AK123" s="405" t="n"/>
    </row>
    <row r="124" ht="12.75" customFormat="1" customHeight="1" s="605">
      <c r="A124" s="402" t="n">
        <v>6</v>
      </c>
      <c r="B124" s="605" t="n">
        <v>119</v>
      </c>
      <c r="C124" s="605" t="inlineStr">
        <is>
          <t>2013Q</t>
        </is>
      </c>
      <c r="D124" s="605" t="inlineStr">
        <is>
          <t xml:space="preserve">02241-00-013-000 </t>
        </is>
      </c>
      <c r="E124" s="403" t="inlineStr">
        <is>
          <t>Actual</t>
        </is>
      </c>
      <c r="F124" s="605" t="inlineStr">
        <is>
          <t>4701   JACKSON              ST</t>
        </is>
      </c>
      <c r="G124" s="605" t="n">
        <v>44.2</v>
      </c>
      <c r="H124" s="605" t="n">
        <v>9201</v>
      </c>
      <c r="I124" s="403" t="n">
        <v>0</v>
      </c>
      <c r="J124" s="404" t="n">
        <v>5258</v>
      </c>
      <c r="K124" s="145" t="n">
        <v>5.75313807531381</v>
      </c>
      <c r="L124" s="153" t="n">
        <v>0</v>
      </c>
      <c r="M124" s="153" t="n">
        <v>0</v>
      </c>
      <c r="N124" s="605" t="n">
        <v>1955</v>
      </c>
      <c r="O124" s="605" t="n">
        <v>2032</v>
      </c>
      <c r="P124" s="605" t="n">
        <v>0</v>
      </c>
      <c r="Q124" s="605" t="n">
        <v>15</v>
      </c>
      <c r="R124" s="605" t="n">
        <v>1</v>
      </c>
      <c r="S124" s="605" t="n">
        <v>1</v>
      </c>
      <c r="T124" s="403" t="inlineStr">
        <is>
          <t xml:space="preserve">I-A         </t>
        </is>
      </c>
      <c r="U124" s="605" t="n">
        <v>398</v>
      </c>
      <c r="V124" s="404" t="n">
        <v>23375</v>
      </c>
      <c r="W124" s="404" t="n">
        <v>23000</v>
      </c>
      <c r="X124" s="392" t="inlineStr">
        <is>
          <t>4.4:1</t>
        </is>
      </c>
      <c r="Y124" s="404" t="n">
        <v>5000</v>
      </c>
      <c r="Z124" s="403" t="inlineStr">
        <is>
          <t xml:space="preserve">C </t>
        </is>
      </c>
      <c r="AD124" s="605" t="inlineStr">
        <is>
          <t xml:space="preserve">S-W                 </t>
        </is>
      </c>
      <c r="AK124" s="405" t="inlineStr">
        <is>
          <t xml:space="preserve">LEASE COMMENCEMENT UNKNOWN.                                       </t>
        </is>
      </c>
    </row>
    <row r="125" ht="12.75" customFormat="1" customHeight="1" s="605">
      <c r="A125" s="402" t="n">
        <v>6</v>
      </c>
      <c r="B125" s="605" t="n">
        <v>120</v>
      </c>
      <c r="C125" s="605" t="inlineStr">
        <is>
          <t>2013Q</t>
        </is>
      </c>
      <c r="D125" s="605" t="inlineStr">
        <is>
          <t xml:space="preserve">02241-02-009-000 </t>
        </is>
      </c>
      <c r="E125" s="403" t="inlineStr">
        <is>
          <t>Actual</t>
        </is>
      </c>
      <c r="F125" s="605" t="inlineStr">
        <is>
          <t>4550   JACKSON              ST</t>
        </is>
      </c>
      <c r="G125" s="605" t="n">
        <v>47.2</v>
      </c>
      <c r="H125" s="605" t="n">
        <v>9201</v>
      </c>
      <c r="I125" s="403" t="n">
        <v>0</v>
      </c>
      <c r="J125" s="404" t="n">
        <v>27492</v>
      </c>
      <c r="K125" s="145" t="n">
        <v>3.15328095445948</v>
      </c>
      <c r="L125" s="153" t="n">
        <v>0</v>
      </c>
      <c r="M125" s="153" t="n">
        <v>0.0384704118122044</v>
      </c>
      <c r="N125" s="605" t="n">
        <v>1978</v>
      </c>
      <c r="O125" s="605" t="n">
        <v>3564</v>
      </c>
      <c r="P125" s="605" t="n">
        <v>0</v>
      </c>
      <c r="Q125" s="605" t="n">
        <v>16</v>
      </c>
      <c r="R125" s="605" t="n">
        <v>3</v>
      </c>
      <c r="S125" s="605" t="n">
        <v>4</v>
      </c>
      <c r="T125" s="403" t="inlineStr">
        <is>
          <t xml:space="preserve">I-A         </t>
        </is>
      </c>
      <c r="U125" s="605" t="n">
        <v>401</v>
      </c>
      <c r="V125" s="404" t="n">
        <v>44379</v>
      </c>
      <c r="W125" s="404" t="n">
        <v>44000</v>
      </c>
      <c r="X125" s="392" t="inlineStr">
        <is>
          <t>1.6:1</t>
        </is>
      </c>
      <c r="Y125" s="404" t="n">
        <v>27000</v>
      </c>
      <c r="Z125" s="403" t="inlineStr">
        <is>
          <t xml:space="preserve">C </t>
        </is>
      </c>
      <c r="AK125" s="405" t="inlineStr">
        <is>
          <t xml:space="preserve">2010 LEASE.                                                       </t>
        </is>
      </c>
    </row>
    <row r="126" ht="12.75" customFormat="1" customHeight="1" s="605">
      <c r="A126" s="402" t="n">
        <v>6</v>
      </c>
      <c r="B126" s="605" t="n">
        <v>121</v>
      </c>
      <c r="C126" s="605" t="inlineStr">
        <is>
          <t>2013Q</t>
        </is>
      </c>
      <c r="D126" s="605" t="inlineStr">
        <is>
          <t xml:space="preserve">02241-25-014-000 </t>
        </is>
      </c>
      <c r="E126" s="403" t="inlineStr">
        <is>
          <t>Actual</t>
        </is>
      </c>
      <c r="F126" s="605" t="inlineStr">
        <is>
          <t>4715   COLORADO             BV</t>
        </is>
      </c>
      <c r="G126" s="605" t="n">
        <v>44.1</v>
      </c>
      <c r="H126" s="605" t="n">
        <v>9201</v>
      </c>
      <c r="I126" s="403" t="n">
        <v>5</v>
      </c>
      <c r="J126" s="404" t="n">
        <v>37044</v>
      </c>
      <c r="K126" s="145" t="n">
        <v>2.75186264982183</v>
      </c>
      <c r="L126" s="153" t="n">
        <v>0</v>
      </c>
      <c r="M126" s="153" t="n">
        <v>0</v>
      </c>
      <c r="N126" s="605" t="n">
        <v>1954</v>
      </c>
      <c r="O126" s="605" t="n">
        <v>7620</v>
      </c>
      <c r="P126" s="605" t="n">
        <v>0</v>
      </c>
      <c r="Q126" s="605" t="n">
        <v>16</v>
      </c>
      <c r="R126" s="605" t="n">
        <v>1</v>
      </c>
      <c r="S126" s="605" t="n">
        <v>1</v>
      </c>
      <c r="T126" s="403" t="inlineStr">
        <is>
          <t xml:space="preserve">I-A         </t>
        </is>
      </c>
      <c r="U126" s="605" t="n">
        <v>398</v>
      </c>
      <c r="V126" s="404" t="n">
        <v>91930</v>
      </c>
      <c r="W126" s="404" t="n">
        <v>92000</v>
      </c>
      <c r="X126" s="392" t="inlineStr">
        <is>
          <t>2.5:1</t>
        </is>
      </c>
      <c r="Y126" s="404" t="n">
        <v>37000</v>
      </c>
      <c r="Z126" s="403" t="inlineStr">
        <is>
          <t xml:space="preserve">C </t>
        </is>
      </c>
      <c r="AK126" s="405" t="n"/>
    </row>
    <row r="127" ht="12.75" customFormat="1" customHeight="1" s="605">
      <c r="A127" s="402" t="n">
        <v>6</v>
      </c>
      <c r="B127" s="605" t="n">
        <v>122</v>
      </c>
      <c r="C127" s="605" t="inlineStr">
        <is>
          <t>2013Q</t>
        </is>
      </c>
      <c r="D127" s="605" t="inlineStr">
        <is>
          <t xml:space="preserve">02243-01-012-000 </t>
        </is>
      </c>
      <c r="E127" s="403" t="inlineStr">
        <is>
          <t>Actual</t>
        </is>
      </c>
      <c r="F127" s="605" t="inlineStr">
        <is>
          <t>3100 E 43RD                 AV</t>
        </is>
      </c>
      <c r="G127" s="605" t="n">
        <v>47.2</v>
      </c>
      <c r="H127" s="605" t="n">
        <v>9201</v>
      </c>
      <c r="I127" s="403" t="n">
        <v>0</v>
      </c>
      <c r="J127" s="404" t="n">
        <v>33001</v>
      </c>
      <c r="K127" s="145" t="n">
        <v>5.45438017029787</v>
      </c>
      <c r="L127" s="153" t="n">
        <v>0</v>
      </c>
      <c r="M127" s="153" t="n">
        <v>0</v>
      </c>
      <c r="N127" s="605" t="n">
        <v>1958</v>
      </c>
      <c r="O127" s="605" t="n">
        <v>1215</v>
      </c>
      <c r="P127" s="605" t="n">
        <v>0</v>
      </c>
      <c r="Q127" s="605" t="n">
        <v>13</v>
      </c>
      <c r="R127" s="605" t="n">
        <v>3</v>
      </c>
      <c r="S127" s="605" t="n">
        <v>1</v>
      </c>
      <c r="T127" s="403" t="inlineStr">
        <is>
          <t xml:space="preserve">I-A         </t>
        </is>
      </c>
      <c r="U127" s="605" t="n">
        <v>401</v>
      </c>
      <c r="V127" s="404" t="n">
        <v>36515</v>
      </c>
      <c r="W127" s="404" t="n">
        <v>37000</v>
      </c>
      <c r="X127" s="392" t="inlineStr">
        <is>
          <t>1.1:1</t>
        </is>
      </c>
      <c r="Y127" s="404" t="n">
        <v>33000</v>
      </c>
      <c r="Z127" s="403" t="inlineStr">
        <is>
          <t xml:space="preserve">C </t>
        </is>
      </c>
      <c r="AD127" s="605" t="inlineStr">
        <is>
          <t>DENVER METAL FINSHNG</t>
        </is>
      </c>
      <c r="AK127" s="405" t="inlineStr">
        <is>
          <t xml:space="preserve">2009 LEASE.                                                       </t>
        </is>
      </c>
    </row>
    <row r="128" ht="12.75" customFormat="1" customHeight="1" s="605">
      <c r="A128" s="402" t="n">
        <v>6</v>
      </c>
      <c r="B128" s="605" t="n">
        <v>123</v>
      </c>
      <c r="C128" s="605" t="inlineStr">
        <is>
          <t>2013Q</t>
        </is>
      </c>
      <c r="D128" s="605" t="inlineStr">
        <is>
          <t xml:space="preserve">02243-02-020-000 </t>
        </is>
      </c>
      <c r="E128" s="403" t="inlineStr">
        <is>
          <t>Actual</t>
        </is>
      </c>
      <c r="F128" s="605" t="inlineStr">
        <is>
          <t>3020 E 43RD                 AV</t>
        </is>
      </c>
      <c r="G128" s="605" t="n">
        <v>44.1</v>
      </c>
      <c r="H128" s="605" t="n">
        <v>9201</v>
      </c>
      <c r="I128" s="403" t="n">
        <v>0</v>
      </c>
      <c r="J128" s="404" t="n">
        <v>13968</v>
      </c>
      <c r="K128" s="145" t="n">
        <v>6.57142857142857</v>
      </c>
      <c r="L128" s="153" t="n">
        <v>0.25</v>
      </c>
      <c r="M128" s="153" t="n">
        <v>0.0289855072463768</v>
      </c>
      <c r="N128" s="605" t="n">
        <v>1946</v>
      </c>
      <c r="O128" s="605" t="n">
        <v>1650</v>
      </c>
      <c r="P128" s="605" t="n">
        <v>0</v>
      </c>
      <c r="Q128" s="605" t="n">
        <v>12</v>
      </c>
      <c r="R128" s="605" t="n">
        <v>3</v>
      </c>
      <c r="S128" s="605" t="n">
        <v>1</v>
      </c>
      <c r="T128" s="403" t="inlineStr">
        <is>
          <t xml:space="preserve">I-A         </t>
        </is>
      </c>
      <c r="U128" s="605" t="n">
        <v>398</v>
      </c>
      <c r="V128" s="404" t="n">
        <v>24533</v>
      </c>
      <c r="W128" s="404" t="n">
        <v>25000</v>
      </c>
      <c r="X128" s="392" t="inlineStr">
        <is>
          <t>1.8:1</t>
        </is>
      </c>
      <c r="Y128" s="404" t="n">
        <v>14000</v>
      </c>
      <c r="Z128" s="403" t="inlineStr">
        <is>
          <t xml:space="preserve">C </t>
        </is>
      </c>
      <c r="AD128" s="605" t="inlineStr">
        <is>
          <t xml:space="preserve">MW-GOSPEL CHURCH    </t>
        </is>
      </c>
      <c r="AK128" s="405" t="inlineStr">
        <is>
          <t xml:space="preserve">2010/2011 LEASES.                                                 </t>
        </is>
      </c>
    </row>
    <row r="129" ht="25.5" customFormat="1" customHeight="1" s="605">
      <c r="A129" s="402" t="n">
        <v>6</v>
      </c>
      <c r="B129" s="605" t="n">
        <v>124</v>
      </c>
      <c r="C129" s="605" t="inlineStr">
        <is>
          <t>2013Q</t>
        </is>
      </c>
      <c r="D129" s="605" t="inlineStr">
        <is>
          <t xml:space="preserve">02243-07-007-000 </t>
        </is>
      </c>
      <c r="E129" s="403" t="inlineStr">
        <is>
          <t>Actual</t>
        </is>
      </c>
      <c r="F129" s="605" t="inlineStr">
        <is>
          <t>4242   COLUMBINE            ST</t>
        </is>
      </c>
      <c r="G129" s="605" t="n">
        <v>44.2</v>
      </c>
      <c r="H129" s="605" t="n">
        <v>9201</v>
      </c>
      <c r="I129" s="403" t="n">
        <v>0</v>
      </c>
      <c r="J129" s="404" t="n">
        <v>7200</v>
      </c>
      <c r="K129" s="145" t="n">
        <v>2</v>
      </c>
      <c r="L129" s="153" t="n">
        <v>0</v>
      </c>
      <c r="M129" s="153" t="n">
        <v>0</v>
      </c>
      <c r="N129" s="605" t="n">
        <v>1953</v>
      </c>
      <c r="O129" s="605" t="n">
        <v>800</v>
      </c>
      <c r="P129" s="605" t="n">
        <v>0</v>
      </c>
      <c r="Q129" s="605" t="n">
        <v>16</v>
      </c>
      <c r="R129" s="605" t="n">
        <v>1</v>
      </c>
      <c r="S129" s="605" t="n">
        <v>1</v>
      </c>
      <c r="T129" s="403" t="inlineStr">
        <is>
          <t xml:space="preserve">I-A         </t>
        </is>
      </c>
      <c r="U129" s="605" t="n">
        <v>398</v>
      </c>
      <c r="V129" s="404" t="n">
        <v>13800</v>
      </c>
      <c r="W129" s="404" t="n">
        <v>14000</v>
      </c>
      <c r="X129" s="392" t="inlineStr">
        <is>
          <t>1.9:1</t>
        </is>
      </c>
      <c r="Y129" s="404" t="n">
        <v>7000</v>
      </c>
      <c r="Z129" s="403" t="inlineStr">
        <is>
          <t xml:space="preserve">C </t>
        </is>
      </c>
      <c r="AD129" s="605" t="inlineStr">
        <is>
          <t>SW-T&amp;G CATERING, INC</t>
        </is>
      </c>
      <c r="AK129" s="405" t="inlineStr">
        <is>
          <t xml:space="preserve">INADEQUATE BREAKDOWN OF EXPENSES = NOT ENTERED.                   </t>
        </is>
      </c>
    </row>
    <row r="130" ht="12.75" customFormat="1" customHeight="1" s="605">
      <c r="A130" s="402" t="n">
        <v>6</v>
      </c>
      <c r="B130" s="605" t="n">
        <v>125</v>
      </c>
      <c r="C130" s="605" t="inlineStr">
        <is>
          <t>2013Q</t>
        </is>
      </c>
      <c r="D130" s="605" t="inlineStr">
        <is>
          <t xml:space="preserve">02243-08-007-000 </t>
        </is>
      </c>
      <c r="E130" s="403" t="inlineStr">
        <is>
          <t>Actual</t>
        </is>
      </c>
      <c r="F130" s="605" t="inlineStr">
        <is>
          <t>4215   COLUMBINE            ST</t>
        </is>
      </c>
      <c r="G130" s="605" t="n">
        <v>44.1</v>
      </c>
      <c r="H130" s="605" t="n">
        <v>9201</v>
      </c>
      <c r="I130" s="403" t="n">
        <v>0</v>
      </c>
      <c r="J130" s="404" t="n">
        <v>3500</v>
      </c>
      <c r="K130" s="145" t="n">
        <v>10.1376666666667</v>
      </c>
      <c r="L130" s="153" t="n">
        <v>0</v>
      </c>
      <c r="M130" s="153" t="n">
        <v>0.18538125143853</v>
      </c>
      <c r="N130" s="605" t="n">
        <v>1930</v>
      </c>
      <c r="O130" s="605" t="n">
        <v>0</v>
      </c>
      <c r="P130" s="605" t="n">
        <v>0</v>
      </c>
      <c r="Q130" s="605" t="n">
        <v>15</v>
      </c>
      <c r="R130" s="605" t="n">
        <v>7</v>
      </c>
      <c r="S130" s="605" t="n">
        <v>1</v>
      </c>
      <c r="T130" s="403" t="inlineStr">
        <is>
          <t xml:space="preserve">I-A         </t>
        </is>
      </c>
      <c r="U130" s="605" t="n">
        <v>399</v>
      </c>
      <c r="V130" s="404" t="n">
        <v>8100</v>
      </c>
      <c r="W130" s="404" t="n">
        <v>8000</v>
      </c>
      <c r="X130" s="392" t="inlineStr">
        <is>
          <t>2.3:1</t>
        </is>
      </c>
      <c r="Y130" s="404" t="n">
        <v>4000</v>
      </c>
      <c r="Z130" s="403" t="inlineStr">
        <is>
          <t xml:space="preserve">C </t>
        </is>
      </c>
      <c r="AD130" s="605" t="inlineStr">
        <is>
          <t>B &amp; D AUTO  RECYCLNG</t>
        </is>
      </c>
      <c r="AK130" s="405" t="inlineStr">
        <is>
          <t xml:space="preserve">2009-2010 LEASES.                                                 </t>
        </is>
      </c>
    </row>
    <row r="131" ht="12.75" customFormat="1" customHeight="1" s="605">
      <c r="A131" s="402" t="n">
        <v>6</v>
      </c>
      <c r="B131" s="605" t="n">
        <v>126</v>
      </c>
      <c r="C131" s="605" t="inlineStr">
        <is>
          <t>2013Q</t>
        </is>
      </c>
      <c r="D131" s="605" t="inlineStr">
        <is>
          <t xml:space="preserve">02243-09-019-019 </t>
        </is>
      </c>
      <c r="E131" s="403" t="inlineStr">
        <is>
          <t>Actual</t>
        </is>
      </c>
      <c r="F131" s="605" t="inlineStr">
        <is>
          <t>4228   YORK                 ST</t>
        </is>
      </c>
      <c r="G131" s="605" t="n">
        <v>44.8</v>
      </c>
      <c r="H131" s="605" t="n">
        <v>9201</v>
      </c>
      <c r="I131" s="403" t="n">
        <v>0</v>
      </c>
      <c r="J131" s="404" t="n">
        <v>4381</v>
      </c>
      <c r="K131" s="145" t="n">
        <v>5.47820132389865</v>
      </c>
      <c r="L131" s="153" t="n">
        <v>0</v>
      </c>
      <c r="M131" s="153" t="n">
        <v>0</v>
      </c>
      <c r="N131" s="605" t="n">
        <v>1946</v>
      </c>
      <c r="O131" s="605" t="n">
        <v>720</v>
      </c>
      <c r="P131" s="605" t="n">
        <v>0</v>
      </c>
      <c r="Q131" s="605" t="n">
        <v>14</v>
      </c>
      <c r="R131" s="605" t="n">
        <v>4</v>
      </c>
      <c r="S131" s="605" t="n">
        <v>1</v>
      </c>
      <c r="T131" s="403" t="inlineStr">
        <is>
          <t xml:space="preserve">I-A         </t>
        </is>
      </c>
      <c r="U131" s="605" t="n">
        <v>398</v>
      </c>
      <c r="V131" s="404" t="n">
        <v>8241</v>
      </c>
      <c r="W131" s="404" t="n">
        <v>8000</v>
      </c>
      <c r="X131" s="392" t="inlineStr">
        <is>
          <t>1.9:1</t>
        </is>
      </c>
      <c r="Y131" s="404" t="n">
        <v>4000</v>
      </c>
      <c r="Z131" s="403" t="inlineStr">
        <is>
          <t xml:space="preserve">C </t>
        </is>
      </c>
      <c r="AD131" s="605" t="inlineStr">
        <is>
          <t>YORK ST IND COND#101</t>
        </is>
      </c>
      <c r="AK131" s="405" t="inlineStr">
        <is>
          <t xml:space="preserve">2010 LEASE.                                                       </t>
        </is>
      </c>
    </row>
    <row r="132" ht="12.75" customFormat="1" customHeight="1" s="605">
      <c r="A132" s="402" t="n">
        <v>6</v>
      </c>
      <c r="B132" s="605" t="n">
        <v>127</v>
      </c>
      <c r="C132" s="605" t="inlineStr">
        <is>
          <t>2013Q</t>
        </is>
      </c>
      <c r="D132" s="605" t="inlineStr">
        <is>
          <t xml:space="preserve">02243-09-022-022 </t>
        </is>
      </c>
      <c r="E132" s="403" t="inlineStr">
        <is>
          <t>Actual</t>
        </is>
      </c>
      <c r="F132" s="605" t="inlineStr">
        <is>
          <t>4228   YORK                 ST</t>
        </is>
      </c>
      <c r="G132" s="605" t="n">
        <v>44.8</v>
      </c>
      <c r="H132" s="605" t="n">
        <v>9201</v>
      </c>
      <c r="I132" s="403" t="n">
        <v>0</v>
      </c>
      <c r="J132" s="404" t="n">
        <v>2071</v>
      </c>
      <c r="K132" s="145" t="n">
        <v>5.14244326412361</v>
      </c>
      <c r="L132" s="153" t="n">
        <v>0</v>
      </c>
      <c r="M132" s="153" t="n">
        <v>0.326760563380282</v>
      </c>
      <c r="N132" s="605" t="n">
        <v>1946</v>
      </c>
      <c r="O132" s="605" t="n">
        <v>160</v>
      </c>
      <c r="P132" s="605" t="n">
        <v>0</v>
      </c>
      <c r="Q132" s="605" t="n">
        <v>14</v>
      </c>
      <c r="R132" s="605" t="n">
        <v>4</v>
      </c>
      <c r="S132" s="605" t="n">
        <v>1</v>
      </c>
      <c r="T132" s="403" t="inlineStr">
        <is>
          <t xml:space="preserve">I-A         </t>
        </is>
      </c>
      <c r="U132" s="605" t="n">
        <v>398</v>
      </c>
      <c r="V132" s="404" t="n">
        <v>3850</v>
      </c>
      <c r="W132" s="404" t="n">
        <v>4000</v>
      </c>
      <c r="X132" s="392" t="inlineStr">
        <is>
          <t>1.9:1</t>
        </is>
      </c>
      <c r="Y132" s="404" t="n">
        <v>2000</v>
      </c>
      <c r="Z132" s="403" t="inlineStr">
        <is>
          <t xml:space="preserve">C </t>
        </is>
      </c>
      <c r="AD132" s="605" t="inlineStr">
        <is>
          <t>YORK ST IND COND#104</t>
        </is>
      </c>
      <c r="AK132" s="405" t="inlineStr">
        <is>
          <t xml:space="preserve">OTHER IS P.O.A. DUES.                                             </t>
        </is>
      </c>
    </row>
    <row r="133" ht="12.75" customFormat="1" customHeight="1" s="605">
      <c r="A133" s="402" t="n">
        <v>6</v>
      </c>
      <c r="B133" s="605" t="n">
        <v>128</v>
      </c>
      <c r="C133" s="605" t="inlineStr">
        <is>
          <t>2013Q</t>
        </is>
      </c>
      <c r="D133" s="605" t="inlineStr">
        <is>
          <t xml:space="preserve">02244-00-053-000 </t>
        </is>
      </c>
      <c r="E133" s="403" t="inlineStr">
        <is>
          <t>Actual</t>
        </is>
      </c>
      <c r="F133" s="605" t="inlineStr">
        <is>
          <t>3660 E 40TH                 AV</t>
        </is>
      </c>
      <c r="G133" s="605" t="n">
        <v>44.1</v>
      </c>
      <c r="H133" s="605" t="n">
        <v>9201</v>
      </c>
      <c r="I133" s="403" t="n">
        <v>0</v>
      </c>
      <c r="J133" s="404" t="n">
        <v>18027</v>
      </c>
      <c r="K133" s="145" t="n">
        <v>4.65967715094026</v>
      </c>
      <c r="L133" s="153" t="n">
        <v>0</v>
      </c>
      <c r="M133" s="153" t="n">
        <v>0</v>
      </c>
      <c r="N133" s="605" t="n">
        <v>1951</v>
      </c>
      <c r="O133" s="605" t="n">
        <v>6393</v>
      </c>
      <c r="P133" s="605" t="n">
        <v>0</v>
      </c>
      <c r="Q133" s="605" t="n">
        <v>14</v>
      </c>
      <c r="R133" s="605" t="n">
        <v>1</v>
      </c>
      <c r="S133" s="605" t="n">
        <v>1</v>
      </c>
      <c r="T133" s="403" t="inlineStr">
        <is>
          <t xml:space="preserve">I-MX-3      </t>
        </is>
      </c>
      <c r="U133" s="605" t="n">
        <v>398</v>
      </c>
      <c r="V133" s="404" t="n">
        <v>62177</v>
      </c>
      <c r="W133" s="404" t="n">
        <v>62000</v>
      </c>
      <c r="X133" s="392" t="inlineStr">
        <is>
          <t>3.4:1</t>
        </is>
      </c>
      <c r="Y133" s="404" t="n">
        <v>18000</v>
      </c>
      <c r="Z133" s="403" t="inlineStr">
        <is>
          <t xml:space="preserve">C </t>
        </is>
      </c>
      <c r="AD133" s="605" t="inlineStr">
        <is>
          <t xml:space="preserve">S-W CLASSIC SPORT   </t>
        </is>
      </c>
      <c r="AK133" s="405" t="n"/>
    </row>
    <row r="134" ht="25.5" customFormat="1" customHeight="1" s="605">
      <c r="A134" s="402" t="n">
        <v>6</v>
      </c>
      <c r="B134" s="605" t="n">
        <v>129</v>
      </c>
      <c r="C134" s="605" t="inlineStr">
        <is>
          <t>2013Q</t>
        </is>
      </c>
      <c r="D134" s="605" t="inlineStr">
        <is>
          <t xml:space="preserve">02244-08-016-000 </t>
        </is>
      </c>
      <c r="E134" s="403" t="inlineStr">
        <is>
          <t>Actual</t>
        </is>
      </c>
      <c r="F134" s="605" t="inlineStr">
        <is>
          <t>3215 E 42ND                 AV</t>
        </is>
      </c>
      <c r="G134" s="605" t="n">
        <v>46.2</v>
      </c>
      <c r="H134" s="605" t="n">
        <v>9201</v>
      </c>
      <c r="I134" s="403" t="n">
        <v>0</v>
      </c>
      <c r="J134" s="404" t="n">
        <v>33194</v>
      </c>
      <c r="K134" s="145" t="n">
        <v>7.42517219787101</v>
      </c>
      <c r="L134" s="153" t="n">
        <v>0.04</v>
      </c>
      <c r="M134" s="153" t="n">
        <v>0</v>
      </c>
      <c r="N134" s="605" t="n">
        <v>1958</v>
      </c>
      <c r="O134" s="605" t="n">
        <v>2768</v>
      </c>
      <c r="P134" s="605" t="n">
        <v>0</v>
      </c>
      <c r="Q134" s="605" t="n">
        <v>17</v>
      </c>
      <c r="R134" s="605" t="n">
        <v>1</v>
      </c>
      <c r="S134" s="605" t="n">
        <v>1</v>
      </c>
      <c r="T134" s="403" t="inlineStr">
        <is>
          <t xml:space="preserve">I-A         </t>
        </is>
      </c>
      <c r="U134" s="605" t="n">
        <v>391</v>
      </c>
      <c r="V134" s="404" t="n">
        <v>47376</v>
      </c>
      <c r="W134" s="404" t="n">
        <v>47000</v>
      </c>
      <c r="X134" s="392" t="inlineStr">
        <is>
          <t>1.4:1</t>
        </is>
      </c>
      <c r="Y134" s="404" t="n">
        <v>33000</v>
      </c>
      <c r="Z134" s="403" t="inlineStr">
        <is>
          <t xml:space="preserve">C </t>
        </is>
      </c>
      <c r="AD134" s="605" t="inlineStr">
        <is>
          <t xml:space="preserve">SAFEWAY ICE CREAM   </t>
        </is>
      </c>
      <c r="AK134" s="405" t="inlineStr">
        <is>
          <t xml:space="preserve">2010/2011 LEASES; VAST MAJORITY OWNER-OCC=EXP NOT USEFUL.         </t>
        </is>
      </c>
    </row>
    <row r="135" ht="25.5" customFormat="1" customHeight="1" s="605">
      <c r="A135" s="402" t="n">
        <v>6</v>
      </c>
      <c r="B135" s="605" t="n">
        <v>130</v>
      </c>
      <c r="C135" s="605" t="inlineStr">
        <is>
          <t>2013Q</t>
        </is>
      </c>
      <c r="D135" s="605" t="inlineStr">
        <is>
          <t xml:space="preserve">02244-12-014-000 </t>
        </is>
      </c>
      <c r="E135" s="403" t="inlineStr">
        <is>
          <t>Actual</t>
        </is>
      </c>
      <c r="F135" s="605" t="inlineStr">
        <is>
          <t>4190   MADISON              ST</t>
        </is>
      </c>
      <c r="G135" s="605" t="n">
        <v>44.2</v>
      </c>
      <c r="H135" s="605" t="n">
        <v>9201</v>
      </c>
      <c r="I135" s="403" t="n">
        <v>0</v>
      </c>
      <c r="J135" s="404" t="n">
        <v>10591</v>
      </c>
      <c r="K135" s="145" t="n">
        <v>4.81540930979133</v>
      </c>
      <c r="L135" s="153" t="n">
        <v>0</v>
      </c>
      <c r="M135" s="153" t="n">
        <v>0</v>
      </c>
      <c r="N135" s="605" t="n">
        <v>1970</v>
      </c>
      <c r="O135" s="605" t="n">
        <v>760</v>
      </c>
      <c r="P135" s="605" t="n">
        <v>0</v>
      </c>
      <c r="Q135" s="605" t="n">
        <v>13</v>
      </c>
      <c r="R135" s="605" t="n">
        <v>3</v>
      </c>
      <c r="S135" s="605" t="n">
        <v>1</v>
      </c>
      <c r="T135" s="403" t="inlineStr">
        <is>
          <t xml:space="preserve">I-MX-3      </t>
        </is>
      </c>
      <c r="U135" s="605" t="n">
        <v>398</v>
      </c>
      <c r="V135" s="404" t="n">
        <v>19013</v>
      </c>
      <c r="W135" s="404" t="n">
        <v>19000</v>
      </c>
      <c r="X135" s="392" t="inlineStr">
        <is>
          <t>1.8:1</t>
        </is>
      </c>
      <c r="Y135" s="404" t="n">
        <v>11000</v>
      </c>
      <c r="Z135" s="403" t="inlineStr">
        <is>
          <t xml:space="preserve">C </t>
        </is>
      </c>
      <c r="AD135" s="605" t="inlineStr">
        <is>
          <t xml:space="preserve">SW-WODEN WOODS      </t>
        </is>
      </c>
      <c r="AK135" s="405" t="inlineStr">
        <is>
          <t xml:space="preserve">ORIGINATION OF MO-TO-MO ARRANGMENT UNKNOWN.                       </t>
        </is>
      </c>
    </row>
    <row r="136" ht="12.75" customFormat="1" customHeight="1" s="605">
      <c r="A136" s="402" t="n">
        <v>6</v>
      </c>
      <c r="B136" s="605" t="n">
        <v>131</v>
      </c>
      <c r="C136" s="605" t="inlineStr">
        <is>
          <t>2013Q</t>
        </is>
      </c>
      <c r="D136" s="605" t="inlineStr">
        <is>
          <t xml:space="preserve">02244-20-015-000 </t>
        </is>
      </c>
      <c r="E136" s="403" t="inlineStr">
        <is>
          <t>Actual</t>
        </is>
      </c>
      <c r="F136" s="605" t="inlineStr">
        <is>
          <t>3649 E 40TH                 AV</t>
        </is>
      </c>
      <c r="G136" s="605" t="n">
        <v>44.2</v>
      </c>
      <c r="H136" s="605" t="n">
        <v>9201</v>
      </c>
      <c r="I136" s="403" t="n">
        <v>0</v>
      </c>
      <c r="J136" s="404" t="n">
        <v>9177</v>
      </c>
      <c r="K136" s="145" t="n">
        <v>4.38313174239948</v>
      </c>
      <c r="L136" s="153" t="n">
        <v>0</v>
      </c>
      <c r="M136" s="153" t="n">
        <v>0</v>
      </c>
      <c r="N136" s="605" t="n">
        <v>1958</v>
      </c>
      <c r="O136" s="605" t="n">
        <v>598</v>
      </c>
      <c r="P136" s="605" t="n">
        <v>0</v>
      </c>
      <c r="Q136" s="605" t="n">
        <v>12</v>
      </c>
      <c r="R136" s="605" t="n">
        <v>3</v>
      </c>
      <c r="S136" s="605" t="n">
        <v>1</v>
      </c>
      <c r="T136" s="403" t="inlineStr">
        <is>
          <t xml:space="preserve">I-A         </t>
        </is>
      </c>
      <c r="U136" s="605" t="n">
        <v>398</v>
      </c>
      <c r="V136" s="404" t="n">
        <v>25653</v>
      </c>
      <c r="W136" s="404" t="n">
        <v>26000</v>
      </c>
      <c r="X136" s="392" t="inlineStr">
        <is>
          <t>2.8:1</t>
        </is>
      </c>
      <c r="Y136" s="404" t="n">
        <v>9000</v>
      </c>
      <c r="Z136" s="403" t="inlineStr">
        <is>
          <t xml:space="preserve">C </t>
        </is>
      </c>
      <c r="AD136" s="605" t="inlineStr">
        <is>
          <t>SPECTRUM GEN CONTCTR</t>
        </is>
      </c>
      <c r="AK136" s="405" t="n"/>
    </row>
    <row r="137" ht="25.5" customFormat="1" customHeight="1" s="605">
      <c r="A137" s="402" t="n">
        <v>6</v>
      </c>
      <c r="B137" s="605" t="n">
        <v>132</v>
      </c>
      <c r="C137" s="605" t="inlineStr">
        <is>
          <t>2013Q</t>
        </is>
      </c>
      <c r="D137" s="605" t="inlineStr">
        <is>
          <t xml:space="preserve">02244-28-013-000 </t>
        </is>
      </c>
      <c r="E137" s="403" t="inlineStr">
        <is>
          <t>Actual</t>
        </is>
      </c>
      <c r="F137" s="605" t="inlineStr">
        <is>
          <t>3601 E 39TH                 AV</t>
        </is>
      </c>
      <c r="G137" s="605" t="n">
        <v>44.1</v>
      </c>
      <c r="H137" s="605" t="n">
        <v>9201</v>
      </c>
      <c r="I137" s="403" t="n">
        <v>0</v>
      </c>
      <c r="J137" s="404" t="n">
        <v>20520</v>
      </c>
      <c r="K137" s="145" t="n">
        <v>5.57076023391813</v>
      </c>
      <c r="L137" s="153" t="n">
        <v>0</v>
      </c>
      <c r="M137" s="153" t="n">
        <v>0</v>
      </c>
      <c r="N137" s="605" t="n">
        <v>1967</v>
      </c>
      <c r="O137" s="605" t="n">
        <v>3980</v>
      </c>
      <c r="P137" s="605" t="n">
        <v>0</v>
      </c>
      <c r="Q137" s="605" t="n">
        <v>0</v>
      </c>
      <c r="R137" s="605" t="n">
        <v>4</v>
      </c>
      <c r="S137" s="605" t="n">
        <v>1</v>
      </c>
      <c r="T137" s="403" t="inlineStr">
        <is>
          <t xml:space="preserve">I-MX-3      </t>
        </is>
      </c>
      <c r="U137" s="605" t="n">
        <v>398</v>
      </c>
      <c r="V137" s="404" t="n">
        <v>93179</v>
      </c>
      <c r="W137" s="404" t="n">
        <v>93000</v>
      </c>
      <c r="X137" s="392" t="inlineStr">
        <is>
          <t>4.5:1</t>
        </is>
      </c>
      <c r="Y137" s="404" t="n">
        <v>21000</v>
      </c>
      <c r="Z137" s="403" t="inlineStr">
        <is>
          <t xml:space="preserve">C </t>
        </is>
      </c>
      <c r="AD137" s="605" t="inlineStr">
        <is>
          <t>EXPERT PIPING SUPPLY</t>
        </is>
      </c>
      <c r="AK137" s="405" t="inlineStr">
        <is>
          <t xml:space="preserve">ORIGINATION OF MO-TO-MO ARRANGEMENT UNKNOWN.                      </t>
        </is>
      </c>
    </row>
    <row r="138" ht="12.75" customFormat="1" customHeight="1" s="605">
      <c r="A138" s="402" t="n">
        <v>6</v>
      </c>
      <c r="B138" s="605" t="n">
        <v>133</v>
      </c>
      <c r="C138" s="605" t="inlineStr">
        <is>
          <t>2013Q</t>
        </is>
      </c>
      <c r="D138" s="605" t="inlineStr">
        <is>
          <t xml:space="preserve">02263-04-016-000 </t>
        </is>
      </c>
      <c r="E138" s="403" t="inlineStr">
        <is>
          <t>Actual</t>
        </is>
      </c>
      <c r="F138" s="605" t="inlineStr">
        <is>
          <t>3518   LARIMER              ST</t>
        </is>
      </c>
      <c r="G138" s="605" t="n">
        <v>44.1</v>
      </c>
      <c r="H138" s="605" t="n">
        <v>9210</v>
      </c>
      <c r="I138" s="403" t="n">
        <v>0</v>
      </c>
      <c r="J138" s="404" t="n">
        <v>8312</v>
      </c>
      <c r="K138" s="145" t="n">
        <v>4.45139557266603</v>
      </c>
      <c r="L138" s="153" t="n">
        <v>0</v>
      </c>
      <c r="M138" s="153" t="n">
        <v>0.027027027027027</v>
      </c>
      <c r="N138" s="605" t="n">
        <v>1958</v>
      </c>
      <c r="O138" s="605" t="n">
        <v>1137</v>
      </c>
      <c r="P138" s="605" t="n">
        <v>0</v>
      </c>
      <c r="Q138" s="605" t="n">
        <v>14</v>
      </c>
      <c r="R138" s="605" t="n">
        <v>3</v>
      </c>
      <c r="S138" s="605" t="n">
        <v>1</v>
      </c>
      <c r="T138" s="403" t="inlineStr">
        <is>
          <t xml:space="preserve">I-MX-3      </t>
        </is>
      </c>
      <c r="U138" s="605" t="n">
        <v>398</v>
      </c>
      <c r="V138" s="404" t="n">
        <v>12488</v>
      </c>
      <c r="W138" s="404" t="n">
        <v>12000</v>
      </c>
      <c r="X138" s="392" t="inlineStr">
        <is>
          <t>1.5:1</t>
        </is>
      </c>
      <c r="Y138" s="404" t="n">
        <v>8000</v>
      </c>
      <c r="Z138" s="403" t="inlineStr">
        <is>
          <t xml:space="preserve">C </t>
        </is>
      </c>
      <c r="AD138" s="605" t="inlineStr">
        <is>
          <t xml:space="preserve">SCHERER METALS, INC </t>
        </is>
      </c>
      <c r="AK138" s="405" t="n"/>
    </row>
    <row r="139" ht="12.75" customFormat="1" customHeight="1" s="605">
      <c r="A139" s="402" t="n">
        <v>6</v>
      </c>
      <c r="B139" s="605" t="n">
        <v>134</v>
      </c>
      <c r="C139" s="605" t="inlineStr">
        <is>
          <t>2013Q</t>
        </is>
      </c>
      <c r="D139" s="605" t="inlineStr">
        <is>
          <t xml:space="preserve">02271-00-019-000 </t>
        </is>
      </c>
      <c r="E139" s="403" t="inlineStr">
        <is>
          <t>Actual</t>
        </is>
      </c>
      <c r="F139" s="605" t="inlineStr">
        <is>
          <t>3325   BRIGHTON             BV</t>
        </is>
      </c>
      <c r="G139" s="605" t="n">
        <v>44.1</v>
      </c>
      <c r="H139" s="605" t="n">
        <v>9210</v>
      </c>
      <c r="I139" s="403" t="n">
        <v>0</v>
      </c>
      <c r="J139" s="404" t="n">
        <v>7668</v>
      </c>
      <c r="K139" s="145" t="n">
        <v>12</v>
      </c>
      <c r="L139" s="153" t="n">
        <v>0</v>
      </c>
      <c r="M139" s="153" t="n">
        <v>0.2854</v>
      </c>
      <c r="N139" s="605" t="n">
        <v>1948</v>
      </c>
      <c r="O139" s="605" t="n">
        <v>1800</v>
      </c>
      <c r="P139" s="605" t="n">
        <v>0</v>
      </c>
      <c r="Q139" s="605" t="n">
        <v>20</v>
      </c>
      <c r="R139" s="605" t="n">
        <v>3</v>
      </c>
      <c r="S139" s="605" t="n">
        <v>1</v>
      </c>
      <c r="T139" s="403" t="inlineStr">
        <is>
          <t xml:space="preserve">C-MX-8      </t>
        </is>
      </c>
      <c r="U139" s="605" t="n">
        <v>398</v>
      </c>
      <c r="V139" s="404" t="n">
        <v>18830</v>
      </c>
      <c r="W139" s="404" t="n">
        <v>19000</v>
      </c>
      <c r="X139" s="392" t="inlineStr">
        <is>
          <t>2.5:1</t>
        </is>
      </c>
      <c r="Y139" s="404" t="n">
        <v>8000</v>
      </c>
      <c r="Z139" s="403" t="inlineStr">
        <is>
          <t xml:space="preserve">C </t>
        </is>
      </c>
      <c r="AD139" s="605" t="inlineStr">
        <is>
          <t>PYRAMID PRINT&amp;GRPHCS</t>
        </is>
      </c>
      <c r="AK139" s="405" t="inlineStr">
        <is>
          <t xml:space="preserve">2010 LEASE.                                                       </t>
        </is>
      </c>
    </row>
    <row r="140" ht="12.75" customFormat="1" customHeight="1" s="605">
      <c r="A140" s="402" t="n">
        <v>6</v>
      </c>
      <c r="B140" s="605" t="n">
        <v>135</v>
      </c>
      <c r="C140" s="605" t="inlineStr">
        <is>
          <t>2013Q</t>
        </is>
      </c>
      <c r="D140" s="605" t="inlineStr">
        <is>
          <t xml:space="preserve">02271-08-038-000 </t>
        </is>
      </c>
      <c r="E140" s="403" t="inlineStr">
        <is>
          <t>Actual</t>
        </is>
      </c>
      <c r="F140" s="605" t="inlineStr">
        <is>
          <t>3615   DELGANY              ST</t>
        </is>
      </c>
      <c r="G140" s="605" t="n">
        <v>44.1</v>
      </c>
      <c r="H140" s="605" t="n">
        <v>9210</v>
      </c>
      <c r="I140" s="403" t="n">
        <v>0</v>
      </c>
      <c r="J140" s="404" t="n">
        <v>4400</v>
      </c>
      <c r="K140" s="145" t="n">
        <v>7.09090909090909</v>
      </c>
      <c r="L140" s="153" t="n">
        <v>0</v>
      </c>
      <c r="M140" s="153" t="n">
        <v>0.0206730769230769</v>
      </c>
      <c r="N140" s="605" t="n">
        <v>1954</v>
      </c>
      <c r="O140" s="605" t="n">
        <v>247</v>
      </c>
      <c r="P140" s="605" t="n">
        <v>0</v>
      </c>
      <c r="Q140" s="605" t="n">
        <v>13</v>
      </c>
      <c r="R140" s="605" t="n">
        <v>3</v>
      </c>
      <c r="S140" s="605" t="n">
        <v>1</v>
      </c>
      <c r="T140" s="403" t="inlineStr">
        <is>
          <t xml:space="preserve">I-MX-5      </t>
        </is>
      </c>
      <c r="U140" s="605" t="n">
        <v>398</v>
      </c>
      <c r="V140" s="404" t="n">
        <v>17625</v>
      </c>
      <c r="W140" s="404" t="n">
        <v>18000</v>
      </c>
      <c r="X140" s="392" t="inlineStr">
        <is>
          <t>4:1</t>
        </is>
      </c>
      <c r="Y140" s="404" t="n">
        <v>4000</v>
      </c>
      <c r="Z140" s="403" t="inlineStr">
        <is>
          <t xml:space="preserve">C </t>
        </is>
      </c>
      <c r="AD140" s="605" t="inlineStr">
        <is>
          <t>S-W LIGHT BLUB SERVC</t>
        </is>
      </c>
      <c r="AK140" s="405" t="inlineStr">
        <is>
          <t xml:space="preserve">2009 LEASE.                                                       </t>
        </is>
      </c>
    </row>
    <row r="141" ht="25.5" customFormat="1" customHeight="1" s="605">
      <c r="A141" s="402" t="n">
        <v>6</v>
      </c>
      <c r="B141" s="605" t="n">
        <v>136</v>
      </c>
      <c r="C141" s="605" t="inlineStr">
        <is>
          <t>2013Q</t>
        </is>
      </c>
      <c r="D141" s="605" t="inlineStr">
        <is>
          <t xml:space="preserve">02271-12-020-000 </t>
        </is>
      </c>
      <c r="E141" s="403" t="inlineStr">
        <is>
          <t>Actual</t>
        </is>
      </c>
      <c r="F141" s="605" t="inlineStr">
        <is>
          <t>3551   BRIGHTON             BV</t>
        </is>
      </c>
      <c r="G141" s="605" t="n">
        <v>44.2</v>
      </c>
      <c r="H141" s="605" t="n">
        <v>9210</v>
      </c>
      <c r="I141" s="403" t="n">
        <v>0</v>
      </c>
      <c r="J141" s="404" t="n">
        <v>5340</v>
      </c>
      <c r="K141" s="145" t="n">
        <v>5.61797752808989</v>
      </c>
      <c r="L141" s="153" t="n">
        <v>0</v>
      </c>
      <c r="M141" s="153" t="n">
        <v>0</v>
      </c>
      <c r="N141" s="605" t="n">
        <v>1955</v>
      </c>
      <c r="O141" s="605" t="n">
        <v>2960</v>
      </c>
      <c r="P141" s="605" t="n">
        <v>0</v>
      </c>
      <c r="Q141" s="605" t="n">
        <v>16</v>
      </c>
      <c r="R141" s="605" t="n">
        <v>3</v>
      </c>
      <c r="S141" s="605" t="n">
        <v>1</v>
      </c>
      <c r="T141" s="403" t="inlineStr">
        <is>
          <t xml:space="preserve">I-MX-5      </t>
        </is>
      </c>
      <c r="U141" s="605" t="n">
        <v>398</v>
      </c>
      <c r="V141" s="404" t="n">
        <v>6250</v>
      </c>
      <c r="W141" s="404" t="n">
        <v>6000</v>
      </c>
      <c r="X141" s="392" t="inlineStr">
        <is>
          <t>1.2:1</t>
        </is>
      </c>
      <c r="Y141" s="404" t="n">
        <v>5000</v>
      </c>
      <c r="Z141" s="403" t="inlineStr">
        <is>
          <t xml:space="preserve">C </t>
        </is>
      </c>
      <c r="AK141" s="405" t="inlineStr">
        <is>
          <t xml:space="preserve">2009-10 LEASES; EXPENSES UNREALISTIC = NOT POSTED.                </t>
        </is>
      </c>
    </row>
    <row r="142" ht="25.5" customFormat="1" customHeight="1" s="605">
      <c r="A142" s="402" t="n">
        <v>6</v>
      </c>
      <c r="B142" s="605" t="n">
        <v>137</v>
      </c>
      <c r="C142" s="605" t="inlineStr">
        <is>
          <t>2013Q</t>
        </is>
      </c>
      <c r="D142" s="605" t="inlineStr">
        <is>
          <t xml:space="preserve">02271-12-021-000 </t>
        </is>
      </c>
      <c r="E142" s="403" t="inlineStr">
        <is>
          <t>Actual</t>
        </is>
      </c>
      <c r="F142" s="605" t="inlineStr">
        <is>
          <t>3559   BRIGHTON             BV</t>
        </is>
      </c>
      <c r="G142" s="605" t="n">
        <v>44.2</v>
      </c>
      <c r="H142" s="605" t="n">
        <v>9210</v>
      </c>
      <c r="I142" s="403" t="n">
        <v>0</v>
      </c>
      <c r="J142" s="404" t="n">
        <v>5015</v>
      </c>
      <c r="K142" s="145" t="n">
        <v>5.93180458624128</v>
      </c>
      <c r="L142" s="153" t="n">
        <v>0</v>
      </c>
      <c r="M142" s="153" t="n">
        <v>0</v>
      </c>
      <c r="N142" s="605" t="n">
        <v>1950</v>
      </c>
      <c r="O142" s="605" t="n">
        <v>0</v>
      </c>
      <c r="P142" s="605" t="n">
        <v>0</v>
      </c>
      <c r="Q142" s="605" t="n">
        <v>14</v>
      </c>
      <c r="R142" s="605" t="n">
        <v>3</v>
      </c>
      <c r="S142" s="605" t="n">
        <v>2</v>
      </c>
      <c r="T142" s="403" t="inlineStr">
        <is>
          <t xml:space="preserve">I-MX-5      </t>
        </is>
      </c>
      <c r="U142" s="605" t="n">
        <v>398</v>
      </c>
      <c r="V142" s="404" t="n">
        <v>6250</v>
      </c>
      <c r="W142" s="404" t="n">
        <v>6000</v>
      </c>
      <c r="X142" s="392" t="inlineStr">
        <is>
          <t>1.2:1</t>
        </is>
      </c>
      <c r="Y142" s="404" t="n">
        <v>5000</v>
      </c>
      <c r="Z142" s="403" t="inlineStr">
        <is>
          <t xml:space="preserve">C </t>
        </is>
      </c>
      <c r="AD142" s="605" t="inlineStr">
        <is>
          <t xml:space="preserve">5280 DESIGNS        </t>
        </is>
      </c>
      <c r="AK142" s="405" t="inlineStr">
        <is>
          <t xml:space="preserve">2009 LEASE; EXPENSES UNREALISTIC = NOT POSTED.                    </t>
        </is>
      </c>
    </row>
    <row r="143" ht="12.75" customFormat="1" customHeight="1" s="605">
      <c r="A143" s="402" t="n">
        <v>6</v>
      </c>
      <c r="B143" s="605" t="n">
        <v>138</v>
      </c>
      <c r="C143" s="605" t="inlineStr">
        <is>
          <t>2013Q</t>
        </is>
      </c>
      <c r="D143" s="605" t="inlineStr">
        <is>
          <t xml:space="preserve">02271-12-031-000 </t>
        </is>
      </c>
      <c r="E143" s="403" t="inlineStr">
        <is>
          <t>Actual</t>
        </is>
      </c>
      <c r="F143" s="605" t="inlineStr">
        <is>
          <t>3535   BRIGHTON             BL</t>
        </is>
      </c>
      <c r="G143" s="605" t="n">
        <v>44.1</v>
      </c>
      <c r="H143" s="605" t="n">
        <v>9210</v>
      </c>
      <c r="I143" s="403" t="n">
        <v>0</v>
      </c>
      <c r="J143" s="404" t="n">
        <v>9880</v>
      </c>
      <c r="K143" s="145" t="n">
        <v>6.78137651821862</v>
      </c>
      <c r="L143" s="153" t="n">
        <v>0.35</v>
      </c>
      <c r="M143" s="153" t="n">
        <v>0</v>
      </c>
      <c r="N143" s="605" t="n">
        <v>1973</v>
      </c>
      <c r="O143" s="605" t="n">
        <v>384</v>
      </c>
      <c r="P143" s="605" t="n">
        <v>0</v>
      </c>
      <c r="Q143" s="605" t="n">
        <v>15</v>
      </c>
      <c r="R143" s="605" t="n">
        <v>3</v>
      </c>
      <c r="S143" s="605" t="n">
        <v>1</v>
      </c>
      <c r="T143" s="403" t="inlineStr">
        <is>
          <t xml:space="preserve">C-MX-12     </t>
        </is>
      </c>
      <c r="U143" s="605" t="n">
        <v>398</v>
      </c>
      <c r="V143" s="404" t="n">
        <v>12500</v>
      </c>
      <c r="W143" s="404" t="n">
        <v>13000</v>
      </c>
      <c r="X143" s="392" t="inlineStr">
        <is>
          <t>1.3:1</t>
        </is>
      </c>
      <c r="Y143" s="404" t="n">
        <v>10000</v>
      </c>
      <c r="Z143" s="403" t="inlineStr">
        <is>
          <t xml:space="preserve">C </t>
        </is>
      </c>
      <c r="AK143" s="405" t="inlineStr">
        <is>
          <t xml:space="preserve">EXPENSES UNREALISTIC = NOT POSTED.                                </t>
        </is>
      </c>
    </row>
    <row r="144" ht="25.5" customFormat="1" customHeight="1" s="605">
      <c r="A144" s="402" t="n">
        <v>6</v>
      </c>
      <c r="B144" s="605" t="n">
        <v>139</v>
      </c>
      <c r="C144" s="605" t="inlineStr">
        <is>
          <t>2013Q</t>
        </is>
      </c>
      <c r="D144" s="605" t="inlineStr">
        <is>
          <t xml:space="preserve">02271-18-022-000 </t>
        </is>
      </c>
      <c r="E144" s="403" t="inlineStr">
        <is>
          <t>Actual</t>
        </is>
      </c>
      <c r="F144" s="605" t="inlineStr">
        <is>
          <t>3400   WALNUT               ST</t>
        </is>
      </c>
      <c r="G144" s="605" t="inlineStr">
        <is>
          <t>44.M</t>
        </is>
      </c>
      <c r="H144" s="605" t="n">
        <v>9210</v>
      </c>
      <c r="I144" s="403" t="n">
        <v>0</v>
      </c>
      <c r="J144" s="404" t="n">
        <v>21350</v>
      </c>
      <c r="K144" s="145" t="n">
        <v>8.980046838407491</v>
      </c>
      <c r="L144" s="153" t="n">
        <v>0</v>
      </c>
      <c r="M144" s="153" t="n">
        <v>0.353367340552044</v>
      </c>
      <c r="N144" s="605" t="n">
        <v>1950</v>
      </c>
      <c r="O144" s="605" t="n">
        <v>0</v>
      </c>
      <c r="P144" s="605" t="n">
        <v>0</v>
      </c>
      <c r="Q144" s="605" t="n">
        <v>11</v>
      </c>
      <c r="R144" s="605" t="n">
        <v>1</v>
      </c>
      <c r="S144" s="605" t="n">
        <v>85</v>
      </c>
      <c r="T144" s="403" t="inlineStr">
        <is>
          <t xml:space="preserve">I-MX-3      </t>
        </is>
      </c>
      <c r="U144" s="605" t="n">
        <v>396</v>
      </c>
      <c r="V144" s="404" t="n">
        <v>31250</v>
      </c>
      <c r="W144" s="404" t="n">
        <v>31000</v>
      </c>
      <c r="X144" s="392" t="inlineStr">
        <is>
          <t>1.5:1</t>
        </is>
      </c>
      <c r="Y144" s="404" t="n">
        <v>21000</v>
      </c>
      <c r="Z144" s="403" t="inlineStr">
        <is>
          <t xml:space="preserve">C </t>
        </is>
      </c>
      <c r="AD144" s="605" t="inlineStr">
        <is>
          <t xml:space="preserve">DOWNTOWN SELF STRG  </t>
        </is>
      </c>
      <c r="AK144" s="405" t="inlineStr">
        <is>
          <t xml:space="preserve">SELF-STORAGE FACILITY,TENANTS ARE TEMPORARY                       </t>
        </is>
      </c>
    </row>
    <row r="145" ht="12.75" customFormat="1" customHeight="1" s="605">
      <c r="A145" s="402" t="n">
        <v>6</v>
      </c>
      <c r="B145" s="605" t="n">
        <v>140</v>
      </c>
      <c r="C145" s="605" t="inlineStr">
        <is>
          <t>2013Q</t>
        </is>
      </c>
      <c r="D145" s="605" t="inlineStr">
        <is>
          <t xml:space="preserve">02271-20-005-000 </t>
        </is>
      </c>
      <c r="E145" s="403" t="inlineStr">
        <is>
          <t>Actual</t>
        </is>
      </c>
      <c r="F145" s="605" t="inlineStr">
        <is>
          <t>3433   BLAKE                ST</t>
        </is>
      </c>
      <c r="G145" s="605" t="n">
        <v>44.1</v>
      </c>
      <c r="H145" s="605" t="n">
        <v>9210</v>
      </c>
      <c r="I145" s="403" t="n">
        <v>0</v>
      </c>
      <c r="J145" s="404" t="n">
        <v>2501</v>
      </c>
      <c r="K145" s="145" t="n">
        <v>18.4006397441024</v>
      </c>
      <c r="L145" s="153" t="n">
        <v>0</v>
      </c>
      <c r="M145" s="153" t="n">
        <v>0</v>
      </c>
      <c r="N145" s="605" t="n">
        <v>1932</v>
      </c>
      <c r="O145" s="605" t="n">
        <v>722</v>
      </c>
      <c r="P145" s="605" t="n">
        <v>0</v>
      </c>
      <c r="Q145" s="605" t="n">
        <v>12</v>
      </c>
      <c r="R145" s="605" t="n">
        <v>1</v>
      </c>
      <c r="S145" s="605" t="n">
        <v>1</v>
      </c>
      <c r="T145" s="403" t="inlineStr">
        <is>
          <t xml:space="preserve">C-MX-5      </t>
        </is>
      </c>
      <c r="U145" s="605" t="n">
        <v>398</v>
      </c>
      <c r="V145" s="404" t="n">
        <v>6250</v>
      </c>
      <c r="W145" s="404" t="n">
        <v>6000</v>
      </c>
      <c r="X145" s="392" t="inlineStr">
        <is>
          <t>2.5:1</t>
        </is>
      </c>
      <c r="Y145" s="404" t="n">
        <v>3000</v>
      </c>
      <c r="Z145" s="403" t="inlineStr">
        <is>
          <t xml:space="preserve">C </t>
        </is>
      </c>
      <c r="AD145" s="605" t="inlineStr">
        <is>
          <t xml:space="preserve">S-W BLAKE ST GLASS  </t>
        </is>
      </c>
      <c r="AK145" s="405" t="inlineStr">
        <is>
          <t xml:space="preserve">2009 LEASE.                                                       </t>
        </is>
      </c>
    </row>
    <row r="146" ht="25.5" customFormat="1" customHeight="1" s="605">
      <c r="A146" s="402" t="n">
        <v>6</v>
      </c>
      <c r="B146" s="605" t="n">
        <v>141</v>
      </c>
      <c r="C146" s="605" t="inlineStr">
        <is>
          <t>2013Q</t>
        </is>
      </c>
      <c r="D146" s="605" t="inlineStr">
        <is>
          <t xml:space="preserve">02271-22-005-000 </t>
        </is>
      </c>
      <c r="E146" s="403" t="inlineStr">
        <is>
          <t>Actual</t>
        </is>
      </c>
      <c r="F146" s="605" t="inlineStr">
        <is>
          <t>3430   BRIGHTON             BV</t>
        </is>
      </c>
      <c r="G146" s="605" t="n">
        <v>44.1</v>
      </c>
      <c r="H146" s="605" t="n">
        <v>9210</v>
      </c>
      <c r="I146" s="403" t="n">
        <v>0</v>
      </c>
      <c r="J146" s="404" t="n">
        <v>7464</v>
      </c>
      <c r="K146" s="145" t="n">
        <v>4.5016077170418</v>
      </c>
      <c r="L146" s="153" t="n">
        <v>0</v>
      </c>
      <c r="M146" s="153" t="n">
        <v>0</v>
      </c>
      <c r="N146" s="605" t="n">
        <v>1931</v>
      </c>
      <c r="O146" s="605" t="n">
        <v>180</v>
      </c>
      <c r="P146" s="605" t="n">
        <v>0</v>
      </c>
      <c r="Q146" s="605" t="n">
        <v>14</v>
      </c>
      <c r="R146" s="605" t="n">
        <v>7</v>
      </c>
      <c r="S146" s="605" t="n">
        <v>1</v>
      </c>
      <c r="T146" s="403" t="inlineStr">
        <is>
          <t xml:space="preserve">I-MX-8      </t>
        </is>
      </c>
      <c r="U146" s="605" t="n">
        <v>398</v>
      </c>
      <c r="V146" s="404" t="n">
        <v>12500</v>
      </c>
      <c r="W146" s="404" t="n">
        <v>13000</v>
      </c>
      <c r="X146" s="392" t="inlineStr">
        <is>
          <t>1.7:1</t>
        </is>
      </c>
      <c r="Y146" s="404" t="n">
        <v>7000</v>
      </c>
      <c r="Z146" s="403" t="inlineStr">
        <is>
          <t xml:space="preserve">C </t>
        </is>
      </c>
      <c r="AD146" s="605" t="inlineStr">
        <is>
          <t xml:space="preserve">SANTA FE HTG &amp; AC   </t>
        </is>
      </c>
      <c r="AK146" s="405" t="inlineStr">
        <is>
          <t xml:space="preserve">2010 LEASE; EXPENSES UNREALISTIC = NOT POSTED.                    </t>
        </is>
      </c>
    </row>
    <row r="147" ht="12.75" customFormat="1" customHeight="1" s="605">
      <c r="A147" s="402" t="n">
        <v>6</v>
      </c>
      <c r="B147" s="605" t="n">
        <v>142</v>
      </c>
      <c r="C147" s="605" t="inlineStr">
        <is>
          <t>2013Q</t>
        </is>
      </c>
      <c r="D147" s="605" t="inlineStr">
        <is>
          <t xml:space="preserve">02271-22-014-000 </t>
        </is>
      </c>
      <c r="E147" s="403" t="inlineStr">
        <is>
          <t>Actual</t>
        </is>
      </c>
      <c r="F147" s="605" t="inlineStr">
        <is>
          <t>3400   BRIGHTON             BV</t>
        </is>
      </c>
      <c r="G147" s="605" t="n">
        <v>47.1</v>
      </c>
      <c r="H147" s="605" t="n">
        <v>9210</v>
      </c>
      <c r="I147" s="403" t="n">
        <v>0</v>
      </c>
      <c r="J147" s="404" t="n">
        <v>6832</v>
      </c>
      <c r="K147" s="145" t="n">
        <v>6.70608899297424</v>
      </c>
      <c r="L147" s="153" t="n">
        <v>0</v>
      </c>
      <c r="M147" s="153" t="n">
        <v>0</v>
      </c>
      <c r="N147" s="605" t="n">
        <v>1957</v>
      </c>
      <c r="O147" s="605" t="n">
        <v>432</v>
      </c>
      <c r="P147" s="605" t="n">
        <v>0</v>
      </c>
      <c r="Q147" s="605" t="n">
        <v>22</v>
      </c>
      <c r="R147" s="605" t="n">
        <v>3</v>
      </c>
      <c r="S147" s="605" t="n">
        <v>1</v>
      </c>
      <c r="T147" s="403" t="inlineStr">
        <is>
          <t xml:space="preserve">I-MX-8      </t>
        </is>
      </c>
      <c r="U147" s="605" t="n">
        <v>401</v>
      </c>
      <c r="V147" s="404" t="n">
        <v>27680</v>
      </c>
      <c r="W147" s="404" t="n">
        <v>28000</v>
      </c>
      <c r="X147" s="392" t="inlineStr">
        <is>
          <t>4.1:1</t>
        </is>
      </c>
      <c r="Y147" s="404" t="n">
        <v>7000</v>
      </c>
      <c r="Z147" s="403" t="inlineStr">
        <is>
          <t xml:space="preserve">C </t>
        </is>
      </c>
      <c r="AD147" s="605" t="inlineStr">
        <is>
          <t>QUINN PROCESS EQPMNT</t>
        </is>
      </c>
      <c r="AK147" s="405" t="inlineStr">
        <is>
          <t xml:space="preserve">EXPENSES UNREALISTIC = NOT POSTED.                                </t>
        </is>
      </c>
    </row>
    <row r="148" ht="12.75" customFormat="1" customHeight="1" s="605">
      <c r="A148" s="402" t="n">
        <v>6</v>
      </c>
      <c r="B148" s="605" t="n">
        <v>143</v>
      </c>
      <c r="C148" s="605" t="inlineStr">
        <is>
          <t>2013Q</t>
        </is>
      </c>
      <c r="D148" s="605" t="inlineStr">
        <is>
          <t xml:space="preserve">02275-06-027-000 </t>
        </is>
      </c>
      <c r="E148" s="403" t="inlineStr">
        <is>
          <t>Actual</t>
        </is>
      </c>
      <c r="F148" s="605" t="inlineStr">
        <is>
          <t>3150   WALNUT               ST</t>
        </is>
      </c>
      <c r="G148" s="605" t="n">
        <v>47.1</v>
      </c>
      <c r="H148" s="605" t="n">
        <v>9210</v>
      </c>
      <c r="I148" s="403" t="n">
        <v>0</v>
      </c>
      <c r="J148" s="404" t="n">
        <v>3750</v>
      </c>
      <c r="K148" s="145" t="n">
        <v>8.739960238568591</v>
      </c>
      <c r="L148" s="153" t="n">
        <v>0</v>
      </c>
      <c r="M148" s="153" t="n">
        <v>0</v>
      </c>
      <c r="N148" s="605" t="n">
        <v>1886</v>
      </c>
      <c r="O148" s="605" t="n">
        <v>0</v>
      </c>
      <c r="P148" s="605" t="n">
        <v>0</v>
      </c>
      <c r="Q148" s="605" t="n">
        <v>13</v>
      </c>
      <c r="R148" s="605" t="n">
        <v>1</v>
      </c>
      <c r="S148" s="605" t="n">
        <v>1</v>
      </c>
      <c r="T148" s="403" t="inlineStr">
        <is>
          <t xml:space="preserve">R-MU-30     </t>
        </is>
      </c>
      <c r="U148" s="605" t="n">
        <v>401</v>
      </c>
      <c r="V148" s="404" t="n">
        <v>18720</v>
      </c>
      <c r="W148" s="404" t="n">
        <v>19000</v>
      </c>
      <c r="X148" s="392" t="inlineStr">
        <is>
          <t>5:1</t>
        </is>
      </c>
      <c r="Y148" s="404" t="n">
        <v>4000</v>
      </c>
      <c r="Z148" s="403" t="inlineStr">
        <is>
          <t xml:space="preserve">C </t>
        </is>
      </c>
      <c r="AK148" s="405" t="inlineStr">
        <is>
          <t xml:space="preserve">NNN -- SIGNED 9.11 SOURCE: COSTAR                                 </t>
        </is>
      </c>
    </row>
    <row r="149" ht="12.75" customFormat="1" customHeight="1" s="605">
      <c r="A149" s="402" t="n">
        <v>6</v>
      </c>
      <c r="B149" s="605" t="n">
        <v>144</v>
      </c>
      <c r="C149" s="605" t="inlineStr">
        <is>
          <t>2013Q</t>
        </is>
      </c>
      <c r="D149" s="605" t="inlineStr">
        <is>
          <t xml:space="preserve">02275-12-015-000 </t>
        </is>
      </c>
      <c r="E149" s="403" t="inlineStr">
        <is>
          <t>Actual</t>
        </is>
      </c>
      <c r="F149" s="605" t="inlineStr">
        <is>
          <t>2975   WALNUT               ST</t>
        </is>
      </c>
      <c r="G149" s="605" t="n">
        <v>44.1</v>
      </c>
      <c r="H149" s="605" t="n">
        <v>9210</v>
      </c>
      <c r="I149" s="403" t="n">
        <v>0</v>
      </c>
      <c r="J149" s="404" t="n">
        <v>20196</v>
      </c>
      <c r="K149" s="145" t="n">
        <v>8.11368587839176</v>
      </c>
      <c r="L149" s="153" t="n">
        <v>0</v>
      </c>
      <c r="M149" s="153" t="n">
        <v>0.0960674705853635</v>
      </c>
      <c r="N149" s="605" t="n">
        <v>1973</v>
      </c>
      <c r="O149" s="605" t="n">
        <v>18501</v>
      </c>
      <c r="P149" s="605" t="n">
        <v>0</v>
      </c>
      <c r="Q149" s="605" t="n">
        <v>20</v>
      </c>
      <c r="R149" s="605" t="n">
        <v>3</v>
      </c>
      <c r="S149" s="605" t="n">
        <v>1</v>
      </c>
      <c r="T149" s="403" t="inlineStr">
        <is>
          <t xml:space="preserve">I-MX-5      </t>
        </is>
      </c>
      <c r="U149" s="605" t="n">
        <v>398</v>
      </c>
      <c r="V149" s="404" t="n">
        <v>31287</v>
      </c>
      <c r="W149" s="404" t="n">
        <v>31000</v>
      </c>
      <c r="X149" s="392" t="inlineStr">
        <is>
          <t>1.5:1</t>
        </is>
      </c>
      <c r="Y149" s="404" t="n">
        <v>20000</v>
      </c>
      <c r="Z149" s="403" t="inlineStr">
        <is>
          <t xml:space="preserve">C </t>
        </is>
      </c>
      <c r="AK149" s="405" t="n"/>
    </row>
    <row r="150" ht="12.75" customFormat="1" customHeight="1" s="605">
      <c r="A150" s="402" t="n">
        <v>6</v>
      </c>
      <c r="B150" s="605" t="n">
        <v>145</v>
      </c>
      <c r="C150" s="605" t="inlineStr">
        <is>
          <t>2013Q</t>
        </is>
      </c>
      <c r="D150" s="605" t="inlineStr">
        <is>
          <t xml:space="preserve">02275-13-030-000 </t>
        </is>
      </c>
      <c r="E150" s="403" t="inlineStr">
        <is>
          <t>Actual</t>
        </is>
      </c>
      <c r="F150" s="605" t="inlineStr">
        <is>
          <t>2964   WALNUT               ST</t>
        </is>
      </c>
      <c r="G150" s="605" t="n">
        <v>44.1</v>
      </c>
      <c r="H150" s="605" t="n">
        <v>9210</v>
      </c>
      <c r="I150" s="403" t="n">
        <v>0</v>
      </c>
      <c r="J150" s="404" t="n">
        <v>3444</v>
      </c>
      <c r="K150" s="145" t="n">
        <v>2.27177700348432</v>
      </c>
      <c r="L150" s="153" t="n">
        <v>0</v>
      </c>
      <c r="M150" s="153" t="n">
        <v>0</v>
      </c>
      <c r="N150" s="605" t="n">
        <v>1958</v>
      </c>
      <c r="O150" s="605" t="n">
        <v>700</v>
      </c>
      <c r="P150" s="605" t="n">
        <v>0</v>
      </c>
      <c r="Q150" s="605" t="n">
        <v>13</v>
      </c>
      <c r="R150" s="605" t="n">
        <v>7</v>
      </c>
      <c r="S150" s="605" t="n">
        <v>1</v>
      </c>
      <c r="T150" s="403" t="inlineStr">
        <is>
          <t xml:space="preserve">I-MX-5      </t>
        </is>
      </c>
      <c r="U150" s="605" t="n">
        <v>398</v>
      </c>
      <c r="V150" s="404" t="n">
        <v>15644</v>
      </c>
      <c r="W150" s="404" t="n">
        <v>16000</v>
      </c>
      <c r="X150" s="392" t="inlineStr">
        <is>
          <t>4.5:1</t>
        </is>
      </c>
      <c r="Y150" s="404" t="n">
        <v>3000</v>
      </c>
      <c r="Z150" s="403" t="inlineStr">
        <is>
          <t xml:space="preserve">C </t>
        </is>
      </c>
      <c r="AD150" s="605" t="inlineStr">
        <is>
          <t xml:space="preserve">S-W                 </t>
        </is>
      </c>
      <c r="AK150" s="405" t="n"/>
    </row>
    <row r="151" ht="12.75" customFormat="1" customHeight="1" s="605">
      <c r="A151" s="402" t="n">
        <v>6</v>
      </c>
      <c r="B151" s="605" t="n">
        <v>146</v>
      </c>
      <c r="C151" s="605" t="inlineStr">
        <is>
          <t>2013Q</t>
        </is>
      </c>
      <c r="D151" s="605" t="inlineStr">
        <is>
          <t xml:space="preserve">02275-15-025-000 </t>
        </is>
      </c>
      <c r="E151" s="403" t="inlineStr">
        <is>
          <t>Actual</t>
        </is>
      </c>
      <c r="F151" s="605" t="inlineStr">
        <is>
          <t>2801   WALNUT               ST</t>
        </is>
      </c>
      <c r="G151" s="605" t="n">
        <v>44.2</v>
      </c>
      <c r="H151" s="605" t="n">
        <v>9210</v>
      </c>
      <c r="I151" s="403" t="n">
        <v>0</v>
      </c>
      <c r="J151" s="404" t="n">
        <v>18816</v>
      </c>
      <c r="K151" s="145" t="n">
        <v>5.73979591836735</v>
      </c>
      <c r="L151" s="153" t="n">
        <v>0.66</v>
      </c>
      <c r="M151" s="153" t="n">
        <v>0</v>
      </c>
      <c r="N151" s="605" t="n">
        <v>1934</v>
      </c>
      <c r="O151" s="605" t="n">
        <v>2358</v>
      </c>
      <c r="P151" s="605" t="n">
        <v>0</v>
      </c>
      <c r="Q151" s="605" t="n">
        <v>14</v>
      </c>
      <c r="R151" s="605" t="n">
        <v>1</v>
      </c>
      <c r="S151" s="605" t="n">
        <v>1</v>
      </c>
      <c r="T151" s="403" t="inlineStr">
        <is>
          <t xml:space="preserve">I-MX-5      </t>
        </is>
      </c>
      <c r="U151" s="605" t="n">
        <v>398</v>
      </c>
      <c r="V151" s="404" t="n">
        <v>31313</v>
      </c>
      <c r="W151" s="404" t="n">
        <v>31000</v>
      </c>
      <c r="X151" s="392" t="inlineStr">
        <is>
          <t>1.7:1</t>
        </is>
      </c>
      <c r="Y151" s="404" t="n">
        <v>19000</v>
      </c>
      <c r="Z151" s="403" t="inlineStr">
        <is>
          <t xml:space="preserve">C </t>
        </is>
      </c>
      <c r="AD151" s="605" t="inlineStr">
        <is>
          <t xml:space="preserve">M-W                 </t>
        </is>
      </c>
      <c r="AK151" s="405" t="n"/>
    </row>
    <row r="152" ht="25.5" customFormat="1" customHeight="1" s="605">
      <c r="A152" s="402" t="n">
        <v>6</v>
      </c>
      <c r="B152" s="605" t="n">
        <v>147</v>
      </c>
      <c r="C152" s="605" t="inlineStr">
        <is>
          <t>2013Q</t>
        </is>
      </c>
      <c r="D152" s="605" t="inlineStr">
        <is>
          <t xml:space="preserve">02275-15-025-000 </t>
        </is>
      </c>
      <c r="E152" s="403" t="inlineStr">
        <is>
          <t>Actual</t>
        </is>
      </c>
      <c r="F152" s="605" t="inlineStr">
        <is>
          <t>2801   WALNUT               ST</t>
        </is>
      </c>
      <c r="G152" s="605" t="n">
        <v>44.2</v>
      </c>
      <c r="H152" s="605" t="n">
        <v>9210</v>
      </c>
      <c r="I152" s="403" t="n">
        <v>0</v>
      </c>
      <c r="J152" s="404" t="n">
        <v>18816</v>
      </c>
      <c r="K152" s="145" t="n">
        <v>6.74</v>
      </c>
      <c r="L152" s="153" t="n">
        <v>0</v>
      </c>
      <c r="M152" s="153" t="n">
        <v>0</v>
      </c>
      <c r="N152" s="605" t="n">
        <v>1934</v>
      </c>
      <c r="O152" s="605" t="n">
        <v>2358</v>
      </c>
      <c r="P152" s="605" t="n">
        <v>0</v>
      </c>
      <c r="Q152" s="605" t="n">
        <v>14</v>
      </c>
      <c r="R152" s="605" t="n">
        <v>1</v>
      </c>
      <c r="S152" s="605" t="n">
        <v>1</v>
      </c>
      <c r="T152" s="403" t="inlineStr">
        <is>
          <t xml:space="preserve">I-MX-5      </t>
        </is>
      </c>
      <c r="U152" s="605" t="n">
        <v>398</v>
      </c>
      <c r="V152" s="404" t="n">
        <v>31313</v>
      </c>
      <c r="W152" s="404" t="n">
        <v>31000</v>
      </c>
      <c r="X152" s="392" t="inlineStr">
        <is>
          <t>1.7:1</t>
        </is>
      </c>
      <c r="Y152" s="404" t="n">
        <v>19000</v>
      </c>
      <c r="Z152" s="403" t="inlineStr">
        <is>
          <t xml:space="preserve">C </t>
        </is>
      </c>
      <c r="AD152" s="605" t="inlineStr">
        <is>
          <t xml:space="preserve">M-W                 </t>
        </is>
      </c>
      <c r="AK152" s="405" t="inlineStr">
        <is>
          <t xml:space="preserve">NNN LEASE SIGNED 7/2012 -- SOURCE: COSTAR                         </t>
        </is>
      </c>
    </row>
    <row r="153" ht="12.75" customFormat="1" customHeight="1" s="605">
      <c r="A153" s="402" t="n">
        <v>6</v>
      </c>
      <c r="B153" s="605" t="n">
        <v>148</v>
      </c>
      <c r="C153" s="605" t="inlineStr">
        <is>
          <t>2013Q</t>
        </is>
      </c>
      <c r="D153" s="605" t="inlineStr">
        <is>
          <t xml:space="preserve">02276-21-002-000 </t>
        </is>
      </c>
      <c r="E153" s="403" t="inlineStr">
        <is>
          <t>Actual</t>
        </is>
      </c>
      <c r="F153" s="605" t="inlineStr">
        <is>
          <t>2854   LARIMER              ST</t>
        </is>
      </c>
      <c r="G153" s="605" t="n">
        <v>44.1</v>
      </c>
      <c r="H153" s="605" t="n">
        <v>9210</v>
      </c>
      <c r="I153" s="403" t="n">
        <v>0</v>
      </c>
      <c r="J153" s="404" t="n">
        <v>3398</v>
      </c>
      <c r="K153" s="145" t="n">
        <v>7.06297822248381</v>
      </c>
      <c r="L153" s="153" t="n">
        <v>0</v>
      </c>
      <c r="M153" s="153" t="n">
        <v>0.108958333333333</v>
      </c>
      <c r="N153" s="605" t="n">
        <v>1957</v>
      </c>
      <c r="O153" s="605" t="n">
        <v>598</v>
      </c>
      <c r="P153" s="605" t="n">
        <v>0</v>
      </c>
      <c r="Q153" s="605" t="n">
        <v>12</v>
      </c>
      <c r="R153" s="605" t="n">
        <v>3</v>
      </c>
      <c r="S153" s="605" t="n">
        <v>1</v>
      </c>
      <c r="T153" s="403" t="inlineStr">
        <is>
          <t xml:space="preserve">I-MX-3      </t>
        </is>
      </c>
      <c r="U153" s="605" t="n">
        <v>398</v>
      </c>
      <c r="V153" s="404" t="n">
        <v>6277</v>
      </c>
      <c r="W153" s="404" t="n">
        <v>6000</v>
      </c>
      <c r="X153" s="392" t="inlineStr">
        <is>
          <t>1.8:1</t>
        </is>
      </c>
      <c r="Y153" s="404" t="n">
        <v>3000</v>
      </c>
      <c r="Z153" s="403" t="inlineStr">
        <is>
          <t xml:space="preserve">C </t>
        </is>
      </c>
      <c r="AD153" s="605" t="inlineStr">
        <is>
          <t xml:space="preserve">S-W                 </t>
        </is>
      </c>
      <c r="AK153" s="405" t="n"/>
    </row>
    <row r="154" ht="12.75" customFormat="1" customHeight="1" s="605">
      <c r="A154" s="402" t="n">
        <v>6</v>
      </c>
      <c r="B154" s="605" t="n">
        <v>149</v>
      </c>
      <c r="C154" s="605" t="inlineStr">
        <is>
          <t>2013Q</t>
        </is>
      </c>
      <c r="D154" s="605" t="inlineStr">
        <is>
          <t xml:space="preserve">02277-07-017-000 </t>
        </is>
      </c>
      <c r="E154" s="403" t="inlineStr">
        <is>
          <t>Actual</t>
        </is>
      </c>
      <c r="F154" s="605" t="inlineStr">
        <is>
          <t>2590   WALNUT               ST</t>
        </is>
      </c>
      <c r="G154" s="605" t="n">
        <v>44.2</v>
      </c>
      <c r="H154" s="605" t="n">
        <v>9210</v>
      </c>
      <c r="I154" s="403" t="n">
        <v>0</v>
      </c>
      <c r="J154" s="404" t="n">
        <v>12500</v>
      </c>
      <c r="K154" s="145" t="n">
        <v>7.36</v>
      </c>
      <c r="L154" s="153" t="n">
        <v>0</v>
      </c>
      <c r="M154" s="153" t="n">
        <v>0</v>
      </c>
      <c r="N154" s="605" t="n">
        <v>1926</v>
      </c>
      <c r="O154" s="605" t="n">
        <v>1512</v>
      </c>
      <c r="P154" s="605" t="n">
        <v>0</v>
      </c>
      <c r="Q154" s="605" t="n">
        <v>16</v>
      </c>
      <c r="R154" s="605" t="n">
        <v>1</v>
      </c>
      <c r="S154" s="605" t="n">
        <v>3</v>
      </c>
      <c r="T154" s="403" t="inlineStr">
        <is>
          <t xml:space="preserve">C-MX-5      </t>
        </is>
      </c>
      <c r="U154" s="605" t="n">
        <v>398</v>
      </c>
      <c r="V154" s="404" t="n">
        <v>12525</v>
      </c>
      <c r="W154" s="404" t="n">
        <v>13000</v>
      </c>
      <c r="X154" s="392" t="inlineStr">
        <is>
          <t>1:1</t>
        </is>
      </c>
      <c r="Y154" s="404" t="n">
        <v>13000</v>
      </c>
      <c r="Z154" s="403" t="inlineStr">
        <is>
          <t xml:space="preserve">C </t>
        </is>
      </c>
      <c r="AD154" s="605" t="inlineStr">
        <is>
          <t xml:space="preserve">M-WHS/OFC/SHOWROOM  </t>
        </is>
      </c>
      <c r="AK154" s="405" t="n"/>
    </row>
    <row r="155" ht="12.75" customFormat="1" customHeight="1" s="605">
      <c r="A155" s="402" t="n">
        <v>6</v>
      </c>
      <c r="B155" s="605" t="n">
        <v>150</v>
      </c>
      <c r="C155" s="605" t="inlineStr">
        <is>
          <t>2013Q</t>
        </is>
      </c>
      <c r="D155" s="605" t="inlineStr">
        <is>
          <t xml:space="preserve">02281-03-008-000 </t>
        </is>
      </c>
      <c r="E155" s="403" t="inlineStr">
        <is>
          <t>Actual</t>
        </is>
      </c>
      <c r="F155" s="605" t="inlineStr">
        <is>
          <t>3725   JASON                ST</t>
        </is>
      </c>
      <c r="G155" s="605" t="n">
        <v>47.1</v>
      </c>
      <c r="H155" s="605" t="n">
        <v>9208</v>
      </c>
      <c r="I155" s="403" t="n">
        <v>0</v>
      </c>
      <c r="J155" s="404" t="n">
        <v>5760</v>
      </c>
      <c r="K155" s="145" t="n">
        <v>5.20833333333333</v>
      </c>
      <c r="L155" s="153" t="n">
        <v>0</v>
      </c>
      <c r="M155" s="153" t="n">
        <v>0</v>
      </c>
      <c r="N155" s="605" t="n">
        <v>1971</v>
      </c>
      <c r="O155" s="605" t="n">
        <v>992</v>
      </c>
      <c r="P155" s="605" t="n">
        <v>0</v>
      </c>
      <c r="Q155" s="605" t="n">
        <v>15</v>
      </c>
      <c r="R155" s="605" t="n">
        <v>7</v>
      </c>
      <c r="S155" s="605" t="n">
        <v>1</v>
      </c>
      <c r="T155" s="403" t="inlineStr">
        <is>
          <t xml:space="preserve">I-MX-3      </t>
        </is>
      </c>
      <c r="U155" s="605" t="n">
        <v>401</v>
      </c>
      <c r="V155" s="404" t="n">
        <v>18750</v>
      </c>
      <c r="W155" s="404" t="n">
        <v>19000</v>
      </c>
      <c r="X155" s="392" t="inlineStr">
        <is>
          <t>3.3:1</t>
        </is>
      </c>
      <c r="Y155" s="404" t="n">
        <v>6000</v>
      </c>
      <c r="Z155" s="403" t="inlineStr">
        <is>
          <t xml:space="preserve">C </t>
        </is>
      </c>
      <c r="AD155" s="605" t="inlineStr">
        <is>
          <t xml:space="preserve">SILVER STATE FOODS  </t>
        </is>
      </c>
      <c r="AK155" s="405" t="n"/>
    </row>
    <row r="156" ht="12.75" customFormat="1" customHeight="1" s="605">
      <c r="A156" s="402" t="n">
        <v>6</v>
      </c>
      <c r="B156" s="605" t="n">
        <v>151</v>
      </c>
      <c r="C156" s="605" t="inlineStr">
        <is>
          <t>2013Q</t>
        </is>
      </c>
      <c r="D156" s="605" t="inlineStr">
        <is>
          <t xml:space="preserve">02281-31-020-000 </t>
        </is>
      </c>
      <c r="E156" s="403" t="inlineStr">
        <is>
          <t>Actual</t>
        </is>
      </c>
      <c r="F156" s="605" t="inlineStr">
        <is>
          <t>1415 W 33RD                 AV</t>
        </is>
      </c>
      <c r="G156" s="605" t="n">
        <v>44.1</v>
      </c>
      <c r="H156" s="605" t="n">
        <v>9208</v>
      </c>
      <c r="I156" s="403" t="n">
        <v>0</v>
      </c>
      <c r="J156" s="404" t="n">
        <v>5652</v>
      </c>
      <c r="K156" s="145" t="n">
        <v>6.36942675159236</v>
      </c>
      <c r="L156" s="153" t="n">
        <v>0</v>
      </c>
      <c r="M156" s="153" t="n">
        <v>0</v>
      </c>
      <c r="N156" s="605" t="n">
        <v>1960</v>
      </c>
      <c r="O156" s="605" t="n">
        <v>1658</v>
      </c>
      <c r="P156" s="605" t="n">
        <v>0</v>
      </c>
      <c r="Q156" s="605" t="n">
        <v>15</v>
      </c>
      <c r="R156" s="605" t="n">
        <v>1</v>
      </c>
      <c r="S156" s="605" t="n">
        <v>1</v>
      </c>
      <c r="T156" s="403" t="inlineStr">
        <is>
          <t xml:space="preserve">C-MX-5      </t>
        </is>
      </c>
      <c r="U156" s="605" t="n">
        <v>398</v>
      </c>
      <c r="V156" s="404" t="n">
        <v>9588</v>
      </c>
      <c r="W156" s="404" t="n">
        <v>10000</v>
      </c>
      <c r="X156" s="392" t="inlineStr">
        <is>
          <t>1.7:1</t>
        </is>
      </c>
      <c r="Y156" s="404" t="n">
        <v>6000</v>
      </c>
      <c r="Z156" s="403" t="inlineStr">
        <is>
          <t xml:space="preserve">C </t>
        </is>
      </c>
      <c r="AD156" s="605" t="inlineStr">
        <is>
          <t xml:space="preserve">DENVER DISTRIBUTORS </t>
        </is>
      </c>
      <c r="AK156" s="405" t="n"/>
    </row>
    <row r="157" ht="12.75" customFormat="1" customHeight="1" s="605">
      <c r="A157" s="402" t="n">
        <v>6</v>
      </c>
      <c r="B157" s="605" t="n">
        <v>152</v>
      </c>
      <c r="C157" s="605" t="inlineStr">
        <is>
          <t>2013Q</t>
        </is>
      </c>
      <c r="D157" s="605" t="inlineStr">
        <is>
          <t xml:space="preserve">02281-31-034-000 </t>
        </is>
      </c>
      <c r="E157" s="403" t="inlineStr">
        <is>
          <t>Actual</t>
        </is>
      </c>
      <c r="F157" s="605" t="inlineStr">
        <is>
          <t>3323   MARIPOSA             ST</t>
        </is>
      </c>
      <c r="G157" s="605" t="n">
        <v>44.1</v>
      </c>
      <c r="H157" s="605" t="n">
        <v>9208</v>
      </c>
      <c r="I157" s="403" t="n">
        <v>0</v>
      </c>
      <c r="J157" s="404" t="n">
        <v>6545</v>
      </c>
      <c r="K157" s="145" t="n">
        <v>5.50038197097021</v>
      </c>
      <c r="L157" s="153" t="n">
        <v>0</v>
      </c>
      <c r="M157" s="153" t="n">
        <v>0</v>
      </c>
      <c r="N157" s="605" t="n">
        <v>1960</v>
      </c>
      <c r="O157" s="605" t="n">
        <v>800</v>
      </c>
      <c r="P157" s="605" t="n">
        <v>0</v>
      </c>
      <c r="Q157" s="605" t="n">
        <v>14</v>
      </c>
      <c r="R157" s="605" t="n">
        <v>3</v>
      </c>
      <c r="S157" s="605" t="n">
        <v>1</v>
      </c>
      <c r="T157" s="403" t="inlineStr">
        <is>
          <t xml:space="preserve">C-MX-5      </t>
        </is>
      </c>
      <c r="U157" s="605" t="n">
        <v>398</v>
      </c>
      <c r="V157" s="404" t="n">
        <v>10793</v>
      </c>
      <c r="W157" s="404" t="n">
        <v>11000</v>
      </c>
      <c r="X157" s="392" t="inlineStr">
        <is>
          <t>1.6:1</t>
        </is>
      </c>
      <c r="Y157" s="404" t="n">
        <v>7000</v>
      </c>
      <c r="Z157" s="403" t="inlineStr">
        <is>
          <t xml:space="preserve">C </t>
        </is>
      </c>
      <c r="AK157" s="405" t="n"/>
    </row>
    <row r="158" ht="12.75" customFormat="1" customHeight="1" s="605">
      <c r="A158" s="402" t="n">
        <v>6</v>
      </c>
      <c r="B158" s="605" t="n">
        <v>153</v>
      </c>
      <c r="C158" s="605" t="inlineStr">
        <is>
          <t>2013Q</t>
        </is>
      </c>
      <c r="D158" s="605" t="inlineStr">
        <is>
          <t xml:space="preserve">02282-33-019-000 </t>
        </is>
      </c>
      <c r="E158" s="403" t="inlineStr">
        <is>
          <t>Actual</t>
        </is>
      </c>
      <c r="F158" s="605" t="inlineStr">
        <is>
          <t>2020 W 33RD                 AV</t>
        </is>
      </c>
      <c r="G158" s="605" t="n">
        <v>44.2</v>
      </c>
      <c r="H158" s="605" t="n">
        <v>9208</v>
      </c>
      <c r="I158" s="403" t="n">
        <v>0</v>
      </c>
      <c r="J158" s="404" t="n">
        <v>4080</v>
      </c>
      <c r="K158" s="145" t="n">
        <v>8.578431372549019</v>
      </c>
      <c r="L158" s="153" t="n">
        <v>0.2</v>
      </c>
      <c r="M158" s="153" t="n">
        <v>0</v>
      </c>
      <c r="N158" s="605" t="n">
        <v>1948</v>
      </c>
      <c r="O158" s="605" t="n">
        <v>144</v>
      </c>
      <c r="P158" s="605" t="n">
        <v>0</v>
      </c>
      <c r="Q158" s="605" t="n">
        <v>11</v>
      </c>
      <c r="R158" s="605" t="n">
        <v>3</v>
      </c>
      <c r="S158" s="605" t="n">
        <v>3</v>
      </c>
      <c r="T158" s="403" t="inlineStr">
        <is>
          <t xml:space="preserve">U-MX-3      </t>
        </is>
      </c>
      <c r="U158" s="605" t="n">
        <v>398</v>
      </c>
      <c r="V158" s="404" t="n">
        <v>16812</v>
      </c>
      <c r="W158" s="404" t="n">
        <v>17000</v>
      </c>
      <c r="X158" s="392" t="inlineStr">
        <is>
          <t>4.1:1</t>
        </is>
      </c>
      <c r="Y158" s="404" t="n">
        <v>4000</v>
      </c>
      <c r="Z158" s="403" t="inlineStr">
        <is>
          <t xml:space="preserve">C </t>
        </is>
      </c>
      <c r="AD158" s="605" t="inlineStr">
        <is>
          <t xml:space="preserve">M-T WAREHOUSE       </t>
        </is>
      </c>
      <c r="AK158" s="405" t="n"/>
    </row>
    <row r="159" ht="25.5" customFormat="1" customHeight="1" s="605">
      <c r="A159" s="402" t="n">
        <v>6</v>
      </c>
      <c r="B159" s="605" t="n">
        <v>154</v>
      </c>
      <c r="C159" s="605" t="inlineStr">
        <is>
          <t>2013Q</t>
        </is>
      </c>
      <c r="D159" s="605" t="inlineStr">
        <is>
          <t xml:space="preserve">02294-16-008-000 </t>
        </is>
      </c>
      <c r="E159" s="403" t="inlineStr">
        <is>
          <t>Actual</t>
        </is>
      </c>
      <c r="F159" s="605" t="inlineStr">
        <is>
          <t>2520 W 29TH                 AV</t>
        </is>
      </c>
      <c r="G159" s="605" t="n">
        <v>46.1</v>
      </c>
      <c r="H159" s="605" t="n">
        <v>9208</v>
      </c>
      <c r="I159" s="403" t="n">
        <v>0</v>
      </c>
      <c r="J159" s="404" t="n">
        <v>7240</v>
      </c>
      <c r="K159" s="145" t="n">
        <v>19.8895027624309</v>
      </c>
      <c r="L159" s="153" t="n">
        <v>0</v>
      </c>
      <c r="M159" s="153" t="n">
        <v>0.0248333333333333</v>
      </c>
      <c r="N159" s="605" t="n">
        <v>1952</v>
      </c>
      <c r="O159" s="605" t="n">
        <v>3462</v>
      </c>
      <c r="P159" s="605" t="n">
        <v>0</v>
      </c>
      <c r="Q159" s="605" t="n">
        <v>12</v>
      </c>
      <c r="R159" s="605" t="n">
        <v>3</v>
      </c>
      <c r="S159" s="605" t="n">
        <v>1</v>
      </c>
      <c r="T159" s="403" t="inlineStr">
        <is>
          <t xml:space="preserve">C-MX-5      </t>
        </is>
      </c>
      <c r="U159" s="605" t="n">
        <v>391</v>
      </c>
      <c r="V159" s="404" t="n">
        <v>12500</v>
      </c>
      <c r="W159" s="404" t="n">
        <v>13000</v>
      </c>
      <c r="X159" s="392" t="inlineStr">
        <is>
          <t>1.7:1</t>
        </is>
      </c>
      <c r="Y159" s="404" t="n">
        <v>7000</v>
      </c>
      <c r="Z159" s="403" t="inlineStr">
        <is>
          <t xml:space="preserve">C </t>
        </is>
      </c>
      <c r="AD159" s="605" t="inlineStr">
        <is>
          <t xml:space="preserve">CATERING            </t>
        </is>
      </c>
      <c r="AK159" s="405" t="inlineStr">
        <is>
          <t xml:space="preserve">COMMENCEMENT DATE OF LEASE UNKNOWN.                               </t>
        </is>
      </c>
    </row>
    <row r="160" ht="12.75" customFormat="1" customHeight="1" s="605">
      <c r="A160" s="402" t="n">
        <v>6</v>
      </c>
      <c r="B160" s="605" t="n">
        <v>155</v>
      </c>
      <c r="C160" s="605" t="inlineStr">
        <is>
          <t>2013Q</t>
        </is>
      </c>
      <c r="D160" s="605" t="inlineStr">
        <is>
          <t xml:space="preserve">02323-01-021-000 </t>
        </is>
      </c>
      <c r="E160" s="403" t="inlineStr">
        <is>
          <t>Actual</t>
        </is>
      </c>
      <c r="F160" s="605" t="inlineStr">
        <is>
          <t>1919   FEDERAL              BV</t>
        </is>
      </c>
      <c r="G160" s="605" t="n">
        <v>44.1</v>
      </c>
      <c r="H160" s="605" t="n">
        <v>9208</v>
      </c>
      <c r="I160" s="403" t="n">
        <v>6</v>
      </c>
      <c r="J160" s="404" t="n">
        <v>10620</v>
      </c>
      <c r="K160" s="145" t="n">
        <v>6.21468926553672</v>
      </c>
      <c r="L160" s="153" t="n">
        <v>0</v>
      </c>
      <c r="M160" s="153" t="n">
        <v>0</v>
      </c>
      <c r="N160" s="605" t="n">
        <v>1977</v>
      </c>
      <c r="O160" s="605" t="n">
        <v>2651</v>
      </c>
      <c r="P160" s="605" t="n">
        <v>0</v>
      </c>
      <c r="Q160" s="605" t="n">
        <v>15</v>
      </c>
      <c r="R160" s="605" t="n">
        <v>1</v>
      </c>
      <c r="S160" s="605" t="n">
        <v>1</v>
      </c>
      <c r="T160" s="403" t="inlineStr">
        <is>
          <t xml:space="preserve">C-MX-5      </t>
        </is>
      </c>
      <c r="U160" s="605" t="n">
        <v>398</v>
      </c>
      <c r="V160" s="404" t="n">
        <v>17569</v>
      </c>
      <c r="W160" s="404" t="n">
        <v>18000</v>
      </c>
      <c r="X160" s="392" t="inlineStr">
        <is>
          <t>1.7:1</t>
        </is>
      </c>
      <c r="Y160" s="404" t="n">
        <v>11000</v>
      </c>
      <c r="Z160" s="403" t="inlineStr">
        <is>
          <t xml:space="preserve">B </t>
        </is>
      </c>
      <c r="AD160" s="605" t="inlineStr">
        <is>
          <t xml:space="preserve">PERMAGRAPHICS       </t>
        </is>
      </c>
      <c r="AK160" s="405" t="n"/>
    </row>
    <row r="161" ht="12.75" customFormat="1" customHeight="1" s="605">
      <c r="A161" s="402" t="n">
        <v>6</v>
      </c>
      <c r="B161" s="605" t="n">
        <v>156</v>
      </c>
      <c r="C161" s="605" t="inlineStr">
        <is>
          <t>2013Q</t>
        </is>
      </c>
      <c r="D161" s="605" t="inlineStr">
        <is>
          <t xml:space="preserve">02323-13-015-000 </t>
        </is>
      </c>
      <c r="E161" s="403" t="inlineStr">
        <is>
          <t>Actual</t>
        </is>
      </c>
      <c r="F161" s="605" t="inlineStr">
        <is>
          <t>1729   FEDERAL              BV</t>
        </is>
      </c>
      <c r="G161" s="605" t="n">
        <v>44.2</v>
      </c>
      <c r="H161" s="605" t="n">
        <v>9208</v>
      </c>
      <c r="I161" s="403" t="n">
        <v>6</v>
      </c>
      <c r="J161" s="404" t="n">
        <v>6200</v>
      </c>
      <c r="K161" s="145" t="n">
        <v>6.38709677419355</v>
      </c>
      <c r="L161" s="153" t="n">
        <v>0</v>
      </c>
      <c r="M161" s="153" t="n">
        <v>0.143560606060606</v>
      </c>
      <c r="N161" s="605" t="n">
        <v>1962</v>
      </c>
      <c r="O161" s="605" t="n">
        <v>780</v>
      </c>
      <c r="P161" s="605" t="n">
        <v>0</v>
      </c>
      <c r="Q161" s="605" t="n">
        <v>10</v>
      </c>
      <c r="R161" s="605" t="n">
        <v>1</v>
      </c>
      <c r="S161" s="605" t="n">
        <v>3</v>
      </c>
      <c r="T161" s="403" t="inlineStr">
        <is>
          <t xml:space="preserve">C-MX-5      </t>
        </is>
      </c>
      <c r="U161" s="605" t="n">
        <v>398</v>
      </c>
      <c r="V161" s="404" t="n">
        <v>14360</v>
      </c>
      <c r="W161" s="404" t="n">
        <v>14000</v>
      </c>
      <c r="X161" s="392" t="inlineStr">
        <is>
          <t>2.3:1</t>
        </is>
      </c>
      <c r="Y161" s="404" t="n">
        <v>6000</v>
      </c>
      <c r="Z161" s="403" t="inlineStr">
        <is>
          <t xml:space="preserve">C </t>
        </is>
      </c>
      <c r="AD161" s="605" t="inlineStr">
        <is>
          <t xml:space="preserve">FLOYD'Z             </t>
        </is>
      </c>
      <c r="AK161" s="405" t="inlineStr">
        <is>
          <t xml:space="preserve">PROBABLE 2009 LEASE PER COSTAR.                                   </t>
        </is>
      </c>
    </row>
    <row r="162" ht="25.5" customFormat="1" customHeight="1" s="605">
      <c r="A162" s="402" t="n">
        <v>6</v>
      </c>
      <c r="B162" s="605" t="n">
        <v>157</v>
      </c>
      <c r="C162" s="605" t="inlineStr">
        <is>
          <t>2013Q</t>
        </is>
      </c>
      <c r="D162" s="605" t="inlineStr">
        <is>
          <t xml:space="preserve">02342-23-012-000 </t>
        </is>
      </c>
      <c r="E162" s="403" t="inlineStr">
        <is>
          <t>Actual</t>
        </is>
      </c>
      <c r="F162" s="605" t="inlineStr">
        <is>
          <t>2201   ARAPAHOE             ST</t>
        </is>
      </c>
      <c r="G162" s="605" t="n">
        <v>44.2</v>
      </c>
      <c r="H162" s="605" t="n">
        <v>9202</v>
      </c>
      <c r="I162" s="403" t="n">
        <v>5</v>
      </c>
      <c r="J162" s="404" t="n">
        <v>18251</v>
      </c>
      <c r="K162" s="145" t="n">
        <v>9.31078305519897</v>
      </c>
      <c r="L162" s="153" t="n">
        <v>0</v>
      </c>
      <c r="M162" s="153" t="n">
        <v>0</v>
      </c>
      <c r="N162" s="605" t="n">
        <v>1941</v>
      </c>
      <c r="O162" s="605" t="n">
        <v>880</v>
      </c>
      <c r="P162" s="605" t="n">
        <v>880</v>
      </c>
      <c r="Q162" s="605" t="n">
        <v>15</v>
      </c>
      <c r="R162" s="605" t="n">
        <v>1</v>
      </c>
      <c r="S162" s="605" t="n">
        <v>1</v>
      </c>
      <c r="T162" s="403" t="inlineStr">
        <is>
          <t xml:space="preserve">PUD         </t>
        </is>
      </c>
      <c r="U162" s="605" t="n">
        <v>398</v>
      </c>
      <c r="V162" s="404" t="n">
        <v>18893</v>
      </c>
      <c r="W162" s="404" t="n">
        <v>19000</v>
      </c>
      <c r="X162" s="392" t="inlineStr">
        <is>
          <t>1:1</t>
        </is>
      </c>
      <c r="Y162" s="404" t="n">
        <v>18000</v>
      </c>
      <c r="Z162" s="403" t="inlineStr">
        <is>
          <t xml:space="preserve">C </t>
        </is>
      </c>
      <c r="AD162" s="605" t="inlineStr">
        <is>
          <t>GREAT DIVIDE BREWERY</t>
        </is>
      </c>
      <c r="AK162" s="405" t="inlineStr">
        <is>
          <t xml:space="preserve">NON-BASE LEASE BUT NEED DATA FOR THIS NBHD.                       </t>
        </is>
      </c>
    </row>
    <row r="163" ht="25.5" customFormat="1" customHeight="1" s="605">
      <c r="A163" s="402" t="n">
        <v>6</v>
      </c>
      <c r="B163" s="605" t="n">
        <v>158</v>
      </c>
      <c r="C163" s="605" t="inlineStr">
        <is>
          <t>2013Q</t>
        </is>
      </c>
      <c r="D163" s="605" t="inlineStr">
        <is>
          <t xml:space="preserve">02342-33-021-000 </t>
        </is>
      </c>
      <c r="E163" s="403" t="inlineStr">
        <is>
          <t>Actual</t>
        </is>
      </c>
      <c r="F163" s="605" t="inlineStr">
        <is>
          <t>2109   CURTIS               ST</t>
        </is>
      </c>
      <c r="G163" s="605" t="n">
        <v>44.1</v>
      </c>
      <c r="H163" s="605" t="n">
        <v>9202</v>
      </c>
      <c r="I163" s="403" t="n">
        <v>5</v>
      </c>
      <c r="J163" s="404" t="n">
        <v>10010</v>
      </c>
      <c r="K163" s="145" t="n">
        <v>10</v>
      </c>
      <c r="L163" s="153" t="n">
        <v>0</v>
      </c>
      <c r="M163" s="153" t="n">
        <v>0</v>
      </c>
      <c r="N163" s="605" t="n">
        <v>1955</v>
      </c>
      <c r="O163" s="605" t="n">
        <v>922</v>
      </c>
      <c r="P163" s="605" t="n">
        <v>0</v>
      </c>
      <c r="Q163" s="605" t="n">
        <v>14</v>
      </c>
      <c r="R163" s="605" t="n">
        <v>3</v>
      </c>
      <c r="S163" s="605" t="n">
        <v>1</v>
      </c>
      <c r="T163" s="403" t="inlineStr">
        <is>
          <t xml:space="preserve">D-AS        </t>
        </is>
      </c>
      <c r="U163" s="605" t="n">
        <v>398</v>
      </c>
      <c r="V163" s="404" t="n">
        <v>10968</v>
      </c>
      <c r="W163" s="404" t="n">
        <v>11000</v>
      </c>
      <c r="X163" s="392" t="inlineStr">
        <is>
          <t>1.1:1</t>
        </is>
      </c>
      <c r="Y163" s="404" t="n">
        <v>10000</v>
      </c>
      <c r="Z163" s="403" t="inlineStr">
        <is>
          <t xml:space="preserve">C </t>
        </is>
      </c>
      <c r="AD163" s="605" t="inlineStr">
        <is>
          <t xml:space="preserve">MILE HIGH FRAMING   </t>
        </is>
      </c>
      <c r="AK163" s="405" t="inlineStr">
        <is>
          <t xml:space="preserve">MO-TO-MO LEASES; CAN'T SEPARATE OWNER/TEN EXP = NOT POSTED.       </t>
        </is>
      </c>
    </row>
    <row r="164" ht="12.75" customFormat="1" customHeight="1" s="605">
      <c r="A164" s="402" t="n">
        <v>6</v>
      </c>
      <c r="B164" s="605" t="n">
        <v>159</v>
      </c>
      <c r="C164" s="605" t="inlineStr">
        <is>
          <t>2013Q</t>
        </is>
      </c>
      <c r="D164" s="605" t="inlineStr">
        <is>
          <t xml:space="preserve">02342-36-015-000 </t>
        </is>
      </c>
      <c r="E164" s="403" t="inlineStr">
        <is>
          <t>Actual</t>
        </is>
      </c>
      <c r="F164" s="605" t="inlineStr">
        <is>
          <t>2033   LAWRENCE             ST</t>
        </is>
      </c>
      <c r="G164" s="605" t="n">
        <v>46.1</v>
      </c>
      <c r="H164" s="605" t="n">
        <v>9202</v>
      </c>
      <c r="I164" s="403" t="n">
        <v>7</v>
      </c>
      <c r="J164" s="404" t="n">
        <v>10000</v>
      </c>
      <c r="K164" s="145" t="n">
        <v>7.8</v>
      </c>
      <c r="L164" s="153" t="n">
        <v>0</v>
      </c>
      <c r="M164" s="153" t="n">
        <v>0.143269230769231</v>
      </c>
      <c r="N164" s="605" t="n">
        <v>1929</v>
      </c>
      <c r="O164" s="605" t="n">
        <v>0</v>
      </c>
      <c r="P164" s="605" t="n">
        <v>970</v>
      </c>
      <c r="Q164" s="605" t="n">
        <v>15</v>
      </c>
      <c r="R164" s="605" t="n">
        <v>1</v>
      </c>
      <c r="S164" s="605" t="n">
        <v>1</v>
      </c>
      <c r="T164" s="403" t="inlineStr">
        <is>
          <t xml:space="preserve">D-AS        </t>
        </is>
      </c>
      <c r="U164" s="605" t="n">
        <v>401</v>
      </c>
      <c r="V164" s="404" t="n">
        <v>5029</v>
      </c>
      <c r="W164" s="404" t="n">
        <v>5000</v>
      </c>
      <c r="X164" s="392" t="inlineStr">
        <is>
          <t>0.5:1</t>
        </is>
      </c>
      <c r="Y164" s="404" t="n">
        <v>10000</v>
      </c>
      <c r="Z164" s="403" t="inlineStr">
        <is>
          <t xml:space="preserve">C </t>
        </is>
      </c>
      <c r="AD164" s="605" t="inlineStr">
        <is>
          <t>S-F-LA POPULAR TORTI</t>
        </is>
      </c>
      <c r="AK164" s="405" t="n"/>
    </row>
    <row r="165" ht="12.75" customFormat="1" customHeight="1" s="605">
      <c r="A165" s="402" t="n">
        <v>6</v>
      </c>
      <c r="B165" s="605" t="n">
        <v>160</v>
      </c>
      <c r="C165" s="605" t="inlineStr">
        <is>
          <t>2013Q</t>
        </is>
      </c>
      <c r="D165" s="605" t="inlineStr">
        <is>
          <t xml:space="preserve">02342-37-010-000 </t>
        </is>
      </c>
      <c r="E165" s="403" t="inlineStr">
        <is>
          <t>Actual</t>
        </is>
      </c>
      <c r="F165" s="605" t="inlineStr">
        <is>
          <t>2006   LAWRENCE             ST</t>
        </is>
      </c>
      <c r="G165" s="605" t="n">
        <v>44.2</v>
      </c>
      <c r="H165" s="605" t="n">
        <v>9202</v>
      </c>
      <c r="I165" s="403" t="n">
        <v>7</v>
      </c>
      <c r="J165" s="404" t="n">
        <v>11788</v>
      </c>
      <c r="K165" s="145" t="n">
        <v>4.76190476190476</v>
      </c>
      <c r="L165" s="153" t="n">
        <v>0.16</v>
      </c>
      <c r="M165" s="153" t="n">
        <v>0.037</v>
      </c>
      <c r="N165" s="605" t="n">
        <v>1930</v>
      </c>
      <c r="O165" s="605" t="n">
        <v>0</v>
      </c>
      <c r="P165" s="605" t="n">
        <v>0</v>
      </c>
      <c r="Q165" s="605" t="n">
        <v>12</v>
      </c>
      <c r="R165" s="605" t="n">
        <v>1</v>
      </c>
      <c r="S165" s="605" t="n">
        <v>4</v>
      </c>
      <c r="T165" s="403" t="inlineStr">
        <is>
          <t xml:space="preserve">D-AS        </t>
        </is>
      </c>
      <c r="U165" s="605" t="n">
        <v>398</v>
      </c>
      <c r="V165" s="404" t="n">
        <v>6251</v>
      </c>
      <c r="W165" s="404" t="n">
        <v>6000</v>
      </c>
      <c r="X165" s="392" t="inlineStr">
        <is>
          <t>0.5:1</t>
        </is>
      </c>
      <c r="Y165" s="404" t="n">
        <v>12000</v>
      </c>
      <c r="Z165" s="403" t="inlineStr">
        <is>
          <t xml:space="preserve">C </t>
        </is>
      </c>
      <c r="AK165" s="405" t="n"/>
    </row>
    <row r="166" ht="25.5" customFormat="1" customHeight="1" s="605">
      <c r="A166" s="402" t="n">
        <v>6</v>
      </c>
      <c r="B166" s="605" t="n">
        <v>161</v>
      </c>
      <c r="C166" s="605" t="inlineStr">
        <is>
          <t>2013Q</t>
        </is>
      </c>
      <c r="D166" s="605" t="inlineStr">
        <is>
          <t xml:space="preserve">05035-04-035-000 </t>
        </is>
      </c>
      <c r="E166" s="403" t="inlineStr">
        <is>
          <t>Actual</t>
        </is>
      </c>
      <c r="F166" s="605" t="inlineStr">
        <is>
          <t>1240   SANTA FE             DR</t>
        </is>
      </c>
      <c r="G166" s="605" t="n">
        <v>44.1</v>
      </c>
      <c r="H166" s="605" t="n">
        <v>9505</v>
      </c>
      <c r="I166" s="403" t="n">
        <v>3</v>
      </c>
      <c r="J166" s="404" t="n">
        <v>10400</v>
      </c>
      <c r="K166" s="145" t="n">
        <v>8.65384615384615</v>
      </c>
      <c r="L166" s="153" t="n">
        <v>0</v>
      </c>
      <c r="M166" s="153" t="n">
        <v>0</v>
      </c>
      <c r="N166" s="605" t="n">
        <v>1964</v>
      </c>
      <c r="O166" s="605" t="n">
        <v>5148</v>
      </c>
      <c r="P166" s="605" t="n">
        <v>0</v>
      </c>
      <c r="Q166" s="605" t="n">
        <v>14</v>
      </c>
      <c r="R166" s="605" t="n">
        <v>1</v>
      </c>
      <c r="S166" s="605" t="n">
        <v>1</v>
      </c>
      <c r="T166" s="403" t="inlineStr">
        <is>
          <t xml:space="preserve">C-MS-8      </t>
        </is>
      </c>
      <c r="U166" s="605" t="n">
        <v>398</v>
      </c>
      <c r="V166" s="404" t="n">
        <v>19156</v>
      </c>
      <c r="W166" s="404" t="n">
        <v>19000</v>
      </c>
      <c r="X166" s="392" t="inlineStr">
        <is>
          <t>1.8:1</t>
        </is>
      </c>
      <c r="Y166" s="404" t="n">
        <v>10000</v>
      </c>
      <c r="Z166" s="403" t="inlineStr">
        <is>
          <t xml:space="preserve">C </t>
        </is>
      </c>
      <c r="AD166" s="605" t="inlineStr">
        <is>
          <t xml:space="preserve">S-W TATTERDEMALION  </t>
        </is>
      </c>
      <c r="AK166" s="405" t="inlineStr">
        <is>
          <t xml:space="preserve">NON-BASE LEASE BUT NEED DATA FOR THIS NBHD.                       </t>
        </is>
      </c>
    </row>
    <row r="167" ht="12.75" customFormat="1" customHeight="1" s="605">
      <c r="A167" s="402" t="n">
        <v>6</v>
      </c>
      <c r="B167" s="605" t="n">
        <v>162</v>
      </c>
      <c r="C167" s="605" t="inlineStr">
        <is>
          <t>2013Q</t>
        </is>
      </c>
      <c r="D167" s="605" t="inlineStr">
        <is>
          <t xml:space="preserve">05041-07-020-000 </t>
        </is>
      </c>
      <c r="E167" s="403" t="inlineStr">
        <is>
          <t>Actual</t>
        </is>
      </c>
      <c r="F167" s="605" t="inlineStr">
        <is>
          <t>1305   OSAGE                ST</t>
        </is>
      </c>
      <c r="G167" s="605" t="n">
        <v>44.1</v>
      </c>
      <c r="H167" s="605" t="n">
        <v>9505</v>
      </c>
      <c r="I167" s="403" t="n">
        <v>0</v>
      </c>
      <c r="J167" s="404" t="n">
        <v>10600</v>
      </c>
      <c r="K167" s="145" t="n">
        <v>8.490566037735849</v>
      </c>
      <c r="L167" s="153" t="n">
        <v>0</v>
      </c>
      <c r="M167" s="153" t="n">
        <v>0</v>
      </c>
      <c r="N167" s="605" t="n">
        <v>1966</v>
      </c>
      <c r="O167" s="605" t="n">
        <v>3480</v>
      </c>
      <c r="P167" s="605" t="n">
        <v>0</v>
      </c>
      <c r="Q167" s="605" t="n">
        <v>13</v>
      </c>
      <c r="R167" s="605" t="n">
        <v>8</v>
      </c>
      <c r="S167" s="605" t="n">
        <v>1</v>
      </c>
      <c r="T167" s="403" t="inlineStr">
        <is>
          <t xml:space="preserve">G-MX-3      </t>
        </is>
      </c>
      <c r="U167" s="605" t="n">
        <v>397</v>
      </c>
      <c r="V167" s="404" t="n">
        <v>25019</v>
      </c>
      <c r="W167" s="404" t="n">
        <v>25000</v>
      </c>
      <c r="X167" s="392" t="inlineStr">
        <is>
          <t>2.4:1</t>
        </is>
      </c>
      <c r="Y167" s="404" t="n">
        <v>11000</v>
      </c>
      <c r="Z167" s="403" t="inlineStr">
        <is>
          <t xml:space="preserve">C </t>
        </is>
      </c>
      <c r="AD167" s="605" t="inlineStr">
        <is>
          <t xml:space="preserve">DIST-J-8 EQUIPMENT  </t>
        </is>
      </c>
      <c r="AK167" s="405" t="n"/>
    </row>
    <row r="168" ht="12.75" customFormat="1" customHeight="1" s="605">
      <c r="A168" s="402" t="n">
        <v>6</v>
      </c>
      <c r="B168" s="605" t="n">
        <v>163</v>
      </c>
      <c r="C168" s="605" t="inlineStr">
        <is>
          <t>2013Q</t>
        </is>
      </c>
      <c r="D168" s="605" t="inlineStr">
        <is>
          <t xml:space="preserve">05042-01-047-000 </t>
        </is>
      </c>
      <c r="E168" s="403" t="inlineStr">
        <is>
          <t>Actual</t>
        </is>
      </c>
      <c r="F168" s="605" t="inlineStr">
        <is>
          <t>1801 W COLFAX               AV</t>
        </is>
      </c>
      <c r="G168" s="605" t="n">
        <v>44.1</v>
      </c>
      <c r="H168" s="605" t="n">
        <v>9505</v>
      </c>
      <c r="I168" s="403" t="n">
        <v>0</v>
      </c>
      <c r="J168" s="404" t="n">
        <v>5038</v>
      </c>
      <c r="K168" s="145" t="n">
        <v>4.32711393410083</v>
      </c>
      <c r="L168" s="153" t="n">
        <v>0</v>
      </c>
      <c r="M168" s="153" t="n">
        <v>0.261605504587156</v>
      </c>
      <c r="N168" s="605" t="n">
        <v>1953</v>
      </c>
      <c r="O168" s="605" t="n">
        <v>325</v>
      </c>
      <c r="P168" s="605" t="n">
        <v>0</v>
      </c>
      <c r="Q168" s="605" t="n">
        <v>13</v>
      </c>
      <c r="R168" s="605" t="n">
        <v>6</v>
      </c>
      <c r="S168" s="605" t="n">
        <v>1</v>
      </c>
      <c r="T168" s="403" t="inlineStr">
        <is>
          <t xml:space="preserve">I-B         </t>
        </is>
      </c>
      <c r="U168" s="605" t="n">
        <v>398</v>
      </c>
      <c r="V168" s="404" t="n">
        <v>25929</v>
      </c>
      <c r="W168" s="404" t="n">
        <v>26000</v>
      </c>
      <c r="X168" s="392" t="inlineStr">
        <is>
          <t>5.1:1</t>
        </is>
      </c>
      <c r="Y168" s="404" t="n">
        <v>5000</v>
      </c>
      <c r="Z168" s="403" t="inlineStr">
        <is>
          <t xml:space="preserve">C </t>
        </is>
      </c>
      <c r="AK168" s="405" t="inlineStr">
        <is>
          <t xml:space="preserve">2010 LEASE.                                                       </t>
        </is>
      </c>
    </row>
    <row r="169" ht="12.75" customFormat="1" customHeight="1" s="605">
      <c r="A169" s="402" t="n">
        <v>6</v>
      </c>
      <c r="B169" s="605" t="n">
        <v>164</v>
      </c>
      <c r="C169" s="605" t="inlineStr">
        <is>
          <t>2013Q</t>
        </is>
      </c>
      <c r="D169" s="605" t="inlineStr">
        <is>
          <t xml:space="preserve">05042-01-049-000 </t>
        </is>
      </c>
      <c r="E169" s="403" t="inlineStr">
        <is>
          <t>Actual</t>
        </is>
      </c>
      <c r="F169" s="605" t="inlineStr">
        <is>
          <t>1835 W COLFAX               AV</t>
        </is>
      </c>
      <c r="G169" s="605" t="n">
        <v>44.1</v>
      </c>
      <c r="H169" s="605" t="n">
        <v>9505</v>
      </c>
      <c r="I169" s="403" t="n">
        <v>0</v>
      </c>
      <c r="J169" s="404" t="n">
        <v>6022</v>
      </c>
      <c r="K169" s="145" t="n">
        <v>6.57588840916639</v>
      </c>
      <c r="L169" s="153" t="n">
        <v>0</v>
      </c>
      <c r="M169" s="153" t="n">
        <v>0.225984848484849</v>
      </c>
      <c r="N169" s="605" t="n">
        <v>1981</v>
      </c>
      <c r="O169" s="605" t="n">
        <v>1470</v>
      </c>
      <c r="P169" s="605" t="n">
        <v>0</v>
      </c>
      <c r="Q169" s="605" t="n">
        <v>15</v>
      </c>
      <c r="R169" s="605" t="n">
        <v>3</v>
      </c>
      <c r="S169" s="605" t="n">
        <v>1</v>
      </c>
      <c r="T169" s="403" t="inlineStr">
        <is>
          <t xml:space="preserve">I-B         </t>
        </is>
      </c>
      <c r="U169" s="605" t="n">
        <v>398</v>
      </c>
      <c r="V169" s="404" t="n">
        <v>13115</v>
      </c>
      <c r="W169" s="404" t="n">
        <v>13000</v>
      </c>
      <c r="X169" s="392" t="inlineStr">
        <is>
          <t>2.2:1</t>
        </is>
      </c>
      <c r="Y169" s="404" t="n">
        <v>6000</v>
      </c>
      <c r="Z169" s="403" t="inlineStr">
        <is>
          <t xml:space="preserve">C </t>
        </is>
      </c>
      <c r="AK169" s="405" t="inlineStr">
        <is>
          <t xml:space="preserve">2010 LEASE.                                                       </t>
        </is>
      </c>
    </row>
    <row r="170" ht="12.75" customFormat="1" customHeight="1" s="605">
      <c r="A170" s="402" t="n">
        <v>6</v>
      </c>
      <c r="B170" s="605" t="n">
        <v>165</v>
      </c>
      <c r="C170" s="605" t="inlineStr">
        <is>
          <t>2013Q</t>
        </is>
      </c>
      <c r="D170" s="605" t="inlineStr">
        <is>
          <t xml:space="preserve">05042-14-011-000 </t>
        </is>
      </c>
      <c r="E170" s="403" t="inlineStr">
        <is>
          <t>Actual</t>
        </is>
      </c>
      <c r="F170" s="605" t="inlineStr">
        <is>
          <t>1945 W 13TH                 AV</t>
        </is>
      </c>
      <c r="G170" s="605" t="n">
        <v>44.2</v>
      </c>
      <c r="H170" s="605" t="n">
        <v>9505</v>
      </c>
      <c r="I170" s="403" t="n">
        <v>0</v>
      </c>
      <c r="J170" s="404" t="n">
        <v>32231</v>
      </c>
      <c r="K170" s="145" t="n">
        <v>4.95076168905712</v>
      </c>
      <c r="L170" s="153" t="n">
        <v>0</v>
      </c>
      <c r="M170" s="153" t="n">
        <v>0.06517597513285869</v>
      </c>
      <c r="N170" s="605" t="n">
        <v>1972</v>
      </c>
      <c r="O170" s="605" t="n">
        <v>5413</v>
      </c>
      <c r="P170" s="605" t="n">
        <v>0</v>
      </c>
      <c r="Q170" s="605" t="n">
        <v>24</v>
      </c>
      <c r="R170" s="605" t="n">
        <v>14</v>
      </c>
      <c r="S170" s="605" t="n">
        <v>3</v>
      </c>
      <c r="T170" s="403" t="inlineStr">
        <is>
          <t xml:space="preserve">I-MX-5      </t>
        </is>
      </c>
      <c r="U170" s="605" t="n">
        <v>398</v>
      </c>
      <c r="V170" s="404" t="n">
        <v>53550</v>
      </c>
      <c r="W170" s="404" t="n">
        <v>54000</v>
      </c>
      <c r="X170" s="392" t="inlineStr">
        <is>
          <t>1.7:1</t>
        </is>
      </c>
      <c r="Y170" s="404" t="n">
        <v>32000</v>
      </c>
      <c r="Z170" s="403" t="inlineStr">
        <is>
          <t xml:space="preserve">C </t>
        </is>
      </c>
      <c r="AK170" s="405" t="inlineStr">
        <is>
          <t xml:space="preserve">LEASE COMMENCEMENT UNKNOWN.                                       </t>
        </is>
      </c>
    </row>
    <row r="171" ht="12.75" customFormat="1" customHeight="1" s="605">
      <c r="A171" s="402" t="n">
        <v>6</v>
      </c>
      <c r="B171" s="605" t="n">
        <v>166</v>
      </c>
      <c r="C171" s="605" t="inlineStr">
        <is>
          <t>2013Q</t>
        </is>
      </c>
      <c r="D171" s="605" t="inlineStr">
        <is>
          <t xml:space="preserve">05042-15-002-000 </t>
        </is>
      </c>
      <c r="E171" s="403" t="inlineStr">
        <is>
          <t>Actual</t>
        </is>
      </c>
      <c r="F171" s="605" t="inlineStr">
        <is>
          <t>1881 W 13TH                 AV</t>
        </is>
      </c>
      <c r="G171" s="605" t="n">
        <v>44.1</v>
      </c>
      <c r="H171" s="605" t="n">
        <v>9505</v>
      </c>
      <c r="I171" s="403" t="n">
        <v>0</v>
      </c>
      <c r="J171" s="404" t="n">
        <v>8944</v>
      </c>
      <c r="K171" s="145" t="n">
        <v>4.65966010733453</v>
      </c>
      <c r="L171" s="153" t="n">
        <v>0</v>
      </c>
      <c r="M171" s="153" t="n">
        <v>0</v>
      </c>
      <c r="N171" s="605" t="n">
        <v>1985</v>
      </c>
      <c r="O171" s="605" t="n">
        <v>5199</v>
      </c>
      <c r="P171" s="605" t="n">
        <v>0</v>
      </c>
      <c r="Q171" s="605" t="n">
        <v>20</v>
      </c>
      <c r="R171" s="605" t="n">
        <v>3</v>
      </c>
      <c r="S171" s="605" t="n">
        <v>1</v>
      </c>
      <c r="T171" s="403" t="inlineStr">
        <is>
          <t xml:space="preserve">I-MX-5      </t>
        </is>
      </c>
      <c r="U171" s="605" t="n">
        <v>398</v>
      </c>
      <c r="V171" s="404" t="n">
        <v>53100</v>
      </c>
      <c r="W171" s="404" t="n">
        <v>53000</v>
      </c>
      <c r="X171" s="392" t="inlineStr">
        <is>
          <t>5.9:1</t>
        </is>
      </c>
      <c r="Y171" s="404" t="n">
        <v>9000</v>
      </c>
      <c r="Z171" s="403" t="inlineStr">
        <is>
          <t xml:space="preserve">C </t>
        </is>
      </c>
      <c r="AD171" s="605" t="inlineStr">
        <is>
          <t xml:space="preserve">CFI WEST            </t>
        </is>
      </c>
      <c r="AK171" s="405" t="n"/>
    </row>
    <row r="172" ht="12.75" customFormat="1" customHeight="1" s="605">
      <c r="A172" s="402" t="n">
        <v>6</v>
      </c>
      <c r="B172" s="605" t="n">
        <v>167</v>
      </c>
      <c r="C172" s="605" t="inlineStr">
        <is>
          <t>2013Q</t>
        </is>
      </c>
      <c r="D172" s="605" t="inlineStr">
        <is>
          <t xml:space="preserve">05042-18-014-000 </t>
        </is>
      </c>
      <c r="E172" s="403" t="inlineStr">
        <is>
          <t>Actual</t>
        </is>
      </c>
      <c r="F172" s="605" t="inlineStr">
        <is>
          <t>1201   PECOS                ST</t>
        </is>
      </c>
      <c r="G172" s="605" t="n">
        <v>47.1</v>
      </c>
      <c r="H172" s="605" t="n">
        <v>9505</v>
      </c>
      <c r="I172" s="403" t="n">
        <v>0</v>
      </c>
      <c r="J172" s="404" t="n">
        <v>5328</v>
      </c>
      <c r="K172" s="145" t="n">
        <v>3.37837837837838</v>
      </c>
      <c r="L172" s="153" t="n">
        <v>0</v>
      </c>
      <c r="M172" s="153" t="n">
        <v>0</v>
      </c>
      <c r="N172" s="605" t="n">
        <v>1952</v>
      </c>
      <c r="O172" s="605" t="n">
        <v>0</v>
      </c>
      <c r="P172" s="605" t="n">
        <v>0</v>
      </c>
      <c r="Q172" s="605" t="n">
        <v>12</v>
      </c>
      <c r="R172" s="605" t="n">
        <v>1</v>
      </c>
      <c r="S172" s="605" t="n">
        <v>1</v>
      </c>
      <c r="T172" s="403" t="inlineStr">
        <is>
          <t xml:space="preserve">I-MX-5      </t>
        </is>
      </c>
      <c r="U172" s="605" t="n">
        <v>401</v>
      </c>
      <c r="V172" s="404" t="n">
        <v>10845</v>
      </c>
      <c r="W172" s="404" t="n">
        <v>11000</v>
      </c>
      <c r="X172" s="392" t="inlineStr">
        <is>
          <t>2:1</t>
        </is>
      </c>
      <c r="Y172" s="404" t="n">
        <v>5000</v>
      </c>
      <c r="Z172" s="403" t="inlineStr">
        <is>
          <t xml:space="preserve">C </t>
        </is>
      </c>
      <c r="AK172" s="405" t="inlineStr">
        <is>
          <t xml:space="preserve">LEASE COMMENCEMENT UNKNOWN.                                       </t>
        </is>
      </c>
    </row>
    <row r="173" ht="12.75" customFormat="1" customHeight="1" s="605">
      <c r="A173" s="402" t="n">
        <v>6</v>
      </c>
      <c r="B173" s="605" t="n">
        <v>168</v>
      </c>
      <c r="C173" s="605" t="inlineStr">
        <is>
          <t>2013Q</t>
        </is>
      </c>
      <c r="D173" s="605" t="inlineStr">
        <is>
          <t xml:space="preserve">05042-22-025-000 </t>
        </is>
      </c>
      <c r="E173" s="403" t="inlineStr">
        <is>
          <t>Actual</t>
        </is>
      </c>
      <c r="F173" s="605" t="inlineStr">
        <is>
          <t>1965 W 12TH                 PL</t>
        </is>
      </c>
      <c r="G173" s="605" t="n">
        <v>44.1</v>
      </c>
      <c r="H173" s="605" t="n">
        <v>9505</v>
      </c>
      <c r="I173" s="403" t="n">
        <v>0</v>
      </c>
      <c r="J173" s="404" t="n">
        <v>6504</v>
      </c>
      <c r="K173" s="145" t="n">
        <v>7.56457564575646</v>
      </c>
      <c r="L173" s="153" t="n">
        <v>0</v>
      </c>
      <c r="M173" s="153" t="n">
        <v>0.0386382113821138</v>
      </c>
      <c r="N173" s="605" t="n">
        <v>1974</v>
      </c>
      <c r="O173" s="605" t="n">
        <v>720</v>
      </c>
      <c r="P173" s="605" t="n">
        <v>0</v>
      </c>
      <c r="Q173" s="605" t="n">
        <v>12</v>
      </c>
      <c r="R173" s="605" t="n">
        <v>1</v>
      </c>
      <c r="S173" s="605" t="n">
        <v>1</v>
      </c>
      <c r="T173" s="403" t="inlineStr">
        <is>
          <t xml:space="preserve">I-MX-5      </t>
        </is>
      </c>
      <c r="U173" s="605" t="n">
        <v>398</v>
      </c>
      <c r="V173" s="404" t="n">
        <v>15845</v>
      </c>
      <c r="W173" s="404" t="n">
        <v>16000</v>
      </c>
      <c r="X173" s="392" t="inlineStr">
        <is>
          <t>2.4:1</t>
        </is>
      </c>
      <c r="Y173" s="404" t="n">
        <v>7000</v>
      </c>
      <c r="Z173" s="403" t="inlineStr">
        <is>
          <t xml:space="preserve">C </t>
        </is>
      </c>
      <c r="AK173" s="405" t="n"/>
    </row>
    <row r="174" ht="12.75" customFormat="1" customHeight="1" s="605">
      <c r="A174" s="402" t="n">
        <v>6</v>
      </c>
      <c r="B174" s="605" t="n">
        <v>169</v>
      </c>
      <c r="C174" s="605" t="inlineStr">
        <is>
          <t>2013Q</t>
        </is>
      </c>
      <c r="D174" s="605" t="inlineStr">
        <is>
          <t xml:space="preserve">05043-28-044-000 </t>
        </is>
      </c>
      <c r="E174" s="403" t="inlineStr">
        <is>
          <t>Actual</t>
        </is>
      </c>
      <c r="F174" s="605" t="inlineStr">
        <is>
          <t>900   WYANDOT              ST</t>
        </is>
      </c>
      <c r="G174" s="605" t="n">
        <v>44.2</v>
      </c>
      <c r="H174" s="605" t="n">
        <v>9505</v>
      </c>
      <c r="I174" s="403" t="n">
        <v>0</v>
      </c>
      <c r="J174" s="404" t="n">
        <v>38324</v>
      </c>
      <c r="K174" s="145" t="n">
        <v>5.63683331593779</v>
      </c>
      <c r="L174" s="153" t="n">
        <v>0</v>
      </c>
      <c r="M174" s="153" t="n">
        <v>0</v>
      </c>
      <c r="N174" s="605" t="n">
        <v>1979</v>
      </c>
      <c r="O174" s="605" t="n">
        <v>3210</v>
      </c>
      <c r="P174" s="605" t="n">
        <v>4222</v>
      </c>
      <c r="Q174" s="605" t="n">
        <v>20</v>
      </c>
      <c r="R174" s="605" t="n">
        <v>14</v>
      </c>
      <c r="S174" s="605" t="n">
        <v>2</v>
      </c>
      <c r="T174" s="403" t="inlineStr">
        <is>
          <t xml:space="preserve">I-B         </t>
        </is>
      </c>
      <c r="U174" s="605" t="n">
        <v>398</v>
      </c>
      <c r="V174" s="404" t="n">
        <v>58979</v>
      </c>
      <c r="W174" s="404" t="n">
        <v>59000</v>
      </c>
      <c r="X174" s="392" t="inlineStr">
        <is>
          <t>1.5:1</t>
        </is>
      </c>
      <c r="Y174" s="404" t="n">
        <v>38000</v>
      </c>
      <c r="Z174" s="403" t="inlineStr">
        <is>
          <t xml:space="preserve">C </t>
        </is>
      </c>
      <c r="AD174" s="605" t="inlineStr">
        <is>
          <t xml:space="preserve">M-WHSE              </t>
        </is>
      </c>
      <c r="AK174" s="405" t="n"/>
    </row>
    <row r="175" ht="12.75" customFormat="1" customHeight="1" s="605">
      <c r="A175" s="402" t="n">
        <v>6</v>
      </c>
      <c r="B175" s="605" t="n">
        <v>170</v>
      </c>
      <c r="C175" s="605" t="inlineStr">
        <is>
          <t>2013Q</t>
        </is>
      </c>
      <c r="D175" s="605" t="inlineStr">
        <is>
          <t xml:space="preserve">05043-38-001-000 </t>
        </is>
      </c>
      <c r="E175" s="403" t="inlineStr">
        <is>
          <t>Actual</t>
        </is>
      </c>
      <c r="F175" s="605" t="inlineStr">
        <is>
          <t>951   VALLEJO              ST</t>
        </is>
      </c>
      <c r="G175" s="605" t="n">
        <v>44.1</v>
      </c>
      <c r="H175" s="605" t="n">
        <v>9505</v>
      </c>
      <c r="I175" s="403" t="n">
        <v>0</v>
      </c>
      <c r="J175" s="404" t="n">
        <v>6035</v>
      </c>
      <c r="K175" s="145" t="n">
        <v>10.9362054681027</v>
      </c>
      <c r="L175" s="153" t="n">
        <v>0</v>
      </c>
      <c r="M175" s="153" t="n">
        <v>0.0556969696969697</v>
      </c>
      <c r="N175" s="605" t="n">
        <v>1963</v>
      </c>
      <c r="O175" s="605" t="n">
        <v>3240</v>
      </c>
      <c r="P175" s="605" t="n">
        <v>0</v>
      </c>
      <c r="Q175" s="605" t="n">
        <v>14</v>
      </c>
      <c r="R175" s="605" t="n">
        <v>1</v>
      </c>
      <c r="S175" s="605" t="n">
        <v>2</v>
      </c>
      <c r="T175" s="403" t="inlineStr">
        <is>
          <t xml:space="preserve">I-B         </t>
        </is>
      </c>
      <c r="U175" s="605" t="n">
        <v>398</v>
      </c>
      <c r="V175" s="404" t="n">
        <v>13219</v>
      </c>
      <c r="W175" s="404" t="n">
        <v>13000</v>
      </c>
      <c r="X175" s="392" t="inlineStr">
        <is>
          <t>2.2:1</t>
        </is>
      </c>
      <c r="Y175" s="404" t="n">
        <v>6000</v>
      </c>
      <c r="Z175" s="403" t="inlineStr">
        <is>
          <t xml:space="preserve">C </t>
        </is>
      </c>
      <c r="AK175" s="405" t="n"/>
    </row>
    <row r="176" ht="12.75" customFormat="1" customHeight="1" s="605">
      <c r="A176" s="402" t="n">
        <v>6</v>
      </c>
      <c r="B176" s="605" t="n">
        <v>171</v>
      </c>
      <c r="C176" s="605" t="inlineStr">
        <is>
          <t>2013Q</t>
        </is>
      </c>
      <c r="D176" s="605" t="inlineStr">
        <is>
          <t xml:space="preserve">05044-17-007-000 </t>
        </is>
      </c>
      <c r="E176" s="403" t="inlineStr">
        <is>
          <t>Actual</t>
        </is>
      </c>
      <c r="F176" s="605" t="inlineStr">
        <is>
          <t>845   NAVAJO               ST</t>
        </is>
      </c>
      <c r="G176" s="605" t="n">
        <v>44.1</v>
      </c>
      <c r="H176" s="605" t="n">
        <v>9505</v>
      </c>
      <c r="I176" s="403" t="n">
        <v>0</v>
      </c>
      <c r="J176" s="404" t="n">
        <v>5580</v>
      </c>
      <c r="K176" s="145" t="n">
        <v>11.8279569892473</v>
      </c>
      <c r="L176" s="153" t="n">
        <v>0</v>
      </c>
      <c r="M176" s="153" t="n">
        <v>0</v>
      </c>
      <c r="N176" s="605" t="n">
        <v>1965</v>
      </c>
      <c r="O176" s="605" t="n">
        <v>1571</v>
      </c>
      <c r="P176" s="605" t="n">
        <v>0</v>
      </c>
      <c r="Q176" s="605" t="n">
        <v>15</v>
      </c>
      <c r="R176" s="605" t="n">
        <v>3</v>
      </c>
      <c r="S176" s="605" t="n">
        <v>1</v>
      </c>
      <c r="T176" s="403" t="inlineStr">
        <is>
          <t xml:space="preserve">I-A         </t>
        </is>
      </c>
      <c r="U176" s="605" t="n">
        <v>398</v>
      </c>
      <c r="V176" s="404" t="n">
        <v>8800</v>
      </c>
      <c r="W176" s="404" t="n">
        <v>9000</v>
      </c>
      <c r="X176" s="392" t="inlineStr">
        <is>
          <t>1.6:1</t>
        </is>
      </c>
      <c r="Y176" s="404" t="n">
        <v>6000</v>
      </c>
      <c r="Z176" s="403" t="inlineStr">
        <is>
          <t xml:space="preserve">C </t>
        </is>
      </c>
      <c r="AK176" s="405" t="inlineStr">
        <is>
          <t xml:space="preserve">2009 LEASE.                                                       </t>
        </is>
      </c>
    </row>
    <row r="177" ht="12.75" customFormat="1" customHeight="1" s="605">
      <c r="A177" s="402" t="n">
        <v>6</v>
      </c>
      <c r="B177" s="605" t="n">
        <v>171.2</v>
      </c>
      <c r="C177" s="605" t="inlineStr">
        <is>
          <t>2013Q</t>
        </is>
      </c>
      <c r="D177" s="605" t="inlineStr">
        <is>
          <t>05044-23-035-000</t>
        </is>
      </c>
      <c r="E177" s="403" t="inlineStr">
        <is>
          <t>Actual</t>
        </is>
      </c>
      <c r="F177" s="605" t="inlineStr">
        <is>
          <t>680 Lipan St</t>
        </is>
      </c>
      <c r="G177" s="605" t="n">
        <v>44.2</v>
      </c>
      <c r="H177" s="605" t="n">
        <v>9505</v>
      </c>
      <c r="I177" s="403" t="n">
        <v>0</v>
      </c>
      <c r="J177" s="404" t="n">
        <v>14906</v>
      </c>
      <c r="K177" s="145" t="n">
        <v>4.75</v>
      </c>
      <c r="L177" s="153" t="n">
        <v>0</v>
      </c>
      <c r="M177" s="153" t="n">
        <v>0.05</v>
      </c>
      <c r="N177" s="605" t="n">
        <v>1963</v>
      </c>
      <c r="O177" s="605" t="n">
        <v>5000</v>
      </c>
      <c r="P177" s="605" t="n">
        <v>0</v>
      </c>
      <c r="Q177" s="605" t="n">
        <v>19</v>
      </c>
      <c r="R177" s="605" t="n">
        <v>3</v>
      </c>
      <c r="S177" s="605" t="n">
        <v>1</v>
      </c>
      <c r="T177" s="403" t="inlineStr">
        <is>
          <t xml:space="preserve">I-A         </t>
        </is>
      </c>
      <c r="U177" s="605" t="n">
        <v>398</v>
      </c>
      <c r="V177" s="404" t="n">
        <v>31899</v>
      </c>
      <c r="W177" s="404" t="n">
        <v>32000</v>
      </c>
      <c r="X177" s="392" t="inlineStr">
        <is>
          <t>2.1:1</t>
        </is>
      </c>
      <c r="Y177" s="404" t="n">
        <v>15000</v>
      </c>
      <c r="Z177" s="403" t="inlineStr">
        <is>
          <t xml:space="preserve">C </t>
        </is>
      </c>
    </row>
    <row r="178" ht="12.75" customFormat="1" customHeight="1" s="605">
      <c r="A178" s="402" t="n">
        <v>6</v>
      </c>
      <c r="B178" s="605" t="n">
        <v>172</v>
      </c>
      <c r="C178" s="605" t="inlineStr">
        <is>
          <t>2013Q</t>
        </is>
      </c>
      <c r="D178" s="605" t="inlineStr">
        <is>
          <t xml:space="preserve">05052-19-002-000 </t>
        </is>
      </c>
      <c r="E178" s="403" t="inlineStr">
        <is>
          <t>Actual</t>
        </is>
      </c>
      <c r="F178" s="605" t="inlineStr">
        <is>
          <t>3101 W 14TH                 AV</t>
        </is>
      </c>
      <c r="G178" s="605" t="n">
        <v>44.1</v>
      </c>
      <c r="H178" s="605" t="n">
        <v>9508</v>
      </c>
      <c r="I178" s="403" t="n">
        <v>0</v>
      </c>
      <c r="J178" s="404" t="n">
        <v>5000</v>
      </c>
      <c r="K178" s="145" t="n">
        <v>6</v>
      </c>
      <c r="L178" s="153" t="n">
        <v>0</v>
      </c>
      <c r="M178" s="153" t="n">
        <v>0.0642333333333333</v>
      </c>
      <c r="N178" s="605" t="n">
        <v>1972</v>
      </c>
      <c r="O178" s="605" t="n">
        <v>1600</v>
      </c>
      <c r="P178" s="605" t="n">
        <v>0</v>
      </c>
      <c r="Q178" s="605" t="n">
        <v>11</v>
      </c>
      <c r="R178" s="605" t="n">
        <v>8</v>
      </c>
      <c r="S178" s="605" t="n">
        <v>1</v>
      </c>
      <c r="T178" s="403" t="inlineStr">
        <is>
          <t xml:space="preserve">C-MX-5      </t>
        </is>
      </c>
      <c r="U178" s="605" t="n">
        <v>398</v>
      </c>
      <c r="V178" s="404" t="n">
        <v>17464</v>
      </c>
      <c r="W178" s="404" t="n">
        <v>17000</v>
      </c>
      <c r="X178" s="392" t="inlineStr">
        <is>
          <t>3.5:1</t>
        </is>
      </c>
      <c r="Y178" s="404" t="n">
        <v>5000</v>
      </c>
      <c r="Z178" s="403" t="inlineStr">
        <is>
          <t xml:space="preserve">C </t>
        </is>
      </c>
      <c r="AD178" s="605" t="inlineStr">
        <is>
          <t xml:space="preserve">MENTAL HEALTH SERV  </t>
        </is>
      </c>
      <c r="AK178" s="405" t="inlineStr">
        <is>
          <t xml:space="preserve">2010 LEASE PER COSTAR.                                            </t>
        </is>
      </c>
    </row>
    <row r="179" ht="12.75" customFormat="1" customHeight="1" s="605">
      <c r="A179" s="402" t="n">
        <v>6</v>
      </c>
      <c r="B179" s="605" t="n">
        <v>173</v>
      </c>
      <c r="C179" s="605" t="inlineStr">
        <is>
          <t>2013Q</t>
        </is>
      </c>
      <c r="D179" s="605" t="inlineStr">
        <is>
          <t xml:space="preserve">05054-25-003-000 </t>
        </is>
      </c>
      <c r="E179" s="403" t="inlineStr">
        <is>
          <t>Actual</t>
        </is>
      </c>
      <c r="F179" s="605" t="inlineStr">
        <is>
          <t>2506 W BARBERRY             PL</t>
        </is>
      </c>
      <c r="G179" s="605" t="n">
        <v>44.2</v>
      </c>
      <c r="H179" s="605" t="n">
        <v>9508</v>
      </c>
      <c r="I179" s="403" t="n">
        <v>0</v>
      </c>
      <c r="J179" s="404" t="n">
        <v>45304</v>
      </c>
      <c r="K179" s="145" t="n">
        <v>5.73446053328624</v>
      </c>
      <c r="L179" s="153" t="n">
        <v>0</v>
      </c>
      <c r="M179" s="153" t="n">
        <v>0.171616742495978</v>
      </c>
      <c r="N179" s="605" t="n">
        <v>1961</v>
      </c>
      <c r="O179" s="605" t="n">
        <v>9060</v>
      </c>
      <c r="P179" s="605" t="n">
        <v>0</v>
      </c>
      <c r="Q179" s="605" t="n">
        <v>17</v>
      </c>
      <c r="R179" s="605" t="n">
        <v>1</v>
      </c>
      <c r="S179" s="605" t="n">
        <v>1</v>
      </c>
      <c r="T179" s="403" t="inlineStr">
        <is>
          <t xml:space="preserve">I-A         </t>
        </is>
      </c>
      <c r="U179" s="605" t="n">
        <v>398</v>
      </c>
      <c r="V179" s="404" t="n">
        <v>77700</v>
      </c>
      <c r="W179" s="404" t="n">
        <v>78000</v>
      </c>
      <c r="X179" s="392" t="inlineStr">
        <is>
          <t>1.7:1</t>
        </is>
      </c>
      <c r="Y179" s="404" t="n">
        <v>45000</v>
      </c>
      <c r="Z179" s="403" t="inlineStr">
        <is>
          <t xml:space="preserve">C </t>
        </is>
      </c>
      <c r="AK179" s="405" t="inlineStr">
        <is>
          <t xml:space="preserve">AGE OF LEASES UNKNOWN.                                            </t>
        </is>
      </c>
    </row>
    <row r="180" ht="12.75" customFormat="1" customHeight="1" s="605">
      <c r="A180" s="402" t="n">
        <v>6</v>
      </c>
      <c r="B180" s="605" t="n">
        <v>174</v>
      </c>
      <c r="C180" s="605" t="inlineStr">
        <is>
          <t>2013Q</t>
        </is>
      </c>
      <c r="D180" s="605" t="inlineStr">
        <is>
          <t xml:space="preserve">05062-04-018-000 </t>
        </is>
      </c>
      <c r="E180" s="403" t="inlineStr">
        <is>
          <t>Actual</t>
        </is>
      </c>
      <c r="F180" s="605" t="inlineStr">
        <is>
          <t>4700 W COLFAX               AV</t>
        </is>
      </c>
      <c r="G180" s="406" t="n">
        <v>46</v>
      </c>
      <c r="H180" s="605" t="n">
        <v>9508</v>
      </c>
      <c r="I180" s="403" t="n">
        <v>4</v>
      </c>
      <c r="J180" s="404" t="n">
        <v>7221</v>
      </c>
      <c r="K180" s="145" t="n">
        <v>6.85714285714286</v>
      </c>
      <c r="L180" s="153" t="n">
        <v>0</v>
      </c>
      <c r="M180" s="153" t="n">
        <v>0</v>
      </c>
      <c r="N180" s="605" t="n">
        <v>1948</v>
      </c>
      <c r="O180" s="605" t="n">
        <v>0</v>
      </c>
      <c r="P180" s="605" t="n">
        <v>0</v>
      </c>
      <c r="Q180" s="605" t="n">
        <v>12</v>
      </c>
      <c r="R180" s="605" t="n">
        <v>1</v>
      </c>
      <c r="S180" s="605" t="n">
        <v>1</v>
      </c>
      <c r="T180" s="403" t="inlineStr">
        <is>
          <t xml:space="preserve">U-MS-5      </t>
        </is>
      </c>
      <c r="U180" s="605" t="n">
        <v>401</v>
      </c>
      <c r="V180" s="404" t="n">
        <v>12500</v>
      </c>
      <c r="W180" s="404" t="n">
        <v>13000</v>
      </c>
      <c r="X180" s="392" t="inlineStr">
        <is>
          <t>1.7:1</t>
        </is>
      </c>
      <c r="Y180" s="404" t="n">
        <v>7000</v>
      </c>
      <c r="Z180" s="403" t="inlineStr">
        <is>
          <t xml:space="preserve">C </t>
        </is>
      </c>
      <c r="AD180" s="605" t="inlineStr">
        <is>
          <t>FRANK'S BBQ CATERING</t>
        </is>
      </c>
      <c r="AK180" s="405" t="n"/>
    </row>
    <row r="181" ht="12.75" customFormat="1" customHeight="1" s="605">
      <c r="A181" s="402" t="n">
        <v>6</v>
      </c>
      <c r="B181" s="605" t="n">
        <v>175</v>
      </c>
      <c r="C181" s="605" t="inlineStr">
        <is>
          <t>2013Q</t>
        </is>
      </c>
      <c r="D181" s="605" t="inlineStr">
        <is>
          <t xml:space="preserve">05081-04-016-000 </t>
        </is>
      </c>
      <c r="E181" s="403" t="inlineStr">
        <is>
          <t>Actual</t>
        </is>
      </c>
      <c r="F181" s="605" t="inlineStr">
        <is>
          <t>695   CANOSA               CT</t>
        </is>
      </c>
      <c r="G181" s="605" t="n">
        <v>44.2</v>
      </c>
      <c r="H181" s="605" t="n">
        <v>9508</v>
      </c>
      <c r="I181" s="403" t="n">
        <v>0</v>
      </c>
      <c r="J181" s="404" t="n">
        <v>18000</v>
      </c>
      <c r="K181" s="145" t="n">
        <v>6.36666666666667</v>
      </c>
      <c r="L181" s="153" t="n">
        <v>0</v>
      </c>
      <c r="M181" s="153" t="n">
        <v>0.0404013961605585</v>
      </c>
      <c r="N181" s="605" t="n">
        <v>1954</v>
      </c>
      <c r="O181" s="605" t="n">
        <v>4000</v>
      </c>
      <c r="P181" s="605" t="n">
        <v>0</v>
      </c>
      <c r="Q181" s="605" t="n">
        <v>14</v>
      </c>
      <c r="R181" s="605" t="n">
        <v>1</v>
      </c>
      <c r="S181" s="605" t="n">
        <v>2</v>
      </c>
      <c r="T181" s="403" t="inlineStr">
        <is>
          <t xml:space="preserve">I-A         </t>
        </is>
      </c>
      <c r="U181" s="605" t="n">
        <v>398</v>
      </c>
      <c r="V181" s="404" t="n">
        <v>34375</v>
      </c>
      <c r="W181" s="404" t="n">
        <v>34000</v>
      </c>
      <c r="X181" s="392" t="inlineStr">
        <is>
          <t>1.9:1</t>
        </is>
      </c>
      <c r="Y181" s="404" t="n">
        <v>18000</v>
      </c>
      <c r="Z181" s="403" t="inlineStr">
        <is>
          <t xml:space="preserve">C </t>
        </is>
      </c>
      <c r="AD181" s="605" t="inlineStr">
        <is>
          <t xml:space="preserve">M-W GREAT INDOORS   </t>
        </is>
      </c>
      <c r="AK181" s="405" t="n"/>
    </row>
    <row r="182" ht="12.75" customFormat="1" customHeight="1" s="605">
      <c r="A182" s="402" t="n">
        <v>6</v>
      </c>
      <c r="B182" s="605" t="n">
        <v>176</v>
      </c>
      <c r="C182" s="605" t="inlineStr">
        <is>
          <t>2013Q</t>
        </is>
      </c>
      <c r="D182" s="605" t="inlineStr">
        <is>
          <t xml:space="preserve">05081-06-019-000 </t>
        </is>
      </c>
      <c r="E182" s="403" t="inlineStr">
        <is>
          <t>Actual</t>
        </is>
      </c>
      <c r="F182" s="605" t="inlineStr">
        <is>
          <t>670   BRYANT               ST</t>
        </is>
      </c>
      <c r="G182" s="605" t="n">
        <v>44.1</v>
      </c>
      <c r="H182" s="605" t="n">
        <v>9508</v>
      </c>
      <c r="I182" s="403" t="n">
        <v>0</v>
      </c>
      <c r="J182" s="404" t="n">
        <v>3704</v>
      </c>
      <c r="K182" s="145" t="n">
        <v>7.77537796976242</v>
      </c>
      <c r="L182" s="153" t="n">
        <v>0</v>
      </c>
      <c r="M182" s="153" t="n">
        <v>0.0826388888888889</v>
      </c>
      <c r="N182" s="605" t="n">
        <v>1963</v>
      </c>
      <c r="O182" s="605" t="n">
        <v>644</v>
      </c>
      <c r="P182" s="605" t="n">
        <v>0</v>
      </c>
      <c r="Q182" s="605" t="n">
        <v>11</v>
      </c>
      <c r="R182" s="605" t="n">
        <v>1</v>
      </c>
      <c r="S182" s="605" t="n">
        <v>1</v>
      </c>
      <c r="T182" s="403" t="inlineStr">
        <is>
          <t xml:space="preserve">I-A         </t>
        </is>
      </c>
      <c r="U182" s="605" t="n">
        <v>398</v>
      </c>
      <c r="V182" s="404" t="n">
        <v>6000</v>
      </c>
      <c r="W182" s="404" t="n">
        <v>6000</v>
      </c>
      <c r="X182" s="392" t="inlineStr">
        <is>
          <t>1.6:1</t>
        </is>
      </c>
      <c r="Y182" s="404" t="n">
        <v>4000</v>
      </c>
      <c r="Z182" s="403" t="inlineStr">
        <is>
          <t xml:space="preserve">C </t>
        </is>
      </c>
      <c r="AD182" s="605" t="inlineStr">
        <is>
          <t xml:space="preserve">S-W LIQUID COFFEE   </t>
        </is>
      </c>
      <c r="AK182" s="405" t="inlineStr">
        <is>
          <t xml:space="preserve">2009 LEASE.                                                       </t>
        </is>
      </c>
    </row>
    <row r="183" ht="25.5" customFormat="1" customHeight="1" s="605">
      <c r="A183" s="402" t="n">
        <v>6</v>
      </c>
      <c r="B183" s="605" t="n">
        <v>177</v>
      </c>
      <c r="C183" s="605" t="inlineStr">
        <is>
          <t>2013Q</t>
        </is>
      </c>
      <c r="D183" s="605" t="inlineStr">
        <is>
          <t xml:space="preserve">05081-13-009-000 </t>
        </is>
      </c>
      <c r="E183" s="403" t="inlineStr">
        <is>
          <t>Actual</t>
        </is>
      </c>
      <c r="F183" s="605" t="inlineStr">
        <is>
          <t>2700 W 6TH                  AV</t>
        </is>
      </c>
      <c r="G183" s="605" t="n">
        <v>44.1</v>
      </c>
      <c r="H183" s="605" t="n">
        <v>9508</v>
      </c>
      <c r="I183" s="403" t="n">
        <v>0</v>
      </c>
      <c r="J183" s="404" t="n">
        <v>16096</v>
      </c>
      <c r="K183" s="145" t="n">
        <v>6.49875745526839</v>
      </c>
      <c r="L183" s="153" t="n">
        <v>0</v>
      </c>
      <c r="M183" s="153" t="n">
        <v>0.00286795916026156</v>
      </c>
      <c r="N183" s="605" t="n">
        <v>1960</v>
      </c>
      <c r="O183" s="605" t="n">
        <v>4848</v>
      </c>
      <c r="P183" s="605" t="n">
        <v>0</v>
      </c>
      <c r="Q183" s="605" t="n">
        <v>15</v>
      </c>
      <c r="R183" s="605" t="n">
        <v>3</v>
      </c>
      <c r="S183" s="605" t="n">
        <v>1</v>
      </c>
      <c r="T183" s="403" t="inlineStr">
        <is>
          <t xml:space="preserve">I-A         </t>
        </is>
      </c>
      <c r="U183" s="605" t="n">
        <v>398</v>
      </c>
      <c r="V183" s="404" t="n">
        <v>30000</v>
      </c>
      <c r="W183" s="404" t="n">
        <v>30000</v>
      </c>
      <c r="X183" s="392" t="inlineStr">
        <is>
          <t>1.9:1</t>
        </is>
      </c>
      <c r="Y183" s="404" t="n">
        <v>16000</v>
      </c>
      <c r="Z183" s="403" t="inlineStr">
        <is>
          <t xml:space="preserve">C </t>
        </is>
      </c>
      <c r="AD183" s="605" t="inlineStr">
        <is>
          <t xml:space="preserve">S-W SID HARVEY'S    </t>
        </is>
      </c>
      <c r="AK183" s="405" t="inlineStr">
        <is>
          <t xml:space="preserve">COMMENCEMENT OF MO-TO-MO LEASE UNKNOWN.                           </t>
        </is>
      </c>
    </row>
    <row r="184" ht="12.75" customFormat="1" customHeight="1" s="605">
      <c r="A184" s="402" t="n">
        <v>6</v>
      </c>
      <c r="B184" s="605" t="n">
        <v>178</v>
      </c>
      <c r="C184" s="605" t="inlineStr">
        <is>
          <t>2013Q</t>
        </is>
      </c>
      <c r="D184" s="605" t="inlineStr">
        <is>
          <t xml:space="preserve">05081-18-011-000 </t>
        </is>
      </c>
      <c r="E184" s="403" t="inlineStr">
        <is>
          <t>Actual</t>
        </is>
      </c>
      <c r="F184" s="605" t="inlineStr">
        <is>
          <t>2750 W 5TH                  AV</t>
        </is>
      </c>
      <c r="G184" s="605" t="n">
        <v>44.1</v>
      </c>
      <c r="H184" s="605" t="n">
        <v>9508</v>
      </c>
      <c r="I184" s="403" t="n">
        <v>0</v>
      </c>
      <c r="J184" s="404" t="n">
        <v>14000</v>
      </c>
      <c r="K184" s="145" t="n">
        <v>8.625</v>
      </c>
      <c r="L184" s="153" t="n">
        <v>0</v>
      </c>
      <c r="M184" s="153" t="n">
        <v>0.000770186335403727</v>
      </c>
      <c r="N184" s="605" t="n">
        <v>1972</v>
      </c>
      <c r="O184" s="605" t="n">
        <v>6213</v>
      </c>
      <c r="P184" s="605" t="n">
        <v>0</v>
      </c>
      <c r="Q184" s="605" t="n">
        <v>18</v>
      </c>
      <c r="R184" s="605" t="n">
        <v>3</v>
      </c>
      <c r="S184" s="605" t="n">
        <v>1</v>
      </c>
      <c r="T184" s="403" t="inlineStr">
        <is>
          <t xml:space="preserve">I-MX-3      </t>
        </is>
      </c>
      <c r="U184" s="605" t="n">
        <v>398</v>
      </c>
      <c r="V184" s="404" t="n">
        <v>27787</v>
      </c>
      <c r="W184" s="404" t="n">
        <v>28000</v>
      </c>
      <c r="X184" s="392" t="inlineStr">
        <is>
          <t>2:1</t>
        </is>
      </c>
      <c r="Y184" s="404" t="n">
        <v>14000</v>
      </c>
      <c r="Z184" s="403" t="inlineStr">
        <is>
          <t xml:space="preserve">C </t>
        </is>
      </c>
      <c r="AD184" s="605" t="inlineStr">
        <is>
          <t xml:space="preserve">PEAK RESOURCES      </t>
        </is>
      </c>
      <c r="AK184" s="405" t="n"/>
    </row>
    <row r="185" ht="12.75" customFormat="1" customHeight="1" s="605">
      <c r="A185" s="402" t="n">
        <v>6</v>
      </c>
      <c r="B185" s="605" t="n">
        <v>179</v>
      </c>
      <c r="C185" s="605" t="inlineStr">
        <is>
          <t>2013Q</t>
        </is>
      </c>
      <c r="D185" s="605" t="inlineStr">
        <is>
          <t xml:space="preserve">05081-25-023-000 </t>
        </is>
      </c>
      <c r="E185" s="403" t="inlineStr">
        <is>
          <t>Actual</t>
        </is>
      </c>
      <c r="F185" s="605" t="inlineStr">
        <is>
          <t>2727 W 4TH                  AV</t>
        </is>
      </c>
      <c r="G185" s="605" t="n">
        <v>44.1</v>
      </c>
      <c r="H185" s="605" t="n">
        <v>9508</v>
      </c>
      <c r="I185" s="403" t="n">
        <v>0</v>
      </c>
      <c r="J185" s="404" t="n">
        <v>7040</v>
      </c>
      <c r="K185" s="145" t="n">
        <v>5.11363636363636</v>
      </c>
      <c r="L185" s="153" t="n">
        <v>0</v>
      </c>
      <c r="M185" s="153" t="n">
        <v>0</v>
      </c>
      <c r="N185" s="605" t="n">
        <v>1972</v>
      </c>
      <c r="O185" s="605" t="n">
        <v>914</v>
      </c>
      <c r="P185" s="605" t="n">
        <v>0</v>
      </c>
      <c r="Q185" s="605" t="n">
        <v>24</v>
      </c>
      <c r="R185" s="605" t="n">
        <v>14</v>
      </c>
      <c r="S185" s="605" t="n">
        <v>1</v>
      </c>
      <c r="T185" s="403" t="inlineStr">
        <is>
          <t xml:space="preserve">I-MX-3      </t>
        </is>
      </c>
      <c r="U185" s="605" t="n">
        <v>398</v>
      </c>
      <c r="V185" s="404" t="n">
        <v>32000</v>
      </c>
      <c r="W185" s="404" t="n">
        <v>32000</v>
      </c>
      <c r="X185" s="392" t="inlineStr">
        <is>
          <t>4.5:1</t>
        </is>
      </c>
      <c r="Y185" s="404" t="n">
        <v>7000</v>
      </c>
      <c r="Z185" s="403" t="inlineStr">
        <is>
          <t xml:space="preserve">C </t>
        </is>
      </c>
      <c r="AK185" s="405" t="n"/>
    </row>
    <row r="186" ht="12.75" customFormat="1" customHeight="1" s="605">
      <c r="A186" s="402" t="n">
        <v>6</v>
      </c>
      <c r="B186" s="605" t="n">
        <v>180</v>
      </c>
      <c r="C186" s="605" t="inlineStr">
        <is>
          <t>2013Q</t>
        </is>
      </c>
      <c r="D186" s="605" t="inlineStr">
        <is>
          <t xml:space="preserve">05084-01-008-000 </t>
        </is>
      </c>
      <c r="E186" s="403" t="inlineStr">
        <is>
          <t>Actual</t>
        </is>
      </c>
      <c r="F186" s="605" t="inlineStr">
        <is>
          <t>2744 W 4TH                  AV</t>
        </is>
      </c>
      <c r="G186" s="605" t="n">
        <v>44.1</v>
      </c>
      <c r="H186" s="605" t="n">
        <v>9508</v>
      </c>
      <c r="I186" s="403" t="n">
        <v>0</v>
      </c>
      <c r="J186" s="404" t="n">
        <v>7692</v>
      </c>
      <c r="K186" s="145" t="n">
        <v>10.3659646385855</v>
      </c>
      <c r="L186" s="153" t="n">
        <v>0</v>
      </c>
      <c r="M186" s="153" t="n">
        <v>0.00546811312472565</v>
      </c>
      <c r="N186" s="605" t="n">
        <v>1974</v>
      </c>
      <c r="O186" s="605" t="n">
        <v>0</v>
      </c>
      <c r="P186" s="605" t="n">
        <v>3161</v>
      </c>
      <c r="Q186" s="605" t="n">
        <v>18</v>
      </c>
      <c r="R186" s="605" t="n">
        <v>14</v>
      </c>
      <c r="S186" s="605" t="n">
        <v>1</v>
      </c>
      <c r="T186" s="403" t="inlineStr">
        <is>
          <t xml:space="preserve">I-MX-3      </t>
        </is>
      </c>
      <c r="U186" s="605" t="n">
        <v>398</v>
      </c>
      <c r="V186" s="404" t="n">
        <v>16250</v>
      </c>
      <c r="W186" s="404" t="n">
        <v>16000</v>
      </c>
      <c r="X186" s="392" t="inlineStr">
        <is>
          <t>2.1:1</t>
        </is>
      </c>
      <c r="Y186" s="404" t="n">
        <v>8000</v>
      </c>
      <c r="Z186" s="403" t="inlineStr">
        <is>
          <t xml:space="preserve">C </t>
        </is>
      </c>
      <c r="AK186" s="405" t="inlineStr">
        <is>
          <t xml:space="preserve">2010 LEASES.                                                      </t>
        </is>
      </c>
    </row>
    <row r="187" ht="12.75" customFormat="1" customHeight="1" s="605">
      <c r="A187" s="402" t="n">
        <v>6</v>
      </c>
      <c r="B187" s="605" t="n">
        <v>181</v>
      </c>
      <c r="C187" s="605" t="inlineStr">
        <is>
          <t>2013Q</t>
        </is>
      </c>
      <c r="D187" s="605" t="inlineStr">
        <is>
          <t xml:space="preserve">05084-09-040-040 </t>
        </is>
      </c>
      <c r="E187" s="403" t="inlineStr">
        <is>
          <t>Actual</t>
        </is>
      </c>
      <c r="F187" s="605" t="inlineStr">
        <is>
          <t>2550 W 2ND                  AV</t>
        </is>
      </c>
      <c r="G187" s="605" t="n">
        <v>44.8</v>
      </c>
      <c r="H187" s="605" t="n">
        <v>9508</v>
      </c>
      <c r="I187" s="403" t="n">
        <v>0</v>
      </c>
      <c r="J187" s="404" t="n">
        <v>12922</v>
      </c>
      <c r="K187" s="145" t="n">
        <v>5.24996130629933</v>
      </c>
      <c r="L187" s="153" t="n">
        <v>0</v>
      </c>
      <c r="M187" s="153" t="n">
        <v>0</v>
      </c>
      <c r="N187" s="605" t="n">
        <v>1968</v>
      </c>
      <c r="O187" s="605" t="n">
        <v>0</v>
      </c>
      <c r="P187" s="605" t="n">
        <v>0</v>
      </c>
      <c r="Q187" s="605" t="n">
        <v>20</v>
      </c>
      <c r="R187" s="605" t="n">
        <v>14</v>
      </c>
      <c r="S187" s="605" t="n">
        <v>1</v>
      </c>
      <c r="T187" s="403" t="inlineStr">
        <is>
          <t xml:space="preserve">I-A         </t>
        </is>
      </c>
      <c r="U187" s="605" t="n">
        <v>398</v>
      </c>
      <c r="V187" s="404" t="n">
        <v>14086</v>
      </c>
      <c r="W187" s="404" t="n">
        <v>14000</v>
      </c>
      <c r="X187" s="392" t="inlineStr">
        <is>
          <t>1.1:1</t>
        </is>
      </c>
      <c r="Y187" s="404" t="n">
        <v>13000</v>
      </c>
      <c r="Z187" s="403" t="inlineStr">
        <is>
          <t xml:space="preserve">C </t>
        </is>
      </c>
      <c r="AK187" s="405" t="inlineStr">
        <is>
          <t xml:space="preserve">2009 LEASE; INCLUDES PARCEL -036-036.                             </t>
        </is>
      </c>
    </row>
    <row r="188" ht="25.5" customFormat="1" customHeight="1" s="605">
      <c r="A188" s="402" t="n">
        <v>6</v>
      </c>
      <c r="B188" s="605" t="n">
        <v>182</v>
      </c>
      <c r="C188" s="605" t="inlineStr">
        <is>
          <t>2013Q</t>
        </is>
      </c>
      <c r="D188" s="605" t="inlineStr">
        <is>
          <t xml:space="preserve">05091-00-029-000 </t>
        </is>
      </c>
      <c r="E188" s="403" t="inlineStr">
        <is>
          <t>Actual</t>
        </is>
      </c>
      <c r="F188" s="605" t="inlineStr">
        <is>
          <t>1400 W 3RD                  AV</t>
        </is>
      </c>
      <c r="G188" s="605" t="n">
        <v>44.3</v>
      </c>
      <c r="H188" s="605" t="n">
        <v>9505</v>
      </c>
      <c r="I188" s="403" t="n">
        <v>0</v>
      </c>
      <c r="J188" s="404" t="n">
        <v>114480</v>
      </c>
      <c r="K188" s="145" t="n">
        <v>3.58244601452881</v>
      </c>
      <c r="L188" s="153" t="n">
        <v>0.17</v>
      </c>
      <c r="M188" s="153" t="n">
        <v>0</v>
      </c>
      <c r="N188" s="605" t="n">
        <v>1951</v>
      </c>
      <c r="O188" s="605" t="n">
        <v>16231</v>
      </c>
      <c r="P188" s="605" t="n">
        <v>0</v>
      </c>
      <c r="Q188" s="605" t="n">
        <v>18</v>
      </c>
      <c r="R188" s="605" t="n">
        <v>1</v>
      </c>
      <c r="S188" s="605" t="n">
        <v>2</v>
      </c>
      <c r="T188" s="403" t="inlineStr">
        <is>
          <t xml:space="preserve">I-A         </t>
        </is>
      </c>
      <c r="U188" s="605" t="n">
        <v>398</v>
      </c>
      <c r="V188" s="404" t="n">
        <v>120008</v>
      </c>
      <c r="W188" s="404" t="n">
        <v>120000</v>
      </c>
      <c r="X188" s="392" t="inlineStr">
        <is>
          <t>1:1</t>
        </is>
      </c>
      <c r="Y188" s="404" t="n">
        <v>114000</v>
      </c>
      <c r="Z188" s="403" t="inlineStr">
        <is>
          <t xml:space="preserve">C </t>
        </is>
      </c>
      <c r="AD188" s="605" t="inlineStr">
        <is>
          <t xml:space="preserve">S-W KIMBALL ELECT.  </t>
        </is>
      </c>
      <c r="AK188" s="405" t="inlineStr">
        <is>
          <t xml:space="preserve">UNABLE TO ALLOCATE EXPENSES BETWEEN OWNER&amp;TENANT OCCUPANCIES.     </t>
        </is>
      </c>
    </row>
    <row r="189" ht="25.5" customFormat="1" customHeight="1" s="605">
      <c r="A189" s="402" t="n">
        <v>6</v>
      </c>
      <c r="B189" s="605" t="n">
        <v>183</v>
      </c>
      <c r="C189" s="605" t="inlineStr">
        <is>
          <t>2013Q</t>
        </is>
      </c>
      <c r="D189" s="605" t="inlineStr">
        <is>
          <t xml:space="preserve">05091-00-049-000 </t>
        </is>
      </c>
      <c r="E189" s="403" t="inlineStr">
        <is>
          <t>Actual</t>
        </is>
      </c>
      <c r="F189" s="605" t="inlineStr">
        <is>
          <t>123   RIO GRANDE           BV</t>
        </is>
      </c>
      <c r="G189" s="605" t="n">
        <v>44.2</v>
      </c>
      <c r="H189" s="605" t="n">
        <v>9505</v>
      </c>
      <c r="I189" s="403" t="n">
        <v>0</v>
      </c>
      <c r="J189" s="404" t="n">
        <v>12994</v>
      </c>
      <c r="K189" s="145" t="n">
        <v>5.41935483870968</v>
      </c>
      <c r="L189" s="153" t="n">
        <v>0</v>
      </c>
      <c r="M189" s="153" t="n">
        <v>0</v>
      </c>
      <c r="N189" s="605" t="n">
        <v>1959</v>
      </c>
      <c r="O189" s="605" t="n">
        <v>2548</v>
      </c>
      <c r="P189" s="605" t="n">
        <v>0</v>
      </c>
      <c r="Q189" s="605" t="n">
        <v>16</v>
      </c>
      <c r="R189" s="605" t="n">
        <v>1</v>
      </c>
      <c r="S189" s="605" t="n">
        <v>1</v>
      </c>
      <c r="T189" s="403" t="inlineStr">
        <is>
          <t xml:space="preserve">I-A         </t>
        </is>
      </c>
      <c r="U189" s="605" t="n">
        <v>398</v>
      </c>
      <c r="V189" s="404" t="n">
        <v>20500</v>
      </c>
      <c r="W189" s="404" t="n">
        <v>21000</v>
      </c>
      <c r="X189" s="392" t="inlineStr">
        <is>
          <t>1.6:1</t>
        </is>
      </c>
      <c r="Y189" s="404" t="n">
        <v>13000</v>
      </c>
      <c r="Z189" s="403" t="inlineStr">
        <is>
          <t xml:space="preserve">C </t>
        </is>
      </c>
      <c r="AD189" s="605" t="inlineStr">
        <is>
          <t xml:space="preserve">DIST                </t>
        </is>
      </c>
      <c r="AK189" s="405" t="inlineStr">
        <is>
          <t xml:space="preserve">2009 LEASE; EXP RATIO TOO HIGH = NOT POSTED.                      </t>
        </is>
      </c>
    </row>
    <row r="190" ht="12.75" customFormat="1" customHeight="1" s="605">
      <c r="A190" s="402" t="n">
        <v>6</v>
      </c>
      <c r="B190" s="605" t="n">
        <v>184</v>
      </c>
      <c r="C190" s="605" t="inlineStr">
        <is>
          <t>2013Q</t>
        </is>
      </c>
      <c r="D190" s="605" t="inlineStr">
        <is>
          <t xml:space="preserve">05091-00-050-000 </t>
        </is>
      </c>
      <c r="E190" s="403" t="inlineStr">
        <is>
          <t>Actual</t>
        </is>
      </c>
      <c r="F190" s="605" t="inlineStr">
        <is>
          <t>1490 W 3RD                  AV</t>
        </is>
      </c>
      <c r="G190" s="605" t="n">
        <v>44.2</v>
      </c>
      <c r="H190" s="605" t="n">
        <v>9505</v>
      </c>
      <c r="I190" s="403" t="n">
        <v>0</v>
      </c>
      <c r="J190" s="404" t="n">
        <v>8502</v>
      </c>
      <c r="K190" s="145" t="n">
        <v>7.05716302046577</v>
      </c>
      <c r="L190" s="153" t="n">
        <v>0</v>
      </c>
      <c r="M190" s="153" t="n">
        <v>0</v>
      </c>
      <c r="N190" s="605" t="n">
        <v>1968</v>
      </c>
      <c r="O190" s="605" t="n">
        <v>7467</v>
      </c>
      <c r="P190" s="605" t="n">
        <v>0</v>
      </c>
      <c r="Q190" s="605" t="n">
        <v>16</v>
      </c>
      <c r="R190" s="605" t="n">
        <v>1</v>
      </c>
      <c r="S190" s="605" t="n">
        <v>1</v>
      </c>
      <c r="T190" s="403" t="inlineStr">
        <is>
          <t xml:space="preserve">I-A         </t>
        </is>
      </c>
      <c r="U190" s="605" t="n">
        <v>398</v>
      </c>
      <c r="V190" s="404" t="n">
        <v>12400</v>
      </c>
      <c r="W190" s="404" t="n">
        <v>12000</v>
      </c>
      <c r="X190" s="392" t="inlineStr">
        <is>
          <t>1.5:1</t>
        </is>
      </c>
      <c r="Y190" s="404" t="n">
        <v>9000</v>
      </c>
      <c r="Z190" s="403" t="inlineStr">
        <is>
          <t xml:space="preserve">C </t>
        </is>
      </c>
      <c r="AK190" s="405" t="inlineStr">
        <is>
          <t xml:space="preserve">2009 LEASE.                                                       </t>
        </is>
      </c>
    </row>
    <row r="191" ht="12.75" customFormat="1" customHeight="1" s="605">
      <c r="A191" s="402" t="n">
        <v>6</v>
      </c>
      <c r="B191" s="605" t="n">
        <v>185</v>
      </c>
      <c r="C191" s="605" t="inlineStr">
        <is>
          <t>2013Q</t>
        </is>
      </c>
      <c r="D191" s="605" t="inlineStr">
        <is>
          <t xml:space="preserve">05091-02-008-000 </t>
        </is>
      </c>
      <c r="E191" s="403" t="inlineStr">
        <is>
          <t>Actual</t>
        </is>
      </c>
      <c r="F191" s="605" t="inlineStr">
        <is>
          <t>530   SANTA FE             DR</t>
        </is>
      </c>
      <c r="G191" s="605" t="n">
        <v>43.1</v>
      </c>
      <c r="H191" s="605" t="n">
        <v>9505</v>
      </c>
      <c r="I191" s="403" t="n">
        <v>3</v>
      </c>
      <c r="J191" s="404" t="n">
        <v>2380</v>
      </c>
      <c r="K191" s="145" t="n">
        <v>7.56302521008403</v>
      </c>
      <c r="L191" s="153" t="n">
        <v>0</v>
      </c>
      <c r="M191" s="153" t="n">
        <v>0</v>
      </c>
      <c r="N191" s="605" t="n">
        <v>1942</v>
      </c>
      <c r="O191" s="605" t="n">
        <v>0</v>
      </c>
      <c r="P191" s="605" t="n">
        <v>0</v>
      </c>
      <c r="Q191" s="605" t="n">
        <v>10</v>
      </c>
      <c r="R191" s="605" t="n">
        <v>3</v>
      </c>
      <c r="S191" s="605" t="n">
        <v>1</v>
      </c>
      <c r="T191" s="403" t="inlineStr">
        <is>
          <t xml:space="preserve">U-MS-3      </t>
        </is>
      </c>
      <c r="U191" s="605" t="n">
        <v>401</v>
      </c>
      <c r="V191" s="404" t="n">
        <v>2624</v>
      </c>
      <c r="W191" s="404" t="n">
        <v>3000</v>
      </c>
      <c r="X191" s="392" t="inlineStr">
        <is>
          <t>1.1:1</t>
        </is>
      </c>
      <c r="Y191" s="404" t="n">
        <v>2000</v>
      </c>
      <c r="Z191" s="403" t="inlineStr">
        <is>
          <t xml:space="preserve">C </t>
        </is>
      </c>
      <c r="AD191" s="605" t="inlineStr">
        <is>
          <t>S-F TOM MEYER SHEETM</t>
        </is>
      </c>
      <c r="AK191" s="405" t="n"/>
    </row>
    <row r="192" ht="12.75" customFormat="1" customHeight="1" s="605">
      <c r="A192" s="402" t="n">
        <v>6</v>
      </c>
      <c r="B192" s="605" t="n">
        <v>186</v>
      </c>
      <c r="C192" s="605" t="inlineStr">
        <is>
          <t>2013Q</t>
        </is>
      </c>
      <c r="D192" s="605" t="inlineStr">
        <is>
          <t xml:space="preserve">05091-04-018-000 </t>
        </is>
      </c>
      <c r="E192" s="403" t="inlineStr">
        <is>
          <t>Actual</t>
        </is>
      </c>
      <c r="F192" s="605" t="inlineStr">
        <is>
          <t>527   KALAMATH             ST</t>
        </is>
      </c>
      <c r="G192" s="605" t="n">
        <v>44.1</v>
      </c>
      <c r="H192" s="605" t="n">
        <v>9505</v>
      </c>
      <c r="I192" s="403" t="n">
        <v>0</v>
      </c>
      <c r="J192" s="404" t="n">
        <v>2500</v>
      </c>
      <c r="K192" s="145" t="n">
        <v>6</v>
      </c>
      <c r="L192" s="153" t="n">
        <v>0</v>
      </c>
      <c r="M192" s="153" t="n">
        <v>0.0834666666666667</v>
      </c>
      <c r="N192" s="605" t="n">
        <v>1973</v>
      </c>
      <c r="O192" s="605" t="n">
        <v>336</v>
      </c>
      <c r="P192" s="605" t="n">
        <v>0</v>
      </c>
      <c r="Q192" s="605" t="n">
        <v>13</v>
      </c>
      <c r="R192" s="605" t="n">
        <v>1</v>
      </c>
      <c r="S192" s="605" t="n">
        <v>1</v>
      </c>
      <c r="T192" s="403" t="inlineStr">
        <is>
          <t xml:space="preserve">I-MX-5      </t>
        </is>
      </c>
      <c r="U192" s="605" t="n">
        <v>398</v>
      </c>
      <c r="V192" s="404" t="n">
        <v>3900</v>
      </c>
      <c r="W192" s="404" t="n">
        <v>4000</v>
      </c>
      <c r="X192" s="392" t="inlineStr">
        <is>
          <t>1.6:1</t>
        </is>
      </c>
      <c r="Y192" s="404" t="n">
        <v>3000</v>
      </c>
      <c r="Z192" s="403" t="inlineStr">
        <is>
          <t xml:space="preserve">C </t>
        </is>
      </c>
      <c r="AD192" s="605" t="inlineStr">
        <is>
          <t>S-W COLO MOLD SUPPLY</t>
        </is>
      </c>
      <c r="AK192" s="405" t="inlineStr">
        <is>
          <t xml:space="preserve">DATE OF LEASE ORIGINATION UNKNOWN.                                </t>
        </is>
      </c>
    </row>
    <row r="193" ht="12.75" customFormat="1" customHeight="1" s="605">
      <c r="A193" s="402" t="n">
        <v>6</v>
      </c>
      <c r="B193" s="605" t="n">
        <v>187</v>
      </c>
      <c r="C193" s="605" t="inlineStr">
        <is>
          <t>2013Q</t>
        </is>
      </c>
      <c r="D193" s="605" t="inlineStr">
        <is>
          <t xml:space="preserve">05091-20-016-000 </t>
        </is>
      </c>
      <c r="E193" s="403" t="inlineStr">
        <is>
          <t>Actual</t>
        </is>
      </c>
      <c r="F193" s="605" t="inlineStr">
        <is>
          <t>275   KALAMATH             ST</t>
        </is>
      </c>
      <c r="G193" s="605" t="n">
        <v>44.2</v>
      </c>
      <c r="H193" s="605" t="n">
        <v>9505</v>
      </c>
      <c r="I193" s="403" t="n">
        <v>0</v>
      </c>
      <c r="J193" s="404" t="n">
        <v>17286</v>
      </c>
      <c r="K193" s="145" t="n">
        <v>5.66180724285549</v>
      </c>
      <c r="L193" s="153" t="n">
        <v>0</v>
      </c>
      <c r="M193" s="153" t="n">
        <v>0.0330847041994483</v>
      </c>
      <c r="N193" s="605" t="n">
        <v>1959</v>
      </c>
      <c r="O193" s="605" t="n">
        <v>2902</v>
      </c>
      <c r="P193" s="605" t="n">
        <v>0</v>
      </c>
      <c r="Q193" s="605" t="n">
        <v>15</v>
      </c>
      <c r="R193" s="605" t="n">
        <v>3</v>
      </c>
      <c r="S193" s="605" t="n">
        <v>1</v>
      </c>
      <c r="T193" s="403" t="inlineStr">
        <is>
          <t xml:space="preserve">I-MX-3      </t>
        </is>
      </c>
      <c r="U193" s="605" t="n">
        <v>398</v>
      </c>
      <c r="V193" s="404" t="n">
        <v>36500</v>
      </c>
      <c r="W193" s="404" t="n">
        <v>37000</v>
      </c>
      <c r="X193" s="392" t="inlineStr">
        <is>
          <t>2.1:1</t>
        </is>
      </c>
      <c r="Y193" s="404" t="n">
        <v>17000</v>
      </c>
      <c r="Z193" s="403" t="inlineStr">
        <is>
          <t xml:space="preserve">C </t>
        </is>
      </c>
      <c r="AD193" s="605" t="inlineStr">
        <is>
          <t xml:space="preserve">WHSE DIST.          </t>
        </is>
      </c>
      <c r="AK193" s="405" t="n"/>
    </row>
    <row r="194" ht="25.5" customFormat="1" customHeight="1" s="605">
      <c r="A194" s="402" t="n">
        <v>6</v>
      </c>
      <c r="B194" s="605" t="n">
        <v>188</v>
      </c>
      <c r="C194" s="605" t="inlineStr">
        <is>
          <t>2013Q</t>
        </is>
      </c>
      <c r="D194" s="605" t="inlineStr">
        <is>
          <t xml:space="preserve">05091-26-009-000 </t>
        </is>
      </c>
      <c r="E194" s="403" t="inlineStr">
        <is>
          <t>Actual</t>
        </is>
      </c>
      <c r="F194" s="605" t="inlineStr">
        <is>
          <t>100   LIPAN                ST</t>
        </is>
      </c>
      <c r="G194" s="605" t="n">
        <v>44.2</v>
      </c>
      <c r="H194" s="605" t="n">
        <v>9505</v>
      </c>
      <c r="I194" s="403" t="n">
        <v>0</v>
      </c>
      <c r="J194" s="404" t="n">
        <v>11626</v>
      </c>
      <c r="K194" s="145" t="n">
        <v>3.57130569413384</v>
      </c>
      <c r="L194" s="153" t="n">
        <v>0</v>
      </c>
      <c r="M194" s="153" t="n">
        <v>0.123362235067437</v>
      </c>
      <c r="N194" s="605" t="n">
        <v>1957</v>
      </c>
      <c r="O194" s="605" t="n">
        <v>3018</v>
      </c>
      <c r="P194" s="605" t="n">
        <v>0</v>
      </c>
      <c r="Q194" s="605" t="n">
        <v>14</v>
      </c>
      <c r="R194" s="605" t="n">
        <v>1</v>
      </c>
      <c r="S194" s="605" t="n">
        <v>1</v>
      </c>
      <c r="T194" s="403" t="inlineStr">
        <is>
          <t xml:space="preserve">I-A         </t>
        </is>
      </c>
      <c r="U194" s="605" t="n">
        <v>398</v>
      </c>
      <c r="V194" s="404" t="n">
        <v>17625</v>
      </c>
      <c r="W194" s="404" t="n">
        <v>18000</v>
      </c>
      <c r="X194" s="392" t="inlineStr">
        <is>
          <t>1.5:1</t>
        </is>
      </c>
      <c r="Y194" s="404" t="n">
        <v>12000</v>
      </c>
      <c r="Z194" s="403" t="inlineStr">
        <is>
          <t xml:space="preserve">C </t>
        </is>
      </c>
      <c r="AD194" s="605" t="inlineStr">
        <is>
          <t xml:space="preserve">TURBO PRESS         </t>
        </is>
      </c>
      <c r="AK194" s="405" t="inlineStr">
        <is>
          <t xml:space="preserve">ORIGINATION OF MO-TO-MO LEASE UNKNOWN.                            </t>
        </is>
      </c>
    </row>
    <row r="195" ht="12.75" customFormat="1" customHeight="1" s="605">
      <c r="A195" s="402" t="n">
        <v>6</v>
      </c>
      <c r="B195" s="605" t="n">
        <v>189</v>
      </c>
      <c r="C195" s="605" t="inlineStr">
        <is>
          <t>2013Q</t>
        </is>
      </c>
      <c r="D195" s="605" t="inlineStr">
        <is>
          <t xml:space="preserve">05092-00-076-000 </t>
        </is>
      </c>
      <c r="E195" s="403" t="inlineStr">
        <is>
          <t>Actual</t>
        </is>
      </c>
      <c r="F195" s="605" t="inlineStr">
        <is>
          <t>657   OSAGE                ST</t>
        </is>
      </c>
      <c r="G195" s="605" t="n">
        <v>44.1</v>
      </c>
      <c r="H195" s="605" t="n">
        <v>9505</v>
      </c>
      <c r="I195" s="403" t="n">
        <v>0</v>
      </c>
      <c r="J195" s="404" t="n">
        <v>9361</v>
      </c>
      <c r="K195" s="145" t="n">
        <v>4.42260442260442</v>
      </c>
      <c r="L195" s="153" t="n">
        <v>0</v>
      </c>
      <c r="M195" s="153" t="n">
        <v>0.00579710144927536</v>
      </c>
      <c r="N195" s="605" t="n">
        <v>1965</v>
      </c>
      <c r="O195" s="605" t="n">
        <v>1260</v>
      </c>
      <c r="P195" s="605" t="n">
        <v>0</v>
      </c>
      <c r="Q195" s="605" t="n">
        <v>14</v>
      </c>
      <c r="R195" s="605" t="n">
        <v>1</v>
      </c>
      <c r="S195" s="605" t="n">
        <v>1</v>
      </c>
      <c r="T195" s="403" t="inlineStr">
        <is>
          <t xml:space="preserve">I-B         </t>
        </is>
      </c>
      <c r="U195" s="605" t="n">
        <v>398</v>
      </c>
      <c r="V195" s="404" t="n">
        <v>17908</v>
      </c>
      <c r="W195" s="404" t="n">
        <v>18000</v>
      </c>
      <c r="X195" s="392" t="inlineStr">
        <is>
          <t>1.9:1</t>
        </is>
      </c>
      <c r="Y195" s="404" t="n">
        <v>9000</v>
      </c>
      <c r="Z195" s="403" t="inlineStr">
        <is>
          <t xml:space="preserve">C </t>
        </is>
      </c>
      <c r="AK195" s="405" t="inlineStr">
        <is>
          <t xml:space="preserve">2010 LEASE.                                                       </t>
        </is>
      </c>
    </row>
    <row r="196" ht="25.5" customFormat="1" customHeight="1" s="605">
      <c r="A196" s="402" t="n">
        <v>6</v>
      </c>
      <c r="B196" s="605" t="n">
        <v>190</v>
      </c>
      <c r="C196" s="605" t="inlineStr">
        <is>
          <t>2013Q</t>
        </is>
      </c>
      <c r="D196" s="605" t="inlineStr">
        <is>
          <t xml:space="preserve">05092-00-078-000 </t>
        </is>
      </c>
      <c r="E196" s="403" t="inlineStr">
        <is>
          <t>Actual</t>
        </is>
      </c>
      <c r="F196" s="605" t="inlineStr">
        <is>
          <t>501   RARITAN              WY</t>
        </is>
      </c>
      <c r="G196" s="605" t="n">
        <v>44.4</v>
      </c>
      <c r="H196" s="605" t="n">
        <v>9505</v>
      </c>
      <c r="I196" s="403" t="n">
        <v>0</v>
      </c>
      <c r="J196" s="404" t="n">
        <v>112984</v>
      </c>
      <c r="K196" s="145" t="n">
        <v>4.49319518342201</v>
      </c>
      <c r="L196" s="153" t="n">
        <v>0</v>
      </c>
      <c r="M196" s="153" t="n">
        <v>0</v>
      </c>
      <c r="N196" s="605" t="n">
        <v>1959</v>
      </c>
      <c r="O196" s="605" t="n">
        <v>4641</v>
      </c>
      <c r="P196" s="605" t="n">
        <v>0</v>
      </c>
      <c r="Q196" s="605" t="n">
        <v>20</v>
      </c>
      <c r="R196" s="605" t="n">
        <v>3</v>
      </c>
      <c r="S196" s="605" t="n">
        <v>1</v>
      </c>
      <c r="T196" s="403" t="inlineStr">
        <is>
          <t xml:space="preserve">I-A         </t>
        </is>
      </c>
      <c r="U196" s="605" t="n">
        <v>398</v>
      </c>
      <c r="V196" s="404" t="n">
        <v>162000</v>
      </c>
      <c r="W196" s="404" t="n">
        <v>162000</v>
      </c>
      <c r="X196" s="392" t="inlineStr">
        <is>
          <t>1.4:1</t>
        </is>
      </c>
      <c r="Y196" s="404" t="n">
        <v>113000</v>
      </c>
      <c r="Z196" s="403" t="inlineStr">
        <is>
          <t xml:space="preserve">C </t>
        </is>
      </c>
      <c r="AD196" s="605" t="inlineStr">
        <is>
          <t xml:space="preserve">S-W PROCTOR PROD.   </t>
        </is>
      </c>
      <c r="AK196" s="405" t="inlineStr">
        <is>
          <t xml:space="preserve">LEASES RANGE FROM 2010 TO 2012; NO OP. EXPENSES GIVEN.            </t>
        </is>
      </c>
    </row>
    <row r="197" ht="12.75" customFormat="1" customHeight="1" s="605">
      <c r="A197" s="402" t="n">
        <v>6</v>
      </c>
      <c r="B197" s="605" t="n">
        <v>191</v>
      </c>
      <c r="C197" s="605" t="inlineStr">
        <is>
          <t>2013Q</t>
        </is>
      </c>
      <c r="D197" s="605" t="inlineStr">
        <is>
          <t xml:space="preserve">05092-07-013-000 </t>
        </is>
      </c>
      <c r="E197" s="403" t="inlineStr">
        <is>
          <t>Actual</t>
        </is>
      </c>
      <c r="F197" s="605" t="inlineStr">
        <is>
          <t>745   VALLEJO              ST</t>
        </is>
      </c>
      <c r="G197" s="605" t="n">
        <v>44.1</v>
      </c>
      <c r="H197" s="605" t="n">
        <v>9505</v>
      </c>
      <c r="I197" s="403" t="n">
        <v>0</v>
      </c>
      <c r="J197" s="404" t="n">
        <v>2800</v>
      </c>
      <c r="K197" s="145" t="n">
        <v>9.95321428571429</v>
      </c>
      <c r="L197" s="153" t="n">
        <v>0</v>
      </c>
      <c r="M197" s="153" t="n">
        <v>0.113208224191754</v>
      </c>
      <c r="N197" s="605" t="n">
        <v>1964</v>
      </c>
      <c r="O197" s="605" t="n">
        <v>198</v>
      </c>
      <c r="P197" s="605" t="n">
        <v>0</v>
      </c>
      <c r="Q197" s="605" t="n">
        <v>14</v>
      </c>
      <c r="R197" s="605" t="n">
        <v>3</v>
      </c>
      <c r="S197" s="605" t="n">
        <v>1</v>
      </c>
      <c r="T197" s="403" t="inlineStr">
        <is>
          <t xml:space="preserve">I-A         </t>
        </is>
      </c>
      <c r="U197" s="605" t="n">
        <v>398</v>
      </c>
      <c r="V197" s="404" t="n">
        <v>6000</v>
      </c>
      <c r="W197" s="404" t="n">
        <v>6000</v>
      </c>
      <c r="X197" s="392" t="inlineStr">
        <is>
          <t>2.1:1</t>
        </is>
      </c>
      <c r="Y197" s="404" t="n">
        <v>3000</v>
      </c>
      <c r="Z197" s="403" t="inlineStr">
        <is>
          <t xml:space="preserve">C </t>
        </is>
      </c>
      <c r="AD197" s="605" t="inlineStr">
        <is>
          <t>S-W DENVER WIRE WORK</t>
        </is>
      </c>
      <c r="AK197" s="405" t="n"/>
    </row>
    <row r="198" ht="12.75" customFormat="1" customHeight="1" s="605">
      <c r="A198" s="402" t="n">
        <v>6</v>
      </c>
      <c r="B198" s="605" t="n">
        <v>192</v>
      </c>
      <c r="C198" s="605" t="inlineStr">
        <is>
          <t>2013Q</t>
        </is>
      </c>
      <c r="D198" s="605" t="inlineStr">
        <is>
          <t xml:space="preserve">05092-07-016-000 </t>
        </is>
      </c>
      <c r="E198" s="403" t="inlineStr">
        <is>
          <t>Actual</t>
        </is>
      </c>
      <c r="F198" s="605" t="inlineStr">
        <is>
          <t>781   VALLEJO              ST</t>
        </is>
      </c>
      <c r="G198" s="605" t="n">
        <v>44.2</v>
      </c>
      <c r="H198" s="605" t="n">
        <v>9505</v>
      </c>
      <c r="I198" s="403" t="n">
        <v>0</v>
      </c>
      <c r="J198" s="404" t="n">
        <v>10800</v>
      </c>
      <c r="K198" s="145" t="n">
        <v>6.11111111111111</v>
      </c>
      <c r="L198" s="153" t="n">
        <v>0.55</v>
      </c>
      <c r="M198" s="153" t="n">
        <v>0</v>
      </c>
      <c r="N198" s="605" t="n">
        <v>1961</v>
      </c>
      <c r="O198" s="605" t="n">
        <v>3655</v>
      </c>
      <c r="P198" s="605" t="n">
        <v>0</v>
      </c>
      <c r="Q198" s="605" t="n">
        <v>12</v>
      </c>
      <c r="R198" s="605" t="n">
        <v>1</v>
      </c>
      <c r="S198" s="605" t="n">
        <v>3</v>
      </c>
      <c r="T198" s="403" t="inlineStr">
        <is>
          <t xml:space="preserve">I-A         </t>
        </is>
      </c>
      <c r="U198" s="605" t="n">
        <v>398</v>
      </c>
      <c r="V198" s="404" t="n">
        <v>17400</v>
      </c>
      <c r="W198" s="404" t="n">
        <v>17000</v>
      </c>
      <c r="X198" s="392" t="inlineStr">
        <is>
          <t>1.6:1</t>
        </is>
      </c>
      <c r="Y198" s="404" t="n">
        <v>11000</v>
      </c>
      <c r="Z198" s="403" t="inlineStr">
        <is>
          <t xml:space="preserve">C </t>
        </is>
      </c>
      <c r="AK198" s="405" t="inlineStr">
        <is>
          <t xml:space="preserve">2010 LEASES.                                                      </t>
        </is>
      </c>
    </row>
    <row r="199" ht="12.75" customFormat="1" customHeight="1" s="605">
      <c r="A199" s="402" t="n">
        <v>6</v>
      </c>
      <c r="B199" s="605" t="n">
        <v>193</v>
      </c>
      <c r="C199" s="605" t="inlineStr">
        <is>
          <t>2013Q</t>
        </is>
      </c>
      <c r="D199" s="605" t="inlineStr">
        <is>
          <t xml:space="preserve">05092-07-032-000 </t>
        </is>
      </c>
      <c r="E199" s="403" t="inlineStr">
        <is>
          <t>Actual</t>
        </is>
      </c>
      <c r="F199" s="605" t="inlineStr">
        <is>
          <t>755   VALLEJO              ST</t>
        </is>
      </c>
      <c r="G199" s="605" t="n">
        <v>44.2</v>
      </c>
      <c r="H199" s="605" t="n">
        <v>9505</v>
      </c>
      <c r="I199" s="403" t="n">
        <v>0</v>
      </c>
      <c r="J199" s="404" t="n">
        <v>11867</v>
      </c>
      <c r="K199" s="145" t="n">
        <v>5.93368163815623</v>
      </c>
      <c r="L199" s="153" t="n">
        <v>0</v>
      </c>
      <c r="M199" s="153" t="n">
        <v>0.0836611517432365</v>
      </c>
      <c r="N199" s="605" t="n">
        <v>1970</v>
      </c>
      <c r="O199" s="605" t="n">
        <v>5575</v>
      </c>
      <c r="P199" s="605" t="n">
        <v>0</v>
      </c>
      <c r="Q199" s="605" t="n">
        <v>18</v>
      </c>
      <c r="R199" s="605" t="n">
        <v>1</v>
      </c>
      <c r="S199" s="605" t="n">
        <v>1</v>
      </c>
      <c r="T199" s="403" t="inlineStr">
        <is>
          <t xml:space="preserve">I-A         </t>
        </is>
      </c>
      <c r="U199" s="605" t="n">
        <v>398</v>
      </c>
      <c r="V199" s="404" t="n">
        <v>18000</v>
      </c>
      <c r="W199" s="404" t="n">
        <v>18000</v>
      </c>
      <c r="X199" s="392" t="inlineStr">
        <is>
          <t>1.5:1</t>
        </is>
      </c>
      <c r="Y199" s="404" t="n">
        <v>12000</v>
      </c>
      <c r="Z199" s="403" t="inlineStr">
        <is>
          <t xml:space="preserve">C </t>
        </is>
      </c>
      <c r="AD199" s="605" t="inlineStr">
        <is>
          <t xml:space="preserve">M-W                 </t>
        </is>
      </c>
      <c r="AK199" s="405" t="inlineStr">
        <is>
          <t xml:space="preserve">2009 LEASE.                                                       </t>
        </is>
      </c>
    </row>
    <row r="200" ht="25.5" customFormat="1" customHeight="1" s="605">
      <c r="A200" s="402" t="n">
        <v>6</v>
      </c>
      <c r="B200" s="605" t="n">
        <v>194</v>
      </c>
      <c r="C200" s="605" t="inlineStr">
        <is>
          <t>2013Q</t>
        </is>
      </c>
      <c r="D200" s="605" t="inlineStr">
        <is>
          <t xml:space="preserve">05093-00-052-000 </t>
        </is>
      </c>
      <c r="E200" s="403" t="inlineStr">
        <is>
          <t>Actual</t>
        </is>
      </c>
      <c r="F200" s="605" t="inlineStr">
        <is>
          <t>163   VALLEJO              ST</t>
        </is>
      </c>
      <c r="G200" s="605" t="n">
        <v>44.1</v>
      </c>
      <c r="H200" s="605" t="n">
        <v>9508</v>
      </c>
      <c r="I200" s="403" t="n">
        <v>0</v>
      </c>
      <c r="J200" s="404" t="n">
        <v>4681</v>
      </c>
      <c r="K200" s="145" t="n">
        <v>11.9521912350598</v>
      </c>
      <c r="L200" s="153" t="n">
        <v>0</v>
      </c>
      <c r="M200" s="153" t="n">
        <v>0</v>
      </c>
      <c r="N200" s="605" t="n">
        <v>1937</v>
      </c>
      <c r="O200" s="605" t="n">
        <v>1100</v>
      </c>
      <c r="P200" s="605" t="n">
        <v>0</v>
      </c>
      <c r="Q200" s="605" t="n">
        <v>18</v>
      </c>
      <c r="R200" s="605" t="n">
        <v>3</v>
      </c>
      <c r="S200" s="605" t="n">
        <v>1</v>
      </c>
      <c r="T200" s="403" t="inlineStr">
        <is>
          <t xml:space="preserve">I-A         </t>
        </is>
      </c>
      <c r="U200" s="605" t="n">
        <v>398</v>
      </c>
      <c r="V200" s="404" t="n">
        <v>14136</v>
      </c>
      <c r="W200" s="404" t="n">
        <v>14000</v>
      </c>
      <c r="X200" s="392" t="inlineStr">
        <is>
          <t>3:1</t>
        </is>
      </c>
      <c r="Y200" s="404" t="n">
        <v>5000</v>
      </c>
      <c r="Z200" s="403" t="inlineStr">
        <is>
          <t xml:space="preserve">C </t>
        </is>
      </c>
      <c r="AD200" s="605" t="inlineStr">
        <is>
          <t>IAI CONSTRUCTION CO.</t>
        </is>
      </c>
      <c r="AK200" s="405" t="inlineStr">
        <is>
          <t xml:space="preserve">UNABLE TO ALLOCATE EXPENSES BETWEEN OWNER &amp; TENANT.               </t>
        </is>
      </c>
    </row>
    <row r="201" ht="12.75" customFormat="1" customHeight="1" s="605">
      <c r="A201" s="402" t="n">
        <v>6</v>
      </c>
      <c r="B201" s="605" t="n">
        <v>195</v>
      </c>
      <c r="C201" s="605" t="inlineStr">
        <is>
          <t>2013Q</t>
        </is>
      </c>
      <c r="D201" s="605" t="inlineStr">
        <is>
          <t xml:space="preserve">05093-11-008-000 </t>
        </is>
      </c>
      <c r="E201" s="403" t="inlineStr">
        <is>
          <t>Actual</t>
        </is>
      </c>
      <c r="F201" s="605" t="inlineStr">
        <is>
          <t>145   YUMA                 ST</t>
        </is>
      </c>
      <c r="G201" s="605" t="n">
        <v>44.1</v>
      </c>
      <c r="H201" s="605" t="n">
        <v>9508</v>
      </c>
      <c r="I201" s="403" t="n">
        <v>0</v>
      </c>
      <c r="J201" s="404" t="n">
        <v>6930</v>
      </c>
      <c r="K201" s="145" t="n">
        <v>6.27936507936508</v>
      </c>
      <c r="L201" s="153" t="n">
        <v>0</v>
      </c>
      <c r="M201" s="153" t="n">
        <v>0.0738349112969942</v>
      </c>
      <c r="N201" s="605" t="n">
        <v>1965</v>
      </c>
      <c r="O201" s="605" t="n">
        <v>1260</v>
      </c>
      <c r="P201" s="605" t="n">
        <v>0</v>
      </c>
      <c r="Q201" s="605" t="n">
        <v>13</v>
      </c>
      <c r="R201" s="605" t="n">
        <v>1</v>
      </c>
      <c r="S201" s="605" t="n">
        <v>1</v>
      </c>
      <c r="T201" s="403" t="inlineStr">
        <is>
          <t xml:space="preserve">I-A         </t>
        </is>
      </c>
      <c r="U201" s="605" t="n">
        <v>398</v>
      </c>
      <c r="V201" s="404" t="n">
        <v>18900</v>
      </c>
      <c r="W201" s="404" t="n">
        <v>19000</v>
      </c>
      <c r="X201" s="392" t="inlineStr">
        <is>
          <t>2.7:1</t>
        </is>
      </c>
      <c r="Y201" s="404" t="n">
        <v>7000</v>
      </c>
      <c r="Z201" s="403" t="inlineStr">
        <is>
          <t xml:space="preserve">C </t>
        </is>
      </c>
      <c r="AK201" s="405" t="inlineStr">
        <is>
          <t xml:space="preserve">2009 LEASE.                                                       </t>
        </is>
      </c>
    </row>
    <row r="202" ht="23.25" customFormat="1" customHeight="1" s="605">
      <c r="A202" s="402" t="n">
        <v>6</v>
      </c>
      <c r="B202" s="605" t="n">
        <v>196</v>
      </c>
      <c r="C202" s="605" t="inlineStr">
        <is>
          <t>2013Q</t>
        </is>
      </c>
      <c r="D202" s="605" t="inlineStr">
        <is>
          <t xml:space="preserve">05094-04-024-000 </t>
        </is>
      </c>
      <c r="E202" s="403" t="inlineStr">
        <is>
          <t>Actual</t>
        </is>
      </c>
      <c r="F202" s="605" t="inlineStr">
        <is>
          <t>175 S PECOS                ST</t>
        </is>
      </c>
      <c r="G202" s="605" t="n">
        <v>44.2</v>
      </c>
      <c r="H202" s="605" t="n">
        <v>9508</v>
      </c>
      <c r="I202" s="403" t="n">
        <v>0</v>
      </c>
      <c r="J202" s="404" t="n">
        <v>2550</v>
      </c>
      <c r="K202" s="145" t="n">
        <v>6.58823529411765</v>
      </c>
      <c r="L202" s="153" t="n">
        <v>0</v>
      </c>
      <c r="M202" s="153" t="n">
        <v>0.025</v>
      </c>
      <c r="N202" s="605" t="n">
        <v>1977</v>
      </c>
      <c r="O202" s="605" t="n">
        <v>648</v>
      </c>
      <c r="P202" s="605" t="n">
        <v>0</v>
      </c>
      <c r="Q202" s="605" t="n">
        <v>14</v>
      </c>
      <c r="R202" s="605" t="n">
        <v>1</v>
      </c>
      <c r="S202" s="605" t="n">
        <v>2</v>
      </c>
      <c r="T202" s="403" t="inlineStr">
        <is>
          <t xml:space="preserve">I-MX-3      </t>
        </is>
      </c>
      <c r="U202" s="605" t="n">
        <v>398</v>
      </c>
      <c r="V202" s="404" t="n">
        <v>6250</v>
      </c>
      <c r="W202" s="404" t="n">
        <v>6000</v>
      </c>
      <c r="X202" s="392" t="inlineStr">
        <is>
          <t>2.5:1</t>
        </is>
      </c>
      <c r="Y202" s="404" t="n">
        <v>3000</v>
      </c>
      <c r="Z202" s="403" t="inlineStr">
        <is>
          <t xml:space="preserve">C </t>
        </is>
      </c>
      <c r="AD202" s="605" t="inlineStr">
        <is>
          <t xml:space="preserve">M-W                 </t>
        </is>
      </c>
      <c r="AK202" s="405" t="inlineStr">
        <is>
          <t xml:space="preserve">DATE OF LEASE COMMENCEMENT UNKNOWN                                </t>
        </is>
      </c>
    </row>
    <row r="203" ht="12.75" customFormat="1" customHeight="1" s="605">
      <c r="A203" s="402" t="n">
        <v>6</v>
      </c>
      <c r="B203" s="605" t="n">
        <v>197</v>
      </c>
      <c r="C203" s="605" t="inlineStr">
        <is>
          <t>2013Q</t>
        </is>
      </c>
      <c r="D203" s="605" t="inlineStr">
        <is>
          <t xml:space="preserve">05094-05-033-000 </t>
        </is>
      </c>
      <c r="E203" s="403" t="inlineStr">
        <is>
          <t>Actual</t>
        </is>
      </c>
      <c r="F203" s="605" t="inlineStr">
        <is>
          <t>200 S RARITAN              ST</t>
        </is>
      </c>
      <c r="G203" s="605" t="n">
        <v>44.1</v>
      </c>
      <c r="H203" s="605" t="n">
        <v>9508</v>
      </c>
      <c r="I203" s="403" t="n">
        <v>0</v>
      </c>
      <c r="J203" s="404" t="n">
        <v>7362</v>
      </c>
      <c r="K203" s="145" t="n">
        <v>7.33496332518337</v>
      </c>
      <c r="L203" s="153" t="n">
        <v>0</v>
      </c>
      <c r="M203" s="153" t="n">
        <v>0.104018518518519</v>
      </c>
      <c r="N203" s="605" t="n">
        <v>1979</v>
      </c>
      <c r="O203" s="605" t="n">
        <v>1320</v>
      </c>
      <c r="P203" s="605" t="n">
        <v>0</v>
      </c>
      <c r="Q203" s="605" t="n">
        <v>20</v>
      </c>
      <c r="R203" s="605" t="n">
        <v>1</v>
      </c>
      <c r="S203" s="605" t="n">
        <v>1</v>
      </c>
      <c r="T203" s="403" t="inlineStr">
        <is>
          <t xml:space="preserve">I-MX-3      </t>
        </is>
      </c>
      <c r="U203" s="605" t="n">
        <v>398</v>
      </c>
      <c r="V203" s="404" t="n">
        <v>35000</v>
      </c>
      <c r="W203" s="404" t="n">
        <v>35000</v>
      </c>
      <c r="X203" s="392" t="inlineStr">
        <is>
          <t>4.8:1</t>
        </is>
      </c>
      <c r="Y203" s="404" t="n">
        <v>7000</v>
      </c>
      <c r="Z203" s="403" t="inlineStr">
        <is>
          <t xml:space="preserve">C </t>
        </is>
      </c>
      <c r="AD203" s="605" t="inlineStr">
        <is>
          <t>LITTLE JOHN'S EQUIPT</t>
        </is>
      </c>
      <c r="AK203" s="405" t="inlineStr">
        <is>
          <t xml:space="preserve">2010 LEASE.                                                       </t>
        </is>
      </c>
    </row>
    <row r="204" ht="12.75" customFormat="1" customHeight="1" s="605">
      <c r="A204" s="402" t="n">
        <v>6</v>
      </c>
      <c r="B204" s="605" t="n">
        <v>198</v>
      </c>
      <c r="C204" s="605" t="inlineStr">
        <is>
          <t>2013Q</t>
        </is>
      </c>
      <c r="D204" s="605" t="inlineStr">
        <is>
          <t xml:space="preserve">05094-05-034-000 </t>
        </is>
      </c>
      <c r="E204" s="403" t="inlineStr">
        <is>
          <t>Actual</t>
        </is>
      </c>
      <c r="F204" s="605" t="inlineStr">
        <is>
          <t>215 S PECOS                ST</t>
        </is>
      </c>
      <c r="G204" s="605" t="n">
        <v>44.1</v>
      </c>
      <c r="H204" s="605" t="n">
        <v>9508</v>
      </c>
      <c r="I204" s="403" t="n">
        <v>0</v>
      </c>
      <c r="J204" s="404" t="n">
        <v>6000</v>
      </c>
      <c r="K204" s="145" t="n">
        <v>15</v>
      </c>
      <c r="L204" s="153" t="n">
        <v>0</v>
      </c>
      <c r="M204" s="153" t="n">
        <v>0</v>
      </c>
      <c r="N204" s="605" t="n">
        <v>1976</v>
      </c>
      <c r="O204" s="605" t="n">
        <v>1179</v>
      </c>
      <c r="P204" s="605" t="n">
        <v>744</v>
      </c>
      <c r="Q204" s="605" t="n">
        <v>18</v>
      </c>
      <c r="R204" s="605" t="n">
        <v>14</v>
      </c>
      <c r="S204" s="605" t="n">
        <v>1</v>
      </c>
      <c r="T204" s="403" t="inlineStr">
        <is>
          <t xml:space="preserve">I-MX-3      </t>
        </is>
      </c>
      <c r="U204" s="605" t="n">
        <v>398</v>
      </c>
      <c r="V204" s="404" t="n">
        <v>17185</v>
      </c>
      <c r="W204" s="404" t="n">
        <v>17000</v>
      </c>
      <c r="X204" s="392" t="inlineStr">
        <is>
          <t>2.9:1</t>
        </is>
      </c>
      <c r="Y204" s="404" t="n">
        <v>6000</v>
      </c>
      <c r="Z204" s="403" t="inlineStr">
        <is>
          <t xml:space="preserve">C </t>
        </is>
      </c>
      <c r="AD204" s="605" t="inlineStr">
        <is>
          <t>S-W NEW MEXICO DISTR</t>
        </is>
      </c>
      <c r="AK204" s="405" t="n"/>
    </row>
    <row r="205" ht="12.75" customFormat="1" customHeight="1" s="605">
      <c r="A205" s="402" t="n">
        <v>6</v>
      </c>
      <c r="B205" s="605" t="n">
        <v>199</v>
      </c>
      <c r="C205" s="605" t="inlineStr">
        <is>
          <t>2013Q</t>
        </is>
      </c>
      <c r="D205" s="605" t="inlineStr">
        <is>
          <t xml:space="preserve">05094-08-034-000 </t>
        </is>
      </c>
      <c r="E205" s="403" t="inlineStr">
        <is>
          <t>Actual</t>
        </is>
      </c>
      <c r="F205" s="605" t="inlineStr">
        <is>
          <t>260 S RARITAN              ST</t>
        </is>
      </c>
      <c r="G205" s="605" t="n">
        <v>44.2</v>
      </c>
      <c r="H205" s="605" t="n">
        <v>9508</v>
      </c>
      <c r="I205" s="403" t="n">
        <v>0</v>
      </c>
      <c r="J205" s="404" t="n">
        <v>4492</v>
      </c>
      <c r="K205" s="145" t="n">
        <v>8.800000000000001</v>
      </c>
      <c r="L205" s="153" t="n">
        <v>0</v>
      </c>
      <c r="M205" s="153" t="n">
        <v>0</v>
      </c>
      <c r="N205" s="605" t="n">
        <v>1980</v>
      </c>
      <c r="O205" s="605" t="n">
        <v>2124</v>
      </c>
      <c r="P205" s="605" t="n">
        <v>0</v>
      </c>
      <c r="Q205" s="605" t="n">
        <v>20</v>
      </c>
      <c r="R205" s="605" t="n">
        <v>1</v>
      </c>
      <c r="S205" s="605" t="n">
        <v>1</v>
      </c>
      <c r="T205" s="403" t="inlineStr">
        <is>
          <t xml:space="preserve">PUD         </t>
        </is>
      </c>
      <c r="U205" s="605" t="n">
        <v>398</v>
      </c>
      <c r="V205" s="404" t="n">
        <v>10000</v>
      </c>
      <c r="W205" s="404" t="n">
        <v>10000</v>
      </c>
      <c r="X205" s="392" t="inlineStr">
        <is>
          <t>2.2:1</t>
        </is>
      </c>
      <c r="Y205" s="404" t="n">
        <v>4000</v>
      </c>
      <c r="Z205" s="403" t="inlineStr">
        <is>
          <t xml:space="preserve">C </t>
        </is>
      </c>
      <c r="AD205" s="605" t="inlineStr">
        <is>
          <t>S-W MCBRIDE LIGHTING</t>
        </is>
      </c>
      <c r="AK205" s="405" t="n"/>
    </row>
    <row r="206" ht="25.5" customFormat="1" customHeight="1" s="605">
      <c r="A206" s="402" t="n">
        <v>6</v>
      </c>
      <c r="B206" s="605" t="n">
        <v>200</v>
      </c>
      <c r="C206" s="605" t="inlineStr">
        <is>
          <t>2013Q</t>
        </is>
      </c>
      <c r="D206" s="605" t="inlineStr">
        <is>
          <t xml:space="preserve">05095-07-029-000 </t>
        </is>
      </c>
      <c r="E206" s="403" t="inlineStr">
        <is>
          <t>Actual</t>
        </is>
      </c>
      <c r="F206" s="605" t="inlineStr">
        <is>
          <t>1531 W BAYAUD               AV</t>
        </is>
      </c>
      <c r="G206" s="605" t="n">
        <v>44.2</v>
      </c>
      <c r="H206" s="605" t="n">
        <v>9508</v>
      </c>
      <c r="I206" s="403" t="n">
        <v>0</v>
      </c>
      <c r="J206" s="404" t="n">
        <v>11688</v>
      </c>
      <c r="K206" s="145" t="n">
        <v>5.80941446613088</v>
      </c>
      <c r="L206" s="153" t="n">
        <v>0</v>
      </c>
      <c r="M206" s="153" t="n">
        <v>0</v>
      </c>
      <c r="N206" s="605" t="n">
        <v>1985</v>
      </c>
      <c r="O206" s="605" t="n">
        <v>1322</v>
      </c>
      <c r="P206" s="605" t="n">
        <v>0</v>
      </c>
      <c r="Q206" s="605" t="n">
        <v>14</v>
      </c>
      <c r="R206" s="605" t="n">
        <v>3</v>
      </c>
      <c r="S206" s="605" t="n">
        <v>3</v>
      </c>
      <c r="T206" s="403" t="inlineStr">
        <is>
          <t xml:space="preserve">I-MX-3      </t>
        </is>
      </c>
      <c r="U206" s="605" t="n">
        <v>398</v>
      </c>
      <c r="V206" s="404" t="n">
        <v>19950</v>
      </c>
      <c r="W206" s="404" t="n">
        <v>20000</v>
      </c>
      <c r="X206" s="392" t="inlineStr">
        <is>
          <t>1.7:1</t>
        </is>
      </c>
      <c r="Y206" s="404" t="n">
        <v>12000</v>
      </c>
      <c r="Z206" s="403" t="inlineStr">
        <is>
          <t xml:space="preserve">C </t>
        </is>
      </c>
      <c r="AD206" s="605" t="inlineStr">
        <is>
          <t xml:space="preserve">WAREHOUSE           </t>
        </is>
      </c>
      <c r="AK206" s="405" t="inlineStr">
        <is>
          <t xml:space="preserve">CAN'T SEPARATE OWNER &amp; TENANT EXPENSES.                           </t>
        </is>
      </c>
    </row>
    <row r="207" ht="12.75" customFormat="1" customHeight="1" s="605">
      <c r="A207" s="402" t="n">
        <v>6</v>
      </c>
      <c r="B207" s="605" t="n">
        <v>201</v>
      </c>
      <c r="C207" s="605" t="inlineStr">
        <is>
          <t>2013Q</t>
        </is>
      </c>
      <c r="D207" s="605" t="inlineStr">
        <is>
          <t xml:space="preserve">05095-12-028-000 </t>
        </is>
      </c>
      <c r="E207" s="403" t="inlineStr">
        <is>
          <t>Actual</t>
        </is>
      </c>
      <c r="F207" s="605" t="inlineStr">
        <is>
          <t>1369 W BYERS                PL</t>
        </is>
      </c>
      <c r="G207" s="605" t="n">
        <v>44.2</v>
      </c>
      <c r="H207" s="605" t="n">
        <v>9508</v>
      </c>
      <c r="I207" s="403" t="n">
        <v>0</v>
      </c>
      <c r="J207" s="404" t="n">
        <v>8000</v>
      </c>
      <c r="K207" s="145" t="n">
        <v>6.6675</v>
      </c>
      <c r="L207" s="153" t="n">
        <v>0</v>
      </c>
      <c r="M207" s="153" t="n">
        <v>0.105961754780652</v>
      </c>
      <c r="N207" s="605" t="n">
        <v>1977</v>
      </c>
      <c r="O207" s="605" t="n">
        <v>1376</v>
      </c>
      <c r="P207" s="605" t="n">
        <v>0</v>
      </c>
      <c r="Q207" s="605" t="n">
        <v>14</v>
      </c>
      <c r="R207" s="605" t="n">
        <v>3</v>
      </c>
      <c r="S207" s="605" t="n">
        <v>1</v>
      </c>
      <c r="T207" s="403" t="inlineStr">
        <is>
          <t xml:space="preserve">I-MX-3      </t>
        </is>
      </c>
      <c r="U207" s="605" t="n">
        <v>398</v>
      </c>
      <c r="V207" s="404" t="n">
        <v>17187</v>
      </c>
      <c r="W207" s="404" t="n">
        <v>17000</v>
      </c>
      <c r="X207" s="392" t="inlineStr">
        <is>
          <t>2.1:1</t>
        </is>
      </c>
      <c r="Y207" s="404" t="n">
        <v>8000</v>
      </c>
      <c r="Z207" s="403" t="inlineStr">
        <is>
          <t xml:space="preserve">C </t>
        </is>
      </c>
      <c r="AD207" s="605" t="inlineStr">
        <is>
          <t>WESCO LASER MACHINRY</t>
        </is>
      </c>
      <c r="AK207" s="405" t="inlineStr">
        <is>
          <t xml:space="preserve">2010 LEASES.                                                      </t>
        </is>
      </c>
    </row>
    <row r="208" ht="25.5" customFormat="1" customHeight="1" s="605">
      <c r="A208" s="402" t="n">
        <v>6</v>
      </c>
      <c r="B208" s="605" t="n">
        <v>202</v>
      </c>
      <c r="C208" s="605" t="inlineStr">
        <is>
          <t>2013Q</t>
        </is>
      </c>
      <c r="D208" s="605" t="inlineStr">
        <is>
          <t xml:space="preserve">05095-13-008-000 </t>
        </is>
      </c>
      <c r="E208" s="403" t="inlineStr">
        <is>
          <t>Actual</t>
        </is>
      </c>
      <c r="F208" s="605" t="inlineStr">
        <is>
          <t>1254 W CEDAR                AV</t>
        </is>
      </c>
      <c r="G208" s="605" t="n">
        <v>44.2</v>
      </c>
      <c r="H208" s="605" t="n">
        <v>9508</v>
      </c>
      <c r="I208" s="403" t="n">
        <v>0</v>
      </c>
      <c r="J208" s="404" t="n">
        <v>4842</v>
      </c>
      <c r="K208" s="145" t="n">
        <v>7.2</v>
      </c>
      <c r="L208" s="153" t="n">
        <v>0</v>
      </c>
      <c r="M208" s="153" t="n">
        <v>0</v>
      </c>
      <c r="N208" s="605" t="n">
        <v>1979</v>
      </c>
      <c r="O208" s="605" t="n">
        <v>2242</v>
      </c>
      <c r="P208" s="605" t="n">
        <v>521</v>
      </c>
      <c r="Q208" s="605" t="n">
        <v>16</v>
      </c>
      <c r="R208" s="605" t="n">
        <v>3</v>
      </c>
      <c r="S208" s="605" t="n">
        <v>1</v>
      </c>
      <c r="T208" s="403" t="inlineStr">
        <is>
          <t xml:space="preserve">I-MX-3      </t>
        </is>
      </c>
      <c r="U208" s="605" t="n">
        <v>398</v>
      </c>
      <c r="V208" s="404" t="n">
        <v>10000</v>
      </c>
      <c r="W208" s="404" t="n">
        <v>10000</v>
      </c>
      <c r="X208" s="392" t="inlineStr">
        <is>
          <t>2.1:1</t>
        </is>
      </c>
      <c r="Y208" s="404" t="n">
        <v>5000</v>
      </c>
      <c r="Z208" s="403" t="inlineStr">
        <is>
          <t xml:space="preserve">C </t>
        </is>
      </c>
      <c r="AD208" s="605" t="inlineStr">
        <is>
          <t xml:space="preserve">PREMIER  PRINTING   </t>
        </is>
      </c>
      <c r="AK208" s="405" t="inlineStr">
        <is>
          <t xml:space="preserve">CAN'T SEPARATE OWNER VS. TENANT EXPENSES.                         </t>
        </is>
      </c>
    </row>
    <row r="209" ht="12.75" customFormat="1" customHeight="1" s="605">
      <c r="A209" s="402" t="n">
        <v>6</v>
      </c>
      <c r="B209" s="605" t="n">
        <v>203</v>
      </c>
      <c r="C209" s="605" t="inlineStr">
        <is>
          <t>2013Q</t>
        </is>
      </c>
      <c r="D209" s="605" t="inlineStr">
        <is>
          <t xml:space="preserve">05095-13-032-000 </t>
        </is>
      </c>
      <c r="E209" s="403" t="inlineStr">
        <is>
          <t>Actual</t>
        </is>
      </c>
      <c r="F209" s="605" t="inlineStr">
        <is>
          <t>1270 W CEDAR                AV</t>
        </is>
      </c>
      <c r="G209" s="605" t="n">
        <v>44.1</v>
      </c>
      <c r="H209" s="605" t="n">
        <v>9508</v>
      </c>
      <c r="I209" s="403" t="n">
        <v>0</v>
      </c>
      <c r="J209" s="404" t="n">
        <v>8868</v>
      </c>
      <c r="K209" s="145" t="n">
        <v>7.61163734776725</v>
      </c>
      <c r="L209" s="153" t="n">
        <v>0</v>
      </c>
      <c r="M209" s="153" t="n">
        <v>0</v>
      </c>
      <c r="N209" s="605" t="n">
        <v>1980</v>
      </c>
      <c r="O209" s="605" t="n">
        <v>2248</v>
      </c>
      <c r="P209" s="605" t="n">
        <v>0</v>
      </c>
      <c r="Q209" s="605" t="n">
        <v>15</v>
      </c>
      <c r="R209" s="605" t="n">
        <v>3</v>
      </c>
      <c r="S209" s="605" t="n">
        <v>3</v>
      </c>
      <c r="T209" s="403" t="inlineStr">
        <is>
          <t xml:space="preserve">I-MX-3      </t>
        </is>
      </c>
      <c r="U209" s="605" t="n">
        <v>398</v>
      </c>
      <c r="V209" s="404" t="n">
        <v>18125</v>
      </c>
      <c r="W209" s="404" t="n">
        <v>18000</v>
      </c>
      <c r="X209" s="392" t="inlineStr">
        <is>
          <t>2:1</t>
        </is>
      </c>
      <c r="Y209" s="404" t="n">
        <v>9000</v>
      </c>
      <c r="Z209" s="403" t="inlineStr">
        <is>
          <t xml:space="preserve">C </t>
        </is>
      </c>
      <c r="AK209" s="405" t="inlineStr">
        <is>
          <t xml:space="preserve">PARTIALLY OWNER-OCCUPIED.                                         </t>
        </is>
      </c>
    </row>
    <row r="210" ht="25.5" customFormat="1" customHeight="1" s="605">
      <c r="A210" s="402" t="n">
        <v>6</v>
      </c>
      <c r="B210" s="605" t="n">
        <v>204</v>
      </c>
      <c r="C210" s="605" t="inlineStr">
        <is>
          <t>2013Q</t>
        </is>
      </c>
      <c r="D210" s="605" t="inlineStr">
        <is>
          <t xml:space="preserve">05095-15-045-000 </t>
        </is>
      </c>
      <c r="E210" s="403" t="inlineStr">
        <is>
          <t>Actual</t>
        </is>
      </c>
      <c r="F210" s="605" t="inlineStr">
        <is>
          <t>1340 W BYERS                PL</t>
        </is>
      </c>
      <c r="G210" s="605" t="n">
        <v>44.2</v>
      </c>
      <c r="H210" s="605" t="n">
        <v>9508</v>
      </c>
      <c r="I210" s="403" t="n">
        <v>0</v>
      </c>
      <c r="J210" s="404" t="n">
        <v>8142</v>
      </c>
      <c r="K210" s="145" t="n">
        <v>7.36363636363636</v>
      </c>
      <c r="L210" s="153" t="n">
        <v>0</v>
      </c>
      <c r="M210" s="153" t="n">
        <v>0</v>
      </c>
      <c r="N210" s="605" t="n">
        <v>1984</v>
      </c>
      <c r="O210" s="605" t="n">
        <v>2738</v>
      </c>
      <c r="P210" s="605" t="n">
        <v>0</v>
      </c>
      <c r="Q210" s="605" t="n">
        <v>14</v>
      </c>
      <c r="R210" s="605" t="n">
        <v>3</v>
      </c>
      <c r="S210" s="605" t="n">
        <v>2</v>
      </c>
      <c r="T210" s="403" t="inlineStr">
        <is>
          <t xml:space="preserve">I-MX-3      </t>
        </is>
      </c>
      <c r="U210" s="605" t="n">
        <v>398</v>
      </c>
      <c r="V210" s="404" t="n">
        <v>12500</v>
      </c>
      <c r="W210" s="404" t="n">
        <v>13000</v>
      </c>
      <c r="X210" s="392" t="inlineStr">
        <is>
          <t>1.5:1</t>
        </is>
      </c>
      <c r="Y210" s="404" t="n">
        <v>8000</v>
      </c>
      <c r="Z210" s="403" t="inlineStr">
        <is>
          <t xml:space="preserve">C </t>
        </is>
      </c>
      <c r="AK210" s="405" t="inlineStr">
        <is>
          <t xml:space="preserve">2010 LEASE; PARTIALLY OWNER-OCC = NO ALLOCATION OF EXPENSES.      </t>
        </is>
      </c>
    </row>
    <row r="211" ht="12.75" customFormat="1" customHeight="1" s="605">
      <c r="A211" s="402" t="n">
        <v>6</v>
      </c>
      <c r="B211" s="605" t="n">
        <v>205</v>
      </c>
      <c r="C211" s="605" t="inlineStr">
        <is>
          <t>2013Q</t>
        </is>
      </c>
      <c r="D211" s="605" t="inlineStr">
        <is>
          <t xml:space="preserve">05096-04-057-000 </t>
        </is>
      </c>
      <c r="E211" s="403" t="inlineStr">
        <is>
          <t>Actual</t>
        </is>
      </c>
      <c r="F211" s="605" t="inlineStr">
        <is>
          <t>22   LIPAN                ST</t>
        </is>
      </c>
      <c r="G211" s="605" t="n">
        <v>47.2</v>
      </c>
      <c r="H211" s="605" t="n">
        <v>9505</v>
      </c>
      <c r="I211" s="403" t="n">
        <v>0</v>
      </c>
      <c r="J211" s="404" t="n">
        <v>7585</v>
      </c>
      <c r="K211" s="145" t="n">
        <v>7.11931443638761</v>
      </c>
      <c r="L211" s="153" t="n">
        <v>0</v>
      </c>
      <c r="M211" s="153" t="n">
        <v>0</v>
      </c>
      <c r="N211" s="605" t="n">
        <v>1957</v>
      </c>
      <c r="O211" s="605" t="n">
        <v>0</v>
      </c>
      <c r="P211" s="605" t="n">
        <v>0</v>
      </c>
      <c r="Q211" s="605" t="n">
        <v>12</v>
      </c>
      <c r="R211" s="605" t="n">
        <v>3</v>
      </c>
      <c r="S211" s="605" t="n">
        <v>1</v>
      </c>
      <c r="T211" s="403" t="inlineStr">
        <is>
          <t xml:space="preserve">I-A         </t>
        </is>
      </c>
      <c r="U211" s="605" t="n">
        <v>401</v>
      </c>
      <c r="V211" s="404" t="n">
        <v>19000</v>
      </c>
      <c r="W211" s="404" t="n">
        <v>19000</v>
      </c>
      <c r="X211" s="392" t="inlineStr">
        <is>
          <t>2.5:1</t>
        </is>
      </c>
      <c r="Y211" s="404" t="n">
        <v>8000</v>
      </c>
      <c r="Z211" s="403" t="inlineStr">
        <is>
          <t xml:space="preserve">C </t>
        </is>
      </c>
      <c r="AK211" s="405" t="n"/>
    </row>
    <row r="212" ht="12.75" customFormat="1" customHeight="1" s="605">
      <c r="A212" s="402" t="n">
        <v>6</v>
      </c>
      <c r="B212" s="605" t="n">
        <v>206</v>
      </c>
      <c r="C212" s="605" t="inlineStr">
        <is>
          <t>2013Q</t>
        </is>
      </c>
      <c r="D212" s="605" t="inlineStr">
        <is>
          <t xml:space="preserve">05096-18-016-000 </t>
        </is>
      </c>
      <c r="E212" s="403" t="inlineStr">
        <is>
          <t>Actual</t>
        </is>
      </c>
      <c r="F212" s="605" t="inlineStr">
        <is>
          <t>285 S SANTA FE             DR</t>
        </is>
      </c>
      <c r="G212" s="605" t="n">
        <v>44.1</v>
      </c>
      <c r="H212" s="605" t="n">
        <v>9505</v>
      </c>
      <c r="I212" s="403" t="n">
        <v>3</v>
      </c>
      <c r="J212" s="404" t="n">
        <v>6802</v>
      </c>
      <c r="K212" s="145" t="n">
        <v>8.919729491326081</v>
      </c>
      <c r="L212" s="153" t="n">
        <v>0</v>
      </c>
      <c r="M212" s="153" t="n">
        <v>0</v>
      </c>
      <c r="N212" s="605" t="n">
        <v>1971</v>
      </c>
      <c r="O212" s="605" t="n">
        <v>1338</v>
      </c>
      <c r="P212" s="605" t="n">
        <v>0</v>
      </c>
      <c r="Q212" s="605" t="n">
        <v>20</v>
      </c>
      <c r="R212" s="605" t="n">
        <v>7</v>
      </c>
      <c r="S212" s="605" t="n">
        <v>1</v>
      </c>
      <c r="T212" s="403" t="inlineStr">
        <is>
          <t xml:space="preserve">I-A         </t>
        </is>
      </c>
      <c r="U212" s="605" t="n">
        <v>398</v>
      </c>
      <c r="V212" s="404" t="n">
        <v>13864</v>
      </c>
      <c r="W212" s="404" t="n">
        <v>14000</v>
      </c>
      <c r="X212" s="392" t="inlineStr">
        <is>
          <t>2:1</t>
        </is>
      </c>
      <c r="Y212" s="404" t="n">
        <v>7000</v>
      </c>
      <c r="Z212" s="403" t="inlineStr">
        <is>
          <t xml:space="preserve">C </t>
        </is>
      </c>
      <c r="AD212" s="605" t="inlineStr">
        <is>
          <t xml:space="preserve">WHSE/DIST PLUMBING  </t>
        </is>
      </c>
      <c r="AK212" s="405" t="inlineStr">
        <is>
          <t xml:space="preserve">2009 LEASE.                                                       </t>
        </is>
      </c>
    </row>
    <row r="213" ht="12.75" customFormat="1" customHeight="1" s="605">
      <c r="A213" s="402" t="n">
        <v>6</v>
      </c>
      <c r="B213" s="605" t="n">
        <v>207</v>
      </c>
      <c r="C213" s="605" t="inlineStr">
        <is>
          <t>2013Q</t>
        </is>
      </c>
      <c r="D213" s="605" t="inlineStr">
        <is>
          <t xml:space="preserve">05103-23-018-000 </t>
        </is>
      </c>
      <c r="E213" s="403" t="inlineStr">
        <is>
          <t>Actual</t>
        </is>
      </c>
      <c r="F213" s="605" t="inlineStr">
        <is>
          <t>495 W CEDAR                AV</t>
        </is>
      </c>
      <c r="G213" s="605" t="n">
        <v>47.2</v>
      </c>
      <c r="H213" s="605" t="n">
        <v>9505</v>
      </c>
      <c r="I213" s="403" t="n">
        <v>0</v>
      </c>
      <c r="J213" s="404" t="n">
        <v>6624</v>
      </c>
      <c r="K213" s="145" t="n">
        <v>8.312801932367149</v>
      </c>
      <c r="L213" s="153" t="n">
        <v>0</v>
      </c>
      <c r="M213" s="153" t="n">
        <v>0</v>
      </c>
      <c r="N213" s="605" t="n">
        <v>1976</v>
      </c>
      <c r="O213" s="605" t="n">
        <v>4224</v>
      </c>
      <c r="P213" s="605" t="n">
        <v>0</v>
      </c>
      <c r="Q213" s="605" t="n">
        <v>12</v>
      </c>
      <c r="R213" s="605" t="n">
        <v>3</v>
      </c>
      <c r="S213" s="605" t="n">
        <v>1</v>
      </c>
      <c r="T213" s="403" t="inlineStr">
        <is>
          <t xml:space="preserve">I-MX-5      </t>
        </is>
      </c>
      <c r="U213" s="605" t="n">
        <v>401</v>
      </c>
      <c r="V213" s="404" t="n">
        <v>18200</v>
      </c>
      <c r="W213" s="404" t="n">
        <v>18000</v>
      </c>
      <c r="X213" s="392" t="inlineStr">
        <is>
          <t>2.7:1</t>
        </is>
      </c>
      <c r="Y213" s="404" t="n">
        <v>7000</v>
      </c>
      <c r="Z213" s="403" t="inlineStr">
        <is>
          <t xml:space="preserve">C </t>
        </is>
      </c>
      <c r="AD213" s="605" t="inlineStr">
        <is>
          <t xml:space="preserve">WALMAN OPTICAL      </t>
        </is>
      </c>
      <c r="AK213" s="405" t="inlineStr">
        <is>
          <t xml:space="preserve">2009 LEASE.                                                       </t>
        </is>
      </c>
    </row>
    <row r="214" ht="12.75" customFormat="1" customHeight="1" s="605">
      <c r="A214" s="402" t="n">
        <v>6</v>
      </c>
      <c r="B214" s="605" t="n">
        <v>208</v>
      </c>
      <c r="C214" s="605" t="inlineStr">
        <is>
          <t>2013Q</t>
        </is>
      </c>
      <c r="D214" s="605" t="inlineStr">
        <is>
          <t xml:space="preserve">05113-05-001-000 </t>
        </is>
      </c>
      <c r="E214" s="403" t="inlineStr">
        <is>
          <t>Actual</t>
        </is>
      </c>
      <c r="F214" s="605" t="inlineStr">
        <is>
          <t>560   PEARL                ST</t>
        </is>
      </c>
      <c r="G214" s="605" t="n">
        <v>42.1</v>
      </c>
      <c r="H214" s="605" t="n">
        <v>9502</v>
      </c>
      <c r="I214" s="403" t="n">
        <v>0</v>
      </c>
      <c r="J214" s="404" t="n">
        <v>9147</v>
      </c>
      <c r="K214" s="145" t="n">
        <v>11.1615830326883</v>
      </c>
      <c r="L214" s="153" t="n">
        <v>0</v>
      </c>
      <c r="M214" s="153" t="n">
        <v>0.0555169205152064</v>
      </c>
      <c r="N214" s="605" t="n">
        <v>1935</v>
      </c>
      <c r="O214" s="605" t="n">
        <v>1469</v>
      </c>
      <c r="P214" s="605" t="n">
        <v>0</v>
      </c>
      <c r="Q214" s="605" t="n">
        <v>14</v>
      </c>
      <c r="R214" s="605" t="n">
        <v>1</v>
      </c>
      <c r="S214" s="605" t="n">
        <v>2</v>
      </c>
      <c r="T214" s="403" t="inlineStr">
        <is>
          <t xml:space="preserve">U-MS-2      </t>
        </is>
      </c>
      <c r="U214" s="605" t="n">
        <v>401</v>
      </c>
      <c r="V214" s="404" t="n">
        <v>12500</v>
      </c>
      <c r="W214" s="404" t="n">
        <v>13000</v>
      </c>
      <c r="X214" s="392" t="inlineStr">
        <is>
          <t>1.4:1</t>
        </is>
      </c>
      <c r="Y214" s="404" t="n">
        <v>9000</v>
      </c>
      <c r="Z214" s="403" t="inlineStr">
        <is>
          <t xml:space="preserve">C </t>
        </is>
      </c>
      <c r="AD214" s="605" t="inlineStr">
        <is>
          <t>HANNECK DRY CLEANERS</t>
        </is>
      </c>
      <c r="AK214" s="405" t="inlineStr">
        <is>
          <t xml:space="preserve">2009 LEASES.                                                      </t>
        </is>
      </c>
    </row>
    <row r="215" ht="12.75" customFormat="1" customHeight="1" s="605">
      <c r="A215" s="402" t="n">
        <v>6</v>
      </c>
      <c r="B215" s="605" t="n">
        <v>209</v>
      </c>
      <c r="C215" s="605" t="inlineStr">
        <is>
          <t>2013Q</t>
        </is>
      </c>
      <c r="D215" s="605" t="inlineStr">
        <is>
          <t xml:space="preserve">05154-02-018-000 </t>
        </is>
      </c>
      <c r="E215" s="403" t="inlineStr">
        <is>
          <t>Actual</t>
        </is>
      </c>
      <c r="F215" s="605" t="inlineStr">
        <is>
          <t>515 W MISSISSIPPI          AV</t>
        </is>
      </c>
      <c r="G215" s="605" t="n">
        <v>44.2</v>
      </c>
      <c r="H215" s="605" t="n">
        <v>9506</v>
      </c>
      <c r="I215" s="403" t="n">
        <v>0</v>
      </c>
      <c r="J215" s="404" t="n">
        <v>38526</v>
      </c>
      <c r="K215" s="145" t="n">
        <v>4.81851217359705</v>
      </c>
      <c r="L215" s="153" t="n">
        <v>0</v>
      </c>
      <c r="M215" s="153" t="n">
        <v>0</v>
      </c>
      <c r="N215" s="605" t="n">
        <v>1969</v>
      </c>
      <c r="O215" s="605" t="n">
        <v>4748</v>
      </c>
      <c r="P215" s="605" t="n">
        <v>0</v>
      </c>
      <c r="Q215" s="605" t="n">
        <v>22</v>
      </c>
      <c r="R215" s="605" t="n">
        <v>1</v>
      </c>
      <c r="S215" s="605" t="n">
        <v>1</v>
      </c>
      <c r="T215" s="403" t="inlineStr">
        <is>
          <t xml:space="preserve">I-A         </t>
        </is>
      </c>
      <c r="U215" s="605" t="n">
        <v>398</v>
      </c>
      <c r="V215" s="404" t="n">
        <v>62533</v>
      </c>
      <c r="W215" s="404" t="n">
        <v>63000</v>
      </c>
      <c r="X215" s="392" t="inlineStr">
        <is>
          <t>1.6:1</t>
        </is>
      </c>
      <c r="Y215" s="404" t="n">
        <v>39000</v>
      </c>
      <c r="Z215" s="403" t="inlineStr">
        <is>
          <t xml:space="preserve">C </t>
        </is>
      </c>
      <c r="AD215" s="605" t="inlineStr">
        <is>
          <t xml:space="preserve">DIST                </t>
        </is>
      </c>
      <c r="AK215" s="405" t="n"/>
    </row>
    <row r="216" ht="12.75" customFormat="1" customHeight="1" s="605">
      <c r="A216" s="402" t="n">
        <v>6</v>
      </c>
      <c r="B216" s="605" t="n">
        <v>210</v>
      </c>
      <c r="C216" s="605" t="inlineStr">
        <is>
          <t>2013Q</t>
        </is>
      </c>
      <c r="D216" s="605" t="inlineStr">
        <is>
          <t xml:space="preserve">05154-02-019-000 </t>
        </is>
      </c>
      <c r="E216" s="403" t="inlineStr">
        <is>
          <t>Actual</t>
        </is>
      </c>
      <c r="F216" s="605" t="inlineStr">
        <is>
          <t>1050 S FOX                  ST</t>
        </is>
      </c>
      <c r="G216" s="605" t="n">
        <v>44.1</v>
      </c>
      <c r="H216" s="605" t="n">
        <v>9506</v>
      </c>
      <c r="I216" s="403" t="n">
        <v>0</v>
      </c>
      <c r="J216" s="404" t="n">
        <v>9104</v>
      </c>
      <c r="K216" s="145" t="n">
        <v>6.59050966608084</v>
      </c>
      <c r="L216" s="153" t="n">
        <v>0</v>
      </c>
      <c r="M216" s="153" t="n">
        <v>0</v>
      </c>
      <c r="N216" s="605" t="n">
        <v>1980</v>
      </c>
      <c r="O216" s="605" t="n">
        <v>4079</v>
      </c>
      <c r="P216" s="605" t="n">
        <v>0</v>
      </c>
      <c r="Q216" s="605" t="n">
        <v>16</v>
      </c>
      <c r="R216" s="605" t="n">
        <v>1</v>
      </c>
      <c r="S216" s="605" t="n">
        <v>1</v>
      </c>
      <c r="T216" s="403" t="inlineStr">
        <is>
          <t xml:space="preserve">I-A         </t>
        </is>
      </c>
      <c r="U216" s="605" t="n">
        <v>398</v>
      </c>
      <c r="V216" s="404" t="n">
        <v>25695</v>
      </c>
      <c r="W216" s="404" t="n">
        <v>26000</v>
      </c>
      <c r="X216" s="392" t="inlineStr">
        <is>
          <t>2.8:1</t>
        </is>
      </c>
      <c r="Y216" s="404" t="n">
        <v>9000</v>
      </c>
      <c r="Z216" s="403" t="inlineStr">
        <is>
          <t xml:space="preserve">C </t>
        </is>
      </c>
      <c r="AD216" s="605" t="inlineStr">
        <is>
          <t xml:space="preserve">XCEL ENERGY         </t>
        </is>
      </c>
      <c r="AK216" s="405" t="n"/>
    </row>
    <row r="217" ht="25.5" customFormat="1" customHeight="1" s="605">
      <c r="A217" s="402" t="n">
        <v>6</v>
      </c>
      <c r="B217" s="605" t="n">
        <v>211</v>
      </c>
      <c r="C217" s="605" t="inlineStr">
        <is>
          <t>2013Q</t>
        </is>
      </c>
      <c r="D217" s="605" t="inlineStr">
        <is>
          <t xml:space="preserve">05156-22-037-000 </t>
        </is>
      </c>
      <c r="E217" s="403" t="inlineStr">
        <is>
          <t>Actual</t>
        </is>
      </c>
      <c r="F217" s="605" t="inlineStr">
        <is>
          <t>525 E MISSISSIPPI          AV</t>
        </is>
      </c>
      <c r="G217" s="605" t="n">
        <v>44.1</v>
      </c>
      <c r="H217" s="605" t="n">
        <v>9507</v>
      </c>
      <c r="I217" s="403" t="n">
        <v>0</v>
      </c>
      <c r="J217" s="404" t="n">
        <v>6583</v>
      </c>
      <c r="K217" s="145" t="n">
        <v>10.551724137931</v>
      </c>
      <c r="L217" s="153" t="n">
        <v>0</v>
      </c>
      <c r="M217" s="153" t="n">
        <v>0</v>
      </c>
      <c r="N217" s="605" t="n">
        <v>1949</v>
      </c>
      <c r="O217" s="605" t="n">
        <v>2226</v>
      </c>
      <c r="P217" s="605" t="n">
        <v>0</v>
      </c>
      <c r="Q217" s="605" t="n">
        <v>15</v>
      </c>
      <c r="R217" s="605" t="n">
        <v>3</v>
      </c>
      <c r="S217" s="605" t="n">
        <v>1</v>
      </c>
      <c r="T217" s="403" t="inlineStr">
        <is>
          <t xml:space="preserve">U-MS-2      </t>
        </is>
      </c>
      <c r="U217" s="605" t="n">
        <v>398</v>
      </c>
      <c r="V217" s="404" t="n">
        <v>11913</v>
      </c>
      <c r="W217" s="404" t="n">
        <v>12000</v>
      </c>
      <c r="X217" s="392" t="inlineStr">
        <is>
          <t>1.8:1</t>
        </is>
      </c>
      <c r="Y217" s="404" t="n">
        <v>7000</v>
      </c>
      <c r="Z217" s="403" t="inlineStr">
        <is>
          <t xml:space="preserve">C </t>
        </is>
      </c>
      <c r="AK217" s="405" t="inlineStr">
        <is>
          <t xml:space="preserve">NO BASIS TO ALLOCATE EXP BETWEEN OWNER AND TENANT OCCUPANCIES.    </t>
        </is>
      </c>
    </row>
    <row r="218" ht="12.75" customFormat="1" customHeight="1" s="605">
      <c r="A218" s="402" t="n">
        <v>6</v>
      </c>
      <c r="B218" s="605" t="n">
        <v>212</v>
      </c>
      <c r="C218" s="605" t="inlineStr">
        <is>
          <t>2013Q</t>
        </is>
      </c>
      <c r="D218" s="605" t="inlineStr">
        <is>
          <t xml:space="preserve">05161-01-028-000 </t>
        </is>
      </c>
      <c r="E218" s="403" t="inlineStr">
        <is>
          <t>Actual</t>
        </is>
      </c>
      <c r="F218" s="605" t="inlineStr">
        <is>
          <t>1298 W ALAMEDA              AV</t>
        </is>
      </c>
      <c r="G218" s="605" t="n">
        <v>44.1</v>
      </c>
      <c r="H218" s="605" t="n">
        <v>9506</v>
      </c>
      <c r="I218" s="403" t="n">
        <v>9</v>
      </c>
      <c r="J218" s="404" t="n">
        <v>12148</v>
      </c>
      <c r="K218" s="145" t="n">
        <v>8.772061244649329</v>
      </c>
      <c r="L218" s="153" t="n">
        <v>0</v>
      </c>
      <c r="M218" s="153" t="n">
        <v>0</v>
      </c>
      <c r="N218" s="605" t="n">
        <v>1977</v>
      </c>
      <c r="O218" s="605" t="n">
        <v>0</v>
      </c>
      <c r="P218" s="605" t="n">
        <v>6808</v>
      </c>
      <c r="Q218" s="605" t="n">
        <v>16</v>
      </c>
      <c r="R218" s="605" t="n">
        <v>7</v>
      </c>
      <c r="S218" s="605" t="n">
        <v>1</v>
      </c>
      <c r="T218" s="403" t="inlineStr">
        <is>
          <t xml:space="preserve">I-MX-3      </t>
        </is>
      </c>
      <c r="U218" s="605" t="n">
        <v>398</v>
      </c>
      <c r="V218" s="404" t="n">
        <v>32824</v>
      </c>
      <c r="W218" s="404" t="n">
        <v>33000</v>
      </c>
      <c r="X218" s="392" t="inlineStr">
        <is>
          <t>2.7:1</t>
        </is>
      </c>
      <c r="Y218" s="404" t="n">
        <v>12000</v>
      </c>
      <c r="Z218" s="403" t="inlineStr">
        <is>
          <t xml:space="preserve">C </t>
        </is>
      </c>
      <c r="AK218" s="405" t="inlineStr">
        <is>
          <t xml:space="preserve">NNN--SIGNED 7.12--SOURCE:COSTAR                                   </t>
        </is>
      </c>
    </row>
    <row r="219" ht="12.75" customFormat="1" customHeight="1" s="605">
      <c r="A219" s="402" t="n">
        <v>6</v>
      </c>
      <c r="B219" s="605" t="n">
        <v>213</v>
      </c>
      <c r="C219" s="605" t="inlineStr">
        <is>
          <t>2013Q</t>
        </is>
      </c>
      <c r="D219" s="605" t="inlineStr">
        <is>
          <t xml:space="preserve">05161-10-002-000 </t>
        </is>
      </c>
      <c r="E219" s="403" t="inlineStr">
        <is>
          <t>Actual</t>
        </is>
      </c>
      <c r="F219" s="605" t="inlineStr">
        <is>
          <t>1216 W VIRGINIA             AV</t>
        </is>
      </c>
      <c r="G219" s="605" t="n">
        <v>44.5</v>
      </c>
      <c r="H219" s="605" t="n">
        <v>9506</v>
      </c>
      <c r="I219" s="403" t="n">
        <v>0</v>
      </c>
      <c r="J219" s="404" t="n">
        <v>3485</v>
      </c>
      <c r="K219" s="145" t="n">
        <v>3.13142037302726</v>
      </c>
      <c r="L219" s="153" t="n">
        <v>0</v>
      </c>
      <c r="M219" s="153" t="n">
        <v>0.211399248602584</v>
      </c>
      <c r="N219" s="605" t="n">
        <v>1973</v>
      </c>
      <c r="O219" s="605" t="n">
        <v>0</v>
      </c>
      <c r="P219" s="605" t="n">
        <v>0</v>
      </c>
      <c r="Q219" s="605" t="n">
        <v>12</v>
      </c>
      <c r="R219" s="605" t="n">
        <v>7</v>
      </c>
      <c r="S219" s="605" t="n">
        <v>20</v>
      </c>
      <c r="T219" s="403" t="inlineStr">
        <is>
          <t xml:space="preserve">I-MX-3      </t>
        </is>
      </c>
      <c r="U219" s="605" t="n">
        <v>396</v>
      </c>
      <c r="V219" s="404" t="n">
        <v>9375</v>
      </c>
      <c r="W219" s="404" t="n">
        <v>9000</v>
      </c>
      <c r="X219" s="392" t="inlineStr">
        <is>
          <t>2.7:1</t>
        </is>
      </c>
      <c r="Y219" s="404" t="n">
        <v>3000</v>
      </c>
      <c r="Z219" s="403" t="inlineStr">
        <is>
          <t xml:space="preserve">C </t>
        </is>
      </c>
      <c r="AD219" s="605" t="inlineStr">
        <is>
          <t xml:space="preserve">MINI STORAGE        </t>
        </is>
      </c>
      <c r="AK219" s="405" t="n"/>
    </row>
    <row r="220" ht="12.75" customFormat="1" customHeight="1" s="605">
      <c r="A220" s="402" t="n">
        <v>6</v>
      </c>
      <c r="B220" s="605" t="n">
        <v>214</v>
      </c>
      <c r="C220" s="605" t="inlineStr">
        <is>
          <t>2013Q</t>
        </is>
      </c>
      <c r="D220" s="605" t="inlineStr">
        <is>
          <t xml:space="preserve">05161-13-026-000 </t>
        </is>
      </c>
      <c r="E220" s="403" t="inlineStr">
        <is>
          <t>Actual</t>
        </is>
      </c>
      <c r="F220" s="605" t="inlineStr">
        <is>
          <t>1210 W CUSTER               PL</t>
        </is>
      </c>
      <c r="G220" s="605" t="n">
        <v>44.2</v>
      </c>
      <c r="H220" s="605" t="n">
        <v>9506</v>
      </c>
      <c r="I220" s="403" t="n">
        <v>0</v>
      </c>
      <c r="J220" s="404" t="n">
        <v>6000</v>
      </c>
      <c r="K220" s="145" t="n">
        <v>6.7</v>
      </c>
      <c r="L220" s="153" t="n">
        <v>0</v>
      </c>
      <c r="M220" s="153" t="n">
        <v>0.06664179104477611</v>
      </c>
      <c r="N220" s="605" t="n">
        <v>1971</v>
      </c>
      <c r="O220" s="605" t="n">
        <v>630</v>
      </c>
      <c r="P220" s="605" t="n">
        <v>0</v>
      </c>
      <c r="Q220" s="605" t="n">
        <v>13</v>
      </c>
      <c r="R220" s="605" t="n">
        <v>3</v>
      </c>
      <c r="S220" s="605" t="n">
        <v>1</v>
      </c>
      <c r="T220" s="403" t="inlineStr">
        <is>
          <t xml:space="preserve">I-MX-3      </t>
        </is>
      </c>
      <c r="U220" s="605" t="n">
        <v>398</v>
      </c>
      <c r="V220" s="404" t="n">
        <v>12500</v>
      </c>
      <c r="W220" s="404" t="n">
        <v>13000</v>
      </c>
      <c r="X220" s="392" t="inlineStr">
        <is>
          <t>2.1:1</t>
        </is>
      </c>
      <c r="Y220" s="404" t="n">
        <v>6000</v>
      </c>
      <c r="Z220" s="403" t="inlineStr">
        <is>
          <t xml:space="preserve">C </t>
        </is>
      </c>
      <c r="AK220" s="405" t="n"/>
    </row>
    <row r="221" ht="12.75" customFormat="1" customHeight="1" s="605">
      <c r="A221" s="402" t="n">
        <v>6</v>
      </c>
      <c r="B221" s="605" t="n">
        <v>215</v>
      </c>
      <c r="C221" s="605" t="inlineStr">
        <is>
          <t>2013Q</t>
        </is>
      </c>
      <c r="D221" s="605" t="inlineStr">
        <is>
          <t xml:space="preserve">05161-15-016-000 </t>
        </is>
      </c>
      <c r="E221" s="403" t="inlineStr">
        <is>
          <t>Actual</t>
        </is>
      </c>
      <c r="F221" s="605" t="inlineStr">
        <is>
          <t>630 S LIPAN                ST</t>
        </is>
      </c>
      <c r="G221" s="605" t="n">
        <v>44.1</v>
      </c>
      <c r="H221" s="605" t="n">
        <v>9506</v>
      </c>
      <c r="I221" s="403" t="n">
        <v>0</v>
      </c>
      <c r="J221" s="404" t="n">
        <v>7840</v>
      </c>
      <c r="K221" s="145" t="n">
        <v>6.12244897959184</v>
      </c>
      <c r="L221" s="153" t="n">
        <v>0</v>
      </c>
      <c r="M221" s="153" t="n">
        <v>0</v>
      </c>
      <c r="N221" s="605" t="n">
        <v>1982</v>
      </c>
      <c r="O221" s="605" t="n">
        <v>1482</v>
      </c>
      <c r="P221" s="605" t="n">
        <v>0</v>
      </c>
      <c r="Q221" s="605" t="n">
        <v>17</v>
      </c>
      <c r="R221" s="605" t="n">
        <v>3</v>
      </c>
      <c r="S221" s="605" t="n">
        <v>1</v>
      </c>
      <c r="T221" s="403" t="inlineStr">
        <is>
          <t xml:space="preserve">I-MX-3      </t>
        </is>
      </c>
      <c r="U221" s="605" t="n">
        <v>398</v>
      </c>
      <c r="V221" s="404" t="n">
        <v>43765</v>
      </c>
      <c r="W221" s="404" t="n">
        <v>44000</v>
      </c>
      <c r="X221" s="392" t="inlineStr">
        <is>
          <t>5.6:1</t>
        </is>
      </c>
      <c r="Y221" s="404" t="n">
        <v>8000</v>
      </c>
      <c r="Z221" s="403" t="inlineStr">
        <is>
          <t xml:space="preserve">C </t>
        </is>
      </c>
      <c r="AD221" s="605" t="inlineStr">
        <is>
          <t xml:space="preserve">KUBAT EQUIP. CO.    </t>
        </is>
      </c>
      <c r="AK221" s="405" t="n"/>
    </row>
    <row r="222" ht="25.5" customFormat="1" customHeight="1" s="605">
      <c r="A222" s="402" t="n">
        <v>6</v>
      </c>
      <c r="B222" s="605" t="n">
        <v>216</v>
      </c>
      <c r="C222" s="605" t="inlineStr">
        <is>
          <t>2013Q</t>
        </is>
      </c>
      <c r="D222" s="605" t="inlineStr">
        <is>
          <t xml:space="preserve">05161-20-022-000 </t>
        </is>
      </c>
      <c r="E222" s="403" t="inlineStr">
        <is>
          <t>Actual</t>
        </is>
      </c>
      <c r="F222" s="605" t="inlineStr">
        <is>
          <t>687 S JASON                ST</t>
        </is>
      </c>
      <c r="G222" s="605" t="n">
        <v>44.1</v>
      </c>
      <c r="H222" s="605" t="n">
        <v>9506</v>
      </c>
      <c r="I222" s="403" t="n">
        <v>0</v>
      </c>
      <c r="J222" s="404" t="n">
        <v>6585</v>
      </c>
      <c r="K222" s="145" t="n">
        <v>7.35656836461126</v>
      </c>
      <c r="L222" s="153" t="n">
        <v>0</v>
      </c>
      <c r="M222" s="153" t="n">
        <v>0</v>
      </c>
      <c r="N222" s="605" t="n">
        <v>1963</v>
      </c>
      <c r="O222" s="605" t="n">
        <v>1057</v>
      </c>
      <c r="P222" s="605" t="n">
        <v>0</v>
      </c>
      <c r="Q222" s="605" t="n">
        <v>13</v>
      </c>
      <c r="R222" s="605" t="n">
        <v>1</v>
      </c>
      <c r="S222" s="605" t="n">
        <v>2</v>
      </c>
      <c r="T222" s="403" t="inlineStr">
        <is>
          <t xml:space="preserve">I-A         </t>
        </is>
      </c>
      <c r="U222" s="605" t="n">
        <v>398</v>
      </c>
      <c r="V222" s="404" t="n">
        <v>10027</v>
      </c>
      <c r="W222" s="404" t="n">
        <v>10000</v>
      </c>
      <c r="X222" s="392" t="inlineStr">
        <is>
          <t>1.5:1</t>
        </is>
      </c>
      <c r="Y222" s="404" t="n">
        <v>7000</v>
      </c>
      <c r="Z222" s="403" t="inlineStr">
        <is>
          <t xml:space="preserve">C </t>
        </is>
      </c>
      <c r="AD222" s="605" t="inlineStr">
        <is>
          <t xml:space="preserve">MOTHER TRUCKERS     </t>
        </is>
      </c>
      <c r="AK222" s="405" t="inlineStr">
        <is>
          <t xml:space="preserve">NO BASIS TO ALLOCATE EXP BETWEEN OWNER &amp; TENANT OCCUPIED SPACE.   </t>
        </is>
      </c>
    </row>
    <row r="223" ht="12.75" customFormat="1" customHeight="1" s="605">
      <c r="A223" s="402" t="n">
        <v>6</v>
      </c>
      <c r="B223" s="605" t="n">
        <v>217</v>
      </c>
      <c r="C223" s="605" t="inlineStr">
        <is>
          <t>2013Q</t>
        </is>
      </c>
      <c r="D223" s="605" t="inlineStr">
        <is>
          <t xml:space="preserve">05164-00-329-329 </t>
        </is>
      </c>
      <c r="E223" s="403" t="inlineStr">
        <is>
          <t>Actual</t>
        </is>
      </c>
      <c r="F223" s="605" t="inlineStr">
        <is>
          <t>765 S JASON                ST</t>
        </is>
      </c>
      <c r="G223" s="605" t="n">
        <v>44.8</v>
      </c>
      <c r="H223" s="605" t="n">
        <v>9506</v>
      </c>
      <c r="I223" s="403" t="n">
        <v>0</v>
      </c>
      <c r="J223" s="404" t="n">
        <v>5814</v>
      </c>
      <c r="K223" s="145" t="n">
        <v>9.95201238390093</v>
      </c>
      <c r="L223" s="153" t="n">
        <v>0</v>
      </c>
      <c r="M223" s="153" t="n">
        <v>0.0216034980384024</v>
      </c>
      <c r="N223" s="605" t="n">
        <v>1962</v>
      </c>
      <c r="O223" s="605" t="n">
        <v>640</v>
      </c>
      <c r="P223" s="605" t="n">
        <v>0</v>
      </c>
      <c r="Q223" s="605" t="n">
        <v>13</v>
      </c>
      <c r="R223" s="605" t="n">
        <v>1</v>
      </c>
      <c r="S223" s="605" t="n">
        <v>1</v>
      </c>
      <c r="T223" s="403" t="inlineStr">
        <is>
          <t xml:space="preserve">I-A         </t>
        </is>
      </c>
      <c r="U223" s="605" t="n">
        <v>398</v>
      </c>
      <c r="V223" s="404" t="n">
        <v>8565</v>
      </c>
      <c r="W223" s="404" t="n">
        <v>9000</v>
      </c>
      <c r="X223" s="392" t="inlineStr">
        <is>
          <t>1.5:1</t>
        </is>
      </c>
      <c r="Y223" s="404" t="n">
        <v>6000</v>
      </c>
      <c r="Z223" s="403" t="inlineStr">
        <is>
          <t xml:space="preserve">C </t>
        </is>
      </c>
      <c r="AD223" s="605" t="inlineStr">
        <is>
          <t xml:space="preserve">JJ&amp;S LIGHTIING #765 </t>
        </is>
      </c>
      <c r="AK223" s="405" t="inlineStr">
        <is>
          <t xml:space="preserve">2009 LEASE.                                                       </t>
        </is>
      </c>
    </row>
    <row r="224" ht="12.75" customFormat="1" customHeight="1" s="605">
      <c r="A224" s="402" t="n">
        <v>6</v>
      </c>
      <c r="B224" s="605" t="n">
        <v>218</v>
      </c>
      <c r="C224" s="605" t="inlineStr">
        <is>
          <t>2013Q</t>
        </is>
      </c>
      <c r="D224" s="605" t="inlineStr">
        <is>
          <t xml:space="preserve">05164-00-330-330 </t>
        </is>
      </c>
      <c r="E224" s="403" t="inlineStr">
        <is>
          <t>Actual</t>
        </is>
      </c>
      <c r="F224" s="605" t="inlineStr">
        <is>
          <t>775 S JASON                ST</t>
        </is>
      </c>
      <c r="G224" s="605" t="n">
        <v>44.8</v>
      </c>
      <c r="H224" s="605" t="n">
        <v>9506</v>
      </c>
      <c r="I224" s="403" t="n">
        <v>0</v>
      </c>
      <c r="J224" s="404" t="n">
        <v>5907</v>
      </c>
      <c r="K224" s="145" t="n">
        <v>3.99187404773997</v>
      </c>
      <c r="L224" s="153" t="n">
        <v>0</v>
      </c>
      <c r="M224" s="153" t="n">
        <v>0</v>
      </c>
      <c r="N224" s="605" t="n">
        <v>1962</v>
      </c>
      <c r="O224" s="605" t="n">
        <v>1906</v>
      </c>
      <c r="P224" s="605" t="n">
        <v>0</v>
      </c>
      <c r="Q224" s="605" t="n">
        <v>13</v>
      </c>
      <c r="R224" s="605" t="n">
        <v>1</v>
      </c>
      <c r="S224" s="605" t="n">
        <v>1</v>
      </c>
      <c r="T224" s="403" t="inlineStr">
        <is>
          <t xml:space="preserve">I-A         </t>
        </is>
      </c>
      <c r="U224" s="605" t="n">
        <v>398</v>
      </c>
      <c r="V224" s="404" t="n">
        <v>8565</v>
      </c>
      <c r="W224" s="404" t="n">
        <v>9000</v>
      </c>
      <c r="X224" s="392" t="inlineStr">
        <is>
          <t>1.4:1</t>
        </is>
      </c>
      <c r="Y224" s="404" t="n">
        <v>6000</v>
      </c>
      <c r="Z224" s="403" t="inlineStr">
        <is>
          <t xml:space="preserve">C </t>
        </is>
      </c>
      <c r="AD224" s="605" t="inlineStr">
        <is>
          <t>JASON ST CONDOS #775</t>
        </is>
      </c>
      <c r="AK224" s="405" t="n"/>
    </row>
    <row r="225" ht="12.75" customFormat="1" customHeight="1" s="605">
      <c r="A225" s="402" t="n">
        <v>6</v>
      </c>
      <c r="B225" s="605" t="n">
        <v>219</v>
      </c>
      <c r="C225" s="605" t="inlineStr">
        <is>
          <t>2013Q</t>
        </is>
      </c>
      <c r="D225" s="605" t="inlineStr">
        <is>
          <t xml:space="preserve">05164-00-331-331 </t>
        </is>
      </c>
      <c r="E225" s="403" t="inlineStr">
        <is>
          <t>Actual</t>
        </is>
      </c>
      <c r="F225" s="605" t="inlineStr">
        <is>
          <t>785 S JASON                ST</t>
        </is>
      </c>
      <c r="G225" s="605" t="n">
        <v>44.8</v>
      </c>
      <c r="H225" s="605" t="n">
        <v>9506</v>
      </c>
      <c r="I225" s="403" t="n">
        <v>0</v>
      </c>
      <c r="J225" s="404" t="n">
        <v>5844</v>
      </c>
      <c r="K225" s="145" t="n">
        <v>4.03490759753593</v>
      </c>
      <c r="L225" s="153" t="n">
        <v>0</v>
      </c>
      <c r="M225" s="153" t="n">
        <v>0</v>
      </c>
      <c r="N225" s="605" t="n">
        <v>1962</v>
      </c>
      <c r="O225" s="605" t="n">
        <v>978</v>
      </c>
      <c r="P225" s="605" t="n">
        <v>0</v>
      </c>
      <c r="Q225" s="605" t="n">
        <v>13</v>
      </c>
      <c r="R225" s="605" t="n">
        <v>1</v>
      </c>
      <c r="S225" s="605" t="n">
        <v>1</v>
      </c>
      <c r="T225" s="403" t="inlineStr">
        <is>
          <t xml:space="preserve">I-A         </t>
        </is>
      </c>
      <c r="U225" s="605" t="n">
        <v>398</v>
      </c>
      <c r="V225" s="404" t="n">
        <v>8565</v>
      </c>
      <c r="W225" s="404" t="n">
        <v>9000</v>
      </c>
      <c r="X225" s="392" t="inlineStr">
        <is>
          <t>1.5:1</t>
        </is>
      </c>
      <c r="Y225" s="404" t="n">
        <v>6000</v>
      </c>
      <c r="Z225" s="403" t="inlineStr">
        <is>
          <t xml:space="preserve">C </t>
        </is>
      </c>
      <c r="AD225" s="605" t="inlineStr">
        <is>
          <t>JASON ST CONDOS #765</t>
        </is>
      </c>
      <c r="AK225" s="405" t="n"/>
    </row>
    <row r="226" ht="12.75" customFormat="1" customHeight="1" s="605">
      <c r="A226" s="402" t="n">
        <v>6</v>
      </c>
      <c r="B226" s="605" t="n">
        <v>220</v>
      </c>
      <c r="C226" s="605" t="inlineStr">
        <is>
          <t>2013Q</t>
        </is>
      </c>
      <c r="D226" s="605" t="inlineStr">
        <is>
          <t xml:space="preserve">05164-00-332-332 </t>
        </is>
      </c>
      <c r="E226" s="403" t="inlineStr">
        <is>
          <t>Actual</t>
        </is>
      </c>
      <c r="F226" s="605" t="inlineStr">
        <is>
          <t>795 S JASON                ST</t>
        </is>
      </c>
      <c r="G226" s="605" t="n">
        <v>44.8</v>
      </c>
      <c r="H226" s="605" t="n">
        <v>9506</v>
      </c>
      <c r="I226" s="403" t="n">
        <v>0</v>
      </c>
      <c r="J226" s="404" t="n">
        <v>5803</v>
      </c>
      <c r="K226" s="145" t="n">
        <v>4.06341547475444</v>
      </c>
      <c r="L226" s="153" t="n">
        <v>0</v>
      </c>
      <c r="M226" s="153" t="n">
        <v>0</v>
      </c>
      <c r="N226" s="605" t="n">
        <v>1962</v>
      </c>
      <c r="O226" s="605" t="n">
        <v>0</v>
      </c>
      <c r="P226" s="605" t="n">
        <v>0</v>
      </c>
      <c r="Q226" s="605" t="n">
        <v>13</v>
      </c>
      <c r="R226" s="605" t="n">
        <v>1</v>
      </c>
      <c r="S226" s="605" t="n">
        <v>1</v>
      </c>
      <c r="T226" s="403" t="inlineStr">
        <is>
          <t xml:space="preserve">I-A         </t>
        </is>
      </c>
      <c r="U226" s="605" t="n">
        <v>398</v>
      </c>
      <c r="V226" s="404" t="n">
        <v>8565</v>
      </c>
      <c r="W226" s="404" t="n">
        <v>9000</v>
      </c>
      <c r="X226" s="392" t="inlineStr">
        <is>
          <t>1.5:1</t>
        </is>
      </c>
      <c r="Y226" s="404" t="n">
        <v>6000</v>
      </c>
      <c r="Z226" s="403" t="inlineStr">
        <is>
          <t xml:space="preserve">C </t>
        </is>
      </c>
      <c r="AD226" s="605" t="inlineStr">
        <is>
          <t>JASON ST CONDOS #795</t>
        </is>
      </c>
      <c r="AK226" s="405" t="n"/>
    </row>
    <row r="227" ht="12.75" customFormat="1" customHeight="1" s="605">
      <c r="A227" s="402" t="n">
        <v>6</v>
      </c>
      <c r="B227" s="605" t="n">
        <v>221</v>
      </c>
      <c r="C227" s="605" t="inlineStr">
        <is>
          <t>2013Q</t>
        </is>
      </c>
      <c r="D227" s="605" t="inlineStr">
        <is>
          <t xml:space="preserve">05184-29-007-000 </t>
        </is>
      </c>
      <c r="E227" s="403" t="inlineStr">
        <is>
          <t>Actual</t>
        </is>
      </c>
      <c r="F227" s="605" t="inlineStr">
        <is>
          <t>1050 S QUITMAN              ST</t>
        </is>
      </c>
      <c r="G227" s="605" t="n">
        <v>44.1</v>
      </c>
      <c r="H227" s="605" t="n">
        <v>9506</v>
      </c>
      <c r="I227" s="403" t="n">
        <v>0</v>
      </c>
      <c r="J227" s="404" t="n">
        <v>2873</v>
      </c>
      <c r="K227" s="145" t="n">
        <v>6.68290985033067</v>
      </c>
      <c r="L227" s="153" t="n">
        <v>0</v>
      </c>
      <c r="M227" s="153" t="n">
        <v>0.261875</v>
      </c>
      <c r="N227" s="605" t="n">
        <v>1946</v>
      </c>
      <c r="O227" s="605" t="n">
        <v>595</v>
      </c>
      <c r="P227" s="605" t="n">
        <v>0</v>
      </c>
      <c r="Q227" s="605" t="n">
        <v>11</v>
      </c>
      <c r="R227" s="605" t="n">
        <v>3</v>
      </c>
      <c r="S227" s="605" t="n">
        <v>1</v>
      </c>
      <c r="T227" s="403" t="inlineStr">
        <is>
          <t xml:space="preserve">E-SU-D1X    </t>
        </is>
      </c>
      <c r="U227" s="605" t="n">
        <v>398</v>
      </c>
      <c r="V227" s="404" t="n">
        <v>6350</v>
      </c>
      <c r="W227" s="404" t="n">
        <v>6000</v>
      </c>
      <c r="X227" s="392" t="inlineStr">
        <is>
          <t>2.2:1</t>
        </is>
      </c>
      <c r="Y227" s="404" t="n">
        <v>3000</v>
      </c>
      <c r="Z227" s="403" t="inlineStr">
        <is>
          <t xml:space="preserve">C </t>
        </is>
      </c>
      <c r="AD227" s="605" t="inlineStr">
        <is>
          <t>S-WNEW ERA CONSTRUCT</t>
        </is>
      </c>
      <c r="AK227" s="405" t="n"/>
    </row>
    <row r="228" ht="12.75" customFormat="1" customHeight="1" s="605">
      <c r="A228" s="402" t="n">
        <v>6</v>
      </c>
      <c r="B228" s="605" t="n">
        <v>222</v>
      </c>
      <c r="C228" s="605" t="inlineStr">
        <is>
          <t>2013Q</t>
        </is>
      </c>
      <c r="D228" s="605" t="inlineStr">
        <is>
          <t xml:space="preserve">05211-02-015-000 </t>
        </is>
      </c>
      <c r="E228" s="403" t="inlineStr">
        <is>
          <t>Actual</t>
        </is>
      </c>
      <c r="F228" s="605" t="inlineStr">
        <is>
          <t>1125 S INCA                 ST</t>
        </is>
      </c>
      <c r="G228" s="605" t="n">
        <v>44.1</v>
      </c>
      <c r="H228" s="605" t="n">
        <v>9506</v>
      </c>
      <c r="I228" s="403" t="n">
        <v>0</v>
      </c>
      <c r="J228" s="404" t="n">
        <v>11852</v>
      </c>
      <c r="K228" s="145" t="n">
        <v>5.32568342895714</v>
      </c>
      <c r="L228" s="153" t="n">
        <v>0</v>
      </c>
      <c r="M228" s="153" t="n">
        <v>0</v>
      </c>
      <c r="N228" s="605" t="n">
        <v>1960</v>
      </c>
      <c r="O228" s="605" t="n">
        <v>1710</v>
      </c>
      <c r="P228" s="605" t="n">
        <v>0</v>
      </c>
      <c r="Q228" s="605" t="n">
        <v>14</v>
      </c>
      <c r="R228" s="605" t="n">
        <v>1</v>
      </c>
      <c r="S228" s="605" t="n">
        <v>1</v>
      </c>
      <c r="T228" s="403" t="inlineStr">
        <is>
          <t xml:space="preserve">I-A         </t>
        </is>
      </c>
      <c r="U228" s="605" t="n">
        <v>398</v>
      </c>
      <c r="V228" s="404" t="n">
        <v>17685</v>
      </c>
      <c r="W228" s="404" t="n">
        <v>18000</v>
      </c>
      <c r="X228" s="392" t="inlineStr">
        <is>
          <t>1.5:1</t>
        </is>
      </c>
      <c r="Y228" s="404" t="n">
        <v>12000</v>
      </c>
      <c r="Z228" s="403" t="inlineStr">
        <is>
          <t xml:space="preserve">C </t>
        </is>
      </c>
      <c r="AD228" s="605" t="inlineStr">
        <is>
          <t xml:space="preserve">AMGS-AUTO PRODUCTS  </t>
        </is>
      </c>
      <c r="AK228" s="405" t="n"/>
    </row>
    <row r="229" ht="12.75" customFormat="1" customHeight="1" s="605">
      <c r="A229" s="402" t="n">
        <v>6</v>
      </c>
      <c r="B229" s="605" t="n">
        <v>223</v>
      </c>
      <c r="C229" s="605" t="inlineStr">
        <is>
          <t>2013Q</t>
        </is>
      </c>
      <c r="D229" s="605" t="inlineStr">
        <is>
          <t xml:space="preserve">05211-03-004-000 </t>
        </is>
      </c>
      <c r="E229" s="403" t="inlineStr">
        <is>
          <t>Actual</t>
        </is>
      </c>
      <c r="F229" s="605" t="inlineStr">
        <is>
          <t>1165 S JASON                ST</t>
        </is>
      </c>
      <c r="G229" s="605" t="n">
        <v>44.2</v>
      </c>
      <c r="H229" s="605" t="n">
        <v>9506</v>
      </c>
      <c r="I229" s="403" t="n">
        <v>0</v>
      </c>
      <c r="J229" s="404" t="n">
        <v>9067</v>
      </c>
      <c r="K229" s="145" t="n">
        <v>4.77114811955443</v>
      </c>
      <c r="L229" s="153" t="n">
        <v>0</v>
      </c>
      <c r="M229" s="153" t="n">
        <v>0</v>
      </c>
      <c r="N229" s="605" t="n">
        <v>1961</v>
      </c>
      <c r="O229" s="605" t="n">
        <v>2804</v>
      </c>
      <c r="P229" s="605" t="n">
        <v>0</v>
      </c>
      <c r="Q229" s="605" t="n">
        <v>13</v>
      </c>
      <c r="R229" s="605" t="n">
        <v>1</v>
      </c>
      <c r="S229" s="605" t="n">
        <v>1</v>
      </c>
      <c r="T229" s="403" t="inlineStr">
        <is>
          <t xml:space="preserve">I-A         </t>
        </is>
      </c>
      <c r="U229" s="605" t="n">
        <v>398</v>
      </c>
      <c r="V229" s="404" t="n">
        <v>19050</v>
      </c>
      <c r="W229" s="404" t="n">
        <v>19000</v>
      </c>
      <c r="X229" s="392" t="inlineStr">
        <is>
          <t>2.1:1</t>
        </is>
      </c>
      <c r="Y229" s="404" t="n">
        <v>9000</v>
      </c>
      <c r="Z229" s="403" t="inlineStr">
        <is>
          <t xml:space="preserve">C </t>
        </is>
      </c>
      <c r="AD229" s="605" t="inlineStr">
        <is>
          <t>LEHRER'S PRNTNG SUPL</t>
        </is>
      </c>
      <c r="AK229" s="405" t="n"/>
    </row>
    <row r="230" ht="25.5" customFormat="1" customHeight="1" s="605">
      <c r="A230" s="402" t="n">
        <v>6</v>
      </c>
      <c r="B230" s="605" t="n">
        <v>224</v>
      </c>
      <c r="C230" s="605" t="inlineStr">
        <is>
          <t>2013Q</t>
        </is>
      </c>
      <c r="D230" s="605" t="inlineStr">
        <is>
          <t xml:space="preserve">05211-03-005-000 </t>
        </is>
      </c>
      <c r="E230" s="403" t="inlineStr">
        <is>
          <t>Actual</t>
        </is>
      </c>
      <c r="F230" s="605" t="inlineStr">
        <is>
          <t>1001 W ARIZONA              AV</t>
        </is>
      </c>
      <c r="G230" s="605" t="n">
        <v>44.2</v>
      </c>
      <c r="H230" s="605" t="n">
        <v>9506</v>
      </c>
      <c r="I230" s="403" t="n">
        <v>0</v>
      </c>
      <c r="J230" s="404" t="n">
        <v>6919</v>
      </c>
      <c r="K230" s="145" t="n">
        <v>5.72337042925278</v>
      </c>
      <c r="L230" s="153" t="n">
        <v>0</v>
      </c>
      <c r="M230" s="153" t="n">
        <v>0</v>
      </c>
      <c r="N230" s="605" t="n">
        <v>1961</v>
      </c>
      <c r="O230" s="605" t="n">
        <v>1014</v>
      </c>
      <c r="P230" s="605" t="n">
        <v>0</v>
      </c>
      <c r="Q230" s="605" t="n">
        <v>14</v>
      </c>
      <c r="R230" s="605" t="n">
        <v>1</v>
      </c>
      <c r="S230" s="605" t="n">
        <v>1</v>
      </c>
      <c r="T230" s="403" t="inlineStr">
        <is>
          <t xml:space="preserve">I-A         </t>
        </is>
      </c>
      <c r="U230" s="605" t="n">
        <v>398</v>
      </c>
      <c r="V230" s="404" t="n">
        <v>19113</v>
      </c>
      <c r="W230" s="404" t="n">
        <v>19000</v>
      </c>
      <c r="X230" s="392" t="inlineStr">
        <is>
          <t>2.8:1</t>
        </is>
      </c>
      <c r="Y230" s="404" t="n">
        <v>7000</v>
      </c>
      <c r="Z230" s="403" t="inlineStr">
        <is>
          <t xml:space="preserve">C </t>
        </is>
      </c>
      <c r="AD230" s="605" t="inlineStr">
        <is>
          <t xml:space="preserve">TODAYS FITNESS      </t>
        </is>
      </c>
      <c r="AK230" s="405" t="inlineStr">
        <is>
          <t xml:space="preserve">EXPENSES INDETERMINATE FOR 11/11 LEASE DATE.                      </t>
        </is>
      </c>
    </row>
    <row r="231" ht="12.75" customFormat="1" customHeight="1" s="605">
      <c r="A231" s="402" t="n">
        <v>6</v>
      </c>
      <c r="B231" s="605" t="n">
        <v>225</v>
      </c>
      <c r="C231" s="605" t="inlineStr">
        <is>
          <t>2013Q</t>
        </is>
      </c>
      <c r="D231" s="605" t="inlineStr">
        <is>
          <t xml:space="preserve">05211-03-033-000 </t>
        </is>
      </c>
      <c r="E231" s="403" t="inlineStr">
        <is>
          <t>Actual</t>
        </is>
      </c>
      <c r="F231" s="605" t="inlineStr">
        <is>
          <t>1178 S KALAMATH             ST</t>
        </is>
      </c>
      <c r="G231" s="605" t="n">
        <v>44.2</v>
      </c>
      <c r="H231" s="605" t="n">
        <v>9506</v>
      </c>
      <c r="I231" s="403" t="n">
        <v>0</v>
      </c>
      <c r="J231" s="404" t="n">
        <v>8000</v>
      </c>
      <c r="K231" s="145" t="n">
        <v>4.672875</v>
      </c>
      <c r="L231" s="153" t="n">
        <v>0</v>
      </c>
      <c r="M231" s="153" t="n">
        <v>0</v>
      </c>
      <c r="N231" s="605" t="n">
        <v>1975</v>
      </c>
      <c r="O231" s="605" t="n">
        <v>1000</v>
      </c>
      <c r="P231" s="605" t="n">
        <v>2000</v>
      </c>
      <c r="Q231" s="605" t="n">
        <v>13</v>
      </c>
      <c r="R231" s="605" t="n">
        <v>1</v>
      </c>
      <c r="S231" s="605" t="n">
        <v>1</v>
      </c>
      <c r="T231" s="403" t="inlineStr">
        <is>
          <t xml:space="preserve">I-A         </t>
        </is>
      </c>
      <c r="U231" s="605" t="n">
        <v>398</v>
      </c>
      <c r="V231" s="404" t="n">
        <v>6477</v>
      </c>
      <c r="W231" s="404" t="n">
        <v>6000</v>
      </c>
      <c r="X231" s="392" t="inlineStr">
        <is>
          <t>0.8:1</t>
        </is>
      </c>
      <c r="Y231" s="404" t="n">
        <v>8000</v>
      </c>
      <c r="Z231" s="403" t="inlineStr">
        <is>
          <t xml:space="preserve">C </t>
        </is>
      </c>
      <c r="AK231" s="405" t="n"/>
    </row>
    <row r="232" ht="25.5" customFormat="1" customHeight="1" s="605">
      <c r="A232" s="402" t="n">
        <v>6</v>
      </c>
      <c r="B232" s="605" t="n">
        <v>226</v>
      </c>
      <c r="C232" s="605" t="inlineStr">
        <is>
          <t>2013Q</t>
        </is>
      </c>
      <c r="D232" s="605" t="inlineStr">
        <is>
          <t xml:space="preserve">05211-13-025-000 </t>
        </is>
      </c>
      <c r="E232" s="403" t="inlineStr">
        <is>
          <t>Actual</t>
        </is>
      </c>
      <c r="F232" s="605" t="inlineStr">
        <is>
          <t>1190 S LIPAN                ST</t>
        </is>
      </c>
      <c r="G232" s="605" t="n">
        <v>47.2</v>
      </c>
      <c r="H232" s="605" t="n">
        <v>9506</v>
      </c>
      <c r="I232" s="403" t="n">
        <v>0</v>
      </c>
      <c r="J232" s="404" t="n">
        <v>11052</v>
      </c>
      <c r="K232" s="145" t="n">
        <v>4.88599348534202</v>
      </c>
      <c r="L232" s="153" t="n">
        <v>0</v>
      </c>
      <c r="M232" s="153" t="n">
        <v>0</v>
      </c>
      <c r="N232" s="605" t="n">
        <v>1962</v>
      </c>
      <c r="O232" s="605" t="n">
        <v>1131</v>
      </c>
      <c r="P232" s="605" t="n">
        <v>0</v>
      </c>
      <c r="Q232" s="605" t="n">
        <v>12</v>
      </c>
      <c r="R232" s="605" t="n">
        <v>8</v>
      </c>
      <c r="S232" s="605" t="n">
        <v>1</v>
      </c>
      <c r="T232" s="403" t="inlineStr">
        <is>
          <t xml:space="preserve">I-MX-3      </t>
        </is>
      </c>
      <c r="U232" s="605" t="n">
        <v>401</v>
      </c>
      <c r="V232" s="404" t="n">
        <v>28630</v>
      </c>
      <c r="W232" s="404" t="n">
        <v>29000</v>
      </c>
      <c r="X232" s="392" t="inlineStr">
        <is>
          <t>2.6:1</t>
        </is>
      </c>
      <c r="Y232" s="404" t="n">
        <v>11000</v>
      </c>
      <c r="Z232" s="403" t="inlineStr">
        <is>
          <t xml:space="preserve">C </t>
        </is>
      </c>
      <c r="AD232" s="605" t="inlineStr">
        <is>
          <t xml:space="preserve">MANU/SINGLE-TENANT  </t>
        </is>
      </c>
      <c r="AK232" s="405" t="inlineStr">
        <is>
          <t xml:space="preserve">COMMENCEMENT DATE OF LEASE UNKNOWN.                               </t>
        </is>
      </c>
    </row>
    <row r="233" ht="12.75" customFormat="1" customHeight="1" s="605">
      <c r="A233" s="402" t="n">
        <v>6</v>
      </c>
      <c r="B233" s="605" t="n">
        <v>227</v>
      </c>
      <c r="C233" s="605" t="inlineStr">
        <is>
          <t>2013Q</t>
        </is>
      </c>
      <c r="D233" s="605" t="inlineStr">
        <is>
          <t xml:space="preserve">05211-14-002-000 </t>
        </is>
      </c>
      <c r="E233" s="403" t="inlineStr">
        <is>
          <t>Actual</t>
        </is>
      </c>
      <c r="F233" s="605" t="inlineStr">
        <is>
          <t>1225 S JASON                ST</t>
        </is>
      </c>
      <c r="G233" s="605" t="n">
        <v>44.2</v>
      </c>
      <c r="H233" s="605" t="n">
        <v>9506</v>
      </c>
      <c r="I233" s="403" t="n">
        <v>0</v>
      </c>
      <c r="J233" s="404" t="n">
        <v>1345</v>
      </c>
      <c r="K233" s="145" t="n">
        <v>10.7063197026022</v>
      </c>
      <c r="L233" s="153" t="n">
        <v>0</v>
      </c>
      <c r="M233" s="153" t="n">
        <v>0.139236111111111</v>
      </c>
      <c r="N233" s="605" t="n">
        <v>1959</v>
      </c>
      <c r="O233" s="605" t="n">
        <v>0</v>
      </c>
      <c r="P233" s="605" t="n">
        <v>0</v>
      </c>
      <c r="Q233" s="605" t="n">
        <v>14</v>
      </c>
      <c r="R233" s="605" t="n">
        <v>8</v>
      </c>
      <c r="S233" s="605" t="n">
        <v>1</v>
      </c>
      <c r="T233" s="403" t="inlineStr">
        <is>
          <t xml:space="preserve">I-MX-3      </t>
        </is>
      </c>
      <c r="U233" s="605" t="n">
        <v>398</v>
      </c>
      <c r="V233" s="404" t="n">
        <v>12700</v>
      </c>
      <c r="W233" s="404" t="n">
        <v>13000</v>
      </c>
      <c r="X233" s="392" t="inlineStr">
        <is>
          <t>9.4:1</t>
        </is>
      </c>
      <c r="Y233" s="404" t="n">
        <v>1000</v>
      </c>
      <c r="Z233" s="403" t="inlineStr">
        <is>
          <t xml:space="preserve">C </t>
        </is>
      </c>
      <c r="AD233" s="605" t="inlineStr">
        <is>
          <t xml:space="preserve">S-W BOUNDARY FENCE  </t>
        </is>
      </c>
      <c r="AK233" s="405" t="n"/>
    </row>
    <row r="234" ht="12.75" customFormat="1" customHeight="1" s="605">
      <c r="A234" s="402" t="n">
        <v>6</v>
      </c>
      <c r="B234" s="605" t="n">
        <v>228</v>
      </c>
      <c r="C234" s="605" t="inlineStr">
        <is>
          <t>2013Q</t>
        </is>
      </c>
      <c r="D234" s="605" t="inlineStr">
        <is>
          <t xml:space="preserve">05211-15-012-000 </t>
        </is>
      </c>
      <c r="E234" s="403" t="inlineStr">
        <is>
          <t>Actual</t>
        </is>
      </c>
      <c r="F234" s="605" t="inlineStr">
        <is>
          <t>1220 S JASON                ST</t>
        </is>
      </c>
      <c r="G234" s="605" t="n">
        <v>44.2</v>
      </c>
      <c r="H234" s="605" t="n">
        <v>9506</v>
      </c>
      <c r="I234" s="403" t="n">
        <v>0</v>
      </c>
      <c r="J234" s="404" t="n">
        <v>2610</v>
      </c>
      <c r="K234" s="145" t="n">
        <v>8.73563218390805</v>
      </c>
      <c r="L234" s="153" t="n">
        <v>0</v>
      </c>
      <c r="M234" s="153" t="n">
        <v>0.139912280701754</v>
      </c>
      <c r="N234" s="605" t="n">
        <v>1962</v>
      </c>
      <c r="O234" s="605" t="n">
        <v>750</v>
      </c>
      <c r="P234" s="605" t="n">
        <v>0</v>
      </c>
      <c r="Q234" s="605" t="n">
        <v>12</v>
      </c>
      <c r="R234" s="605" t="n">
        <v>1</v>
      </c>
      <c r="S234" s="605" t="n">
        <v>1</v>
      </c>
      <c r="T234" s="403" t="inlineStr">
        <is>
          <t xml:space="preserve">I-A         </t>
        </is>
      </c>
      <c r="U234" s="605" t="n">
        <v>398</v>
      </c>
      <c r="V234" s="404" t="n">
        <v>6350</v>
      </c>
      <c r="W234" s="404" t="n">
        <v>6000</v>
      </c>
      <c r="X234" s="392" t="inlineStr">
        <is>
          <t>2.4:1</t>
        </is>
      </c>
      <c r="Y234" s="404" t="n">
        <v>3000</v>
      </c>
      <c r="Z234" s="403" t="inlineStr">
        <is>
          <t xml:space="preserve">C </t>
        </is>
      </c>
      <c r="AD234" s="605" t="inlineStr">
        <is>
          <t xml:space="preserve">THOMAS-STUART INC.  </t>
        </is>
      </c>
      <c r="AK234" s="405" t="inlineStr">
        <is>
          <t xml:space="preserve">2009 LEASE.                                                       </t>
        </is>
      </c>
    </row>
    <row r="235" ht="12.75" customFormat="1" customHeight="1" s="605">
      <c r="A235" s="402" t="n">
        <v>6</v>
      </c>
      <c r="B235" s="605" t="n">
        <v>229</v>
      </c>
      <c r="C235" s="605" t="inlineStr">
        <is>
          <t>2013Q</t>
        </is>
      </c>
      <c r="D235" s="605" t="inlineStr">
        <is>
          <t xml:space="preserve">05211-16-022-000 </t>
        </is>
      </c>
      <c r="E235" s="403" t="inlineStr">
        <is>
          <t>Actual</t>
        </is>
      </c>
      <c r="F235" s="605" t="inlineStr">
        <is>
          <t>1220 S INCA                 ST</t>
        </is>
      </c>
      <c r="G235" s="605" t="n">
        <v>44.2</v>
      </c>
      <c r="H235" s="605" t="n">
        <v>9506</v>
      </c>
      <c r="I235" s="403" t="n">
        <v>0</v>
      </c>
      <c r="J235" s="404" t="n">
        <v>2500</v>
      </c>
      <c r="K235" s="145" t="n">
        <v>10.56</v>
      </c>
      <c r="L235" s="153" t="n">
        <v>0</v>
      </c>
      <c r="M235" s="153" t="n">
        <v>0.00227272727272727</v>
      </c>
      <c r="N235" s="605" t="n">
        <v>1962</v>
      </c>
      <c r="O235" s="605" t="n">
        <v>0</v>
      </c>
      <c r="P235" s="605" t="n">
        <v>0</v>
      </c>
      <c r="Q235" s="605" t="n">
        <v>12</v>
      </c>
      <c r="R235" s="605" t="n">
        <v>3</v>
      </c>
      <c r="S235" s="605" t="n">
        <v>1</v>
      </c>
      <c r="T235" s="403" t="inlineStr">
        <is>
          <t xml:space="preserve">I-A         </t>
        </is>
      </c>
      <c r="U235" s="605" t="n">
        <v>398</v>
      </c>
      <c r="V235" s="404" t="n">
        <v>19050</v>
      </c>
      <c r="W235" s="404" t="n">
        <v>19000</v>
      </c>
      <c r="X235" s="392" t="inlineStr">
        <is>
          <t>7.6:1</t>
        </is>
      </c>
      <c r="Y235" s="404" t="n">
        <v>3000</v>
      </c>
      <c r="Z235" s="403" t="inlineStr">
        <is>
          <t xml:space="preserve">C </t>
        </is>
      </c>
      <c r="AD235" s="605" t="inlineStr">
        <is>
          <t xml:space="preserve">S-W MTN STATE FIRE  </t>
        </is>
      </c>
      <c r="AK235" s="405" t="n"/>
    </row>
    <row r="236" ht="12.75" customFormat="1" customHeight="1" s="605">
      <c r="A236" s="402" t="n">
        <v>6</v>
      </c>
      <c r="B236" s="605" t="n">
        <v>230</v>
      </c>
      <c r="C236" s="605" t="inlineStr">
        <is>
          <t>2013Q</t>
        </is>
      </c>
      <c r="D236" s="605" t="inlineStr">
        <is>
          <t xml:space="preserve">05211-30-014-000 </t>
        </is>
      </c>
      <c r="E236" s="403" t="inlineStr">
        <is>
          <t>Actual</t>
        </is>
      </c>
      <c r="F236" s="605" t="inlineStr">
        <is>
          <t>1495 S PLATTE RIVER         DR</t>
        </is>
      </c>
      <c r="G236" s="605" t="n">
        <v>44.1</v>
      </c>
      <c r="H236" s="605" t="n">
        <v>9506</v>
      </c>
      <c r="I236" s="403" t="n">
        <v>0</v>
      </c>
      <c r="J236" s="404" t="n">
        <v>10120</v>
      </c>
      <c r="K236" s="145" t="n">
        <v>9.51462450592885</v>
      </c>
      <c r="L236" s="153" t="n">
        <v>0</v>
      </c>
      <c r="M236" s="153" t="n">
        <v>0</v>
      </c>
      <c r="N236" s="605" t="n">
        <v>1985</v>
      </c>
      <c r="O236" s="605" t="n">
        <v>2300</v>
      </c>
      <c r="P236" s="605" t="n">
        <v>0</v>
      </c>
      <c r="Q236" s="605" t="n">
        <v>16</v>
      </c>
      <c r="R236" s="605" t="n">
        <v>3</v>
      </c>
      <c r="S236" s="605" t="n">
        <v>1</v>
      </c>
      <c r="T236" s="403" t="inlineStr">
        <is>
          <t xml:space="preserve">I-MX-3      </t>
        </is>
      </c>
      <c r="U236" s="605" t="n">
        <v>397</v>
      </c>
      <c r="V236" s="404" t="n">
        <v>22600</v>
      </c>
      <c r="W236" s="404" t="n">
        <v>23000</v>
      </c>
      <c r="X236" s="392" t="inlineStr">
        <is>
          <t>2.2:1</t>
        </is>
      </c>
      <c r="Y236" s="404" t="n">
        <v>10000</v>
      </c>
      <c r="Z236" s="403" t="inlineStr">
        <is>
          <t xml:space="preserve">C </t>
        </is>
      </c>
      <c r="AK236" s="405" t="inlineStr">
        <is>
          <t xml:space="preserve">2009 LEASE.                                                       </t>
        </is>
      </c>
    </row>
    <row r="237" ht="12.75" customFormat="1" customHeight="1" s="605">
      <c r="A237" s="402" t="n">
        <v>6</v>
      </c>
      <c r="B237" s="605" t="n">
        <v>231</v>
      </c>
      <c r="C237" s="605" t="inlineStr">
        <is>
          <t>2013Q</t>
        </is>
      </c>
      <c r="D237" s="605" t="inlineStr">
        <is>
          <t xml:space="preserve">05221-14-033-000 </t>
        </is>
      </c>
      <c r="E237" s="403" t="inlineStr">
        <is>
          <t>Actual</t>
        </is>
      </c>
      <c r="F237" s="605" t="inlineStr">
        <is>
          <t>1215 S PEARL                ST</t>
        </is>
      </c>
      <c r="G237" s="605" t="n">
        <v>44.2</v>
      </c>
      <c r="H237" s="605" t="n">
        <v>9509</v>
      </c>
      <c r="I237" s="403" t="n">
        <v>0</v>
      </c>
      <c r="J237" s="404" t="n">
        <v>5974</v>
      </c>
      <c r="K237" s="145" t="n">
        <v>5.93593441627448</v>
      </c>
      <c r="L237" s="153" t="n">
        <v>0</v>
      </c>
      <c r="M237" s="153" t="n">
        <v>0.184245524296675</v>
      </c>
      <c r="N237" s="605" t="n">
        <v>1919</v>
      </c>
      <c r="O237" s="605" t="n">
        <v>1720</v>
      </c>
      <c r="P237" s="605" t="n">
        <v>0</v>
      </c>
      <c r="Q237" s="605" t="n">
        <v>13</v>
      </c>
      <c r="R237" s="605" t="n">
        <v>1</v>
      </c>
      <c r="S237" s="605" t="n">
        <v>1</v>
      </c>
      <c r="T237" s="403" t="inlineStr">
        <is>
          <t xml:space="preserve">U-MS-3      </t>
        </is>
      </c>
      <c r="U237" s="605" t="n">
        <v>398</v>
      </c>
      <c r="V237" s="404" t="n">
        <v>10300</v>
      </c>
      <c r="W237" s="404" t="n">
        <v>10000</v>
      </c>
      <c r="X237" s="392" t="inlineStr">
        <is>
          <t>1.7:1</t>
        </is>
      </c>
      <c r="Y237" s="404" t="n">
        <v>6000</v>
      </c>
      <c r="Z237" s="403" t="inlineStr">
        <is>
          <t xml:space="preserve">C </t>
        </is>
      </c>
      <c r="AD237" s="605" t="inlineStr">
        <is>
          <t>SYNERGY COMMUNICATIN</t>
        </is>
      </c>
      <c r="AK237" s="405" t="n"/>
    </row>
    <row r="238" ht="12.75" customFormat="1" customHeight="1" s="605">
      <c r="A238" s="402" t="n">
        <v>6</v>
      </c>
      <c r="B238" s="605" t="n">
        <v>232</v>
      </c>
      <c r="C238" s="605" t="inlineStr">
        <is>
          <t>2013Q</t>
        </is>
      </c>
      <c r="D238" s="605" t="inlineStr">
        <is>
          <t xml:space="preserve">05221-15-013-000 </t>
        </is>
      </c>
      <c r="E238" s="403" t="inlineStr">
        <is>
          <t>Actual</t>
        </is>
      </c>
      <c r="F238" s="605" t="inlineStr">
        <is>
          <t>666   BUCHTEL              BV</t>
        </is>
      </c>
      <c r="G238" s="605" t="n">
        <v>44.2</v>
      </c>
      <c r="H238" s="605" t="n">
        <v>9509</v>
      </c>
      <c r="I238" s="403" t="n">
        <v>0</v>
      </c>
      <c r="J238" s="404" t="n">
        <v>8845</v>
      </c>
      <c r="K238" s="145" t="n">
        <v>5.8840022611645</v>
      </c>
      <c r="L238" s="153" t="n">
        <v>0</v>
      </c>
      <c r="M238" s="153" t="n">
        <v>0</v>
      </c>
      <c r="N238" s="605" t="n">
        <v>1957</v>
      </c>
      <c r="O238" s="605" t="n">
        <v>576</v>
      </c>
      <c r="P238" s="605" t="n">
        <v>0</v>
      </c>
      <c r="Q238" s="605" t="n">
        <v>20</v>
      </c>
      <c r="R238" s="605" t="n">
        <v>3</v>
      </c>
      <c r="S238" s="605" t="n">
        <v>1</v>
      </c>
      <c r="T238" s="403" t="inlineStr">
        <is>
          <t xml:space="preserve">U-MS-5      </t>
        </is>
      </c>
      <c r="U238" s="605" t="n">
        <v>398</v>
      </c>
      <c r="V238" s="404" t="n">
        <v>14300</v>
      </c>
      <c r="W238" s="404" t="n">
        <v>14000</v>
      </c>
      <c r="X238" s="392" t="inlineStr">
        <is>
          <t>1.6:1</t>
        </is>
      </c>
      <c r="Y238" s="404" t="n">
        <v>9000</v>
      </c>
      <c r="Z238" s="403" t="inlineStr">
        <is>
          <t xml:space="preserve">C </t>
        </is>
      </c>
      <c r="AD238" s="605" t="inlineStr">
        <is>
          <t>ARTISANS STAIN GLASS</t>
        </is>
      </c>
      <c r="AK238" s="405" t="inlineStr">
        <is>
          <t xml:space="preserve">2010 LEASE.                                                       </t>
        </is>
      </c>
    </row>
    <row r="239" ht="12.75" customFormat="1" customHeight="1" s="605">
      <c r="A239" s="402" t="n">
        <v>6</v>
      </c>
      <c r="B239" s="605" t="n">
        <v>233</v>
      </c>
      <c r="C239" s="605" t="inlineStr">
        <is>
          <t>2013Q</t>
        </is>
      </c>
      <c r="D239" s="605" t="inlineStr">
        <is>
          <t xml:space="preserve">05222-05-001-000 </t>
        </is>
      </c>
      <c r="E239" s="403" t="inlineStr">
        <is>
          <t>Actual</t>
        </is>
      </c>
      <c r="F239" s="605" t="inlineStr">
        <is>
          <t>1395 S ACOMA                ST</t>
        </is>
      </c>
      <c r="G239" s="605" t="n">
        <v>44.1</v>
      </c>
      <c r="H239" s="605" t="n">
        <v>9506</v>
      </c>
      <c r="I239" s="403" t="n">
        <v>0</v>
      </c>
      <c r="J239" s="404" t="n">
        <v>10932</v>
      </c>
      <c r="K239" s="145" t="n">
        <v>6.86059275521405</v>
      </c>
      <c r="L239" s="153" t="n">
        <v>0</v>
      </c>
      <c r="M239" s="153" t="n">
        <v>0.08599999999999999</v>
      </c>
      <c r="N239" s="605" t="n">
        <v>1963</v>
      </c>
      <c r="O239" s="605" t="n">
        <v>1262</v>
      </c>
      <c r="P239" s="605" t="n">
        <v>0</v>
      </c>
      <c r="Q239" s="605" t="n">
        <v>12</v>
      </c>
      <c r="R239" s="605" t="n">
        <v>3</v>
      </c>
      <c r="S239" s="605" t="n">
        <v>1</v>
      </c>
      <c r="T239" s="403" t="inlineStr">
        <is>
          <t xml:space="preserve">I-A         </t>
        </is>
      </c>
      <c r="U239" s="605" t="n">
        <v>398</v>
      </c>
      <c r="V239" s="404" t="n">
        <v>12229</v>
      </c>
      <c r="W239" s="404" t="n">
        <v>12000</v>
      </c>
      <c r="X239" s="392" t="inlineStr">
        <is>
          <t>1.1:1</t>
        </is>
      </c>
      <c r="Y239" s="404" t="n">
        <v>11000</v>
      </c>
      <c r="Z239" s="403" t="inlineStr">
        <is>
          <t xml:space="preserve">B </t>
        </is>
      </c>
      <c r="AD239" s="605" t="inlineStr">
        <is>
          <t>DRS. ORDERS MEDMARIJ</t>
        </is>
      </c>
      <c r="AK239" s="405" t="inlineStr">
        <is>
          <t xml:space="preserve">2010 LEASE.                                                       </t>
        </is>
      </c>
    </row>
    <row r="240" ht="12.75" customFormat="1" customHeight="1" s="605">
      <c r="A240" s="402" t="n">
        <v>6</v>
      </c>
      <c r="B240" s="605" t="n">
        <v>234</v>
      </c>
      <c r="C240" s="605" t="inlineStr">
        <is>
          <t>2013Q</t>
        </is>
      </c>
      <c r="D240" s="605" t="inlineStr">
        <is>
          <t xml:space="preserve">05222-07-005-000 </t>
        </is>
      </c>
      <c r="E240" s="403" t="inlineStr">
        <is>
          <t>Actual</t>
        </is>
      </c>
      <c r="F240" s="605" t="inlineStr">
        <is>
          <t>1432 S ACOMA                ST</t>
        </is>
      </c>
      <c r="G240" s="605" t="n">
        <v>44.2</v>
      </c>
      <c r="H240" s="605" t="n">
        <v>9506</v>
      </c>
      <c r="I240" s="403" t="n">
        <v>0</v>
      </c>
      <c r="J240" s="404" t="n">
        <v>4313</v>
      </c>
      <c r="K240" s="145" t="n">
        <v>9.64525852075122</v>
      </c>
      <c r="L240" s="153" t="n">
        <v>0</v>
      </c>
      <c r="M240" s="153" t="n">
        <v>0.0438942307692308</v>
      </c>
      <c r="N240" s="605" t="n">
        <v>2002</v>
      </c>
      <c r="O240" s="605" t="n">
        <v>0</v>
      </c>
      <c r="P240" s="605" t="n">
        <v>0</v>
      </c>
      <c r="Q240" s="605" t="n">
        <v>24</v>
      </c>
      <c r="R240" s="605" t="n">
        <v>3</v>
      </c>
      <c r="S240" s="605" t="n">
        <v>1</v>
      </c>
      <c r="T240" s="403" t="inlineStr">
        <is>
          <t xml:space="preserve">I-A         </t>
        </is>
      </c>
      <c r="U240" s="605" t="n">
        <v>398</v>
      </c>
      <c r="V240" s="404" t="n">
        <v>6250</v>
      </c>
      <c r="W240" s="404" t="n">
        <v>6000</v>
      </c>
      <c r="X240" s="392" t="inlineStr">
        <is>
          <t>1.4:1</t>
        </is>
      </c>
      <c r="Y240" s="404" t="n">
        <v>4000</v>
      </c>
      <c r="Z240" s="403" t="inlineStr">
        <is>
          <t xml:space="preserve">C </t>
        </is>
      </c>
      <c r="AD240" s="605" t="inlineStr">
        <is>
          <t xml:space="preserve">TRUE PUMP &amp; EQUPMNT </t>
        </is>
      </c>
      <c r="AK240" s="405" t="inlineStr">
        <is>
          <t xml:space="preserve">2009 LEASES.                                                      </t>
        </is>
      </c>
    </row>
    <row r="241" ht="12.75" customFormat="1" customHeight="1" s="605">
      <c r="A241" s="402" t="n">
        <v>6</v>
      </c>
      <c r="B241" s="605" t="n">
        <v>235</v>
      </c>
      <c r="C241" s="605" t="inlineStr">
        <is>
          <t>2013Q</t>
        </is>
      </c>
      <c r="D241" s="605" t="inlineStr">
        <is>
          <t xml:space="preserve">05222-07-018-000 </t>
        </is>
      </c>
      <c r="E241" s="403" t="inlineStr">
        <is>
          <t>Actual</t>
        </is>
      </c>
      <c r="F241" s="605" t="inlineStr">
        <is>
          <t>1429 S BROADWAY             ST</t>
        </is>
      </c>
      <c r="G241" s="605" t="n">
        <v>44.1</v>
      </c>
      <c r="H241" s="605" t="n">
        <v>9506</v>
      </c>
      <c r="I241" s="403" t="n">
        <v>2</v>
      </c>
      <c r="J241" s="404" t="n">
        <v>1912</v>
      </c>
      <c r="K241" s="145" t="n">
        <v>10.7217573221757</v>
      </c>
      <c r="L241" s="153" t="n">
        <v>0</v>
      </c>
      <c r="M241" s="153" t="n">
        <v>0.0589756097560976</v>
      </c>
      <c r="N241" s="605" t="n">
        <v>1912</v>
      </c>
      <c r="O241" s="605" t="n">
        <v>1006</v>
      </c>
      <c r="P241" s="605" t="n">
        <v>0</v>
      </c>
      <c r="Q241" s="605" t="n">
        <v>15</v>
      </c>
      <c r="R241" s="605" t="n">
        <v>1</v>
      </c>
      <c r="S241" s="605" t="n">
        <v>1</v>
      </c>
      <c r="T241" s="403" t="inlineStr">
        <is>
          <t xml:space="preserve">U-MS-3      </t>
        </is>
      </c>
      <c r="U241" s="605" t="n">
        <v>398</v>
      </c>
      <c r="V241" s="404" t="n">
        <v>6250</v>
      </c>
      <c r="W241" s="404" t="n">
        <v>6000</v>
      </c>
      <c r="X241" s="392" t="inlineStr">
        <is>
          <t>3.3:1</t>
        </is>
      </c>
      <c r="Y241" s="404" t="n">
        <v>2000</v>
      </c>
      <c r="Z241" s="403" t="inlineStr">
        <is>
          <t xml:space="preserve">C </t>
        </is>
      </c>
      <c r="AD241" s="605" t="inlineStr">
        <is>
          <t xml:space="preserve">TRUE PUMP EQUIPT    </t>
        </is>
      </c>
      <c r="AK241" s="405" t="inlineStr">
        <is>
          <t xml:space="preserve">2009 LEASE.                                                       </t>
        </is>
      </c>
    </row>
    <row r="242" ht="12.75" customFormat="1" customHeight="1" s="605">
      <c r="A242" s="402" t="n">
        <v>6</v>
      </c>
      <c r="B242" s="605" t="n">
        <v>236</v>
      </c>
      <c r="C242" s="605" t="inlineStr">
        <is>
          <t>2013Q</t>
        </is>
      </c>
      <c r="D242" s="605" t="inlineStr">
        <is>
          <t xml:space="preserve">05222-07-049-000 </t>
        </is>
      </c>
      <c r="E242" s="403" t="inlineStr">
        <is>
          <t>Actual</t>
        </is>
      </c>
      <c r="F242" s="605" t="inlineStr">
        <is>
          <t>1440 S ACOMA                ST</t>
        </is>
      </c>
      <c r="G242" s="605" t="n">
        <v>44.1</v>
      </c>
      <c r="H242" s="605" t="n">
        <v>9506</v>
      </c>
      <c r="I242" s="403" t="n">
        <v>0</v>
      </c>
      <c r="J242" s="404" t="n">
        <v>5632</v>
      </c>
      <c r="K242" s="145" t="n">
        <v>5.11363636363636</v>
      </c>
      <c r="L242" s="153" t="n">
        <v>1</v>
      </c>
      <c r="M242" s="153" t="n">
        <v>0</v>
      </c>
      <c r="N242" s="605" t="n">
        <v>1989</v>
      </c>
      <c r="O242" s="605" t="n">
        <v>0</v>
      </c>
      <c r="P242" s="605" t="n">
        <v>0</v>
      </c>
      <c r="Q242" s="605" t="n">
        <v>20</v>
      </c>
      <c r="R242" s="605" t="n">
        <v>3</v>
      </c>
      <c r="S242" s="605" t="n">
        <v>1</v>
      </c>
      <c r="T242" s="403" t="inlineStr">
        <is>
          <t xml:space="preserve">I-A         </t>
        </is>
      </c>
      <c r="U242" s="605" t="n">
        <v>398</v>
      </c>
      <c r="V242" s="404" t="n">
        <v>9375</v>
      </c>
      <c r="W242" s="404" t="n">
        <v>9000</v>
      </c>
      <c r="X242" s="392" t="inlineStr">
        <is>
          <t>1.7:1</t>
        </is>
      </c>
      <c r="Y242" s="404" t="n">
        <v>6000</v>
      </c>
      <c r="Z242" s="403" t="inlineStr">
        <is>
          <t xml:space="preserve">C </t>
        </is>
      </c>
      <c r="AK242" s="405" t="n"/>
    </row>
    <row r="243" ht="25.5" customFormat="1" customHeight="1" s="605">
      <c r="A243" s="402" t="n">
        <v>6</v>
      </c>
      <c r="B243" s="605" t="n">
        <v>237</v>
      </c>
      <c r="C243" s="605" t="inlineStr">
        <is>
          <t>2013Q</t>
        </is>
      </c>
      <c r="D243" s="605" t="inlineStr">
        <is>
          <t xml:space="preserve">05223-00-022-000 </t>
        </is>
      </c>
      <c r="E243" s="403" t="inlineStr">
        <is>
          <t>Actual</t>
        </is>
      </c>
      <c r="F243" s="605" t="inlineStr">
        <is>
          <t>1385 S CHEROKEE             ST</t>
        </is>
      </c>
      <c r="G243" s="605" t="n">
        <v>44.1</v>
      </c>
      <c r="H243" s="605" t="n">
        <v>9506</v>
      </c>
      <c r="I243" s="403" t="n">
        <v>0</v>
      </c>
      <c r="J243" s="404" t="n">
        <v>10654</v>
      </c>
      <c r="K243" s="145" t="n">
        <v>7.32119391777736</v>
      </c>
      <c r="L243" s="153" t="n">
        <v>0</v>
      </c>
      <c r="M243" s="153" t="n">
        <v>0.0417948717948718</v>
      </c>
      <c r="N243" s="605" t="n">
        <v>1956</v>
      </c>
      <c r="O243" s="605" t="n">
        <v>2340</v>
      </c>
      <c r="P243" s="605" t="n">
        <v>0</v>
      </c>
      <c r="Q243" s="605" t="n">
        <v>16</v>
      </c>
      <c r="R243" s="605" t="n">
        <v>3</v>
      </c>
      <c r="S243" s="605" t="n">
        <v>1</v>
      </c>
      <c r="T243" s="403" t="inlineStr">
        <is>
          <t xml:space="preserve">I-B         </t>
        </is>
      </c>
      <c r="U243" s="605" t="n">
        <v>398</v>
      </c>
      <c r="V243" s="404" t="n">
        <v>14600</v>
      </c>
      <c r="W243" s="404" t="n">
        <v>15000</v>
      </c>
      <c r="X243" s="392" t="inlineStr">
        <is>
          <t>1.4:1</t>
        </is>
      </c>
      <c r="Y243" s="404" t="n">
        <v>11000</v>
      </c>
      <c r="Z243" s="403" t="inlineStr">
        <is>
          <t xml:space="preserve">C </t>
        </is>
      </c>
      <c r="AK243" s="405" t="inlineStr">
        <is>
          <t xml:space="preserve">DATE OF LEASE COMMENCEMENT UNKNOWN.                               </t>
        </is>
      </c>
    </row>
    <row r="244" ht="25.5" customFormat="1" customHeight="1" s="605">
      <c r="A244" s="402" t="n">
        <v>6</v>
      </c>
      <c r="B244" s="605" t="n">
        <v>238</v>
      </c>
      <c r="C244" s="605" t="inlineStr">
        <is>
          <t>2013Q</t>
        </is>
      </c>
      <c r="D244" s="605" t="inlineStr">
        <is>
          <t xml:space="preserve">05223-03-016-000 </t>
        </is>
      </c>
      <c r="E244" s="403" t="inlineStr">
        <is>
          <t>Actual</t>
        </is>
      </c>
      <c r="F244" s="605" t="inlineStr">
        <is>
          <t>1175 S CHEROKEE             ST</t>
        </is>
      </c>
      <c r="G244" s="605" t="n">
        <v>44.1</v>
      </c>
      <c r="H244" s="605" t="n">
        <v>9506</v>
      </c>
      <c r="I244" s="403" t="n">
        <v>0</v>
      </c>
      <c r="J244" s="404" t="n">
        <v>5336</v>
      </c>
      <c r="K244" s="145" t="n">
        <v>8.571428571428569</v>
      </c>
      <c r="L244" s="153" t="n">
        <v>0</v>
      </c>
      <c r="M244" s="153" t="n">
        <v>0</v>
      </c>
      <c r="N244" s="605" t="n">
        <v>1969</v>
      </c>
      <c r="O244" s="605" t="n">
        <v>752</v>
      </c>
      <c r="P244" s="605" t="n">
        <v>0</v>
      </c>
      <c r="Q244" s="605" t="n">
        <v>13</v>
      </c>
      <c r="R244" s="605" t="n">
        <v>3</v>
      </c>
      <c r="S244" s="605" t="n">
        <v>1</v>
      </c>
      <c r="T244" s="403" t="inlineStr">
        <is>
          <t xml:space="preserve">I-A         </t>
        </is>
      </c>
      <c r="U244" s="605" t="n">
        <v>398</v>
      </c>
      <c r="V244" s="404" t="n">
        <v>12500</v>
      </c>
      <c r="W244" s="404" t="n">
        <v>13000</v>
      </c>
      <c r="X244" s="392" t="inlineStr">
        <is>
          <t>2.3:1</t>
        </is>
      </c>
      <c r="Y244" s="404" t="n">
        <v>5000</v>
      </c>
      <c r="Z244" s="403" t="inlineStr">
        <is>
          <t xml:space="preserve">C </t>
        </is>
      </c>
      <c r="AK244" s="405" t="inlineStr">
        <is>
          <t xml:space="preserve">NO BASIS TO ALLOC. EXP. BETWEEN OWNER &amp; TENANT OCCUPIED SPACES.   </t>
        </is>
      </c>
    </row>
    <row r="245" ht="25.5" customFormat="1" customHeight="1" s="605">
      <c r="A245" s="402" t="n">
        <v>6</v>
      </c>
      <c r="B245" s="605" t="n">
        <v>239</v>
      </c>
      <c r="C245" s="605" t="inlineStr">
        <is>
          <t>2013Q</t>
        </is>
      </c>
      <c r="D245" s="605" t="inlineStr">
        <is>
          <t xml:space="preserve">05223-05-013-000 </t>
        </is>
      </c>
      <c r="E245" s="403" t="inlineStr">
        <is>
          <t>Actual</t>
        </is>
      </c>
      <c r="F245" s="605" t="inlineStr">
        <is>
          <t>1253 S CHEROKEE             ST</t>
        </is>
      </c>
      <c r="G245" s="605" t="n">
        <v>44.2</v>
      </c>
      <c r="H245" s="605" t="n">
        <v>9506</v>
      </c>
      <c r="I245" s="403" t="n">
        <v>0</v>
      </c>
      <c r="J245" s="404" t="n">
        <v>18642</v>
      </c>
      <c r="K245" s="145" t="n">
        <v>5.845703125</v>
      </c>
      <c r="L245" s="153" t="n">
        <v>0.14</v>
      </c>
      <c r="M245" s="153" t="n">
        <v>0</v>
      </c>
      <c r="N245" s="605" t="n">
        <v>1943</v>
      </c>
      <c r="O245" s="605" t="n">
        <v>5907</v>
      </c>
      <c r="P245" s="605" t="n">
        <v>0</v>
      </c>
      <c r="Q245" s="605" t="n">
        <v>12</v>
      </c>
      <c r="R245" s="605" t="n">
        <v>1</v>
      </c>
      <c r="S245" s="605" t="n">
        <v>4</v>
      </c>
      <c r="T245" s="403" t="inlineStr">
        <is>
          <t xml:space="preserve">I-B         </t>
        </is>
      </c>
      <c r="U245" s="605" t="n">
        <v>398</v>
      </c>
      <c r="V245" s="404" t="n">
        <v>35250</v>
      </c>
      <c r="W245" s="404" t="n">
        <v>35000</v>
      </c>
      <c r="X245" s="392" t="inlineStr">
        <is>
          <t>1.9:1</t>
        </is>
      </c>
      <c r="Y245" s="404" t="n">
        <v>19000</v>
      </c>
      <c r="Z245" s="403" t="inlineStr">
        <is>
          <t xml:space="preserve">C </t>
        </is>
      </c>
      <c r="AD245" s="605" t="inlineStr">
        <is>
          <t xml:space="preserve">M-W                 </t>
        </is>
      </c>
      <c r="AK245" s="405" t="inlineStr">
        <is>
          <t xml:space="preserve">NO BASIS TO ALLOC. EXP. BETWEEN TENANT &amp; OWNER OCCUPIED SPACE.    </t>
        </is>
      </c>
    </row>
    <row r="246" ht="12.75" customFormat="1" customHeight="1" s="605">
      <c r="A246" s="402" t="n">
        <v>6</v>
      </c>
      <c r="B246" s="605" t="n">
        <v>240</v>
      </c>
      <c r="C246" s="605" t="inlineStr">
        <is>
          <t>2013Q</t>
        </is>
      </c>
      <c r="D246" s="605" t="inlineStr">
        <is>
          <t xml:space="preserve">05223-05-022-000 </t>
        </is>
      </c>
      <c r="E246" s="403" t="inlineStr">
        <is>
          <t>Actual</t>
        </is>
      </c>
      <c r="F246" s="605" t="inlineStr">
        <is>
          <t>1221 S CHEROKEE             ST</t>
        </is>
      </c>
      <c r="G246" s="605" t="n">
        <v>44.1</v>
      </c>
      <c r="H246" s="605" t="n">
        <v>9506</v>
      </c>
      <c r="I246" s="403" t="n">
        <v>0</v>
      </c>
      <c r="J246" s="404" t="n">
        <v>4236</v>
      </c>
      <c r="K246" s="145" t="n">
        <v>11.4008498583569</v>
      </c>
      <c r="L246" s="153" t="n">
        <v>0</v>
      </c>
      <c r="M246" s="153" t="n">
        <v>0.0559075661572866</v>
      </c>
      <c r="N246" s="605" t="n">
        <v>1985</v>
      </c>
      <c r="O246" s="605" t="n">
        <v>0</v>
      </c>
      <c r="P246" s="605" t="n">
        <v>0</v>
      </c>
      <c r="Q246" s="605" t="n">
        <v>15</v>
      </c>
      <c r="R246" s="605" t="n">
        <v>7</v>
      </c>
      <c r="S246" s="605" t="n">
        <v>1</v>
      </c>
      <c r="T246" s="403" t="inlineStr">
        <is>
          <t xml:space="preserve">I-A         </t>
        </is>
      </c>
      <c r="U246" s="605" t="n">
        <v>398</v>
      </c>
      <c r="V246" s="404" t="n">
        <v>22750</v>
      </c>
      <c r="W246" s="404" t="n">
        <v>23000</v>
      </c>
      <c r="X246" s="392" t="inlineStr">
        <is>
          <t>5.4:1</t>
        </is>
      </c>
      <c r="Y246" s="404" t="n">
        <v>4000</v>
      </c>
      <c r="Z246" s="403" t="inlineStr">
        <is>
          <t xml:space="preserve">C </t>
        </is>
      </c>
      <c r="AD246" s="605" t="inlineStr">
        <is>
          <t xml:space="preserve">S-W                 </t>
        </is>
      </c>
      <c r="AK246" s="405" t="inlineStr">
        <is>
          <t xml:space="preserve">2009 LEASE.                                                       </t>
        </is>
      </c>
    </row>
    <row r="247" ht="12.75" customFormat="1" customHeight="1" s="605">
      <c r="A247" s="402" t="n">
        <v>6</v>
      </c>
      <c r="B247" s="605" t="n">
        <v>241</v>
      </c>
      <c r="C247" s="605" t="inlineStr">
        <is>
          <t>2013Q</t>
        </is>
      </c>
      <c r="D247" s="605" t="inlineStr">
        <is>
          <t xml:space="preserve">05223-06-007-000 </t>
        </is>
      </c>
      <c r="E247" s="403" t="inlineStr">
        <is>
          <t>Actual</t>
        </is>
      </c>
      <c r="F247" s="605" t="inlineStr">
        <is>
          <t>1257 S BANNOCK              ST</t>
        </is>
      </c>
      <c r="G247" s="605" t="n">
        <v>44.2</v>
      </c>
      <c r="H247" s="605" t="n">
        <v>9506</v>
      </c>
      <c r="I247" s="403" t="n">
        <v>0</v>
      </c>
      <c r="J247" s="404" t="n">
        <v>2156</v>
      </c>
      <c r="K247" s="145" t="n">
        <v>10.0185528756957</v>
      </c>
      <c r="L247" s="153" t="n">
        <v>0</v>
      </c>
      <c r="M247" s="153" t="n">
        <v>0.08328703703703701</v>
      </c>
      <c r="N247" s="605" t="n">
        <v>1957</v>
      </c>
      <c r="O247" s="605" t="n">
        <v>0</v>
      </c>
      <c r="P247" s="605" t="n">
        <v>0</v>
      </c>
      <c r="Q247" s="605" t="n">
        <v>12</v>
      </c>
      <c r="R247" s="605" t="n">
        <v>3</v>
      </c>
      <c r="S247" s="605" t="n">
        <v>1</v>
      </c>
      <c r="T247" s="403" t="inlineStr">
        <is>
          <t xml:space="preserve">I-A         </t>
        </is>
      </c>
      <c r="U247" s="605" t="n">
        <v>398</v>
      </c>
      <c r="V247" s="404" t="n">
        <v>9370</v>
      </c>
      <c r="W247" s="404" t="n">
        <v>9000</v>
      </c>
      <c r="X247" s="392" t="inlineStr">
        <is>
          <t>4.3:1</t>
        </is>
      </c>
      <c r="Y247" s="404" t="n">
        <v>2000</v>
      </c>
      <c r="Z247" s="403" t="inlineStr">
        <is>
          <t xml:space="preserve">C </t>
        </is>
      </c>
      <c r="AK247" s="405" t="n"/>
    </row>
    <row r="248" ht="12.75" customFormat="1" customHeight="1" s="605">
      <c r="A248" s="402" t="n">
        <v>6</v>
      </c>
      <c r="B248" s="605" t="n">
        <v>242</v>
      </c>
      <c r="C248" s="605" t="inlineStr">
        <is>
          <t>2013Q</t>
        </is>
      </c>
      <c r="D248" s="605" t="inlineStr">
        <is>
          <t xml:space="preserve">05223-07-013-000 </t>
        </is>
      </c>
      <c r="E248" s="403" t="inlineStr">
        <is>
          <t>Actual</t>
        </is>
      </c>
      <c r="F248" s="605" t="inlineStr">
        <is>
          <t>1290 S BANNOCK              ST</t>
        </is>
      </c>
      <c r="G248" s="605" t="n">
        <v>47.2</v>
      </c>
      <c r="H248" s="605" t="n">
        <v>9506</v>
      </c>
      <c r="I248" s="403" t="n">
        <v>0</v>
      </c>
      <c r="J248" s="404" t="n">
        <v>6628</v>
      </c>
      <c r="K248" s="145" t="n">
        <v>7.24200362100181</v>
      </c>
      <c r="L248" s="153" t="n">
        <v>0</v>
      </c>
      <c r="M248" s="153" t="n">
        <v>0.0916666666666667</v>
      </c>
      <c r="N248" s="605" t="n">
        <v>1965</v>
      </c>
      <c r="O248" s="605" t="n">
        <v>2608</v>
      </c>
      <c r="P248" s="605" t="n">
        <v>0</v>
      </c>
      <c r="Q248" s="605" t="n">
        <v>14</v>
      </c>
      <c r="R248" s="605" t="n">
        <v>1</v>
      </c>
      <c r="S248" s="605" t="n">
        <v>3</v>
      </c>
      <c r="T248" s="403" t="inlineStr">
        <is>
          <t xml:space="preserve">I-A         </t>
        </is>
      </c>
      <c r="U248" s="605" t="n">
        <v>401</v>
      </c>
      <c r="V248" s="404" t="n">
        <v>10000</v>
      </c>
      <c r="W248" s="404" t="n">
        <v>10000</v>
      </c>
      <c r="X248" s="392" t="inlineStr">
        <is>
          <t>1.5:1</t>
        </is>
      </c>
      <c r="Y248" s="404" t="n">
        <v>7000</v>
      </c>
      <c r="Z248" s="403" t="inlineStr">
        <is>
          <t xml:space="preserve">C </t>
        </is>
      </c>
      <c r="AD248" s="605" t="inlineStr">
        <is>
          <t xml:space="preserve">M-DISTRIBUITION     </t>
        </is>
      </c>
      <c r="AK248" s="405" t="inlineStr">
        <is>
          <t xml:space="preserve">2010 LEASE.                                                       </t>
        </is>
      </c>
    </row>
    <row r="249" ht="12.75" customFormat="1" customHeight="1" s="605">
      <c r="A249" s="402" t="n">
        <v>6</v>
      </c>
      <c r="B249" s="605" t="n">
        <v>243</v>
      </c>
      <c r="C249" s="605" t="inlineStr">
        <is>
          <t>2013Q</t>
        </is>
      </c>
      <c r="D249" s="605" t="inlineStr">
        <is>
          <t xml:space="preserve">05223-09-001-000 </t>
        </is>
      </c>
      <c r="E249" s="403" t="inlineStr">
        <is>
          <t>Actual</t>
        </is>
      </c>
      <c r="F249" s="605" t="inlineStr">
        <is>
          <t>1410 S SANTA FE             DR</t>
        </is>
      </c>
      <c r="G249" s="605" t="n">
        <v>44.1</v>
      </c>
      <c r="H249" s="605" t="n">
        <v>9506</v>
      </c>
      <c r="I249" s="403" t="n">
        <v>3</v>
      </c>
      <c r="J249" s="404" t="n">
        <v>38802</v>
      </c>
      <c r="K249" s="145" t="n">
        <v>3.92</v>
      </c>
      <c r="L249" s="153" t="n">
        <v>0</v>
      </c>
      <c r="M249" s="153" t="n">
        <v>0</v>
      </c>
      <c r="N249" s="605" t="n">
        <v>1983</v>
      </c>
      <c r="O249" s="605" t="n">
        <v>7359</v>
      </c>
      <c r="P249" s="605" t="n">
        <v>0</v>
      </c>
      <c r="Q249" s="605" t="n">
        <v>20</v>
      </c>
      <c r="R249" s="605" t="n">
        <v>1</v>
      </c>
      <c r="S249" s="605" t="n">
        <v>1</v>
      </c>
      <c r="T249" s="403" t="inlineStr">
        <is>
          <t xml:space="preserve">E-CC-3      </t>
        </is>
      </c>
      <c r="U249" s="605" t="n">
        <v>398</v>
      </c>
      <c r="V249" s="404" t="n">
        <v>17600</v>
      </c>
      <c r="W249" s="404" t="n">
        <v>18000</v>
      </c>
      <c r="X249" s="392" t="inlineStr">
        <is>
          <t>0.5:1</t>
        </is>
      </c>
      <c r="Y249" s="404" t="n">
        <v>39000</v>
      </c>
      <c r="Z249" s="403" t="inlineStr">
        <is>
          <t xml:space="preserve">C </t>
        </is>
      </c>
      <c r="AD249" s="605" t="inlineStr">
        <is>
          <t xml:space="preserve">MONARCH SHOWER DOOR </t>
        </is>
      </c>
      <c r="AK249" s="405" t="inlineStr">
        <is>
          <t xml:space="preserve">2010 LEASE.                                                       </t>
        </is>
      </c>
    </row>
    <row r="250" ht="12.75" customFormat="1" customHeight="1" s="605">
      <c r="A250" s="402" t="n">
        <v>6</v>
      </c>
      <c r="B250" s="605" t="n">
        <v>244</v>
      </c>
      <c r="C250" s="605" t="inlineStr">
        <is>
          <t>2013Q</t>
        </is>
      </c>
      <c r="D250" s="605" t="inlineStr">
        <is>
          <t xml:space="preserve">05223-10-015-000 </t>
        </is>
      </c>
      <c r="E250" s="403" t="inlineStr">
        <is>
          <t>Actual</t>
        </is>
      </c>
      <c r="F250" s="605" t="inlineStr">
        <is>
          <t>1439 S BANNOCK              ST</t>
        </is>
      </c>
      <c r="G250" s="605" t="n">
        <v>44.2</v>
      </c>
      <c r="H250" s="605" t="n">
        <v>9506</v>
      </c>
      <c r="I250" s="403" t="n">
        <v>0</v>
      </c>
      <c r="J250" s="404" t="n">
        <v>5048</v>
      </c>
      <c r="K250" s="145" t="n">
        <v>2.85261489698891</v>
      </c>
      <c r="L250" s="153" t="n">
        <v>0</v>
      </c>
      <c r="M250" s="153" t="n">
        <v>0.114583333333333</v>
      </c>
      <c r="N250" s="605" t="n">
        <v>1945</v>
      </c>
      <c r="O250" s="605" t="n">
        <v>293</v>
      </c>
      <c r="P250" s="605" t="n">
        <v>0</v>
      </c>
      <c r="Q250" s="605" t="n">
        <v>13</v>
      </c>
      <c r="R250" s="605" t="n">
        <v>3</v>
      </c>
      <c r="S250" s="605" t="n">
        <v>1</v>
      </c>
      <c r="T250" s="403" t="inlineStr">
        <is>
          <t xml:space="preserve">I-A         </t>
        </is>
      </c>
      <c r="U250" s="605" t="n">
        <v>398</v>
      </c>
      <c r="V250" s="404" t="n">
        <v>7620</v>
      </c>
      <c r="W250" s="404" t="n">
        <v>8000</v>
      </c>
      <c r="X250" s="392" t="inlineStr">
        <is>
          <t>1.5:1</t>
        </is>
      </c>
      <c r="Y250" s="404" t="n">
        <v>5000</v>
      </c>
      <c r="Z250" s="403" t="inlineStr">
        <is>
          <t xml:space="preserve">C </t>
        </is>
      </c>
      <c r="AK250" s="405" t="inlineStr">
        <is>
          <t xml:space="preserve">DATE OF COMMENCEMENT UNKNOWN.                                     </t>
        </is>
      </c>
    </row>
    <row r="251" ht="12.75" customFormat="1" customHeight="1" s="605">
      <c r="A251" s="402" t="n">
        <v>6</v>
      </c>
      <c r="B251" s="605" t="n">
        <v>245</v>
      </c>
      <c r="C251" s="605" t="inlineStr">
        <is>
          <t>2013Q</t>
        </is>
      </c>
      <c r="D251" s="605" t="inlineStr">
        <is>
          <t xml:space="preserve">05223-10-022-000 </t>
        </is>
      </c>
      <c r="E251" s="403" t="inlineStr">
        <is>
          <t>Actual</t>
        </is>
      </c>
      <c r="F251" s="605" t="inlineStr">
        <is>
          <t>1332 S CHEROKEE             ST</t>
        </is>
      </c>
      <c r="G251" s="605" t="n">
        <v>44.2</v>
      </c>
      <c r="H251" s="605" t="n">
        <v>9506</v>
      </c>
      <c r="I251" s="403" t="n">
        <v>0</v>
      </c>
      <c r="J251" s="404" t="n">
        <v>3960</v>
      </c>
      <c r="K251" s="145" t="n">
        <v>12.1212121212121</v>
      </c>
      <c r="L251" s="153" t="n">
        <v>0</v>
      </c>
      <c r="M251" s="153" t="n">
        <v>0</v>
      </c>
      <c r="N251" s="605" t="n">
        <v>1969</v>
      </c>
      <c r="O251" s="605" t="n">
        <v>2288</v>
      </c>
      <c r="P251" s="605" t="n">
        <v>0</v>
      </c>
      <c r="Q251" s="605" t="n">
        <v>13</v>
      </c>
      <c r="R251" s="605" t="n">
        <v>14</v>
      </c>
      <c r="S251" s="605" t="n">
        <v>1</v>
      </c>
      <c r="T251" s="403" t="inlineStr">
        <is>
          <t xml:space="preserve">I-B         </t>
        </is>
      </c>
      <c r="U251" s="605" t="n">
        <v>398</v>
      </c>
      <c r="V251" s="404" t="n">
        <v>9834</v>
      </c>
      <c r="W251" s="404" t="n">
        <v>10000</v>
      </c>
      <c r="X251" s="392" t="inlineStr">
        <is>
          <t>2.5:1</t>
        </is>
      </c>
      <c r="Y251" s="404" t="n">
        <v>4000</v>
      </c>
      <c r="Z251" s="403" t="inlineStr">
        <is>
          <t xml:space="preserve">C </t>
        </is>
      </c>
      <c r="AD251" s="605" t="inlineStr">
        <is>
          <t xml:space="preserve">SIGNAL GRAPHICS     </t>
        </is>
      </c>
      <c r="AK251" s="405" t="n"/>
    </row>
    <row r="252" ht="12.75" customFormat="1" customHeight="1" s="605">
      <c r="A252" s="402" t="n">
        <v>6</v>
      </c>
      <c r="B252" s="605" t="n">
        <v>246</v>
      </c>
      <c r="C252" s="605" t="inlineStr">
        <is>
          <t>2013Q</t>
        </is>
      </c>
      <c r="D252" s="605" t="inlineStr">
        <is>
          <t xml:space="preserve">05223-10-033-000 </t>
        </is>
      </c>
      <c r="E252" s="403" t="inlineStr">
        <is>
          <t>Actual</t>
        </is>
      </c>
      <c r="F252" s="605" t="inlineStr">
        <is>
          <t>1468 S CHEROKEE             ST</t>
        </is>
      </c>
      <c r="G252" s="605" t="n">
        <v>44.2</v>
      </c>
      <c r="H252" s="605" t="n">
        <v>9506</v>
      </c>
      <c r="I252" s="403" t="n">
        <v>0</v>
      </c>
      <c r="J252" s="404" t="n">
        <v>4540</v>
      </c>
      <c r="K252" s="145" t="n">
        <v>7.9295154185022</v>
      </c>
      <c r="L252" s="153" t="n">
        <v>0</v>
      </c>
      <c r="M252" s="153" t="n">
        <v>0.0773055555555556</v>
      </c>
      <c r="N252" s="605" t="n">
        <v>1998</v>
      </c>
      <c r="O252" s="605" t="n">
        <v>657</v>
      </c>
      <c r="P252" s="605" t="n">
        <v>0</v>
      </c>
      <c r="Q252" s="605" t="n">
        <v>15</v>
      </c>
      <c r="R252" s="605" t="n">
        <v>7</v>
      </c>
      <c r="S252" s="605" t="n">
        <v>3</v>
      </c>
      <c r="T252" s="403" t="inlineStr">
        <is>
          <t xml:space="preserve">I-A         </t>
        </is>
      </c>
      <c r="U252" s="605" t="n">
        <v>398</v>
      </c>
      <c r="V252" s="404" t="n">
        <v>10950</v>
      </c>
      <c r="W252" s="404" t="n">
        <v>11000</v>
      </c>
      <c r="X252" s="392" t="inlineStr">
        <is>
          <t>2.4:1</t>
        </is>
      </c>
      <c r="Y252" s="404" t="n">
        <v>5000</v>
      </c>
      <c r="Z252" s="403" t="inlineStr">
        <is>
          <t xml:space="preserve">C </t>
        </is>
      </c>
      <c r="AD252" s="605" t="inlineStr">
        <is>
          <t xml:space="preserve">M-WHSE              </t>
        </is>
      </c>
      <c r="AK252" s="405" t="n"/>
    </row>
    <row r="253" ht="12.75" customFormat="1" customHeight="1" s="605">
      <c r="A253" s="402" t="n">
        <v>6</v>
      </c>
      <c r="B253" s="605" t="n">
        <v>247</v>
      </c>
      <c r="C253" s="605" t="inlineStr">
        <is>
          <t>2013Q</t>
        </is>
      </c>
      <c r="D253" s="605" t="inlineStr">
        <is>
          <t xml:space="preserve">05226-01-028-000 </t>
        </is>
      </c>
      <c r="E253" s="403" t="inlineStr">
        <is>
          <t>Actual</t>
        </is>
      </c>
      <c r="F253" s="605" t="inlineStr">
        <is>
          <t>1586 S ACOMA                ST</t>
        </is>
      </c>
      <c r="G253" s="605" t="n">
        <v>44.2</v>
      </c>
      <c r="H253" s="605" t="n">
        <v>9506</v>
      </c>
      <c r="I253" s="403" t="n">
        <v>0</v>
      </c>
      <c r="J253" s="404" t="n">
        <v>7000</v>
      </c>
      <c r="K253" s="145" t="n">
        <v>7.02857142857143</v>
      </c>
      <c r="L253" s="153" t="n">
        <v>0</v>
      </c>
      <c r="M253" s="153" t="n">
        <v>0.0577235772357724</v>
      </c>
      <c r="N253" s="605" t="n">
        <v>1967</v>
      </c>
      <c r="O253" s="605" t="n">
        <v>2500</v>
      </c>
      <c r="P253" s="605" t="n">
        <v>0</v>
      </c>
      <c r="Q253" s="605" t="n">
        <v>14</v>
      </c>
      <c r="R253" s="605" t="n">
        <v>1</v>
      </c>
      <c r="S253" s="605" t="n">
        <v>1</v>
      </c>
      <c r="T253" s="403" t="inlineStr">
        <is>
          <t xml:space="preserve">I-A         </t>
        </is>
      </c>
      <c r="U253" s="605" t="n">
        <v>398</v>
      </c>
      <c r="V253" s="404" t="n">
        <v>12500</v>
      </c>
      <c r="W253" s="404" t="n">
        <v>13000</v>
      </c>
      <c r="X253" s="392" t="inlineStr">
        <is>
          <t>1.8:1</t>
        </is>
      </c>
      <c r="Y253" s="404" t="n">
        <v>7000</v>
      </c>
      <c r="Z253" s="403" t="inlineStr">
        <is>
          <t xml:space="preserve">C </t>
        </is>
      </c>
      <c r="AK253" s="405" t="inlineStr">
        <is>
          <t xml:space="preserve">2009 LEASES.                                                      </t>
        </is>
      </c>
    </row>
    <row r="254" ht="12.75" customFormat="1" customHeight="1" s="605">
      <c r="A254" s="402" t="n">
        <v>6</v>
      </c>
      <c r="B254" s="605" t="n">
        <v>248</v>
      </c>
      <c r="C254" s="605" t="inlineStr">
        <is>
          <t>2013Q</t>
        </is>
      </c>
      <c r="D254" s="605" t="inlineStr">
        <is>
          <t xml:space="preserve">05226-10-028-000 </t>
        </is>
      </c>
      <c r="E254" s="403" t="inlineStr">
        <is>
          <t>Actual</t>
        </is>
      </c>
      <c r="F254" s="605" t="inlineStr">
        <is>
          <t>1701 S BROADWAY             ST</t>
        </is>
      </c>
      <c r="G254" s="605" t="n">
        <v>44.2</v>
      </c>
      <c r="H254" s="605" t="n">
        <v>9506</v>
      </c>
      <c r="I254" s="403" t="n">
        <v>2</v>
      </c>
      <c r="J254" s="404" t="n">
        <v>16261</v>
      </c>
      <c r="K254" s="145" t="n">
        <v>5.48822335649714</v>
      </c>
      <c r="L254" s="153" t="n">
        <v>0</v>
      </c>
      <c r="M254" s="153" t="n">
        <v>0.0134462821029985</v>
      </c>
      <c r="N254" s="605" t="n">
        <v>1932</v>
      </c>
      <c r="O254" s="605" t="n">
        <v>1800</v>
      </c>
      <c r="P254" s="605" t="n">
        <v>0</v>
      </c>
      <c r="Q254" s="605" t="n">
        <v>16</v>
      </c>
      <c r="R254" s="605" t="n">
        <v>1</v>
      </c>
      <c r="S254" s="605" t="n">
        <v>1</v>
      </c>
      <c r="T254" s="403" t="inlineStr">
        <is>
          <t xml:space="preserve">U-MS-5      </t>
        </is>
      </c>
      <c r="U254" s="605" t="n">
        <v>398</v>
      </c>
      <c r="V254" s="404" t="n">
        <v>15624</v>
      </c>
      <c r="W254" s="404" t="n">
        <v>16000</v>
      </c>
      <c r="X254" s="392" t="inlineStr">
        <is>
          <t>1:1</t>
        </is>
      </c>
      <c r="Y254" s="404" t="n">
        <v>16000</v>
      </c>
      <c r="Z254" s="403" t="inlineStr">
        <is>
          <t xml:space="preserve">C </t>
        </is>
      </c>
      <c r="AK254" s="405" t="n"/>
    </row>
    <row r="255" ht="12.75" customFormat="1" customHeight="1" s="605">
      <c r="A255" s="402" t="n">
        <v>6</v>
      </c>
      <c r="B255" s="605" t="n">
        <v>249</v>
      </c>
      <c r="C255" s="605" t="inlineStr">
        <is>
          <t>2013Q</t>
        </is>
      </c>
      <c r="D255" s="605" t="inlineStr">
        <is>
          <t xml:space="preserve">05226-16-031-000 </t>
        </is>
      </c>
      <c r="E255" s="403" t="inlineStr">
        <is>
          <t>Actual</t>
        </is>
      </c>
      <c r="F255" s="605" t="inlineStr">
        <is>
          <t>1865 S ACOMA                ST</t>
        </is>
      </c>
      <c r="G255" s="605" t="n">
        <v>44.2</v>
      </c>
      <c r="H255" s="605" t="n">
        <v>9506</v>
      </c>
      <c r="I255" s="403" t="n">
        <v>0</v>
      </c>
      <c r="J255" s="404" t="n">
        <v>5920</v>
      </c>
      <c r="K255" s="145" t="n">
        <v>8.27702702702703</v>
      </c>
      <c r="L255" s="153" t="n">
        <v>0</v>
      </c>
      <c r="M255" s="153" t="n">
        <v>0.0651428571428571</v>
      </c>
      <c r="N255" s="605" t="n">
        <v>1972</v>
      </c>
      <c r="O255" s="605" t="n">
        <v>1406</v>
      </c>
      <c r="P255" s="605" t="n">
        <v>0</v>
      </c>
      <c r="Q255" s="605" t="n">
        <v>13</v>
      </c>
      <c r="R255" s="605" t="n">
        <v>3</v>
      </c>
      <c r="S255" s="605" t="n">
        <v>4</v>
      </c>
      <c r="T255" s="403" t="inlineStr">
        <is>
          <t xml:space="preserve">I-A         </t>
        </is>
      </c>
      <c r="U255" s="605" t="n">
        <v>398</v>
      </c>
      <c r="V255" s="404" t="n">
        <v>9430</v>
      </c>
      <c r="W255" s="404" t="n">
        <v>9000</v>
      </c>
      <c r="X255" s="392" t="inlineStr">
        <is>
          <t>1.6:1</t>
        </is>
      </c>
      <c r="Y255" s="404" t="n">
        <v>6000</v>
      </c>
      <c r="Z255" s="403" t="inlineStr">
        <is>
          <t xml:space="preserve">C </t>
        </is>
      </c>
      <c r="AK255" s="405" t="n"/>
    </row>
    <row r="256" ht="12.75" customFormat="1" customHeight="1" s="605">
      <c r="A256" s="402" t="n">
        <v>6</v>
      </c>
      <c r="B256" s="605" t="n">
        <v>250</v>
      </c>
      <c r="C256" s="605" t="inlineStr">
        <is>
          <t>2013Q</t>
        </is>
      </c>
      <c r="D256" s="605" t="inlineStr">
        <is>
          <t xml:space="preserve">05226-17-018-000 </t>
        </is>
      </c>
      <c r="E256" s="403" t="inlineStr">
        <is>
          <t>Actual</t>
        </is>
      </c>
      <c r="F256" s="605" t="inlineStr">
        <is>
          <t>1870 S ACOMA                ST</t>
        </is>
      </c>
      <c r="G256" s="605" t="n">
        <v>44.2</v>
      </c>
      <c r="H256" s="605" t="n">
        <v>9506</v>
      </c>
      <c r="I256" s="403" t="n">
        <v>0</v>
      </c>
      <c r="J256" s="404" t="n">
        <v>5760</v>
      </c>
      <c r="K256" s="145" t="n">
        <v>7.29166666666667</v>
      </c>
      <c r="L256" s="153" t="n">
        <v>0</v>
      </c>
      <c r="M256" s="153" t="n">
        <v>0.40952380952381</v>
      </c>
      <c r="N256" s="605" t="n">
        <v>1962</v>
      </c>
      <c r="O256" s="605" t="n">
        <v>636</v>
      </c>
      <c r="P256" s="605" t="n">
        <v>0</v>
      </c>
      <c r="Q256" s="605" t="n">
        <v>18</v>
      </c>
      <c r="R256" s="605" t="n">
        <v>3</v>
      </c>
      <c r="S256" s="605" t="n">
        <v>1</v>
      </c>
      <c r="T256" s="403" t="inlineStr">
        <is>
          <t xml:space="preserve">I-A         </t>
        </is>
      </c>
      <c r="U256" s="605" t="n">
        <v>397</v>
      </c>
      <c r="V256" s="404" t="n">
        <v>9370</v>
      </c>
      <c r="W256" s="404" t="n">
        <v>9000</v>
      </c>
      <c r="X256" s="392" t="inlineStr">
        <is>
          <t>1.6:1</t>
        </is>
      </c>
      <c r="Y256" s="404" t="n">
        <v>6000</v>
      </c>
      <c r="Z256" s="403" t="inlineStr">
        <is>
          <t xml:space="preserve">C </t>
        </is>
      </c>
      <c r="AD256" s="605" t="inlineStr">
        <is>
          <t xml:space="preserve">S-W ELECTRIC SUPPLY </t>
        </is>
      </c>
      <c r="AK256" s="405" t="n"/>
    </row>
    <row r="257" ht="12.75" customFormat="1" customHeight="1" s="605">
      <c r="A257" s="402" t="n">
        <v>6</v>
      </c>
      <c r="B257" s="605" t="n">
        <v>251</v>
      </c>
      <c r="C257" s="605" t="inlineStr">
        <is>
          <t>2013Q</t>
        </is>
      </c>
      <c r="D257" s="605" t="inlineStr">
        <is>
          <t xml:space="preserve">05227-36-027-000 </t>
        </is>
      </c>
      <c r="E257" s="403" t="inlineStr">
        <is>
          <t>Actual</t>
        </is>
      </c>
      <c r="F257" s="605" t="inlineStr">
        <is>
          <t>1859 S PEARL                ST</t>
        </is>
      </c>
      <c r="G257" s="605" t="n">
        <v>44.1</v>
      </c>
      <c r="H257" s="605" t="n">
        <v>9509</v>
      </c>
      <c r="I257" s="403" t="n">
        <v>0</v>
      </c>
      <c r="J257" s="404" t="n">
        <v>1912</v>
      </c>
      <c r="K257" s="145" t="n">
        <v>19.2688284518829</v>
      </c>
      <c r="L257" s="153" t="n">
        <v>0</v>
      </c>
      <c r="M257" s="153" t="n">
        <v>0.0333043808696596</v>
      </c>
      <c r="N257" s="605" t="n">
        <v>1955</v>
      </c>
      <c r="O257" s="605" t="n">
        <v>0</v>
      </c>
      <c r="P257" s="605" t="n">
        <v>0</v>
      </c>
      <c r="Q257" s="605" t="n">
        <v>12</v>
      </c>
      <c r="R257" s="605" t="n">
        <v>3</v>
      </c>
      <c r="S257" s="605" t="n">
        <v>1</v>
      </c>
      <c r="T257" s="403" t="inlineStr">
        <is>
          <t xml:space="preserve">U-MS-2      </t>
        </is>
      </c>
      <c r="U257" s="605" t="n">
        <v>398</v>
      </c>
      <c r="V257" s="404" t="n">
        <v>3125</v>
      </c>
      <c r="W257" s="404" t="n">
        <v>3000</v>
      </c>
      <c r="X257" s="392" t="inlineStr">
        <is>
          <t>1.6:1</t>
        </is>
      </c>
      <c r="Y257" s="404" t="n">
        <v>2000</v>
      </c>
      <c r="Z257" s="403" t="inlineStr">
        <is>
          <t xml:space="preserve">C </t>
        </is>
      </c>
      <c r="AD257" s="605" t="inlineStr">
        <is>
          <t>S-W R K LEONARD SPEC</t>
        </is>
      </c>
      <c r="AK257" s="405" t="n"/>
    </row>
    <row r="258" ht="12.75" customFormat="1" customHeight="1" s="605">
      <c r="A258" s="402" t="n">
        <v>6</v>
      </c>
      <c r="B258" s="605" t="n">
        <v>252</v>
      </c>
      <c r="C258" s="605" t="inlineStr">
        <is>
          <t>2013Q</t>
        </is>
      </c>
      <c r="D258" s="605" t="inlineStr">
        <is>
          <t xml:space="preserve">05272-03-013-000 </t>
        </is>
      </c>
      <c r="E258" s="403" t="inlineStr">
        <is>
          <t>Actual</t>
        </is>
      </c>
      <c r="F258" s="605" t="inlineStr">
        <is>
          <t>1955 S BANNOCK              ST</t>
        </is>
      </c>
      <c r="G258" s="605" t="n">
        <v>43.1</v>
      </c>
      <c r="H258" s="605" t="n">
        <v>9506</v>
      </c>
      <c r="I258" s="403" t="n">
        <v>0</v>
      </c>
      <c r="J258" s="404" t="n">
        <v>3038</v>
      </c>
      <c r="K258" s="145" t="n">
        <v>15.2073732718894</v>
      </c>
      <c r="L258" s="153" t="n">
        <v>0</v>
      </c>
      <c r="M258" s="153" t="n">
        <v>0.181168831168831</v>
      </c>
      <c r="N258" s="605" t="n">
        <v>1959</v>
      </c>
      <c r="O258" s="605" t="n">
        <v>0</v>
      </c>
      <c r="P258" s="605" t="n">
        <v>0</v>
      </c>
      <c r="Q258" s="605" t="n">
        <v>15</v>
      </c>
      <c r="R258" s="605" t="n">
        <v>3</v>
      </c>
      <c r="S258" s="605" t="n">
        <v>1</v>
      </c>
      <c r="T258" s="403" t="inlineStr">
        <is>
          <t xml:space="preserve">I-A         </t>
        </is>
      </c>
      <c r="U258" s="605" t="n">
        <v>401</v>
      </c>
      <c r="V258" s="404" t="n">
        <v>6250</v>
      </c>
      <c r="W258" s="404" t="n">
        <v>6000</v>
      </c>
      <c r="X258" s="392" t="inlineStr">
        <is>
          <t>2.1:1</t>
        </is>
      </c>
      <c r="Y258" s="404" t="n">
        <v>3000</v>
      </c>
      <c r="Z258" s="403" t="inlineStr">
        <is>
          <t xml:space="preserve">C </t>
        </is>
      </c>
      <c r="AK258" s="405" t="inlineStr">
        <is>
          <t xml:space="preserve">2010 LEASE.                                                       </t>
        </is>
      </c>
    </row>
    <row r="259" ht="12.75" customFormat="1" customHeight="1" s="605">
      <c r="A259" s="402" t="n">
        <v>6</v>
      </c>
      <c r="B259" s="605" t="n">
        <v>253</v>
      </c>
      <c r="C259" s="605" t="inlineStr">
        <is>
          <t>2013Q</t>
        </is>
      </c>
      <c r="D259" s="605" t="inlineStr">
        <is>
          <t xml:space="preserve">05272-19-005-000 </t>
        </is>
      </c>
      <c r="E259" s="403" t="inlineStr">
        <is>
          <t>Actual</t>
        </is>
      </c>
      <c r="F259" s="605" t="inlineStr">
        <is>
          <t>2256 S DELAWARE             ST</t>
        </is>
      </c>
      <c r="G259" s="605" t="n">
        <v>44.2</v>
      </c>
      <c r="H259" s="605" t="n">
        <v>9506</v>
      </c>
      <c r="I259" s="403" t="n">
        <v>0</v>
      </c>
      <c r="J259" s="404" t="n">
        <v>3840</v>
      </c>
      <c r="K259" s="145" t="n">
        <v>7.1875</v>
      </c>
      <c r="L259" s="153" t="n">
        <v>0</v>
      </c>
      <c r="M259" s="153" t="n">
        <v>0</v>
      </c>
      <c r="N259" s="605" t="n">
        <v>1964</v>
      </c>
      <c r="O259" s="605" t="n">
        <v>1350</v>
      </c>
      <c r="P259" s="605" t="n">
        <v>0</v>
      </c>
      <c r="Q259" s="605" t="n">
        <v>13</v>
      </c>
      <c r="R259" s="605" t="n">
        <v>3</v>
      </c>
      <c r="S259" s="605" t="n">
        <v>1</v>
      </c>
      <c r="T259" s="403" t="inlineStr">
        <is>
          <t xml:space="preserve">I-MX-3      </t>
        </is>
      </c>
      <c r="U259" s="605" t="n">
        <v>398</v>
      </c>
      <c r="V259" s="404" t="n">
        <v>6250</v>
      </c>
      <c r="W259" s="404" t="n">
        <v>6000</v>
      </c>
      <c r="X259" s="392" t="inlineStr">
        <is>
          <t>1.6:1</t>
        </is>
      </c>
      <c r="Y259" s="404" t="n">
        <v>4000</v>
      </c>
      <c r="Z259" s="403" t="inlineStr">
        <is>
          <t xml:space="preserve">C </t>
        </is>
      </c>
      <c r="AD259" s="605" t="inlineStr">
        <is>
          <t xml:space="preserve">S-W RAY J O'DONNELL </t>
        </is>
      </c>
      <c r="AK259" s="405" t="n"/>
    </row>
    <row r="260" ht="12.75" customFormat="1" customHeight="1" s="605">
      <c r="A260" s="402" t="n">
        <v>6</v>
      </c>
      <c r="B260" s="605" t="n">
        <v>254</v>
      </c>
      <c r="C260" s="605" t="inlineStr">
        <is>
          <t>2013Q</t>
        </is>
      </c>
      <c r="D260" s="605" t="inlineStr">
        <is>
          <t xml:space="preserve">05274-03-008-000 </t>
        </is>
      </c>
      <c r="E260" s="403" t="inlineStr">
        <is>
          <t>Actual</t>
        </is>
      </c>
      <c r="F260" s="605" t="inlineStr">
        <is>
          <t>2385 S DELAWARE             ST</t>
        </is>
      </c>
      <c r="G260" s="605" t="n">
        <v>44.2</v>
      </c>
      <c r="H260" s="605" t="n">
        <v>9506</v>
      </c>
      <c r="I260" s="403" t="n">
        <v>0</v>
      </c>
      <c r="J260" s="404" t="n">
        <v>14970</v>
      </c>
      <c r="K260" s="145" t="n">
        <v>9.3561122244489</v>
      </c>
      <c r="L260" s="153" t="n">
        <v>0</v>
      </c>
      <c r="M260" s="153" t="n">
        <v>0.000949586251704614</v>
      </c>
      <c r="N260" s="605" t="n">
        <v>1960</v>
      </c>
      <c r="O260" s="605" t="n">
        <v>1407</v>
      </c>
      <c r="P260" s="605" t="n">
        <v>0</v>
      </c>
      <c r="Q260" s="605" t="n">
        <v>13</v>
      </c>
      <c r="R260" s="605" t="n">
        <v>3</v>
      </c>
      <c r="S260" s="605" t="n">
        <v>1</v>
      </c>
      <c r="T260" s="403" t="inlineStr">
        <is>
          <t xml:space="preserve">I-MX-3      </t>
        </is>
      </c>
      <c r="U260" s="605" t="n">
        <v>398</v>
      </c>
      <c r="V260" s="404" t="n">
        <v>17968</v>
      </c>
      <c r="W260" s="404" t="n">
        <v>18000</v>
      </c>
      <c r="X260" s="392" t="inlineStr">
        <is>
          <t>1.2:1</t>
        </is>
      </c>
      <c r="Y260" s="404" t="n">
        <v>15000</v>
      </c>
      <c r="Z260" s="403" t="inlineStr">
        <is>
          <t xml:space="preserve">C </t>
        </is>
      </c>
      <c r="AK260" s="405" t="n"/>
    </row>
    <row r="261" ht="12.75" customFormat="1" customHeight="1" s="605">
      <c r="A261" s="402" t="n">
        <v>6</v>
      </c>
      <c r="B261" s="605" t="n">
        <v>255</v>
      </c>
      <c r="C261" s="605" t="inlineStr">
        <is>
          <t>2013Q</t>
        </is>
      </c>
      <c r="D261" s="605" t="inlineStr">
        <is>
          <t xml:space="preserve">05274-03-009-000 </t>
        </is>
      </c>
      <c r="E261" s="403" t="inlineStr">
        <is>
          <t>Actual</t>
        </is>
      </c>
      <c r="F261" s="605" t="inlineStr">
        <is>
          <t>2345 S DELAWARE             ST</t>
        </is>
      </c>
      <c r="G261" s="605" t="n">
        <v>47.2</v>
      </c>
      <c r="H261" s="605" t="n">
        <v>9506</v>
      </c>
      <c r="I261" s="403" t="n">
        <v>0</v>
      </c>
      <c r="J261" s="404" t="n">
        <v>28581</v>
      </c>
      <c r="K261" s="145" t="n">
        <v>7.7946188027011</v>
      </c>
      <c r="L261" s="153" t="n">
        <v>0</v>
      </c>
      <c r="M261" s="153" t="n">
        <v>0.00496009480289795</v>
      </c>
      <c r="N261" s="605" t="n">
        <v>1961</v>
      </c>
      <c r="O261" s="605" t="n">
        <v>6364</v>
      </c>
      <c r="P261" s="605" t="n">
        <v>0</v>
      </c>
      <c r="Q261" s="605" t="n">
        <v>13</v>
      </c>
      <c r="R261" s="605" t="n">
        <v>3</v>
      </c>
      <c r="S261" s="605" t="n">
        <v>1</v>
      </c>
      <c r="T261" s="403" t="inlineStr">
        <is>
          <t xml:space="preserve">I-MX-3      </t>
        </is>
      </c>
      <c r="U261" s="605" t="n">
        <v>401</v>
      </c>
      <c r="V261" s="404" t="n">
        <v>38282</v>
      </c>
      <c r="W261" s="404" t="n">
        <v>38000</v>
      </c>
      <c r="X261" s="392" t="inlineStr">
        <is>
          <t>1.3:1</t>
        </is>
      </c>
      <c r="Y261" s="404" t="n">
        <v>29000</v>
      </c>
      <c r="Z261" s="403" t="inlineStr">
        <is>
          <t xml:space="preserve">C </t>
        </is>
      </c>
      <c r="AD261" s="605" t="inlineStr">
        <is>
          <t xml:space="preserve">S-F GOLESH INC.     </t>
        </is>
      </c>
      <c r="AK261" s="405" t="n"/>
    </row>
    <row r="262" ht="12.75" customFormat="1" customHeight="1" s="605">
      <c r="A262" s="402" t="n">
        <v>6</v>
      </c>
      <c r="B262" s="605" t="n">
        <v>256</v>
      </c>
      <c r="C262" s="605" t="inlineStr">
        <is>
          <t>2013Q</t>
        </is>
      </c>
      <c r="D262" s="605" t="inlineStr">
        <is>
          <t xml:space="preserve">05274-12-029-000 </t>
        </is>
      </c>
      <c r="E262" s="403" t="inlineStr">
        <is>
          <t>Actual</t>
        </is>
      </c>
      <c r="F262" s="605" t="inlineStr">
        <is>
          <t>2464 S DELAWARE             ST</t>
        </is>
      </c>
      <c r="G262" s="605" t="n">
        <v>44.2</v>
      </c>
      <c r="H262" s="605" t="n">
        <v>9506</v>
      </c>
      <c r="I262" s="403" t="n">
        <v>0</v>
      </c>
      <c r="J262" s="404" t="n">
        <v>4064</v>
      </c>
      <c r="K262" s="145" t="n">
        <v>5.90551181102362</v>
      </c>
      <c r="L262" s="153" t="n">
        <v>0</v>
      </c>
      <c r="M262" s="153" t="n">
        <v>0.204166666666667</v>
      </c>
      <c r="N262" s="605" t="n">
        <v>1967</v>
      </c>
      <c r="O262" s="605" t="n">
        <v>0</v>
      </c>
      <c r="P262" s="605" t="n">
        <v>527</v>
      </c>
      <c r="Q262" s="605" t="n">
        <v>11</v>
      </c>
      <c r="R262" s="605" t="n">
        <v>3</v>
      </c>
      <c r="S262" s="605" t="n">
        <v>1</v>
      </c>
      <c r="T262" s="403" t="inlineStr">
        <is>
          <t xml:space="preserve">I-MX-3      </t>
        </is>
      </c>
      <c r="U262" s="605" t="n">
        <v>398</v>
      </c>
      <c r="V262" s="404" t="n">
        <v>6250</v>
      </c>
      <c r="W262" s="404" t="n">
        <v>6000</v>
      </c>
      <c r="X262" s="392" t="inlineStr">
        <is>
          <t>1.5:1</t>
        </is>
      </c>
      <c r="Y262" s="404" t="n">
        <v>4000</v>
      </c>
      <c r="Z262" s="403" t="inlineStr">
        <is>
          <t xml:space="preserve">C </t>
        </is>
      </c>
      <c r="AD262" s="605" t="inlineStr">
        <is>
          <t xml:space="preserve">S-W R.E. THARP      </t>
        </is>
      </c>
      <c r="AK262" s="405" t="n"/>
    </row>
    <row r="263" ht="12.75" customFormat="1" customHeight="1" s="605">
      <c r="A263" s="402" t="n">
        <v>6</v>
      </c>
      <c r="B263" s="605" t="n">
        <v>257</v>
      </c>
      <c r="C263" s="605" t="inlineStr">
        <is>
          <t>2013Q</t>
        </is>
      </c>
      <c r="D263" s="605" t="inlineStr">
        <is>
          <t xml:space="preserve">05274-15-029-000 </t>
        </is>
      </c>
      <c r="E263" s="403" t="inlineStr">
        <is>
          <t>Actual</t>
        </is>
      </c>
      <c r="F263" s="605" t="inlineStr">
        <is>
          <t>2536 S DELAWARE             ST</t>
        </is>
      </c>
      <c r="G263" s="605" t="n">
        <v>47.1</v>
      </c>
      <c r="H263" s="605" t="n">
        <v>9506</v>
      </c>
      <c r="I263" s="403" t="n">
        <v>0</v>
      </c>
      <c r="J263" s="404" t="n">
        <v>2487</v>
      </c>
      <c r="K263" s="145" t="n">
        <v>9.650180940892639</v>
      </c>
      <c r="L263" s="153" t="n">
        <v>0</v>
      </c>
      <c r="M263" s="153" t="n">
        <v>0.281708333333333</v>
      </c>
      <c r="N263" s="605" t="n">
        <v>1954</v>
      </c>
      <c r="O263" s="605" t="n">
        <v>0</v>
      </c>
      <c r="P263" s="605" t="n">
        <v>1188</v>
      </c>
      <c r="Q263" s="605" t="n">
        <v>16</v>
      </c>
      <c r="R263" s="605" t="n">
        <v>3</v>
      </c>
      <c r="S263" s="605" t="n">
        <v>1</v>
      </c>
      <c r="T263" s="403" t="inlineStr">
        <is>
          <t xml:space="preserve">I-MX-3      </t>
        </is>
      </c>
      <c r="U263" s="605" t="n">
        <v>401</v>
      </c>
      <c r="V263" s="404" t="n">
        <v>12500</v>
      </c>
      <c r="W263" s="404" t="n">
        <v>13000</v>
      </c>
      <c r="X263" s="392" t="inlineStr">
        <is>
          <t>5:1</t>
        </is>
      </c>
      <c r="Y263" s="404" t="n">
        <v>2000</v>
      </c>
      <c r="Z263" s="403" t="inlineStr">
        <is>
          <t xml:space="preserve">C </t>
        </is>
      </c>
      <c r="AD263" s="605" t="inlineStr">
        <is>
          <t xml:space="preserve">S-W CS GROUP        </t>
        </is>
      </c>
      <c r="AK263" s="405" t="inlineStr">
        <is>
          <t xml:space="preserve">2009 LEASE.                                                       </t>
        </is>
      </c>
    </row>
    <row r="264" ht="12.75" customFormat="1" customHeight="1" s="605">
      <c r="A264" s="402" t="n">
        <v>6</v>
      </c>
      <c r="B264" s="605" t="n">
        <v>258</v>
      </c>
      <c r="C264" s="605" t="inlineStr">
        <is>
          <t>2013Q</t>
        </is>
      </c>
      <c r="D264" s="605" t="inlineStr">
        <is>
          <t xml:space="preserve">05274-15-034-000 </t>
        </is>
      </c>
      <c r="E264" s="403" t="inlineStr">
        <is>
          <t>Actual</t>
        </is>
      </c>
      <c r="F264" s="605" t="inlineStr">
        <is>
          <t>2510 S DELAWARE             ST</t>
        </is>
      </c>
      <c r="G264" s="605" t="n">
        <v>44.1</v>
      </c>
      <c r="H264" s="605" t="n">
        <v>9506</v>
      </c>
      <c r="I264" s="403" t="n">
        <v>0</v>
      </c>
      <c r="J264" s="404" t="n">
        <v>10444</v>
      </c>
      <c r="K264" s="145" t="n">
        <v>6.89391037916507</v>
      </c>
      <c r="L264" s="153" t="n">
        <v>0</v>
      </c>
      <c r="M264" s="153" t="n">
        <v>0</v>
      </c>
      <c r="N264" s="605" t="n">
        <v>1985</v>
      </c>
      <c r="O264" s="605" t="n">
        <v>1104</v>
      </c>
      <c r="P264" s="605" t="n">
        <v>0</v>
      </c>
      <c r="Q264" s="605" t="n">
        <v>18</v>
      </c>
      <c r="R264" s="605" t="n">
        <v>3</v>
      </c>
      <c r="S264" s="605" t="n">
        <v>1</v>
      </c>
      <c r="T264" s="403" t="inlineStr">
        <is>
          <t xml:space="preserve">I-MX-3      </t>
        </is>
      </c>
      <c r="U264" s="605" t="n">
        <v>398</v>
      </c>
      <c r="V264" s="404" t="n">
        <v>18750</v>
      </c>
      <c r="W264" s="404" t="n">
        <v>19000</v>
      </c>
      <c r="X264" s="392" t="inlineStr">
        <is>
          <t>1.8:1</t>
        </is>
      </c>
      <c r="Y264" s="404" t="n">
        <v>10000</v>
      </c>
      <c r="Z264" s="403" t="inlineStr">
        <is>
          <t xml:space="preserve">C </t>
        </is>
      </c>
      <c r="AK264" s="405" t="n"/>
    </row>
    <row r="265" ht="23.25" customFormat="1" customHeight="1" s="605">
      <c r="A265" s="402" t="n">
        <v>6</v>
      </c>
      <c r="B265" s="605" t="n">
        <v>259</v>
      </c>
      <c r="C265" s="605" t="inlineStr">
        <is>
          <t>2013Q</t>
        </is>
      </c>
      <c r="D265" s="605" t="inlineStr">
        <is>
          <t xml:space="preserve">05275-02-011-000 </t>
        </is>
      </c>
      <c r="E265" s="403" t="inlineStr">
        <is>
          <t>Actual</t>
        </is>
      </c>
      <c r="F265" s="605" t="inlineStr">
        <is>
          <t>2376 S BROADWAY             ST</t>
        </is>
      </c>
      <c r="G265" s="605" t="n">
        <v>44.1</v>
      </c>
      <c r="H265" s="605" t="n">
        <v>9509</v>
      </c>
      <c r="I265" s="403" t="n">
        <v>2</v>
      </c>
      <c r="J265" s="404" t="n">
        <v>2535</v>
      </c>
      <c r="K265" s="145" t="n">
        <v>5.68047337278107</v>
      </c>
      <c r="L265" s="153" t="n">
        <v>0</v>
      </c>
      <c r="M265" s="153" t="n">
        <v>0.0347222222222222</v>
      </c>
      <c r="N265" s="605" t="n">
        <v>1951</v>
      </c>
      <c r="O265" s="605" t="n">
        <v>0</v>
      </c>
      <c r="P265" s="605" t="n">
        <v>1217</v>
      </c>
      <c r="Q265" s="605" t="n">
        <v>19</v>
      </c>
      <c r="R265" s="605" t="n">
        <v>3</v>
      </c>
      <c r="S265" s="605" t="n">
        <v>1</v>
      </c>
      <c r="T265" s="403" t="inlineStr">
        <is>
          <t xml:space="preserve">U-MX-3      </t>
        </is>
      </c>
      <c r="U265" s="605" t="n">
        <v>398</v>
      </c>
      <c r="V265" s="404" t="n">
        <v>4687</v>
      </c>
      <c r="W265" s="404" t="n">
        <v>5000</v>
      </c>
      <c r="X265" s="392" t="inlineStr">
        <is>
          <t>1.8:1</t>
        </is>
      </c>
      <c r="Y265" s="404" t="n">
        <v>3000</v>
      </c>
      <c r="Z265" s="403" t="inlineStr">
        <is>
          <t xml:space="preserve">C </t>
        </is>
      </c>
      <c r="AD265" s="605" t="inlineStr">
        <is>
          <t xml:space="preserve">#1 AUTO SALES       </t>
        </is>
      </c>
      <c r="AK265" s="405" t="inlineStr">
        <is>
          <t xml:space="preserve">AGE OF RENTAL RELATIONSHIP UNKNOWN.                               </t>
        </is>
      </c>
    </row>
    <row r="266" ht="12.75" customFormat="1" customHeight="1" s="605">
      <c r="A266" s="402" t="n">
        <v>6</v>
      </c>
      <c r="B266" s="605" t="n">
        <v>260</v>
      </c>
      <c r="C266" s="605" t="inlineStr">
        <is>
          <t>2013Q</t>
        </is>
      </c>
      <c r="D266" s="605" t="inlineStr">
        <is>
          <t xml:space="preserve">05281-05-033-000 </t>
        </is>
      </c>
      <c r="E266" s="403" t="inlineStr">
        <is>
          <t>Actual</t>
        </is>
      </c>
      <c r="F266" s="605" t="inlineStr">
        <is>
          <t>2001 S NAVAJO               ST</t>
        </is>
      </c>
      <c r="G266" s="605" t="n">
        <v>44.1</v>
      </c>
      <c r="H266" s="605" t="n">
        <v>9506</v>
      </c>
      <c r="I266" s="403" t="n">
        <v>0</v>
      </c>
      <c r="J266" s="404" t="n">
        <v>9120</v>
      </c>
      <c r="K266" s="145" t="n">
        <v>8.17061403508772</v>
      </c>
      <c r="L266" s="153" t="n">
        <v>0</v>
      </c>
      <c r="M266" s="153" t="n">
        <v>0.0214853185892963</v>
      </c>
      <c r="N266" s="605" t="n">
        <v>1986</v>
      </c>
      <c r="O266" s="605" t="n">
        <v>1669</v>
      </c>
      <c r="P266" s="605" t="n">
        <v>0</v>
      </c>
      <c r="Q266" s="605" t="n">
        <v>16</v>
      </c>
      <c r="R266" s="605" t="n">
        <v>3</v>
      </c>
      <c r="S266" s="605" t="n">
        <v>1</v>
      </c>
      <c r="T266" s="403" t="inlineStr">
        <is>
          <t xml:space="preserve">I-A         </t>
        </is>
      </c>
      <c r="U266" s="605" t="n">
        <v>398</v>
      </c>
      <c r="V266" s="404" t="n">
        <v>21128</v>
      </c>
      <c r="W266" s="404" t="n">
        <v>21000</v>
      </c>
      <c r="X266" s="392" t="inlineStr">
        <is>
          <t>2.3:1</t>
        </is>
      </c>
      <c r="Y266" s="404" t="n">
        <v>9000</v>
      </c>
      <c r="Z266" s="403" t="inlineStr">
        <is>
          <t xml:space="preserve">C </t>
        </is>
      </c>
      <c r="AK266" s="405" t="n"/>
    </row>
    <row r="267" ht="12.75" customFormat="1" customHeight="1" s="605">
      <c r="A267" s="402" t="n">
        <v>6</v>
      </c>
      <c r="B267" s="605" t="n">
        <v>261</v>
      </c>
      <c r="C267" s="605" t="inlineStr">
        <is>
          <t>2013Q</t>
        </is>
      </c>
      <c r="D267" s="605" t="inlineStr">
        <is>
          <t xml:space="preserve">05281-14-016-000 </t>
        </is>
      </c>
      <c r="E267" s="403" t="inlineStr">
        <is>
          <t>Actual</t>
        </is>
      </c>
      <c r="F267" s="605" t="inlineStr">
        <is>
          <t>2126 S KALAMATH             ST</t>
        </is>
      </c>
      <c r="G267" s="605" t="n">
        <v>44.2</v>
      </c>
      <c r="H267" s="605" t="n">
        <v>9506</v>
      </c>
      <c r="I267" s="403" t="n">
        <v>0</v>
      </c>
      <c r="J267" s="404" t="n">
        <v>4000</v>
      </c>
      <c r="K267" s="145" t="n">
        <v>6.9465</v>
      </c>
      <c r="L267" s="153" t="n">
        <v>0</v>
      </c>
      <c r="M267" s="153" t="n">
        <v>0.197365579788383</v>
      </c>
      <c r="N267" s="605" t="n">
        <v>1957</v>
      </c>
      <c r="O267" s="605" t="n">
        <v>369</v>
      </c>
      <c r="P267" s="605" t="n">
        <v>0</v>
      </c>
      <c r="Q267" s="605" t="n">
        <v>12</v>
      </c>
      <c r="R267" s="605" t="n">
        <v>1</v>
      </c>
      <c r="S267" s="605" t="n">
        <v>2</v>
      </c>
      <c r="T267" s="403" t="inlineStr">
        <is>
          <t xml:space="preserve">I-A         </t>
        </is>
      </c>
      <c r="U267" s="605" t="n">
        <v>398</v>
      </c>
      <c r="V267" s="404" t="n">
        <v>9375</v>
      </c>
      <c r="W267" s="404" t="n">
        <v>9000</v>
      </c>
      <c r="X267" s="392" t="inlineStr">
        <is>
          <t>2.3:1</t>
        </is>
      </c>
      <c r="Y267" s="404" t="n">
        <v>4000</v>
      </c>
      <c r="Z267" s="403" t="inlineStr">
        <is>
          <t xml:space="preserve">C </t>
        </is>
      </c>
      <c r="AD267" s="605" t="inlineStr">
        <is>
          <t>M-W NEW HERITAGE CRT</t>
        </is>
      </c>
      <c r="AK267" s="405" t="inlineStr">
        <is>
          <t xml:space="preserve">2010 LEASES.                                                      </t>
        </is>
      </c>
    </row>
    <row r="268" ht="12.75" customFormat="1" customHeight="1" s="605">
      <c r="A268" s="402" t="n">
        <v>6</v>
      </c>
      <c r="B268" s="605" t="n">
        <v>262</v>
      </c>
      <c r="C268" s="605" t="inlineStr">
        <is>
          <t>2013Q</t>
        </is>
      </c>
      <c r="D268" s="605" t="inlineStr">
        <is>
          <t xml:space="preserve">05281-14-017-000 </t>
        </is>
      </c>
      <c r="E268" s="403" t="inlineStr">
        <is>
          <t>Actual</t>
        </is>
      </c>
      <c r="F268" s="605" t="inlineStr">
        <is>
          <t>2140 S KALAMATH             ST</t>
        </is>
      </c>
      <c r="G268" s="605" t="n">
        <v>44.1</v>
      </c>
      <c r="H268" s="605" t="n">
        <v>9506</v>
      </c>
      <c r="I268" s="403" t="n">
        <v>0</v>
      </c>
      <c r="J268" s="404" t="n">
        <v>3987</v>
      </c>
      <c r="K268" s="145" t="n">
        <v>6.44845748683221</v>
      </c>
      <c r="L268" s="153" t="n">
        <v>0</v>
      </c>
      <c r="M268" s="153" t="n">
        <v>0.0995332555425904</v>
      </c>
      <c r="N268" s="605" t="n">
        <v>1960</v>
      </c>
      <c r="O268" s="605" t="n">
        <v>0</v>
      </c>
      <c r="P268" s="605" t="n">
        <v>0</v>
      </c>
      <c r="Q268" s="605" t="n">
        <v>12</v>
      </c>
      <c r="R268" s="605" t="n">
        <v>1</v>
      </c>
      <c r="S268" s="605" t="n">
        <v>2</v>
      </c>
      <c r="T268" s="403" t="inlineStr">
        <is>
          <t xml:space="preserve">I-A         </t>
        </is>
      </c>
      <c r="U268" s="605" t="n">
        <v>398</v>
      </c>
      <c r="V268" s="404" t="n">
        <v>9375</v>
      </c>
      <c r="W268" s="404" t="n">
        <v>9000</v>
      </c>
      <c r="X268" s="392" t="inlineStr">
        <is>
          <t>2.4:1</t>
        </is>
      </c>
      <c r="Y268" s="404" t="n">
        <v>4000</v>
      </c>
      <c r="Z268" s="403" t="inlineStr">
        <is>
          <t xml:space="preserve">C </t>
        </is>
      </c>
      <c r="AD268" s="605" t="inlineStr">
        <is>
          <t>M-W GUS SHEKER STUDI</t>
        </is>
      </c>
      <c r="AK268" s="405" t="inlineStr">
        <is>
          <t xml:space="preserve">2009/2010 LEASES.                                                 </t>
        </is>
      </c>
    </row>
    <row r="269" ht="12.75" customFormat="1" customHeight="1" s="605">
      <c r="A269" s="402" t="n">
        <v>6</v>
      </c>
      <c r="B269" s="605" t="n">
        <v>263</v>
      </c>
      <c r="C269" s="605" t="inlineStr">
        <is>
          <t>2013Q</t>
        </is>
      </c>
      <c r="D269" s="605" t="inlineStr">
        <is>
          <t xml:space="preserve">05281-14-018-000 </t>
        </is>
      </c>
      <c r="E269" s="403" t="inlineStr">
        <is>
          <t>Actual</t>
        </is>
      </c>
      <c r="F269" s="605" t="inlineStr">
        <is>
          <t>2150 S KALAMATH             ST</t>
        </is>
      </c>
      <c r="G269" s="605" t="n">
        <v>44.1</v>
      </c>
      <c r="H269" s="605" t="n">
        <v>9506</v>
      </c>
      <c r="I269" s="403" t="n">
        <v>0</v>
      </c>
      <c r="J269" s="404" t="n">
        <v>4000</v>
      </c>
      <c r="K269" s="145" t="n">
        <v>6.58</v>
      </c>
      <c r="L269" s="153" t="n">
        <v>0</v>
      </c>
      <c r="M269" s="153" t="n">
        <v>0.205015197568389</v>
      </c>
      <c r="N269" s="605" t="n">
        <v>1962</v>
      </c>
      <c r="O269" s="605" t="n">
        <v>0</v>
      </c>
      <c r="P269" s="605" t="n">
        <v>0</v>
      </c>
      <c r="Q269" s="605" t="n">
        <v>12</v>
      </c>
      <c r="R269" s="605" t="n">
        <v>1</v>
      </c>
      <c r="S269" s="605" t="n">
        <v>1</v>
      </c>
      <c r="T269" s="403" t="inlineStr">
        <is>
          <t xml:space="preserve">I-A         </t>
        </is>
      </c>
      <c r="U269" s="605" t="n">
        <v>398</v>
      </c>
      <c r="V269" s="404" t="n">
        <v>9375</v>
      </c>
      <c r="W269" s="404" t="n">
        <v>9000</v>
      </c>
      <c r="X269" s="392" t="inlineStr">
        <is>
          <t>2.3:1</t>
        </is>
      </c>
      <c r="Y269" s="404" t="n">
        <v>4000</v>
      </c>
      <c r="Z269" s="403" t="inlineStr">
        <is>
          <t xml:space="preserve">C </t>
        </is>
      </c>
      <c r="AD269" s="605" t="inlineStr">
        <is>
          <t xml:space="preserve">S-W ABLE SIGN       </t>
        </is>
      </c>
      <c r="AK269" s="405" t="inlineStr">
        <is>
          <t xml:space="preserve">2009 LEASES.                                                      </t>
        </is>
      </c>
    </row>
    <row r="270" ht="12.75" customFormat="1" customHeight="1" s="605">
      <c r="A270" s="402" t="n">
        <v>6</v>
      </c>
      <c r="B270" s="605" t="n">
        <v>264</v>
      </c>
      <c r="C270" s="605" t="inlineStr">
        <is>
          <t>2013Q</t>
        </is>
      </c>
      <c r="D270" s="605" t="inlineStr">
        <is>
          <t xml:space="preserve">05281-14-019-000 </t>
        </is>
      </c>
      <c r="E270" s="403" t="inlineStr">
        <is>
          <t>Actual</t>
        </is>
      </c>
      <c r="F270" s="605" t="inlineStr">
        <is>
          <t>2168 S KALAMATH             ST</t>
        </is>
      </c>
      <c r="G270" s="605" t="n">
        <v>47.2</v>
      </c>
      <c r="H270" s="605" t="n">
        <v>9506</v>
      </c>
      <c r="I270" s="403" t="n">
        <v>0</v>
      </c>
      <c r="J270" s="404" t="n">
        <v>4000</v>
      </c>
      <c r="K270" s="145" t="n">
        <v>6.69</v>
      </c>
      <c r="L270" s="153" t="n">
        <v>0</v>
      </c>
      <c r="M270" s="153" t="n">
        <v>0.109678624813154</v>
      </c>
      <c r="N270" s="605" t="n">
        <v>1956</v>
      </c>
      <c r="O270" s="605" t="n">
        <v>200</v>
      </c>
      <c r="P270" s="605" t="n">
        <v>0</v>
      </c>
      <c r="Q270" s="605" t="n">
        <v>14</v>
      </c>
      <c r="R270" s="605" t="n">
        <v>1</v>
      </c>
      <c r="S270" s="605" t="n">
        <v>1</v>
      </c>
      <c r="T270" s="403" t="inlineStr">
        <is>
          <t xml:space="preserve">I-A         </t>
        </is>
      </c>
      <c r="U270" s="605" t="n">
        <v>401</v>
      </c>
      <c r="V270" s="404" t="n">
        <v>12500</v>
      </c>
      <c r="W270" s="404" t="n">
        <v>13000</v>
      </c>
      <c r="X270" s="392" t="inlineStr">
        <is>
          <t>3.1:1</t>
        </is>
      </c>
      <c r="Y270" s="404" t="n">
        <v>4000</v>
      </c>
      <c r="Z270" s="403" t="inlineStr">
        <is>
          <t xml:space="preserve">C </t>
        </is>
      </c>
      <c r="AD270" s="605" t="inlineStr">
        <is>
          <t xml:space="preserve">S-F ELEMER'S MANUF. </t>
        </is>
      </c>
      <c r="AK270" s="405" t="inlineStr">
        <is>
          <t xml:space="preserve">2009 LEASES.                                                      </t>
        </is>
      </c>
    </row>
    <row r="271" ht="12.75" customFormat="1" customHeight="1" s="605">
      <c r="A271" s="402" t="n">
        <v>6</v>
      </c>
      <c r="B271" s="605" t="n">
        <v>265</v>
      </c>
      <c r="C271" s="605" t="inlineStr">
        <is>
          <t>2013Q</t>
        </is>
      </c>
      <c r="D271" s="605" t="inlineStr">
        <is>
          <t xml:space="preserve">05281-15-013-000 </t>
        </is>
      </c>
      <c r="E271" s="403" t="inlineStr">
        <is>
          <t>Actual</t>
        </is>
      </c>
      <c r="F271" s="605" t="inlineStr">
        <is>
          <t>1130 W EVANS                AV</t>
        </is>
      </c>
      <c r="G271" s="605" t="n">
        <v>44.2</v>
      </c>
      <c r="H271" s="605" t="n">
        <v>9506</v>
      </c>
      <c r="I271" s="403" t="n">
        <v>0</v>
      </c>
      <c r="J271" s="404" t="n">
        <v>10010</v>
      </c>
      <c r="K271" s="145" t="n">
        <v>5.92127872127872</v>
      </c>
      <c r="L271" s="153" t="n">
        <v>0</v>
      </c>
      <c r="M271" s="153" t="n">
        <v>0.0727156161425294</v>
      </c>
      <c r="N271" s="605" t="n">
        <v>1961</v>
      </c>
      <c r="O271" s="605" t="n">
        <v>1135</v>
      </c>
      <c r="P271" s="605" t="n">
        <v>0</v>
      </c>
      <c r="Q271" s="605" t="n">
        <v>14</v>
      </c>
      <c r="R271" s="605" t="n">
        <v>1</v>
      </c>
      <c r="S271" s="605" t="n">
        <v>1</v>
      </c>
      <c r="T271" s="403" t="inlineStr">
        <is>
          <t xml:space="preserve">I-A         </t>
        </is>
      </c>
      <c r="U271" s="605" t="n">
        <v>397</v>
      </c>
      <c r="V271" s="404" t="n">
        <v>15625</v>
      </c>
      <c r="W271" s="404" t="n">
        <v>16000</v>
      </c>
      <c r="X271" s="392" t="inlineStr">
        <is>
          <t>1.6:1</t>
        </is>
      </c>
      <c r="Y271" s="404" t="n">
        <v>10000</v>
      </c>
      <c r="Z271" s="403" t="inlineStr">
        <is>
          <t xml:space="preserve">C </t>
        </is>
      </c>
      <c r="AK271" s="405" t="inlineStr">
        <is>
          <t xml:space="preserve">2009 LEASE.                                                       </t>
        </is>
      </c>
    </row>
    <row r="272" ht="12.75" customFormat="1" customHeight="1" s="605">
      <c r="A272" s="402" t="n">
        <v>6</v>
      </c>
      <c r="B272" s="605" t="n">
        <v>266</v>
      </c>
      <c r="C272" s="605" t="inlineStr">
        <is>
          <t>2013Q</t>
        </is>
      </c>
      <c r="D272" s="605" t="inlineStr">
        <is>
          <t xml:space="preserve">05281-17-024-000 </t>
        </is>
      </c>
      <c r="E272" s="403" t="inlineStr">
        <is>
          <t>Actual</t>
        </is>
      </c>
      <c r="F272" s="605" t="inlineStr">
        <is>
          <t>2240 S KALAMATH             ST</t>
        </is>
      </c>
      <c r="G272" s="605" t="n">
        <v>44.2</v>
      </c>
      <c r="H272" s="605" t="n">
        <v>9506</v>
      </c>
      <c r="I272" s="403" t="n">
        <v>0</v>
      </c>
      <c r="J272" s="404" t="n">
        <v>2000</v>
      </c>
      <c r="K272" s="145" t="n">
        <v>7.92</v>
      </c>
      <c r="L272" s="153" t="n">
        <v>0</v>
      </c>
      <c r="M272" s="153" t="n">
        <v>0.0262626262626263</v>
      </c>
      <c r="N272" s="605" t="n">
        <v>1962</v>
      </c>
      <c r="O272" s="605" t="n">
        <v>0</v>
      </c>
      <c r="P272" s="605" t="n">
        <v>0</v>
      </c>
      <c r="Q272" s="605" t="n">
        <v>12</v>
      </c>
      <c r="R272" s="605" t="n">
        <v>3</v>
      </c>
      <c r="S272" s="605" t="n">
        <v>1</v>
      </c>
      <c r="T272" s="403" t="inlineStr">
        <is>
          <t xml:space="preserve">I-A         </t>
        </is>
      </c>
      <c r="U272" s="605" t="n">
        <v>398</v>
      </c>
      <c r="V272" s="404" t="n">
        <v>12500</v>
      </c>
      <c r="W272" s="404" t="n">
        <v>13000</v>
      </c>
      <c r="X272" s="392" t="inlineStr">
        <is>
          <t>6.3:1</t>
        </is>
      </c>
      <c r="Y272" s="404" t="n">
        <v>2000</v>
      </c>
      <c r="Z272" s="403" t="inlineStr">
        <is>
          <t xml:space="preserve">C </t>
        </is>
      </c>
      <c r="AD272" s="605" t="inlineStr">
        <is>
          <t xml:space="preserve">S-W JT'S UPHOLSTERY </t>
        </is>
      </c>
      <c r="AK272" s="405" t="inlineStr">
        <is>
          <t xml:space="preserve">2010 LEASE.                                                       </t>
        </is>
      </c>
    </row>
    <row r="273" ht="12.75" customHeight="1" s="545">
      <c r="A273" s="402" t="n">
        <v>6</v>
      </c>
      <c r="B273" s="605" t="n">
        <v>267</v>
      </c>
      <c r="C273" s="605" t="inlineStr">
        <is>
          <t>2013Q</t>
        </is>
      </c>
      <c r="D273" s="605" t="inlineStr">
        <is>
          <t xml:space="preserve">05281-18-042-000 </t>
        </is>
      </c>
      <c r="E273" s="403" t="inlineStr">
        <is>
          <t>Actual</t>
        </is>
      </c>
      <c r="F273" s="605" t="inlineStr">
        <is>
          <t>2231 S PLATTE RIVER         DR</t>
        </is>
      </c>
      <c r="G273" s="605" t="n">
        <v>44.1</v>
      </c>
      <c r="H273" s="605" t="n">
        <v>9506</v>
      </c>
      <c r="I273" s="403" t="n">
        <v>0</v>
      </c>
      <c r="J273" s="404" t="n">
        <v>4539</v>
      </c>
      <c r="K273" s="145" t="n">
        <v>6.60938532716457</v>
      </c>
      <c r="L273" s="153" t="n">
        <v>0</v>
      </c>
      <c r="M273" s="153" t="n">
        <v>0</v>
      </c>
      <c r="N273" s="605" t="n">
        <v>2006</v>
      </c>
      <c r="O273" s="605" t="n">
        <v>0</v>
      </c>
      <c r="P273" s="605" t="n">
        <v>0</v>
      </c>
      <c r="Q273" s="605" t="n">
        <v>16</v>
      </c>
      <c r="R273" s="605" t="n">
        <v>1</v>
      </c>
      <c r="S273" s="605" t="n">
        <v>1</v>
      </c>
      <c r="T273" s="403" t="inlineStr">
        <is>
          <t xml:space="preserve">I-A         </t>
        </is>
      </c>
      <c r="U273" s="605" t="n">
        <v>398</v>
      </c>
      <c r="V273" s="404" t="n">
        <v>6650</v>
      </c>
      <c r="W273" s="404" t="n">
        <v>7000</v>
      </c>
      <c r="X273" s="392" t="inlineStr">
        <is>
          <t>1.5:1</t>
        </is>
      </c>
      <c r="Y273" s="404" t="n">
        <v>5000</v>
      </c>
      <c r="Z273" s="403" t="inlineStr">
        <is>
          <t xml:space="preserve">C </t>
        </is>
      </c>
      <c r="AA273" s="605" t="n"/>
      <c r="AD273" s="605" t="inlineStr">
        <is>
          <t xml:space="preserve">LIVING ARTS CENTER  </t>
        </is>
      </c>
      <c r="AK273" s="405" t="n"/>
      <c r="AM273" s="605" t="n"/>
    </row>
    <row r="274" ht="12.75" customHeight="1" s="545">
      <c r="A274" s="402" t="n">
        <v>6</v>
      </c>
      <c r="B274" s="605" t="n">
        <v>268</v>
      </c>
      <c r="C274" s="605" t="inlineStr">
        <is>
          <t>2013Q</t>
        </is>
      </c>
      <c r="D274" s="605" t="inlineStr">
        <is>
          <t xml:space="preserve">05284-02-010-000 </t>
        </is>
      </c>
      <c r="E274" s="403" t="inlineStr">
        <is>
          <t>Actual</t>
        </is>
      </c>
      <c r="F274" s="605" t="inlineStr">
        <is>
          <t>2301 S INCA                 ST</t>
        </is>
      </c>
      <c r="G274" s="605" t="n">
        <v>44.1</v>
      </c>
      <c r="H274" s="605" t="n">
        <v>9506</v>
      </c>
      <c r="I274" s="403" t="n">
        <v>0</v>
      </c>
      <c r="J274" s="404" t="n">
        <v>10005</v>
      </c>
      <c r="K274" s="145" t="n">
        <v>6.02698650674663</v>
      </c>
      <c r="L274" s="153" t="n">
        <v>0</v>
      </c>
      <c r="M274" s="153" t="n">
        <v>0.0165837479270315</v>
      </c>
      <c r="N274" s="605" t="n">
        <v>1965</v>
      </c>
      <c r="O274" s="605" t="n">
        <v>2142</v>
      </c>
      <c r="P274" s="605" t="n">
        <v>0</v>
      </c>
      <c r="Q274" s="605" t="n">
        <v>13</v>
      </c>
      <c r="R274" s="605" t="n">
        <v>1</v>
      </c>
      <c r="S274" s="605" t="n">
        <v>1</v>
      </c>
      <c r="T274" s="403" t="inlineStr">
        <is>
          <t xml:space="preserve">I-A         </t>
        </is>
      </c>
      <c r="U274" s="605" t="n">
        <v>398</v>
      </c>
      <c r="V274" s="404" t="n">
        <v>12500</v>
      </c>
      <c r="W274" s="404" t="n">
        <v>13000</v>
      </c>
      <c r="X274" s="392" t="inlineStr">
        <is>
          <t>1.2:1</t>
        </is>
      </c>
      <c r="Y274" s="404" t="n">
        <v>10000</v>
      </c>
      <c r="Z274" s="403" t="inlineStr">
        <is>
          <t>C+</t>
        </is>
      </c>
      <c r="AA274" s="605" t="n"/>
      <c r="AD274" s="605" t="inlineStr">
        <is>
          <t xml:space="preserve">S-D STRUBLE         </t>
        </is>
      </c>
      <c r="AK274" s="405" t="inlineStr">
        <is>
          <t xml:space="preserve">2010 LEASE.                                                       </t>
        </is>
      </c>
      <c r="AM274" s="605" t="n"/>
    </row>
    <row r="275" ht="25.5" customHeight="1" s="545">
      <c r="A275" s="402" t="n">
        <v>6</v>
      </c>
      <c r="B275" s="605" t="n">
        <v>269</v>
      </c>
      <c r="C275" s="605" t="inlineStr">
        <is>
          <t>2013Q</t>
        </is>
      </c>
      <c r="D275" s="605" t="inlineStr">
        <is>
          <t xml:space="preserve">05284-02-022-000 </t>
        </is>
      </c>
      <c r="E275" s="403" t="inlineStr">
        <is>
          <t>Actual</t>
        </is>
      </c>
      <c r="F275" s="605" t="inlineStr">
        <is>
          <t>2395 S PLATTE RIVER         DR</t>
        </is>
      </c>
      <c r="G275" s="605" t="n">
        <v>44.2</v>
      </c>
      <c r="H275" s="605" t="n">
        <v>9506</v>
      </c>
      <c r="I275" s="403" t="n">
        <v>0</v>
      </c>
      <c r="J275" s="404" t="n">
        <v>4916</v>
      </c>
      <c r="K275" s="145" t="n">
        <v>7.32302685109845</v>
      </c>
      <c r="L275" s="153" t="n">
        <v>0</v>
      </c>
      <c r="M275" s="153" t="n">
        <v>0</v>
      </c>
      <c r="N275" s="605" t="n">
        <v>1973</v>
      </c>
      <c r="O275" s="605" t="n">
        <v>1327</v>
      </c>
      <c r="P275" s="605" t="n">
        <v>0</v>
      </c>
      <c r="Q275" s="605" t="n">
        <v>14</v>
      </c>
      <c r="R275" s="605" t="n">
        <v>6</v>
      </c>
      <c r="S275" s="605" t="n">
        <v>1</v>
      </c>
      <c r="T275" s="403" t="inlineStr">
        <is>
          <t xml:space="preserve">I-A         </t>
        </is>
      </c>
      <c r="U275" s="605" t="n">
        <v>398</v>
      </c>
      <c r="V275" s="404" t="n">
        <v>6250</v>
      </c>
      <c r="W275" s="404" t="n">
        <v>6000</v>
      </c>
      <c r="X275" s="392" t="inlineStr">
        <is>
          <t>1.3:1</t>
        </is>
      </c>
      <c r="Y275" s="404" t="n">
        <v>5000</v>
      </c>
      <c r="Z275" s="403" t="inlineStr">
        <is>
          <t xml:space="preserve">C </t>
        </is>
      </c>
      <c r="AA275" s="605" t="n"/>
      <c r="AD275" s="605" t="inlineStr">
        <is>
          <t xml:space="preserve">S-W ESSCO CARPET    </t>
        </is>
      </c>
      <c r="AK275" s="405" t="inlineStr">
        <is>
          <t xml:space="preserve">COMMENCEMENT DATE OF LEASE UNKNOWN.                               </t>
        </is>
      </c>
      <c r="AM275" s="605" t="n"/>
    </row>
    <row r="276" ht="25.5" customHeight="1" s="545">
      <c r="A276" s="402" t="n">
        <v>6</v>
      </c>
      <c r="B276" s="605" t="n">
        <v>270</v>
      </c>
      <c r="C276" s="605" t="inlineStr">
        <is>
          <t>2013Q</t>
        </is>
      </c>
      <c r="D276" s="605" t="inlineStr">
        <is>
          <t xml:space="preserve">05284-02-031-000 </t>
        </is>
      </c>
      <c r="E276" s="403" t="inlineStr">
        <is>
          <t>Actual</t>
        </is>
      </c>
      <c r="F276" s="605" t="inlineStr">
        <is>
          <t>2335 S INCA                 ST</t>
        </is>
      </c>
      <c r="G276" s="605" t="n">
        <v>44.2</v>
      </c>
      <c r="H276" s="605" t="n">
        <v>9506</v>
      </c>
      <c r="I276" s="403" t="n">
        <v>0</v>
      </c>
      <c r="J276" s="404" t="n">
        <v>10073</v>
      </c>
      <c r="K276" s="145" t="n">
        <v>4.16956219596942</v>
      </c>
      <c r="L276" s="153" t="n">
        <v>0</v>
      </c>
      <c r="M276" s="153" t="n">
        <v>0.0709761904761905</v>
      </c>
      <c r="N276" s="605" t="n">
        <v>1973</v>
      </c>
      <c r="O276" s="605" t="n">
        <v>2805</v>
      </c>
      <c r="P276" s="605" t="n">
        <v>0</v>
      </c>
      <c r="Q276" s="605" t="n">
        <v>12</v>
      </c>
      <c r="R276" s="605" t="n">
        <v>1</v>
      </c>
      <c r="S276" s="605" t="n">
        <v>1</v>
      </c>
      <c r="T276" s="403" t="inlineStr">
        <is>
          <t xml:space="preserve">I-A         </t>
        </is>
      </c>
      <c r="U276" s="605" t="n">
        <v>398</v>
      </c>
      <c r="V276" s="404" t="n">
        <v>12500</v>
      </c>
      <c r="W276" s="404" t="n">
        <v>13000</v>
      </c>
      <c r="X276" s="392" t="inlineStr">
        <is>
          <t>1.2:1</t>
        </is>
      </c>
      <c r="Y276" s="404" t="n">
        <v>10000</v>
      </c>
      <c r="Z276" s="403" t="inlineStr">
        <is>
          <t xml:space="preserve">C </t>
        </is>
      </c>
      <c r="AA276" s="605" t="n"/>
      <c r="AD276" s="605" t="inlineStr">
        <is>
          <t>LAUNDRY/DRY CLEANERS</t>
        </is>
      </c>
      <c r="AK276" s="405" t="inlineStr">
        <is>
          <t xml:space="preserve">COMMENCEMENT DATE OF MO-TO-MO UNKNOWN.                            </t>
        </is>
      </c>
      <c r="AM276" s="605" t="n"/>
    </row>
    <row r="277" ht="12.75" customHeight="1" s="545">
      <c r="A277" s="402" t="n">
        <v>6</v>
      </c>
      <c r="B277" s="605" t="n">
        <v>271</v>
      </c>
      <c r="C277" s="605" t="inlineStr">
        <is>
          <t>2013Q</t>
        </is>
      </c>
      <c r="D277" s="605" t="inlineStr">
        <is>
          <t xml:space="preserve">05284-03-018-000 </t>
        </is>
      </c>
      <c r="E277" s="403" t="inlineStr">
        <is>
          <t>Actual</t>
        </is>
      </c>
      <c r="F277" s="605" t="inlineStr">
        <is>
          <t>2390 S KALAMATH             ST</t>
        </is>
      </c>
      <c r="G277" s="605" t="n">
        <v>44.2</v>
      </c>
      <c r="H277" s="605" t="n">
        <v>9506</v>
      </c>
      <c r="I277" s="403" t="n">
        <v>0</v>
      </c>
      <c r="J277" s="404" t="n">
        <v>12000</v>
      </c>
      <c r="K277" s="145" t="n">
        <v>6.625</v>
      </c>
      <c r="L277" s="153" t="n">
        <v>0.17</v>
      </c>
      <c r="M277" s="153" t="n">
        <v>0.0896603773584906</v>
      </c>
      <c r="N277" s="605" t="n">
        <v>1973</v>
      </c>
      <c r="O277" s="605" t="n">
        <v>1440</v>
      </c>
      <c r="P277" s="605" t="n">
        <v>0</v>
      </c>
      <c r="Q277" s="605" t="n">
        <v>14</v>
      </c>
      <c r="R277" s="605" t="n">
        <v>1</v>
      </c>
      <c r="S277" s="605" t="n">
        <v>1</v>
      </c>
      <c r="T277" s="403" t="inlineStr">
        <is>
          <t xml:space="preserve">I-A         </t>
        </is>
      </c>
      <c r="U277" s="605" t="n">
        <v>398</v>
      </c>
      <c r="V277" s="404" t="n">
        <v>18750</v>
      </c>
      <c r="W277" s="404" t="n">
        <v>19000</v>
      </c>
      <c r="X277" s="392" t="inlineStr">
        <is>
          <t>1.6:1</t>
        </is>
      </c>
      <c r="Y277" s="404" t="n">
        <v>12000</v>
      </c>
      <c r="Z277" s="403" t="inlineStr">
        <is>
          <t xml:space="preserve">C </t>
        </is>
      </c>
      <c r="AA277" s="605" t="n"/>
      <c r="AK277" s="405" t="n"/>
      <c r="AM277" s="605" t="n"/>
    </row>
    <row r="278" ht="12.75" customHeight="1" s="545">
      <c r="A278" s="402" t="n">
        <v>6</v>
      </c>
      <c r="B278" s="605" t="n">
        <v>272</v>
      </c>
      <c r="C278" s="605" t="inlineStr">
        <is>
          <t>2013Q</t>
        </is>
      </c>
      <c r="D278" s="605" t="inlineStr">
        <is>
          <t xml:space="preserve">06282-02-031-000 </t>
        </is>
      </c>
      <c r="E278" s="403" t="inlineStr">
        <is>
          <t>Actual</t>
        </is>
      </c>
      <c r="F278" s="605" t="inlineStr">
        <is>
          <t>1955 S QUINCE               ST</t>
        </is>
      </c>
      <c r="G278" s="605" t="n">
        <v>47.1</v>
      </c>
      <c r="H278" s="605" t="n">
        <v>9603</v>
      </c>
      <c r="I278" s="403" t="n">
        <v>0</v>
      </c>
      <c r="J278" s="404" t="n">
        <v>42392</v>
      </c>
      <c r="K278" s="145" t="n">
        <v>3.46666666666667</v>
      </c>
      <c r="L278" s="153" t="n">
        <v>0</v>
      </c>
      <c r="M278" s="153" t="n">
        <v>0</v>
      </c>
      <c r="N278" s="605" t="n">
        <v>1982</v>
      </c>
      <c r="O278" s="605" t="n">
        <v>10323</v>
      </c>
      <c r="P278" s="605" t="n">
        <v>0</v>
      </c>
      <c r="Q278" s="605" t="n">
        <v>13</v>
      </c>
      <c r="R278" s="605" t="n">
        <v>10</v>
      </c>
      <c r="S278" s="605" t="n">
        <v>1</v>
      </c>
      <c r="T278" s="403" t="inlineStr">
        <is>
          <t xml:space="preserve">I-A         </t>
        </is>
      </c>
      <c r="U278" s="605" t="n">
        <v>401</v>
      </c>
      <c r="V278" s="404" t="n">
        <v>83665</v>
      </c>
      <c r="W278" s="404" t="n">
        <v>84000</v>
      </c>
      <c r="X278" s="392" t="inlineStr">
        <is>
          <t>2:1</t>
        </is>
      </c>
      <c r="Y278" s="404" t="n">
        <v>42000</v>
      </c>
      <c r="Z278" s="403" t="inlineStr">
        <is>
          <t xml:space="preserve">C </t>
        </is>
      </c>
      <c r="AA278" s="605" t="n"/>
      <c r="AD278" s="605" t="inlineStr">
        <is>
          <t xml:space="preserve">MANUFACTURING BLDG  </t>
        </is>
      </c>
      <c r="AK278" s="405" t="n"/>
      <c r="AM278" s="605" t="n"/>
    </row>
    <row r="279" ht="12.75" customHeight="1" s="545">
      <c r="A279" s="402" t="n">
        <v>6</v>
      </c>
      <c r="B279" s="605" t="n">
        <v>273</v>
      </c>
      <c r="C279" s="605" t="inlineStr">
        <is>
          <t>2013Q</t>
        </is>
      </c>
      <c r="D279" s="605" t="inlineStr">
        <is>
          <t xml:space="preserve">06292-10-001-000 </t>
        </is>
      </c>
      <c r="E279" s="403" t="inlineStr">
        <is>
          <t>Actual</t>
        </is>
      </c>
      <c r="F279" s="605" t="inlineStr">
        <is>
          <t>5995 E EVANS                AV</t>
        </is>
      </c>
      <c r="G279" s="605" t="n">
        <v>44.1</v>
      </c>
      <c r="H279" s="605" t="n">
        <v>9603</v>
      </c>
      <c r="I279" s="403" t="n">
        <v>7</v>
      </c>
      <c r="J279" s="404" t="n">
        <v>25804</v>
      </c>
      <c r="K279" s="145" t="n">
        <v>6.43993179352038</v>
      </c>
      <c r="L279" s="153" t="n">
        <v>0</v>
      </c>
      <c r="M279" s="153" t="n">
        <v>0</v>
      </c>
      <c r="N279" s="605" t="n">
        <v>1974</v>
      </c>
      <c r="O279" s="605" t="n">
        <v>0</v>
      </c>
      <c r="P279" s="605" t="n">
        <v>7752</v>
      </c>
      <c r="Q279" s="605" t="n">
        <v>16</v>
      </c>
      <c r="R279" s="605" t="n">
        <v>7</v>
      </c>
      <c r="S279" s="605" t="n">
        <v>1</v>
      </c>
      <c r="T279" s="403" t="inlineStr">
        <is>
          <t xml:space="preserve">I-MX-3      </t>
        </is>
      </c>
      <c r="U279" s="605" t="n">
        <v>398</v>
      </c>
      <c r="V279" s="404" t="n">
        <v>51719</v>
      </c>
      <c r="W279" s="404" t="n">
        <v>52000</v>
      </c>
      <c r="X279" s="392" t="inlineStr">
        <is>
          <t>2:1</t>
        </is>
      </c>
      <c r="Y279" s="404" t="n">
        <v>26000</v>
      </c>
      <c r="Z279" s="403" t="inlineStr">
        <is>
          <t xml:space="preserve">C </t>
        </is>
      </c>
      <c r="AA279" s="605" t="n"/>
      <c r="AD279" s="605" t="inlineStr">
        <is>
          <t xml:space="preserve">FACTORY OUTLET      </t>
        </is>
      </c>
      <c r="AK279" s="405" t="n"/>
      <c r="AM279" s="605" t="n"/>
    </row>
    <row r="280" ht="12.75" customHeight="1" s="545">
      <c r="A280" s="402" t="n">
        <v>6</v>
      </c>
      <c r="B280" s="605" t="n">
        <v>274</v>
      </c>
      <c r="C280" s="605" t="inlineStr">
        <is>
          <t>2013Q</t>
        </is>
      </c>
      <c r="D280" s="605" t="inlineStr">
        <is>
          <t xml:space="preserve">06292-10-004-000 </t>
        </is>
      </c>
      <c r="E280" s="403" t="inlineStr">
        <is>
          <t>Actual</t>
        </is>
      </c>
      <c r="F280" s="605" t="inlineStr">
        <is>
          <t>5885 E EVANS                AV</t>
        </is>
      </c>
      <c r="G280" s="605" t="n">
        <v>44.1</v>
      </c>
      <c r="H280" s="605" t="n">
        <v>9603</v>
      </c>
      <c r="I280" s="403" t="n">
        <v>0</v>
      </c>
      <c r="J280" s="404" t="n">
        <v>12244</v>
      </c>
      <c r="K280" s="145" t="n">
        <v>7.35053903952957</v>
      </c>
      <c r="L280" s="153" t="n">
        <v>0.3</v>
      </c>
      <c r="M280" s="153" t="n">
        <v>0</v>
      </c>
      <c r="N280" s="605" t="n">
        <v>1960</v>
      </c>
      <c r="O280" s="605" t="n">
        <v>5891</v>
      </c>
      <c r="P280" s="605" t="n">
        <v>0</v>
      </c>
      <c r="Q280" s="605" t="n">
        <v>13</v>
      </c>
      <c r="R280" s="605" t="n">
        <v>13</v>
      </c>
      <c r="S280" s="605" t="n">
        <v>1</v>
      </c>
      <c r="T280" s="403" t="inlineStr">
        <is>
          <t xml:space="preserve">I-MX-3      </t>
        </is>
      </c>
      <c r="U280" s="605" t="n">
        <v>398</v>
      </c>
      <c r="V280" s="404" t="n">
        <v>43775</v>
      </c>
      <c r="W280" s="404" t="n">
        <v>44000</v>
      </c>
      <c r="X280" s="392" t="inlineStr">
        <is>
          <t>3.6:1</t>
        </is>
      </c>
      <c r="Y280" s="404" t="n">
        <v>12000</v>
      </c>
      <c r="Z280" s="403" t="inlineStr">
        <is>
          <t xml:space="preserve">C </t>
        </is>
      </c>
      <c r="AA280" s="605" t="n"/>
      <c r="AD280" s="605" t="inlineStr">
        <is>
          <t xml:space="preserve">PRINTSHOP PLUS      </t>
        </is>
      </c>
      <c r="AK280" s="405" t="inlineStr">
        <is>
          <t xml:space="preserve">2009 LEASE.                                                       </t>
        </is>
      </c>
      <c r="AM280" s="605" t="n"/>
    </row>
    <row r="281" ht="12.75" customHeight="1" s="545">
      <c r="A281" s="402" t="n">
        <v>6</v>
      </c>
      <c r="B281" s="605" t="n">
        <v>275</v>
      </c>
      <c r="C281" s="605" t="inlineStr">
        <is>
          <t>2013Q</t>
        </is>
      </c>
      <c r="D281" s="605" t="inlineStr">
        <is>
          <t xml:space="preserve">06301-12-009-000 </t>
        </is>
      </c>
      <c r="E281" s="403" t="inlineStr">
        <is>
          <t>Actual</t>
        </is>
      </c>
      <c r="F281" s="605" t="inlineStr">
        <is>
          <t>4990 E ASBURY               AV</t>
        </is>
      </c>
      <c r="G281" s="605" t="n">
        <v>44.2</v>
      </c>
      <c r="H281" s="605" t="n">
        <v>9603</v>
      </c>
      <c r="I281" s="403" t="n">
        <v>0</v>
      </c>
      <c r="J281" s="404" t="n">
        <v>4777</v>
      </c>
      <c r="K281" s="145" t="n">
        <v>8.13899937199079</v>
      </c>
      <c r="L281" s="153" t="n">
        <v>0</v>
      </c>
      <c r="M281" s="153" t="n">
        <v>0.0607510288065844</v>
      </c>
      <c r="N281" s="605" t="n">
        <v>1957</v>
      </c>
      <c r="O281" s="605" t="n">
        <v>1537</v>
      </c>
      <c r="P281" s="605" t="n">
        <v>0</v>
      </c>
      <c r="Q281" s="605" t="n">
        <v>10</v>
      </c>
      <c r="R281" s="605" t="n">
        <v>13</v>
      </c>
      <c r="S281" s="605" t="n">
        <v>1</v>
      </c>
      <c r="T281" s="403" t="inlineStr">
        <is>
          <t xml:space="preserve">I-MX-3      </t>
        </is>
      </c>
      <c r="U281" s="605" t="n">
        <v>398</v>
      </c>
      <c r="V281" s="404" t="n">
        <v>16345</v>
      </c>
      <c r="W281" s="404" t="n">
        <v>16000</v>
      </c>
      <c r="X281" s="392" t="inlineStr">
        <is>
          <t>3.4:1</t>
        </is>
      </c>
      <c r="Y281" s="404" t="n">
        <v>5000</v>
      </c>
      <c r="Z281" s="403" t="inlineStr">
        <is>
          <t xml:space="preserve">C </t>
        </is>
      </c>
      <c r="AA281" s="605" t="n"/>
      <c r="AD281" s="605" t="inlineStr">
        <is>
          <t xml:space="preserve">USED FOR DEAD STGE  </t>
        </is>
      </c>
      <c r="AK281" s="405" t="inlineStr">
        <is>
          <t xml:space="preserve">2009 LEASE.                                                       </t>
        </is>
      </c>
      <c r="AM281" s="605" t="n"/>
    </row>
    <row r="282" ht="25.5" customHeight="1" s="545">
      <c r="A282" s="402" t="n">
        <v>6</v>
      </c>
      <c r="B282" s="605" t="n">
        <v>276</v>
      </c>
      <c r="C282" s="605" t="inlineStr">
        <is>
          <t>2013Q</t>
        </is>
      </c>
      <c r="D282" s="605" t="inlineStr">
        <is>
          <t xml:space="preserve">06301-13-015-000 </t>
        </is>
      </c>
      <c r="E282" s="403" t="inlineStr">
        <is>
          <t>Actual</t>
        </is>
      </c>
      <c r="F282" s="605" t="inlineStr">
        <is>
          <t>2000 S DAHLIA               ST</t>
        </is>
      </c>
      <c r="G282" s="605" t="n">
        <v>44.1</v>
      </c>
      <c r="H282" s="605" t="n">
        <v>9603</v>
      </c>
      <c r="I282" s="403" t="n">
        <v>0</v>
      </c>
      <c r="J282" s="404" t="n">
        <v>19806</v>
      </c>
      <c r="K282" s="145" t="n">
        <v>10.53589958159</v>
      </c>
      <c r="L282" s="153" t="n">
        <v>0.26</v>
      </c>
      <c r="M282" s="153" t="n">
        <v>0</v>
      </c>
      <c r="N282" s="605" t="n">
        <v>1970</v>
      </c>
      <c r="O282" s="605" t="n">
        <v>1211</v>
      </c>
      <c r="P282" s="605" t="n">
        <v>2984</v>
      </c>
      <c r="Q282" s="605" t="n">
        <v>14</v>
      </c>
      <c r="R282" s="605" t="n">
        <v>1</v>
      </c>
      <c r="S282" s="605" t="n">
        <v>2</v>
      </c>
      <c r="T282" s="403" t="inlineStr">
        <is>
          <t xml:space="preserve">I-MX-3      </t>
        </is>
      </c>
      <c r="U282" s="605" t="n">
        <v>398</v>
      </c>
      <c r="V282" s="404" t="n">
        <v>39818</v>
      </c>
      <c r="W282" s="404" t="n">
        <v>40000</v>
      </c>
      <c r="X282" s="392" t="inlineStr">
        <is>
          <t>2:1</t>
        </is>
      </c>
      <c r="Y282" s="404" t="n">
        <v>20000</v>
      </c>
      <c r="Z282" s="403" t="inlineStr">
        <is>
          <t xml:space="preserve">C </t>
        </is>
      </c>
      <c r="AA282" s="605" t="n"/>
      <c r="AD282" s="605" t="inlineStr">
        <is>
          <t xml:space="preserve">PASTORE'S ITALIAN   </t>
        </is>
      </c>
      <c r="AK282" s="405" t="inlineStr">
        <is>
          <t xml:space="preserve">NO BASIS TO ALLOC. EXPENSES BETWEEN OWNER AND TENANT.             </t>
        </is>
      </c>
      <c r="AM282" s="605" t="n"/>
    </row>
    <row r="283" ht="12.75" customHeight="1" s="545">
      <c r="A283" s="402" t="n">
        <v>6</v>
      </c>
      <c r="B283" s="605" t="n">
        <v>277</v>
      </c>
      <c r="C283" s="605" t="inlineStr">
        <is>
          <t>2013Q</t>
        </is>
      </c>
      <c r="D283" s="605" t="inlineStr">
        <is>
          <t xml:space="preserve">06301-21-006-000 </t>
        </is>
      </c>
      <c r="E283" s="403" t="inlineStr">
        <is>
          <t>Actual</t>
        </is>
      </c>
      <c r="F283" s="605" t="inlineStr">
        <is>
          <t>2150 S GRAPE                ST</t>
        </is>
      </c>
      <c r="G283" s="605" t="n">
        <v>44.1</v>
      </c>
      <c r="H283" s="605" t="n">
        <v>9603</v>
      </c>
      <c r="I283" s="403" t="n">
        <v>0</v>
      </c>
      <c r="J283" s="404" t="n">
        <v>15347</v>
      </c>
      <c r="K283" s="145" t="n">
        <v>10.1648530657458</v>
      </c>
      <c r="L283" s="153" t="n">
        <v>0</v>
      </c>
      <c r="M283" s="153" t="n">
        <v>0</v>
      </c>
      <c r="N283" s="605" t="n">
        <v>1977</v>
      </c>
      <c r="O283" s="605" t="n">
        <v>2532</v>
      </c>
      <c r="P283" s="605" t="n">
        <v>0</v>
      </c>
      <c r="Q283" s="605" t="n">
        <v>18</v>
      </c>
      <c r="R283" s="605" t="n">
        <v>1</v>
      </c>
      <c r="S283" s="605" t="n">
        <v>1</v>
      </c>
      <c r="T283" s="403" t="inlineStr">
        <is>
          <t xml:space="preserve">I-MX-3      </t>
        </is>
      </c>
      <c r="U283" s="605" t="n">
        <v>398</v>
      </c>
      <c r="V283" s="404" t="n">
        <v>29232</v>
      </c>
      <c r="W283" s="404" t="n">
        <v>29000</v>
      </c>
      <c r="X283" s="392" t="inlineStr">
        <is>
          <t>1.9:1</t>
        </is>
      </c>
      <c r="Y283" s="404" t="n">
        <v>15000</v>
      </c>
      <c r="Z283" s="403" t="inlineStr">
        <is>
          <t xml:space="preserve">C </t>
        </is>
      </c>
      <c r="AA283" s="605" t="n"/>
      <c r="AK283" s="405" t="inlineStr">
        <is>
          <t xml:space="preserve">2010 LEASE.                                                       </t>
        </is>
      </c>
      <c r="AM283" s="605" t="n"/>
    </row>
    <row r="284" ht="12.75" customHeight="1" s="545">
      <c r="A284" s="388" t="n">
        <v>6</v>
      </c>
      <c r="B284" s="605" t="n">
        <v>324</v>
      </c>
      <c r="C284" s="384" t="inlineStr">
        <is>
          <t>2011Q</t>
        </is>
      </c>
      <c r="D284" s="605" t="inlineStr">
        <is>
          <t xml:space="preserve">01203-00-043-000 </t>
        </is>
      </c>
      <c r="E284" s="407" t="inlineStr">
        <is>
          <t>Actual</t>
        </is>
      </c>
      <c r="F284" s="605" t="inlineStr">
        <is>
          <t>3939   KEARNEY             ST</t>
        </is>
      </c>
      <c r="G284" s="378" t="n">
        <v>44.1</v>
      </c>
      <c r="H284" s="378" t="n">
        <v>9101</v>
      </c>
      <c r="I284" s="403" t="n">
        <v>0</v>
      </c>
      <c r="J284" s="404" t="n">
        <v>45583</v>
      </c>
      <c r="K284" s="408" t="n">
        <v>4.87313252747735</v>
      </c>
      <c r="L284" s="409" t="n">
        <v>0</v>
      </c>
      <c r="M284" s="409" t="n">
        <v>0.108043865809519</v>
      </c>
      <c r="N284" s="378" t="n">
        <v>1959</v>
      </c>
      <c r="O284" s="393" t="n">
        <v>5531</v>
      </c>
      <c r="Q284" s="605" t="n">
        <v>14</v>
      </c>
      <c r="R284" s="605" t="n">
        <v>1</v>
      </c>
      <c r="S284" s="605" t="n">
        <v>1</v>
      </c>
      <c r="T284" s="403" t="inlineStr">
        <is>
          <t xml:space="preserve">I1   </t>
        </is>
      </c>
      <c r="U284" s="403" t="n">
        <v>398</v>
      </c>
      <c r="V284" s="404" t="n">
        <v>100759</v>
      </c>
      <c r="W284" s="404" t="n">
        <v>101000</v>
      </c>
      <c r="X284" s="410" t="inlineStr">
        <is>
          <t>2.2:1</t>
        </is>
      </c>
      <c r="Y284" s="404" t="n">
        <v>46000</v>
      </c>
      <c r="Z284" s="403" t="inlineStr">
        <is>
          <t xml:space="preserve">C </t>
        </is>
      </c>
      <c r="AC284" s="378" t="n"/>
      <c r="AD284" s="384" t="n"/>
      <c r="AE284" s="145" t="n"/>
      <c r="AF284" s="145" t="n"/>
      <c r="AG284" s="145" t="n"/>
      <c r="AH284" s="145" t="n"/>
      <c r="AI284" s="145" t="n"/>
      <c r="AJ284" s="145" t="n"/>
      <c r="AK284" s="411" t="inlineStr">
        <is>
          <t xml:space="preserve">2008 LEASE.                                                       </t>
        </is>
      </c>
      <c r="AM284" s="605" t="n"/>
    </row>
    <row r="285" ht="12.75" customHeight="1" s="545">
      <c r="A285" s="388" t="n">
        <v>6</v>
      </c>
      <c r="B285" s="605" t="n">
        <v>326</v>
      </c>
      <c r="C285" s="384" t="inlineStr">
        <is>
          <t>2011Q</t>
        </is>
      </c>
      <c r="D285" s="605" t="inlineStr">
        <is>
          <t xml:space="preserve">01203-00-134-000 </t>
        </is>
      </c>
      <c r="E285" s="407" t="inlineStr">
        <is>
          <t>Actual</t>
        </is>
      </c>
      <c r="F285" s="605" t="inlineStr">
        <is>
          <t>6300 E 39TH                AV</t>
        </is>
      </c>
      <c r="G285" s="378" t="n">
        <v>44.1</v>
      </c>
      <c r="H285" s="378" t="n">
        <v>9101</v>
      </c>
      <c r="I285" s="403" t="n">
        <v>0</v>
      </c>
      <c r="J285" s="404" t="n">
        <v>29376</v>
      </c>
      <c r="K285" s="408" t="n">
        <v>4.04207516339869</v>
      </c>
      <c r="L285" s="409" t="n">
        <v>0</v>
      </c>
      <c r="M285" s="409" t="n">
        <v>0</v>
      </c>
      <c r="N285" s="378" t="n">
        <v>1971</v>
      </c>
      <c r="O285" s="393" t="n">
        <v>5421</v>
      </c>
      <c r="Q285" s="605" t="n">
        <v>22</v>
      </c>
      <c r="R285" s="605" t="n">
        <v>10</v>
      </c>
      <c r="S285" s="605" t="n">
        <v>1</v>
      </c>
      <c r="T285" s="403" t="inlineStr">
        <is>
          <t xml:space="preserve">I0   </t>
        </is>
      </c>
      <c r="U285" s="403" t="n">
        <v>398</v>
      </c>
      <c r="V285" s="404" t="n">
        <v>61218</v>
      </c>
      <c r="W285" s="404" t="n">
        <v>61000</v>
      </c>
      <c r="X285" s="410" t="inlineStr">
        <is>
          <t>2.1:1</t>
        </is>
      </c>
      <c r="Y285" s="404" t="n">
        <v>29000</v>
      </c>
      <c r="Z285" s="403" t="inlineStr">
        <is>
          <t xml:space="preserve">C </t>
        </is>
      </c>
      <c r="AC285" s="378" t="n"/>
      <c r="AD285" s="384" t="n"/>
      <c r="AE285" s="145" t="n"/>
      <c r="AF285" s="145" t="n"/>
      <c r="AG285" s="145" t="n"/>
      <c r="AH285" s="145" t="n"/>
      <c r="AI285" s="145" t="n"/>
      <c r="AJ285" s="145" t="n"/>
      <c r="AK285" s="411" t="n"/>
      <c r="AL285" s="145" t="n"/>
      <c r="AM285" s="145" t="n"/>
      <c r="AN285" s="145" t="n"/>
      <c r="AO285" s="145" t="n"/>
      <c r="AP285" s="145" t="n"/>
    </row>
    <row r="286" ht="12.75" customHeight="1" s="545">
      <c r="A286" s="388" t="n">
        <v>6</v>
      </c>
      <c r="B286" s="605" t="n">
        <v>327</v>
      </c>
      <c r="C286" s="384" t="inlineStr">
        <is>
          <t>2011Q</t>
        </is>
      </c>
      <c r="D286" s="605" t="inlineStr">
        <is>
          <t xml:space="preserve">01203-00-160-000 </t>
        </is>
      </c>
      <c r="E286" s="407" t="inlineStr">
        <is>
          <t>Actual</t>
        </is>
      </c>
      <c r="F286" s="605" t="inlineStr">
        <is>
          <t>6211 E 42ND                AV</t>
        </is>
      </c>
      <c r="G286" s="392" t="n">
        <v>44.6</v>
      </c>
      <c r="H286" s="378" t="n">
        <v>9101</v>
      </c>
      <c r="I286" s="403" t="n">
        <v>0</v>
      </c>
      <c r="J286" s="404" t="n">
        <v>27000</v>
      </c>
      <c r="K286" s="408" t="n">
        <v>6.66666666666667</v>
      </c>
      <c r="L286" s="409" t="n">
        <v>0</v>
      </c>
      <c r="M286" s="409" t="n">
        <v>0.07055555555555559</v>
      </c>
      <c r="N286" s="378" t="n">
        <v>1982</v>
      </c>
      <c r="O286" s="393" t="n">
        <v>9601</v>
      </c>
      <c r="Q286" s="605" t="n">
        <v>30</v>
      </c>
      <c r="R286" s="605" t="n">
        <v>14</v>
      </c>
      <c r="S286" s="605" t="n">
        <v>1</v>
      </c>
      <c r="T286" s="403" t="inlineStr">
        <is>
          <t xml:space="preserve">I2   </t>
        </is>
      </c>
      <c r="U286" s="403" t="n">
        <v>398</v>
      </c>
      <c r="V286" s="404" t="n">
        <v>129650</v>
      </c>
      <c r="W286" s="404" t="n">
        <v>130000</v>
      </c>
      <c r="X286" s="410" t="inlineStr">
        <is>
          <t>2.1:1</t>
        </is>
      </c>
      <c r="Y286" s="404" t="n">
        <v>27000</v>
      </c>
      <c r="Z286" s="403" t="inlineStr">
        <is>
          <t xml:space="preserve">C </t>
        </is>
      </c>
      <c r="AC286" s="378" t="n"/>
      <c r="AD286" s="384" t="inlineStr">
        <is>
          <t xml:space="preserve">DIST SNGL TENANT    </t>
        </is>
      </c>
      <c r="AE286" s="145" t="n"/>
      <c r="AF286" s="145" t="n"/>
      <c r="AG286" s="145" t="n"/>
      <c r="AH286" s="145" t="n"/>
      <c r="AI286" s="145" t="n"/>
      <c r="AJ286" s="145" t="n"/>
      <c r="AK286" s="411" t="inlineStr">
        <is>
          <t xml:space="preserve">27000 SF OF 63,000 SF BLDG LEASED.                                </t>
        </is>
      </c>
      <c r="AM286" s="605" t="n"/>
    </row>
    <row r="287" ht="25.5" customHeight="1" s="545">
      <c r="A287" s="388" t="n">
        <v>7</v>
      </c>
      <c r="B287" s="605" t="n">
        <v>278</v>
      </c>
      <c r="C287" s="384" t="inlineStr">
        <is>
          <t>2011Q</t>
        </is>
      </c>
      <c r="D287" s="605" t="inlineStr">
        <is>
          <t xml:space="preserve">00184-01-019-000 </t>
        </is>
      </c>
      <c r="E287" s="407" t="inlineStr">
        <is>
          <t>Actual</t>
        </is>
      </c>
      <c r="F287" s="605" t="inlineStr">
        <is>
          <t>15200 E 53RD                PL</t>
        </is>
      </c>
      <c r="G287" s="392" t="n">
        <v>44.5</v>
      </c>
      <c r="H287" s="378" t="n">
        <v>9102</v>
      </c>
      <c r="I287" s="403" t="n">
        <v>0</v>
      </c>
      <c r="J287" s="404" t="n">
        <v>59778</v>
      </c>
      <c r="K287" s="408" t="n">
        <v>7.37801532336311</v>
      </c>
      <c r="L287" s="409" t="n">
        <v>0</v>
      </c>
      <c r="M287" s="409" t="n">
        <v>0.260548291209701</v>
      </c>
      <c r="N287" s="378" t="n">
        <v>2000</v>
      </c>
      <c r="O287" s="393" t="n">
        <v>2588</v>
      </c>
      <c r="Q287" s="605" t="n">
        <v>9</v>
      </c>
      <c r="R287" s="605" t="n">
        <v>3</v>
      </c>
      <c r="S287" s="605" t="n">
        <v>1</v>
      </c>
      <c r="T287" s="403" t="inlineStr">
        <is>
          <t xml:space="preserve">PUD  </t>
        </is>
      </c>
      <c r="U287" s="403" t="n">
        <v>396</v>
      </c>
      <c r="V287" s="404" t="n">
        <v>223537</v>
      </c>
      <c r="W287" s="404" t="n">
        <v>220000</v>
      </c>
      <c r="X287" s="410" t="inlineStr">
        <is>
          <t>3.7:1</t>
        </is>
      </c>
      <c r="Y287" s="404" t="n">
        <v>60000</v>
      </c>
      <c r="Z287" s="403" t="inlineStr">
        <is>
          <t xml:space="preserve">C </t>
        </is>
      </c>
      <c r="AC287" s="378" t="n"/>
      <c r="AD287" s="384" t="inlineStr">
        <is>
          <t xml:space="preserve">KANGAROO SELF STRGE </t>
        </is>
      </c>
      <c r="AE287" s="145" t="n"/>
      <c r="AF287" s="145" t="n"/>
      <c r="AG287" s="145" t="n"/>
      <c r="AH287" s="145" t="n"/>
      <c r="AI287" s="145" t="n"/>
      <c r="AJ287" s="145" t="n"/>
      <c r="AK287" s="411" t="inlineStr">
        <is>
          <t xml:space="preserve">SALARIES FOR MGR INCLUDED UNDER "OTHER"                           </t>
        </is>
      </c>
      <c r="AM287" s="605" t="n"/>
    </row>
    <row r="288" ht="12.75" customHeight="1" s="545">
      <c r="A288" s="388" t="n">
        <v>7</v>
      </c>
      <c r="B288" s="605" t="n">
        <v>279</v>
      </c>
      <c r="C288" s="384" t="inlineStr">
        <is>
          <t>2011W</t>
        </is>
      </c>
      <c r="D288" s="605" t="inlineStr">
        <is>
          <t>01141-01-015-000</t>
        </is>
      </c>
      <c r="E288" s="403" t="inlineStr">
        <is>
          <t>Actual</t>
        </is>
      </c>
      <c r="F288" s="605" t="inlineStr">
        <is>
          <t>11777 E 55th Ave</t>
        </is>
      </c>
      <c r="G288" s="412" t="inlineStr">
        <is>
          <t>44.3</t>
        </is>
      </c>
      <c r="H288" s="605" t="n">
        <v>9102</v>
      </c>
      <c r="I288" s="403" t="n">
        <v>0</v>
      </c>
      <c r="J288" s="393" t="n">
        <v>172400</v>
      </c>
      <c r="K288" s="154" t="n">
        <v>3.5</v>
      </c>
      <c r="L288" s="153" t="n">
        <v>0</v>
      </c>
      <c r="M288" s="153" t="n">
        <v>0.05</v>
      </c>
      <c r="N288" s="605" t="n">
        <v>1986</v>
      </c>
      <c r="O288" s="393" t="n">
        <v>2232</v>
      </c>
      <c r="Q288" s="605" t="n">
        <v>28</v>
      </c>
      <c r="R288" s="605" t="n">
        <v>14</v>
      </c>
      <c r="S288" s="605" t="n">
        <v>1</v>
      </c>
      <c r="T288" s="403" t="inlineStr">
        <is>
          <t>I2</t>
        </is>
      </c>
      <c r="U288" s="605" t="n">
        <v>398</v>
      </c>
      <c r="V288" s="393" t="n">
        <v>311752</v>
      </c>
      <c r="W288" s="393">
        <f>MROUND(V288,1000)</f>
        <v/>
      </c>
      <c r="X288" s="378" t="inlineStr">
        <is>
          <t>1.8:1</t>
        </is>
      </c>
      <c r="Y288" s="393">
        <f>MROUND(J288,1000)</f>
        <v/>
      </c>
      <c r="Z288" s="403" t="inlineStr">
        <is>
          <t>C</t>
        </is>
      </c>
      <c r="AA288" s="605" t="n">
        <v>3</v>
      </c>
      <c r="AB288" s="605" t="n">
        <v>3</v>
      </c>
      <c r="AC288" s="605" t="n">
        <v>33</v>
      </c>
      <c r="AD288" s="605" t="inlineStr">
        <is>
          <t>S-W G.E. Dist Warehouse</t>
        </is>
      </c>
      <c r="AE288" s="377" t="n"/>
      <c r="AF288" s="413" t="n"/>
      <c r="AG288" s="413" t="n"/>
      <c r="AH288" s="378" t="n"/>
      <c r="AI288" s="384" t="n"/>
      <c r="AJ288" s="145" t="n"/>
      <c r="AK288" s="145" t="n"/>
      <c r="AM288" s="605" t="n"/>
    </row>
    <row r="289" ht="25.5" customHeight="1" s="545">
      <c r="A289" s="388" t="n">
        <v>7</v>
      </c>
      <c r="B289" s="605" t="n">
        <v>280</v>
      </c>
      <c r="C289" s="384" t="inlineStr">
        <is>
          <t>2011Q</t>
        </is>
      </c>
      <c r="D289" s="605" t="inlineStr">
        <is>
          <t xml:space="preserve">01141-02-010-000 </t>
        </is>
      </c>
      <c r="E289" s="407" t="inlineStr">
        <is>
          <t>Actual</t>
        </is>
      </c>
      <c r="F289" s="605" t="inlineStr">
        <is>
          <t>11475 E 53RD                AV</t>
        </is>
      </c>
      <c r="G289" s="392" t="n">
        <v>44.4</v>
      </c>
      <c r="H289" s="378" t="n">
        <v>9102</v>
      </c>
      <c r="I289" s="403" t="n">
        <v>0</v>
      </c>
      <c r="J289" s="404" t="n">
        <v>168112</v>
      </c>
      <c r="K289" s="408" t="n">
        <v>3.22</v>
      </c>
      <c r="L289" s="409" t="n">
        <v>0.35</v>
      </c>
      <c r="M289" s="409" t="n">
        <v>0.053153924687181</v>
      </c>
      <c r="N289" s="378" t="n">
        <v>1985</v>
      </c>
      <c r="O289" s="393" t="n">
        <v>9741</v>
      </c>
      <c r="Q289" s="605" t="n">
        <v>20</v>
      </c>
      <c r="R289" s="605" t="n">
        <v>4</v>
      </c>
      <c r="S289" s="605" t="n">
        <v>5</v>
      </c>
      <c r="T289" s="403" t="inlineStr">
        <is>
          <t xml:space="preserve">I2   </t>
        </is>
      </c>
      <c r="U289" s="403" t="n">
        <v>398</v>
      </c>
      <c r="V289" s="404" t="n">
        <v>339340</v>
      </c>
      <c r="W289" s="404" t="n">
        <v>340000</v>
      </c>
      <c r="X289" s="410" t="inlineStr">
        <is>
          <t>2.0:1</t>
        </is>
      </c>
      <c r="Y289" s="404" t="n">
        <v>170000</v>
      </c>
      <c r="Z289" s="403" t="inlineStr">
        <is>
          <t xml:space="preserve">C </t>
        </is>
      </c>
      <c r="AC289" s="378" t="n"/>
      <c r="AD289" s="384" t="inlineStr">
        <is>
          <t xml:space="preserve">M-W MIDWAY DIST CTR </t>
        </is>
      </c>
      <c r="AE289" s="145" t="n"/>
      <c r="AF289" s="145" t="n"/>
      <c r="AG289" s="145" t="n"/>
      <c r="AH289" s="145" t="n"/>
      <c r="AI289" s="145" t="n"/>
      <c r="AJ289" s="145" t="n"/>
      <c r="AK289" s="411" t="inlineStr">
        <is>
          <t>RECONSTRUCTED R.R. &amp; OP. STMTS.; BASE LEASES 2.82/SF;OWNER NET EXP</t>
        </is>
      </c>
      <c r="AM289" s="605" t="n"/>
    </row>
    <row r="290" ht="12.75" customHeight="1" s="545">
      <c r="A290" s="388" t="n">
        <v>7</v>
      </c>
      <c r="B290" s="605" t="n">
        <v>281</v>
      </c>
      <c r="C290" s="384" t="inlineStr">
        <is>
          <t>2011Q</t>
        </is>
      </c>
      <c r="D290" s="605" t="inlineStr">
        <is>
          <t xml:space="preserve">01142-03-009-000 </t>
        </is>
      </c>
      <c r="E290" s="407" t="inlineStr">
        <is>
          <t>Actual</t>
        </is>
      </c>
      <c r="F290" s="605" t="inlineStr">
        <is>
          <t>5590   JOLIET              ST</t>
        </is>
      </c>
      <c r="G290" s="392" t="n">
        <v>44.2</v>
      </c>
      <c r="H290" s="378" t="n">
        <v>9102</v>
      </c>
      <c r="I290" s="403" t="n">
        <v>0</v>
      </c>
      <c r="J290" s="404" t="n">
        <v>20230</v>
      </c>
      <c r="K290" s="408" t="n">
        <v>4.71502718734553</v>
      </c>
      <c r="L290" s="409" t="n">
        <v>0</v>
      </c>
      <c r="M290" s="409" t="n">
        <v>0.036693400429837</v>
      </c>
      <c r="N290" s="378" t="n">
        <v>1984</v>
      </c>
      <c r="O290" s="393" t="n">
        <v>2195</v>
      </c>
      <c r="Q290" s="605" t="n">
        <v>22</v>
      </c>
      <c r="R290" s="605" t="n">
        <v>4</v>
      </c>
      <c r="S290" s="605" t="n">
        <v>1</v>
      </c>
      <c r="T290" s="403" t="inlineStr">
        <is>
          <t xml:space="preserve">I2   </t>
        </is>
      </c>
      <c r="U290" s="403" t="n">
        <v>398</v>
      </c>
      <c r="V290" s="404" t="n">
        <v>45956</v>
      </c>
      <c r="W290" s="404" t="n">
        <v>46000</v>
      </c>
      <c r="X290" s="410" t="inlineStr">
        <is>
          <t>2.3:1</t>
        </is>
      </c>
      <c r="Y290" s="404" t="n">
        <v>20000</v>
      </c>
      <c r="Z290" s="403" t="inlineStr">
        <is>
          <t xml:space="preserve">C </t>
        </is>
      </c>
      <c r="AC290" s="378" t="n"/>
      <c r="AD290" s="384" t="inlineStr">
        <is>
          <t>S-W   SCS SFTY &amp; CON</t>
        </is>
      </c>
      <c r="AE290" s="145" t="n"/>
      <c r="AF290" s="145" t="n"/>
      <c r="AG290" s="145" t="n"/>
      <c r="AH290" s="145" t="n"/>
      <c r="AI290" s="145" t="n"/>
      <c r="AJ290" s="145" t="n"/>
      <c r="AK290" s="411" t="inlineStr">
        <is>
          <t xml:space="preserve">2008 LEASE.                                                       </t>
        </is>
      </c>
      <c r="AM290" s="605" t="n"/>
    </row>
    <row r="291" ht="12.75" customHeight="1" s="545">
      <c r="A291" s="388" t="n">
        <v>7</v>
      </c>
      <c r="B291" s="605" t="n">
        <v>282</v>
      </c>
      <c r="C291" s="384" t="inlineStr">
        <is>
          <t>2011Q</t>
        </is>
      </c>
      <c r="D291" s="605" t="inlineStr">
        <is>
          <t xml:space="preserve">01142-03-014-000 </t>
        </is>
      </c>
      <c r="E291" s="407" t="inlineStr">
        <is>
          <t>Actual</t>
        </is>
      </c>
      <c r="F291" s="605" t="inlineStr">
        <is>
          <t>10975 E 55TH                AV</t>
        </is>
      </c>
      <c r="G291" s="392" t="n">
        <v>44.2</v>
      </c>
      <c r="H291" s="378" t="n">
        <v>9102</v>
      </c>
      <c r="I291" s="403" t="n">
        <v>0</v>
      </c>
      <c r="J291" s="404" t="n">
        <v>37012</v>
      </c>
      <c r="K291" s="408" t="n">
        <v>5.71457905544148</v>
      </c>
      <c r="L291" s="409" t="n">
        <v>0.4</v>
      </c>
      <c r="M291" s="409" t="n">
        <v>0.00555061747073397</v>
      </c>
      <c r="N291" s="378" t="n">
        <v>1999</v>
      </c>
      <c r="O291" s="393" t="n">
        <v>4485</v>
      </c>
      <c r="Q291" s="605" t="n">
        <v>25</v>
      </c>
      <c r="R291" s="605" t="n">
        <v>14</v>
      </c>
      <c r="S291" s="605" t="n">
        <v>5</v>
      </c>
      <c r="T291" s="403" t="inlineStr">
        <is>
          <t xml:space="preserve">I2   </t>
        </is>
      </c>
      <c r="U291" s="403" t="n">
        <v>398</v>
      </c>
      <c r="V291" s="404" t="n">
        <v>87567</v>
      </c>
      <c r="W291" s="404" t="n">
        <v>88000</v>
      </c>
      <c r="X291" s="410" t="inlineStr">
        <is>
          <t>2.4:1</t>
        </is>
      </c>
      <c r="Y291" s="404" t="n">
        <v>37000</v>
      </c>
      <c r="Z291" s="403" t="inlineStr">
        <is>
          <t xml:space="preserve">C </t>
        </is>
      </c>
      <c r="AC291" s="378" t="n"/>
      <c r="AD291" s="384" t="inlineStr">
        <is>
          <t xml:space="preserve">M-W                 </t>
        </is>
      </c>
      <c r="AE291" s="145" t="n"/>
      <c r="AF291" s="145" t="n"/>
      <c r="AG291" s="145" t="n"/>
      <c r="AH291" s="145" t="n"/>
      <c r="AI291" s="145" t="n"/>
      <c r="AJ291" s="145" t="n"/>
      <c r="AK291" s="411" t="n"/>
      <c r="AM291" s="605" t="n"/>
    </row>
    <row r="292" ht="25.5" customHeight="1" s="545">
      <c r="A292" s="388" t="n">
        <v>7</v>
      </c>
      <c r="B292" s="605" t="n">
        <v>283</v>
      </c>
      <c r="C292" s="384" t="inlineStr">
        <is>
          <t>2011Q</t>
        </is>
      </c>
      <c r="D292" s="605" t="inlineStr">
        <is>
          <t xml:space="preserve">01143-01-010-000 </t>
        </is>
      </c>
      <c r="E292" s="407" t="inlineStr">
        <is>
          <t>Actual</t>
        </is>
      </c>
      <c r="F292" s="605" t="inlineStr">
        <is>
          <t>10705 E 51ST                AV</t>
        </is>
      </c>
      <c r="G292" s="392" t="n">
        <v>44.2</v>
      </c>
      <c r="H292" s="378" t="n">
        <v>9102</v>
      </c>
      <c r="I292" s="403" t="n">
        <v>0</v>
      </c>
      <c r="J292" s="404" t="n">
        <v>24000</v>
      </c>
      <c r="K292" s="408" t="n">
        <v>3.75833333333333</v>
      </c>
      <c r="L292" s="409" t="n">
        <v>0</v>
      </c>
      <c r="M292" s="409" t="n">
        <v>0.331740576496674</v>
      </c>
      <c r="N292" s="378" t="n">
        <v>1973</v>
      </c>
      <c r="O292" s="393" t="n">
        <v>5467</v>
      </c>
      <c r="Q292" s="605" t="n">
        <v>26</v>
      </c>
      <c r="R292" s="605" t="n">
        <v>10</v>
      </c>
      <c r="S292" s="605" t="n">
        <v>3</v>
      </c>
      <c r="T292" s="403" t="inlineStr">
        <is>
          <t xml:space="preserve">I2   </t>
        </is>
      </c>
      <c r="U292" s="403" t="n">
        <v>398</v>
      </c>
      <c r="V292" s="404" t="n">
        <v>104089</v>
      </c>
      <c r="W292" s="404" t="n">
        <v>100000</v>
      </c>
      <c r="X292" s="410" t="inlineStr">
        <is>
          <t>2.2:1</t>
        </is>
      </c>
      <c r="Y292" s="404" t="n">
        <v>24000</v>
      </c>
      <c r="Z292" s="403" t="inlineStr">
        <is>
          <t xml:space="preserve">C </t>
        </is>
      </c>
      <c r="AC292" s="378" t="n"/>
      <c r="AD292" s="384" t="inlineStr">
        <is>
          <t>M-W DIST &amp; WHOLESALE</t>
        </is>
      </c>
      <c r="AE292" s="145" t="n"/>
      <c r="AF292" s="145" t="n"/>
      <c r="AG292" s="145" t="n"/>
      <c r="AH292" s="145" t="n"/>
      <c r="AI292" s="145" t="n"/>
      <c r="AJ292" s="145" t="n"/>
      <c r="AK292" s="411" t="inlineStr">
        <is>
          <t>ONLY DATA FOR 2009 LEASE OF 50% OF BLDG.ENTERED; EXPENSES PRORATED</t>
        </is>
      </c>
      <c r="AM292" s="605" t="n"/>
    </row>
    <row r="293" ht="25.5" customHeight="1" s="545">
      <c r="A293" s="388" t="n">
        <v>7</v>
      </c>
      <c r="B293" s="605" t="n">
        <v>284</v>
      </c>
      <c r="C293" s="384" t="inlineStr">
        <is>
          <t>2011Q</t>
        </is>
      </c>
      <c r="D293" s="605" t="inlineStr">
        <is>
          <t xml:space="preserve">01143-03-023-000 </t>
        </is>
      </c>
      <c r="E293" s="407" t="inlineStr">
        <is>
          <t>Actual</t>
        </is>
      </c>
      <c r="F293" s="605" t="inlineStr">
        <is>
          <t>4860   IRONTON             ST</t>
        </is>
      </c>
      <c r="G293" s="392" t="n">
        <v>44.2</v>
      </c>
      <c r="H293" s="378" t="n">
        <v>9102</v>
      </c>
      <c r="I293" s="403" t="n">
        <v>0</v>
      </c>
      <c r="J293" s="404" t="n">
        <v>71600</v>
      </c>
      <c r="K293" s="408" t="n">
        <v>4.24430167597765</v>
      </c>
      <c r="L293" s="409" t="n">
        <v>0.04</v>
      </c>
      <c r="M293" s="409" t="n">
        <v>0.380013294196623</v>
      </c>
      <c r="N293" s="378" t="n">
        <v>1973</v>
      </c>
      <c r="O293" s="393" t="n">
        <v>16328</v>
      </c>
      <c r="Q293" s="605" t="n">
        <v>18</v>
      </c>
      <c r="R293" s="605" t="n">
        <v>10</v>
      </c>
      <c r="S293" s="605" t="n">
        <v>21</v>
      </c>
      <c r="T293" s="403" t="inlineStr">
        <is>
          <t xml:space="preserve">I2   </t>
        </is>
      </c>
      <c r="U293" s="403" t="n">
        <v>398</v>
      </c>
      <c r="V293" s="404" t="n">
        <v>146020</v>
      </c>
      <c r="W293" s="404" t="n">
        <v>150000</v>
      </c>
      <c r="X293" s="410" t="inlineStr">
        <is>
          <t>2.0:1</t>
        </is>
      </c>
      <c r="Y293" s="404" t="n">
        <v>72000</v>
      </c>
      <c r="Z293" s="403" t="inlineStr">
        <is>
          <t xml:space="preserve">C </t>
        </is>
      </c>
      <c r="AC293" s="378" t="n"/>
      <c r="AD293" s="384" t="inlineStr">
        <is>
          <t xml:space="preserve">OFFICE / WAREHOUSE  </t>
        </is>
      </c>
      <c r="AE293" s="145" t="n"/>
      <c r="AF293" s="145" t="n"/>
      <c r="AG293" s="145" t="n"/>
      <c r="AH293" s="145" t="n"/>
      <c r="AI293" s="145" t="n"/>
      <c r="AJ293" s="145" t="n"/>
      <c r="AK293" s="411" t="inlineStr">
        <is>
          <t xml:space="preserve">3 BASE PERIOD LEASES MEDIAN $4.13/SF; OWNER BEARS TOO MUCH EXP.   </t>
        </is>
      </c>
      <c r="AM293" s="605" t="n"/>
    </row>
    <row r="294" ht="25.5" customHeight="1" s="545">
      <c r="A294" s="388" t="n">
        <v>7</v>
      </c>
      <c r="B294" s="605" t="n">
        <v>285</v>
      </c>
      <c r="C294" s="384" t="inlineStr">
        <is>
          <t>2011Q</t>
        </is>
      </c>
      <c r="D294" s="605" t="inlineStr">
        <is>
          <t xml:space="preserve">01143-03-024-000 </t>
        </is>
      </c>
      <c r="E294" s="407" t="inlineStr">
        <is>
          <t>Actual</t>
        </is>
      </c>
      <c r="F294" s="605" t="inlineStr">
        <is>
          <t>4890   IRONTON             ST</t>
        </is>
      </c>
      <c r="G294" s="392" t="n">
        <v>44.2</v>
      </c>
      <c r="H294" s="378" t="n">
        <v>9102</v>
      </c>
      <c r="I294" s="403" t="n">
        <v>0</v>
      </c>
      <c r="J294" s="404" t="n">
        <v>57300</v>
      </c>
      <c r="K294" s="408" t="n">
        <v>4.83949389179756</v>
      </c>
      <c r="L294" s="409" t="n">
        <v>0.08</v>
      </c>
      <c r="M294" s="409" t="n">
        <v>0.458422736140612</v>
      </c>
      <c r="N294" s="378" t="n">
        <v>1973</v>
      </c>
      <c r="O294" s="393" t="n">
        <v>27965</v>
      </c>
      <c r="Q294" s="605" t="n">
        <v>14</v>
      </c>
      <c r="R294" s="605" t="n">
        <v>10</v>
      </c>
      <c r="S294" s="605" t="n">
        <v>7</v>
      </c>
      <c r="T294" s="403" t="inlineStr">
        <is>
          <t xml:space="preserve">I2   </t>
        </is>
      </c>
      <c r="U294" s="403" t="n">
        <v>397</v>
      </c>
      <c r="V294" s="404" t="n">
        <v>169147</v>
      </c>
      <c r="W294" s="404" t="n">
        <v>170000</v>
      </c>
      <c r="X294" s="410" t="inlineStr">
        <is>
          <t>3.0:1</t>
        </is>
      </c>
      <c r="Y294" s="404" t="n">
        <v>57000</v>
      </c>
      <c r="Z294" s="403" t="inlineStr">
        <is>
          <t xml:space="preserve">C </t>
        </is>
      </c>
      <c r="AC294" s="378" t="n"/>
      <c r="AD294" s="384" t="inlineStr">
        <is>
          <t xml:space="preserve">OFC/WHSE MULIT-TEN  </t>
        </is>
      </c>
      <c r="AE294" s="145" t="n"/>
      <c r="AF294" s="145" t="n"/>
      <c r="AG294" s="145" t="n"/>
      <c r="AH294" s="145" t="n"/>
      <c r="AI294" s="145" t="n"/>
      <c r="AJ294" s="145" t="n"/>
      <c r="AK294" s="411" t="inlineStr">
        <is>
          <t xml:space="preserve">4 BASE PERIOD LEASES MEDIAN $4.66/SF; NOT ENOUGH EXP RECOVERY.    </t>
        </is>
      </c>
      <c r="AM294" s="605" t="n"/>
    </row>
    <row r="295" ht="12.75" customHeight="1" s="545">
      <c r="A295" s="388" t="n">
        <v>7</v>
      </c>
      <c r="B295" s="605" t="n">
        <v>286</v>
      </c>
      <c r="C295" s="384" t="inlineStr">
        <is>
          <t>2011Q</t>
        </is>
      </c>
      <c r="D295" s="605" t="inlineStr">
        <is>
          <t xml:space="preserve">01143-04-009-000 </t>
        </is>
      </c>
      <c r="E295" s="407" t="inlineStr">
        <is>
          <t>Actual</t>
        </is>
      </c>
      <c r="F295" s="605" t="inlineStr">
        <is>
          <t>4949   IRONTON             ST</t>
        </is>
      </c>
      <c r="G295" s="392" t="n">
        <v>44.2</v>
      </c>
      <c r="H295" s="378" t="n">
        <v>9102</v>
      </c>
      <c r="I295" s="403" t="n">
        <v>0</v>
      </c>
      <c r="J295" s="404" t="n">
        <v>9750</v>
      </c>
      <c r="K295" s="408" t="n">
        <v>10.4492307692308</v>
      </c>
      <c r="L295" s="409" t="n">
        <v>0</v>
      </c>
      <c r="M295" s="409" t="n">
        <v>0.00326855123674912</v>
      </c>
      <c r="N295" s="378" t="n">
        <v>1969</v>
      </c>
      <c r="O295" s="393" t="n">
        <v>4332</v>
      </c>
      <c r="Q295" s="605" t="n">
        <v>14</v>
      </c>
      <c r="R295" s="605" t="n">
        <v>3</v>
      </c>
      <c r="S295" s="605" t="n">
        <v>1</v>
      </c>
      <c r="T295" s="403" t="inlineStr">
        <is>
          <t xml:space="preserve">I2   </t>
        </is>
      </c>
      <c r="U295" s="403" t="n">
        <v>398</v>
      </c>
      <c r="V295" s="404" t="n">
        <v>27610</v>
      </c>
      <c r="W295" s="404" t="n">
        <v>28000</v>
      </c>
      <c r="X295" s="410" t="inlineStr">
        <is>
          <t>2.8:1</t>
        </is>
      </c>
      <c r="Y295" s="404" t="n">
        <v>10000</v>
      </c>
      <c r="Z295" s="403" t="inlineStr">
        <is>
          <t xml:space="preserve">C </t>
        </is>
      </c>
      <c r="AC295" s="378" t="n"/>
      <c r="AD295" s="384" t="n"/>
      <c r="AE295" s="145" t="n"/>
      <c r="AF295" s="145" t="n"/>
      <c r="AG295" s="145" t="n"/>
      <c r="AH295" s="145" t="n"/>
      <c r="AI295" s="145" t="n"/>
      <c r="AJ295" s="145" t="n"/>
      <c r="AK295" s="411" t="n"/>
      <c r="AM295" s="605" t="n"/>
    </row>
    <row r="296" ht="12.75" customHeight="1" s="545">
      <c r="A296" s="388" t="n">
        <v>7</v>
      </c>
      <c r="B296" s="605" t="n">
        <v>287</v>
      </c>
      <c r="C296" s="384" t="inlineStr">
        <is>
          <t>2011Q</t>
        </is>
      </c>
      <c r="D296" s="605" t="inlineStr">
        <is>
          <t xml:space="preserve">01143-05-018-000 </t>
        </is>
      </c>
      <c r="E296" s="407" t="inlineStr">
        <is>
          <t>Actual</t>
        </is>
      </c>
      <c r="F296" s="605" t="inlineStr">
        <is>
          <t>11055 E 51ST                AV</t>
        </is>
      </c>
      <c r="G296" s="378" t="n">
        <v>44.1</v>
      </c>
      <c r="H296" s="378" t="n">
        <v>9102</v>
      </c>
      <c r="I296" s="403" t="n">
        <v>0</v>
      </c>
      <c r="J296" s="404" t="n">
        <v>53947</v>
      </c>
      <c r="K296" s="408" t="n">
        <v>5.0716443917178</v>
      </c>
      <c r="L296" s="409" t="n">
        <v>0</v>
      </c>
      <c r="M296" s="409" t="n">
        <v>0</v>
      </c>
      <c r="N296" s="378" t="n">
        <v>1999</v>
      </c>
      <c r="O296" s="393" t="n">
        <v>2507</v>
      </c>
      <c r="Q296" s="605" t="n">
        <v>20</v>
      </c>
      <c r="R296" s="605" t="n">
        <v>14</v>
      </c>
      <c r="S296" s="605" t="n">
        <v>1</v>
      </c>
      <c r="T296" s="403" t="inlineStr">
        <is>
          <t xml:space="preserve">I2   </t>
        </is>
      </c>
      <c r="U296" s="403" t="n">
        <v>398</v>
      </c>
      <c r="V296" s="404" t="n">
        <v>74836</v>
      </c>
      <c r="W296" s="404" t="n">
        <v>75000</v>
      </c>
      <c r="X296" s="410" t="inlineStr">
        <is>
          <t>1.4:1</t>
        </is>
      </c>
      <c r="Y296" s="404" t="n">
        <v>54000</v>
      </c>
      <c r="Z296" s="403" t="inlineStr">
        <is>
          <t xml:space="preserve">C </t>
        </is>
      </c>
      <c r="AC296" s="378" t="n"/>
      <c r="AD296" s="384" t="inlineStr">
        <is>
          <t xml:space="preserve">DISTRIBUTION WHSE   </t>
        </is>
      </c>
      <c r="AE296" s="145" t="n"/>
      <c r="AF296" s="145" t="n"/>
      <c r="AG296" s="145" t="n"/>
      <c r="AH296" s="145" t="n"/>
      <c r="AI296" s="145" t="n"/>
      <c r="AJ296" s="145" t="n"/>
      <c r="AK296" s="411" t="n"/>
      <c r="AM296" s="605" t="n"/>
    </row>
    <row r="297" ht="12.75" customHeight="1" s="545">
      <c r="A297" s="388" t="n">
        <v>7</v>
      </c>
      <c r="B297" s="605" t="n">
        <v>288</v>
      </c>
      <c r="C297" s="384" t="inlineStr">
        <is>
          <t>2011Q</t>
        </is>
      </c>
      <c r="D297" s="605" t="inlineStr">
        <is>
          <t xml:space="preserve">01144-01-017-000 </t>
        </is>
      </c>
      <c r="E297" s="407" t="inlineStr">
        <is>
          <t>Actual</t>
        </is>
      </c>
      <c r="F297" s="605" t="inlineStr">
        <is>
          <t>11185 E 51ST                AV</t>
        </is>
      </c>
      <c r="G297" s="392" t="n">
        <v>44.2</v>
      </c>
      <c r="H297" s="378" t="n">
        <v>9102</v>
      </c>
      <c r="I297" s="403" t="n">
        <v>0</v>
      </c>
      <c r="J297" s="404" t="n">
        <v>3321</v>
      </c>
      <c r="K297" s="408" t="n">
        <v>4.51671183378501</v>
      </c>
      <c r="L297" s="409" t="n">
        <v>0</v>
      </c>
      <c r="M297" s="409" t="n">
        <v>0</v>
      </c>
      <c r="N297" s="378" t="n">
        <v>1973</v>
      </c>
      <c r="O297" s="393" t="n">
        <v>820</v>
      </c>
      <c r="Q297" s="605" t="n">
        <v>16</v>
      </c>
      <c r="R297" s="605" t="n">
        <v>7</v>
      </c>
      <c r="S297" s="605" t="n">
        <v>1</v>
      </c>
      <c r="T297" s="403" t="inlineStr">
        <is>
          <t xml:space="preserve">I2   </t>
        </is>
      </c>
      <c r="U297" s="403" t="n">
        <v>398</v>
      </c>
      <c r="V297" s="404" t="n">
        <v>18097</v>
      </c>
      <c r="W297" s="404" t="n">
        <v>18000</v>
      </c>
      <c r="X297" s="410" t="inlineStr">
        <is>
          <t>5.4:1</t>
        </is>
      </c>
      <c r="Y297" s="404" t="n">
        <v>3000</v>
      </c>
      <c r="Z297" s="403" t="inlineStr">
        <is>
          <t xml:space="preserve">C </t>
        </is>
      </c>
      <c r="AC297" s="378" t="n"/>
      <c r="AD297" s="384" t="inlineStr">
        <is>
          <t>S-D-CONSOL ENGINEERG</t>
        </is>
      </c>
      <c r="AE297" s="145" t="n"/>
      <c r="AF297" s="145" t="n"/>
      <c r="AG297" s="145" t="n"/>
      <c r="AH297" s="145" t="n"/>
      <c r="AI297" s="145" t="n"/>
      <c r="AJ297" s="145" t="n"/>
      <c r="AK297" s="411" t="n"/>
      <c r="AM297" s="605" t="n"/>
    </row>
    <row r="298" ht="25.5" customHeight="1" s="545">
      <c r="A298" s="388" t="n">
        <v>7</v>
      </c>
      <c r="B298" s="605" t="n">
        <v>289</v>
      </c>
      <c r="C298" s="384" t="inlineStr">
        <is>
          <t>2011Q</t>
        </is>
      </c>
      <c r="D298" s="605" t="inlineStr">
        <is>
          <t xml:space="preserve">01144-02-008-000 </t>
        </is>
      </c>
      <c r="E298" s="407" t="inlineStr">
        <is>
          <t>Actual</t>
        </is>
      </c>
      <c r="F298" s="605" t="inlineStr">
        <is>
          <t>5055   LIMA                ST</t>
        </is>
      </c>
      <c r="G298" s="392" t="n">
        <v>44.2</v>
      </c>
      <c r="H298" s="378" t="n">
        <v>9102</v>
      </c>
      <c r="I298" s="403" t="n">
        <v>0</v>
      </c>
      <c r="J298" s="404" t="n">
        <v>39832</v>
      </c>
      <c r="K298" s="408" t="n">
        <v>3.31391845752159</v>
      </c>
      <c r="L298" s="409" t="n">
        <v>0</v>
      </c>
      <c r="M298" s="409" t="n">
        <v>0.124992424242424</v>
      </c>
      <c r="N298" s="378" t="n">
        <v>1978</v>
      </c>
      <c r="O298" s="393" t="n">
        <v>333</v>
      </c>
      <c r="P298" s="393" t="n">
        <v>3874</v>
      </c>
      <c r="Q298" s="605" t="n">
        <v>26</v>
      </c>
      <c r="R298" s="605" t="n">
        <v>10</v>
      </c>
      <c r="S298" s="605" t="n">
        <v>1</v>
      </c>
      <c r="T298" s="403" t="inlineStr">
        <is>
          <t xml:space="preserve">I2   </t>
        </is>
      </c>
      <c r="U298" s="403" t="n">
        <v>398</v>
      </c>
      <c r="V298" s="404" t="n">
        <v>77488</v>
      </c>
      <c r="W298" s="404" t="n">
        <v>77000</v>
      </c>
      <c r="X298" s="410" t="inlineStr">
        <is>
          <t>1.9:1</t>
        </is>
      </c>
      <c r="Y298" s="404" t="n">
        <v>40000</v>
      </c>
      <c r="Z298" s="403" t="inlineStr">
        <is>
          <t xml:space="preserve">C </t>
        </is>
      </c>
      <c r="AC298" s="378" t="n"/>
      <c r="AD298" s="384" t="inlineStr">
        <is>
          <t xml:space="preserve">S-W                 </t>
        </is>
      </c>
      <c r="AE298" s="145" t="n"/>
      <c r="AF298" s="145" t="n"/>
      <c r="AG298" s="145" t="n"/>
      <c r="AH298" s="145" t="n"/>
      <c r="AI298" s="145" t="n"/>
      <c r="AJ298" s="145" t="n"/>
      <c r="AK298" s="411" t="inlineStr">
        <is>
          <t xml:space="preserve">EXPENSES HIGH FOR SINGLE-TEN WHSE.; S/B MORE PAID BY TENANT.      </t>
        </is>
      </c>
      <c r="AM298" s="605" t="n"/>
    </row>
    <row r="299" ht="12.75" customHeight="1" s="545">
      <c r="A299" s="388" t="n">
        <v>7</v>
      </c>
      <c r="B299" s="605" t="n">
        <v>290</v>
      </c>
      <c r="C299" s="384" t="inlineStr">
        <is>
          <t>2011Q</t>
        </is>
      </c>
      <c r="D299" s="605" t="inlineStr">
        <is>
          <t xml:space="preserve">01144-05-007-000 </t>
        </is>
      </c>
      <c r="E299" s="407" t="inlineStr">
        <is>
          <t>Actual</t>
        </is>
      </c>
      <c r="F299" s="605" t="inlineStr">
        <is>
          <t>5001   OAKLAND             ST</t>
        </is>
      </c>
      <c r="G299" s="392" t="n">
        <v>44.2</v>
      </c>
      <c r="H299" s="378" t="n">
        <v>9102</v>
      </c>
      <c r="I299" s="403" t="n">
        <v>0</v>
      </c>
      <c r="J299" s="404" t="n">
        <v>9800</v>
      </c>
      <c r="K299" s="408" t="n">
        <v>8.19377551020408</v>
      </c>
      <c r="L299" s="409" t="n">
        <v>0</v>
      </c>
      <c r="M299" s="409" t="n">
        <v>0.00622672760557417</v>
      </c>
      <c r="N299" s="378" t="n">
        <v>2004</v>
      </c>
      <c r="O299" s="393" t="n">
        <v>2520</v>
      </c>
      <c r="Q299" s="605" t="n">
        <v>22</v>
      </c>
      <c r="R299" s="605" t="n">
        <v>8</v>
      </c>
      <c r="S299" s="605" t="n">
        <v>1</v>
      </c>
      <c r="T299" s="403" t="inlineStr">
        <is>
          <t xml:space="preserve">I1   </t>
        </is>
      </c>
      <c r="U299" s="403" t="n">
        <v>398</v>
      </c>
      <c r="V299" s="404" t="n">
        <v>42336</v>
      </c>
      <c r="W299" s="404" t="n">
        <v>42000</v>
      </c>
      <c r="X299" s="410" t="inlineStr">
        <is>
          <t>4.3:1</t>
        </is>
      </c>
      <c r="Y299" s="404" t="n">
        <v>10000</v>
      </c>
      <c r="Z299" s="403" t="inlineStr">
        <is>
          <t xml:space="preserve">C </t>
        </is>
      </c>
      <c r="AC299" s="378" t="n"/>
      <c r="AD299" s="384" t="inlineStr">
        <is>
          <t>BAKER AUCTION &amp; ESTA</t>
        </is>
      </c>
      <c r="AE299" s="145" t="n"/>
      <c r="AF299" s="145" t="n"/>
      <c r="AG299" s="145" t="n"/>
      <c r="AH299" s="145" t="n"/>
      <c r="AI299" s="145" t="n"/>
      <c r="AJ299" s="145" t="n"/>
      <c r="AK299" s="411" t="n"/>
      <c r="AM299" s="605" t="n"/>
    </row>
    <row r="300" ht="12.75" customHeight="1" s="545">
      <c r="A300" s="388" t="n">
        <v>7</v>
      </c>
      <c r="B300" s="605" t="n">
        <v>291</v>
      </c>
      <c r="C300" s="384" t="inlineStr">
        <is>
          <t>2011Q</t>
        </is>
      </c>
      <c r="D300" s="605" t="inlineStr">
        <is>
          <t xml:space="preserve">01144-06-010-000 </t>
        </is>
      </c>
      <c r="E300" s="407" t="inlineStr">
        <is>
          <t>Actual</t>
        </is>
      </c>
      <c r="F300" s="605" t="inlineStr">
        <is>
          <t>4990   OAKLAND             ST</t>
        </is>
      </c>
      <c r="G300" s="378" t="n">
        <v>44.1</v>
      </c>
      <c r="H300" s="378" t="n">
        <v>9102</v>
      </c>
      <c r="I300" s="403" t="n">
        <v>0</v>
      </c>
      <c r="J300" s="404" t="n">
        <v>27238</v>
      </c>
      <c r="K300" s="408" t="n">
        <v>5.11329759894265</v>
      </c>
      <c r="L300" s="409" t="n">
        <v>0.12</v>
      </c>
      <c r="M300" s="409" t="n">
        <v>0.0574399035009621</v>
      </c>
      <c r="N300" s="378" t="n">
        <v>1978</v>
      </c>
      <c r="O300" s="393" t="n">
        <v>4925</v>
      </c>
      <c r="Q300" s="605" t="n">
        <v>21</v>
      </c>
      <c r="R300" s="605" t="n">
        <v>10</v>
      </c>
      <c r="S300" s="605" t="n">
        <v>1</v>
      </c>
      <c r="T300" s="403" t="inlineStr">
        <is>
          <t xml:space="preserve">I1   </t>
        </is>
      </c>
      <c r="U300" s="403" t="n">
        <v>398</v>
      </c>
      <c r="V300" s="404" t="n">
        <v>51811</v>
      </c>
      <c r="W300" s="404" t="n">
        <v>52000</v>
      </c>
      <c r="X300" s="410" t="inlineStr">
        <is>
          <t>1.9:1</t>
        </is>
      </c>
      <c r="Y300" s="404" t="n">
        <v>27000</v>
      </c>
      <c r="Z300" s="403" t="inlineStr">
        <is>
          <t xml:space="preserve">C </t>
        </is>
      </c>
      <c r="AC300" s="378" t="n"/>
      <c r="AD300" s="384" t="inlineStr">
        <is>
          <t xml:space="preserve">ETD DIST            </t>
        </is>
      </c>
      <c r="AE300" s="145" t="n"/>
      <c r="AF300" s="145" t="n"/>
      <c r="AG300" s="145" t="n"/>
      <c r="AH300" s="145" t="n"/>
      <c r="AI300" s="145" t="n"/>
      <c r="AJ300" s="145" t="n"/>
      <c r="AK300" s="411" t="n"/>
      <c r="AL300" s="145" t="n"/>
      <c r="AM300" s="145" t="n"/>
      <c r="AN300" s="145" t="n"/>
      <c r="AO300" s="145" t="n"/>
      <c r="AP300" s="145" t="n"/>
    </row>
    <row r="301" ht="12.75" customHeight="1" s="545">
      <c r="A301" s="388" t="n">
        <v>7</v>
      </c>
      <c r="B301" s="605" t="n">
        <v>292</v>
      </c>
      <c r="C301" s="384" t="inlineStr">
        <is>
          <t>2011Q</t>
        </is>
      </c>
      <c r="D301" s="605" t="inlineStr">
        <is>
          <t xml:space="preserve">01144-06-013-000 </t>
        </is>
      </c>
      <c r="E301" s="407" t="inlineStr">
        <is>
          <t>Actual</t>
        </is>
      </c>
      <c r="F301" s="605" t="inlineStr">
        <is>
          <t>4995   PARIS               ST</t>
        </is>
      </c>
      <c r="G301" s="392" t="n">
        <v>47.2</v>
      </c>
      <c r="H301" s="378" t="n">
        <v>9102</v>
      </c>
      <c r="I301" s="403" t="n">
        <v>0</v>
      </c>
      <c r="J301" s="404" t="n">
        <v>10143</v>
      </c>
      <c r="K301" s="408" t="n">
        <v>9.331558710440699</v>
      </c>
      <c r="L301" s="409" t="n">
        <v>0</v>
      </c>
      <c r="M301" s="409" t="n">
        <v>0.00695192815636556</v>
      </c>
      <c r="N301" s="378" t="n">
        <v>1979</v>
      </c>
      <c r="O301" s="393" t="n">
        <v>1451</v>
      </c>
      <c r="Q301" s="605" t="n">
        <v>20</v>
      </c>
      <c r="R301" s="605" t="n">
        <v>10</v>
      </c>
      <c r="S301" s="605" t="n">
        <v>1</v>
      </c>
      <c r="T301" s="403" t="inlineStr">
        <is>
          <t xml:space="preserve">I1   </t>
        </is>
      </c>
      <c r="U301" s="403" t="n">
        <v>401</v>
      </c>
      <c r="V301" s="404" t="n">
        <v>30504</v>
      </c>
      <c r="W301" s="404" t="n">
        <v>31000</v>
      </c>
      <c r="X301" s="410" t="inlineStr">
        <is>
          <t>3.0:1</t>
        </is>
      </c>
      <c r="Y301" s="404" t="n">
        <v>10000</v>
      </c>
      <c r="Z301" s="403" t="inlineStr">
        <is>
          <t xml:space="preserve">C </t>
        </is>
      </c>
      <c r="AC301" s="378" t="n"/>
      <c r="AD301" s="384" t="n"/>
      <c r="AE301" s="145" t="n"/>
      <c r="AF301" s="145" t="n"/>
      <c r="AG301" s="145" t="n"/>
      <c r="AH301" s="145" t="n"/>
      <c r="AI301" s="145" t="n"/>
      <c r="AJ301" s="145" t="n"/>
      <c r="AK301" s="411" t="n"/>
      <c r="AM301" s="605" t="n"/>
    </row>
    <row r="302" ht="12.75" customHeight="1" s="545">
      <c r="A302" s="388" t="n">
        <v>7</v>
      </c>
      <c r="B302" s="605" t="n">
        <v>293</v>
      </c>
      <c r="C302" s="384" t="inlineStr">
        <is>
          <t>2011Q</t>
        </is>
      </c>
      <c r="D302" s="605" t="inlineStr">
        <is>
          <t xml:space="preserve">01144-06-016-000 </t>
        </is>
      </c>
      <c r="E302" s="407" t="inlineStr">
        <is>
          <t>Actual</t>
        </is>
      </c>
      <c r="F302" s="605" t="inlineStr">
        <is>
          <t>5015   PARIS               ST</t>
        </is>
      </c>
      <c r="G302" s="392" t="n">
        <v>44.2</v>
      </c>
      <c r="H302" s="378" t="n">
        <v>9102</v>
      </c>
      <c r="I302" s="403" t="n">
        <v>0</v>
      </c>
      <c r="J302" s="404" t="n">
        <v>16328</v>
      </c>
      <c r="K302" s="408" t="n">
        <v>4.99142577168055</v>
      </c>
      <c r="L302" s="409" t="n">
        <v>0</v>
      </c>
      <c r="M302" s="409" t="n">
        <v>0.143558282208589</v>
      </c>
      <c r="N302" s="378" t="n">
        <v>1979</v>
      </c>
      <c r="O302" s="393" t="n">
        <v>2250</v>
      </c>
      <c r="Q302" s="605" t="n">
        <v>23</v>
      </c>
      <c r="R302" s="605" t="n">
        <v>10</v>
      </c>
      <c r="S302" s="605" t="n">
        <v>1</v>
      </c>
      <c r="T302" s="403" t="inlineStr">
        <is>
          <t xml:space="preserve">I1   </t>
        </is>
      </c>
      <c r="U302" s="403" t="n">
        <v>398</v>
      </c>
      <c r="V302" s="404" t="n">
        <v>40424</v>
      </c>
      <c r="W302" s="404" t="n">
        <v>40000</v>
      </c>
      <c r="X302" s="410" t="inlineStr">
        <is>
          <t>2.5:1</t>
        </is>
      </c>
      <c r="Y302" s="404" t="n">
        <v>16000</v>
      </c>
      <c r="Z302" s="403" t="inlineStr">
        <is>
          <t xml:space="preserve">C </t>
        </is>
      </c>
      <c r="AC302" s="378" t="n"/>
      <c r="AD302" s="384" t="n"/>
      <c r="AE302" s="145" t="n"/>
      <c r="AF302" s="145" t="n"/>
      <c r="AG302" s="145" t="n"/>
      <c r="AH302" s="145" t="n"/>
      <c r="AI302" s="145" t="n"/>
      <c r="AJ302" s="145" t="n"/>
      <c r="AK302" s="411" t="n"/>
      <c r="AM302" s="605" t="n"/>
    </row>
    <row r="303" ht="12.75" customHeight="1" s="545">
      <c r="A303" s="388" t="n">
        <v>7</v>
      </c>
      <c r="B303" s="605" t="n">
        <v>294</v>
      </c>
      <c r="C303" s="403" t="inlineStr">
        <is>
          <t>2011W</t>
        </is>
      </c>
      <c r="D303" s="605" t="inlineStr">
        <is>
          <t>01144-07-012-000</t>
        </is>
      </c>
      <c r="E303" s="403" t="inlineStr">
        <is>
          <t>Actual</t>
        </is>
      </c>
      <c r="F303" s="605" t="inlineStr">
        <is>
          <t>4800 Nome Street</t>
        </is>
      </c>
      <c r="G303" s="412" t="inlineStr">
        <is>
          <t>44.2</t>
        </is>
      </c>
      <c r="H303" s="605" t="n">
        <v>9102</v>
      </c>
      <c r="I303" s="403" t="n">
        <v>0</v>
      </c>
      <c r="J303" s="393" t="n">
        <v>38194</v>
      </c>
      <c r="K303" s="154" t="n">
        <v>2.94</v>
      </c>
      <c r="L303" s="153" t="n">
        <v>0</v>
      </c>
      <c r="M303" s="153" t="n">
        <v>0</v>
      </c>
      <c r="N303" s="605" t="n">
        <v>1974</v>
      </c>
      <c r="O303" s="403" t="n">
        <v>2460</v>
      </c>
      <c r="P303" s="605" t="n">
        <v>2772</v>
      </c>
      <c r="Q303" s="605" t="n">
        <v>24</v>
      </c>
      <c r="R303" s="605" t="n">
        <v>10</v>
      </c>
      <c r="S303" s="605" t="n">
        <v>1</v>
      </c>
      <c r="T303" s="605" t="inlineStr">
        <is>
          <t xml:space="preserve">I1   </t>
        </is>
      </c>
      <c r="U303" s="605" t="n">
        <v>398</v>
      </c>
      <c r="V303" s="393" t="n">
        <v>67926</v>
      </c>
      <c r="W303" s="393" t="n">
        <v>68000</v>
      </c>
      <c r="X303" s="378" t="inlineStr">
        <is>
          <t>1.8:1</t>
        </is>
      </c>
      <c r="Y303" s="393" t="n">
        <v>38000</v>
      </c>
      <c r="Z303" s="605" t="inlineStr">
        <is>
          <t>C</t>
        </is>
      </c>
      <c r="AA303" s="605" t="n">
        <v>3</v>
      </c>
      <c r="AB303" s="605" t="n">
        <v>3</v>
      </c>
      <c r="AC303" s="605" t="n">
        <v>33</v>
      </c>
      <c r="AE303" s="377" t="n"/>
      <c r="AF303" s="413" t="n"/>
      <c r="AG303" s="413" t="n"/>
      <c r="AH303" s="377" t="n"/>
      <c r="AI303" s="413" t="n"/>
      <c r="AJ303" s="377" t="n"/>
      <c r="AK303" s="145" t="n"/>
      <c r="AM303" s="605" t="n"/>
    </row>
    <row r="304" ht="12.75" customHeight="1" s="545">
      <c r="A304" s="388" t="n">
        <v>7</v>
      </c>
      <c r="B304" s="605" t="n">
        <v>295</v>
      </c>
      <c r="C304" s="384" t="inlineStr">
        <is>
          <t>2011Q</t>
        </is>
      </c>
      <c r="D304" s="605" t="inlineStr">
        <is>
          <t xml:space="preserve">01153-03-007-000 </t>
        </is>
      </c>
      <c r="E304" s="407" t="inlineStr">
        <is>
          <t>Actual</t>
        </is>
      </c>
      <c r="F304" s="605" t="inlineStr">
        <is>
          <t>9355   NORTHFIELD          BV</t>
        </is>
      </c>
      <c r="G304" s="392" t="inlineStr">
        <is>
          <t>44.M</t>
        </is>
      </c>
      <c r="H304" s="378" t="n">
        <v>9103</v>
      </c>
      <c r="I304" s="403" t="n">
        <v>0</v>
      </c>
      <c r="J304" s="404" t="n">
        <v>22183</v>
      </c>
      <c r="K304" s="408" t="n">
        <v>10.2781409187215</v>
      </c>
      <c r="L304" s="409" t="n">
        <v>0</v>
      </c>
      <c r="M304" s="409" t="n">
        <v>0</v>
      </c>
      <c r="N304" s="378" t="n">
        <v>2008</v>
      </c>
      <c r="O304" s="393" t="n">
        <v>6965</v>
      </c>
      <c r="P304" s="393" t="n">
        <v>6150</v>
      </c>
      <c r="Q304" s="605" t="n">
        <v>32</v>
      </c>
      <c r="R304" s="605" t="n">
        <v>9</v>
      </c>
      <c r="S304" s="605" t="n">
        <v>1</v>
      </c>
      <c r="T304" s="403" t="inlineStr">
        <is>
          <t>CMU30</t>
        </is>
      </c>
      <c r="U304" s="403" t="n">
        <v>397</v>
      </c>
      <c r="V304" s="404" t="n">
        <v>45344</v>
      </c>
      <c r="W304" s="404" t="n">
        <v>45000</v>
      </c>
      <c r="X304" s="410" t="inlineStr">
        <is>
          <t>2.0:1</t>
        </is>
      </c>
      <c r="Y304" s="404" t="n">
        <v>22000</v>
      </c>
      <c r="Z304" s="403" t="inlineStr">
        <is>
          <t xml:space="preserve">C </t>
        </is>
      </c>
      <c r="AC304" s="378" t="n"/>
      <c r="AD304" s="384" t="n"/>
      <c r="AE304" s="145" t="n"/>
      <c r="AF304" s="145" t="n"/>
      <c r="AG304" s="145" t="n"/>
      <c r="AH304" s="145" t="n"/>
      <c r="AI304" s="145" t="n"/>
      <c r="AJ304" s="145" t="n"/>
      <c r="AK304" s="411" t="n"/>
      <c r="AM304" s="605" t="n"/>
    </row>
    <row r="305" ht="12.75" customHeight="1" s="545">
      <c r="A305" s="388" t="n">
        <v>7</v>
      </c>
      <c r="B305" s="605" t="n">
        <v>296</v>
      </c>
      <c r="C305" s="384" t="inlineStr">
        <is>
          <t>2011Q</t>
        </is>
      </c>
      <c r="D305" s="605" t="inlineStr">
        <is>
          <t xml:space="preserve">01154-03-004-000 </t>
        </is>
      </c>
      <c r="E305" s="407" t="inlineStr">
        <is>
          <t>Actual</t>
        </is>
      </c>
      <c r="F305" s="605" t="inlineStr">
        <is>
          <t>10275 E 47TH                AV</t>
        </is>
      </c>
      <c r="G305" s="392" t="n">
        <v>44.2</v>
      </c>
      <c r="H305" s="378" t="n">
        <v>9103</v>
      </c>
      <c r="I305" s="403" t="n">
        <v>0</v>
      </c>
      <c r="J305" s="404" t="n">
        <v>50533</v>
      </c>
      <c r="K305" s="408" t="n">
        <v>5.79140363722716</v>
      </c>
      <c r="L305" s="409" t="n">
        <v>0</v>
      </c>
      <c r="M305" s="409" t="n">
        <v>0.01316899988724</v>
      </c>
      <c r="N305" s="378" t="n">
        <v>1998</v>
      </c>
      <c r="O305" s="393" t="n">
        <v>11472</v>
      </c>
      <c r="P305" s="393" t="n">
        <v>12133</v>
      </c>
      <c r="Q305" s="605" t="n">
        <v>22</v>
      </c>
      <c r="R305" s="605" t="n">
        <v>14</v>
      </c>
      <c r="S305" s="605" t="n">
        <v>1</v>
      </c>
      <c r="T305" s="403" t="inlineStr">
        <is>
          <t>CMU30</t>
        </is>
      </c>
      <c r="U305" s="403" t="n">
        <v>398</v>
      </c>
      <c r="V305" s="404" t="n">
        <v>202118</v>
      </c>
      <c r="W305" s="404" t="n">
        <v>200000</v>
      </c>
      <c r="X305" s="410" t="inlineStr">
        <is>
          <t>4.0:1</t>
        </is>
      </c>
      <c r="Y305" s="404" t="n">
        <v>51000</v>
      </c>
      <c r="Z305" s="403" t="inlineStr">
        <is>
          <t xml:space="preserve">C </t>
        </is>
      </c>
      <c r="AC305" s="378" t="n"/>
      <c r="AD305" s="384" t="inlineStr">
        <is>
          <t xml:space="preserve">GUY'S FLOOR SERVICE </t>
        </is>
      </c>
      <c r="AE305" s="145" t="n"/>
      <c r="AF305" s="145" t="n"/>
      <c r="AG305" s="145" t="n"/>
      <c r="AH305" s="145" t="n"/>
      <c r="AI305" s="145" t="n"/>
      <c r="AJ305" s="145" t="n"/>
      <c r="AK305" s="411" t="n"/>
      <c r="AM305" s="605" t="n"/>
    </row>
    <row r="306" ht="12.75" customHeight="1" s="545">
      <c r="A306" s="388" t="n">
        <v>7</v>
      </c>
      <c r="B306" s="605" t="n">
        <v>297</v>
      </c>
      <c r="C306" s="384" t="inlineStr">
        <is>
          <t>2011Q</t>
        </is>
      </c>
      <c r="D306" s="605" t="inlineStr">
        <is>
          <t xml:space="preserve">01154-04-002-000 </t>
        </is>
      </c>
      <c r="E306" s="407" t="inlineStr">
        <is>
          <t>Actual</t>
        </is>
      </c>
      <c r="F306" s="605" t="inlineStr">
        <is>
          <t>4800   GENEVA              ST</t>
        </is>
      </c>
      <c r="G306" s="392" t="n">
        <v>44.2</v>
      </c>
      <c r="H306" s="378" t="n">
        <v>9103</v>
      </c>
      <c r="I306" s="403" t="n">
        <v>0</v>
      </c>
      <c r="J306" s="404" t="n">
        <v>20146</v>
      </c>
      <c r="K306" s="408" t="n">
        <v>2.33421026506503</v>
      </c>
      <c r="L306" s="409" t="n">
        <v>0</v>
      </c>
      <c r="M306" s="409" t="n">
        <v>0.0437852206273259</v>
      </c>
      <c r="N306" s="378" t="n">
        <v>2005</v>
      </c>
      <c r="O306" s="393" t="n">
        <v>964</v>
      </c>
      <c r="Q306" s="605" t="n">
        <v>28</v>
      </c>
      <c r="R306" s="605" t="n">
        <v>14</v>
      </c>
      <c r="S306" s="605" t="n">
        <v>1</v>
      </c>
      <c r="T306" s="403" t="inlineStr">
        <is>
          <t>CMU30</t>
        </is>
      </c>
      <c r="U306" s="403" t="n">
        <v>398</v>
      </c>
      <c r="V306" s="404" t="n">
        <v>71003</v>
      </c>
      <c r="W306" s="404" t="n">
        <v>71000</v>
      </c>
      <c r="X306" s="410" t="inlineStr">
        <is>
          <t>3.5:1</t>
        </is>
      </c>
      <c r="Y306" s="404" t="n">
        <v>20000</v>
      </c>
      <c r="Z306" s="403" t="inlineStr">
        <is>
          <t xml:space="preserve">C </t>
        </is>
      </c>
      <c r="AC306" s="378" t="n"/>
      <c r="AD306" s="384" t="inlineStr">
        <is>
          <t xml:space="preserve">GUY'S FLOOR SERVICE </t>
        </is>
      </c>
      <c r="AE306" s="145" t="n"/>
      <c r="AF306" s="145" t="n"/>
      <c r="AG306" s="145" t="n"/>
      <c r="AH306" s="145" t="n"/>
      <c r="AI306" s="145" t="n"/>
      <c r="AJ306" s="145" t="n"/>
      <c r="AK306" s="411" t="n"/>
      <c r="AM306" s="605" t="n"/>
    </row>
    <row r="307" ht="25.5" customHeight="1" s="545">
      <c r="A307" s="388" t="n">
        <v>7</v>
      </c>
      <c r="B307" s="605" t="n">
        <v>298</v>
      </c>
      <c r="C307" s="384" t="inlineStr">
        <is>
          <t>2011Q</t>
        </is>
      </c>
      <c r="D307" s="605" t="inlineStr">
        <is>
          <t xml:space="preserve">01183-00-019-000 </t>
        </is>
      </c>
      <c r="E307" s="407" t="inlineStr">
        <is>
          <t>Actual</t>
        </is>
      </c>
      <c r="F307" s="605" t="inlineStr">
        <is>
          <t>4200 E 52ND                AV</t>
        </is>
      </c>
      <c r="G307" s="392" t="n">
        <v>44.3</v>
      </c>
      <c r="H307" s="378" t="n">
        <v>9101</v>
      </c>
      <c r="I307" s="403" t="n">
        <v>0</v>
      </c>
      <c r="J307" s="404" t="n">
        <v>128963</v>
      </c>
      <c r="K307" s="408" t="n">
        <v>3.16369811496321</v>
      </c>
      <c r="L307" s="409" t="n">
        <v>0</v>
      </c>
      <c r="M307" s="409" t="n">
        <v>0</v>
      </c>
      <c r="N307" s="378" t="n">
        <v>1966</v>
      </c>
      <c r="O307" s="393" t="n">
        <v>9653</v>
      </c>
      <c r="P307" s="393" t="n">
        <v>1015</v>
      </c>
      <c r="Q307" s="605" t="n">
        <v>34</v>
      </c>
      <c r="R307" s="605" t="n">
        <v>3</v>
      </c>
      <c r="S307" s="605" t="n">
        <v>1</v>
      </c>
      <c r="T307" s="403" t="inlineStr">
        <is>
          <t xml:space="preserve">I2   </t>
        </is>
      </c>
      <c r="U307" s="403" t="n">
        <v>398</v>
      </c>
      <c r="V307" s="404" t="n">
        <v>292070</v>
      </c>
      <c r="W307" s="404" t="n">
        <v>290000</v>
      </c>
      <c r="X307" s="410" t="inlineStr">
        <is>
          <t>2.3:1</t>
        </is>
      </c>
      <c r="Y307" s="404" t="n">
        <v>130000</v>
      </c>
      <c r="Z307" s="403" t="inlineStr">
        <is>
          <t xml:space="preserve">C </t>
        </is>
      </c>
      <c r="AC307" s="378" t="n"/>
      <c r="AD307" s="384" t="inlineStr">
        <is>
          <t xml:space="preserve">S-W-AMERICAN WHSE   </t>
        </is>
      </c>
      <c r="AE307" s="145" t="n"/>
      <c r="AF307" s="145" t="n"/>
      <c r="AG307" s="145" t="n"/>
      <c r="AH307" s="145" t="n"/>
      <c r="AI307" s="145" t="n"/>
      <c r="AJ307" s="145" t="n"/>
      <c r="AK307" s="411" t="inlineStr">
        <is>
          <t xml:space="preserve">RELATED ENTITIES BUT APPEARS TO BE MARKET NONETHELESS.            </t>
        </is>
      </c>
      <c r="AM307" s="605" t="n"/>
    </row>
    <row r="308" ht="12.75" customHeight="1" s="545">
      <c r="A308" s="388" t="n">
        <v>7</v>
      </c>
      <c r="B308" s="605" t="n">
        <v>299</v>
      </c>
      <c r="C308" s="384" t="inlineStr">
        <is>
          <t>2011Q</t>
        </is>
      </c>
      <c r="D308" s="605" t="inlineStr">
        <is>
          <t xml:space="preserve">01183-00-058-000 </t>
        </is>
      </c>
      <c r="E308" s="407" t="inlineStr">
        <is>
          <t>Actual</t>
        </is>
      </c>
      <c r="F308" s="605" t="inlineStr">
        <is>
          <t>4201 E 48TH                AV</t>
        </is>
      </c>
      <c r="G308" s="392" t="n">
        <v>44.2</v>
      </c>
      <c r="H308" s="378" t="n">
        <v>9101</v>
      </c>
      <c r="I308" s="403" t="n">
        <v>0</v>
      </c>
      <c r="J308" s="404" t="n">
        <v>19692</v>
      </c>
      <c r="K308" s="408" t="n">
        <v>2.41214706479789</v>
      </c>
      <c r="L308" s="409" t="n">
        <v>0</v>
      </c>
      <c r="M308" s="409" t="n">
        <v>0</v>
      </c>
      <c r="N308" s="378" t="n">
        <v>1959</v>
      </c>
      <c r="O308" s="393" t="n">
        <v>1400</v>
      </c>
      <c r="Q308" s="605" t="n">
        <v>17</v>
      </c>
      <c r="R308" s="605" t="n">
        <v>3</v>
      </c>
      <c r="S308" s="605" t="n">
        <v>1</v>
      </c>
      <c r="T308" s="403" t="inlineStr">
        <is>
          <t xml:space="preserve">I2   </t>
        </is>
      </c>
      <c r="U308" s="403" t="n">
        <v>398</v>
      </c>
      <c r="V308" s="404" t="n">
        <v>45551</v>
      </c>
      <c r="W308" s="404" t="n">
        <v>46000</v>
      </c>
      <c r="X308" s="410" t="inlineStr">
        <is>
          <t>2.3:1</t>
        </is>
      </c>
      <c r="Y308" s="404" t="n">
        <v>20000</v>
      </c>
      <c r="Z308" s="403" t="inlineStr">
        <is>
          <t xml:space="preserve">C </t>
        </is>
      </c>
      <c r="AC308" s="378" t="n"/>
      <c r="AD308" s="384" t="n"/>
      <c r="AE308" s="145" t="n"/>
      <c r="AF308" s="145" t="n"/>
      <c r="AG308" s="145" t="n"/>
      <c r="AH308" s="145" t="n"/>
      <c r="AI308" s="145" t="n"/>
      <c r="AJ308" s="145" t="n"/>
      <c r="AK308" s="411" t="n"/>
      <c r="AM308" s="605" t="n"/>
    </row>
    <row r="309" ht="12.75" customHeight="1" s="545">
      <c r="A309" s="388" t="n">
        <v>7</v>
      </c>
      <c r="B309" s="605" t="n">
        <v>300</v>
      </c>
      <c r="C309" s="384" t="inlineStr">
        <is>
          <t>2011Q</t>
        </is>
      </c>
      <c r="D309" s="605" t="inlineStr">
        <is>
          <t xml:space="preserve">01183-01-024-000 </t>
        </is>
      </c>
      <c r="E309" s="407" t="inlineStr">
        <is>
          <t>Actual</t>
        </is>
      </c>
      <c r="F309" s="605" t="inlineStr">
        <is>
          <t>4545 E 51ST                AV</t>
        </is>
      </c>
      <c r="G309" s="392" t="n">
        <v>44.4</v>
      </c>
      <c r="H309" s="378" t="n">
        <v>9101</v>
      </c>
      <c r="I309" s="403" t="n">
        <v>0</v>
      </c>
      <c r="J309" s="404" t="n">
        <v>122398</v>
      </c>
      <c r="K309" s="408" t="n">
        <v>4.7691955750911</v>
      </c>
      <c r="L309" s="409" t="n">
        <v>0</v>
      </c>
      <c r="M309" s="409" t="n">
        <v>0.0182941035392469</v>
      </c>
      <c r="N309" s="378" t="n">
        <v>1993</v>
      </c>
      <c r="O309" s="393" t="n">
        <v>6829</v>
      </c>
      <c r="P309" s="393" t="n">
        <v>13273</v>
      </c>
      <c r="Q309" s="605" t="n">
        <v>30</v>
      </c>
      <c r="R309" s="605" t="n">
        <v>14</v>
      </c>
      <c r="S309" s="605" t="n">
        <v>1</v>
      </c>
      <c r="T309" s="403" t="inlineStr">
        <is>
          <t xml:space="preserve">I2   </t>
        </is>
      </c>
      <c r="U309" s="403" t="n">
        <v>398</v>
      </c>
      <c r="V309" s="404" t="n">
        <v>317659</v>
      </c>
      <c r="W309" s="404" t="n">
        <v>320000</v>
      </c>
      <c r="X309" s="410" t="inlineStr">
        <is>
          <t>2.6:1</t>
        </is>
      </c>
      <c r="Y309" s="404" t="n">
        <v>120000</v>
      </c>
      <c r="Z309" s="403" t="inlineStr">
        <is>
          <t xml:space="preserve">C </t>
        </is>
      </c>
      <c r="AC309" s="378" t="n"/>
      <c r="AD309" s="384" t="inlineStr">
        <is>
          <t xml:space="preserve">S-W-MILLER BRANDS   </t>
        </is>
      </c>
      <c r="AE309" s="145" t="n"/>
      <c r="AF309" s="145" t="n"/>
      <c r="AG309" s="145" t="n"/>
      <c r="AH309" s="145" t="n"/>
      <c r="AI309" s="145" t="n"/>
      <c r="AJ309" s="145" t="n"/>
      <c r="AK309" s="411" t="inlineStr">
        <is>
          <t xml:space="preserve">LEASED TO QWEST THRU 12-31-2010                                   </t>
        </is>
      </c>
      <c r="AM309" s="605" t="n"/>
    </row>
    <row r="310" ht="12.75" customHeight="1" s="545">
      <c r="A310" s="388" t="n">
        <v>7</v>
      </c>
      <c r="B310" s="605" t="n">
        <v>301</v>
      </c>
      <c r="C310" s="384" t="inlineStr">
        <is>
          <t>2011Q</t>
        </is>
      </c>
      <c r="D310" s="605" t="inlineStr">
        <is>
          <t xml:space="preserve">01183-02-017-000 </t>
        </is>
      </c>
      <c r="E310" s="407" t="inlineStr">
        <is>
          <t>Actual</t>
        </is>
      </c>
      <c r="F310" s="605" t="inlineStr">
        <is>
          <t>5025   DAHLIA              ST</t>
        </is>
      </c>
      <c r="G310" s="392" t="n">
        <v>44.2</v>
      </c>
      <c r="H310" s="378" t="n">
        <v>9101</v>
      </c>
      <c r="I310" s="403" t="n">
        <v>0</v>
      </c>
      <c r="J310" s="404" t="n">
        <v>11440</v>
      </c>
      <c r="K310" s="408" t="n">
        <v>6.29370629370629</v>
      </c>
      <c r="L310" s="409" t="n">
        <v>0</v>
      </c>
      <c r="M310" s="409" t="n">
        <v>0</v>
      </c>
      <c r="N310" s="378" t="n">
        <v>1974</v>
      </c>
      <c r="O310" s="393" t="n">
        <v>1564</v>
      </c>
      <c r="Q310" s="605" t="n">
        <v>22</v>
      </c>
      <c r="R310" s="605" t="n">
        <v>1</v>
      </c>
      <c r="S310" s="605" t="n">
        <v>1</v>
      </c>
      <c r="T310" s="403" t="inlineStr">
        <is>
          <t xml:space="preserve">I2   </t>
        </is>
      </c>
      <c r="U310" s="403" t="n">
        <v>398</v>
      </c>
      <c r="V310" s="404" t="n">
        <v>21764</v>
      </c>
      <c r="W310" s="404" t="n">
        <v>22000</v>
      </c>
      <c r="X310" s="410" t="inlineStr">
        <is>
          <t>1.9:1</t>
        </is>
      </c>
      <c r="Y310" s="404" t="n">
        <v>11000</v>
      </c>
      <c r="Z310" s="403" t="inlineStr">
        <is>
          <t xml:space="preserve">C </t>
        </is>
      </c>
      <c r="AC310" s="378" t="n"/>
      <c r="AD310" s="384" t="n"/>
      <c r="AE310" s="145" t="n"/>
      <c r="AF310" s="145" t="n"/>
      <c r="AG310" s="145" t="n"/>
      <c r="AH310" s="145" t="n"/>
      <c r="AI310" s="145" t="n"/>
      <c r="AJ310" s="145" t="n"/>
      <c r="AK310" s="411" t="inlineStr">
        <is>
          <t xml:space="preserve">2008 LEASE.                                                       </t>
        </is>
      </c>
      <c r="AM310" s="605" t="n"/>
    </row>
    <row r="311" ht="12.75" customHeight="1" s="545">
      <c r="A311" s="388" t="n">
        <v>7</v>
      </c>
      <c r="B311" s="605" t="n">
        <v>302</v>
      </c>
      <c r="C311" s="384" t="inlineStr">
        <is>
          <t>2011Q</t>
        </is>
      </c>
      <c r="D311" s="605" t="inlineStr">
        <is>
          <t xml:space="preserve">01184-00-016-000 </t>
        </is>
      </c>
      <c r="E311" s="407" t="inlineStr">
        <is>
          <t>Actual</t>
        </is>
      </c>
      <c r="F311" s="605" t="inlineStr">
        <is>
          <t>4900   DAHLIA              ST</t>
        </is>
      </c>
      <c r="G311" s="392" t="n">
        <v>44.2</v>
      </c>
      <c r="H311" s="378" t="n">
        <v>9101</v>
      </c>
      <c r="I311" s="403" t="n">
        <v>0</v>
      </c>
      <c r="J311" s="404" t="n">
        <v>40200</v>
      </c>
      <c r="K311" s="408" t="n">
        <v>5.97014925373134</v>
      </c>
      <c r="L311" s="409" t="n">
        <v>0</v>
      </c>
      <c r="M311" s="409" t="n">
        <v>0.0671541666666667</v>
      </c>
      <c r="N311" s="378" t="n">
        <v>1966</v>
      </c>
      <c r="O311" s="393" t="n">
        <v>0</v>
      </c>
      <c r="Q311" s="605" t="n">
        <v>30</v>
      </c>
      <c r="R311" s="605" t="n">
        <v>1</v>
      </c>
      <c r="S311" s="605" t="n">
        <v>1</v>
      </c>
      <c r="T311" s="403" t="inlineStr">
        <is>
          <t xml:space="preserve">I2   </t>
        </is>
      </c>
      <c r="U311" s="403" t="n">
        <v>398</v>
      </c>
      <c r="V311" s="404" t="n">
        <v>102703</v>
      </c>
      <c r="W311" s="404" t="n">
        <v>100000</v>
      </c>
      <c r="X311" s="410" t="inlineStr">
        <is>
          <t>2.6:1</t>
        </is>
      </c>
      <c r="Y311" s="404" t="n">
        <v>40000</v>
      </c>
      <c r="Z311" s="403" t="inlineStr">
        <is>
          <t xml:space="preserve">C </t>
        </is>
      </c>
      <c r="AC311" s="378" t="n"/>
      <c r="AD311" s="384" t="inlineStr">
        <is>
          <t xml:space="preserve">AMERICAN WHSE       </t>
        </is>
      </c>
      <c r="AE311" s="145" t="n"/>
      <c r="AF311" s="145" t="n"/>
      <c r="AG311" s="145" t="n"/>
      <c r="AH311" s="145" t="n"/>
      <c r="AI311" s="145" t="n"/>
      <c r="AJ311" s="145" t="n"/>
      <c r="AK311" s="411" t="n"/>
      <c r="AM311" s="605" t="n"/>
    </row>
    <row r="312" ht="12.75" customHeight="1" s="545">
      <c r="A312" s="388" t="n">
        <v>7</v>
      </c>
      <c r="B312" s="605" t="n">
        <v>303</v>
      </c>
      <c r="C312" s="384" t="inlineStr">
        <is>
          <t>2011Q</t>
        </is>
      </c>
      <c r="D312" s="605" t="inlineStr">
        <is>
          <t xml:space="preserve">01184-01-004-000 </t>
        </is>
      </c>
      <c r="E312" s="407" t="inlineStr">
        <is>
          <t>Actual</t>
        </is>
      </c>
      <c r="F312" s="605" t="inlineStr">
        <is>
          <t>5199 E 48TH                AV</t>
        </is>
      </c>
      <c r="G312" s="392" t="n">
        <v>44.2</v>
      </c>
      <c r="H312" s="378" t="n">
        <v>9101</v>
      </c>
      <c r="I312" s="403" t="n">
        <v>0</v>
      </c>
      <c r="J312" s="404" t="n">
        <v>14222</v>
      </c>
      <c r="K312" s="408" t="n">
        <v>5.06257910279848</v>
      </c>
      <c r="L312" s="409" t="n">
        <v>0</v>
      </c>
      <c r="M312" s="409" t="n">
        <v>0</v>
      </c>
      <c r="N312" s="378" t="n">
        <v>1986</v>
      </c>
      <c r="O312" s="393" t="n">
        <v>1731</v>
      </c>
      <c r="Q312" s="605" t="n">
        <v>18</v>
      </c>
      <c r="R312" s="605" t="n">
        <v>8</v>
      </c>
      <c r="S312" s="605" t="n">
        <v>1</v>
      </c>
      <c r="T312" s="403" t="inlineStr">
        <is>
          <t xml:space="preserve">I2   </t>
        </is>
      </c>
      <c r="U312" s="403" t="n">
        <v>398</v>
      </c>
      <c r="V312" s="404" t="n">
        <v>99260</v>
      </c>
      <c r="W312" s="404" t="n">
        <v>99000</v>
      </c>
      <c r="X312" s="410" t="inlineStr">
        <is>
          <t>7.0:1</t>
        </is>
      </c>
      <c r="Y312" s="404" t="n">
        <v>14000</v>
      </c>
      <c r="Z312" s="403" t="inlineStr">
        <is>
          <t xml:space="preserve">C </t>
        </is>
      </c>
      <c r="AC312" s="378" t="n"/>
      <c r="AD312" s="384" t="inlineStr">
        <is>
          <t xml:space="preserve">CENTRAL STATES HOSE </t>
        </is>
      </c>
      <c r="AE312" s="145" t="n"/>
      <c r="AF312" s="145" t="n"/>
      <c r="AG312" s="145" t="n"/>
      <c r="AH312" s="145" t="n"/>
      <c r="AI312" s="145" t="n"/>
      <c r="AJ312" s="145" t="n"/>
      <c r="AK312" s="411" t="n"/>
      <c r="AM312" s="605" t="n"/>
    </row>
    <row r="313" ht="12.75" customHeight="1" s="545">
      <c r="A313" s="388" t="n">
        <v>7</v>
      </c>
      <c r="B313" s="605" t="n">
        <v>304</v>
      </c>
      <c r="C313" s="384" t="inlineStr">
        <is>
          <t>2011Q</t>
        </is>
      </c>
      <c r="D313" s="605" t="inlineStr">
        <is>
          <t xml:space="preserve">01191-00-028-000 </t>
        </is>
      </c>
      <c r="E313" s="407" t="inlineStr">
        <is>
          <t>Actual</t>
        </is>
      </c>
      <c r="F313" s="605" t="inlineStr">
        <is>
          <t>4310   GRAPE               ST</t>
        </is>
      </c>
      <c r="G313" s="378" t="n">
        <v>44.1</v>
      </c>
      <c r="H313" s="378" t="n">
        <v>9101</v>
      </c>
      <c r="I313" s="403" t="n">
        <v>0</v>
      </c>
      <c r="J313" s="404" t="n">
        <v>20300</v>
      </c>
      <c r="K313" s="408" t="n">
        <v>5.32019704433498</v>
      </c>
      <c r="L313" s="409" t="n">
        <v>0</v>
      </c>
      <c r="M313" s="409" t="n">
        <v>0.110185185185185</v>
      </c>
      <c r="N313" s="378" t="n">
        <v>1978</v>
      </c>
      <c r="O313" s="393" t="n">
        <v>2080</v>
      </c>
      <c r="Q313" s="605" t="n">
        <v>15</v>
      </c>
      <c r="R313" s="605" t="n">
        <v>1</v>
      </c>
      <c r="S313" s="605" t="n">
        <v>1</v>
      </c>
      <c r="T313" s="403" t="inlineStr">
        <is>
          <t xml:space="preserve">I2   </t>
        </is>
      </c>
      <c r="U313" s="403" t="n">
        <v>398</v>
      </c>
      <c r="V313" s="404" t="n">
        <v>60517</v>
      </c>
      <c r="W313" s="404" t="n">
        <v>61000</v>
      </c>
      <c r="X313" s="410" t="inlineStr">
        <is>
          <t>3.0:1</t>
        </is>
      </c>
      <c r="Y313" s="404" t="n">
        <v>20000</v>
      </c>
      <c r="Z313" s="403" t="inlineStr">
        <is>
          <t xml:space="preserve">C </t>
        </is>
      </c>
      <c r="AC313" s="378" t="n"/>
      <c r="AD313" s="384" t="inlineStr">
        <is>
          <t xml:space="preserve">GROWING SPROUTS     </t>
        </is>
      </c>
      <c r="AE313" s="145" t="n"/>
      <c r="AF313" s="145" t="n"/>
      <c r="AG313" s="145" t="n"/>
      <c r="AH313" s="145" t="n"/>
      <c r="AI313" s="145" t="n"/>
      <c r="AJ313" s="145" t="n"/>
      <c r="AK313" s="411" t="n"/>
      <c r="AM313" s="605" t="n"/>
    </row>
    <row r="314" ht="12.75" customHeight="1" s="545">
      <c r="A314" s="388" t="n">
        <v>7</v>
      </c>
      <c r="B314" s="605" t="n">
        <v>305</v>
      </c>
      <c r="C314" s="384" t="inlineStr">
        <is>
          <t>2011Q</t>
        </is>
      </c>
      <c r="D314" s="605" t="inlineStr">
        <is>
          <t xml:space="preserve">01191-00-059-000 </t>
        </is>
      </c>
      <c r="E314" s="407" t="inlineStr">
        <is>
          <t>Actual</t>
        </is>
      </c>
      <c r="F314" s="605" t="inlineStr">
        <is>
          <t>4747   HOLLY               ST</t>
        </is>
      </c>
      <c r="G314" s="392" t="n">
        <v>44.2</v>
      </c>
      <c r="H314" s="378" t="n">
        <v>9101</v>
      </c>
      <c r="I314" s="403" t="n">
        <v>0</v>
      </c>
      <c r="J314" s="404" t="n">
        <v>29447</v>
      </c>
      <c r="K314" s="408" t="n">
        <v>4.07511800862567</v>
      </c>
      <c r="L314" s="409" t="n">
        <v>0</v>
      </c>
      <c r="M314" s="409" t="n">
        <v>0</v>
      </c>
      <c r="N314" s="378" t="n">
        <v>1967</v>
      </c>
      <c r="O314" s="393" t="n">
        <v>7053</v>
      </c>
      <c r="Q314" s="605" t="n">
        <v>24</v>
      </c>
      <c r="R314" s="605" t="n">
        <v>10</v>
      </c>
      <c r="S314" s="605" t="n">
        <v>1</v>
      </c>
      <c r="T314" s="403" t="inlineStr">
        <is>
          <t xml:space="preserve">I2   </t>
        </is>
      </c>
      <c r="U314" s="403" t="n">
        <v>398</v>
      </c>
      <c r="V314" s="404" t="n">
        <v>90213</v>
      </c>
      <c r="W314" s="404" t="n">
        <v>90000</v>
      </c>
      <c r="X314" s="410" t="inlineStr">
        <is>
          <t>3.1:1</t>
        </is>
      </c>
      <c r="Y314" s="404" t="n">
        <v>29000</v>
      </c>
      <c r="Z314" s="403" t="inlineStr">
        <is>
          <t xml:space="preserve">C </t>
        </is>
      </c>
      <c r="AC314" s="378" t="n"/>
      <c r="AD314" s="384" t="n"/>
      <c r="AE314" s="145" t="n"/>
      <c r="AF314" s="145" t="n"/>
      <c r="AG314" s="145" t="n"/>
      <c r="AH314" s="145" t="n"/>
      <c r="AI314" s="145" t="n"/>
      <c r="AJ314" s="145" t="n"/>
      <c r="AK314" s="411" t="inlineStr">
        <is>
          <t xml:space="preserve">2008 LEASE.                                                       </t>
        </is>
      </c>
      <c r="AM314" s="605" t="n"/>
    </row>
    <row r="315" ht="12.75" customHeight="1" s="545">
      <c r="A315" s="388" t="n">
        <v>7</v>
      </c>
      <c r="B315" s="605" t="n">
        <v>306</v>
      </c>
      <c r="C315" s="384" t="inlineStr">
        <is>
          <t>2011Q</t>
        </is>
      </c>
      <c r="D315" s="605" t="inlineStr">
        <is>
          <t xml:space="preserve">01192-00-065-000 </t>
        </is>
      </c>
      <c r="E315" s="407" t="inlineStr">
        <is>
          <t>Actual</t>
        </is>
      </c>
      <c r="F315" s="605" t="inlineStr">
        <is>
          <t>4351 E 46TH                AV</t>
        </is>
      </c>
      <c r="G315" s="392" t="n">
        <v>44.2</v>
      </c>
      <c r="H315" s="378" t="n">
        <v>9101</v>
      </c>
      <c r="I315" s="403" t="n">
        <v>0</v>
      </c>
      <c r="J315" s="404" t="n">
        <v>43880</v>
      </c>
      <c r="K315" s="408" t="n">
        <v>2.73473108477666</v>
      </c>
      <c r="L315" s="409" t="n">
        <v>0</v>
      </c>
      <c r="M315" s="409" t="n">
        <v>0.0333333333333333</v>
      </c>
      <c r="N315" s="378" t="n">
        <v>1953</v>
      </c>
      <c r="O315" s="393" t="n">
        <v>8618</v>
      </c>
      <c r="Q315" s="605" t="n">
        <v>18</v>
      </c>
      <c r="R315" s="605" t="n">
        <v>4</v>
      </c>
      <c r="S315" s="605" t="n">
        <v>1</v>
      </c>
      <c r="T315" s="403" t="inlineStr">
        <is>
          <t xml:space="preserve">I2   </t>
        </is>
      </c>
      <c r="U315" s="403" t="n">
        <v>398</v>
      </c>
      <c r="V315" s="404" t="n">
        <v>89166</v>
      </c>
      <c r="W315" s="404" t="n">
        <v>89000</v>
      </c>
      <c r="X315" s="410" t="inlineStr">
        <is>
          <t>2.0:1</t>
        </is>
      </c>
      <c r="Y315" s="404" t="n">
        <v>44000</v>
      </c>
      <c r="Z315" s="403" t="inlineStr">
        <is>
          <t xml:space="preserve">C </t>
        </is>
      </c>
      <c r="AC315" s="378" t="n"/>
      <c r="AD315" s="384" t="inlineStr">
        <is>
          <t xml:space="preserve">SPEEDWORLD GO-CARTS </t>
        </is>
      </c>
      <c r="AE315" s="145" t="n"/>
      <c r="AF315" s="145" t="n"/>
      <c r="AG315" s="145" t="n"/>
      <c r="AH315" s="145" t="n"/>
      <c r="AI315" s="145" t="n"/>
      <c r="AJ315" s="145" t="n"/>
      <c r="AK315" s="411" t="inlineStr">
        <is>
          <t xml:space="preserve">2008 LEASE.                                                       </t>
        </is>
      </c>
      <c r="AM315" s="605" t="n"/>
    </row>
    <row r="316" ht="12.75" customHeight="1" s="545">
      <c r="A316" s="388" t="n">
        <v>7</v>
      </c>
      <c r="B316" s="605" t="n">
        <v>307</v>
      </c>
      <c r="C316" s="384" t="inlineStr">
        <is>
          <t>2011Q</t>
        </is>
      </c>
      <c r="D316" s="605" t="inlineStr">
        <is>
          <t xml:space="preserve">01192-03-006-000 </t>
        </is>
      </c>
      <c r="E316" s="407" t="inlineStr">
        <is>
          <t>Actual</t>
        </is>
      </c>
      <c r="F316" s="605" t="inlineStr">
        <is>
          <t>4555   STAPLETON N         DR</t>
        </is>
      </c>
      <c r="G316" s="392" t="n">
        <v>44.2</v>
      </c>
      <c r="H316" s="378" t="n">
        <v>9101</v>
      </c>
      <c r="I316" s="403" t="n">
        <v>0</v>
      </c>
      <c r="J316" s="404" t="n">
        <v>12559</v>
      </c>
      <c r="K316" s="408" t="n">
        <v>3.96122302731109</v>
      </c>
      <c r="L316" s="409" t="n">
        <v>0</v>
      </c>
      <c r="M316" s="409" t="n">
        <v>0.176646766769181</v>
      </c>
      <c r="N316" s="378" t="n">
        <v>1953</v>
      </c>
      <c r="O316" s="393" t="n">
        <v>0</v>
      </c>
      <c r="P316" s="393" t="n">
        <v>1233</v>
      </c>
      <c r="Q316" s="605" t="n">
        <v>15</v>
      </c>
      <c r="R316" s="605" t="n">
        <v>3</v>
      </c>
      <c r="S316" s="605" t="n">
        <v>1</v>
      </c>
      <c r="T316" s="403" t="inlineStr">
        <is>
          <t xml:space="preserve">I2   </t>
        </is>
      </c>
      <c r="U316" s="403" t="n">
        <v>398</v>
      </c>
      <c r="V316" s="404" t="n">
        <v>25000</v>
      </c>
      <c r="W316" s="404" t="n">
        <v>25000</v>
      </c>
      <c r="X316" s="410" t="inlineStr">
        <is>
          <t>2.0:1</t>
        </is>
      </c>
      <c r="Y316" s="404" t="n">
        <v>13000</v>
      </c>
      <c r="Z316" s="403" t="inlineStr">
        <is>
          <t xml:space="preserve">C </t>
        </is>
      </c>
      <c r="AC316" s="378" t="n"/>
      <c r="AD316" s="384" t="n"/>
      <c r="AE316" s="145" t="n"/>
      <c r="AF316" s="145" t="n"/>
      <c r="AG316" s="145" t="n"/>
      <c r="AH316" s="145" t="n"/>
      <c r="AI316" s="145" t="n"/>
      <c r="AJ316" s="145" t="n"/>
      <c r="AK316" s="411" t="n"/>
      <c r="AM316" s="605" t="n"/>
    </row>
    <row r="317" ht="25.5" customHeight="1" s="545">
      <c r="A317" s="388" t="n">
        <v>7</v>
      </c>
      <c r="B317" s="605" t="n">
        <v>308</v>
      </c>
      <c r="C317" s="384" t="inlineStr">
        <is>
          <t>2011Q</t>
        </is>
      </c>
      <c r="D317" s="605" t="inlineStr">
        <is>
          <t xml:space="preserve">01194-00-076-000 </t>
        </is>
      </c>
      <c r="E317" s="407" t="inlineStr">
        <is>
          <t>Actual</t>
        </is>
      </c>
      <c r="F317" s="605" t="inlineStr">
        <is>
          <t>3855   ELM                 ST</t>
        </is>
      </c>
      <c r="G317" s="392" t="n">
        <v>44.2</v>
      </c>
      <c r="H317" s="378" t="n">
        <v>9101</v>
      </c>
      <c r="I317" s="403" t="n">
        <v>0</v>
      </c>
      <c r="J317" s="404" t="n">
        <v>1200</v>
      </c>
      <c r="K317" s="408" t="n">
        <v>5.75</v>
      </c>
      <c r="L317" s="409" t="n">
        <v>0</v>
      </c>
      <c r="M317" s="409" t="n">
        <v>0.285797101449275</v>
      </c>
      <c r="N317" s="378" t="n">
        <v>1961</v>
      </c>
      <c r="O317" s="393" t="n">
        <v>3164</v>
      </c>
      <c r="Q317" s="605" t="n">
        <v>15</v>
      </c>
      <c r="R317" s="605" t="n">
        <v>3</v>
      </c>
      <c r="S317" s="605" t="n">
        <v>1</v>
      </c>
      <c r="T317" s="403" t="inlineStr">
        <is>
          <t xml:space="preserve">I0   </t>
        </is>
      </c>
      <c r="U317" s="403" t="n">
        <v>398</v>
      </c>
      <c r="V317" s="404" t="n">
        <v>14387</v>
      </c>
      <c r="W317" s="404" t="n">
        <v>14000</v>
      </c>
      <c r="X317" s="410" t="inlineStr">
        <is>
          <t>2.0:1</t>
        </is>
      </c>
      <c r="Y317" s="404" t="n">
        <v>1000</v>
      </c>
      <c r="Z317" s="403" t="inlineStr">
        <is>
          <t xml:space="preserve">B </t>
        </is>
      </c>
      <c r="AC317" s="378" t="n"/>
      <c r="AD317" s="384" t="n"/>
      <c r="AE317" s="145" t="n"/>
      <c r="AF317" s="145" t="n"/>
      <c r="AG317" s="145" t="n"/>
      <c r="AH317" s="145" t="n"/>
      <c r="AI317" s="145" t="n"/>
      <c r="AJ317" s="145" t="n"/>
      <c r="AK317" s="411" t="inlineStr">
        <is>
          <t xml:space="preserve">ONLY DATA ALLOCABLE TO 2009 LEASE HAS BEEN ENTERED.               </t>
        </is>
      </c>
      <c r="AM317" s="605" t="n"/>
    </row>
    <row r="318" ht="12.75" customHeight="1" s="545">
      <c r="A318" s="388" t="n">
        <v>7</v>
      </c>
      <c r="B318" s="605" t="n">
        <v>309</v>
      </c>
      <c r="C318" s="384" t="inlineStr">
        <is>
          <t>2011Q</t>
        </is>
      </c>
      <c r="D318" s="605" t="inlineStr">
        <is>
          <t xml:space="preserve">01194-00-110-000 </t>
        </is>
      </c>
      <c r="E318" s="407" t="inlineStr">
        <is>
          <t>Actual</t>
        </is>
      </c>
      <c r="F318" s="605" t="inlineStr">
        <is>
          <t>5195 E 39TH                AV</t>
        </is>
      </c>
      <c r="G318" s="392" t="n">
        <v>45.1</v>
      </c>
      <c r="H318" s="378" t="n">
        <v>9101</v>
      </c>
      <c r="I318" s="403" t="n">
        <v>0</v>
      </c>
      <c r="J318" s="404" t="n">
        <v>10250</v>
      </c>
      <c r="K318" s="408" t="n">
        <v>6.34839024390244</v>
      </c>
      <c r="L318" s="409" t="n">
        <v>1</v>
      </c>
      <c r="M318" s="409" t="n">
        <v>0</v>
      </c>
      <c r="N318" s="378" t="n">
        <v>1965</v>
      </c>
      <c r="O318" s="393" t="n">
        <v>2584</v>
      </c>
      <c r="Q318" s="605" t="n">
        <v>18</v>
      </c>
      <c r="R318" s="605" t="n">
        <v>1</v>
      </c>
      <c r="S318" s="605" t="n">
        <v>1</v>
      </c>
      <c r="T318" s="403" t="inlineStr">
        <is>
          <t xml:space="preserve">I1   </t>
        </is>
      </c>
      <c r="U318" s="403" t="n">
        <v>401</v>
      </c>
      <c r="V318" s="404" t="n">
        <v>18500</v>
      </c>
      <c r="W318" s="404" t="n">
        <v>19000</v>
      </c>
      <c r="X318" s="410" t="inlineStr">
        <is>
          <t>1.8:1</t>
        </is>
      </c>
      <c r="Y318" s="404" t="n">
        <v>10000</v>
      </c>
      <c r="Z318" s="403" t="inlineStr">
        <is>
          <t xml:space="preserve">C </t>
        </is>
      </c>
      <c r="AC318" s="378" t="n"/>
      <c r="AD318" s="384" t="inlineStr">
        <is>
          <t>S-W GRANDMA'S FROZEN</t>
        </is>
      </c>
      <c r="AE318" s="145" t="n"/>
      <c r="AF318" s="145" t="n"/>
      <c r="AG318" s="145" t="n"/>
      <c r="AH318" s="145" t="n"/>
      <c r="AI318" s="145" t="n"/>
      <c r="AJ318" s="145" t="n"/>
      <c r="AK318" s="411" t="inlineStr">
        <is>
          <t xml:space="preserve">REFLECTS 2010 LEASE &amp; 2009 VACANCY.                               </t>
        </is>
      </c>
      <c r="AM318" s="605" t="n"/>
    </row>
    <row r="319" ht="25.5" customHeight="1" s="545">
      <c r="A319" s="388" t="n">
        <v>7</v>
      </c>
      <c r="B319" s="605" t="n">
        <v>310</v>
      </c>
      <c r="C319" s="384" t="inlineStr">
        <is>
          <t>2011Q</t>
        </is>
      </c>
      <c r="D319" s="605" t="inlineStr">
        <is>
          <t xml:space="preserve">01194-00-136-000 </t>
        </is>
      </c>
      <c r="E319" s="407" t="inlineStr">
        <is>
          <t>Actual</t>
        </is>
      </c>
      <c r="F319" s="605" t="inlineStr">
        <is>
          <t>3931   HOLLY               ST</t>
        </is>
      </c>
      <c r="G319" s="392" t="n">
        <v>44.2</v>
      </c>
      <c r="H319" s="378" t="n">
        <v>9101</v>
      </c>
      <c r="I319" s="403" t="n">
        <v>0</v>
      </c>
      <c r="J319" s="404" t="n">
        <v>16770</v>
      </c>
      <c r="K319" s="408" t="n">
        <v>4.72271914132379</v>
      </c>
      <c r="L319" s="409" t="n">
        <v>0</v>
      </c>
      <c r="M319" s="409" t="n">
        <v>0.126136363636364</v>
      </c>
      <c r="N319" s="378" t="n">
        <v>1980</v>
      </c>
      <c r="O319" s="393" t="n">
        <v>3949</v>
      </c>
      <c r="Q319" s="605" t="n">
        <v>14</v>
      </c>
      <c r="R319" s="605" t="n">
        <v>1</v>
      </c>
      <c r="S319" s="605" t="n">
        <v>1</v>
      </c>
      <c r="T319" s="403" t="inlineStr">
        <is>
          <t xml:space="preserve">I1   </t>
        </is>
      </c>
      <c r="U319" s="403" t="n">
        <v>398</v>
      </c>
      <c r="V319" s="404" t="n">
        <v>39942</v>
      </c>
      <c r="W319" s="404" t="n">
        <v>40000</v>
      </c>
      <c r="X319" s="410" t="inlineStr">
        <is>
          <t>2.4:1</t>
        </is>
      </c>
      <c r="Y319" s="404" t="n">
        <v>17000</v>
      </c>
      <c r="Z319" s="403" t="inlineStr">
        <is>
          <t xml:space="preserve">C </t>
        </is>
      </c>
      <c r="AC319" s="378" t="n"/>
      <c r="AD319" s="384" t="inlineStr">
        <is>
          <t xml:space="preserve">M-W                 </t>
        </is>
      </c>
      <c r="AE319" s="145" t="n"/>
      <c r="AF319" s="145" t="n"/>
      <c r="AG319" s="145" t="n"/>
      <c r="AH319" s="145" t="n"/>
      <c r="AI319" s="145" t="n"/>
      <c r="AJ319" s="145" t="n"/>
      <c r="AK319" s="411" t="inlineStr">
        <is>
          <t xml:space="preserve">ATYPICAL FOR OWNER TO PAY THIS LEVEL OF EXPENSE.                  </t>
        </is>
      </c>
      <c r="AM319" s="605" t="n"/>
    </row>
    <row r="320" ht="12.75" customHeight="1" s="545">
      <c r="A320" s="388" t="n">
        <v>7</v>
      </c>
      <c r="B320" s="605" t="n">
        <v>311</v>
      </c>
      <c r="C320" s="384" t="inlineStr">
        <is>
          <t>2011Q</t>
        </is>
      </c>
      <c r="D320" s="605" t="inlineStr">
        <is>
          <t xml:space="preserve">01194-00-182-000 </t>
        </is>
      </c>
      <c r="E320" s="407" t="inlineStr">
        <is>
          <t>Actual</t>
        </is>
      </c>
      <c r="F320" s="605" t="inlineStr">
        <is>
          <t>5150 E 39TH                AV</t>
        </is>
      </c>
      <c r="G320" s="378" t="n">
        <v>44.1</v>
      </c>
      <c r="H320" s="378" t="n">
        <v>9101</v>
      </c>
      <c r="I320" s="403" t="n">
        <v>0</v>
      </c>
      <c r="J320" s="404" t="n">
        <v>18901</v>
      </c>
      <c r="K320" s="408" t="n">
        <v>5.71398338712238</v>
      </c>
      <c r="L320" s="409" t="n">
        <v>0.5</v>
      </c>
      <c r="M320" s="409" t="n">
        <v>0</v>
      </c>
      <c r="N320" s="378" t="n">
        <v>1959</v>
      </c>
      <c r="O320" s="393" t="n">
        <v>3532</v>
      </c>
      <c r="Q320" s="605" t="n">
        <v>12</v>
      </c>
      <c r="R320" s="605" t="n">
        <v>1</v>
      </c>
      <c r="S320" s="605" t="n">
        <v>1</v>
      </c>
      <c r="T320" s="403" t="inlineStr">
        <is>
          <t xml:space="preserve">I0   </t>
        </is>
      </c>
      <c r="U320" s="403" t="n">
        <v>398</v>
      </c>
      <c r="V320" s="404" t="n">
        <v>43080</v>
      </c>
      <c r="W320" s="404" t="n">
        <v>43000</v>
      </c>
      <c r="X320" s="410" t="inlineStr">
        <is>
          <t>2.3:1</t>
        </is>
      </c>
      <c r="Y320" s="404" t="n">
        <v>19000</v>
      </c>
      <c r="Z320" s="403" t="inlineStr">
        <is>
          <t xml:space="preserve">C </t>
        </is>
      </c>
      <c r="AC320" s="378" t="n"/>
      <c r="AD320" s="384" t="inlineStr">
        <is>
          <t xml:space="preserve">DIST WHSE           </t>
        </is>
      </c>
      <c r="AE320" s="145" t="n"/>
      <c r="AF320" s="145" t="n"/>
      <c r="AG320" s="145" t="n"/>
      <c r="AH320" s="145" t="n"/>
      <c r="AI320" s="145" t="n"/>
      <c r="AJ320" s="145" t="n"/>
      <c r="AK320" s="411" t="n"/>
      <c r="AL320" s="605">
        <f>IF(AND(ISNUMBER($S320),$S320&gt;0,ISNUMBER($K320),ISNUMBER($J320)),($K320*$J320)/$S320,"")</f>
        <v/>
      </c>
    </row>
    <row r="321" ht="12.75" customHeight="1" s="545">
      <c r="A321" s="388" t="n">
        <v>7</v>
      </c>
      <c r="B321" s="605" t="n">
        <v>312</v>
      </c>
      <c r="C321" s="384" t="inlineStr">
        <is>
          <t>2011Q</t>
        </is>
      </c>
      <c r="D321" s="605" t="inlineStr">
        <is>
          <t xml:space="preserve">01194-00-211-000 </t>
        </is>
      </c>
      <c r="E321" s="407" t="inlineStr">
        <is>
          <t>Actual</t>
        </is>
      </c>
      <c r="F321" s="605" t="inlineStr">
        <is>
          <t>4880 E 41ST                AV</t>
        </is>
      </c>
      <c r="G321" s="378" t="n">
        <v>44.1</v>
      </c>
      <c r="H321" s="378" t="n">
        <v>9101</v>
      </c>
      <c r="I321" s="403" t="n">
        <v>0</v>
      </c>
      <c r="J321" s="404" t="n">
        <v>11308</v>
      </c>
      <c r="K321" s="408" t="n">
        <v>4.98761938450654</v>
      </c>
      <c r="L321" s="409" t="n">
        <v>0.42</v>
      </c>
      <c r="M321" s="409" t="n">
        <v>0</v>
      </c>
      <c r="N321" s="378" t="n">
        <v>1976</v>
      </c>
      <c r="O321" s="393" t="n">
        <v>1392</v>
      </c>
      <c r="Q321" s="605" t="n">
        <v>19</v>
      </c>
      <c r="R321" s="605" t="n">
        <v>10</v>
      </c>
      <c r="S321" s="605" t="n">
        <v>1</v>
      </c>
      <c r="T321" s="403" t="inlineStr">
        <is>
          <t xml:space="preserve">I1   </t>
        </is>
      </c>
      <c r="U321" s="403" t="n">
        <v>398</v>
      </c>
      <c r="V321" s="404" t="n">
        <v>35505</v>
      </c>
      <c r="W321" s="404" t="n">
        <v>36000</v>
      </c>
      <c r="X321" s="410" t="inlineStr">
        <is>
          <t>3.1:1</t>
        </is>
      </c>
      <c r="Y321" s="404" t="n">
        <v>11000</v>
      </c>
      <c r="Z321" s="403" t="inlineStr">
        <is>
          <t xml:space="preserve">C </t>
        </is>
      </c>
      <c r="AC321" s="378" t="n"/>
      <c r="AD321" s="384" t="n"/>
      <c r="AE321" s="145" t="n"/>
      <c r="AF321" s="145" t="n"/>
      <c r="AG321" s="145" t="n"/>
      <c r="AH321" s="145" t="n"/>
      <c r="AI321" s="145" t="n"/>
      <c r="AJ321" s="145" t="n"/>
      <c r="AK321" s="411" t="n"/>
      <c r="AM321" s="605" t="n"/>
    </row>
    <row r="322" ht="12.75" customHeight="1" s="545">
      <c r="A322" s="388" t="n">
        <v>7</v>
      </c>
      <c r="B322" s="605" t="n">
        <v>313</v>
      </c>
      <c r="C322" s="384" t="inlineStr">
        <is>
          <t>2011Q</t>
        </is>
      </c>
      <c r="D322" s="605" t="inlineStr">
        <is>
          <t xml:space="preserve">01194-00-215-000 </t>
        </is>
      </c>
      <c r="E322" s="407" t="inlineStr">
        <is>
          <t>Actual</t>
        </is>
      </c>
      <c r="F322" s="605" t="inlineStr">
        <is>
          <t>4000   DAHLIA              ST</t>
        </is>
      </c>
      <c r="G322" s="392" t="n">
        <v>46.1</v>
      </c>
      <c r="H322" s="378" t="n">
        <v>9101</v>
      </c>
      <c r="I322" s="403" t="n">
        <v>0</v>
      </c>
      <c r="J322" s="404" t="n">
        <v>80137</v>
      </c>
      <c r="K322" s="408" t="n">
        <v>6.49999376068483</v>
      </c>
      <c r="L322" s="409" t="n">
        <v>0</v>
      </c>
      <c r="M322" s="409" t="n">
        <v>0</v>
      </c>
      <c r="N322" s="378" t="n">
        <v>1975</v>
      </c>
      <c r="O322" s="393" t="n">
        <v>0</v>
      </c>
      <c r="P322" s="393" t="n">
        <v>12308</v>
      </c>
      <c r="Q322" s="605" t="n">
        <v>17</v>
      </c>
      <c r="R322" s="605" t="n">
        <v>1</v>
      </c>
      <c r="S322" s="605" t="n">
        <v>1</v>
      </c>
      <c r="T322" s="403" t="inlineStr">
        <is>
          <t xml:space="preserve">I1   </t>
        </is>
      </c>
      <c r="U322" s="403" t="n">
        <v>401</v>
      </c>
      <c r="V322" s="404" t="n">
        <v>157000</v>
      </c>
      <c r="W322" s="404" t="n">
        <v>160000</v>
      </c>
      <c r="X322" s="410" t="inlineStr">
        <is>
          <t>2.0:1</t>
        </is>
      </c>
      <c r="Y322" s="404" t="n">
        <v>80000</v>
      </c>
      <c r="Z322" s="403" t="inlineStr">
        <is>
          <t xml:space="preserve">C </t>
        </is>
      </c>
      <c r="AC322" s="378" t="n"/>
      <c r="AD322" s="384" t="inlineStr">
        <is>
          <t xml:space="preserve">READY FOODS         </t>
        </is>
      </c>
      <c r="AE322" s="145" t="n"/>
      <c r="AF322" s="145" t="n"/>
      <c r="AG322" s="145" t="n"/>
      <c r="AH322" s="145" t="n"/>
      <c r="AI322" s="145" t="n"/>
      <c r="AJ322" s="145" t="n"/>
      <c r="AK322" s="411" t="n"/>
      <c r="AM322" s="605" t="n"/>
    </row>
    <row r="323" ht="25.5" customHeight="1" s="545">
      <c r="A323" s="388" t="n">
        <v>7</v>
      </c>
      <c r="B323" s="605" t="n">
        <v>314</v>
      </c>
      <c r="C323" s="384" t="inlineStr">
        <is>
          <t>2011Q</t>
        </is>
      </c>
      <c r="D323" s="605" t="inlineStr">
        <is>
          <t xml:space="preserve">01194-00-229-000 </t>
        </is>
      </c>
      <c r="E323" s="407" t="inlineStr">
        <is>
          <t>Actual</t>
        </is>
      </c>
      <c r="F323" s="605" t="inlineStr">
        <is>
          <t>3812   DAHLIA              ST</t>
        </is>
      </c>
      <c r="G323" s="378" t="n">
        <v>44.1</v>
      </c>
      <c r="H323" s="378" t="n">
        <v>9101</v>
      </c>
      <c r="I323" s="403" t="n">
        <v>0</v>
      </c>
      <c r="J323" s="404" t="n">
        <v>6579</v>
      </c>
      <c r="K323" s="408" t="n">
        <v>6.14303085575315</v>
      </c>
      <c r="L323" s="409" t="n">
        <v>0</v>
      </c>
      <c r="M323" s="409" t="n">
        <v>0.146529753804281</v>
      </c>
      <c r="N323" s="378" t="n">
        <v>1926</v>
      </c>
      <c r="O323" s="393" t="n">
        <v>1620</v>
      </c>
      <c r="Q323" s="605" t="n">
        <v>10</v>
      </c>
      <c r="R323" s="605" t="n">
        <v>1</v>
      </c>
      <c r="S323" s="605" t="n">
        <v>1</v>
      </c>
      <c r="T323" s="403" t="inlineStr">
        <is>
          <t xml:space="preserve">I0   </t>
        </is>
      </c>
      <c r="U323" s="403" t="n">
        <v>398</v>
      </c>
      <c r="V323" s="404" t="n">
        <v>92437</v>
      </c>
      <c r="W323" s="404" t="n">
        <v>92000</v>
      </c>
      <c r="X323" s="410" t="inlineStr">
        <is>
          <t>14.1:1</t>
        </is>
      </c>
      <c r="Y323" s="404" t="n">
        <v>7000</v>
      </c>
      <c r="Z323" s="403" t="inlineStr">
        <is>
          <t xml:space="preserve">C </t>
        </is>
      </c>
      <c r="AC323" s="378" t="n"/>
      <c r="AD323" s="384" t="n"/>
      <c r="AE323" s="145" t="n"/>
      <c r="AF323" s="145" t="n"/>
      <c r="AG323" s="145" t="n"/>
      <c r="AH323" s="145" t="n"/>
      <c r="AI323" s="145" t="n"/>
      <c r="AJ323" s="145" t="n"/>
      <c r="AK323" s="411" t="inlineStr">
        <is>
          <t xml:space="preserve">2008 LEASES; HUGE L-TO-B RATIO; INCLUDES 2 LARGE LAND LEASES.     </t>
        </is>
      </c>
      <c r="AM323" s="605" t="n"/>
    </row>
    <row r="324" ht="12.75" customHeight="1" s="545">
      <c r="A324" s="388" t="n">
        <v>7</v>
      </c>
      <c r="B324" s="605" t="n">
        <v>315</v>
      </c>
      <c r="C324" s="384" t="inlineStr">
        <is>
          <t>2011Q</t>
        </is>
      </c>
      <c r="D324" s="605" t="inlineStr">
        <is>
          <t xml:space="preserve">01194-00-240-000 </t>
        </is>
      </c>
      <c r="E324" s="407" t="inlineStr">
        <is>
          <t>Actual</t>
        </is>
      </c>
      <c r="F324" s="605" t="inlineStr">
        <is>
          <t>5055 E 41ST                AV</t>
        </is>
      </c>
      <c r="G324" s="378" t="n">
        <v>44.1</v>
      </c>
      <c r="H324" s="378" t="n">
        <v>9101</v>
      </c>
      <c r="I324" s="403" t="n">
        <v>0</v>
      </c>
      <c r="J324" s="404" t="n">
        <v>73030</v>
      </c>
      <c r="K324" s="408" t="n">
        <v>2.46474051759551</v>
      </c>
      <c r="L324" s="409" t="n">
        <v>0</v>
      </c>
      <c r="M324" s="409" t="n">
        <v>0.0633666666666667</v>
      </c>
      <c r="N324" s="378" t="n">
        <v>1969</v>
      </c>
      <c r="O324" s="393" t="n">
        <v>5937</v>
      </c>
      <c r="Q324" s="605" t="n">
        <v>20</v>
      </c>
      <c r="R324" s="605" t="n">
        <v>3</v>
      </c>
      <c r="S324" s="605" t="n">
        <v>1</v>
      </c>
      <c r="T324" s="403" t="inlineStr">
        <is>
          <t xml:space="preserve">I1   </t>
        </is>
      </c>
      <c r="U324" s="403" t="n">
        <v>398</v>
      </c>
      <c r="V324" s="404" t="n">
        <v>124455</v>
      </c>
      <c r="W324" s="404" t="n">
        <v>120000</v>
      </c>
      <c r="X324" s="410" t="inlineStr">
        <is>
          <t>1.7:1</t>
        </is>
      </c>
      <c r="Y324" s="404" t="n">
        <v>73000</v>
      </c>
      <c r="Z324" s="403" t="inlineStr">
        <is>
          <t xml:space="preserve">C </t>
        </is>
      </c>
      <c r="AC324" s="378" t="n"/>
      <c r="AD324" s="384" t="inlineStr">
        <is>
          <t xml:space="preserve">VANASK II           </t>
        </is>
      </c>
      <c r="AE324" s="145" t="n"/>
      <c r="AF324" s="145" t="n"/>
      <c r="AG324" s="145" t="n"/>
      <c r="AH324" s="145" t="n"/>
      <c r="AI324" s="145" t="n"/>
      <c r="AJ324" s="145" t="n"/>
      <c r="AK324" s="411" t="n"/>
      <c r="AM324" s="605" t="n"/>
    </row>
    <row r="325" ht="12.75" customHeight="1" s="545">
      <c r="A325" s="388" t="n">
        <v>7</v>
      </c>
      <c r="B325" s="605" t="n">
        <v>316</v>
      </c>
      <c r="C325" s="384" t="inlineStr">
        <is>
          <t>2011Q</t>
        </is>
      </c>
      <c r="D325" s="605" t="inlineStr">
        <is>
          <t xml:space="preserve">01194-01-002-000 </t>
        </is>
      </c>
      <c r="E325" s="407" t="inlineStr">
        <is>
          <t>Actual</t>
        </is>
      </c>
      <c r="F325" s="605" t="inlineStr">
        <is>
          <t>4981 E 39TH                AV</t>
        </is>
      </c>
      <c r="G325" s="378" t="n">
        <v>44.1</v>
      </c>
      <c r="H325" s="378" t="n">
        <v>9101</v>
      </c>
      <c r="I325" s="403" t="n">
        <v>0</v>
      </c>
      <c r="J325" s="404" t="n">
        <v>7000</v>
      </c>
      <c r="K325" s="408" t="n">
        <v>5.14285714285714</v>
      </c>
      <c r="L325" s="409" t="n">
        <v>0</v>
      </c>
      <c r="M325" s="409" t="n">
        <v>0</v>
      </c>
      <c r="N325" s="378" t="n">
        <v>1963</v>
      </c>
      <c r="O325" s="393" t="n">
        <v>1400</v>
      </c>
      <c r="Q325" s="605" t="n">
        <v>12</v>
      </c>
      <c r="R325" s="605" t="n">
        <v>3</v>
      </c>
      <c r="S325" s="605" t="n">
        <v>1</v>
      </c>
      <c r="T325" s="403" t="inlineStr">
        <is>
          <t xml:space="preserve">I1   </t>
        </is>
      </c>
      <c r="U325" s="403" t="n">
        <v>398</v>
      </c>
      <c r="V325" s="404" t="n">
        <v>18600</v>
      </c>
      <c r="W325" s="404" t="n">
        <v>19000</v>
      </c>
      <c r="X325" s="410" t="inlineStr">
        <is>
          <t>2.7:1</t>
        </is>
      </c>
      <c r="Y325" s="404" t="n">
        <v>7000</v>
      </c>
      <c r="Z325" s="403" t="inlineStr">
        <is>
          <t xml:space="preserve">C </t>
        </is>
      </c>
      <c r="AC325" s="378" t="n"/>
      <c r="AD325" s="384" t="n"/>
      <c r="AE325" s="145" t="n"/>
      <c r="AF325" s="145" t="n"/>
      <c r="AG325" s="145" t="n"/>
      <c r="AH325" s="145" t="n"/>
      <c r="AI325" s="145" t="n"/>
      <c r="AJ325" s="145" t="n"/>
      <c r="AK325" s="411" t="inlineStr">
        <is>
          <t xml:space="preserve">MO-TO-MO.                                                         </t>
        </is>
      </c>
      <c r="AM325" s="605" t="n"/>
    </row>
    <row r="326" ht="12.75" customHeight="1" s="545">
      <c r="A326" s="388" t="n">
        <v>7</v>
      </c>
      <c r="B326" s="605" t="n">
        <v>317</v>
      </c>
      <c r="C326" s="384" t="inlineStr">
        <is>
          <t>2011Q</t>
        </is>
      </c>
      <c r="D326" s="605" t="inlineStr">
        <is>
          <t xml:space="preserve">01194-03-002-000 </t>
        </is>
      </c>
      <c r="E326" s="407" t="inlineStr">
        <is>
          <t>Actual</t>
        </is>
      </c>
      <c r="F326" s="605" t="inlineStr">
        <is>
          <t>3875   ELM                 ST</t>
        </is>
      </c>
      <c r="G326" s="378" t="n">
        <v>44.1</v>
      </c>
      <c r="H326" s="378" t="n">
        <v>9101</v>
      </c>
      <c r="I326" s="403" t="n">
        <v>0</v>
      </c>
      <c r="J326" s="404" t="n">
        <v>7200</v>
      </c>
      <c r="K326" s="408" t="n">
        <v>5.83333333333333</v>
      </c>
      <c r="L326" s="409" t="n">
        <v>0</v>
      </c>
      <c r="M326" s="409" t="n">
        <v>0.107357142857143</v>
      </c>
      <c r="N326" s="378" t="n">
        <v>1962</v>
      </c>
      <c r="O326" s="393" t="n">
        <v>2411</v>
      </c>
      <c r="Q326" s="605" t="n">
        <v>12</v>
      </c>
      <c r="R326" s="605" t="n">
        <v>3</v>
      </c>
      <c r="S326" s="605" t="n">
        <v>1</v>
      </c>
      <c r="T326" s="403" t="inlineStr">
        <is>
          <t xml:space="preserve">I0   </t>
        </is>
      </c>
      <c r="U326" s="403" t="n">
        <v>398</v>
      </c>
      <c r="V326" s="404" t="n">
        <v>19800</v>
      </c>
      <c r="W326" s="404" t="n">
        <v>20000</v>
      </c>
      <c r="X326" s="410" t="inlineStr">
        <is>
          <t>2.8:1</t>
        </is>
      </c>
      <c r="Y326" s="404" t="n">
        <v>7000</v>
      </c>
      <c r="Z326" s="403" t="inlineStr">
        <is>
          <t xml:space="preserve">C </t>
        </is>
      </c>
      <c r="AC326" s="378" t="n"/>
      <c r="AD326" s="384" t="inlineStr">
        <is>
          <t xml:space="preserve">DIST    AIRPRO      </t>
        </is>
      </c>
      <c r="AE326" s="145" t="n"/>
      <c r="AF326" s="145" t="n"/>
      <c r="AG326" s="145" t="n"/>
      <c r="AH326" s="145" t="n"/>
      <c r="AI326" s="145" t="n"/>
      <c r="AJ326" s="145" t="n"/>
      <c r="AK326" s="411" t="inlineStr">
        <is>
          <t xml:space="preserve">2008 LEASE.                                                       </t>
        </is>
      </c>
      <c r="AM326" s="605" t="n"/>
    </row>
    <row r="327" ht="12.75" customHeight="1" s="545">
      <c r="A327" s="388" t="n">
        <v>7</v>
      </c>
      <c r="B327" s="605" t="n">
        <v>318</v>
      </c>
      <c r="C327" s="384" t="inlineStr">
        <is>
          <t>2011Q</t>
        </is>
      </c>
      <c r="D327" s="605" t="inlineStr">
        <is>
          <t xml:space="preserve">01194-03-006-000 </t>
        </is>
      </c>
      <c r="E327" s="407" t="inlineStr">
        <is>
          <t>Actual</t>
        </is>
      </c>
      <c r="F327" s="605" t="inlineStr">
        <is>
          <t>4940 E 39TH                AV</t>
        </is>
      </c>
      <c r="G327" s="392" t="n">
        <v>44.1</v>
      </c>
      <c r="H327" s="378" t="n">
        <v>9101</v>
      </c>
      <c r="I327" s="403" t="n">
        <v>0</v>
      </c>
      <c r="J327" s="404" t="n">
        <v>6272</v>
      </c>
      <c r="K327" s="408" t="n">
        <v>5.83003826530612</v>
      </c>
      <c r="L327" s="409" t="n">
        <v>0</v>
      </c>
      <c r="M327" s="409" t="n">
        <v>0.0531914893617021</v>
      </c>
      <c r="N327" s="378" t="n">
        <v>1966</v>
      </c>
      <c r="O327" s="393" t="n">
        <v>1040</v>
      </c>
      <c r="Q327" s="605" t="n">
        <v>12</v>
      </c>
      <c r="R327" s="605" t="n">
        <v>1</v>
      </c>
      <c r="S327" s="605" t="n">
        <v>1</v>
      </c>
      <c r="T327" s="403" t="inlineStr">
        <is>
          <t xml:space="preserve">I1   </t>
        </is>
      </c>
      <c r="U327" s="403" t="n">
        <v>401</v>
      </c>
      <c r="V327" s="404" t="n">
        <v>12951</v>
      </c>
      <c r="W327" s="404" t="n">
        <v>13000</v>
      </c>
      <c r="X327" s="410" t="inlineStr">
        <is>
          <t>2.1:1</t>
        </is>
      </c>
      <c r="Y327" s="404" t="n">
        <v>6000</v>
      </c>
      <c r="Z327" s="403" t="inlineStr">
        <is>
          <t xml:space="preserve">C </t>
        </is>
      </c>
      <c r="AC327" s="378" t="n"/>
      <c r="AD327" s="384" t="inlineStr">
        <is>
          <t>S-M BC PRINTING INC.</t>
        </is>
      </c>
      <c r="AE327" s="145" t="n"/>
      <c r="AF327" s="145" t="n"/>
      <c r="AG327" s="145" t="n"/>
      <c r="AH327" s="145" t="n"/>
      <c r="AI327" s="145" t="n"/>
      <c r="AJ327" s="145" t="n"/>
      <c r="AK327" s="411" t="n"/>
      <c r="AM327" s="605" t="n"/>
    </row>
    <row r="328" ht="25.5" customHeight="1" s="545">
      <c r="A328" s="388" t="n">
        <v>7</v>
      </c>
      <c r="B328" s="605" t="n">
        <v>319</v>
      </c>
      <c r="C328" s="384" t="inlineStr">
        <is>
          <t>2011Q</t>
        </is>
      </c>
      <c r="D328" s="605" t="inlineStr">
        <is>
          <t xml:space="preserve">01194-04-001-000 </t>
        </is>
      </c>
      <c r="E328" s="407" t="inlineStr">
        <is>
          <t>Actual</t>
        </is>
      </c>
      <c r="F328" s="605" t="inlineStr">
        <is>
          <t>3835   ELM                 ST</t>
        </is>
      </c>
      <c r="G328" s="392" t="n">
        <v>44.2</v>
      </c>
      <c r="H328" s="378" t="n">
        <v>9101</v>
      </c>
      <c r="I328" s="403" t="n">
        <v>0</v>
      </c>
      <c r="J328" s="404" t="n">
        <v>18000</v>
      </c>
      <c r="K328" s="408" t="n">
        <v>4.62333333333333</v>
      </c>
      <c r="L328" s="409" t="n">
        <v>0</v>
      </c>
      <c r="M328" s="409" t="n">
        <v>0.260706560922855</v>
      </c>
      <c r="N328" s="378" t="n">
        <v>1962</v>
      </c>
      <c r="O328" s="393" t="n">
        <v>9120</v>
      </c>
      <c r="Q328" s="605" t="n">
        <v>13</v>
      </c>
      <c r="R328" s="605" t="n">
        <v>3</v>
      </c>
      <c r="S328" s="605" t="n">
        <v>6</v>
      </c>
      <c r="T328" s="403" t="inlineStr">
        <is>
          <t xml:space="preserve">I0   </t>
        </is>
      </c>
      <c r="U328" s="403" t="n">
        <v>398</v>
      </c>
      <c r="V328" s="404" t="n">
        <v>41400</v>
      </c>
      <c r="W328" s="404" t="n">
        <v>41000</v>
      </c>
      <c r="X328" s="410" t="inlineStr">
        <is>
          <t>2.3:1</t>
        </is>
      </c>
      <c r="Y328" s="404" t="n">
        <v>18000</v>
      </c>
      <c r="Z328" s="403" t="inlineStr">
        <is>
          <t xml:space="preserve">C </t>
        </is>
      </c>
      <c r="AC328" s="378" t="n"/>
      <c r="AD328" s="384" t="inlineStr">
        <is>
          <t xml:space="preserve">DIST/MULTI TENANT   </t>
        </is>
      </c>
      <c r="AE328" s="145" t="n"/>
      <c r="AF328" s="145" t="n"/>
      <c r="AG328" s="145" t="n"/>
      <c r="AH328" s="145" t="n"/>
      <c r="AI328" s="145" t="n"/>
      <c r="AJ328" s="145" t="n"/>
      <c r="AK328" s="411" t="inlineStr">
        <is>
          <t xml:space="preserve">2008-2010 LEASES;  GROSS LEASING BASIS IS ATYPICAL.               </t>
        </is>
      </c>
      <c r="AM328" s="605" t="n"/>
    </row>
    <row r="329" ht="23.25" customHeight="1" s="545">
      <c r="A329" s="388" t="n">
        <v>7</v>
      </c>
      <c r="B329" s="605" t="n">
        <v>320</v>
      </c>
      <c r="C329" s="384" t="inlineStr">
        <is>
          <t>2011Q</t>
        </is>
      </c>
      <c r="D329" s="605" t="inlineStr">
        <is>
          <t xml:space="preserve">01201-19-020-000 </t>
        </is>
      </c>
      <c r="E329" s="407" t="inlineStr">
        <is>
          <t>Actual</t>
        </is>
      </c>
      <c r="F329" s="605" t="inlineStr">
        <is>
          <t>6804 E 48TH                AV</t>
        </is>
      </c>
      <c r="G329" s="392" t="n">
        <v>44.2</v>
      </c>
      <c r="H329" s="378" t="n">
        <v>9101</v>
      </c>
      <c r="I329" s="403" t="n">
        <v>0</v>
      </c>
      <c r="J329" s="404" t="n">
        <v>46464</v>
      </c>
      <c r="K329" s="408" t="n">
        <v>5.21410123966942</v>
      </c>
      <c r="L329" s="409" t="n">
        <v>0</v>
      </c>
      <c r="M329" s="409" t="n">
        <v>0.0396626876021596</v>
      </c>
      <c r="N329" s="378" t="n">
        <v>1973</v>
      </c>
      <c r="O329" s="393" t="n">
        <v>5987</v>
      </c>
      <c r="Q329" s="605" t="n">
        <v>15</v>
      </c>
      <c r="R329" s="605" t="n">
        <v>10</v>
      </c>
      <c r="S329" s="605" t="n">
        <v>8</v>
      </c>
      <c r="T329" s="403" t="inlineStr">
        <is>
          <t xml:space="preserve">I2   </t>
        </is>
      </c>
      <c r="U329" s="403" t="n">
        <v>398</v>
      </c>
      <c r="V329" s="404" t="n">
        <v>97473</v>
      </c>
      <c r="W329" s="404" t="n">
        <v>97000</v>
      </c>
      <c r="X329" s="410" t="inlineStr">
        <is>
          <t>2.1:1</t>
        </is>
      </c>
      <c r="Y329" s="404" t="n">
        <v>46000</v>
      </c>
      <c r="Z329" s="403" t="inlineStr">
        <is>
          <t xml:space="preserve">C </t>
        </is>
      </c>
      <c r="AC329" s="378" t="n"/>
      <c r="AD329" s="384" t="n"/>
      <c r="AE329" s="145" t="n"/>
      <c r="AF329" s="145" t="n"/>
      <c r="AG329" s="145" t="n"/>
      <c r="AH329" s="145" t="n"/>
      <c r="AI329" s="145" t="n"/>
      <c r="AJ329" s="145" t="n"/>
      <c r="AK329" s="411" t="inlineStr">
        <is>
          <t xml:space="preserve">MOSTLY BASE PERIOD LEASES BUT NOT ALL.                            </t>
        </is>
      </c>
      <c r="AM329" s="605" t="n"/>
    </row>
    <row r="330" ht="12.75" customHeight="1" s="545">
      <c r="A330" s="388" t="n">
        <v>7</v>
      </c>
      <c r="B330" s="605" t="n">
        <v>321</v>
      </c>
      <c r="C330" s="384" t="inlineStr">
        <is>
          <t>2011Q</t>
        </is>
      </c>
      <c r="D330" s="605" t="inlineStr">
        <is>
          <t xml:space="preserve">01202-00-081-000 </t>
        </is>
      </c>
      <c r="E330" s="407" t="inlineStr">
        <is>
          <t>Actual</t>
        </is>
      </c>
      <c r="F330" s="605" t="inlineStr">
        <is>
          <t>4780   HOLLY               ST</t>
        </is>
      </c>
      <c r="G330" s="392" t="n">
        <v>44.2</v>
      </c>
      <c r="H330" s="378" t="n">
        <v>9101</v>
      </c>
      <c r="I330" s="403" t="n">
        <v>0</v>
      </c>
      <c r="J330" s="404" t="n">
        <v>46176</v>
      </c>
      <c r="K330" s="408" t="n">
        <v>3.41768451143451</v>
      </c>
      <c r="L330" s="409" t="n">
        <v>0</v>
      </c>
      <c r="M330" s="409" t="n">
        <v>0.0868548617051611</v>
      </c>
      <c r="N330" s="378" t="n">
        <v>1974</v>
      </c>
      <c r="O330" s="393" t="n">
        <v>5160</v>
      </c>
      <c r="Q330" s="605" t="n">
        <v>27</v>
      </c>
      <c r="R330" s="605" t="n">
        <v>14</v>
      </c>
      <c r="S330" s="605" t="n">
        <v>2</v>
      </c>
      <c r="T330" s="403" t="inlineStr">
        <is>
          <t xml:space="preserve">I2   </t>
        </is>
      </c>
      <c r="U330" s="403" t="n">
        <v>398</v>
      </c>
      <c r="V330" s="404" t="n">
        <v>77626</v>
      </c>
      <c r="W330" s="404" t="n">
        <v>78000</v>
      </c>
      <c r="X330" s="410" t="inlineStr">
        <is>
          <t>1.7:1</t>
        </is>
      </c>
      <c r="Y330" s="404" t="n">
        <v>46000</v>
      </c>
      <c r="Z330" s="403" t="inlineStr">
        <is>
          <t xml:space="preserve">C </t>
        </is>
      </c>
      <c r="AC330" s="378" t="n"/>
      <c r="AD330" s="384" t="inlineStr">
        <is>
          <t xml:space="preserve">DIST/ MULTI TENANT  </t>
        </is>
      </c>
      <c r="AE330" s="145" t="n"/>
      <c r="AF330" s="145" t="n"/>
      <c r="AG330" s="145" t="n"/>
      <c r="AH330" s="145" t="n"/>
      <c r="AI330" s="145" t="n"/>
      <c r="AJ330" s="145" t="n"/>
      <c r="AK330" s="411" t="inlineStr">
        <is>
          <t xml:space="preserve">2008/2009 LEASES.                                                 </t>
        </is>
      </c>
      <c r="AM330" s="605" t="n"/>
    </row>
    <row r="331" ht="12.75" customHeight="1" s="545">
      <c r="A331" s="388" t="n">
        <v>7</v>
      </c>
      <c r="B331" s="605" t="n">
        <v>322</v>
      </c>
      <c r="C331" s="605" t="inlineStr">
        <is>
          <t>2011W</t>
        </is>
      </c>
      <c r="D331" s="605" t="inlineStr">
        <is>
          <t>01202-00-094-000</t>
        </is>
      </c>
      <c r="E331" s="605" t="inlineStr">
        <is>
          <t xml:space="preserve">  Actual</t>
        </is>
      </c>
      <c r="F331" s="605" t="inlineStr">
        <is>
          <t>4570 Ivy St.</t>
        </is>
      </c>
      <c r="G331" s="605" t="n">
        <v>44.4</v>
      </c>
      <c r="H331" s="605" t="n">
        <v>9101</v>
      </c>
      <c r="I331" s="605" t="inlineStr">
        <is>
          <t xml:space="preserve"> ^    0</t>
        </is>
      </c>
      <c r="J331" s="605" t="n">
        <v>144820</v>
      </c>
      <c r="K331" s="414" t="n">
        <v>5.25</v>
      </c>
      <c r="L331" s="153" t="n">
        <v>0.07000000000000001</v>
      </c>
      <c r="M331" s="409" t="n">
        <v>0</v>
      </c>
      <c r="N331" s="605" t="n">
        <v>1985</v>
      </c>
      <c r="O331" s="393" t="n">
        <v>23519</v>
      </c>
      <c r="Q331" s="605" t="n">
        <v>21</v>
      </c>
      <c r="R331" s="605" t="n">
        <v>10</v>
      </c>
      <c r="S331" s="605" t="n">
        <v>7</v>
      </c>
      <c r="T331" s="605" t="inlineStr">
        <is>
          <t xml:space="preserve">      I2</t>
        </is>
      </c>
      <c r="U331" s="605" t="n">
        <v>398</v>
      </c>
      <c r="V331" s="393" t="n">
        <v>311856</v>
      </c>
      <c r="W331" s="605" t="n">
        <v>300000</v>
      </c>
      <c r="X331" s="605" t="inlineStr">
        <is>
          <t xml:space="preserve">           2.1:1</t>
        </is>
      </c>
      <c r="Y331" s="605" t="n">
        <v>140000</v>
      </c>
      <c r="Z331" s="605" t="inlineStr">
        <is>
          <t>B</t>
        </is>
      </c>
      <c r="AA331" s="605" t="n">
        <v>3</v>
      </c>
      <c r="AB331" s="605" t="n">
        <v>3</v>
      </c>
      <c r="AC331" s="605" t="n">
        <v>33</v>
      </c>
      <c r="AM331" s="605" t="n"/>
    </row>
    <row r="332" ht="12.75" customHeight="1" s="545">
      <c r="A332" s="388" t="n">
        <v>7</v>
      </c>
      <c r="B332" s="605" t="n">
        <v>323</v>
      </c>
      <c r="C332" s="384" t="inlineStr">
        <is>
          <t>2011Q</t>
        </is>
      </c>
      <c r="D332" s="605" t="inlineStr">
        <is>
          <t xml:space="preserve">01202-00-126-000 </t>
        </is>
      </c>
      <c r="E332" s="407" t="inlineStr">
        <is>
          <t>Actual</t>
        </is>
      </c>
      <c r="F332" s="605" t="inlineStr">
        <is>
          <t>4760   HOLLY               ST</t>
        </is>
      </c>
      <c r="G332" s="392" t="n">
        <v>44.2</v>
      </c>
      <c r="H332" s="378" t="n">
        <v>9101</v>
      </c>
      <c r="I332" s="403" t="n">
        <v>0</v>
      </c>
      <c r="J332" s="404" t="n">
        <v>21280</v>
      </c>
      <c r="K332" s="408" t="n">
        <v>7.89473684210526</v>
      </c>
      <c r="L332" s="409" t="n">
        <v>0</v>
      </c>
      <c r="M332" s="409" t="n">
        <v>0</v>
      </c>
      <c r="N332" s="378" t="n">
        <v>1974</v>
      </c>
      <c r="O332" s="393" t="n">
        <v>2700</v>
      </c>
      <c r="Q332" s="605" t="n">
        <v>28</v>
      </c>
      <c r="R332" s="605" t="n">
        <v>10</v>
      </c>
      <c r="S332" s="605" t="n">
        <v>1</v>
      </c>
      <c r="T332" s="403" t="inlineStr">
        <is>
          <t xml:space="preserve">I2   </t>
        </is>
      </c>
      <c r="U332" s="403" t="n">
        <v>398</v>
      </c>
      <c r="V332" s="404" t="n">
        <v>89455</v>
      </c>
      <c r="W332" s="404" t="n">
        <v>89000</v>
      </c>
      <c r="X332" s="410" t="inlineStr">
        <is>
          <t>4.2:1</t>
        </is>
      </c>
      <c r="Y332" s="404" t="n">
        <v>21000</v>
      </c>
      <c r="Z332" s="403" t="inlineStr">
        <is>
          <t xml:space="preserve">C </t>
        </is>
      </c>
      <c r="AC332" s="378" t="n"/>
      <c r="AD332" s="384" t="inlineStr">
        <is>
          <t xml:space="preserve">COLO DRYWALL SUPPLY </t>
        </is>
      </c>
      <c r="AE332" s="145" t="n"/>
      <c r="AF332" s="145" t="n"/>
      <c r="AG332" s="145" t="n"/>
      <c r="AH332" s="145" t="n"/>
      <c r="AI332" s="145" t="n"/>
      <c r="AJ332" s="145" t="n"/>
      <c r="AK332" s="411" t="inlineStr">
        <is>
          <t xml:space="preserve">2008 LEASE.                                                       </t>
        </is>
      </c>
      <c r="AM332" s="605" t="n"/>
    </row>
    <row r="333" ht="12.75" customHeight="1" s="545">
      <c r="A333" s="388" t="n">
        <v>7</v>
      </c>
      <c r="B333" s="605" t="n">
        <v>325</v>
      </c>
      <c r="C333" s="384" t="inlineStr">
        <is>
          <t>2011Q</t>
        </is>
      </c>
      <c r="D333" s="605" t="inlineStr">
        <is>
          <t xml:space="preserve">01203-00-073-000 </t>
        </is>
      </c>
      <c r="E333" s="407" t="inlineStr">
        <is>
          <t>Actual</t>
        </is>
      </c>
      <c r="F333" s="605" t="inlineStr">
        <is>
          <t>3880   HOLLY               ST</t>
        </is>
      </c>
      <c r="G333" s="392" t="n">
        <v>47.1</v>
      </c>
      <c r="H333" s="378" t="n">
        <v>9101</v>
      </c>
      <c r="I333" s="403" t="n">
        <v>0</v>
      </c>
      <c r="J333" s="404" t="n">
        <v>40388</v>
      </c>
      <c r="K333" s="408" t="n">
        <v>2.97117955828464</v>
      </c>
      <c r="L333" s="409" t="n">
        <v>0</v>
      </c>
      <c r="M333" s="409" t="n">
        <v>0</v>
      </c>
      <c r="N333" s="378" t="n">
        <v>1965</v>
      </c>
      <c r="O333" s="393" t="n">
        <v>8677</v>
      </c>
      <c r="Q333" s="605" t="n">
        <v>19</v>
      </c>
      <c r="R333" s="605" t="n">
        <v>4</v>
      </c>
      <c r="S333" s="605" t="n">
        <v>1</v>
      </c>
      <c r="T333" s="403" t="inlineStr">
        <is>
          <t xml:space="preserve">I0   </t>
        </is>
      </c>
      <c r="U333" s="403" t="n">
        <v>398</v>
      </c>
      <c r="V333" s="404" t="n">
        <v>106128</v>
      </c>
      <c r="W333" s="404" t="n">
        <v>110000</v>
      </c>
      <c r="X333" s="410" t="inlineStr">
        <is>
          <t>2.6:1</t>
        </is>
      </c>
      <c r="Y333" s="404" t="n">
        <v>40000</v>
      </c>
      <c r="Z333" s="403" t="inlineStr">
        <is>
          <t xml:space="preserve">C </t>
        </is>
      </c>
      <c r="AC333" s="378" t="n"/>
      <c r="AD333" s="384" t="inlineStr">
        <is>
          <t xml:space="preserve">DIST/BRASS SMITH    </t>
        </is>
      </c>
      <c r="AE333" s="145" t="n"/>
      <c r="AF333" s="145" t="n"/>
      <c r="AG333" s="145" t="n"/>
      <c r="AH333" s="145" t="n"/>
      <c r="AI333" s="145" t="n"/>
      <c r="AJ333" s="145" t="n"/>
      <c r="AK333" s="411" t="n"/>
      <c r="AM333" s="605" t="n"/>
    </row>
    <row r="334" ht="25.5" customHeight="1" s="545">
      <c r="A334" s="388" t="n">
        <v>7</v>
      </c>
      <c r="B334" s="605" t="n">
        <v>328</v>
      </c>
      <c r="C334" s="384" t="inlineStr">
        <is>
          <t>2011Q</t>
        </is>
      </c>
      <c r="D334" s="605" t="inlineStr">
        <is>
          <t xml:space="preserve">01204-00-019-000 </t>
        </is>
      </c>
      <c r="E334" s="407" t="inlineStr">
        <is>
          <t>Actual</t>
        </is>
      </c>
      <c r="F334" s="605" t="inlineStr">
        <is>
          <t>4200   MONACO              ST</t>
        </is>
      </c>
      <c r="G334" s="392" t="n">
        <v>44.3</v>
      </c>
      <c r="H334" s="378" t="n">
        <v>9101</v>
      </c>
      <c r="I334" s="403" t="n">
        <v>0</v>
      </c>
      <c r="J334" s="404" t="n">
        <v>112939</v>
      </c>
      <c r="K334" s="408" t="n">
        <v>3.42662853398737</v>
      </c>
      <c r="L334" s="409" t="n">
        <v>0</v>
      </c>
      <c r="M334" s="409" t="n">
        <v>0.0189948320413437</v>
      </c>
      <c r="N334" s="378" t="n">
        <v>1964</v>
      </c>
      <c r="O334" s="393" t="n">
        <v>1978</v>
      </c>
      <c r="P334" s="393" t="n">
        <v>7424</v>
      </c>
      <c r="Q334" s="605" t="n">
        <v>20</v>
      </c>
      <c r="R334" s="605" t="n">
        <v>1</v>
      </c>
      <c r="S334" s="605" t="n">
        <v>1</v>
      </c>
      <c r="T334" s="403" t="inlineStr">
        <is>
          <t xml:space="preserve">I2   </t>
        </is>
      </c>
      <c r="U334" s="403" t="n">
        <v>398</v>
      </c>
      <c r="V334" s="404" t="n">
        <v>317968</v>
      </c>
      <c r="W334" s="404" t="n">
        <v>320000</v>
      </c>
      <c r="X334" s="410" t="inlineStr">
        <is>
          <t>2.8:1</t>
        </is>
      </c>
      <c r="Y334" s="404" t="n">
        <v>110000</v>
      </c>
      <c r="Z334" s="403" t="inlineStr">
        <is>
          <t xml:space="preserve">C </t>
        </is>
      </c>
      <c r="AC334" s="378" t="n"/>
      <c r="AD334" s="384" t="inlineStr">
        <is>
          <t xml:space="preserve">ANKMAR DOORS        </t>
        </is>
      </c>
      <c r="AE334" s="145" t="n"/>
      <c r="AF334" s="145" t="n"/>
      <c r="AG334" s="145" t="n"/>
      <c r="AH334" s="145" t="n"/>
      <c r="AI334" s="145" t="n"/>
      <c r="AJ334" s="145" t="n"/>
      <c r="AK334" s="411" t="inlineStr">
        <is>
          <t xml:space="preserve">COMMENCEMENT DATE OF LEASE UNKNOWN.                               </t>
        </is>
      </c>
      <c r="AM334" s="605" t="n"/>
    </row>
    <row r="335" ht="25.5" customHeight="1" s="545">
      <c r="A335" s="388" t="n">
        <v>7</v>
      </c>
      <c r="B335" s="605" t="n">
        <v>329</v>
      </c>
      <c r="C335" s="384" t="inlineStr">
        <is>
          <t>2011Q</t>
        </is>
      </c>
      <c r="D335" s="605" t="inlineStr">
        <is>
          <t xml:space="preserve">01204-18-024-000 </t>
        </is>
      </c>
      <c r="E335" s="407" t="inlineStr">
        <is>
          <t>Actual</t>
        </is>
      </c>
      <c r="F335" s="605" t="inlineStr">
        <is>
          <t>3900   MAGNOLIA            ST</t>
        </is>
      </c>
      <c r="G335" s="392" t="n">
        <v>44.2</v>
      </c>
      <c r="H335" s="378" t="n">
        <v>9101</v>
      </c>
      <c r="I335" s="403" t="n">
        <v>0</v>
      </c>
      <c r="J335" s="404" t="n">
        <v>13000</v>
      </c>
      <c r="K335" s="408" t="n">
        <v>6.01461538461539</v>
      </c>
      <c r="L335" s="409" t="n">
        <v>0.12</v>
      </c>
      <c r="M335" s="409" t="n">
        <v>0.138035554418724</v>
      </c>
      <c r="N335" s="378" t="n">
        <v>1972</v>
      </c>
      <c r="O335" s="393" t="n">
        <v>792</v>
      </c>
      <c r="Q335" s="605" t="n">
        <v>14</v>
      </c>
      <c r="R335" s="605" t="n">
        <v>1</v>
      </c>
      <c r="S335" s="605" t="n">
        <v>4</v>
      </c>
      <c r="T335" s="403" t="inlineStr">
        <is>
          <t xml:space="preserve">I1   </t>
        </is>
      </c>
      <c r="U335" s="403" t="n">
        <v>398</v>
      </c>
      <c r="V335" s="404" t="n">
        <v>11800</v>
      </c>
      <c r="W335" s="404" t="n">
        <v>12000</v>
      </c>
      <c r="X335" s="410" t="inlineStr">
        <is>
          <t>0.9:1</t>
        </is>
      </c>
      <c r="Y335" s="404" t="n">
        <v>13000</v>
      </c>
      <c r="Z335" s="403" t="inlineStr">
        <is>
          <t xml:space="preserve">C </t>
        </is>
      </c>
      <c r="AC335" s="378" t="n"/>
      <c r="AD335" s="384" t="n"/>
      <c r="AE335" s="145" t="n"/>
      <c r="AF335" s="145" t="n"/>
      <c r="AG335" s="145" t="n"/>
      <c r="AH335" s="145" t="n"/>
      <c r="AI335" s="145" t="n"/>
      <c r="AJ335" s="145" t="n"/>
      <c r="AK335" s="411" t="inlineStr">
        <is>
          <t>8 UNITS, ALL LEASES MO-TO-MO. MOVED FROM 18-023 DKC. INCLUDES -025</t>
        </is>
      </c>
      <c r="AM335" s="605" t="n"/>
    </row>
    <row r="336" ht="12.75" customHeight="1" s="545">
      <c r="A336" s="388" t="n">
        <v>7</v>
      </c>
      <c r="B336" s="605" t="n">
        <v>330</v>
      </c>
      <c r="C336" s="403" t="inlineStr">
        <is>
          <t>2011W</t>
        </is>
      </c>
      <c r="D336" s="605" t="inlineStr">
        <is>
          <t>01204-22-001-000</t>
        </is>
      </c>
      <c r="E336" s="403" t="inlineStr">
        <is>
          <t>Actual</t>
        </is>
      </c>
      <c r="F336" s="605" t="inlineStr">
        <is>
          <t>3880-3886 Niagara St.</t>
        </is>
      </c>
      <c r="G336" s="412" t="inlineStr">
        <is>
          <t>442</t>
        </is>
      </c>
      <c r="H336" s="605" t="n">
        <v>9101</v>
      </c>
      <c r="I336" s="403" t="n">
        <v>0</v>
      </c>
      <c r="J336" s="393" t="n">
        <v>8400</v>
      </c>
      <c r="K336" s="154" t="n">
        <v>6.29</v>
      </c>
      <c r="L336" s="153" t="n">
        <v>0</v>
      </c>
      <c r="M336" s="153" t="n">
        <v>0.25</v>
      </c>
      <c r="N336" s="605" t="n">
        <v>1978</v>
      </c>
      <c r="O336" s="605" t="n">
        <v>1494</v>
      </c>
      <c r="P336" s="605" t="n"/>
      <c r="Q336" s="605" t="n">
        <v>17</v>
      </c>
      <c r="R336" s="605" t="n">
        <v>3</v>
      </c>
      <c r="S336" s="605" t="n">
        <v>4</v>
      </c>
      <c r="T336" s="403" t="inlineStr">
        <is>
          <t>I0</t>
        </is>
      </c>
      <c r="U336" s="403" t="n">
        <v>398</v>
      </c>
      <c r="V336" s="393" t="n">
        <v>17701</v>
      </c>
      <c r="W336" s="393" t="n">
        <v>20000</v>
      </c>
      <c r="X336" s="378" t="n">
        <v>2.5</v>
      </c>
      <c r="Y336" s="393" t="n">
        <v>8000</v>
      </c>
      <c r="Z336" s="403" t="inlineStr">
        <is>
          <t>C</t>
        </is>
      </c>
      <c r="AE336" s="377" t="n"/>
      <c r="AH336" s="145" t="n"/>
      <c r="AI336" s="145" t="n"/>
      <c r="AJ336" s="145" t="n"/>
      <c r="AK336" s="145" t="n"/>
      <c r="AL336" s="605">
        <f>IF(AND(ISNUMBER($S336),$S336&gt;0,ISNUMBER($K336),ISNUMBER($J336)),($K336*$J336)/$S336,"")</f>
        <v/>
      </c>
    </row>
    <row r="337" ht="12.75" customHeight="1" s="545">
      <c r="A337" s="388" t="n">
        <v>7</v>
      </c>
      <c r="B337" s="605" t="n">
        <v>331</v>
      </c>
      <c r="C337" s="384" t="inlineStr">
        <is>
          <t>2011Q</t>
        </is>
      </c>
      <c r="D337" s="605" t="inlineStr">
        <is>
          <t xml:space="preserve">01204-22-013-000 </t>
        </is>
      </c>
      <c r="E337" s="407" t="inlineStr">
        <is>
          <t>Actual</t>
        </is>
      </c>
      <c r="F337" s="605" t="inlineStr">
        <is>
          <t>6711 E 38TH                AV</t>
        </is>
      </c>
      <c r="G337" s="378" t="n">
        <v>44.1</v>
      </c>
      <c r="H337" s="378" t="n">
        <v>9101</v>
      </c>
      <c r="I337" s="403" t="n">
        <v>0</v>
      </c>
      <c r="J337" s="404" t="n">
        <v>6240</v>
      </c>
      <c r="K337" s="408" t="n">
        <v>5.76923076923077</v>
      </c>
      <c r="L337" s="409" t="n">
        <v>0</v>
      </c>
      <c r="M337" s="409" t="n">
        <v>0.0722222222222222</v>
      </c>
      <c r="N337" s="378" t="n">
        <v>1971</v>
      </c>
      <c r="O337" s="393" t="n">
        <v>2184</v>
      </c>
      <c r="Q337" s="605" t="n">
        <v>15</v>
      </c>
      <c r="R337" s="605" t="n">
        <v>1</v>
      </c>
      <c r="S337" s="605" t="n">
        <v>1</v>
      </c>
      <c r="T337" s="403" t="inlineStr">
        <is>
          <t xml:space="preserve">I0   </t>
        </is>
      </c>
      <c r="U337" s="403" t="n">
        <v>398</v>
      </c>
      <c r="V337" s="404" t="n">
        <v>35401</v>
      </c>
      <c r="W337" s="404" t="n">
        <v>35000</v>
      </c>
      <c r="X337" s="410" t="inlineStr">
        <is>
          <t>5.7:1</t>
        </is>
      </c>
      <c r="Y337" s="404" t="n">
        <v>6000</v>
      </c>
      <c r="Z337" s="403" t="inlineStr">
        <is>
          <t xml:space="preserve">C </t>
        </is>
      </c>
      <c r="AC337" s="378" t="n"/>
      <c r="AD337" s="384" t="n"/>
      <c r="AE337" s="145" t="n"/>
      <c r="AF337" s="145" t="n"/>
      <c r="AG337" s="145" t="n"/>
      <c r="AH337" s="145" t="n"/>
      <c r="AI337" s="145" t="n"/>
      <c r="AJ337" s="145" t="n"/>
      <c r="AK337" s="411" t="inlineStr">
        <is>
          <t xml:space="preserve">8-2009 LEASE/FIVE YEAR TERM                                       </t>
        </is>
      </c>
      <c r="AM337" s="605" t="n"/>
    </row>
    <row r="338" ht="12.75" customHeight="1" s="545">
      <c r="A338" s="388" t="n">
        <v>7</v>
      </c>
      <c r="B338" s="605" t="n">
        <v>332</v>
      </c>
      <c r="C338" s="384" t="inlineStr">
        <is>
          <t>2011Q</t>
        </is>
      </c>
      <c r="D338" s="605" t="inlineStr">
        <is>
          <t xml:space="preserve">01213-00-075-000 </t>
        </is>
      </c>
      <c r="E338" s="407" t="inlineStr">
        <is>
          <t>Actual</t>
        </is>
      </c>
      <c r="F338" s="605" t="inlineStr">
        <is>
          <t>7825 E 40TH                AV</t>
        </is>
      </c>
      <c r="G338" s="378" t="n">
        <v>44.1</v>
      </c>
      <c r="H338" s="378" t="n">
        <v>9101</v>
      </c>
      <c r="I338" s="403" t="n">
        <v>0</v>
      </c>
      <c r="J338" s="404" t="n">
        <v>4537</v>
      </c>
      <c r="K338" s="408" t="n">
        <v>5.28983910072735</v>
      </c>
      <c r="L338" s="409" t="n">
        <v>0</v>
      </c>
      <c r="M338" s="409" t="n">
        <v>0.073875</v>
      </c>
      <c r="N338" s="378" t="n">
        <v>1983</v>
      </c>
      <c r="O338" s="393" t="n">
        <v>1155</v>
      </c>
      <c r="Q338" s="605" t="n">
        <v>18</v>
      </c>
      <c r="R338" s="605" t="n">
        <v>8</v>
      </c>
      <c r="S338" s="605" t="n">
        <v>1</v>
      </c>
      <c r="T338" s="403" t="inlineStr">
        <is>
          <t xml:space="preserve">I2   </t>
        </is>
      </c>
      <c r="U338" s="403" t="n">
        <v>398</v>
      </c>
      <c r="V338" s="404" t="n">
        <v>25100</v>
      </c>
      <c r="W338" s="404" t="n">
        <v>25000</v>
      </c>
      <c r="X338" s="410" t="inlineStr">
        <is>
          <t>5.5:1</t>
        </is>
      </c>
      <c r="Y338" s="404" t="n">
        <v>5000</v>
      </c>
      <c r="Z338" s="403" t="inlineStr">
        <is>
          <t xml:space="preserve">C </t>
        </is>
      </c>
      <c r="AC338" s="378" t="n"/>
      <c r="AD338" s="384" t="inlineStr">
        <is>
          <t>S-D OILIND SUPPLY CO</t>
        </is>
      </c>
      <c r="AE338" s="145" t="n"/>
      <c r="AF338" s="145" t="n"/>
      <c r="AG338" s="145" t="n"/>
      <c r="AH338" s="145" t="n"/>
      <c r="AI338" s="145" t="n"/>
      <c r="AJ338" s="145" t="n"/>
      <c r="AK338" s="411" t="inlineStr">
        <is>
          <t xml:space="preserve">2008 LEASE.                                                       </t>
        </is>
      </c>
      <c r="AM338" s="605" t="n"/>
    </row>
    <row r="339" ht="25.5" customHeight="1" s="545">
      <c r="A339" s="388" t="n">
        <v>7</v>
      </c>
      <c r="B339" s="605" t="n">
        <v>333</v>
      </c>
      <c r="C339" s="384" t="inlineStr">
        <is>
          <t>2011Q</t>
        </is>
      </c>
      <c r="D339" s="605" t="inlineStr">
        <is>
          <t xml:space="preserve">01213-00-077-000 </t>
        </is>
      </c>
      <c r="E339" s="407" t="inlineStr">
        <is>
          <t>Actual</t>
        </is>
      </c>
      <c r="F339" s="605" t="inlineStr">
        <is>
          <t>8025 E 40TH                AV</t>
        </is>
      </c>
      <c r="G339" s="392" t="n">
        <v>44.2</v>
      </c>
      <c r="H339" s="378" t="n">
        <v>9101</v>
      </c>
      <c r="I339" s="403" t="n">
        <v>0</v>
      </c>
      <c r="J339" s="404" t="n">
        <v>3400</v>
      </c>
      <c r="K339" s="408" t="n">
        <v>8.294117647058821</v>
      </c>
      <c r="L339" s="409" t="n">
        <v>0</v>
      </c>
      <c r="M339" s="409" t="n">
        <v>0.0830141843971631</v>
      </c>
      <c r="N339" s="378" t="n">
        <v>1959</v>
      </c>
      <c r="O339" s="393" t="n">
        <v>10174</v>
      </c>
      <c r="Q339" s="605" t="n">
        <v>14</v>
      </c>
      <c r="R339" s="605" t="n">
        <v>1</v>
      </c>
      <c r="S339" s="605" t="n">
        <v>3</v>
      </c>
      <c r="T339" s="403" t="inlineStr">
        <is>
          <t xml:space="preserve">I2   </t>
        </is>
      </c>
      <c r="U339" s="403" t="n">
        <v>398</v>
      </c>
      <c r="V339" s="404" t="n">
        <v>80527</v>
      </c>
      <c r="W339" s="404" t="n">
        <v>81000</v>
      </c>
      <c r="X339" s="410" t="inlineStr">
        <is>
          <t>1.8:1</t>
        </is>
      </c>
      <c r="Y339" s="404" t="n">
        <v>3000</v>
      </c>
      <c r="Z339" s="403" t="inlineStr">
        <is>
          <t xml:space="preserve">C </t>
        </is>
      </c>
      <c r="AC339" s="378" t="n"/>
      <c r="AD339" s="384" t="inlineStr">
        <is>
          <t xml:space="preserve">M-W ASPEN BAKERY    </t>
        </is>
      </c>
      <c r="AE339" s="145" t="n"/>
      <c r="AF339" s="145" t="n"/>
      <c r="AG339" s="145" t="n"/>
      <c r="AH339" s="145" t="n"/>
      <c r="AI339" s="145" t="n"/>
      <c r="AJ339" s="145" t="n"/>
      <c r="AK339" s="411" t="inlineStr">
        <is>
          <t xml:space="preserve">44,596 SQ BLDG - ONLY 3,400 SF RENTAL UNIT ENTERED.               </t>
        </is>
      </c>
      <c r="AM339" s="605" t="n"/>
    </row>
    <row r="340" ht="25.5" customHeight="1" s="545">
      <c r="A340" s="388" t="n">
        <v>7</v>
      </c>
      <c r="B340" s="605" t="n">
        <v>334</v>
      </c>
      <c r="C340" s="384" t="inlineStr">
        <is>
          <t>2011Q</t>
        </is>
      </c>
      <c r="D340" s="605" t="inlineStr">
        <is>
          <t xml:space="preserve">01231-05-002-000 </t>
        </is>
      </c>
      <c r="E340" s="407" t="inlineStr">
        <is>
          <t>Actual</t>
        </is>
      </c>
      <c r="F340" s="605" t="inlineStr">
        <is>
          <t>4701   MOLINE              ST</t>
        </is>
      </c>
      <c r="G340" s="392" t="n">
        <v>44.4</v>
      </c>
      <c r="H340" s="378" t="n">
        <v>9102</v>
      </c>
      <c r="I340" s="403" t="n">
        <v>0</v>
      </c>
      <c r="J340" s="404" t="n">
        <v>104891</v>
      </c>
      <c r="K340" s="408" t="n">
        <v>4.93014653306766</v>
      </c>
      <c r="L340" s="409" t="n">
        <v>0</v>
      </c>
      <c r="M340" s="409" t="n">
        <v>0.14690946922232</v>
      </c>
      <c r="N340" s="378" t="n">
        <v>1985</v>
      </c>
      <c r="O340" s="393" t="n">
        <v>14479</v>
      </c>
      <c r="Q340" s="605" t="n">
        <v>24</v>
      </c>
      <c r="R340" s="605" t="n">
        <v>14</v>
      </c>
      <c r="S340" s="605" t="n">
        <v>8</v>
      </c>
      <c r="T340" s="403" t="inlineStr">
        <is>
          <t xml:space="preserve">I2   </t>
        </is>
      </c>
      <c r="U340" s="403" t="n">
        <v>398</v>
      </c>
      <c r="V340" s="404" t="n">
        <v>219619</v>
      </c>
      <c r="W340" s="404" t="n">
        <v>220000</v>
      </c>
      <c r="X340" s="410" t="inlineStr">
        <is>
          <t>2.1:1</t>
        </is>
      </c>
      <c r="Y340" s="404" t="n">
        <v>100000</v>
      </c>
      <c r="Z340" s="403" t="inlineStr">
        <is>
          <t xml:space="preserve">C </t>
        </is>
      </c>
      <c r="AC340" s="378" t="n"/>
      <c r="AD340" s="384" t="inlineStr">
        <is>
          <t xml:space="preserve">M-W DIST WAREHOUSE  </t>
        </is>
      </c>
      <c r="AE340" s="145" t="n"/>
      <c r="AF340" s="145" t="n"/>
      <c r="AG340" s="145" t="n"/>
      <c r="AH340" s="145" t="n"/>
      <c r="AI340" s="145" t="n"/>
      <c r="AJ340" s="145" t="n"/>
      <c r="AK340" s="411" t="inlineStr">
        <is>
          <t xml:space="preserve">LEASES 2007-2009; GROSS BASIS IS HIGHLY ATYPICAL FOR WHSES.       </t>
        </is>
      </c>
      <c r="AM340" s="605" t="n"/>
    </row>
    <row r="341" ht="25.5" customHeight="1" s="545">
      <c r="A341" s="388" t="n">
        <v>7</v>
      </c>
      <c r="B341" s="605" t="n">
        <v>334.3</v>
      </c>
      <c r="C341" s="403" t="inlineStr">
        <is>
          <t>2012W</t>
        </is>
      </c>
      <c r="D341" s="605" t="inlineStr">
        <is>
          <t>01231-06-002-000</t>
        </is>
      </c>
      <c r="E341" s="403" t="inlineStr">
        <is>
          <t>Lease</t>
        </is>
      </c>
      <c r="F341" s="605" t="inlineStr">
        <is>
          <t>11775 E 45th Ave</t>
        </is>
      </c>
      <c r="G341" s="412" t="inlineStr">
        <is>
          <t>44.1</t>
        </is>
      </c>
      <c r="H341" s="605" t="n">
        <v>9102</v>
      </c>
      <c r="I341" s="403" t="n">
        <v>0</v>
      </c>
      <c r="J341" s="393" t="n">
        <v>89867</v>
      </c>
      <c r="K341" s="154" t="n">
        <v>6.22</v>
      </c>
      <c r="L341" s="153" t="n">
        <v>0</v>
      </c>
      <c r="M341" s="153" t="n">
        <v>0.08</v>
      </c>
      <c r="N341" s="605" t="n">
        <v>2007</v>
      </c>
      <c r="O341" s="404" t="n">
        <v>22499</v>
      </c>
      <c r="P341" s="605" t="n"/>
      <c r="Q341" s="605" t="n">
        <v>33</v>
      </c>
      <c r="R341" s="605" t="n">
        <v>14</v>
      </c>
      <c r="S341" s="605" t="n">
        <v>1</v>
      </c>
      <c r="T341" s="403" t="inlineStr">
        <is>
          <t>I2</t>
        </is>
      </c>
      <c r="U341" s="605" t="n">
        <v>398</v>
      </c>
      <c r="V341" s="393" t="n">
        <v>279946</v>
      </c>
      <c r="W341" s="393" t="n">
        <v>300000</v>
      </c>
      <c r="X341" s="378" t="inlineStr">
        <is>
          <t>3.1:1</t>
        </is>
      </c>
      <c r="Y341" s="393" t="n">
        <v>100000</v>
      </c>
      <c r="Z341" s="605" t="inlineStr">
        <is>
          <t>C</t>
        </is>
      </c>
      <c r="AA341" s="605" t="n">
        <v>3</v>
      </c>
      <c r="AB341" s="605" t="n">
        <v>3</v>
      </c>
      <c r="AC341" s="605" t="n">
        <v>33</v>
      </c>
      <c r="AD341" s="605" t="inlineStr">
        <is>
          <t>Summers Corp</t>
        </is>
      </c>
      <c r="AE341" s="377" t="n"/>
      <c r="AF341" s="413" t="n"/>
      <c r="AG341" s="413" t="n"/>
      <c r="AH341" s="377" t="n"/>
      <c r="AI341" s="413" t="n"/>
      <c r="AJ341" s="377" t="n"/>
      <c r="AK341" s="405" t="inlineStr">
        <is>
          <t>4-2008 lease date, 8 yr term. Expenses are estimated-no expense data in lease memo</t>
        </is>
      </c>
      <c r="AM341" s="145" t="n"/>
      <c r="AN341" s="145" t="n"/>
      <c r="AO341" s="145" t="n"/>
      <c r="AP341" s="145" t="n"/>
    </row>
    <row r="342" ht="25.5" customHeight="1" s="545">
      <c r="A342" s="388" t="n">
        <v>7</v>
      </c>
      <c r="B342" s="605" t="n">
        <v>335</v>
      </c>
      <c r="C342" s="384" t="inlineStr">
        <is>
          <t>2011Q</t>
        </is>
      </c>
      <c r="D342" s="605" t="inlineStr">
        <is>
          <t xml:space="preserve">01232-00-051-000 </t>
        </is>
      </c>
      <c r="E342" s="407" t="inlineStr">
        <is>
          <t>Actual</t>
        </is>
      </c>
      <c r="F342" s="605" t="inlineStr">
        <is>
          <t>4690   IRONTON             ST</t>
        </is>
      </c>
      <c r="G342" s="392" t="n">
        <v>44.2</v>
      </c>
      <c r="H342" s="378" t="n">
        <v>9102</v>
      </c>
      <c r="I342" s="403" t="n">
        <v>0</v>
      </c>
      <c r="J342" s="404" t="n">
        <v>11918</v>
      </c>
      <c r="K342" s="408" t="n">
        <v>6.2174861553952</v>
      </c>
      <c r="L342" s="409" t="n">
        <v>0</v>
      </c>
      <c r="M342" s="409" t="n">
        <v>0</v>
      </c>
      <c r="N342" s="378" t="n">
        <v>1967</v>
      </c>
      <c r="O342" s="393" t="n">
        <v>2910</v>
      </c>
      <c r="Q342" s="605" t="n">
        <v>22</v>
      </c>
      <c r="R342" s="605" t="n">
        <v>1</v>
      </c>
      <c r="S342" s="605" t="n">
        <v>1</v>
      </c>
      <c r="T342" s="403" t="inlineStr">
        <is>
          <t xml:space="preserve">I2   </t>
        </is>
      </c>
      <c r="U342" s="403" t="n">
        <v>398</v>
      </c>
      <c r="V342" s="404" t="n">
        <v>32585</v>
      </c>
      <c r="W342" s="404" t="n">
        <v>33000</v>
      </c>
      <c r="X342" s="410" t="inlineStr">
        <is>
          <t>2.7:1</t>
        </is>
      </c>
      <c r="Y342" s="404" t="n">
        <v>12000</v>
      </c>
      <c r="Z342" s="403" t="inlineStr">
        <is>
          <t xml:space="preserve">C </t>
        </is>
      </c>
      <c r="AC342" s="378" t="n"/>
      <c r="AD342" s="384" t="inlineStr">
        <is>
          <t xml:space="preserve">M-W                 </t>
        </is>
      </c>
      <c r="AE342" s="145" t="n"/>
      <c r="AF342" s="145" t="n"/>
      <c r="AG342" s="145" t="n"/>
      <c r="AH342" s="145" t="n"/>
      <c r="AI342" s="145" t="n"/>
      <c r="AJ342" s="145" t="n"/>
      <c r="AK342" s="411" t="inlineStr">
        <is>
          <t xml:space="preserve">OWNER'S LEVEL OF EXPENSE IS EXCESSIVE - NOT ENTERED.              </t>
        </is>
      </c>
      <c r="AM342" s="605" t="n"/>
    </row>
    <row r="343" ht="12.75" customHeight="1" s="545">
      <c r="A343" s="388" t="n">
        <v>7</v>
      </c>
      <c r="B343" s="605" t="n">
        <v>336</v>
      </c>
      <c r="C343" s="384" t="inlineStr">
        <is>
          <t>2011Q</t>
        </is>
      </c>
      <c r="D343" s="605" t="inlineStr">
        <is>
          <t xml:space="preserve">01232-08-004-000 </t>
        </is>
      </c>
      <c r="E343" s="407" t="inlineStr">
        <is>
          <t>Actual</t>
        </is>
      </c>
      <c r="F343" s="605" t="inlineStr">
        <is>
          <t>4690   JOLIET              ST</t>
        </is>
      </c>
      <c r="G343" s="392" t="n">
        <v>44.2</v>
      </c>
      <c r="H343" s="378" t="n">
        <v>9102</v>
      </c>
      <c r="I343" s="403" t="n">
        <v>0</v>
      </c>
      <c r="J343" s="404" t="n">
        <v>43840</v>
      </c>
      <c r="K343" s="408" t="n">
        <v>6.74726277372263</v>
      </c>
      <c r="L343" s="409" t="n">
        <v>0</v>
      </c>
      <c r="M343" s="409" t="n">
        <v>0</v>
      </c>
      <c r="N343" s="378" t="n">
        <v>1970</v>
      </c>
      <c r="O343" s="393" t="n">
        <v>4099</v>
      </c>
      <c r="P343" s="393" t="n">
        <v>12536</v>
      </c>
      <c r="Q343" s="605" t="n">
        <v>24</v>
      </c>
      <c r="R343" s="605" t="n">
        <v>10</v>
      </c>
      <c r="S343" s="605" t="n">
        <v>1</v>
      </c>
      <c r="T343" s="403" t="inlineStr">
        <is>
          <t xml:space="preserve">I2   </t>
        </is>
      </c>
      <c r="U343" s="403" t="n">
        <v>398</v>
      </c>
      <c r="V343" s="404" t="n">
        <v>124250</v>
      </c>
      <c r="W343" s="404" t="n">
        <v>120000</v>
      </c>
      <c r="X343" s="410" t="inlineStr">
        <is>
          <t>2.8:1</t>
        </is>
      </c>
      <c r="Y343" s="404" t="n">
        <v>44000</v>
      </c>
      <c r="Z343" s="403" t="inlineStr">
        <is>
          <t xml:space="preserve">C </t>
        </is>
      </c>
      <c r="AC343" s="378" t="n"/>
      <c r="AD343" s="384" t="inlineStr">
        <is>
          <t xml:space="preserve">BELFOR              </t>
        </is>
      </c>
      <c r="AE343" s="145" t="n"/>
      <c r="AF343" s="145" t="n"/>
      <c r="AG343" s="145" t="n"/>
      <c r="AH343" s="145" t="n"/>
      <c r="AI343" s="145" t="n"/>
      <c r="AJ343" s="145" t="n"/>
      <c r="AK343" s="411" t="inlineStr">
        <is>
          <t xml:space="preserve">2008 LEASE.                                                       </t>
        </is>
      </c>
      <c r="AM343" s="605" t="n"/>
    </row>
    <row r="344" ht="25.5" customHeight="1" s="545">
      <c r="A344" s="388" t="n">
        <v>7</v>
      </c>
      <c r="B344" s="605" t="n">
        <v>337</v>
      </c>
      <c r="C344" s="384" t="inlineStr">
        <is>
          <t>2011Q</t>
        </is>
      </c>
      <c r="D344" s="605" t="inlineStr">
        <is>
          <t xml:space="preserve">01232-08-006-000 </t>
        </is>
      </c>
      <c r="E344" s="407" t="inlineStr">
        <is>
          <t>Actual</t>
        </is>
      </c>
      <c r="F344" s="605" t="inlineStr">
        <is>
          <t>4600   JOLIET              ST</t>
        </is>
      </c>
      <c r="G344" s="378" t="n">
        <v>44.1</v>
      </c>
      <c r="H344" s="378" t="n">
        <v>9102</v>
      </c>
      <c r="I344" s="403" t="n">
        <v>0</v>
      </c>
      <c r="J344" s="404" t="n">
        <v>58984</v>
      </c>
      <c r="K344" s="408" t="n">
        <v>4.27573579275736</v>
      </c>
      <c r="L344" s="409" t="n">
        <v>0</v>
      </c>
      <c r="M344" s="409" t="n">
        <v>0</v>
      </c>
      <c r="N344" s="378" t="n">
        <v>1982</v>
      </c>
      <c r="O344" s="393" t="n">
        <v>3144</v>
      </c>
      <c r="Q344" s="605" t="n">
        <v>27</v>
      </c>
      <c r="R344" s="605" t="n">
        <v>3</v>
      </c>
      <c r="S344" s="605" t="n">
        <v>2</v>
      </c>
      <c r="T344" s="403" t="inlineStr">
        <is>
          <t xml:space="preserve">I2   </t>
        </is>
      </c>
      <c r="U344" s="403" t="n">
        <v>398</v>
      </c>
      <c r="V344" s="404" t="n">
        <v>111825</v>
      </c>
      <c r="W344" s="404" t="n">
        <v>110000</v>
      </c>
      <c r="X344" s="410" t="inlineStr">
        <is>
          <t>1.9:1</t>
        </is>
      </c>
      <c r="Y344" s="404" t="n">
        <v>59000</v>
      </c>
      <c r="Z344" s="403" t="inlineStr">
        <is>
          <t xml:space="preserve">C </t>
        </is>
      </c>
      <c r="AC344" s="378" t="n"/>
      <c r="AD344" s="384" t="inlineStr">
        <is>
          <t xml:space="preserve">M-W BREMNER BISCUIT </t>
        </is>
      </c>
      <c r="AE344" s="145" t="n"/>
      <c r="AF344" s="145" t="n"/>
      <c r="AG344" s="145" t="n"/>
      <c r="AH344" s="145" t="n"/>
      <c r="AI344" s="145" t="n"/>
      <c r="AJ344" s="145" t="n"/>
      <c r="AK344" s="411" t="inlineStr">
        <is>
          <t xml:space="preserve">EXPENSES ARE EXCESSIVE - MAY BE FOR BUSINESS,TOO, NOT ENTERED.    </t>
        </is>
      </c>
      <c r="AM344" s="605" t="n"/>
    </row>
    <row r="345" ht="12.75" customHeight="1" s="545">
      <c r="A345" s="388" t="n">
        <v>7</v>
      </c>
      <c r="B345" s="605" t="n">
        <v>338</v>
      </c>
      <c r="C345" s="384" t="inlineStr">
        <is>
          <t>2011Q</t>
        </is>
      </c>
      <c r="D345" s="605" t="inlineStr">
        <is>
          <t xml:space="preserve">01232-10-002-000 </t>
        </is>
      </c>
      <c r="E345" s="407" t="inlineStr">
        <is>
          <t>Actual</t>
        </is>
      </c>
      <c r="F345" s="605" t="inlineStr">
        <is>
          <t>10645 E 47TH                AV</t>
        </is>
      </c>
      <c r="G345" s="378" t="n">
        <v>44.1</v>
      </c>
      <c r="H345" s="378" t="n">
        <v>9102</v>
      </c>
      <c r="I345" s="403" t="n">
        <v>0</v>
      </c>
      <c r="J345" s="404" t="n">
        <v>10527</v>
      </c>
      <c r="K345" s="408" t="n">
        <v>6.26959247648903</v>
      </c>
      <c r="L345" s="409" t="n">
        <v>0.25</v>
      </c>
      <c r="M345" s="409" t="n">
        <v>0</v>
      </c>
      <c r="N345" s="378" t="n">
        <v>1968</v>
      </c>
      <c r="O345" s="393" t="n">
        <v>4329</v>
      </c>
      <c r="Q345" s="605" t="n">
        <v>21</v>
      </c>
      <c r="R345" s="605" t="n">
        <v>1</v>
      </c>
      <c r="S345" s="605" t="n">
        <v>1</v>
      </c>
      <c r="T345" s="403" t="inlineStr">
        <is>
          <t xml:space="preserve">I2   </t>
        </is>
      </c>
      <c r="U345" s="403" t="n">
        <v>398</v>
      </c>
      <c r="V345" s="404" t="n">
        <v>25100</v>
      </c>
      <c r="W345" s="404" t="n">
        <v>25000</v>
      </c>
      <c r="X345" s="410" t="inlineStr">
        <is>
          <t>2.4:1</t>
        </is>
      </c>
      <c r="Y345" s="404" t="n">
        <v>11000</v>
      </c>
      <c r="Z345" s="403" t="inlineStr">
        <is>
          <t xml:space="preserve">C </t>
        </is>
      </c>
      <c r="AC345" s="378" t="n"/>
      <c r="AD345" s="384" t="inlineStr">
        <is>
          <t xml:space="preserve">INETDEALS           </t>
        </is>
      </c>
      <c r="AE345" s="145" t="n"/>
      <c r="AF345" s="145" t="n"/>
      <c r="AG345" s="145" t="n"/>
      <c r="AH345" s="145" t="n"/>
      <c r="AI345" s="145" t="n"/>
      <c r="AJ345" s="145" t="n"/>
      <c r="AK345" s="411" t="n"/>
      <c r="AM345" s="605" t="n"/>
    </row>
    <row r="346" ht="12.75" customHeight="1" s="545">
      <c r="A346" s="388" t="n">
        <v>7</v>
      </c>
      <c r="B346" s="605" t="n">
        <v>339</v>
      </c>
      <c r="C346" s="384" t="inlineStr">
        <is>
          <t>2011Q</t>
        </is>
      </c>
      <c r="D346" s="605" t="inlineStr">
        <is>
          <t xml:space="preserve">01233-00-026-000 </t>
        </is>
      </c>
      <c r="E346" s="407" t="inlineStr">
        <is>
          <t>Actual</t>
        </is>
      </c>
      <c r="F346" s="605" t="inlineStr">
        <is>
          <t>11200 E 40TH                AV</t>
        </is>
      </c>
      <c r="G346" s="392" t="n">
        <v>44.2</v>
      </c>
      <c r="H346" s="378" t="n">
        <v>9104</v>
      </c>
      <c r="I346" s="403" t="n">
        <v>0</v>
      </c>
      <c r="J346" s="404" t="n">
        <v>86060</v>
      </c>
      <c r="K346" s="408" t="n">
        <v>4.5418080409017</v>
      </c>
      <c r="L346" s="409" t="n">
        <v>0</v>
      </c>
      <c r="M346" s="409" t="n">
        <v>0</v>
      </c>
      <c r="N346" s="378" t="n">
        <v>1973</v>
      </c>
      <c r="O346" s="393" t="n">
        <v>12963</v>
      </c>
      <c r="P346" s="393" t="n">
        <v>15020</v>
      </c>
      <c r="Q346" s="605" t="n">
        <v>20</v>
      </c>
      <c r="R346" s="605" t="n">
        <v>8</v>
      </c>
      <c r="S346" s="605" t="n">
        <v>1</v>
      </c>
      <c r="T346" s="403" t="inlineStr">
        <is>
          <t xml:space="preserve">I2   </t>
        </is>
      </c>
      <c r="U346" s="403" t="n">
        <v>398</v>
      </c>
      <c r="V346" s="404" t="n">
        <v>304924</v>
      </c>
      <c r="W346" s="404" t="n">
        <v>300000</v>
      </c>
      <c r="X346" s="410" t="inlineStr">
        <is>
          <t>3.5:1</t>
        </is>
      </c>
      <c r="Y346" s="404" t="n">
        <v>86000</v>
      </c>
      <c r="Z346" s="403" t="inlineStr">
        <is>
          <t xml:space="preserve">C </t>
        </is>
      </c>
      <c r="AC346" s="378" t="n"/>
      <c r="AD346" s="384" t="inlineStr">
        <is>
          <t xml:space="preserve">CENTER RENTAL/SALES </t>
        </is>
      </c>
      <c r="AE346" s="145" t="n"/>
      <c r="AF346" s="145" t="n"/>
      <c r="AG346" s="145" t="n"/>
      <c r="AH346" s="145" t="n"/>
      <c r="AI346" s="145" t="n"/>
      <c r="AJ346" s="145" t="n"/>
      <c r="AK346" s="411" t="inlineStr">
        <is>
          <t xml:space="preserve">2008 LEASE.                                                       </t>
        </is>
      </c>
      <c r="AM346" s="605" t="n"/>
    </row>
    <row r="347" ht="12.75" customHeight="1" s="545">
      <c r="A347" s="388" t="n">
        <v>7</v>
      </c>
      <c r="B347" s="605" t="n">
        <v>340</v>
      </c>
      <c r="C347" s="384" t="inlineStr">
        <is>
          <t>2011Q</t>
        </is>
      </c>
      <c r="D347" s="605" t="inlineStr">
        <is>
          <t xml:space="preserve">01234-01-009-000 </t>
        </is>
      </c>
      <c r="E347" s="407" t="inlineStr">
        <is>
          <t>Actual</t>
        </is>
      </c>
      <c r="F347" s="605" t="inlineStr">
        <is>
          <t>3891   PARIS               ST</t>
        </is>
      </c>
      <c r="G347" s="392" t="n">
        <v>44.2</v>
      </c>
      <c r="H347" s="378" t="n">
        <v>9104</v>
      </c>
      <c r="I347" s="403" t="n">
        <v>0</v>
      </c>
      <c r="J347" s="404" t="n">
        <v>14149</v>
      </c>
      <c r="K347" s="408" t="n">
        <v>5.51275708530638</v>
      </c>
      <c r="L347" s="409" t="n">
        <v>0</v>
      </c>
      <c r="M347" s="409" t="n">
        <v>0.130769230769231</v>
      </c>
      <c r="N347" s="378" t="n">
        <v>2000</v>
      </c>
      <c r="O347" s="393" t="n">
        <v>1629</v>
      </c>
      <c r="Q347" s="605" t="n">
        <v>19</v>
      </c>
      <c r="R347" s="605" t="n">
        <v>14</v>
      </c>
      <c r="S347" s="605" t="n">
        <v>1</v>
      </c>
      <c r="T347" s="403" t="inlineStr">
        <is>
          <t xml:space="preserve">I1   </t>
        </is>
      </c>
      <c r="U347" s="403" t="n">
        <v>398</v>
      </c>
      <c r="V347" s="404" t="n">
        <v>36116</v>
      </c>
      <c r="W347" s="404" t="n">
        <v>36000</v>
      </c>
      <c r="X347" s="410" t="inlineStr">
        <is>
          <t>2.6:1</t>
        </is>
      </c>
      <c r="Y347" s="404" t="n">
        <v>14000</v>
      </c>
      <c r="Z347" s="403" t="inlineStr">
        <is>
          <t xml:space="preserve">C </t>
        </is>
      </c>
      <c r="AC347" s="378" t="n"/>
      <c r="AD347" s="384" t="n"/>
      <c r="AE347" s="145" t="n"/>
      <c r="AF347" s="145" t="n"/>
      <c r="AG347" s="145" t="n"/>
      <c r="AH347" s="145" t="n"/>
      <c r="AI347" s="145" t="n"/>
      <c r="AJ347" s="145" t="n"/>
      <c r="AK347" s="411" t="inlineStr">
        <is>
          <t xml:space="preserve">EXCESSIVE EXPENSES TO OWNER.                                      </t>
        </is>
      </c>
      <c r="AM347" s="605" t="n"/>
    </row>
    <row r="348" ht="25.5" customHeight="1" s="545">
      <c r="A348" s="388" t="n">
        <v>7</v>
      </c>
      <c r="B348" s="605" t="n">
        <v>341</v>
      </c>
      <c r="C348" s="384" t="inlineStr">
        <is>
          <t>2011Q</t>
        </is>
      </c>
      <c r="D348" s="605" t="inlineStr">
        <is>
          <t xml:space="preserve">01234-01-014-000 </t>
        </is>
      </c>
      <c r="E348" s="407" t="inlineStr">
        <is>
          <t>Actual</t>
        </is>
      </c>
      <c r="F348" s="605" t="inlineStr">
        <is>
          <t>3841   PARIS               ST</t>
        </is>
      </c>
      <c r="G348" s="392" t="n">
        <v>44.2</v>
      </c>
      <c r="H348" s="378" t="n">
        <v>9104</v>
      </c>
      <c r="I348" s="403" t="n">
        <v>0</v>
      </c>
      <c r="J348" s="404" t="n">
        <v>20046</v>
      </c>
      <c r="K348" s="408" t="n">
        <v>6.076025142173</v>
      </c>
      <c r="L348" s="409" t="n">
        <v>0</v>
      </c>
      <c r="M348" s="409" t="n">
        <v>0.109326765188834</v>
      </c>
      <c r="N348" s="378" t="n">
        <v>1978</v>
      </c>
      <c r="O348" s="393" t="n">
        <v>4212</v>
      </c>
      <c r="Q348" s="605" t="n">
        <v>20</v>
      </c>
      <c r="R348" s="605" t="n">
        <v>10</v>
      </c>
      <c r="S348" s="605" t="n">
        <v>1</v>
      </c>
      <c r="T348" s="403" t="inlineStr">
        <is>
          <t xml:space="preserve">I2   </t>
        </is>
      </c>
      <c r="U348" s="403" t="n">
        <v>398</v>
      </c>
      <c r="V348" s="404" t="n">
        <v>43000</v>
      </c>
      <c r="W348" s="404" t="n">
        <v>43000</v>
      </c>
      <c r="X348" s="410" t="inlineStr">
        <is>
          <t>2.1:1</t>
        </is>
      </c>
      <c r="Y348" s="404" t="n">
        <v>20000</v>
      </c>
      <c r="Z348" s="403" t="inlineStr">
        <is>
          <t xml:space="preserve">C </t>
        </is>
      </c>
      <c r="AC348" s="378" t="n"/>
      <c r="AD348" s="384" t="n"/>
      <c r="AE348" s="145" t="n"/>
      <c r="AF348" s="145" t="n"/>
      <c r="AG348" s="145" t="n"/>
      <c r="AH348" s="145" t="n"/>
      <c r="AI348" s="145" t="n"/>
      <c r="AJ348" s="145" t="n"/>
      <c r="AK348" s="411" t="inlineStr">
        <is>
          <t xml:space="preserve">2008 LEASES; GROSS BASIS ATYPICAL FOR WAREHOUSES.                 </t>
        </is>
      </c>
      <c r="AM348" s="605" t="n"/>
    </row>
    <row r="349" ht="12.75" customHeight="1" s="545">
      <c r="A349" s="388" t="n">
        <v>7</v>
      </c>
      <c r="B349" s="605" t="n">
        <v>342</v>
      </c>
      <c r="C349" s="384" t="inlineStr">
        <is>
          <t>2011Q</t>
        </is>
      </c>
      <c r="D349" s="605" t="inlineStr">
        <is>
          <t xml:space="preserve">01246-00-038-000 </t>
        </is>
      </c>
      <c r="E349" s="407" t="inlineStr">
        <is>
          <t>Actual</t>
        </is>
      </c>
      <c r="F349" s="605" t="inlineStr">
        <is>
          <t>14135 E 42ND                AV</t>
        </is>
      </c>
      <c r="G349" s="392" t="n">
        <v>44.4</v>
      </c>
      <c r="H349" s="378" t="n">
        <v>9102</v>
      </c>
      <c r="I349" s="403" t="n">
        <v>0</v>
      </c>
      <c r="J349" s="404" t="n">
        <v>160236</v>
      </c>
      <c r="K349" s="408" t="n">
        <v>5.40160138795277</v>
      </c>
      <c r="L349" s="409" t="n">
        <v>0.1</v>
      </c>
      <c r="M349" s="409" t="n">
        <v>0.00283871981477267</v>
      </c>
      <c r="N349" s="378" t="n">
        <v>1998</v>
      </c>
      <c r="O349" s="393" t="n">
        <v>24983</v>
      </c>
      <c r="Q349" s="605" t="n">
        <v>26</v>
      </c>
      <c r="R349" s="605" t="n">
        <v>14</v>
      </c>
      <c r="S349" s="605" t="n">
        <v>7</v>
      </c>
      <c r="T349" s="403" t="inlineStr">
        <is>
          <t xml:space="preserve">I0   </t>
        </is>
      </c>
      <c r="U349" s="403" t="n">
        <v>398</v>
      </c>
      <c r="V349" s="404" t="n">
        <v>395173</v>
      </c>
      <c r="W349" s="404" t="n">
        <v>400000</v>
      </c>
      <c r="X349" s="410" t="inlineStr">
        <is>
          <t>2.5:1</t>
        </is>
      </c>
      <c r="Y349" s="404" t="n">
        <v>160000</v>
      </c>
      <c r="Z349" s="403" t="inlineStr">
        <is>
          <t xml:space="preserve">C </t>
        </is>
      </c>
      <c r="AC349" s="378" t="n"/>
      <c r="AD349" s="384" t="inlineStr">
        <is>
          <t xml:space="preserve">M-W DIST WHSE       </t>
        </is>
      </c>
      <c r="AE349" s="145" t="n"/>
      <c r="AF349" s="145" t="n"/>
      <c r="AG349" s="145" t="n"/>
      <c r="AH349" s="145" t="n"/>
      <c r="AI349" s="145" t="n"/>
      <c r="AJ349" s="145" t="n"/>
      <c r="AK349" s="411" t="inlineStr">
        <is>
          <t xml:space="preserve">LEASES 2006-2009.                                                 </t>
        </is>
      </c>
      <c r="AM349" s="605" t="n"/>
    </row>
    <row r="350" ht="12.75" customHeight="1" s="545">
      <c r="A350" s="388" t="n">
        <v>7</v>
      </c>
      <c r="B350" s="605" t="n">
        <v>343</v>
      </c>
      <c r="C350" s="384" t="inlineStr">
        <is>
          <t>2011Q</t>
        </is>
      </c>
      <c r="D350" s="605" t="inlineStr">
        <is>
          <t xml:space="preserve">01252-00-034-000 </t>
        </is>
      </c>
      <c r="E350" s="407" t="inlineStr">
        <is>
          <t>Actual</t>
        </is>
      </c>
      <c r="F350" s="605" t="inlineStr">
        <is>
          <t>12770 E 39TH                AV</t>
        </is>
      </c>
      <c r="G350" s="392" t="n">
        <v>44.4</v>
      </c>
      <c r="H350" s="378" t="n">
        <v>9104</v>
      </c>
      <c r="I350" s="403" t="n">
        <v>0</v>
      </c>
      <c r="J350" s="404" t="n">
        <v>121360</v>
      </c>
      <c r="K350" s="408" t="n">
        <v>2.9</v>
      </c>
      <c r="L350" s="409" t="n">
        <v>0</v>
      </c>
      <c r="M350" s="409" t="n">
        <v>0.09468551815061491</v>
      </c>
      <c r="N350" s="378" t="n">
        <v>1971</v>
      </c>
      <c r="O350" s="393" t="n">
        <v>6439</v>
      </c>
      <c r="P350" s="393" t="n">
        <v>157</v>
      </c>
      <c r="Q350" s="605" t="n">
        <v>30</v>
      </c>
      <c r="R350" s="605" t="n">
        <v>14</v>
      </c>
      <c r="S350" s="605" t="n">
        <v>2</v>
      </c>
      <c r="T350" s="403" t="inlineStr">
        <is>
          <t xml:space="preserve">I2   </t>
        </is>
      </c>
      <c r="U350" s="403" t="n">
        <v>398</v>
      </c>
      <c r="V350" s="404" t="n">
        <v>255000</v>
      </c>
      <c r="W350" s="404" t="n">
        <v>260000</v>
      </c>
      <c r="X350" s="410" t="inlineStr">
        <is>
          <t>2.1:1</t>
        </is>
      </c>
      <c r="Y350" s="404" t="n">
        <v>120000</v>
      </c>
      <c r="Z350" s="403" t="inlineStr">
        <is>
          <t xml:space="preserve">C </t>
        </is>
      </c>
      <c r="AC350" s="378" t="n"/>
      <c r="AD350" s="384" t="inlineStr">
        <is>
          <t xml:space="preserve">M-W UNISOURCE       </t>
        </is>
      </c>
      <c r="AE350" s="145" t="n"/>
      <c r="AF350" s="145" t="n"/>
      <c r="AG350" s="145" t="n"/>
      <c r="AH350" s="145" t="n"/>
      <c r="AI350" s="145" t="n"/>
      <c r="AJ350" s="145" t="n"/>
      <c r="AK350" s="411" t="inlineStr">
        <is>
          <t xml:space="preserve">2010 LEASE USED FOR RENTAL RATES.                                 </t>
        </is>
      </c>
      <c r="AM350" s="605" t="n"/>
    </row>
    <row r="351" ht="12.75" customHeight="1" s="545">
      <c r="A351" s="388" t="n">
        <v>7</v>
      </c>
      <c r="B351" s="605" t="n">
        <v>344</v>
      </c>
      <c r="C351" s="384" t="inlineStr">
        <is>
          <t>2011Q</t>
        </is>
      </c>
      <c r="D351" s="605" t="inlineStr">
        <is>
          <t xml:space="preserve">01252-00-093-000 </t>
        </is>
      </c>
      <c r="E351" s="407" t="inlineStr">
        <is>
          <t>Actual</t>
        </is>
      </c>
      <c r="F351" s="605" t="inlineStr">
        <is>
          <t>3899   QUENTIN             ST</t>
        </is>
      </c>
      <c r="G351" s="378" t="n">
        <v>44.1</v>
      </c>
      <c r="H351" s="378" t="n">
        <v>9104</v>
      </c>
      <c r="I351" s="403" t="n">
        <v>0</v>
      </c>
      <c r="J351" s="404" t="n">
        <v>8018</v>
      </c>
      <c r="K351" s="408" t="n">
        <v>11.2247443252682</v>
      </c>
      <c r="L351" s="409" t="n">
        <v>0</v>
      </c>
      <c r="M351" s="409" t="n">
        <v>0.0138333333333333</v>
      </c>
      <c r="N351" s="378" t="n">
        <v>2004</v>
      </c>
      <c r="O351" s="393" t="n">
        <v>1337</v>
      </c>
      <c r="Q351" s="605" t="n">
        <v>19</v>
      </c>
      <c r="R351" s="605" t="n">
        <v>3</v>
      </c>
      <c r="S351" s="605" t="n">
        <v>1</v>
      </c>
      <c r="T351" s="403" t="inlineStr">
        <is>
          <t xml:space="preserve">I2   </t>
        </is>
      </c>
      <c r="U351" s="403" t="n">
        <v>398</v>
      </c>
      <c r="V351" s="404" t="n">
        <v>23918</v>
      </c>
      <c r="W351" s="404" t="n">
        <v>24000</v>
      </c>
      <c r="X351" s="410" t="inlineStr">
        <is>
          <t>3.0:1</t>
        </is>
      </c>
      <c r="Y351" s="404" t="n">
        <v>8000</v>
      </c>
      <c r="Z351" s="403" t="inlineStr">
        <is>
          <t xml:space="preserve">C </t>
        </is>
      </c>
      <c r="AC351" s="378" t="n"/>
      <c r="AD351" s="384" t="n"/>
      <c r="AE351" s="145" t="n"/>
      <c r="AF351" s="145" t="n"/>
      <c r="AG351" s="145" t="n"/>
      <c r="AH351" s="145" t="n"/>
      <c r="AI351" s="145" t="n"/>
      <c r="AJ351" s="145" t="n"/>
      <c r="AK351" s="411" t="n"/>
      <c r="AM351" s="605" t="n"/>
    </row>
    <row r="352" ht="25.5" customHeight="1" s="545">
      <c r="A352" s="388" t="n">
        <v>7</v>
      </c>
      <c r="B352" s="605" t="n">
        <v>345</v>
      </c>
      <c r="C352" s="384" t="inlineStr">
        <is>
          <t>2011Q</t>
        </is>
      </c>
      <c r="D352" s="605" t="inlineStr">
        <is>
          <t xml:space="preserve">01252-00-095-000 </t>
        </is>
      </c>
      <c r="E352" s="407" t="inlineStr">
        <is>
          <t>Actual</t>
        </is>
      </c>
      <c r="F352" s="605" t="inlineStr">
        <is>
          <t>3751   REVERE              ST</t>
        </is>
      </c>
      <c r="G352" s="392" t="n">
        <v>44.2</v>
      </c>
      <c r="H352" s="378" t="n">
        <v>9104</v>
      </c>
      <c r="I352" s="403" t="n">
        <v>0</v>
      </c>
      <c r="J352" s="404" t="n">
        <v>54662</v>
      </c>
      <c r="K352" s="408" t="n">
        <v>4.82968058248875</v>
      </c>
      <c r="L352" s="409" t="n">
        <v>0</v>
      </c>
      <c r="M352" s="409" t="n">
        <v>0.131590909090909</v>
      </c>
      <c r="N352" s="378" t="n">
        <v>1980</v>
      </c>
      <c r="O352" s="393" t="n">
        <v>3736</v>
      </c>
      <c r="Q352" s="605" t="n">
        <v>27</v>
      </c>
      <c r="R352" s="605" t="n">
        <v>14</v>
      </c>
      <c r="S352" s="605" t="n">
        <v>1</v>
      </c>
      <c r="T352" s="403" t="inlineStr">
        <is>
          <t xml:space="preserve">I2   </t>
        </is>
      </c>
      <c r="U352" s="403" t="n">
        <v>398</v>
      </c>
      <c r="V352" s="404" t="n">
        <v>99319</v>
      </c>
      <c r="W352" s="404" t="n">
        <v>99000</v>
      </c>
      <c r="X352" s="410" t="inlineStr">
        <is>
          <t>1.8:1</t>
        </is>
      </c>
      <c r="Y352" s="404" t="n">
        <v>55000</v>
      </c>
      <c r="Z352" s="403" t="inlineStr">
        <is>
          <t xml:space="preserve">C </t>
        </is>
      </c>
      <c r="AC352" s="378" t="n"/>
      <c r="AD352" s="384" t="inlineStr">
        <is>
          <t xml:space="preserve">CONLEY              </t>
        </is>
      </c>
      <c r="AE352" s="145" t="n"/>
      <c r="AF352" s="145" t="n"/>
      <c r="AG352" s="145" t="n"/>
      <c r="AH352" s="145" t="n"/>
      <c r="AI352" s="145" t="n"/>
      <c r="AJ352" s="145" t="n"/>
      <c r="AK352" s="411" t="inlineStr">
        <is>
          <t xml:space="preserve">GROSS LEASE BASIS IS ATYPICAL FOR WAREHOUSES.                     </t>
        </is>
      </c>
      <c r="AM352" s="605" t="n"/>
    </row>
    <row r="353" ht="12.75" customHeight="1" s="545">
      <c r="A353" s="388" t="n">
        <v>7</v>
      </c>
      <c r="B353" s="605" t="n">
        <v>346</v>
      </c>
      <c r="C353" s="403" t="inlineStr">
        <is>
          <t>2011W</t>
        </is>
      </c>
      <c r="D353" s="605" t="inlineStr">
        <is>
          <t>01252-00-096-000</t>
        </is>
      </c>
      <c r="E353" s="403" t="inlineStr">
        <is>
          <t>Actual</t>
        </is>
      </c>
      <c r="F353" s="605" t="inlineStr">
        <is>
          <t>3851-71 Revere St.</t>
        </is>
      </c>
      <c r="G353" s="412" t="inlineStr">
        <is>
          <t>44.2</t>
        </is>
      </c>
      <c r="H353" s="605" t="n">
        <v>9104</v>
      </c>
      <c r="I353" s="403" t="n">
        <v>0</v>
      </c>
      <c r="J353" s="393" t="n">
        <v>75264</v>
      </c>
      <c r="K353" s="154" t="n">
        <v>2.85</v>
      </c>
      <c r="L353" s="153" t="n">
        <v>0</v>
      </c>
      <c r="M353" s="409" t="n">
        <v>0</v>
      </c>
      <c r="N353" s="605" t="n">
        <v>1979</v>
      </c>
      <c r="O353" s="393" t="n">
        <v>5703</v>
      </c>
      <c r="Q353" s="605" t="n">
        <v>25</v>
      </c>
      <c r="R353" s="605" t="n">
        <v>3</v>
      </c>
      <c r="S353" s="605" t="n">
        <v>1</v>
      </c>
      <c r="T353" s="403" t="inlineStr">
        <is>
          <t>I2</t>
        </is>
      </c>
      <c r="U353" s="605" t="n">
        <v>398</v>
      </c>
      <c r="V353" s="393" t="n">
        <v>134721</v>
      </c>
      <c r="W353" s="393" t="n">
        <v>130000</v>
      </c>
      <c r="X353" s="378" t="inlineStr">
        <is>
          <t>1.7:1</t>
        </is>
      </c>
      <c r="Y353" s="393" t="n">
        <v>75000</v>
      </c>
      <c r="Z353" s="605" t="inlineStr">
        <is>
          <t>C</t>
        </is>
      </c>
      <c r="AA353" s="605" t="n">
        <v>3</v>
      </c>
      <c r="AB353" s="605" t="n">
        <v>3</v>
      </c>
      <c r="AC353" s="605" t="n">
        <v>33</v>
      </c>
      <c r="AE353" s="377" t="n"/>
      <c r="AF353" s="413" t="n"/>
      <c r="AG353" s="413" t="n"/>
      <c r="AH353" s="377" t="n"/>
      <c r="AI353" s="413" t="n"/>
      <c r="AJ353" s="377" t="n"/>
      <c r="AM353" s="605" t="n"/>
    </row>
    <row r="354" ht="12.75" customHeight="1" s="545">
      <c r="A354" s="388" t="n">
        <v>7</v>
      </c>
      <c r="B354" s="605" t="n">
        <v>347</v>
      </c>
      <c r="C354" s="384" t="inlineStr">
        <is>
          <t>2011Q</t>
        </is>
      </c>
      <c r="D354" s="605" t="inlineStr">
        <is>
          <t xml:space="preserve">01261-00-013-000 </t>
        </is>
      </c>
      <c r="E354" s="407" t="inlineStr">
        <is>
          <t>Actual</t>
        </is>
      </c>
      <c r="F354" s="605" t="inlineStr">
        <is>
          <t>3737   PEORIA              ST</t>
        </is>
      </c>
      <c r="G354" s="392" t="n">
        <v>44.2</v>
      </c>
      <c r="H354" s="378" t="n">
        <v>9104</v>
      </c>
      <c r="I354" s="403" t="n">
        <v>3</v>
      </c>
      <c r="J354" s="404" t="n">
        <v>10700</v>
      </c>
      <c r="K354" s="408" t="n">
        <v>4.18205607476636</v>
      </c>
      <c r="L354" s="409" t="n">
        <v>0</v>
      </c>
      <c r="M354" s="409" t="n">
        <v>0.206422633413784</v>
      </c>
      <c r="N354" s="378" t="n">
        <v>1973</v>
      </c>
      <c r="O354" s="393" t="n">
        <v>2344</v>
      </c>
      <c r="Q354" s="605" t="n">
        <v>20</v>
      </c>
      <c r="R354" s="605" t="n">
        <v>10</v>
      </c>
      <c r="S354" s="605" t="n">
        <v>2</v>
      </c>
      <c r="T354" s="403" t="inlineStr">
        <is>
          <t xml:space="preserve">I2   </t>
        </is>
      </c>
      <c r="U354" s="403" t="n">
        <v>398</v>
      </c>
      <c r="V354" s="404" t="n">
        <v>31803</v>
      </c>
      <c r="W354" s="404" t="n">
        <v>32000</v>
      </c>
      <c r="X354" s="410" t="inlineStr">
        <is>
          <t>1.9:1</t>
        </is>
      </c>
      <c r="Y354" s="404" t="n">
        <v>11000</v>
      </c>
      <c r="Z354" s="403" t="inlineStr">
        <is>
          <t xml:space="preserve">C </t>
        </is>
      </c>
      <c r="AC354" s="378" t="n"/>
      <c r="AD354" s="384" t="inlineStr">
        <is>
          <t xml:space="preserve">GOODYEAR            </t>
        </is>
      </c>
      <c r="AE354" s="145" t="n"/>
      <c r="AF354" s="145" t="n"/>
      <c r="AG354" s="145" t="n"/>
      <c r="AH354" s="145" t="n"/>
      <c r="AI354" s="145" t="n"/>
      <c r="AJ354" s="145" t="n"/>
      <c r="AK354" s="411" t="inlineStr">
        <is>
          <t xml:space="preserve">ONLY DATA FOR 2010 LEASE ENTERED.                                 </t>
        </is>
      </c>
      <c r="AM354" s="605" t="n"/>
    </row>
    <row r="355" ht="12.75" customHeight="1" s="545">
      <c r="A355" s="388" t="n">
        <v>7</v>
      </c>
      <c r="B355" s="605" t="n">
        <v>348</v>
      </c>
      <c r="C355" s="384" t="inlineStr">
        <is>
          <t>2011Q</t>
        </is>
      </c>
      <c r="D355" s="605" t="inlineStr">
        <is>
          <t xml:space="preserve">01261-02-001-000 </t>
        </is>
      </c>
      <c r="E355" s="407" t="inlineStr">
        <is>
          <t>Actual</t>
        </is>
      </c>
      <c r="F355" s="605" t="inlineStr">
        <is>
          <t>3701   PARIS               ST</t>
        </is>
      </c>
      <c r="G355" s="392" t="n">
        <v>44.2</v>
      </c>
      <c r="H355" s="378" t="n">
        <v>9104</v>
      </c>
      <c r="I355" s="403" t="n">
        <v>0</v>
      </c>
      <c r="J355" s="404" t="n">
        <v>12335</v>
      </c>
      <c r="K355" s="408" t="n">
        <v>8.836643696797729</v>
      </c>
      <c r="L355" s="409" t="n">
        <v>0</v>
      </c>
      <c r="M355" s="409" t="n">
        <v>0</v>
      </c>
      <c r="N355" s="378" t="n">
        <v>2006</v>
      </c>
      <c r="O355" s="393" t="n">
        <v>1785</v>
      </c>
      <c r="Q355" s="605" t="n">
        <v>25</v>
      </c>
      <c r="R355" s="605" t="n">
        <v>14</v>
      </c>
      <c r="S355" s="605" t="n">
        <v>1</v>
      </c>
      <c r="T355" s="403" t="inlineStr">
        <is>
          <t xml:space="preserve">I2   </t>
        </is>
      </c>
      <c r="U355" s="403" t="n">
        <v>398</v>
      </c>
      <c r="V355" s="404" t="n">
        <v>42900</v>
      </c>
      <c r="W355" s="404" t="n">
        <v>43000</v>
      </c>
      <c r="X355" s="410" t="inlineStr">
        <is>
          <t>3.5:1</t>
        </is>
      </c>
      <c r="Y355" s="404" t="n">
        <v>12000</v>
      </c>
      <c r="Z355" s="403" t="inlineStr">
        <is>
          <t xml:space="preserve">C </t>
        </is>
      </c>
      <c r="AC355" s="378" t="n"/>
      <c r="AD355" s="384" t="inlineStr">
        <is>
          <t xml:space="preserve">SINGLE TENANT WHSE  </t>
        </is>
      </c>
      <c r="AE355" s="145" t="n"/>
      <c r="AF355" s="145" t="n"/>
      <c r="AG355" s="145" t="n"/>
      <c r="AH355" s="145" t="n"/>
      <c r="AI355" s="145" t="n"/>
      <c r="AJ355" s="145" t="n"/>
      <c r="AK355" s="411" t="n"/>
      <c r="AM355" s="605" t="n"/>
    </row>
    <row r="356" ht="25.5" customHeight="1" s="545">
      <c r="A356" s="388" t="n">
        <v>7</v>
      </c>
      <c r="B356" s="605" t="n">
        <v>349</v>
      </c>
      <c r="C356" s="384" t="inlineStr">
        <is>
          <t>2011Q</t>
        </is>
      </c>
      <c r="D356" s="605" t="inlineStr">
        <is>
          <t xml:space="preserve">01283-26-005-000 </t>
        </is>
      </c>
      <c r="E356" s="407" t="inlineStr">
        <is>
          <t>Actual</t>
        </is>
      </c>
      <c r="F356" s="605" t="inlineStr">
        <is>
          <t>2997   ULSTER              ST</t>
        </is>
      </c>
      <c r="G356" s="392" t="n">
        <v>44.5</v>
      </c>
      <c r="H356" s="378" t="n">
        <v>9201</v>
      </c>
      <c r="I356" s="403" t="n">
        <v>0</v>
      </c>
      <c r="J356" s="404" t="n">
        <v>89751</v>
      </c>
      <c r="K356" s="408" t="n">
        <v>7.02481309400452</v>
      </c>
      <c r="L356" s="409" t="n">
        <v>0.06</v>
      </c>
      <c r="M356" s="409" t="n">
        <v>0.254855000285495</v>
      </c>
      <c r="N356" s="378" t="n">
        <v>2007</v>
      </c>
      <c r="O356" s="393" t="n">
        <v>0</v>
      </c>
      <c r="Q356" s="605" t="n">
        <v>12</v>
      </c>
      <c r="R356" s="605" t="n">
        <v>1</v>
      </c>
      <c r="S356" s="605" t="n">
        <v>2</v>
      </c>
      <c r="T356" s="403" t="inlineStr">
        <is>
          <t>R30MU</t>
        </is>
      </c>
      <c r="U356" s="403" t="n">
        <v>396</v>
      </c>
      <c r="V356" s="404" t="n">
        <v>71049</v>
      </c>
      <c r="W356" s="404" t="n">
        <v>71000</v>
      </c>
      <c r="X356" s="410" t="inlineStr">
        <is>
          <t>0.8:1</t>
        </is>
      </c>
      <c r="Y356" s="404" t="n">
        <v>90000</v>
      </c>
      <c r="Z356" s="403" t="inlineStr">
        <is>
          <t xml:space="preserve">C </t>
        </is>
      </c>
      <c r="AC356" s="378" t="n"/>
      <c r="AD356" s="384" t="inlineStr">
        <is>
          <t xml:space="preserve">MINI STORAGE/RETAIL </t>
        </is>
      </c>
      <c r="AE356" s="145" t="n"/>
      <c r="AF356" s="145" t="n"/>
      <c r="AG356" s="145" t="n"/>
      <c r="AH356" s="145" t="n"/>
      <c r="AI356" s="145" t="n"/>
      <c r="AJ356" s="145" t="n"/>
      <c r="AK356" s="411" t="inlineStr">
        <is>
          <t xml:space="preserve">WTR/SWER &amp; GAS/ELEC UNDER "GAS/ELEC", SNO REMVL&amp;LNDSCP IN PRKNG   </t>
        </is>
      </c>
      <c r="AM356" s="605" t="n"/>
    </row>
    <row r="357" ht="12.75" customHeight="1" s="545">
      <c r="A357" s="388" t="n">
        <v>7</v>
      </c>
      <c r="B357" s="605" t="n">
        <v>350</v>
      </c>
      <c r="C357" s="384" t="inlineStr">
        <is>
          <t>2011Q</t>
        </is>
      </c>
      <c r="D357" s="605" t="inlineStr">
        <is>
          <t xml:space="preserve">02131-07-019-000 </t>
        </is>
      </c>
      <c r="E357" s="407" t="inlineStr">
        <is>
          <t>Actual</t>
        </is>
      </c>
      <c r="F357" s="605" t="inlineStr">
        <is>
          <t>5270   STEELE              ST</t>
        </is>
      </c>
      <c r="G357" s="378" t="n">
        <v>44.1</v>
      </c>
      <c r="H357" s="378" t="n">
        <v>9201</v>
      </c>
      <c r="I357" s="403" t="n">
        <v>0</v>
      </c>
      <c r="J357" s="404" t="n">
        <v>6400</v>
      </c>
      <c r="K357" s="408" t="n">
        <v>3.46875</v>
      </c>
      <c r="L357" s="409" t="n">
        <v>0</v>
      </c>
      <c r="M357" s="409" t="n">
        <v>0</v>
      </c>
      <c r="N357" s="378" t="n">
        <v>1972</v>
      </c>
      <c r="O357" s="393" t="n">
        <v>360</v>
      </c>
      <c r="Q357" s="605" t="n">
        <v>15</v>
      </c>
      <c r="R357" s="605" t="n">
        <v>7</v>
      </c>
      <c r="S357" s="605" t="n">
        <v>1</v>
      </c>
      <c r="T357" s="403" t="inlineStr">
        <is>
          <t xml:space="preserve">I1   </t>
        </is>
      </c>
      <c r="U357" s="403" t="n">
        <v>398</v>
      </c>
      <c r="V357" s="404" t="n">
        <v>12750</v>
      </c>
      <c r="W357" s="404" t="n">
        <v>13000</v>
      </c>
      <c r="X357" s="410" t="inlineStr">
        <is>
          <t>2.0:1</t>
        </is>
      </c>
      <c r="Y357" s="404" t="n">
        <v>6000</v>
      </c>
      <c r="Z357" s="403" t="inlineStr">
        <is>
          <t xml:space="preserve">C </t>
        </is>
      </c>
      <c r="AC357" s="378" t="n"/>
      <c r="AD357" s="384" t="n"/>
      <c r="AE357" s="145" t="n"/>
      <c r="AF357" s="145" t="n"/>
      <c r="AG357" s="145" t="n"/>
      <c r="AH357" s="145" t="n"/>
      <c r="AI357" s="145" t="n"/>
      <c r="AJ357" s="145" t="n"/>
      <c r="AK357" s="411" t="inlineStr">
        <is>
          <t xml:space="preserve">MO-TO-MO.                                                         </t>
        </is>
      </c>
      <c r="AM357" s="605" t="n"/>
    </row>
    <row r="358" ht="25.5" customHeight="1" s="545">
      <c r="A358" s="388" t="n">
        <v>7</v>
      </c>
      <c r="B358" s="605" t="n">
        <v>351</v>
      </c>
      <c r="C358" s="384" t="inlineStr">
        <is>
          <t>2011Q</t>
        </is>
      </c>
      <c r="D358" s="605" t="inlineStr">
        <is>
          <t xml:space="preserve">02132-00-039-000 </t>
        </is>
      </c>
      <c r="E358" s="407" t="inlineStr">
        <is>
          <t>Actual</t>
        </is>
      </c>
      <c r="F358" s="605" t="inlineStr">
        <is>
          <t>3055 E 52ND                AV</t>
        </is>
      </c>
      <c r="G358" s="392" t="n">
        <v>44.2</v>
      </c>
      <c r="H358" s="378" t="n">
        <v>9201</v>
      </c>
      <c r="I358" s="403" t="n">
        <v>0</v>
      </c>
      <c r="J358" s="404" t="n">
        <v>24250</v>
      </c>
      <c r="K358" s="408" t="n">
        <v>3.14226804123711</v>
      </c>
      <c r="L358" s="409" t="n">
        <v>0</v>
      </c>
      <c r="M358" s="409" t="n">
        <v>0.24755905511811</v>
      </c>
      <c r="N358" s="378" t="n">
        <v>1963</v>
      </c>
      <c r="O358" s="393" t="n">
        <v>2784</v>
      </c>
      <c r="Q358" s="605" t="n">
        <v>14</v>
      </c>
      <c r="R358" s="605" t="n">
        <v>3</v>
      </c>
      <c r="S358" s="605" t="n">
        <v>5</v>
      </c>
      <c r="T358" s="403" t="inlineStr">
        <is>
          <t xml:space="preserve">I1   </t>
        </is>
      </c>
      <c r="U358" s="403" t="n">
        <v>398</v>
      </c>
      <c r="V358" s="404" t="n">
        <v>58000</v>
      </c>
      <c r="W358" s="404" t="n">
        <v>58000</v>
      </c>
      <c r="X358" s="410" t="inlineStr">
        <is>
          <t>2.4:1</t>
        </is>
      </c>
      <c r="Y358" s="404" t="n">
        <v>24000</v>
      </c>
      <c r="Z358" s="403" t="inlineStr">
        <is>
          <t xml:space="preserve">C </t>
        </is>
      </c>
      <c r="AC358" s="378" t="n"/>
      <c r="AD358" s="384" t="inlineStr">
        <is>
          <t xml:space="preserve">DIST/STRGE WHSE     </t>
        </is>
      </c>
      <c r="AE358" s="145" t="n"/>
      <c r="AF358" s="145" t="n"/>
      <c r="AG358" s="145" t="n"/>
      <c r="AH358" s="145" t="n"/>
      <c r="AI358" s="145" t="n"/>
      <c r="AJ358" s="145" t="n"/>
      <c r="AK358" s="411" t="inlineStr">
        <is>
          <t xml:space="preserve">GROSS LEASES &amp; FULL SERVICE EXPENSES ATYPICAL FOR WAREHOUSES.     </t>
        </is>
      </c>
      <c r="AM358" s="605" t="n"/>
    </row>
    <row r="359" ht="12.75" customHeight="1" s="545">
      <c r="A359" s="388" t="n">
        <v>7</v>
      </c>
      <c r="B359" s="605" t="n">
        <v>352</v>
      </c>
      <c r="C359" s="384" t="inlineStr">
        <is>
          <t>2011Q</t>
        </is>
      </c>
      <c r="D359" s="605" t="inlineStr">
        <is>
          <t xml:space="preserve">02132-00-048-000 </t>
        </is>
      </c>
      <c r="E359" s="407" t="inlineStr">
        <is>
          <t>Actual</t>
        </is>
      </c>
      <c r="F359" s="605" t="inlineStr">
        <is>
          <t>5285   STEELE              ST</t>
        </is>
      </c>
      <c r="G359" s="392" t="n">
        <v>47.1</v>
      </c>
      <c r="H359" s="378" t="n">
        <v>9201</v>
      </c>
      <c r="I359" s="403" t="n">
        <v>0</v>
      </c>
      <c r="J359" s="404" t="n">
        <v>53250</v>
      </c>
      <c r="K359" s="408" t="n">
        <v>2.92957746478873</v>
      </c>
      <c r="L359" s="409" t="n">
        <v>0</v>
      </c>
      <c r="M359" s="409" t="n">
        <v>0</v>
      </c>
      <c r="N359" s="378" t="n">
        <v>1967</v>
      </c>
      <c r="O359" s="393" t="n">
        <v>1360</v>
      </c>
      <c r="Q359" s="605" t="n">
        <v>24</v>
      </c>
      <c r="R359" s="605" t="n">
        <v>7</v>
      </c>
      <c r="S359" s="605" t="n">
        <v>1</v>
      </c>
      <c r="T359" s="403" t="inlineStr">
        <is>
          <t xml:space="preserve">I1   </t>
        </is>
      </c>
      <c r="U359" s="403" t="n">
        <v>401</v>
      </c>
      <c r="V359" s="404" t="n">
        <v>142334</v>
      </c>
      <c r="W359" s="404" t="n">
        <v>140000</v>
      </c>
      <c r="X359" s="410" t="inlineStr">
        <is>
          <t>2.7:1</t>
        </is>
      </c>
      <c r="Y359" s="404" t="n">
        <v>53000</v>
      </c>
      <c r="Z359" s="403" t="inlineStr">
        <is>
          <t xml:space="preserve">C </t>
        </is>
      </c>
      <c r="AC359" s="378" t="n"/>
      <c r="AD359" s="384" t="inlineStr">
        <is>
          <t>RCKY MTN PRC'SN FRMG</t>
        </is>
      </c>
      <c r="AE359" s="145" t="n"/>
      <c r="AF359" s="145" t="n"/>
      <c r="AG359" s="145" t="n"/>
      <c r="AH359" s="145" t="n"/>
      <c r="AI359" s="145" t="n"/>
      <c r="AJ359" s="145" t="n"/>
      <c r="AK359" s="411" t="n"/>
      <c r="AM359" s="605" t="n"/>
    </row>
    <row r="360" ht="12.75" customHeight="1" s="545">
      <c r="A360" s="388" t="n">
        <v>7</v>
      </c>
      <c r="B360" s="605" t="n">
        <v>353</v>
      </c>
      <c r="C360" s="384" t="inlineStr">
        <is>
          <t>2011Q</t>
        </is>
      </c>
      <c r="D360" s="605" t="inlineStr">
        <is>
          <t xml:space="preserve">02133-00-045-000 </t>
        </is>
      </c>
      <c r="E360" s="407" t="inlineStr">
        <is>
          <t>Actual</t>
        </is>
      </c>
      <c r="F360" s="605" t="inlineStr">
        <is>
          <t>5101   COLUMBINE           ST</t>
        </is>
      </c>
      <c r="G360" s="378" t="n">
        <v>44.1</v>
      </c>
      <c r="H360" s="378" t="n">
        <v>9201</v>
      </c>
      <c r="I360" s="403" t="n">
        <v>0</v>
      </c>
      <c r="J360" s="404" t="n">
        <v>6800</v>
      </c>
      <c r="K360" s="408" t="n">
        <v>8.82352941176471</v>
      </c>
      <c r="L360" s="409" t="n">
        <v>1</v>
      </c>
      <c r="M360" s="409" t="n">
        <v>0.0183333333333333</v>
      </c>
      <c r="N360" s="378" t="n">
        <v>1981</v>
      </c>
      <c r="O360" s="393" t="n">
        <v>2000</v>
      </c>
      <c r="Q360" s="605" t="n">
        <v>16</v>
      </c>
      <c r="R360" s="605" t="n">
        <v>8</v>
      </c>
      <c r="S360" s="605" t="n">
        <v>1</v>
      </c>
      <c r="T360" s="403" t="inlineStr">
        <is>
          <t xml:space="preserve">I2   </t>
        </is>
      </c>
      <c r="U360" s="403" t="n">
        <v>398</v>
      </c>
      <c r="V360" s="404" t="n">
        <v>71169</v>
      </c>
      <c r="W360" s="404" t="n">
        <v>71000</v>
      </c>
      <c r="X360" s="410" t="inlineStr">
        <is>
          <t>10.5:1</t>
        </is>
      </c>
      <c r="Y360" s="404" t="n">
        <v>7000</v>
      </c>
      <c r="Z360" s="403" t="inlineStr">
        <is>
          <t xml:space="preserve">C </t>
        </is>
      </c>
      <c r="AC360" s="378" t="n"/>
      <c r="AD360" s="384" t="inlineStr">
        <is>
          <t xml:space="preserve">DIST WAREHOUSE      </t>
        </is>
      </c>
      <c r="AE360" s="145" t="n"/>
      <c r="AF360" s="145" t="n"/>
      <c r="AG360" s="145" t="n"/>
      <c r="AH360" s="145" t="n"/>
      <c r="AI360" s="145" t="n"/>
      <c r="AJ360" s="145" t="n"/>
      <c r="AK360" s="411" t="inlineStr">
        <is>
          <t xml:space="preserve">VACANCY IS 2009; LEASE BEGAN 02/10.                               </t>
        </is>
      </c>
      <c r="AM360" s="605" t="n"/>
    </row>
    <row r="361" ht="12.75" customHeight="1" s="545">
      <c r="A361" s="388" t="n">
        <v>7</v>
      </c>
      <c r="B361" s="605" t="n">
        <v>354</v>
      </c>
      <c r="C361" s="384" t="inlineStr">
        <is>
          <t>2011Q</t>
        </is>
      </c>
      <c r="D361" s="605" t="inlineStr">
        <is>
          <t xml:space="preserve">02134-00-158-000 </t>
        </is>
      </c>
      <c r="E361" s="407" t="inlineStr">
        <is>
          <t>Actual</t>
        </is>
      </c>
      <c r="F361" s="605" t="inlineStr">
        <is>
          <t>5105   COOK                ST</t>
        </is>
      </c>
      <c r="G361" s="378" t="n">
        <v>44.1</v>
      </c>
      <c r="H361" s="378" t="n">
        <v>9201</v>
      </c>
      <c r="I361" s="403" t="n">
        <v>0</v>
      </c>
      <c r="J361" s="404" t="n">
        <v>29787</v>
      </c>
      <c r="K361" s="408" t="n">
        <v>5.23718400644577</v>
      </c>
      <c r="L361" s="409" t="n">
        <v>0</v>
      </c>
      <c r="M361" s="409" t="n">
        <v>0</v>
      </c>
      <c r="N361" s="378" t="n">
        <v>1983</v>
      </c>
      <c r="O361" s="393" t="n">
        <v>1063</v>
      </c>
      <c r="Q361" s="605" t="n">
        <v>18</v>
      </c>
      <c r="R361" s="605" t="n">
        <v>10</v>
      </c>
      <c r="S361" s="605" t="n">
        <v>1</v>
      </c>
      <c r="T361" s="403" t="inlineStr">
        <is>
          <t xml:space="preserve">I1   </t>
        </is>
      </c>
      <c r="U361" s="403" t="n">
        <v>398</v>
      </c>
      <c r="V361" s="404" t="n">
        <v>130639</v>
      </c>
      <c r="W361" s="404" t="n">
        <v>130000</v>
      </c>
      <c r="X361" s="410" t="inlineStr">
        <is>
          <t>4.4:1</t>
        </is>
      </c>
      <c r="Y361" s="404" t="n">
        <v>30000</v>
      </c>
      <c r="Z361" s="403" t="inlineStr">
        <is>
          <t xml:space="preserve">C </t>
        </is>
      </c>
      <c r="AC361" s="378" t="n"/>
      <c r="AD361" s="384" t="inlineStr">
        <is>
          <t xml:space="preserve">SAMS PRODUCE        </t>
        </is>
      </c>
      <c r="AE361" s="145" t="n"/>
      <c r="AF361" s="145" t="n"/>
      <c r="AG361" s="145" t="n"/>
      <c r="AH361" s="145" t="n"/>
      <c r="AI361" s="145" t="n"/>
      <c r="AJ361" s="145" t="n"/>
      <c r="AK361" s="411" t="n"/>
      <c r="AM361" s="605" t="n"/>
    </row>
    <row r="362" ht="12.75" customHeight="1" s="545">
      <c r="A362" s="388" t="n">
        <v>7</v>
      </c>
      <c r="B362" s="605" t="n">
        <v>355</v>
      </c>
      <c r="C362" s="384" t="inlineStr">
        <is>
          <t>2011Q</t>
        </is>
      </c>
      <c r="D362" s="605" t="inlineStr">
        <is>
          <t xml:space="preserve">02134-01-021-000 </t>
        </is>
      </c>
      <c r="E362" s="407" t="inlineStr">
        <is>
          <t>Actual</t>
        </is>
      </c>
      <c r="F362" s="605" t="inlineStr">
        <is>
          <t>4985   COLORADO            BV</t>
        </is>
      </c>
      <c r="G362" s="378" t="n">
        <v>44.1</v>
      </c>
      <c r="H362" s="378" t="n">
        <v>9201</v>
      </c>
      <c r="I362" s="403" t="n">
        <v>5</v>
      </c>
      <c r="J362" s="404" t="n">
        <v>24416</v>
      </c>
      <c r="K362" s="408" t="n">
        <v>3.93184796854522</v>
      </c>
      <c r="L362" s="409" t="n">
        <v>0</v>
      </c>
      <c r="M362" s="409" t="n">
        <v>0.0317708333333333</v>
      </c>
      <c r="N362" s="378" t="n">
        <v>1973</v>
      </c>
      <c r="O362" s="393" t="n">
        <v>1560</v>
      </c>
      <c r="Q362" s="605" t="n">
        <v>17</v>
      </c>
      <c r="R362" s="605" t="n">
        <v>1</v>
      </c>
      <c r="S362" s="605" t="n">
        <v>1</v>
      </c>
      <c r="T362" s="403" t="inlineStr">
        <is>
          <t xml:space="preserve">I1   </t>
        </is>
      </c>
      <c r="U362" s="403" t="n">
        <v>398</v>
      </c>
      <c r="V362" s="404" t="n">
        <v>45515</v>
      </c>
      <c r="W362" s="404" t="n">
        <v>46000</v>
      </c>
      <c r="X362" s="410" t="inlineStr">
        <is>
          <t>1.9:1</t>
        </is>
      </c>
      <c r="Y362" s="404" t="n">
        <v>24000</v>
      </c>
      <c r="Z362" s="403" t="inlineStr">
        <is>
          <t xml:space="preserve">C </t>
        </is>
      </c>
      <c r="AC362" s="378" t="n"/>
      <c r="AD362" s="384" t="inlineStr">
        <is>
          <t xml:space="preserve">FOREE TIRE          </t>
        </is>
      </c>
      <c r="AE362" s="145" t="n"/>
      <c r="AF362" s="145" t="n"/>
      <c r="AG362" s="145" t="n"/>
      <c r="AH362" s="145" t="n"/>
      <c r="AI362" s="145" t="n"/>
      <c r="AJ362" s="145" t="n"/>
      <c r="AK362" s="411" t="n"/>
      <c r="AM362" s="605" t="n"/>
    </row>
    <row r="363" ht="12.75" customHeight="1" s="545">
      <c r="A363" s="388" t="n">
        <v>7</v>
      </c>
      <c r="B363" s="605" t="n">
        <v>356</v>
      </c>
      <c r="C363" s="384" t="inlineStr">
        <is>
          <t>2011Q</t>
        </is>
      </c>
      <c r="D363" s="605" t="inlineStr">
        <is>
          <t xml:space="preserve">02134-01-045-000 </t>
        </is>
      </c>
      <c r="E363" s="407" t="inlineStr">
        <is>
          <t>Actual</t>
        </is>
      </c>
      <c r="F363" s="605" t="inlineStr">
        <is>
          <t>4916   JACKSON             ST</t>
        </is>
      </c>
      <c r="G363" s="378" t="n">
        <v>44.1</v>
      </c>
      <c r="H363" s="378" t="n">
        <v>9201</v>
      </c>
      <c r="I363" s="403" t="n">
        <v>0</v>
      </c>
      <c r="J363" s="404" t="n">
        <v>9960</v>
      </c>
      <c r="K363" s="408" t="n">
        <v>3.97590361445783</v>
      </c>
      <c r="L363" s="409" t="n">
        <v>0</v>
      </c>
      <c r="M363" s="409" t="n">
        <v>0</v>
      </c>
      <c r="N363" s="378" t="n">
        <v>1956</v>
      </c>
      <c r="O363" s="393" t="n">
        <v>3858</v>
      </c>
      <c r="Q363" s="605" t="n">
        <v>16</v>
      </c>
      <c r="R363" s="605" t="n">
        <v>1</v>
      </c>
      <c r="S363" s="605" t="n">
        <v>1</v>
      </c>
      <c r="T363" s="403" t="inlineStr">
        <is>
          <t xml:space="preserve">I1   </t>
        </is>
      </c>
      <c r="U363" s="403" t="n">
        <v>398</v>
      </c>
      <c r="V363" s="404" t="n">
        <v>17647</v>
      </c>
      <c r="W363" s="404" t="n">
        <v>18000</v>
      </c>
      <c r="X363" s="410" t="inlineStr">
        <is>
          <t>1.8:1</t>
        </is>
      </c>
      <c r="Y363" s="404" t="n">
        <v>10000</v>
      </c>
      <c r="Z363" s="403" t="inlineStr">
        <is>
          <t xml:space="preserve">C </t>
        </is>
      </c>
      <c r="AC363" s="378" t="n"/>
      <c r="AD363" s="384" t="inlineStr">
        <is>
          <t xml:space="preserve">SW ROCKMOUNT        </t>
        </is>
      </c>
      <c r="AE363" s="145" t="n"/>
      <c r="AF363" s="145" t="n"/>
      <c r="AG363" s="145" t="n"/>
      <c r="AH363" s="145" t="n"/>
      <c r="AI363" s="145" t="n"/>
      <c r="AJ363" s="145" t="n"/>
      <c r="AK363" s="411" t="inlineStr">
        <is>
          <t xml:space="preserve">2008 LEASE.                                                       </t>
        </is>
      </c>
      <c r="AM363" s="605" t="n"/>
    </row>
    <row r="364" ht="12.75" customHeight="1" s="545">
      <c r="A364" s="388" t="n">
        <v>7</v>
      </c>
      <c r="B364" s="605" t="n">
        <v>357</v>
      </c>
      <c r="C364" s="384" t="inlineStr">
        <is>
          <t>2011Q</t>
        </is>
      </c>
      <c r="D364" s="605" t="inlineStr">
        <is>
          <t xml:space="preserve">02141-00-010-000 </t>
        </is>
      </c>
      <c r="E364" s="407" t="inlineStr">
        <is>
          <t>Actual</t>
        </is>
      </c>
      <c r="F364" s="605" t="inlineStr">
        <is>
          <t>5300   FRANKLIN            ST</t>
        </is>
      </c>
      <c r="G364" s="392" t="n">
        <v>45.7</v>
      </c>
      <c r="H364" s="378" t="n">
        <v>9201</v>
      </c>
      <c r="I364" s="403" t="n">
        <v>0</v>
      </c>
      <c r="J364" s="404" t="n">
        <v>31705</v>
      </c>
      <c r="K364" s="408" t="n">
        <v>5.49998422961678</v>
      </c>
      <c r="L364" s="409" t="n">
        <v>0.4</v>
      </c>
      <c r="M364" s="409" t="n">
        <v>0</v>
      </c>
      <c r="N364" s="378" t="n">
        <v>1951</v>
      </c>
      <c r="O364" s="393" t="n">
        <v>5790</v>
      </c>
      <c r="Q364" s="605" t="n">
        <v>17</v>
      </c>
      <c r="R364" s="605" t="n">
        <v>4</v>
      </c>
      <c r="S364" s="605" t="n">
        <v>1</v>
      </c>
      <c r="T364" s="403" t="inlineStr">
        <is>
          <t xml:space="preserve">I2   </t>
        </is>
      </c>
      <c r="U364" s="403" t="n">
        <v>401</v>
      </c>
      <c r="V364" s="404" t="n">
        <v>85400</v>
      </c>
      <c r="W364" s="404" t="n">
        <v>85000</v>
      </c>
      <c r="X364" s="410" t="inlineStr">
        <is>
          <t>2.7:1</t>
        </is>
      </c>
      <c r="Y364" s="404" t="n">
        <v>32000</v>
      </c>
      <c r="Z364" s="403" t="inlineStr">
        <is>
          <t xml:space="preserve">C </t>
        </is>
      </c>
      <c r="AC364" s="378" t="n"/>
      <c r="AD364" s="384" t="n"/>
      <c r="AE364" s="145" t="n"/>
      <c r="AF364" s="145" t="n"/>
      <c r="AG364" s="145" t="n"/>
      <c r="AH364" s="145" t="n"/>
      <c r="AI364" s="145" t="n"/>
      <c r="AJ364" s="145" t="n"/>
      <c r="AK364" s="411" t="n"/>
      <c r="AM364" s="605" t="n"/>
    </row>
    <row r="365" ht="12.75" customHeight="1" s="545">
      <c r="A365" s="388" t="n">
        <v>7</v>
      </c>
      <c r="B365" s="605" t="n">
        <v>358</v>
      </c>
      <c r="C365" s="384" t="inlineStr">
        <is>
          <t>2011Q</t>
        </is>
      </c>
      <c r="D365" s="605" t="inlineStr">
        <is>
          <t xml:space="preserve">02143-00-030-000 </t>
        </is>
      </c>
      <c r="E365" s="407" t="inlineStr">
        <is>
          <t>Actual</t>
        </is>
      </c>
      <c r="F365" s="605" t="inlineStr">
        <is>
          <t>5040   WASHINGTON          ST</t>
        </is>
      </c>
      <c r="G365" s="378" t="n">
        <v>44.1</v>
      </c>
      <c r="H365" s="378" t="n">
        <v>9201</v>
      </c>
      <c r="I365" s="403" t="n">
        <v>0</v>
      </c>
      <c r="J365" s="404" t="n">
        <v>1200</v>
      </c>
      <c r="K365" s="408" t="n">
        <v>3.33333333333333</v>
      </c>
      <c r="L365" s="409" t="n">
        <v>0</v>
      </c>
      <c r="M365" s="409" t="n">
        <v>0.01675</v>
      </c>
      <c r="N365" s="378" t="n">
        <v>1967</v>
      </c>
      <c r="O365" s="393" t="n">
        <v>116</v>
      </c>
      <c r="Q365" s="605" t="n">
        <v>10</v>
      </c>
      <c r="R365" s="605" t="n">
        <v>7</v>
      </c>
      <c r="S365" s="605" t="n">
        <v>2</v>
      </c>
      <c r="T365" s="403" t="inlineStr">
        <is>
          <t xml:space="preserve">I1   </t>
        </is>
      </c>
      <c r="U365" s="403" t="n">
        <v>398</v>
      </c>
      <c r="V365" s="404" t="n">
        <v>12600</v>
      </c>
      <c r="W365" s="404" t="n">
        <v>13000</v>
      </c>
      <c r="X365" s="410" t="inlineStr">
        <is>
          <t>10.5:1</t>
        </is>
      </c>
      <c r="Y365" s="404" t="n">
        <v>1000</v>
      </c>
      <c r="Z365" s="403" t="inlineStr">
        <is>
          <t xml:space="preserve">C </t>
        </is>
      </c>
      <c r="AC365" s="378" t="n"/>
      <c r="AD365" s="384" t="inlineStr">
        <is>
          <t xml:space="preserve">S-W                 </t>
        </is>
      </c>
      <c r="AE365" s="145" t="n"/>
      <c r="AF365" s="145" t="n"/>
      <c r="AG365" s="145" t="n"/>
      <c r="AH365" s="145" t="n"/>
      <c r="AI365" s="145" t="n"/>
      <c r="AJ365" s="145" t="n"/>
      <c r="AK365" s="411" t="n"/>
      <c r="AM365" s="605" t="n"/>
    </row>
    <row r="366" ht="12.75" customHeight="1" s="545">
      <c r="A366" s="388" t="n">
        <v>7</v>
      </c>
      <c r="B366" s="605" t="n">
        <v>359</v>
      </c>
      <c r="C366" s="384" t="inlineStr">
        <is>
          <t>2011Q</t>
        </is>
      </c>
      <c r="D366" s="605" t="inlineStr">
        <is>
          <t xml:space="preserve">02143-00-093-000 </t>
        </is>
      </c>
      <c r="E366" s="407" t="inlineStr">
        <is>
          <t>Actual</t>
        </is>
      </c>
      <c r="F366" s="605" t="inlineStr">
        <is>
          <t>770 E 51ST                AV</t>
        </is>
      </c>
      <c r="G366" s="392" t="n">
        <v>44.2</v>
      </c>
      <c r="H366" s="378" t="n">
        <v>9201</v>
      </c>
      <c r="I366" s="403" t="n">
        <v>0</v>
      </c>
      <c r="J366" s="404" t="n">
        <v>2982</v>
      </c>
      <c r="K366" s="408" t="n">
        <v>4.42655935613682</v>
      </c>
      <c r="L366" s="409" t="n">
        <v>0</v>
      </c>
      <c r="M366" s="409" t="n">
        <v>0.0818181818181818</v>
      </c>
      <c r="N366" s="378" t="n">
        <v>1961</v>
      </c>
      <c r="O366" s="393" t="n">
        <v>0</v>
      </c>
      <c r="Q366" s="605" t="n">
        <v>9</v>
      </c>
      <c r="R366" s="605" t="n">
        <v>10</v>
      </c>
      <c r="S366" s="605" t="n">
        <v>1</v>
      </c>
      <c r="T366" s="403" t="inlineStr">
        <is>
          <t xml:space="preserve">I1   </t>
        </is>
      </c>
      <c r="U366" s="403" t="n">
        <v>353</v>
      </c>
      <c r="V366" s="404" t="n">
        <v>6711</v>
      </c>
      <c r="W366" s="404" t="n">
        <v>7000</v>
      </c>
      <c r="X366" s="410" t="inlineStr">
        <is>
          <t>2.3:1</t>
        </is>
      </c>
      <c r="Y366" s="404" t="n">
        <v>3000</v>
      </c>
      <c r="Z366" s="403" t="inlineStr">
        <is>
          <t xml:space="preserve">C </t>
        </is>
      </c>
      <c r="AC366" s="378" t="n"/>
      <c r="AD366" s="384" t="n"/>
      <c r="AE366" s="145" t="n"/>
      <c r="AF366" s="145" t="n"/>
      <c r="AG366" s="145" t="n"/>
      <c r="AH366" s="145" t="n"/>
      <c r="AI366" s="145" t="n"/>
      <c r="AJ366" s="145" t="n"/>
      <c r="AK366" s="411" t="n"/>
      <c r="AM366" s="605" t="n"/>
    </row>
    <row r="367" ht="12.75" customHeight="1" s="545">
      <c r="A367" s="388" t="n">
        <v>7</v>
      </c>
      <c r="B367" s="605" t="n">
        <v>360</v>
      </c>
      <c r="C367" s="384" t="inlineStr">
        <is>
          <t>2011Q</t>
        </is>
      </c>
      <c r="D367" s="605" t="inlineStr">
        <is>
          <t xml:space="preserve">02143-00-148-000 </t>
        </is>
      </c>
      <c r="E367" s="407" t="inlineStr">
        <is>
          <t>Actual</t>
        </is>
      </c>
      <c r="F367" s="605" t="inlineStr">
        <is>
          <t>5151   FRANKLIN            ST</t>
        </is>
      </c>
      <c r="G367" s="392" t="n">
        <v>44.4</v>
      </c>
      <c r="H367" s="378" t="n">
        <v>9201</v>
      </c>
      <c r="I367" s="403" t="n">
        <v>0</v>
      </c>
      <c r="J367" s="404" t="n">
        <v>143328</v>
      </c>
      <c r="K367" s="408" t="n">
        <v>2.82103985264568</v>
      </c>
      <c r="L367" s="409" t="n">
        <v>0</v>
      </c>
      <c r="M367" s="409" t="n">
        <v>0</v>
      </c>
      <c r="N367" s="378" t="n">
        <v>1980</v>
      </c>
      <c r="O367" s="393" t="n">
        <v>11852</v>
      </c>
      <c r="Q367" s="605" t="n">
        <v>25</v>
      </c>
      <c r="R367" s="605" t="n">
        <v>3</v>
      </c>
      <c r="S367" s="605" t="n">
        <v>1</v>
      </c>
      <c r="T367" s="403" t="inlineStr">
        <is>
          <t xml:space="preserve">I2   </t>
        </is>
      </c>
      <c r="U367" s="403" t="n">
        <v>398</v>
      </c>
      <c r="V367" s="404" t="n">
        <v>286723</v>
      </c>
      <c r="W367" s="404" t="n">
        <v>290000</v>
      </c>
      <c r="X367" s="410" t="inlineStr">
        <is>
          <t>2.0:1</t>
        </is>
      </c>
      <c r="Y367" s="404" t="n">
        <v>140000</v>
      </c>
      <c r="Z367" s="403" t="inlineStr">
        <is>
          <t xml:space="preserve">C </t>
        </is>
      </c>
      <c r="AC367" s="378" t="n"/>
      <c r="AD367" s="384" t="inlineStr">
        <is>
          <t xml:space="preserve">MW                  </t>
        </is>
      </c>
      <c r="AE367" s="145" t="n"/>
      <c r="AF367" s="145" t="n"/>
      <c r="AG367" s="145" t="n"/>
      <c r="AH367" s="145" t="n"/>
      <c r="AI367" s="145" t="n"/>
      <c r="AJ367" s="145" t="n"/>
      <c r="AK367" s="411" t="n"/>
      <c r="AM367" s="605" t="n"/>
    </row>
    <row r="368" ht="25.5" customHeight="1" s="545">
      <c r="A368" s="388" t="n">
        <v>7</v>
      </c>
      <c r="B368" s="605" t="n">
        <v>361</v>
      </c>
      <c r="C368" s="384" t="inlineStr">
        <is>
          <t>2011Q</t>
        </is>
      </c>
      <c r="D368" s="605" t="inlineStr">
        <is>
          <t xml:space="preserve">02143-00-149-000 </t>
        </is>
      </c>
      <c r="E368" s="407" t="inlineStr">
        <is>
          <t>Actual</t>
        </is>
      </c>
      <c r="F368" s="605" t="inlineStr">
        <is>
          <t>4950   WASHINGTON          ST</t>
        </is>
      </c>
      <c r="G368" s="378" t="n">
        <v>44.1</v>
      </c>
      <c r="H368" s="378" t="n">
        <v>9201</v>
      </c>
      <c r="I368" s="403" t="n">
        <v>0</v>
      </c>
      <c r="J368" s="404" t="n">
        <v>19990</v>
      </c>
      <c r="K368" s="408" t="n">
        <v>4.3271635817909</v>
      </c>
      <c r="L368" s="409" t="n">
        <v>0</v>
      </c>
      <c r="M368" s="409" t="n">
        <v>0</v>
      </c>
      <c r="N368" s="378" t="n">
        <v>1948</v>
      </c>
      <c r="O368" s="393" t="n">
        <v>5730</v>
      </c>
      <c r="Q368" s="605" t="n">
        <v>18</v>
      </c>
      <c r="R368" s="605" t="n">
        <v>1</v>
      </c>
      <c r="S368" s="605" t="n">
        <v>1</v>
      </c>
      <c r="T368" s="403" t="inlineStr">
        <is>
          <t xml:space="preserve">I2   </t>
        </is>
      </c>
      <c r="U368" s="403" t="n">
        <v>398</v>
      </c>
      <c r="V368" s="404" t="n">
        <v>100554</v>
      </c>
      <c r="W368" s="404" t="n">
        <v>101000</v>
      </c>
      <c r="X368" s="410" t="inlineStr">
        <is>
          <t>3.0:1</t>
        </is>
      </c>
      <c r="Y368" s="404" t="n">
        <v>20000</v>
      </c>
      <c r="Z368" s="403" t="inlineStr">
        <is>
          <t xml:space="preserve">C </t>
        </is>
      </c>
      <c r="AC368" s="378" t="n"/>
      <c r="AD368" s="384" t="n"/>
      <c r="AE368" s="145" t="n"/>
      <c r="AF368" s="145" t="n"/>
      <c r="AG368" s="145" t="n"/>
      <c r="AH368" s="145" t="n"/>
      <c r="AI368" s="145" t="n"/>
      <c r="AJ368" s="145" t="n"/>
      <c r="AK368" s="411" t="inlineStr">
        <is>
          <t xml:space="preserve">2008 LEASE; EXPENSES NOT ALLOCABLE BETWEEN OWNER AND TENANT.      </t>
        </is>
      </c>
      <c r="AM368" s="605" t="n"/>
    </row>
    <row r="369" ht="12.75" customHeight="1" s="545">
      <c r="A369" s="388" t="n">
        <v>7</v>
      </c>
      <c r="B369" s="605" t="n">
        <v>362</v>
      </c>
      <c r="C369" s="384" t="inlineStr">
        <is>
          <t>2011Q</t>
        </is>
      </c>
      <c r="D369" s="605" t="inlineStr">
        <is>
          <t xml:space="preserve">02143-04-026-000 </t>
        </is>
      </c>
      <c r="E369" s="407" t="inlineStr">
        <is>
          <t>Actual</t>
        </is>
      </c>
      <c r="F369" s="605" t="inlineStr">
        <is>
          <t>5171   EMERSON             ST</t>
        </is>
      </c>
      <c r="G369" s="378" t="n">
        <v>44.1</v>
      </c>
      <c r="H369" s="378" t="n">
        <v>9201</v>
      </c>
      <c r="I369" s="403" t="n">
        <v>0</v>
      </c>
      <c r="J369" s="404" t="n">
        <v>5030</v>
      </c>
      <c r="K369" s="408" t="n">
        <v>5.36779324055666</v>
      </c>
      <c r="L369" s="409" t="n">
        <v>0</v>
      </c>
      <c r="M369" s="409" t="n">
        <v>0.008148148148148149</v>
      </c>
      <c r="N369" s="378" t="n">
        <v>1980</v>
      </c>
      <c r="O369" s="393" t="n">
        <v>387</v>
      </c>
      <c r="Q369" s="605" t="n">
        <v>16</v>
      </c>
      <c r="R369" s="605" t="n">
        <v>7</v>
      </c>
      <c r="S369" s="605" t="n">
        <v>1</v>
      </c>
      <c r="T369" s="403" t="inlineStr">
        <is>
          <t xml:space="preserve">I1   </t>
        </is>
      </c>
      <c r="U369" s="403" t="n">
        <v>398</v>
      </c>
      <c r="V369" s="404" t="n">
        <v>18700</v>
      </c>
      <c r="W369" s="404" t="n">
        <v>19000</v>
      </c>
      <c r="X369" s="410" t="inlineStr">
        <is>
          <t>3.7:1</t>
        </is>
      </c>
      <c r="Y369" s="404" t="n">
        <v>5000</v>
      </c>
      <c r="Z369" s="403" t="inlineStr">
        <is>
          <t xml:space="preserve">C </t>
        </is>
      </c>
      <c r="AC369" s="378" t="n"/>
      <c r="AD369" s="384" t="n"/>
      <c r="AE369" s="145" t="n"/>
      <c r="AF369" s="145" t="n"/>
      <c r="AG369" s="145" t="n"/>
      <c r="AH369" s="145" t="n"/>
      <c r="AI369" s="145" t="n"/>
      <c r="AJ369" s="145" t="n"/>
      <c r="AK369" s="411" t="inlineStr">
        <is>
          <t xml:space="preserve">MO-TO-MO                                                          </t>
        </is>
      </c>
      <c r="AM369" s="605" t="n"/>
    </row>
    <row r="370" ht="25.5" customHeight="1" s="545">
      <c r="A370" s="388" t="n">
        <v>7</v>
      </c>
      <c r="B370" s="605" t="n">
        <v>363</v>
      </c>
      <c r="C370" s="384" t="inlineStr">
        <is>
          <t>2011Q</t>
        </is>
      </c>
      <c r="D370" s="605" t="inlineStr">
        <is>
          <t xml:space="preserve">02144-00-111-000 </t>
        </is>
      </c>
      <c r="E370" s="407" t="inlineStr">
        <is>
          <t>Actual</t>
        </is>
      </c>
      <c r="F370" s="605" t="inlineStr">
        <is>
          <t>5125   RACE                CT</t>
        </is>
      </c>
      <c r="G370" s="392" t="n">
        <v>44.4</v>
      </c>
      <c r="H370" s="378" t="n">
        <v>9201</v>
      </c>
      <c r="I370" s="403" t="n">
        <v>0</v>
      </c>
      <c r="J370" s="404" t="n">
        <v>95948</v>
      </c>
      <c r="K370" s="408" t="n">
        <v>4.45032726059949</v>
      </c>
      <c r="L370" s="409" t="n">
        <v>0</v>
      </c>
      <c r="M370" s="409" t="n">
        <v>0.00669320843091335</v>
      </c>
      <c r="N370" s="378" t="n">
        <v>1979</v>
      </c>
      <c r="O370" s="393" t="n">
        <v>677</v>
      </c>
      <c r="Q370" s="605" t="n">
        <v>21</v>
      </c>
      <c r="R370" s="605" t="n">
        <v>3</v>
      </c>
      <c r="S370" s="605" t="n">
        <v>2</v>
      </c>
      <c r="T370" s="403" t="inlineStr">
        <is>
          <t xml:space="preserve">I2   </t>
        </is>
      </c>
      <c r="U370" s="403" t="n">
        <v>398</v>
      </c>
      <c r="V370" s="404" t="n">
        <v>416941</v>
      </c>
      <c r="W370" s="404" t="n">
        <v>420000</v>
      </c>
      <c r="X370" s="410" t="inlineStr">
        <is>
          <t>3.1:1</t>
        </is>
      </c>
      <c r="Y370" s="404" t="n">
        <v>96000</v>
      </c>
      <c r="Z370" s="403" t="inlineStr">
        <is>
          <t xml:space="preserve">C </t>
        </is>
      </c>
      <c r="AC370" s="378" t="n"/>
      <c r="AD370" s="384" t="inlineStr">
        <is>
          <t xml:space="preserve">DIST/MANU           </t>
        </is>
      </c>
      <c r="AE370" s="145" t="n"/>
      <c r="AF370" s="145" t="n"/>
      <c r="AG370" s="145" t="n"/>
      <c r="AH370" s="145" t="n"/>
      <c r="AI370" s="145" t="n"/>
      <c r="AJ370" s="145" t="n"/>
      <c r="AK370" s="411" t="inlineStr">
        <is>
          <t xml:space="preserve">INFO PERTAINS THE UNIT LEASED DURING THE BASE PERIOD ONLY.        </t>
        </is>
      </c>
      <c r="AM370" s="605" t="n"/>
    </row>
    <row r="371" ht="25.5" customHeight="1" s="545">
      <c r="A371" s="388" t="n">
        <v>7</v>
      </c>
      <c r="B371" s="605" t="n">
        <v>364</v>
      </c>
      <c r="C371" s="384" t="inlineStr">
        <is>
          <t>2011Q</t>
        </is>
      </c>
      <c r="D371" s="605" t="inlineStr">
        <is>
          <t xml:space="preserve">02153-00-014-000 </t>
        </is>
      </c>
      <c r="E371" s="407" t="inlineStr">
        <is>
          <t>Actual</t>
        </is>
      </c>
      <c r="F371" s="605" t="inlineStr">
        <is>
          <t>555 W 48TH                AV</t>
        </is>
      </c>
      <c r="G371" s="392" t="n">
        <v>44.4</v>
      </c>
      <c r="H371" s="378" t="n">
        <v>9208</v>
      </c>
      <c r="I371" s="403" t="n">
        <v>0</v>
      </c>
      <c r="J371" s="404" t="n">
        <v>109323</v>
      </c>
      <c r="K371" s="408" t="n">
        <v>8.7949928194433</v>
      </c>
      <c r="L371" s="409" t="n">
        <v>0.26</v>
      </c>
      <c r="M371" s="409" t="n">
        <v>0.253961799073318</v>
      </c>
      <c r="N371" s="378" t="n">
        <v>1955</v>
      </c>
      <c r="O371" s="393" t="n">
        <v>27857</v>
      </c>
      <c r="Q371" s="605" t="n">
        <v>20</v>
      </c>
      <c r="R371" s="605" t="n">
        <v>1</v>
      </c>
      <c r="S371" s="605" t="n">
        <v>5</v>
      </c>
      <c r="T371" s="403" t="inlineStr">
        <is>
          <t xml:space="preserve">I2   </t>
        </is>
      </c>
      <c r="U371" s="403" t="n">
        <v>398</v>
      </c>
      <c r="V371" s="404" t="n">
        <v>240000</v>
      </c>
      <c r="W371" s="404" t="n">
        <v>240000</v>
      </c>
      <c r="X371" s="410" t="inlineStr">
        <is>
          <t>2.2:1</t>
        </is>
      </c>
      <c r="Y371" s="404" t="n">
        <v>110000</v>
      </c>
      <c r="Z371" s="403" t="inlineStr">
        <is>
          <t xml:space="preserve">C </t>
        </is>
      </c>
      <c r="AC371" s="378" t="n"/>
      <c r="AD371" s="384" t="inlineStr">
        <is>
          <t>M-W-LINCOLN BUS PARK</t>
        </is>
      </c>
      <c r="AE371" s="145" t="n"/>
      <c r="AF371" s="145" t="n"/>
      <c r="AG371" s="145" t="n"/>
      <c r="AH371" s="145" t="n"/>
      <c r="AI371" s="145" t="n"/>
      <c r="AJ371" s="145" t="n"/>
      <c r="AK371" s="411" t="inlineStr">
        <is>
          <t xml:space="preserve">FULL EXPENSE RECOVERY MAKES THESE EFFECTIVELY NET LEASES.         </t>
        </is>
      </c>
      <c r="AM371" s="605" t="n"/>
    </row>
    <row r="372" ht="25.5" customHeight="1" s="545">
      <c r="A372" s="388" t="n">
        <v>7</v>
      </c>
      <c r="B372" s="605" t="n">
        <v>365</v>
      </c>
      <c r="C372" s="384" t="inlineStr">
        <is>
          <t>2011Q</t>
        </is>
      </c>
      <c r="D372" s="605" t="inlineStr">
        <is>
          <t xml:space="preserve">02153-09-014-000 </t>
        </is>
      </c>
      <c r="E372" s="407" t="inlineStr">
        <is>
          <t>Actual</t>
        </is>
      </c>
      <c r="F372" s="605" t="inlineStr">
        <is>
          <t>4855   BROADWAY            ST</t>
        </is>
      </c>
      <c r="G372" s="392" t="n">
        <v>44.2</v>
      </c>
      <c r="H372" s="378" t="n">
        <v>9201</v>
      </c>
      <c r="I372" s="403" t="n">
        <v>0</v>
      </c>
      <c r="J372" s="404" t="n">
        <v>14000</v>
      </c>
      <c r="K372" s="408" t="n">
        <v>3.85714285714286</v>
      </c>
      <c r="L372" s="409" t="n">
        <v>0</v>
      </c>
      <c r="M372" s="409" t="n">
        <v>0.186833333333333</v>
      </c>
      <c r="N372" s="378" t="n">
        <v>1968</v>
      </c>
      <c r="O372" s="393" t="n">
        <v>1143</v>
      </c>
      <c r="Q372" s="605" t="n">
        <v>18</v>
      </c>
      <c r="R372" s="605" t="n">
        <v>10</v>
      </c>
      <c r="S372" s="605" t="n">
        <v>2</v>
      </c>
      <c r="T372" s="403" t="inlineStr">
        <is>
          <t xml:space="preserve">I1   </t>
        </is>
      </c>
      <c r="U372" s="403" t="n">
        <v>398</v>
      </c>
      <c r="V372" s="404" t="n">
        <v>24000</v>
      </c>
      <c r="W372" s="404" t="n">
        <v>24000</v>
      </c>
      <c r="X372" s="410" t="inlineStr">
        <is>
          <t>1.7:1</t>
        </is>
      </c>
      <c r="Y372" s="404" t="n">
        <v>14000</v>
      </c>
      <c r="Z372" s="403" t="inlineStr">
        <is>
          <t xml:space="preserve">C </t>
        </is>
      </c>
      <c r="AC372" s="378" t="n"/>
      <c r="AD372" s="384" t="n"/>
      <c r="AE372" s="145" t="n"/>
      <c r="AF372" s="145" t="n"/>
      <c r="AG372" s="145" t="n"/>
      <c r="AH372" s="145" t="n"/>
      <c r="AI372" s="145" t="n"/>
      <c r="AJ372" s="145" t="n"/>
      <c r="AK372" s="411" t="inlineStr">
        <is>
          <t>GROSS LEASE BASIS IS ATYPICAL FOR WAREHOUSES - OWNER EXP TOO HIGH.</t>
        </is>
      </c>
      <c r="AM372" s="605" t="n"/>
    </row>
    <row r="373" ht="12.75" customHeight="1" s="545">
      <c r="A373" s="388" t="n">
        <v>7</v>
      </c>
      <c r="B373" s="605" t="n">
        <v>366</v>
      </c>
      <c r="C373" s="384" t="inlineStr">
        <is>
          <t>2011Q</t>
        </is>
      </c>
      <c r="D373" s="605" t="inlineStr">
        <is>
          <t xml:space="preserve">02154-00-046-000 </t>
        </is>
      </c>
      <c r="E373" s="407" t="inlineStr">
        <is>
          <t>Actual</t>
        </is>
      </c>
      <c r="F373" s="605" t="inlineStr">
        <is>
          <t>5005   WASHINGTON          ST</t>
        </is>
      </c>
      <c r="G373" s="378" t="n">
        <v>44.1</v>
      </c>
      <c r="H373" s="378" t="n">
        <v>9201</v>
      </c>
      <c r="I373" s="403" t="n">
        <v>0</v>
      </c>
      <c r="J373" s="404" t="n">
        <v>38845</v>
      </c>
      <c r="K373" s="408" t="n">
        <v>7.72300167331703</v>
      </c>
      <c r="L373" s="409" t="n">
        <v>0</v>
      </c>
      <c r="M373" s="409" t="n">
        <v>0</v>
      </c>
      <c r="N373" s="378" t="n">
        <v>1991</v>
      </c>
      <c r="O373" s="393" t="n">
        <v>7755</v>
      </c>
      <c r="Q373" s="605" t="n">
        <v>28</v>
      </c>
      <c r="R373" s="605" t="n">
        <v>3</v>
      </c>
      <c r="S373" s="605" t="n">
        <v>1</v>
      </c>
      <c r="T373" s="403" t="inlineStr">
        <is>
          <t xml:space="preserve">I1   </t>
        </is>
      </c>
      <c r="U373" s="403" t="n">
        <v>398</v>
      </c>
      <c r="V373" s="404" t="n">
        <v>87200</v>
      </c>
      <c r="W373" s="404" t="n">
        <v>87000</v>
      </c>
      <c r="X373" s="410" t="inlineStr">
        <is>
          <t>2.2:1</t>
        </is>
      </c>
      <c r="Y373" s="404" t="n">
        <v>39000</v>
      </c>
      <c r="Z373" s="403" t="inlineStr">
        <is>
          <t xml:space="preserve">C </t>
        </is>
      </c>
      <c r="AC373" s="378" t="n"/>
      <c r="AD373" s="384" t="inlineStr">
        <is>
          <t xml:space="preserve">S-W REST SOURCE     </t>
        </is>
      </c>
      <c r="AE373" s="145" t="n"/>
      <c r="AF373" s="145" t="n"/>
      <c r="AG373" s="145" t="n"/>
      <c r="AH373" s="145" t="n"/>
      <c r="AI373" s="145" t="n"/>
      <c r="AJ373" s="145" t="n"/>
      <c r="AK373" s="411" t="inlineStr">
        <is>
          <t xml:space="preserve">LEASE COMMENCEMENT UNKNOWN.                                       </t>
        </is>
      </c>
      <c r="AM373" s="605" t="n"/>
    </row>
    <row r="374" ht="25.5" customHeight="1" s="545">
      <c r="A374" s="388" t="n">
        <v>7</v>
      </c>
      <c r="B374" s="605" t="n">
        <v>367</v>
      </c>
      <c r="C374" s="384" t="inlineStr">
        <is>
          <t>2011Q</t>
        </is>
      </c>
      <c r="D374" s="605" t="inlineStr">
        <is>
          <t xml:space="preserve">02154-17-014-000 </t>
        </is>
      </c>
      <c r="E374" s="407" t="inlineStr">
        <is>
          <t>Actual</t>
        </is>
      </c>
      <c r="F374" s="605" t="inlineStr">
        <is>
          <t>4850   BROADWAY            ST</t>
        </is>
      </c>
      <c r="G374" s="392" t="n">
        <v>46.2</v>
      </c>
      <c r="H374" s="378" t="n">
        <v>9201</v>
      </c>
      <c r="I374" s="403" t="n">
        <v>0</v>
      </c>
      <c r="J374" s="404" t="n">
        <v>10354</v>
      </c>
      <c r="K374" s="408" t="n">
        <v>4.33928916360827</v>
      </c>
      <c r="L374" s="409" t="n">
        <v>0</v>
      </c>
      <c r="M374" s="409" t="n">
        <v>0.174453025885286</v>
      </c>
      <c r="N374" s="378" t="n">
        <v>1967</v>
      </c>
      <c r="O374" s="393" t="n">
        <v>3374</v>
      </c>
      <c r="Q374" s="605" t="n">
        <v>17</v>
      </c>
      <c r="R374" s="605" t="n">
        <v>14</v>
      </c>
      <c r="S374" s="605" t="n">
        <v>3</v>
      </c>
      <c r="T374" s="403" t="inlineStr">
        <is>
          <t xml:space="preserve">I1   </t>
        </is>
      </c>
      <c r="U374" s="403" t="n">
        <v>401</v>
      </c>
      <c r="V374" s="404" t="n">
        <v>21063</v>
      </c>
      <c r="W374" s="404" t="n">
        <v>21000</v>
      </c>
      <c r="X374" s="410" t="inlineStr">
        <is>
          <t>2.0:1</t>
        </is>
      </c>
      <c r="Y374" s="404" t="n">
        <v>10000</v>
      </c>
      <c r="Z374" s="403" t="inlineStr">
        <is>
          <t xml:space="preserve">C </t>
        </is>
      </c>
      <c r="AC374" s="378" t="n"/>
      <c r="AD374" s="384" t="n"/>
      <c r="AE374" s="145" t="n"/>
      <c r="AF374" s="145" t="n"/>
      <c r="AG374" s="145" t="n"/>
      <c r="AH374" s="145" t="n"/>
      <c r="AI374" s="145" t="n"/>
      <c r="AJ374" s="145" t="n"/>
      <c r="AK374" s="411" t="inlineStr">
        <is>
          <t xml:space="preserve">GROSS LEASE BASIS IS ATYPICAL FOR WHSES - OWNER EXP TOO HIGH.     </t>
        </is>
      </c>
      <c r="AM374" s="605" t="n"/>
    </row>
    <row r="375" ht="25.5" customHeight="1" s="545">
      <c r="A375" s="388" t="n">
        <v>7</v>
      </c>
      <c r="B375" s="605" t="n">
        <v>368</v>
      </c>
      <c r="C375" s="384" t="inlineStr">
        <is>
          <t>2011Q</t>
        </is>
      </c>
      <c r="D375" s="605" t="inlineStr">
        <is>
          <t xml:space="preserve">02154-23-037-000 </t>
        </is>
      </c>
      <c r="E375" s="407" t="inlineStr">
        <is>
          <t>Actual</t>
        </is>
      </c>
      <c r="F375" s="605" t="inlineStr">
        <is>
          <t>4895   WASHINGTON          ST</t>
        </is>
      </c>
      <c r="G375" s="392" t="n">
        <v>44.2</v>
      </c>
      <c r="H375" s="378" t="n">
        <v>9201</v>
      </c>
      <c r="I375" s="403" t="n">
        <v>0</v>
      </c>
      <c r="J375" s="404" t="n">
        <v>13881</v>
      </c>
      <c r="K375" s="408" t="n">
        <v>2.43498307038398</v>
      </c>
      <c r="L375" s="409" t="n">
        <v>0</v>
      </c>
      <c r="M375" s="409" t="n">
        <v>0</v>
      </c>
      <c r="N375" s="378" t="n">
        <v>1950</v>
      </c>
      <c r="O375" s="393" t="n">
        <v>3456</v>
      </c>
      <c r="Q375" s="605" t="n">
        <v>14</v>
      </c>
      <c r="R375" s="605" t="n">
        <v>8</v>
      </c>
      <c r="S375" s="605" t="n">
        <v>1</v>
      </c>
      <c r="T375" s="403" t="inlineStr">
        <is>
          <t xml:space="preserve">I1   </t>
        </is>
      </c>
      <c r="U375" s="403" t="n">
        <v>398</v>
      </c>
      <c r="V375" s="404" t="n">
        <v>28675</v>
      </c>
      <c r="W375" s="404" t="n">
        <v>29000</v>
      </c>
      <c r="X375" s="410" t="inlineStr">
        <is>
          <t>2.1:1</t>
        </is>
      </c>
      <c r="Y375" s="404" t="n">
        <v>14000</v>
      </c>
      <c r="Z375" s="403" t="inlineStr">
        <is>
          <t xml:space="preserve">C </t>
        </is>
      </c>
      <c r="AC375" s="378" t="n"/>
      <c r="AD375" s="384" t="inlineStr">
        <is>
          <t>MILE HI AUTO ELECTRI</t>
        </is>
      </c>
      <c r="AE375" s="145" t="n"/>
      <c r="AF375" s="145" t="n"/>
      <c r="AG375" s="145" t="n"/>
      <c r="AH375" s="145" t="n"/>
      <c r="AI375" s="145" t="n"/>
      <c r="AJ375" s="145" t="n"/>
      <c r="AK375" s="411" t="inlineStr">
        <is>
          <t xml:space="preserve">2010 LEASE; WHO PAYS WHAT ARE GUESSES BASED ON MKT &amp; LOCATION.    </t>
        </is>
      </c>
      <c r="AM375" s="605" t="n"/>
    </row>
    <row r="376" ht="12.75" customHeight="1" s="545">
      <c r="A376" s="388" t="n">
        <v>7</v>
      </c>
      <c r="B376" s="605" t="n">
        <v>369</v>
      </c>
      <c r="C376" s="384" t="inlineStr">
        <is>
          <t>2011Q</t>
        </is>
      </c>
      <c r="D376" s="605" t="inlineStr">
        <is>
          <t xml:space="preserve">02154-23-038-000 </t>
        </is>
      </c>
      <c r="E376" s="407" t="inlineStr">
        <is>
          <t>Actual</t>
        </is>
      </c>
      <c r="F376" s="605" t="inlineStr">
        <is>
          <t>650 E 49TH                AV</t>
        </is>
      </c>
      <c r="G376" s="378" t="n">
        <v>44.1</v>
      </c>
      <c r="H376" s="378" t="n">
        <v>9201</v>
      </c>
      <c r="I376" s="403" t="n">
        <v>0</v>
      </c>
      <c r="J376" s="404" t="n">
        <v>6000</v>
      </c>
      <c r="K376" s="408" t="n">
        <v>8</v>
      </c>
      <c r="L376" s="409" t="n">
        <v>0</v>
      </c>
      <c r="M376" s="409" t="n">
        <v>0.082125</v>
      </c>
      <c r="N376" s="378" t="n">
        <v>1980</v>
      </c>
      <c r="O376" s="393" t="n">
        <v>702</v>
      </c>
      <c r="Q376" s="605" t="n">
        <v>14</v>
      </c>
      <c r="R376" s="605" t="n">
        <v>7</v>
      </c>
      <c r="S376" s="605" t="n">
        <v>1</v>
      </c>
      <c r="T376" s="403" t="inlineStr">
        <is>
          <t xml:space="preserve">I1   </t>
        </is>
      </c>
      <c r="U376" s="403" t="n">
        <v>398</v>
      </c>
      <c r="V376" s="404" t="n">
        <v>19115</v>
      </c>
      <c r="W376" s="404" t="n">
        <v>19000</v>
      </c>
      <c r="X376" s="410" t="inlineStr">
        <is>
          <t>3.2:1</t>
        </is>
      </c>
      <c r="Y376" s="404" t="n">
        <v>6000</v>
      </c>
      <c r="Z376" s="403" t="inlineStr">
        <is>
          <t xml:space="preserve">C </t>
        </is>
      </c>
      <c r="AC376" s="378" t="n"/>
      <c r="AD376" s="384" t="n"/>
      <c r="AE376" s="145" t="n"/>
      <c r="AF376" s="145" t="n"/>
      <c r="AG376" s="145" t="n"/>
      <c r="AH376" s="145" t="n"/>
      <c r="AI376" s="145" t="n"/>
      <c r="AJ376" s="145" t="n"/>
      <c r="AK376" s="411" t="inlineStr">
        <is>
          <t xml:space="preserve">2008 LEASE.                                                       </t>
        </is>
      </c>
      <c r="AM376" s="605" t="n"/>
    </row>
    <row r="377" ht="38.25" customHeight="1" s="545">
      <c r="A377" s="388" t="n">
        <v>7</v>
      </c>
      <c r="B377" s="605" t="n">
        <v>370</v>
      </c>
      <c r="C377" s="384" t="inlineStr">
        <is>
          <t>2011Q</t>
        </is>
      </c>
      <c r="D377" s="605" t="inlineStr">
        <is>
          <t xml:space="preserve">02164-09-030-000 </t>
        </is>
      </c>
      <c r="E377" s="407" t="inlineStr">
        <is>
          <t>Actual</t>
        </is>
      </c>
      <c r="F377" s="605" t="inlineStr">
        <is>
          <t>4900   OSAGE               ST</t>
        </is>
      </c>
      <c r="G377" s="392" t="n">
        <v>44.4</v>
      </c>
      <c r="H377" s="378" t="n">
        <v>9208</v>
      </c>
      <c r="I377" s="403" t="n">
        <v>0</v>
      </c>
      <c r="J377" s="404" t="n">
        <v>176800</v>
      </c>
      <c r="K377" s="408" t="n">
        <v>5.49</v>
      </c>
      <c r="L377" s="409" t="n">
        <v>0</v>
      </c>
      <c r="M377" s="409" t="n">
        <v>0.0484927817280759</v>
      </c>
      <c r="N377" s="378" t="n">
        <v>2003</v>
      </c>
      <c r="O377" s="393" t="n">
        <v>21717</v>
      </c>
      <c r="Q377" s="605" t="n">
        <v>42</v>
      </c>
      <c r="R377" s="605" t="n">
        <v>14</v>
      </c>
      <c r="S377" s="605" t="n">
        <v>8</v>
      </c>
      <c r="T377" s="403" t="inlineStr">
        <is>
          <t xml:space="preserve">I0   </t>
        </is>
      </c>
      <c r="U377" s="403" t="n">
        <v>398</v>
      </c>
      <c r="V377" s="404" t="n">
        <v>383884</v>
      </c>
      <c r="W377" s="404" t="n">
        <v>380000</v>
      </c>
      <c r="X377" s="410" t="inlineStr">
        <is>
          <t>2.2:1</t>
        </is>
      </c>
      <c r="Y377" s="404" t="n">
        <v>180000</v>
      </c>
      <c r="Z377" s="403" t="inlineStr">
        <is>
          <t xml:space="preserve">C </t>
        </is>
      </c>
      <c r="AC377" s="378" t="n"/>
      <c r="AD377" s="384" t="inlineStr">
        <is>
          <t>CENTERPARK M-T WHSE.</t>
        </is>
      </c>
      <c r="AE377" s="145" t="n"/>
      <c r="AF377" s="145" t="n"/>
      <c r="AG377" s="145" t="n"/>
      <c r="AH377" s="145" t="n"/>
      <c r="AI377" s="145" t="n"/>
      <c r="AJ377" s="145" t="n"/>
      <c r="AK377" s="405" t="inlineStr">
        <is>
          <t>3% exp ratio represents the owner's non-reimbursable expenses - CAM = $2.16 PSF Exp = $2.34 PSF</t>
        </is>
      </c>
      <c r="AM377" s="605" t="n"/>
    </row>
    <row r="378" ht="38.25" customHeight="1" s="545">
      <c r="A378" s="388" t="n">
        <v>7</v>
      </c>
      <c r="B378" s="605" t="n">
        <v>371</v>
      </c>
      <c r="C378" s="403" t="inlineStr">
        <is>
          <t>2011W</t>
        </is>
      </c>
      <c r="D378" s="605" t="inlineStr">
        <is>
          <t>02164-09-031-000</t>
        </is>
      </c>
      <c r="E378" s="403" t="inlineStr">
        <is>
          <t>Actual</t>
        </is>
      </c>
      <c r="F378" s="605" t="inlineStr">
        <is>
          <t>5000 Osage St</t>
        </is>
      </c>
      <c r="G378" s="412" t="inlineStr">
        <is>
          <t>44.4</t>
        </is>
      </c>
      <c r="H378" s="605" t="n">
        <v>9208</v>
      </c>
      <c r="I378" s="403" t="n">
        <v>0</v>
      </c>
      <c r="J378" s="393" t="n">
        <v>176800</v>
      </c>
      <c r="K378" s="154" t="n">
        <v>5.89</v>
      </c>
      <c r="L378" s="153" t="n">
        <v>0</v>
      </c>
      <c r="M378" s="153" t="n">
        <v>0.06</v>
      </c>
      <c r="N378" s="605" t="n">
        <v>2005</v>
      </c>
      <c r="O378" s="403" t="inlineStr">
        <is>
          <t>I0</t>
        </is>
      </c>
      <c r="P378" s="605" t="n">
        <v>398</v>
      </c>
      <c r="Q378" s="393" t="n">
        <v>379708</v>
      </c>
      <c r="R378" s="393">
        <f>MROUND(Q378,1000)</f>
        <v/>
      </c>
      <c r="S378" s="378" t="inlineStr">
        <is>
          <t>2.1:1</t>
        </is>
      </c>
      <c r="T378" s="393">
        <f>MROUND(J378,1000)</f>
        <v/>
      </c>
      <c r="U378" s="605" t="inlineStr">
        <is>
          <t>C</t>
        </is>
      </c>
      <c r="V378" s="605" t="n">
        <v>3</v>
      </c>
      <c r="W378" s="605" t="n">
        <v>3</v>
      </c>
      <c r="X378" s="605" t="n">
        <v>33</v>
      </c>
      <c r="Y378" s="605" t="inlineStr">
        <is>
          <t>Centerpark Warehouse</t>
        </is>
      </c>
      <c r="Z378" s="377" t="n"/>
      <c r="AA378" s="413" t="n"/>
      <c r="AB378" s="413" t="n"/>
      <c r="AC378" s="378" t="n"/>
      <c r="AD378" s="384" t="n"/>
      <c r="AE378" s="145" t="n"/>
      <c r="AF378" s="145" t="n"/>
      <c r="AG378" s="145" t="n"/>
      <c r="AH378" s="145" t="n"/>
      <c r="AI378" s="145" t="n"/>
      <c r="AJ378" s="145" t="n"/>
      <c r="AK378" s="405" t="inlineStr">
        <is>
          <t>6% exp ratio represents the owner's non-reimbursable expenses - CAM = $2.19 PSF Exp = $2.50 PSF</t>
        </is>
      </c>
      <c r="AL378" s="605">
        <f>IF(AND(ISNUMBER($S378),$S378&gt;0,ISNUMBER($K378),ISNUMBER($J378)),($K378*$J378)/$S378,"")</f>
        <v/>
      </c>
    </row>
    <row r="379" ht="38.25" customHeight="1" s="545">
      <c r="A379" s="388" t="n">
        <v>7</v>
      </c>
      <c r="B379" s="605" t="n">
        <v>372</v>
      </c>
      <c r="C379" s="384" t="inlineStr">
        <is>
          <t>2011Q</t>
        </is>
      </c>
      <c r="D379" s="605" t="inlineStr">
        <is>
          <t xml:space="preserve">02164-09-032-000 </t>
        </is>
      </c>
      <c r="E379" s="407" t="inlineStr">
        <is>
          <t>Actual</t>
        </is>
      </c>
      <c r="F379" s="605" t="inlineStr">
        <is>
          <t>5050   OSAGE               ST</t>
        </is>
      </c>
      <c r="G379" s="392" t="n">
        <v>44.2</v>
      </c>
      <c r="H379" s="378" t="n">
        <v>9208</v>
      </c>
      <c r="I379" s="403" t="n">
        <v>0</v>
      </c>
      <c r="J379" s="404" t="n">
        <v>78000</v>
      </c>
      <c r="K379" s="408" t="n">
        <v>6.15</v>
      </c>
      <c r="L379" s="409" t="n">
        <v>0.07000000000000001</v>
      </c>
      <c r="M379" s="409" t="n">
        <v>0.333655677655678</v>
      </c>
      <c r="N379" s="378" t="n">
        <v>2005</v>
      </c>
      <c r="O379" s="393" t="n">
        <v>8008</v>
      </c>
      <c r="Q379" s="605" t="n">
        <v>36</v>
      </c>
      <c r="R379" s="605" t="n">
        <v>14</v>
      </c>
      <c r="S379" s="605" t="n">
        <v>5</v>
      </c>
      <c r="T379" s="403" t="inlineStr">
        <is>
          <t xml:space="preserve">I0   </t>
        </is>
      </c>
      <c r="U379" s="403" t="n">
        <v>398</v>
      </c>
      <c r="V379" s="404" t="n">
        <v>209231</v>
      </c>
      <c r="W379" s="404" t="n">
        <v>210000</v>
      </c>
      <c r="X379" s="410" t="inlineStr">
        <is>
          <t>2.7:1</t>
        </is>
      </c>
      <c r="Y379" s="404" t="n">
        <v>78000</v>
      </c>
      <c r="Z379" s="403" t="inlineStr">
        <is>
          <t xml:space="preserve">C </t>
        </is>
      </c>
      <c r="AC379" s="378" t="n"/>
      <c r="AD379" s="384" t="inlineStr">
        <is>
          <t xml:space="preserve">CENTERPARK M-T WHSE </t>
        </is>
      </c>
      <c r="AE379" s="145" t="n"/>
      <c r="AF379" s="145" t="n"/>
      <c r="AG379" s="145" t="n"/>
      <c r="AH379" s="145" t="n"/>
      <c r="AI379" s="145" t="n"/>
      <c r="AJ379" s="145" t="n"/>
      <c r="AK379" s="405" t="inlineStr">
        <is>
          <t>6% exp ratio represents the owner's non-reimbursable expenses - CAM = $2.58 PSF Exp = $2.95 PSF</t>
        </is>
      </c>
      <c r="AM379" s="605" t="n"/>
    </row>
    <row r="380" ht="12.75" customHeight="1" s="545">
      <c r="A380" s="388" t="n">
        <v>7</v>
      </c>
      <c r="B380" s="605" t="n">
        <v>373</v>
      </c>
      <c r="C380" s="384" t="inlineStr">
        <is>
          <t>2011Q</t>
        </is>
      </c>
      <c r="D380" s="605" t="inlineStr">
        <is>
          <t xml:space="preserve">02194-28-018-000 </t>
        </is>
      </c>
      <c r="E380" s="407" t="inlineStr">
        <is>
          <t>Actual</t>
        </is>
      </c>
      <c r="F380" s="605" t="inlineStr">
        <is>
          <t>3868   TENNYSON            ST</t>
        </is>
      </c>
      <c r="G380" s="392" t="n">
        <v>44.2</v>
      </c>
      <c r="H380" s="378" t="n">
        <v>9208</v>
      </c>
      <c r="I380" s="403" t="n">
        <v>3</v>
      </c>
      <c r="J380" s="404" t="n">
        <v>4240</v>
      </c>
      <c r="K380" s="408" t="n">
        <v>2.87735849056604</v>
      </c>
      <c r="L380" s="409" t="n">
        <v>0</v>
      </c>
      <c r="M380" s="409" t="n">
        <v>0.00508196721311475</v>
      </c>
      <c r="N380" s="378" t="n">
        <v>1972</v>
      </c>
      <c r="O380" s="393" t="n">
        <v>640</v>
      </c>
      <c r="Q380" s="605" t="n">
        <v>14</v>
      </c>
      <c r="R380" s="605" t="n">
        <v>3</v>
      </c>
      <c r="S380" s="605" t="n">
        <v>1</v>
      </c>
      <c r="T380" s="403" t="inlineStr">
        <is>
          <t xml:space="preserve">B4   </t>
        </is>
      </c>
      <c r="U380" s="403" t="n">
        <v>398</v>
      </c>
      <c r="V380" s="404" t="n">
        <v>9518</v>
      </c>
      <c r="W380" s="404" t="n">
        <v>10000</v>
      </c>
      <c r="X380" s="410" t="inlineStr">
        <is>
          <t>2.2:1</t>
        </is>
      </c>
      <c r="Y380" s="404" t="n">
        <v>4000</v>
      </c>
      <c r="Z380" s="403" t="inlineStr">
        <is>
          <t xml:space="preserve">C </t>
        </is>
      </c>
      <c r="AC380" s="378" t="n"/>
      <c r="AD380" s="384" t="inlineStr">
        <is>
          <t xml:space="preserve">S-W TULLAR ELECTRIC </t>
        </is>
      </c>
      <c r="AE380" s="145" t="n"/>
      <c r="AF380" s="145" t="n"/>
      <c r="AG380" s="145" t="n"/>
      <c r="AH380" s="145" t="n"/>
      <c r="AI380" s="145" t="n"/>
      <c r="AJ380" s="145" t="n"/>
      <c r="AK380" s="411" t="inlineStr">
        <is>
          <t xml:space="preserve">2006 LEASE.                                                       </t>
        </is>
      </c>
      <c r="AM380" s="605" t="n"/>
    </row>
    <row r="381" ht="12.75" customHeight="1" s="545">
      <c r="A381" s="388" t="n">
        <v>7</v>
      </c>
      <c r="B381" s="605" t="n">
        <v>374</v>
      </c>
      <c r="C381" s="384" t="inlineStr">
        <is>
          <t>2011Q</t>
        </is>
      </c>
      <c r="D381" s="605" t="inlineStr">
        <is>
          <t xml:space="preserve">02211-12-011-000 </t>
        </is>
      </c>
      <c r="E381" s="407" t="inlineStr">
        <is>
          <t>Actual</t>
        </is>
      </c>
      <c r="F381" s="605" t="inlineStr">
        <is>
          <t>1100 W 47TH                AV</t>
        </is>
      </c>
      <c r="G381" s="392" t="n">
        <v>44.2</v>
      </c>
      <c r="H381" s="378" t="n">
        <v>9208</v>
      </c>
      <c r="I381" s="403" t="n">
        <v>0</v>
      </c>
      <c r="J381" s="404" t="n">
        <v>50974</v>
      </c>
      <c r="K381" s="408" t="n">
        <v>4.0354690626594</v>
      </c>
      <c r="L381" s="409" t="n">
        <v>0</v>
      </c>
      <c r="M381" s="409" t="n">
        <v>0</v>
      </c>
      <c r="N381" s="378" t="n">
        <v>1973</v>
      </c>
      <c r="O381" s="393" t="n">
        <v>3604</v>
      </c>
      <c r="Q381" s="605" t="n">
        <v>12</v>
      </c>
      <c r="R381" s="605" t="n">
        <v>3</v>
      </c>
      <c r="S381" s="605" t="n">
        <v>1</v>
      </c>
      <c r="T381" s="403" t="inlineStr">
        <is>
          <t xml:space="preserve">I1   </t>
        </is>
      </c>
      <c r="U381" s="403" t="n">
        <v>398</v>
      </c>
      <c r="V381" s="404" t="n">
        <v>80115</v>
      </c>
      <c r="W381" s="404" t="n">
        <v>80000</v>
      </c>
      <c r="X381" s="410" t="inlineStr">
        <is>
          <t>1.6:1</t>
        </is>
      </c>
      <c r="Y381" s="404" t="n">
        <v>51000</v>
      </c>
      <c r="Z381" s="403" t="inlineStr">
        <is>
          <t xml:space="preserve">B </t>
        </is>
      </c>
      <c r="AC381" s="378" t="n"/>
      <c r="AD381" s="384" t="n"/>
      <c r="AE381" s="145" t="n"/>
      <c r="AF381" s="145" t="n"/>
      <c r="AG381" s="145" t="n"/>
      <c r="AH381" s="145" t="n"/>
      <c r="AI381" s="145" t="n"/>
      <c r="AJ381" s="145" t="n"/>
      <c r="AK381" s="411" t="inlineStr">
        <is>
          <t xml:space="preserve">2010 DATA ENTERED.                                                </t>
        </is>
      </c>
      <c r="AM381" s="605" t="n"/>
    </row>
    <row r="382" ht="12.75" customHeight="1" s="545">
      <c r="A382" s="388" t="n">
        <v>7</v>
      </c>
      <c r="B382" s="605" t="n">
        <v>375</v>
      </c>
      <c r="C382" s="384" t="inlineStr">
        <is>
          <t>2011Q</t>
        </is>
      </c>
      <c r="D382" s="605" t="inlineStr">
        <is>
          <t xml:space="preserve">02211-13-022-000 </t>
        </is>
      </c>
      <c r="E382" s="407" t="inlineStr">
        <is>
          <t>Actual</t>
        </is>
      </c>
      <c r="F382" s="605" t="inlineStr">
        <is>
          <t>1051 W 46TH                AV</t>
        </is>
      </c>
      <c r="G382" s="378" t="n">
        <v>44.1</v>
      </c>
      <c r="H382" s="378" t="n">
        <v>9208</v>
      </c>
      <c r="I382" s="403" t="n">
        <v>0</v>
      </c>
      <c r="J382" s="404" t="n">
        <v>4008</v>
      </c>
      <c r="K382" s="408" t="n">
        <v>6.73652694610779</v>
      </c>
      <c r="L382" s="409" t="n">
        <v>0</v>
      </c>
      <c r="M382" s="409" t="n">
        <v>0.13937037037037</v>
      </c>
      <c r="N382" s="378" t="n">
        <v>1980</v>
      </c>
      <c r="O382" s="393" t="n">
        <v>484</v>
      </c>
      <c r="Q382" s="605" t="n">
        <v>17</v>
      </c>
      <c r="R382" s="605" t="n">
        <v>3</v>
      </c>
      <c r="S382" s="605" t="n">
        <v>1</v>
      </c>
      <c r="T382" s="403" t="inlineStr">
        <is>
          <t xml:space="preserve">I1   </t>
        </is>
      </c>
      <c r="U382" s="403" t="n">
        <v>398</v>
      </c>
      <c r="V382" s="404" t="n">
        <v>6625</v>
      </c>
      <c r="W382" s="404" t="n">
        <v>7000</v>
      </c>
      <c r="X382" s="410" t="inlineStr">
        <is>
          <t>1.7:1</t>
        </is>
      </c>
      <c r="Y382" s="404" t="n">
        <v>4000</v>
      </c>
      <c r="Z382" s="403" t="inlineStr">
        <is>
          <t xml:space="preserve">C </t>
        </is>
      </c>
      <c r="AC382" s="378" t="n"/>
      <c r="AD382" s="384" t="inlineStr">
        <is>
          <t xml:space="preserve">MILE HIGH DOOR SEAL </t>
        </is>
      </c>
      <c r="AE382" s="145" t="n"/>
      <c r="AF382" s="145" t="n"/>
      <c r="AG382" s="145" t="n"/>
      <c r="AH382" s="145" t="n"/>
      <c r="AI382" s="145" t="n"/>
      <c r="AJ382" s="145" t="n"/>
      <c r="AK382" s="411" t="n"/>
      <c r="AM382" s="605" t="n"/>
    </row>
    <row r="383" ht="12.75" customHeight="1" s="545">
      <c r="A383" s="388" t="n">
        <v>7</v>
      </c>
      <c r="B383" s="605" t="n">
        <v>376</v>
      </c>
      <c r="C383" s="384" t="inlineStr">
        <is>
          <t>2011Q</t>
        </is>
      </c>
      <c r="D383" s="605" t="inlineStr">
        <is>
          <t xml:space="preserve">02211-22-014-000 </t>
        </is>
      </c>
      <c r="E383" s="407" t="inlineStr">
        <is>
          <t>Actual</t>
        </is>
      </c>
      <c r="F383" s="605" t="inlineStr">
        <is>
          <t>4414   JASON               ST</t>
        </is>
      </c>
      <c r="G383" s="378" t="n">
        <v>44.1</v>
      </c>
      <c r="H383" s="378" t="n">
        <v>9208</v>
      </c>
      <c r="I383" s="403" t="n">
        <v>0</v>
      </c>
      <c r="J383" s="404" t="n">
        <v>4130</v>
      </c>
      <c r="K383" s="408" t="n">
        <v>8.71670702179177</v>
      </c>
      <c r="L383" s="409" t="n">
        <v>0</v>
      </c>
      <c r="M383" s="409" t="n">
        <v>0</v>
      </c>
      <c r="N383" s="378" t="n">
        <v>1973</v>
      </c>
      <c r="O383" s="393" t="n">
        <v>1475</v>
      </c>
      <c r="Q383" s="605" t="n">
        <v>14</v>
      </c>
      <c r="R383" s="605" t="n">
        <v>3</v>
      </c>
      <c r="S383" s="605" t="n">
        <v>1</v>
      </c>
      <c r="T383" s="403" t="inlineStr">
        <is>
          <t xml:space="preserve">I1   </t>
        </is>
      </c>
      <c r="U383" s="403" t="n">
        <v>401</v>
      </c>
      <c r="V383" s="404" t="n">
        <v>6250</v>
      </c>
      <c r="W383" s="404" t="n">
        <v>6000</v>
      </c>
      <c r="X383" s="410" t="inlineStr">
        <is>
          <t>1.5:1</t>
        </is>
      </c>
      <c r="Y383" s="404" t="n">
        <v>4000</v>
      </c>
      <c r="Z383" s="403" t="inlineStr">
        <is>
          <t xml:space="preserve">C </t>
        </is>
      </c>
      <c r="AC383" s="378" t="n"/>
      <c r="AD383" s="384" t="inlineStr">
        <is>
          <t xml:space="preserve">S-W                 </t>
        </is>
      </c>
      <c r="AE383" s="145" t="n"/>
      <c r="AF383" s="145" t="n"/>
      <c r="AG383" s="145" t="n"/>
      <c r="AH383" s="145" t="n"/>
      <c r="AI383" s="145" t="n"/>
      <c r="AJ383" s="145" t="n"/>
      <c r="AK383" s="411" t="n"/>
      <c r="AM383" s="605" t="n"/>
    </row>
    <row r="384" ht="12.75" customHeight="1" s="545">
      <c r="A384" s="388" t="n">
        <v>7</v>
      </c>
      <c r="B384" s="605" t="n">
        <v>377</v>
      </c>
      <c r="C384" s="384" t="inlineStr">
        <is>
          <t>2011Q</t>
        </is>
      </c>
      <c r="D384" s="605" t="inlineStr">
        <is>
          <t xml:space="preserve">02212-36-006-000 </t>
        </is>
      </c>
      <c r="E384" s="407" t="inlineStr">
        <is>
          <t>Actual</t>
        </is>
      </c>
      <c r="F384" s="605" t="inlineStr">
        <is>
          <t>2139 W 44TH                AV</t>
        </is>
      </c>
      <c r="G384" s="392" t="n">
        <v>46.1</v>
      </c>
      <c r="H384" s="378" t="n">
        <v>9208</v>
      </c>
      <c r="I384" s="403" t="n">
        <v>0</v>
      </c>
      <c r="J384" s="404" t="n">
        <v>1925</v>
      </c>
      <c r="K384" s="408" t="n">
        <v>5.58441558441558</v>
      </c>
      <c r="L384" s="409" t="n">
        <v>0</v>
      </c>
      <c r="M384" s="409" t="n">
        <v>0</v>
      </c>
      <c r="N384" s="378" t="n">
        <v>1961</v>
      </c>
      <c r="O384" s="393" t="n">
        <v>0</v>
      </c>
      <c r="Q384" s="605" t="n">
        <v>17</v>
      </c>
      <c r="R384" s="605" t="n">
        <v>3</v>
      </c>
      <c r="S384" s="605" t="n">
        <v>1</v>
      </c>
      <c r="T384" s="403" t="inlineStr">
        <is>
          <t xml:space="preserve">R2   </t>
        </is>
      </c>
      <c r="U384" s="403" t="n">
        <v>401</v>
      </c>
      <c r="V384" s="404" t="n">
        <v>5940</v>
      </c>
      <c r="W384" s="404" t="n">
        <v>6000</v>
      </c>
      <c r="X384" s="410" t="inlineStr">
        <is>
          <t>3.1:1</t>
        </is>
      </c>
      <c r="Y384" s="404" t="n">
        <v>2000</v>
      </c>
      <c r="Z384" s="403" t="inlineStr">
        <is>
          <t xml:space="preserve">C </t>
        </is>
      </c>
      <c r="AC384" s="378" t="n"/>
      <c r="AD384" s="384" t="n"/>
      <c r="AE384" s="145" t="n"/>
      <c r="AF384" s="145" t="n"/>
      <c r="AG384" s="145" t="n"/>
      <c r="AH384" s="145" t="n"/>
      <c r="AI384" s="145" t="n"/>
      <c r="AJ384" s="145" t="n"/>
      <c r="AK384" s="411" t="inlineStr">
        <is>
          <t xml:space="preserve">LEASE COMMENCEMENT UNKNOWN.                                       </t>
        </is>
      </c>
      <c r="AM384" s="605" t="n"/>
    </row>
    <row r="385" ht="12.75" customHeight="1" s="545">
      <c r="A385" s="388" t="n">
        <v>7</v>
      </c>
      <c r="B385" s="605" t="n">
        <v>378</v>
      </c>
      <c r="C385" s="384" t="inlineStr">
        <is>
          <t>2011Q</t>
        </is>
      </c>
      <c r="D385" s="605" t="inlineStr">
        <is>
          <t xml:space="preserve">02214-18-011-000 </t>
        </is>
      </c>
      <c r="E385" s="407" t="inlineStr">
        <is>
          <t>Actual</t>
        </is>
      </c>
      <c r="F385" s="605" t="inlineStr">
        <is>
          <t>4101   INCA                ST</t>
        </is>
      </c>
      <c r="G385" s="378" t="n">
        <v>44.1</v>
      </c>
      <c r="H385" s="378" t="n">
        <v>9208</v>
      </c>
      <c r="I385" s="403" t="n">
        <v>0</v>
      </c>
      <c r="J385" s="404" t="n">
        <v>2320</v>
      </c>
      <c r="K385" s="408" t="n">
        <v>7.75862068965517</v>
      </c>
      <c r="L385" s="409" t="n">
        <v>0</v>
      </c>
      <c r="M385" s="409" t="n">
        <v>0.138888888888889</v>
      </c>
      <c r="N385" s="378" t="n">
        <v>1935</v>
      </c>
      <c r="O385" s="393" t="n">
        <v>1021</v>
      </c>
      <c r="Q385" s="605" t="n">
        <v>17</v>
      </c>
      <c r="R385" s="605" t="n">
        <v>1</v>
      </c>
      <c r="S385" s="605" t="n">
        <v>1</v>
      </c>
      <c r="T385" s="403" t="inlineStr">
        <is>
          <t xml:space="preserve">I1   </t>
        </is>
      </c>
      <c r="U385" s="403" t="n">
        <v>398</v>
      </c>
      <c r="V385" s="404" t="n">
        <v>12500</v>
      </c>
      <c r="W385" s="404" t="n">
        <v>13000</v>
      </c>
      <c r="X385" s="410" t="inlineStr">
        <is>
          <t>5.4:1</t>
        </is>
      </c>
      <c r="Y385" s="404" t="n">
        <v>2000</v>
      </c>
      <c r="Z385" s="403" t="inlineStr">
        <is>
          <t xml:space="preserve">C </t>
        </is>
      </c>
      <c r="AC385" s="378" t="n"/>
      <c r="AD385" s="384" t="inlineStr">
        <is>
          <t>S-W COM CITY ELECTRC</t>
        </is>
      </c>
      <c r="AE385" s="145" t="n"/>
      <c r="AF385" s="145" t="n"/>
      <c r="AG385" s="145" t="n"/>
      <c r="AH385" s="145" t="n"/>
      <c r="AI385" s="145" t="n"/>
      <c r="AJ385" s="145" t="n"/>
      <c r="AK385" s="411" t="n"/>
      <c r="AM385" s="605" t="n"/>
    </row>
    <row r="386" ht="12.75" customHeight="1" s="545">
      <c r="A386" s="388" t="n">
        <v>7</v>
      </c>
      <c r="B386" s="605" t="n">
        <v>379</v>
      </c>
      <c r="C386" s="384" t="inlineStr">
        <is>
          <t>2011Q</t>
        </is>
      </c>
      <c r="D386" s="605" t="inlineStr">
        <is>
          <t xml:space="preserve">02214-44-001-000 </t>
        </is>
      </c>
      <c r="E386" s="407" t="inlineStr">
        <is>
          <t>Actual</t>
        </is>
      </c>
      <c r="F386" s="605" t="inlineStr">
        <is>
          <t>3850   MARIPOSA            ST</t>
        </is>
      </c>
      <c r="G386" s="378" t="n">
        <v>44.1</v>
      </c>
      <c r="H386" s="378" t="n">
        <v>9208</v>
      </c>
      <c r="I386" s="403" t="n">
        <v>0</v>
      </c>
      <c r="J386" s="404" t="n">
        <v>5980</v>
      </c>
      <c r="K386" s="408" t="n">
        <v>10.0334448160535</v>
      </c>
      <c r="L386" s="409" t="n">
        <v>0</v>
      </c>
      <c r="M386" s="409" t="n">
        <v>0.0391333333333333</v>
      </c>
      <c r="N386" s="378" t="n">
        <v>1955</v>
      </c>
      <c r="O386" s="393" t="n">
        <v>1552</v>
      </c>
      <c r="Q386" s="605" t="n">
        <v>13</v>
      </c>
      <c r="R386" s="605" t="n">
        <v>1</v>
      </c>
      <c r="S386" s="605" t="n">
        <v>1</v>
      </c>
      <c r="T386" s="403" t="inlineStr">
        <is>
          <t xml:space="preserve">B4   </t>
        </is>
      </c>
      <c r="U386" s="403" t="n">
        <v>398</v>
      </c>
      <c r="V386" s="404" t="n">
        <v>12535</v>
      </c>
      <c r="W386" s="404" t="n">
        <v>13000</v>
      </c>
      <c r="X386" s="410" t="inlineStr">
        <is>
          <t>2.1:1</t>
        </is>
      </c>
      <c r="Y386" s="404" t="n">
        <v>6000</v>
      </c>
      <c r="Z386" s="403" t="inlineStr">
        <is>
          <t xml:space="preserve">C </t>
        </is>
      </c>
      <c r="AC386" s="378" t="n"/>
      <c r="AD386" s="384" t="n"/>
      <c r="AE386" s="145" t="n"/>
      <c r="AF386" s="145" t="n"/>
      <c r="AG386" s="145" t="n"/>
      <c r="AH386" s="145" t="n"/>
      <c r="AI386" s="145" t="n"/>
      <c r="AJ386" s="145" t="n"/>
      <c r="AK386" s="411" t="n"/>
      <c r="AM386" s="605" t="n"/>
    </row>
    <row r="387" ht="25.5" customHeight="1" s="545">
      <c r="A387" s="388" t="n">
        <v>7</v>
      </c>
      <c r="B387" s="605" t="n">
        <v>380</v>
      </c>
      <c r="C387" s="384" t="inlineStr">
        <is>
          <t>2011Q</t>
        </is>
      </c>
      <c r="D387" s="605" t="inlineStr">
        <is>
          <t xml:space="preserve">02222-07-003-000 </t>
        </is>
      </c>
      <c r="E387" s="407" t="inlineStr">
        <is>
          <t>Actual</t>
        </is>
      </c>
      <c r="F387" s="605" t="inlineStr">
        <is>
          <t>4771   FOX                 ST</t>
        </is>
      </c>
      <c r="G387" s="392" t="n">
        <v>44.2</v>
      </c>
      <c r="H387" s="378" t="n">
        <v>9208</v>
      </c>
      <c r="I387" s="403" t="n">
        <v>0</v>
      </c>
      <c r="J387" s="404" t="n">
        <v>8770</v>
      </c>
      <c r="K387" s="408" t="n">
        <v>4.78905359179019</v>
      </c>
      <c r="L387" s="409" t="n">
        <v>0</v>
      </c>
      <c r="M387" s="409" t="n">
        <v>0</v>
      </c>
      <c r="N387" s="378" t="n">
        <v>1965</v>
      </c>
      <c r="O387" s="393" t="n">
        <v>2760</v>
      </c>
      <c r="Q387" s="605" t="n">
        <v>14</v>
      </c>
      <c r="R387" s="605" t="n">
        <v>7</v>
      </c>
      <c r="S387" s="605" t="n">
        <v>1</v>
      </c>
      <c r="T387" s="403" t="inlineStr">
        <is>
          <t xml:space="preserve">I2   </t>
        </is>
      </c>
      <c r="U387" s="403" t="n">
        <v>398</v>
      </c>
      <c r="V387" s="404" t="n">
        <v>40700</v>
      </c>
      <c r="W387" s="404" t="n">
        <v>41000</v>
      </c>
      <c r="X387" s="410" t="inlineStr">
        <is>
          <t>4.6:1</t>
        </is>
      </c>
      <c r="Y387" s="404" t="n">
        <v>9000</v>
      </c>
      <c r="Z387" s="403" t="inlineStr">
        <is>
          <t xml:space="preserve">C </t>
        </is>
      </c>
      <c r="AC387" s="378" t="n"/>
      <c r="AD387" s="384" t="n"/>
      <c r="AE387" s="145" t="n"/>
      <c r="AF387" s="145" t="n"/>
      <c r="AG387" s="145" t="n"/>
      <c r="AH387" s="145" t="n"/>
      <c r="AI387" s="145" t="n"/>
      <c r="AJ387" s="145" t="n"/>
      <c r="AK387" s="411" t="inlineStr">
        <is>
          <t xml:space="preserve">YEAR-TO-YEAR LEASE ASSUMED TO BE UPDATED YEAR-BY-YEAR             </t>
        </is>
      </c>
      <c r="AM387" s="605" t="n"/>
    </row>
    <row r="388" ht="25.5" customHeight="1" s="545">
      <c r="A388" s="388" t="n">
        <v>7</v>
      </c>
      <c r="B388" s="605" t="n">
        <v>381</v>
      </c>
      <c r="C388" s="384" t="inlineStr">
        <is>
          <t>2011Q</t>
        </is>
      </c>
      <c r="D388" s="605" t="inlineStr">
        <is>
          <t xml:space="preserve">02223-12-011-000 </t>
        </is>
      </c>
      <c r="E388" s="407" t="inlineStr">
        <is>
          <t>Actual</t>
        </is>
      </c>
      <c r="F388" s="605" t="inlineStr">
        <is>
          <t>4242   FOX                 ST</t>
        </is>
      </c>
      <c r="G388" s="378" t="n">
        <v>44.1</v>
      </c>
      <c r="H388" s="378" t="n">
        <v>9208</v>
      </c>
      <c r="I388" s="403" t="n">
        <v>0</v>
      </c>
      <c r="J388" s="404" t="n">
        <v>1000</v>
      </c>
      <c r="K388" s="408" t="n">
        <v>10.38</v>
      </c>
      <c r="L388" s="409" t="n">
        <v>0</v>
      </c>
      <c r="M388" s="409" t="n">
        <v>0.188342967244701</v>
      </c>
      <c r="N388" s="378" t="n">
        <v>1955</v>
      </c>
      <c r="O388" s="393" t="n">
        <v>380</v>
      </c>
      <c r="Q388" s="605" t="n">
        <v>14</v>
      </c>
      <c r="R388" s="605" t="n">
        <v>3</v>
      </c>
      <c r="S388" s="605" t="n">
        <v>1</v>
      </c>
      <c r="T388" s="403" t="inlineStr">
        <is>
          <t xml:space="preserve">I1   </t>
        </is>
      </c>
      <c r="U388" s="403" t="n">
        <v>398</v>
      </c>
      <c r="V388" s="404" t="n">
        <v>9370</v>
      </c>
      <c r="W388" s="404" t="n">
        <v>9000</v>
      </c>
      <c r="X388" s="410" t="inlineStr">
        <is>
          <t>1.7:1</t>
        </is>
      </c>
      <c r="Y388" s="404" t="n">
        <v>1000</v>
      </c>
      <c r="Z388" s="403" t="inlineStr">
        <is>
          <t xml:space="preserve">C </t>
        </is>
      </c>
      <c r="AC388" s="378" t="n"/>
      <c r="AD388" s="384" t="n"/>
      <c r="AE388" s="145" t="n"/>
      <c r="AF388" s="145" t="n"/>
      <c r="AG388" s="145" t="n"/>
      <c r="AH388" s="145" t="n"/>
      <c r="AI388" s="145" t="n"/>
      <c r="AJ388" s="145" t="n"/>
      <c r="AK388" s="411" t="inlineStr">
        <is>
          <t xml:space="preserve">ONLY DATA FOR 2009 LEASE HAS BEEN ENTERED.                        </t>
        </is>
      </c>
      <c r="AM388" s="605" t="n"/>
    </row>
    <row r="389" ht="12.75" customHeight="1" s="545">
      <c r="A389" s="388" t="n">
        <v>7</v>
      </c>
      <c r="B389" s="605" t="n">
        <v>382</v>
      </c>
      <c r="C389" s="384" t="inlineStr">
        <is>
          <t>2011Q</t>
        </is>
      </c>
      <c r="D389" s="605" t="inlineStr">
        <is>
          <t xml:space="preserve">02223-19-009-000 </t>
        </is>
      </c>
      <c r="E389" s="407" t="inlineStr">
        <is>
          <t>Actual</t>
        </is>
      </c>
      <c r="F389" s="605" t="inlineStr">
        <is>
          <t>450 W 42ND                AV</t>
        </is>
      </c>
      <c r="G389" s="378" t="n">
        <v>44.1</v>
      </c>
      <c r="H389" s="378" t="n">
        <v>9208</v>
      </c>
      <c r="I389" s="403" t="n">
        <v>0</v>
      </c>
      <c r="J389" s="404" t="n">
        <v>6144</v>
      </c>
      <c r="K389" s="408" t="n">
        <v>5.78515625</v>
      </c>
      <c r="L389" s="409" t="n">
        <v>0</v>
      </c>
      <c r="M389" s="409" t="n">
        <v>0</v>
      </c>
      <c r="N389" s="378" t="n">
        <v>1973</v>
      </c>
      <c r="O389" s="393" t="n">
        <v>1593</v>
      </c>
      <c r="Q389" s="605" t="n">
        <v>14</v>
      </c>
      <c r="R389" s="605" t="n">
        <v>14</v>
      </c>
      <c r="S389" s="605" t="n">
        <v>1</v>
      </c>
      <c r="T389" s="403" t="inlineStr">
        <is>
          <t xml:space="preserve">I1   </t>
        </is>
      </c>
      <c r="U389" s="403" t="n">
        <v>398</v>
      </c>
      <c r="V389" s="404" t="n">
        <v>30805</v>
      </c>
      <c r="W389" s="404" t="n">
        <v>31000</v>
      </c>
      <c r="X389" s="410" t="inlineStr">
        <is>
          <t>5.0:1</t>
        </is>
      </c>
      <c r="Y389" s="404" t="n">
        <v>6000</v>
      </c>
      <c r="Z389" s="403" t="inlineStr">
        <is>
          <t xml:space="preserve">C </t>
        </is>
      </c>
      <c r="AC389" s="378" t="n"/>
      <c r="AD389" s="384" t="inlineStr">
        <is>
          <t xml:space="preserve">SHERMAN WILLIAMS    </t>
        </is>
      </c>
      <c r="AE389" s="145" t="n"/>
      <c r="AF389" s="145" t="n"/>
      <c r="AG389" s="145" t="n"/>
      <c r="AH389" s="145" t="n"/>
      <c r="AI389" s="145" t="n"/>
      <c r="AJ389" s="145" t="n"/>
      <c r="AK389" s="411" t="n"/>
      <c r="AM389" s="605" t="n"/>
    </row>
    <row r="390" ht="12.75" customHeight="1" s="545">
      <c r="A390" s="388" t="n">
        <v>7</v>
      </c>
      <c r="B390" s="605" t="n">
        <v>383</v>
      </c>
      <c r="C390" s="384" t="inlineStr">
        <is>
          <t>2011Q</t>
        </is>
      </c>
      <c r="D390" s="605" t="inlineStr">
        <is>
          <t xml:space="preserve">02223-24-018-000 </t>
        </is>
      </c>
      <c r="E390" s="407" t="inlineStr">
        <is>
          <t>Actual</t>
        </is>
      </c>
      <c r="F390" s="605" t="inlineStr">
        <is>
          <t>4001   FOX                 ST</t>
        </is>
      </c>
      <c r="G390" s="392" t="n">
        <v>44.2</v>
      </c>
      <c r="H390" s="378" t="n">
        <v>9208</v>
      </c>
      <c r="I390" s="403" t="n">
        <v>0</v>
      </c>
      <c r="J390" s="404" t="n">
        <v>8000</v>
      </c>
      <c r="K390" s="408" t="n">
        <v>16.455875</v>
      </c>
      <c r="L390" s="409" t="n">
        <v>0</v>
      </c>
      <c r="M390" s="409" t="n">
        <v>0</v>
      </c>
      <c r="N390" s="378" t="n">
        <v>1967</v>
      </c>
      <c r="O390" s="393" t="n">
        <v>3131</v>
      </c>
      <c r="Q390" s="605" t="n">
        <v>16</v>
      </c>
      <c r="R390" s="605" t="n">
        <v>3</v>
      </c>
      <c r="S390" s="605" t="n">
        <v>1</v>
      </c>
      <c r="T390" s="403" t="inlineStr">
        <is>
          <t xml:space="preserve">I1   </t>
        </is>
      </c>
      <c r="U390" s="403" t="n">
        <v>398</v>
      </c>
      <c r="V390" s="404" t="n">
        <v>18620</v>
      </c>
      <c r="W390" s="404" t="n">
        <v>19000</v>
      </c>
      <c r="X390" s="410" t="inlineStr">
        <is>
          <t>2.3:1</t>
        </is>
      </c>
      <c r="Y390" s="404" t="n">
        <v>8000</v>
      </c>
      <c r="Z390" s="403" t="inlineStr">
        <is>
          <t xml:space="preserve">C </t>
        </is>
      </c>
      <c r="AC390" s="378" t="n"/>
      <c r="AD390" s="384" t="inlineStr">
        <is>
          <t xml:space="preserve">BUDGET COFFEE       </t>
        </is>
      </c>
      <c r="AE390" s="145" t="n"/>
      <c r="AF390" s="145" t="n"/>
      <c r="AG390" s="145" t="n"/>
      <c r="AH390" s="145" t="n"/>
      <c r="AI390" s="145" t="n"/>
      <c r="AJ390" s="145" t="n"/>
      <c r="AK390" s="411" t="inlineStr">
        <is>
          <t xml:space="preserve">2008 LEASE.                                                       </t>
        </is>
      </c>
      <c r="AM390" s="605" t="n"/>
    </row>
    <row r="391" ht="12.75" customHeight="1" s="545">
      <c r="A391" s="388" t="n">
        <v>7</v>
      </c>
      <c r="B391" s="605" t="n">
        <v>384</v>
      </c>
      <c r="C391" s="384" t="inlineStr">
        <is>
          <t>2011Q</t>
        </is>
      </c>
      <c r="D391" s="605" t="inlineStr">
        <is>
          <t xml:space="preserve">02231-29-003-000 </t>
        </is>
      </c>
      <c r="E391" s="407" t="inlineStr">
        <is>
          <t>Actual</t>
        </is>
      </c>
      <c r="F391" s="605" t="inlineStr">
        <is>
          <t>4391   YORK                ST</t>
        </is>
      </c>
      <c r="G391" s="392" t="n">
        <v>44.2</v>
      </c>
      <c r="H391" s="378" t="n">
        <v>9201</v>
      </c>
      <c r="I391" s="403" t="n">
        <v>0</v>
      </c>
      <c r="J391" s="404" t="n">
        <v>31747</v>
      </c>
      <c r="K391" s="408" t="n">
        <v>5.34248905408385</v>
      </c>
      <c r="L391" s="409" t="n">
        <v>0</v>
      </c>
      <c r="M391" s="409" t="n">
        <v>0.0442196122824395</v>
      </c>
      <c r="N391" s="378" t="n">
        <v>1986</v>
      </c>
      <c r="O391" s="393" t="n">
        <v>2236</v>
      </c>
      <c r="Q391" s="605" t="n">
        <v>23</v>
      </c>
      <c r="R391" s="605" t="n">
        <v>10</v>
      </c>
      <c r="S391" s="605" t="n">
        <v>1</v>
      </c>
      <c r="T391" s="403" t="inlineStr">
        <is>
          <t xml:space="preserve">I1   </t>
        </is>
      </c>
      <c r="U391" s="403" t="n">
        <v>398</v>
      </c>
      <c r="V391" s="404" t="n">
        <v>74800</v>
      </c>
      <c r="W391" s="404" t="n">
        <v>75000</v>
      </c>
      <c r="X391" s="410" t="inlineStr">
        <is>
          <t>2.4:1</t>
        </is>
      </c>
      <c r="Y391" s="404" t="n">
        <v>32000</v>
      </c>
      <c r="Z391" s="403" t="inlineStr">
        <is>
          <t xml:space="preserve">C </t>
        </is>
      </c>
      <c r="AC391" s="378" t="n"/>
      <c r="AD391" s="384" t="inlineStr">
        <is>
          <t xml:space="preserve">ALUMINUM SUPPLY CO  </t>
        </is>
      </c>
      <c r="AE391" s="145" t="n"/>
      <c r="AF391" s="145" t="n"/>
      <c r="AG391" s="145" t="n"/>
      <c r="AH391" s="145" t="n"/>
      <c r="AI391" s="145" t="n"/>
      <c r="AJ391" s="145" t="n"/>
      <c r="AK391" s="411" t="n"/>
      <c r="AM391" s="605" t="n"/>
    </row>
    <row r="392" ht="12.75" customHeight="1" s="545">
      <c r="A392" s="388" t="n">
        <v>7</v>
      </c>
      <c r="B392" s="605" t="n">
        <v>385</v>
      </c>
      <c r="C392" s="384" t="inlineStr">
        <is>
          <t>2011Q</t>
        </is>
      </c>
      <c r="D392" s="605" t="inlineStr">
        <is>
          <t xml:space="preserve">02232-00-128-000 </t>
        </is>
      </c>
      <c r="E392" s="407" t="inlineStr">
        <is>
          <t>Actual</t>
        </is>
      </c>
      <c r="F392" s="605" t="inlineStr">
        <is>
          <t>4699   MARION              ST</t>
        </is>
      </c>
      <c r="G392" s="378" t="n">
        <v>44.1</v>
      </c>
      <c r="H392" s="378" t="n">
        <v>9201</v>
      </c>
      <c r="I392" s="403" t="n">
        <v>0</v>
      </c>
      <c r="J392" s="404" t="n">
        <v>10672</v>
      </c>
      <c r="K392" s="408" t="n">
        <v>8.62218890554723</v>
      </c>
      <c r="L392" s="409" t="n">
        <v>0</v>
      </c>
      <c r="M392" s="409" t="n">
        <v>0.0141279777430012</v>
      </c>
      <c r="N392" s="378" t="n">
        <v>1917</v>
      </c>
      <c r="O392" s="393" t="n">
        <v>4085</v>
      </c>
      <c r="Q392" s="605" t="n">
        <v>14</v>
      </c>
      <c r="R392" s="605" t="n">
        <v>1</v>
      </c>
      <c r="S392" s="605" t="n">
        <v>1</v>
      </c>
      <c r="T392" s="403" t="inlineStr">
        <is>
          <t xml:space="preserve">I2   </t>
        </is>
      </c>
      <c r="U392" s="403" t="n">
        <v>398</v>
      </c>
      <c r="V392" s="404" t="n">
        <v>47800</v>
      </c>
      <c r="W392" s="404" t="n">
        <v>48000</v>
      </c>
      <c r="X392" s="410" t="inlineStr">
        <is>
          <t>4.5:1</t>
        </is>
      </c>
      <c r="Y392" s="404" t="n">
        <v>11000</v>
      </c>
      <c r="Z392" s="403" t="inlineStr">
        <is>
          <t xml:space="preserve">C </t>
        </is>
      </c>
      <c r="AC392" s="378" t="n"/>
      <c r="AD392" s="384" t="inlineStr">
        <is>
          <t xml:space="preserve">WHSE/KM CONSESSIONS </t>
        </is>
      </c>
      <c r="AE392" s="145" t="n"/>
      <c r="AF392" s="145" t="n"/>
      <c r="AG392" s="145" t="n"/>
      <c r="AH392" s="145" t="n"/>
      <c r="AI392" s="145" t="n"/>
      <c r="AJ392" s="145" t="n"/>
      <c r="AK392" s="411" t="inlineStr">
        <is>
          <t xml:space="preserve">LEASE COMMENCEMENT UNKNOWN.                                       </t>
        </is>
      </c>
      <c r="AM392" s="605" t="n"/>
    </row>
    <row r="393" ht="12.75" customHeight="1" s="545">
      <c r="A393" s="388" t="n">
        <v>7</v>
      </c>
      <c r="B393" s="605" t="n">
        <v>386</v>
      </c>
      <c r="C393" s="384" t="inlineStr">
        <is>
          <t>2011Q</t>
        </is>
      </c>
      <c r="D393" s="605" t="inlineStr">
        <is>
          <t xml:space="preserve">02233-15-033-000 </t>
        </is>
      </c>
      <c r="E393" s="407" t="inlineStr">
        <is>
          <t>Actual</t>
        </is>
      </c>
      <c r="F393" s="605" t="inlineStr">
        <is>
          <t>3963   WALNUT              ST</t>
        </is>
      </c>
      <c r="G393" s="378" t="n">
        <v>44.1</v>
      </c>
      <c r="H393" s="378" t="n">
        <v>9210</v>
      </c>
      <c r="I393" s="403" t="n">
        <v>0</v>
      </c>
      <c r="J393" s="404" t="n">
        <v>13874</v>
      </c>
      <c r="K393" s="408" t="n">
        <v>3.48853971457402</v>
      </c>
      <c r="L393" s="409" t="n">
        <v>0</v>
      </c>
      <c r="M393" s="409" t="n">
        <v>0.0356818181818182</v>
      </c>
      <c r="N393" s="378" t="n">
        <v>1953</v>
      </c>
      <c r="O393" s="393" t="n">
        <v>560</v>
      </c>
      <c r="Q393" s="605" t="n">
        <v>15</v>
      </c>
      <c r="R393" s="605" t="n">
        <v>3</v>
      </c>
      <c r="S393" s="605" t="n">
        <v>1</v>
      </c>
      <c r="T393" s="403" t="inlineStr">
        <is>
          <t xml:space="preserve">I1   </t>
        </is>
      </c>
      <c r="U393" s="403" t="n">
        <v>398</v>
      </c>
      <c r="V393" s="404" t="n">
        <v>18750</v>
      </c>
      <c r="W393" s="404" t="n">
        <v>19000</v>
      </c>
      <c r="X393" s="410" t="inlineStr">
        <is>
          <t>1.4:1</t>
        </is>
      </c>
      <c r="Y393" s="404" t="n">
        <v>14000</v>
      </c>
      <c r="Z393" s="403" t="inlineStr">
        <is>
          <t xml:space="preserve">C </t>
        </is>
      </c>
      <c r="AC393" s="378" t="n"/>
      <c r="AD393" s="384" t="n"/>
      <c r="AE393" s="145" t="n"/>
      <c r="AF393" s="145" t="n"/>
      <c r="AG393" s="145" t="n"/>
      <c r="AH393" s="145" t="n"/>
      <c r="AI393" s="145" t="n"/>
      <c r="AJ393" s="145" t="n"/>
      <c r="AK393" s="411" t="inlineStr">
        <is>
          <t xml:space="preserve">2008 LEASE.                                                       </t>
        </is>
      </c>
      <c r="AM393" s="605" t="n"/>
    </row>
    <row r="394" ht="25.5" customHeight="1" s="545">
      <c r="A394" s="388" t="n">
        <v>7</v>
      </c>
      <c r="B394" s="605" t="n">
        <v>387</v>
      </c>
      <c r="C394" s="384" t="inlineStr">
        <is>
          <t>2011Q</t>
        </is>
      </c>
      <c r="D394" s="605" t="inlineStr">
        <is>
          <t xml:space="preserve">02234-00-013-000 </t>
        </is>
      </c>
      <c r="E394" s="407" t="inlineStr">
        <is>
          <t>Actual</t>
        </is>
      </c>
      <c r="F394" s="605" t="inlineStr">
        <is>
          <t>3975   YORK                ST</t>
        </is>
      </c>
      <c r="G394" s="392" t="n">
        <v>47.1</v>
      </c>
      <c r="H394" s="378" t="n">
        <v>9201</v>
      </c>
      <c r="I394" s="403" t="n">
        <v>0</v>
      </c>
      <c r="J394" s="404" t="n">
        <v>20773</v>
      </c>
      <c r="K394" s="408" t="n">
        <v>5.19905646752997</v>
      </c>
      <c r="L394" s="409" t="n">
        <v>0</v>
      </c>
      <c r="M394" s="409" t="n">
        <v>0</v>
      </c>
      <c r="N394" s="378" t="n">
        <v>1949</v>
      </c>
      <c r="O394" s="393" t="n">
        <v>2655</v>
      </c>
      <c r="Q394" s="605" t="n">
        <v>18</v>
      </c>
      <c r="R394" s="605" t="n">
        <v>1</v>
      </c>
      <c r="S394" s="605" t="n">
        <v>1</v>
      </c>
      <c r="T394" s="403" t="inlineStr">
        <is>
          <t xml:space="preserve">I2   </t>
        </is>
      </c>
      <c r="U394" s="403" t="n">
        <v>401</v>
      </c>
      <c r="V394" s="404" t="n">
        <v>190793</v>
      </c>
      <c r="W394" s="404" t="n">
        <v>190000</v>
      </c>
      <c r="X394" s="410" t="inlineStr">
        <is>
          <t>9.2:1</t>
        </is>
      </c>
      <c r="Y394" s="404" t="n">
        <v>21000</v>
      </c>
      <c r="Z394" s="403" t="inlineStr">
        <is>
          <t xml:space="preserve">C </t>
        </is>
      </c>
      <c r="AC394" s="378" t="n"/>
      <c r="AD394" s="384" t="inlineStr">
        <is>
          <t xml:space="preserve">FELIX'S TOWING      </t>
        </is>
      </c>
      <c r="AE394" s="145" t="n"/>
      <c r="AF394" s="145" t="n"/>
      <c r="AG394" s="145" t="n"/>
      <c r="AH394" s="145" t="n"/>
      <c r="AI394" s="145" t="n"/>
      <c r="AJ394" s="145" t="n"/>
      <c r="AK394" s="411" t="inlineStr">
        <is>
          <t xml:space="preserve">LAND LEASE CHECKED BUT OBVIOUSLY HAS TO INCLUDE THE BLDG.         </t>
        </is>
      </c>
      <c r="AM394" s="605" t="n"/>
    </row>
    <row r="395" ht="12.75" customHeight="1" s="545">
      <c r="A395" s="388" t="n">
        <v>7</v>
      </c>
      <c r="B395" s="605" t="n">
        <v>388</v>
      </c>
      <c r="C395" s="384" t="inlineStr">
        <is>
          <t>2011Q</t>
        </is>
      </c>
      <c r="D395" s="605" t="inlineStr">
        <is>
          <t xml:space="preserve">02242-25-009-000 </t>
        </is>
      </c>
      <c r="E395" s="407" t="inlineStr">
        <is>
          <t>Actual</t>
        </is>
      </c>
      <c r="F395" s="605" t="inlineStr">
        <is>
          <t>4570   COLUMBINE           ST</t>
        </is>
      </c>
      <c r="G395" s="378" t="n">
        <v>44.1</v>
      </c>
      <c r="H395" s="378" t="n">
        <v>9201</v>
      </c>
      <c r="I395" s="403" t="n">
        <v>0</v>
      </c>
      <c r="J395" s="404" t="n">
        <v>8960</v>
      </c>
      <c r="K395" s="408" t="n">
        <v>6.36160714285714</v>
      </c>
      <c r="L395" s="409" t="n">
        <v>0</v>
      </c>
      <c r="M395" s="409" t="n">
        <v>0.0935614035087719</v>
      </c>
      <c r="N395" s="378" t="n">
        <v>1974</v>
      </c>
      <c r="O395" s="393" t="n">
        <v>2400</v>
      </c>
      <c r="Q395" s="605" t="n">
        <v>15</v>
      </c>
      <c r="R395" s="605" t="n">
        <v>3</v>
      </c>
      <c r="S395" s="605" t="n">
        <v>1</v>
      </c>
      <c r="T395" s="403" t="inlineStr">
        <is>
          <t xml:space="preserve">PUD  </t>
        </is>
      </c>
      <c r="U395" s="403" t="n">
        <v>398</v>
      </c>
      <c r="V395" s="404" t="n">
        <v>31000</v>
      </c>
      <c r="W395" s="404" t="n">
        <v>31000</v>
      </c>
      <c r="X395" s="410" t="inlineStr">
        <is>
          <t>3.5:1</t>
        </is>
      </c>
      <c r="Y395" s="404" t="n">
        <v>9000</v>
      </c>
      <c r="Z395" s="403" t="inlineStr">
        <is>
          <t xml:space="preserve">C </t>
        </is>
      </c>
      <c r="AC395" s="378" t="n"/>
      <c r="AD395" s="384" t="inlineStr">
        <is>
          <t>S-W CONLEY EQUIP CO.</t>
        </is>
      </c>
      <c r="AE395" s="145" t="n"/>
      <c r="AF395" s="145" t="n"/>
      <c r="AG395" s="145" t="n"/>
      <c r="AH395" s="145" t="n"/>
      <c r="AI395" s="145" t="n"/>
      <c r="AJ395" s="145" t="n"/>
      <c r="AK395" s="411" t="n"/>
      <c r="AM395" s="605" t="n"/>
    </row>
    <row r="396" ht="23.25" customHeight="1" s="545">
      <c r="A396" s="388" t="n">
        <v>7</v>
      </c>
      <c r="B396" s="605" t="n">
        <v>389</v>
      </c>
      <c r="C396" s="384" t="inlineStr">
        <is>
          <t>2011Q</t>
        </is>
      </c>
      <c r="D396" s="605" t="inlineStr">
        <is>
          <t xml:space="preserve">02243-01-012-000 </t>
        </is>
      </c>
      <c r="E396" s="407" t="inlineStr">
        <is>
          <t>Actual</t>
        </is>
      </c>
      <c r="F396" s="605" t="inlineStr">
        <is>
          <t>3100 E 43RD                AV</t>
        </is>
      </c>
      <c r="G396" s="392" t="n">
        <v>47.2</v>
      </c>
      <c r="H396" s="378" t="n">
        <v>9201</v>
      </c>
      <c r="I396" s="403" t="n">
        <v>0</v>
      </c>
      <c r="J396" s="404" t="n">
        <v>33001</v>
      </c>
      <c r="K396" s="408" t="n">
        <v>4.54531680858156</v>
      </c>
      <c r="L396" s="409" t="n">
        <v>0</v>
      </c>
      <c r="M396" s="409" t="n">
        <v>0</v>
      </c>
      <c r="N396" s="378" t="n">
        <v>1958</v>
      </c>
      <c r="O396" s="393" t="n">
        <v>1215</v>
      </c>
      <c r="Q396" s="605" t="n">
        <v>13</v>
      </c>
      <c r="R396" s="605" t="n">
        <v>3</v>
      </c>
      <c r="S396" s="605" t="n">
        <v>1</v>
      </c>
      <c r="T396" s="403" t="inlineStr">
        <is>
          <t xml:space="preserve">I1   </t>
        </is>
      </c>
      <c r="U396" s="403" t="n">
        <v>401</v>
      </c>
      <c r="V396" s="404" t="n">
        <v>36515</v>
      </c>
      <c r="W396" s="404" t="n">
        <v>37000</v>
      </c>
      <c r="X396" s="410" t="inlineStr">
        <is>
          <t>1.1:1</t>
        </is>
      </c>
      <c r="Y396" s="404" t="n">
        <v>33000</v>
      </c>
      <c r="Z396" s="403" t="inlineStr">
        <is>
          <t xml:space="preserve">C </t>
        </is>
      </c>
      <c r="AC396" s="378" t="n"/>
      <c r="AD396" s="384" t="inlineStr">
        <is>
          <t>DENVER METAL FINSHNG</t>
        </is>
      </c>
      <c r="AE396" s="145" t="n"/>
      <c r="AF396" s="145" t="n"/>
      <c r="AG396" s="145" t="n"/>
      <c r="AH396" s="145" t="n"/>
      <c r="AI396" s="145" t="n"/>
      <c r="AJ396" s="145" t="n"/>
      <c r="AK396" s="411" t="inlineStr">
        <is>
          <t xml:space="preserve">DATE OF LEASE COMMENCEMENT UNKNOWN                                </t>
        </is>
      </c>
      <c r="AM396" s="605" t="n"/>
    </row>
    <row r="397" ht="25.5" customHeight="1" s="545">
      <c r="A397" s="388" t="n">
        <v>7</v>
      </c>
      <c r="B397" s="605" t="n">
        <v>390</v>
      </c>
      <c r="C397" s="384" t="inlineStr">
        <is>
          <t>2011Q</t>
        </is>
      </c>
      <c r="D397" s="605" t="inlineStr">
        <is>
          <t xml:space="preserve">02243-06-001-000 </t>
        </is>
      </c>
      <c r="E397" s="407" t="inlineStr">
        <is>
          <t>Actual</t>
        </is>
      </c>
      <c r="F397" s="605" t="inlineStr">
        <is>
          <t>4242   ELIZABETH           ST</t>
        </is>
      </c>
      <c r="G397" s="392" t="n">
        <v>47.2</v>
      </c>
      <c r="H397" s="378" t="n">
        <v>9201</v>
      </c>
      <c r="I397" s="403" t="n">
        <v>0</v>
      </c>
      <c r="J397" s="404" t="n">
        <v>18566</v>
      </c>
      <c r="K397" s="408" t="n">
        <v>2.84390821932565</v>
      </c>
      <c r="L397" s="409" t="n">
        <v>1</v>
      </c>
      <c r="M397" s="409" t="n">
        <v>0.105018939393939</v>
      </c>
      <c r="N397" s="378" t="n">
        <v>1950</v>
      </c>
      <c r="O397" s="393" t="n">
        <v>1000</v>
      </c>
      <c r="Q397" s="605" t="n">
        <v>18</v>
      </c>
      <c r="R397" s="605" t="n">
        <v>10</v>
      </c>
      <c r="S397" s="605" t="n">
        <v>1</v>
      </c>
      <c r="T397" s="403" t="inlineStr">
        <is>
          <t xml:space="preserve">I1   </t>
        </is>
      </c>
      <c r="U397" s="403" t="n">
        <v>401</v>
      </c>
      <c r="V397" s="404" t="n">
        <v>32937</v>
      </c>
      <c r="W397" s="404" t="n">
        <v>33000</v>
      </c>
      <c r="X397" s="410" t="inlineStr">
        <is>
          <t>1.8:1</t>
        </is>
      </c>
      <c r="Y397" s="404" t="n">
        <v>19000</v>
      </c>
      <c r="Z397" s="403" t="inlineStr">
        <is>
          <t xml:space="preserve">C </t>
        </is>
      </c>
      <c r="AC397" s="378" t="n"/>
      <c r="AD397" s="384" t="n"/>
      <c r="AE397" s="145" t="n"/>
      <c r="AF397" s="145" t="n"/>
      <c r="AG397" s="145" t="n"/>
      <c r="AH397" s="145" t="n"/>
      <c r="AI397" s="145" t="n"/>
      <c r="AJ397" s="145" t="n"/>
      <c r="AK397" s="411" t="inlineStr">
        <is>
          <t xml:space="preserve">2008 LEASE; I/E DATA IS FROM 2009; VACANCY IS 2010.               </t>
        </is>
      </c>
      <c r="AM397" s="605" t="n"/>
    </row>
    <row r="398" ht="25.5" customHeight="1" s="545">
      <c r="A398" s="388" t="n">
        <v>7</v>
      </c>
      <c r="B398" s="605" t="n">
        <v>391</v>
      </c>
      <c r="C398" s="384" t="inlineStr">
        <is>
          <t>2011Q</t>
        </is>
      </c>
      <c r="D398" s="605" t="inlineStr">
        <is>
          <t xml:space="preserve">02243-08-007-000 </t>
        </is>
      </c>
      <c r="E398" s="407" t="inlineStr">
        <is>
          <t>Actual</t>
        </is>
      </c>
      <c r="F398" s="605" t="inlineStr">
        <is>
          <t>4215   COLUMBINE           ST</t>
        </is>
      </c>
      <c r="G398" s="378" t="n">
        <v>44.1</v>
      </c>
      <c r="H398" s="378" t="n">
        <v>9201</v>
      </c>
      <c r="I398" s="403" t="n">
        <v>0</v>
      </c>
      <c r="J398" s="404" t="n">
        <v>1500</v>
      </c>
      <c r="K398" s="408" t="n">
        <v>8.106666666666669</v>
      </c>
      <c r="L398" s="409" t="n">
        <v>0</v>
      </c>
      <c r="M398" s="409" t="n">
        <v>0</v>
      </c>
      <c r="N398" s="378" t="n">
        <v>1930</v>
      </c>
      <c r="O398" s="393" t="n">
        <v>0</v>
      </c>
      <c r="Q398" s="605" t="n">
        <v>15</v>
      </c>
      <c r="R398" s="605" t="n">
        <v>7</v>
      </c>
      <c r="S398" s="605" t="n">
        <v>1</v>
      </c>
      <c r="T398" s="403" t="inlineStr">
        <is>
          <t xml:space="preserve">I1   </t>
        </is>
      </c>
      <c r="U398" s="403" t="n">
        <v>399</v>
      </c>
      <c r="V398" s="404" t="n">
        <v>8100</v>
      </c>
      <c r="W398" s="404" t="n">
        <v>8000</v>
      </c>
      <c r="X398" s="410" t="inlineStr">
        <is>
          <t>2.3:1</t>
        </is>
      </c>
      <c r="Y398" s="404" t="n">
        <v>2000</v>
      </c>
      <c r="Z398" s="403" t="inlineStr">
        <is>
          <t xml:space="preserve">C </t>
        </is>
      </c>
      <c r="AC398" s="378" t="n"/>
      <c r="AD398" s="384" t="n"/>
      <c r="AE398" s="145" t="n"/>
      <c r="AF398" s="145" t="n"/>
      <c r="AG398" s="145" t="n"/>
      <c r="AH398" s="145" t="n"/>
      <c r="AI398" s="145" t="n"/>
      <c r="AJ398" s="145" t="n"/>
      <c r="AK398" s="411" t="inlineStr">
        <is>
          <t>USED ONLY LEASED AREA OF BLDG; CAN'T BREAKOUT EXP BETWEEN OWN/TENS</t>
        </is>
      </c>
      <c r="AM398" s="605" t="n"/>
    </row>
    <row r="399" ht="12.75" customHeight="1" s="545">
      <c r="A399" s="388" t="n">
        <v>7</v>
      </c>
      <c r="B399" s="605" t="n">
        <v>392</v>
      </c>
      <c r="C399" s="384" t="inlineStr">
        <is>
          <t>2011Q</t>
        </is>
      </c>
      <c r="D399" s="605" t="inlineStr">
        <is>
          <t xml:space="preserve">02243-15-009-000 </t>
        </is>
      </c>
      <c r="E399" s="407" t="inlineStr">
        <is>
          <t>Actual</t>
        </is>
      </c>
      <c r="F399" s="605" t="inlineStr">
        <is>
          <t>3115 E 40TH                AV</t>
        </is>
      </c>
      <c r="G399" s="392" t="n">
        <v>44.2</v>
      </c>
      <c r="H399" s="378" t="n">
        <v>9201</v>
      </c>
      <c r="I399" s="403" t="n">
        <v>0</v>
      </c>
      <c r="J399" s="404" t="n">
        <v>16650</v>
      </c>
      <c r="K399" s="408" t="n">
        <v>3.45945945945946</v>
      </c>
      <c r="L399" s="409" t="n">
        <v>0</v>
      </c>
      <c r="M399" s="409" t="n">
        <v>0</v>
      </c>
      <c r="N399" s="378" t="n">
        <v>1964</v>
      </c>
      <c r="O399" s="393" t="n">
        <v>0</v>
      </c>
      <c r="Q399" s="605" t="n">
        <v>14</v>
      </c>
      <c r="R399" s="605" t="n">
        <v>3</v>
      </c>
      <c r="S399" s="605" t="n">
        <v>1</v>
      </c>
      <c r="T399" s="403" t="inlineStr">
        <is>
          <t xml:space="preserve">I1   </t>
        </is>
      </c>
      <c r="U399" s="403" t="n">
        <v>398</v>
      </c>
      <c r="V399" s="404" t="n">
        <v>32214</v>
      </c>
      <c r="W399" s="404" t="n">
        <v>32000</v>
      </c>
      <c r="X399" s="410" t="inlineStr">
        <is>
          <t>1.9:1</t>
        </is>
      </c>
      <c r="Y399" s="404" t="n">
        <v>17000</v>
      </c>
      <c r="Z399" s="403" t="inlineStr">
        <is>
          <t xml:space="preserve">C </t>
        </is>
      </c>
      <c r="AC399" s="378" t="n"/>
      <c r="AD399" s="384" t="n"/>
      <c r="AE399" s="145" t="n"/>
      <c r="AF399" s="145" t="n"/>
      <c r="AG399" s="145" t="n"/>
      <c r="AH399" s="145" t="n"/>
      <c r="AI399" s="145" t="n"/>
      <c r="AJ399" s="145" t="n"/>
      <c r="AK399" s="411" t="n"/>
      <c r="AM399" s="605" t="n"/>
    </row>
    <row r="400" ht="25.5" customHeight="1" s="545">
      <c r="A400" s="388" t="n">
        <v>7</v>
      </c>
      <c r="B400" s="605" t="n">
        <v>393</v>
      </c>
      <c r="C400" s="384" t="inlineStr">
        <is>
          <t>2011Q</t>
        </is>
      </c>
      <c r="D400" s="605" t="inlineStr">
        <is>
          <t xml:space="preserve">02271-00-019-000 </t>
        </is>
      </c>
      <c r="E400" s="407" t="inlineStr">
        <is>
          <t>Actual</t>
        </is>
      </c>
      <c r="F400" s="605" t="inlineStr">
        <is>
          <t>3325   BRIGHTON            BV</t>
        </is>
      </c>
      <c r="G400" s="378" t="n">
        <v>44.1</v>
      </c>
      <c r="H400" s="378" t="n">
        <v>9210</v>
      </c>
      <c r="I400" s="403" t="n">
        <v>0</v>
      </c>
      <c r="J400" s="404" t="n">
        <v>3000</v>
      </c>
      <c r="K400" s="408" t="n">
        <v>5.84</v>
      </c>
      <c r="L400" s="409" t="n">
        <v>0</v>
      </c>
      <c r="M400" s="409" t="n">
        <v>0.216495433789954</v>
      </c>
      <c r="N400" s="378" t="n">
        <v>1948</v>
      </c>
      <c r="O400" s="393" t="n">
        <v>1800</v>
      </c>
      <c r="Q400" s="605" t="n">
        <v>15</v>
      </c>
      <c r="R400" s="605" t="n">
        <v>1</v>
      </c>
      <c r="S400" s="605" t="n">
        <v>1</v>
      </c>
      <c r="T400" s="403" t="inlineStr">
        <is>
          <t xml:space="preserve">I2   </t>
        </is>
      </c>
      <c r="U400" s="403" t="n">
        <v>398</v>
      </c>
      <c r="V400" s="404" t="n">
        <v>18830</v>
      </c>
      <c r="W400" s="404" t="n">
        <v>19000</v>
      </c>
      <c r="X400" s="410" t="inlineStr">
        <is>
          <t>2.5:1</t>
        </is>
      </c>
      <c r="Y400" s="404" t="n">
        <v>3000</v>
      </c>
      <c r="Z400" s="403" t="inlineStr">
        <is>
          <t xml:space="preserve">C </t>
        </is>
      </c>
      <c r="AC400" s="378" t="n"/>
      <c r="AD400" s="384" t="inlineStr">
        <is>
          <t>PYRAMID PRINT&amp;GRPHCS</t>
        </is>
      </c>
      <c r="AE400" s="145" t="n"/>
      <c r="AF400" s="145" t="n"/>
      <c r="AG400" s="145" t="n"/>
      <c r="AH400" s="145" t="n"/>
      <c r="AI400" s="145" t="n"/>
      <c r="AJ400" s="145" t="n"/>
      <c r="AK400" s="411" t="inlineStr">
        <is>
          <t xml:space="preserve">2008 LEASE; EXPENSES ALLOCATED TO THE 3000 SF LEASED.             </t>
        </is>
      </c>
      <c r="AM400" s="605" t="n"/>
    </row>
    <row r="401" ht="12.75" customHeight="1" s="545">
      <c r="A401" s="388" t="n">
        <v>7</v>
      </c>
      <c r="B401" s="605" t="n">
        <v>394</v>
      </c>
      <c r="C401" s="384" t="inlineStr">
        <is>
          <t>2011Q</t>
        </is>
      </c>
      <c r="D401" s="605" t="inlineStr">
        <is>
          <t xml:space="preserve">02271-03-032-000 </t>
        </is>
      </c>
      <c r="E401" s="407" t="inlineStr">
        <is>
          <t>Actual</t>
        </is>
      </c>
      <c r="F401" s="605" t="inlineStr">
        <is>
          <t>3765   BLAKE               ST</t>
        </is>
      </c>
      <c r="G401" s="392" t="n">
        <v>47.1</v>
      </c>
      <c r="H401" s="378" t="n">
        <v>9210</v>
      </c>
      <c r="I401" s="403" t="n">
        <v>0</v>
      </c>
      <c r="J401" s="404" t="n">
        <v>17074</v>
      </c>
      <c r="K401" s="408" t="n">
        <v>3.51411502869861</v>
      </c>
      <c r="L401" s="409" t="n">
        <v>0</v>
      </c>
      <c r="M401" s="409" t="n">
        <v>0.0583333333333333</v>
      </c>
      <c r="N401" s="378" t="n">
        <v>1951</v>
      </c>
      <c r="O401" s="393" t="n">
        <v>982</v>
      </c>
      <c r="Q401" s="605" t="n">
        <v>12</v>
      </c>
      <c r="R401" s="605" t="n">
        <v>3</v>
      </c>
      <c r="S401" s="605" t="n">
        <v>1</v>
      </c>
      <c r="T401" s="403" t="inlineStr">
        <is>
          <t xml:space="preserve">I1   </t>
        </is>
      </c>
      <c r="U401" s="403" t="n">
        <v>401</v>
      </c>
      <c r="V401" s="404" t="n">
        <v>20037</v>
      </c>
      <c r="W401" s="404" t="n">
        <v>20000</v>
      </c>
      <c r="X401" s="410" t="inlineStr">
        <is>
          <t>1.2:1</t>
        </is>
      </c>
      <c r="Y401" s="404" t="n">
        <v>17000</v>
      </c>
      <c r="Z401" s="403" t="inlineStr">
        <is>
          <t xml:space="preserve">C </t>
        </is>
      </c>
      <c r="AC401" s="378" t="n"/>
      <c r="AD401" s="384" t="inlineStr">
        <is>
          <t xml:space="preserve">MW                  </t>
        </is>
      </c>
      <c r="AE401" s="145" t="n"/>
      <c r="AF401" s="145" t="n"/>
      <c r="AG401" s="145" t="n"/>
      <c r="AH401" s="145" t="n"/>
      <c r="AI401" s="145" t="n"/>
      <c r="AJ401" s="145" t="n"/>
      <c r="AK401" s="411" t="inlineStr">
        <is>
          <t xml:space="preserve">MONTH-TO-MONTH LEASE.                                             </t>
        </is>
      </c>
      <c r="AM401" s="605" t="n"/>
    </row>
    <row r="402" ht="12.75" customHeight="1" s="545">
      <c r="A402" s="388" t="n">
        <v>7</v>
      </c>
      <c r="B402" s="605" t="n">
        <v>395</v>
      </c>
      <c r="C402" s="384" t="inlineStr">
        <is>
          <t>2011Q</t>
        </is>
      </c>
      <c r="D402" s="605" t="inlineStr">
        <is>
          <t xml:space="preserve">02271-12-020-000 </t>
        </is>
      </c>
      <c r="E402" s="407" t="inlineStr">
        <is>
          <t>Actual</t>
        </is>
      </c>
      <c r="F402" s="605" t="inlineStr">
        <is>
          <t>3551   BRIGHTON            BV</t>
        </is>
      </c>
      <c r="G402" s="392" t="n">
        <v>44.2</v>
      </c>
      <c r="H402" s="378" t="n">
        <v>9210</v>
      </c>
      <c r="I402" s="403" t="n">
        <v>0</v>
      </c>
      <c r="J402" s="404" t="n">
        <v>5340</v>
      </c>
      <c r="K402" s="408" t="n">
        <v>5.84269662921348</v>
      </c>
      <c r="L402" s="409" t="n">
        <v>0</v>
      </c>
      <c r="M402" s="409" t="n">
        <v>0.265608974358974</v>
      </c>
      <c r="N402" s="378" t="n">
        <v>1955</v>
      </c>
      <c r="O402" s="393" t="n">
        <v>2960</v>
      </c>
      <c r="Q402" s="605" t="n">
        <v>16</v>
      </c>
      <c r="R402" s="605" t="n">
        <v>3</v>
      </c>
      <c r="S402" s="605" t="n">
        <v>1</v>
      </c>
      <c r="T402" s="403" t="inlineStr">
        <is>
          <t xml:space="preserve">I1   </t>
        </is>
      </c>
      <c r="U402" s="403" t="n">
        <v>398</v>
      </c>
      <c r="V402" s="404" t="n">
        <v>6250</v>
      </c>
      <c r="W402" s="404" t="n">
        <v>6000</v>
      </c>
      <c r="X402" s="410" t="inlineStr">
        <is>
          <t>1.2:1</t>
        </is>
      </c>
      <c r="Y402" s="404" t="n">
        <v>5000</v>
      </c>
      <c r="Z402" s="403" t="inlineStr">
        <is>
          <t xml:space="preserve">C </t>
        </is>
      </c>
      <c r="AC402" s="378" t="n"/>
      <c r="AD402" s="384" t="n"/>
      <c r="AE402" s="145" t="n"/>
      <c r="AF402" s="145" t="n"/>
      <c r="AG402" s="145" t="n"/>
      <c r="AH402" s="145" t="n"/>
      <c r="AI402" s="145" t="n"/>
      <c r="AJ402" s="145" t="n"/>
      <c r="AK402" s="411" t="inlineStr">
        <is>
          <t xml:space="preserve">LEASE COMMENCEMENT UNKNOWN.                                       </t>
        </is>
      </c>
      <c r="AM402" s="605" t="n"/>
    </row>
    <row r="403" ht="25.5" customHeight="1" s="545">
      <c r="A403" s="388" t="n">
        <v>7</v>
      </c>
      <c r="B403" s="605" t="n">
        <v>396</v>
      </c>
      <c r="C403" s="384" t="inlineStr">
        <is>
          <t>2011Q</t>
        </is>
      </c>
      <c r="D403" s="605" t="inlineStr">
        <is>
          <t xml:space="preserve">02271-12-021-000 </t>
        </is>
      </c>
      <c r="E403" s="407" t="inlineStr">
        <is>
          <t>Actual</t>
        </is>
      </c>
      <c r="F403" s="605" t="inlineStr">
        <is>
          <t>3559   BRIGHTON            BV</t>
        </is>
      </c>
      <c r="G403" s="392" t="n">
        <v>44.2</v>
      </c>
      <c r="H403" s="378" t="n">
        <v>9210</v>
      </c>
      <c r="I403" s="403" t="n">
        <v>0</v>
      </c>
      <c r="J403" s="404" t="n">
        <v>5015</v>
      </c>
      <c r="K403" s="408" t="n">
        <v>5.93180458624128</v>
      </c>
      <c r="L403" s="409" t="n">
        <v>0</v>
      </c>
      <c r="M403" s="409" t="n">
        <v>0</v>
      </c>
      <c r="N403" s="378" t="n">
        <v>1950</v>
      </c>
      <c r="O403" s="393" t="n">
        <v>0</v>
      </c>
      <c r="Q403" s="605" t="n">
        <v>14</v>
      </c>
      <c r="R403" s="605" t="n">
        <v>3</v>
      </c>
      <c r="S403" s="605" t="n">
        <v>2</v>
      </c>
      <c r="T403" s="403" t="inlineStr">
        <is>
          <t xml:space="preserve">I1   </t>
        </is>
      </c>
      <c r="U403" s="403" t="n">
        <v>398</v>
      </c>
      <c r="V403" s="404" t="n">
        <v>6250</v>
      </c>
      <c r="W403" s="404" t="n">
        <v>6000</v>
      </c>
      <c r="X403" s="410" t="inlineStr">
        <is>
          <t>1.2:1</t>
        </is>
      </c>
      <c r="Y403" s="404" t="n">
        <v>5000</v>
      </c>
      <c r="Z403" s="403" t="inlineStr">
        <is>
          <t xml:space="preserve">C </t>
        </is>
      </c>
      <c r="AC403" s="378" t="n"/>
      <c r="AD403" s="384" t="inlineStr">
        <is>
          <t xml:space="preserve">5280 DESIGNS        </t>
        </is>
      </c>
      <c r="AE403" s="145" t="n"/>
      <c r="AF403" s="145" t="n"/>
      <c r="AG403" s="145" t="n"/>
      <c r="AH403" s="145" t="n"/>
      <c r="AI403" s="145" t="n"/>
      <c r="AJ403" s="145" t="n"/>
      <c r="AK403" s="411" t="inlineStr">
        <is>
          <t xml:space="preserve">EXPENSES UNABLE TO PRORATE OR DEFINE = NOT ENTERED.               </t>
        </is>
      </c>
      <c r="AM403" s="605" t="n"/>
    </row>
    <row r="404" ht="12.75" customHeight="1" s="545">
      <c r="A404" s="388" t="n">
        <v>7</v>
      </c>
      <c r="B404" s="605" t="n">
        <v>397</v>
      </c>
      <c r="C404" s="384" t="inlineStr">
        <is>
          <t>2011Q</t>
        </is>
      </c>
      <c r="D404" s="605" t="inlineStr">
        <is>
          <t xml:space="preserve">02271-13-026-000 </t>
        </is>
      </c>
      <c r="E404" s="407" t="inlineStr">
        <is>
          <t>Actual</t>
        </is>
      </c>
      <c r="F404" s="605" t="inlineStr">
        <is>
          <t>3595   WYNKOOP             ST</t>
        </is>
      </c>
      <c r="G404" s="378" t="n">
        <v>44.1</v>
      </c>
      <c r="H404" s="378" t="n">
        <v>9210</v>
      </c>
      <c r="I404" s="403" t="n">
        <v>0</v>
      </c>
      <c r="J404" s="404" t="n">
        <v>4820</v>
      </c>
      <c r="K404" s="408" t="n">
        <v>8.92116182572614</v>
      </c>
      <c r="L404" s="409" t="n">
        <v>1</v>
      </c>
      <c r="M404" s="409" t="n">
        <v>0</v>
      </c>
      <c r="N404" s="378" t="n">
        <v>1978</v>
      </c>
      <c r="O404" s="393" t="n">
        <v>1000</v>
      </c>
      <c r="Q404" s="605" t="n">
        <v>16</v>
      </c>
      <c r="R404" s="605" t="n">
        <v>7</v>
      </c>
      <c r="S404" s="605" t="n">
        <v>1</v>
      </c>
      <c r="T404" s="403" t="inlineStr">
        <is>
          <t xml:space="preserve">I1   </t>
        </is>
      </c>
      <c r="U404" s="403" t="n">
        <v>398</v>
      </c>
      <c r="V404" s="404" t="n">
        <v>15625</v>
      </c>
      <c r="W404" s="404" t="n">
        <v>16000</v>
      </c>
      <c r="X404" s="410" t="inlineStr">
        <is>
          <t>3.2:1</t>
        </is>
      </c>
      <c r="Y404" s="404" t="n">
        <v>5000</v>
      </c>
      <c r="Z404" s="403" t="inlineStr">
        <is>
          <t xml:space="preserve">B </t>
        </is>
      </c>
      <c r="AC404" s="378" t="n"/>
      <c r="AD404" s="384" t="n"/>
      <c r="AE404" s="145" t="n"/>
      <c r="AF404" s="145" t="n"/>
      <c r="AG404" s="145" t="n"/>
      <c r="AH404" s="145" t="n"/>
      <c r="AI404" s="145" t="n"/>
      <c r="AJ404" s="145" t="n"/>
      <c r="AK404" s="411" t="n"/>
      <c r="AM404" s="605" t="n"/>
    </row>
    <row r="405" ht="12.75" customHeight="1" s="545">
      <c r="A405" s="388" t="n">
        <v>7</v>
      </c>
      <c r="B405" s="605" t="n">
        <v>398</v>
      </c>
      <c r="C405" s="384" t="inlineStr">
        <is>
          <t>2011Q</t>
        </is>
      </c>
      <c r="D405" s="605" t="inlineStr">
        <is>
          <t xml:space="preserve">02271-18-022-000 </t>
        </is>
      </c>
      <c r="E405" s="407" t="inlineStr">
        <is>
          <t>Actual</t>
        </is>
      </c>
      <c r="F405" s="605" t="inlineStr">
        <is>
          <t>3400   WALNUT              ST</t>
        </is>
      </c>
      <c r="G405" s="392" t="inlineStr">
        <is>
          <t>44.M</t>
        </is>
      </c>
      <c r="H405" s="378" t="n">
        <v>9210</v>
      </c>
      <c r="I405" s="403" t="n">
        <v>0</v>
      </c>
      <c r="J405" s="404" t="n">
        <v>21350</v>
      </c>
      <c r="K405" s="408" t="n">
        <v>7.56604215456675</v>
      </c>
      <c r="L405" s="409" t="n">
        <v>0</v>
      </c>
      <c r="M405" s="409" t="n">
        <v>0.272448695329186</v>
      </c>
      <c r="N405" s="378" t="n">
        <v>1950</v>
      </c>
      <c r="O405" s="393" t="n">
        <v>0</v>
      </c>
      <c r="Q405" s="605" t="n">
        <v>11</v>
      </c>
      <c r="R405" s="605" t="n">
        <v>1</v>
      </c>
      <c r="S405" s="605" t="n">
        <v>85</v>
      </c>
      <c r="T405" s="403" t="inlineStr">
        <is>
          <t xml:space="preserve">I2   </t>
        </is>
      </c>
      <c r="U405" s="403" t="n">
        <v>396</v>
      </c>
      <c r="V405" s="404" t="n">
        <v>31250</v>
      </c>
      <c r="W405" s="404" t="n">
        <v>31000</v>
      </c>
      <c r="X405" s="410" t="inlineStr">
        <is>
          <t>1.5:1</t>
        </is>
      </c>
      <c r="Y405" s="404" t="n">
        <v>21000</v>
      </c>
      <c r="Z405" s="403" t="inlineStr">
        <is>
          <t xml:space="preserve">C </t>
        </is>
      </c>
      <c r="AC405" s="378" t="n"/>
      <c r="AD405" s="384" t="inlineStr">
        <is>
          <t xml:space="preserve">DOWNTOWN SELF STRG  </t>
        </is>
      </c>
      <c r="AE405" s="145" t="n"/>
      <c r="AF405" s="145" t="n"/>
      <c r="AG405" s="145" t="n"/>
      <c r="AH405" s="145" t="n"/>
      <c r="AI405" s="145" t="n"/>
      <c r="AJ405" s="145" t="n"/>
      <c r="AK405" s="411" t="inlineStr">
        <is>
          <t xml:space="preserve">INT MTC WAS AMTZED FOR 10YRS                                      </t>
        </is>
      </c>
      <c r="AM405" s="605" t="n"/>
    </row>
    <row r="406" ht="25.5" customHeight="1" s="545">
      <c r="A406" s="388" t="n">
        <v>7</v>
      </c>
      <c r="B406" s="605" t="n">
        <v>399</v>
      </c>
      <c r="C406" s="384" t="inlineStr">
        <is>
          <t>2011Q</t>
        </is>
      </c>
      <c r="D406" s="605" t="inlineStr">
        <is>
          <t xml:space="preserve">02271-22-005-000 </t>
        </is>
      </c>
      <c r="E406" s="407" t="inlineStr">
        <is>
          <t>Actual</t>
        </is>
      </c>
      <c r="F406" s="605" t="inlineStr">
        <is>
          <t>3430   BRIGHTON            BV</t>
        </is>
      </c>
      <c r="G406" s="378" t="n">
        <v>44.1</v>
      </c>
      <c r="H406" s="378" t="n">
        <v>9210</v>
      </c>
      <c r="I406" s="403" t="n">
        <v>0</v>
      </c>
      <c r="J406" s="404" t="n">
        <v>6500</v>
      </c>
      <c r="K406" s="408" t="n">
        <v>2.95384615384615</v>
      </c>
      <c r="L406" s="409" t="n">
        <v>0</v>
      </c>
      <c r="M406" s="409" t="n">
        <v>0</v>
      </c>
      <c r="N406" s="378" t="n">
        <v>1931</v>
      </c>
      <c r="O406" s="393" t="n">
        <v>180</v>
      </c>
      <c r="Q406" s="605" t="n">
        <v>14</v>
      </c>
      <c r="R406" s="605" t="n">
        <v>7</v>
      </c>
      <c r="S406" s="605" t="n">
        <v>1</v>
      </c>
      <c r="T406" s="403" t="inlineStr">
        <is>
          <t xml:space="preserve">I2   </t>
        </is>
      </c>
      <c r="U406" s="403" t="n">
        <v>398</v>
      </c>
      <c r="V406" s="404" t="n">
        <v>12500</v>
      </c>
      <c r="W406" s="404" t="n">
        <v>13000</v>
      </c>
      <c r="X406" s="410" t="inlineStr">
        <is>
          <t>1.7:1</t>
        </is>
      </c>
      <c r="Y406" s="404" t="n">
        <v>7000</v>
      </c>
      <c r="Z406" s="403" t="inlineStr">
        <is>
          <t xml:space="preserve">C </t>
        </is>
      </c>
      <c r="AC406" s="378" t="n"/>
      <c r="AD406" s="384" t="inlineStr">
        <is>
          <t xml:space="preserve">SANTA FE HTG &amp; AC   </t>
        </is>
      </c>
      <c r="AE406" s="145" t="n"/>
      <c r="AF406" s="145" t="n"/>
      <c r="AG406" s="145" t="n"/>
      <c r="AH406" s="145" t="n"/>
      <c r="AI406" s="145" t="n"/>
      <c r="AJ406" s="145" t="n"/>
      <c r="AK406" s="411" t="inlineStr">
        <is>
          <t xml:space="preserve">OWNER EXPENSES WAY TOO HIGH = NOT ENTERED.                        </t>
        </is>
      </c>
      <c r="AM406" s="605" t="n"/>
    </row>
    <row r="407" ht="25.5" customHeight="1" s="545">
      <c r="A407" s="388" t="n">
        <v>7</v>
      </c>
      <c r="B407" s="605" t="n">
        <v>400</v>
      </c>
      <c r="C407" s="384" t="inlineStr">
        <is>
          <t>2011Q</t>
        </is>
      </c>
      <c r="D407" s="605" t="inlineStr">
        <is>
          <t xml:space="preserve">02275-00-023-000 </t>
        </is>
      </c>
      <c r="E407" s="407" t="inlineStr">
        <is>
          <t>Actual</t>
        </is>
      </c>
      <c r="F407" s="605" t="inlineStr">
        <is>
          <t>3150   BRIGHTON            BV</t>
        </is>
      </c>
      <c r="G407" s="392" t="n">
        <v>44.2</v>
      </c>
      <c r="H407" s="378" t="n">
        <v>9210</v>
      </c>
      <c r="I407" s="403" t="n">
        <v>0</v>
      </c>
      <c r="J407" s="404" t="n">
        <v>7500</v>
      </c>
      <c r="K407" s="408" t="n">
        <v>4.8</v>
      </c>
      <c r="L407" s="409" t="n">
        <v>0</v>
      </c>
      <c r="M407" s="409" t="n">
        <v>0</v>
      </c>
      <c r="N407" s="378" t="n">
        <v>1968</v>
      </c>
      <c r="O407" s="393" t="n">
        <v>2908</v>
      </c>
      <c r="Q407" s="605" t="n">
        <v>15</v>
      </c>
      <c r="R407" s="605" t="n">
        <v>1</v>
      </c>
      <c r="S407" s="605" t="n">
        <v>1</v>
      </c>
      <c r="T407" s="403" t="inlineStr">
        <is>
          <t xml:space="preserve">I2   </t>
        </is>
      </c>
      <c r="U407" s="403" t="n">
        <v>398</v>
      </c>
      <c r="V407" s="404" t="n">
        <v>21452</v>
      </c>
      <c r="W407" s="404" t="n">
        <v>21000</v>
      </c>
      <c r="X407" s="410" t="inlineStr">
        <is>
          <t>2.9:1</t>
        </is>
      </c>
      <c r="Y407" s="404" t="n">
        <v>8000</v>
      </c>
      <c r="Z407" s="403" t="inlineStr">
        <is>
          <t xml:space="preserve">C </t>
        </is>
      </c>
      <c r="AC407" s="378" t="n"/>
      <c r="AD407" s="384" t="inlineStr">
        <is>
          <t xml:space="preserve">DOGGIE DAY CARE     </t>
        </is>
      </c>
      <c r="AE407" s="145" t="n"/>
      <c r="AF407" s="145" t="n"/>
      <c r="AG407" s="145" t="n"/>
      <c r="AH407" s="145" t="n"/>
      <c r="AI407" s="145" t="n"/>
      <c r="AJ407" s="145" t="n"/>
      <c r="AK407" s="411" t="inlineStr">
        <is>
          <t xml:space="preserve">2008 LEASE; OWNER EXPENSES EXCESSIVE = NOT ENTERED.               </t>
        </is>
      </c>
      <c r="AM407" s="605" t="n"/>
    </row>
    <row r="408" ht="25.5" customHeight="1" s="545">
      <c r="A408" s="388" t="n">
        <v>7</v>
      </c>
      <c r="B408" s="605" t="n">
        <v>401</v>
      </c>
      <c r="C408" s="384" t="inlineStr">
        <is>
          <t>2011Q</t>
        </is>
      </c>
      <c r="D408" s="605" t="inlineStr">
        <is>
          <t xml:space="preserve">02275-01-020-000 </t>
        </is>
      </c>
      <c r="E408" s="407" t="inlineStr">
        <is>
          <t>Actual</t>
        </is>
      </c>
      <c r="F408" s="605" t="inlineStr">
        <is>
          <t>3244   WALNUT              ST</t>
        </is>
      </c>
      <c r="G408" s="392" t="n">
        <v>47.2</v>
      </c>
      <c r="H408" s="378" t="n">
        <v>9210</v>
      </c>
      <c r="I408" s="403" t="n">
        <v>0</v>
      </c>
      <c r="J408" s="404" t="n">
        <v>26000</v>
      </c>
      <c r="K408" s="408" t="n">
        <v>2.65384615384615</v>
      </c>
      <c r="L408" s="409" t="n">
        <v>0</v>
      </c>
      <c r="M408" s="409" t="n">
        <v>0</v>
      </c>
      <c r="N408" s="378" t="n">
        <v>1937</v>
      </c>
      <c r="O408" s="393" t="n">
        <v>1600</v>
      </c>
      <c r="Q408" s="605" t="n">
        <v>14</v>
      </c>
      <c r="R408" s="605" t="n">
        <v>1</v>
      </c>
      <c r="S408" s="605" t="n">
        <v>1</v>
      </c>
      <c r="T408" s="403" t="inlineStr">
        <is>
          <t>I2 I1</t>
        </is>
      </c>
      <c r="U408" s="403" t="n">
        <v>401</v>
      </c>
      <c r="V408" s="404" t="n">
        <v>50025</v>
      </c>
      <c r="W408" s="404" t="n">
        <v>50000</v>
      </c>
      <c r="X408" s="410" t="inlineStr">
        <is>
          <t>1.7:1</t>
        </is>
      </c>
      <c r="Y408" s="404" t="n">
        <v>26000</v>
      </c>
      <c r="Z408" s="403" t="inlineStr">
        <is>
          <t xml:space="preserve">C </t>
        </is>
      </c>
      <c r="AC408" s="378" t="n"/>
      <c r="AD408" s="384" t="inlineStr">
        <is>
          <t xml:space="preserve">DENVER HARDWARE     </t>
        </is>
      </c>
      <c r="AE408" s="145" t="n"/>
      <c r="AF408" s="145" t="n"/>
      <c r="AG408" s="145" t="n"/>
      <c r="AH408" s="145" t="n"/>
      <c r="AI408" s="145" t="n"/>
      <c r="AJ408" s="145" t="n"/>
      <c r="AK408" s="411" t="inlineStr">
        <is>
          <t xml:space="preserve">MO-TO-MO LEASES; INCLUDES PARCEL -018; YOC'S AS OLD AS 1885.      </t>
        </is>
      </c>
      <c r="AM408" s="605" t="n"/>
    </row>
    <row r="409" ht="12.75" customHeight="1" s="545">
      <c r="A409" s="388" t="n">
        <v>7</v>
      </c>
      <c r="B409" s="605" t="n">
        <v>402</v>
      </c>
      <c r="C409" s="384" t="inlineStr">
        <is>
          <t>2011Q</t>
        </is>
      </c>
      <c r="D409" s="605" t="inlineStr">
        <is>
          <t xml:space="preserve">02275-12-015-000 </t>
        </is>
      </c>
      <c r="E409" s="407" t="inlineStr">
        <is>
          <t>Actual</t>
        </is>
      </c>
      <c r="F409" s="605" t="inlineStr">
        <is>
          <t>2975   WALNUT              ST</t>
        </is>
      </c>
      <c r="G409" s="378" t="n">
        <v>44.1</v>
      </c>
      <c r="H409" s="378" t="n">
        <v>9210</v>
      </c>
      <c r="I409" s="403" t="n">
        <v>0</v>
      </c>
      <c r="J409" s="404" t="n">
        <v>20196</v>
      </c>
      <c r="K409" s="408" t="n">
        <v>5.43850267379679</v>
      </c>
      <c r="L409" s="409" t="n">
        <v>0</v>
      </c>
      <c r="M409" s="409" t="n">
        <v>0.0782075093776175</v>
      </c>
      <c r="N409" s="378" t="n">
        <v>1973</v>
      </c>
      <c r="O409" s="393" t="n">
        <v>18501</v>
      </c>
      <c r="Q409" s="605" t="n">
        <v>20</v>
      </c>
      <c r="R409" s="605" t="n">
        <v>3</v>
      </c>
      <c r="S409" s="605" t="n">
        <v>1</v>
      </c>
      <c r="T409" s="403" t="inlineStr">
        <is>
          <t xml:space="preserve">I2   </t>
        </is>
      </c>
      <c r="U409" s="403" t="n">
        <v>398</v>
      </c>
      <c r="V409" s="404" t="n">
        <v>31287</v>
      </c>
      <c r="W409" s="404" t="n">
        <v>31000</v>
      </c>
      <c r="X409" s="410" t="inlineStr">
        <is>
          <t>1.5:1</t>
        </is>
      </c>
      <c r="Y409" s="404" t="n">
        <v>20000</v>
      </c>
      <c r="Z409" s="403" t="inlineStr">
        <is>
          <t xml:space="preserve">C </t>
        </is>
      </c>
      <c r="AC409" s="378" t="n"/>
      <c r="AD409" s="384" t="n"/>
      <c r="AE409" s="145" t="n"/>
      <c r="AF409" s="145" t="n"/>
      <c r="AG409" s="145" t="n"/>
      <c r="AH409" s="145" t="n"/>
      <c r="AI409" s="145" t="n"/>
      <c r="AJ409" s="145" t="n"/>
      <c r="AK409" s="411" t="n"/>
      <c r="AM409" s="605" t="n"/>
    </row>
    <row r="410" ht="12.75" customHeight="1" s="545">
      <c r="A410" s="388" t="n">
        <v>7</v>
      </c>
      <c r="B410" s="605" t="n">
        <v>403</v>
      </c>
      <c r="C410" s="384" t="inlineStr">
        <is>
          <t>2011Q</t>
        </is>
      </c>
      <c r="D410" s="605" t="inlineStr">
        <is>
          <t xml:space="preserve">02275-13-030-000 </t>
        </is>
      </c>
      <c r="E410" s="407" t="inlineStr">
        <is>
          <t>Actual</t>
        </is>
      </c>
      <c r="F410" s="605" t="inlineStr">
        <is>
          <t>2964   WALNUT              ST</t>
        </is>
      </c>
      <c r="G410" s="378" t="n">
        <v>44.1</v>
      </c>
      <c r="H410" s="378" t="n">
        <v>9210</v>
      </c>
      <c r="I410" s="403" t="n">
        <v>0</v>
      </c>
      <c r="J410" s="404" t="n">
        <v>3444</v>
      </c>
      <c r="K410" s="408" t="n">
        <v>2.27177700348432</v>
      </c>
      <c r="L410" s="409" t="n">
        <v>0</v>
      </c>
      <c r="M410" s="409" t="n">
        <v>0</v>
      </c>
      <c r="N410" s="378" t="n">
        <v>1958</v>
      </c>
      <c r="O410" s="393" t="n">
        <v>700</v>
      </c>
      <c r="Q410" s="605" t="n">
        <v>13</v>
      </c>
      <c r="R410" s="605" t="n">
        <v>7</v>
      </c>
      <c r="S410" s="605" t="n">
        <v>1</v>
      </c>
      <c r="T410" s="403" t="inlineStr">
        <is>
          <t xml:space="preserve">I2   </t>
        </is>
      </c>
      <c r="U410" s="403" t="n">
        <v>398</v>
      </c>
      <c r="V410" s="404" t="n">
        <v>15644</v>
      </c>
      <c r="W410" s="404" t="n">
        <v>16000</v>
      </c>
      <c r="X410" s="410" t="inlineStr">
        <is>
          <t>4.5:1</t>
        </is>
      </c>
      <c r="Y410" s="404" t="n">
        <v>3000</v>
      </c>
      <c r="Z410" s="403" t="inlineStr">
        <is>
          <t xml:space="preserve">C </t>
        </is>
      </c>
      <c r="AC410" s="378" t="n"/>
      <c r="AD410" s="384" t="inlineStr">
        <is>
          <t xml:space="preserve">S-W                 </t>
        </is>
      </c>
      <c r="AE410" s="145" t="n"/>
      <c r="AF410" s="145" t="n"/>
      <c r="AG410" s="145" t="n"/>
      <c r="AH410" s="145" t="n"/>
      <c r="AI410" s="145" t="n"/>
      <c r="AJ410" s="145" t="n"/>
      <c r="AK410" s="411" t="n"/>
      <c r="AM410" s="605" t="n"/>
    </row>
    <row r="411" ht="12.75" customHeight="1" s="545">
      <c r="A411" s="388" t="n">
        <v>7</v>
      </c>
      <c r="B411" s="605" t="n">
        <v>404</v>
      </c>
      <c r="C411" s="384" t="inlineStr">
        <is>
          <t>2011Q</t>
        </is>
      </c>
      <c r="D411" s="605" t="inlineStr">
        <is>
          <t xml:space="preserve">02275-14-021-000 </t>
        </is>
      </c>
      <c r="E411" s="407" t="inlineStr">
        <is>
          <t>Actual</t>
        </is>
      </c>
      <c r="F411" s="605" t="inlineStr">
        <is>
          <t>2860   WALNUT              ST</t>
        </is>
      </c>
      <c r="G411" s="378" t="n">
        <v>44.1</v>
      </c>
      <c r="H411" s="378" t="n">
        <v>9210</v>
      </c>
      <c r="I411" s="403" t="n">
        <v>0</v>
      </c>
      <c r="J411" s="404" t="n">
        <v>4141</v>
      </c>
      <c r="K411" s="408" t="n">
        <v>5.39000241487563</v>
      </c>
      <c r="L411" s="409" t="n">
        <v>0</v>
      </c>
      <c r="M411" s="409" t="n">
        <v>0.00465949820788531</v>
      </c>
      <c r="N411" s="378" t="n">
        <v>1937</v>
      </c>
      <c r="O411" s="393" t="n">
        <v>0</v>
      </c>
      <c r="Q411" s="605" t="n">
        <v>13</v>
      </c>
      <c r="R411" s="605" t="n">
        <v>3</v>
      </c>
      <c r="S411" s="605" t="n">
        <v>1</v>
      </c>
      <c r="T411" s="403" t="inlineStr">
        <is>
          <t xml:space="preserve">I2   </t>
        </is>
      </c>
      <c r="U411" s="403" t="n">
        <v>398</v>
      </c>
      <c r="V411" s="404" t="n">
        <v>12530</v>
      </c>
      <c r="W411" s="404" t="n">
        <v>13000</v>
      </c>
      <c r="X411" s="410" t="inlineStr">
        <is>
          <t>3.0:1</t>
        </is>
      </c>
      <c r="Y411" s="404" t="n">
        <v>4000</v>
      </c>
      <c r="Z411" s="403" t="inlineStr">
        <is>
          <t xml:space="preserve">C </t>
        </is>
      </c>
      <c r="AC411" s="378" t="n"/>
      <c r="AD411" s="384" t="inlineStr">
        <is>
          <t xml:space="preserve">S-W                 </t>
        </is>
      </c>
      <c r="AE411" s="145" t="n"/>
      <c r="AF411" s="145" t="n"/>
      <c r="AG411" s="145" t="n"/>
      <c r="AH411" s="145" t="n"/>
      <c r="AI411" s="145" t="n"/>
      <c r="AJ411" s="145" t="n"/>
      <c r="AK411" s="411" t="n"/>
      <c r="AM411" s="605" t="n"/>
    </row>
    <row r="412" ht="12.75" customHeight="1" s="545">
      <c r="A412" s="388" t="n">
        <v>7</v>
      </c>
      <c r="B412" s="605" t="n">
        <v>405</v>
      </c>
      <c r="C412" s="403" t="inlineStr">
        <is>
          <t>2011W</t>
        </is>
      </c>
      <c r="D412" s="605" t="inlineStr">
        <is>
          <t>02276-22-020-000</t>
        </is>
      </c>
      <c r="E412" s="403" t="inlineStr">
        <is>
          <t>Actual</t>
        </is>
      </c>
      <c r="F412" s="605" t="inlineStr">
        <is>
          <t>2728 Larimer</t>
        </is>
      </c>
      <c r="G412" s="412" t="inlineStr">
        <is>
          <t>42.1/44.1</t>
        </is>
      </c>
      <c r="H412" s="605" t="n">
        <v>9210</v>
      </c>
      <c r="I412" s="403" t="n">
        <v>0</v>
      </c>
      <c r="J412" s="393" t="n">
        <v>14766</v>
      </c>
      <c r="K412" s="154" t="n">
        <v>5.6</v>
      </c>
      <c r="L412" s="153" t="n">
        <v>0</v>
      </c>
      <c r="M412" s="153" t="n">
        <v>0.1</v>
      </c>
      <c r="N412" s="605" t="n">
        <v>1967</v>
      </c>
      <c r="O412" s="403" t="inlineStr">
        <is>
          <t>I1</t>
        </is>
      </c>
      <c r="P412" s="605" t="n">
        <v>401</v>
      </c>
      <c r="Q412" s="393" t="n">
        <v>21960</v>
      </c>
      <c r="R412" s="393">
        <f>MROUND(Q412,1000)</f>
        <v/>
      </c>
      <c r="S412" s="378" t="inlineStr">
        <is>
          <t>1.49:1</t>
        </is>
      </c>
      <c r="T412" s="393">
        <f>MROUND(J412,1000)</f>
        <v/>
      </c>
      <c r="U412" s="605" t="inlineStr">
        <is>
          <t>B</t>
        </is>
      </c>
      <c r="V412" s="605" t="n">
        <v>3</v>
      </c>
      <c r="W412" s="605" t="n">
        <v>3</v>
      </c>
      <c r="X412" s="605" t="n">
        <v>33</v>
      </c>
      <c r="Z412" s="377" t="n"/>
      <c r="AA412" s="413" t="n"/>
      <c r="AB412" s="413" t="n"/>
      <c r="AC412" s="377" t="n"/>
      <c r="AD412" s="413" t="n"/>
      <c r="AE412" s="377" t="n"/>
      <c r="AH412" s="145" t="n"/>
      <c r="AI412" s="145" t="n"/>
      <c r="AJ412" s="145" t="n"/>
      <c r="AK412" s="145" t="n"/>
      <c r="AL412" s="605">
        <f>IF(AND(ISNUMBER($S412),$S412&gt;0,ISNUMBER($K412),ISNUMBER($J412)),($K412*$J412)/$S412,"")</f>
        <v/>
      </c>
    </row>
    <row r="413" ht="12.75" customHeight="1" s="545">
      <c r="A413" s="388" t="n">
        <v>7</v>
      </c>
      <c r="B413" s="605" t="n">
        <v>406</v>
      </c>
      <c r="C413" s="384" t="inlineStr">
        <is>
          <t>2011Q</t>
        </is>
      </c>
      <c r="D413" s="605" t="inlineStr">
        <is>
          <t xml:space="preserve">02277-00-010-000 </t>
        </is>
      </c>
      <c r="E413" s="407" t="inlineStr">
        <is>
          <t>Actual</t>
        </is>
      </c>
      <c r="F413" s="605" t="inlineStr">
        <is>
          <t>2501   BLAKE               ST</t>
        </is>
      </c>
      <c r="G413" s="378" t="n">
        <v>44.1</v>
      </c>
      <c r="H413" s="378" t="n">
        <v>9202</v>
      </c>
      <c r="I413" s="403" t="n">
        <v>0</v>
      </c>
      <c r="J413" s="404" t="n">
        <v>28647</v>
      </c>
      <c r="K413" s="408" t="n">
        <v>15.4291897929975</v>
      </c>
      <c r="L413" s="409" t="n">
        <v>0</v>
      </c>
      <c r="M413" s="409" t="n">
        <v>0.009954751131221721</v>
      </c>
      <c r="N413" s="378" t="n">
        <v>1956</v>
      </c>
      <c r="O413" s="393" t="n">
        <v>0</v>
      </c>
      <c r="P413" s="393" t="n">
        <v>14952</v>
      </c>
      <c r="Q413" s="605" t="n">
        <v>22</v>
      </c>
      <c r="R413" s="605" t="n">
        <v>1</v>
      </c>
      <c r="S413" s="605" t="n">
        <v>1</v>
      </c>
      <c r="T413" s="403" t="inlineStr">
        <is>
          <t xml:space="preserve">I2   </t>
        </is>
      </c>
      <c r="U413" s="403" t="n">
        <v>398</v>
      </c>
      <c r="V413" s="404" t="n">
        <v>42092</v>
      </c>
      <c r="W413" s="404" t="n">
        <v>42000</v>
      </c>
      <c r="X413" s="410" t="inlineStr">
        <is>
          <t>1.5:1</t>
        </is>
      </c>
      <c r="Y413" s="404" t="n">
        <v>29000</v>
      </c>
      <c r="Z413" s="403" t="inlineStr">
        <is>
          <t xml:space="preserve">C </t>
        </is>
      </c>
      <c r="AC413" s="378" t="n"/>
      <c r="AD413" s="384" t="inlineStr">
        <is>
          <t xml:space="preserve">SPACES THAT WORK    </t>
        </is>
      </c>
      <c r="AE413" s="145" t="n"/>
      <c r="AF413" s="145" t="n"/>
      <c r="AG413" s="145" t="n"/>
      <c r="AH413" s="145" t="n"/>
      <c r="AI413" s="145" t="n"/>
      <c r="AJ413" s="145" t="n"/>
      <c r="AK413" s="411" t="inlineStr">
        <is>
          <t xml:space="preserve">2008 LEASE.                                                       </t>
        </is>
      </c>
      <c r="AM413" s="605" t="n"/>
    </row>
    <row r="414" ht="12.75" customHeight="1" s="545">
      <c r="A414" s="388" t="n">
        <v>7</v>
      </c>
      <c r="B414" s="605" t="n">
        <v>407</v>
      </c>
      <c r="C414" s="384" t="inlineStr">
        <is>
          <t>2011Q</t>
        </is>
      </c>
      <c r="D414" s="605" t="inlineStr">
        <is>
          <t xml:space="preserve">02281-03-008-000 </t>
        </is>
      </c>
      <c r="E414" s="407" t="inlineStr">
        <is>
          <t>Actual</t>
        </is>
      </c>
      <c r="F414" s="605" t="inlineStr">
        <is>
          <t>3725   JASON               ST</t>
        </is>
      </c>
      <c r="G414" s="392" t="n">
        <v>47.1</v>
      </c>
      <c r="H414" s="378" t="n">
        <v>9208</v>
      </c>
      <c r="I414" s="403" t="n">
        <v>0</v>
      </c>
      <c r="J414" s="404" t="n">
        <v>5760</v>
      </c>
      <c r="K414" s="408" t="n">
        <v>3.125</v>
      </c>
      <c r="L414" s="409" t="n">
        <v>0</v>
      </c>
      <c r="M414" s="409" t="n">
        <v>0</v>
      </c>
      <c r="N414" s="378" t="n">
        <v>1971</v>
      </c>
      <c r="O414" s="393" t="n">
        <v>992</v>
      </c>
      <c r="Q414" s="605" t="n">
        <v>15</v>
      </c>
      <c r="R414" s="605" t="n">
        <v>7</v>
      </c>
      <c r="S414" s="605" t="n">
        <v>1</v>
      </c>
      <c r="T414" s="403" t="inlineStr">
        <is>
          <t xml:space="preserve">I0   </t>
        </is>
      </c>
      <c r="U414" s="403" t="n">
        <v>401</v>
      </c>
      <c r="V414" s="404" t="n">
        <v>18750</v>
      </c>
      <c r="W414" s="404" t="n">
        <v>19000</v>
      </c>
      <c r="X414" s="410" t="inlineStr">
        <is>
          <t>3.3:1</t>
        </is>
      </c>
      <c r="Y414" s="404" t="n">
        <v>6000</v>
      </c>
      <c r="Z414" s="403" t="inlineStr">
        <is>
          <t xml:space="preserve">C </t>
        </is>
      </c>
      <c r="AC414" s="378" t="n"/>
      <c r="AD414" s="384" t="inlineStr">
        <is>
          <t xml:space="preserve">SILVER STATE FOODS  </t>
        </is>
      </c>
      <c r="AE414" s="145" t="n"/>
      <c r="AF414" s="145" t="n"/>
      <c r="AG414" s="145" t="n"/>
      <c r="AH414" s="145" t="n"/>
      <c r="AI414" s="145" t="n"/>
      <c r="AJ414" s="145" t="n"/>
      <c r="AK414" s="411" t="n"/>
      <c r="AM414" s="605" t="n"/>
    </row>
    <row r="415" ht="23.25" customHeight="1" s="545">
      <c r="A415" s="388" t="n">
        <v>7</v>
      </c>
      <c r="B415" s="605" t="n">
        <v>408</v>
      </c>
      <c r="C415" s="384" t="inlineStr">
        <is>
          <t>2011Q</t>
        </is>
      </c>
      <c r="D415" s="605" t="inlineStr">
        <is>
          <t xml:space="preserve">02281-04-010-000 </t>
        </is>
      </c>
      <c r="E415" s="407" t="inlineStr">
        <is>
          <t>Actual</t>
        </is>
      </c>
      <c r="F415" s="605" t="inlineStr">
        <is>
          <t>3737   KALAMATH            ST</t>
        </is>
      </c>
      <c r="G415" s="378" t="n">
        <v>44.1</v>
      </c>
      <c r="H415" s="378" t="n">
        <v>9208</v>
      </c>
      <c r="I415" s="403" t="n">
        <v>0</v>
      </c>
      <c r="J415" s="404" t="n">
        <v>3200</v>
      </c>
      <c r="K415" s="408" t="n">
        <v>12.65625</v>
      </c>
      <c r="L415" s="409" t="n">
        <v>0</v>
      </c>
      <c r="M415" s="409" t="n">
        <v>0</v>
      </c>
      <c r="N415" s="378" t="n">
        <v>1953</v>
      </c>
      <c r="O415" s="393" t="n">
        <v>180</v>
      </c>
      <c r="Q415" s="605" t="n">
        <v>14</v>
      </c>
      <c r="R415" s="605" t="n">
        <v>3</v>
      </c>
      <c r="S415" s="605" t="n">
        <v>1</v>
      </c>
      <c r="T415" s="403" t="inlineStr">
        <is>
          <t xml:space="preserve">B4   </t>
        </is>
      </c>
      <c r="U415" s="403" t="n">
        <v>398</v>
      </c>
      <c r="V415" s="404" t="n">
        <v>14062</v>
      </c>
      <c r="W415" s="404" t="n">
        <v>14000</v>
      </c>
      <c r="X415" s="410" t="inlineStr">
        <is>
          <t>4.4:1</t>
        </is>
      </c>
      <c r="Y415" s="404" t="n">
        <v>3000</v>
      </c>
      <c r="Z415" s="403" t="inlineStr">
        <is>
          <t xml:space="preserve">C </t>
        </is>
      </c>
      <c r="AC415" s="378" t="n"/>
      <c r="AD415" s="384" t="inlineStr">
        <is>
          <t xml:space="preserve">S-W                 </t>
        </is>
      </c>
      <c r="AE415" s="145" t="n"/>
      <c r="AF415" s="145" t="n"/>
      <c r="AG415" s="145" t="n"/>
      <c r="AH415" s="145" t="n"/>
      <c r="AI415" s="145" t="n"/>
      <c r="AJ415" s="145" t="n"/>
      <c r="AK415" s="411" t="inlineStr">
        <is>
          <t xml:space="preserve">LEASE COMMENCEMENT DATA UNKNOWN.                                  </t>
        </is>
      </c>
      <c r="AM415" s="605" t="n"/>
    </row>
    <row r="416" ht="12.75" customHeight="1" s="545">
      <c r="A416" s="388" t="n">
        <v>7</v>
      </c>
      <c r="B416" s="605" t="n">
        <v>409</v>
      </c>
      <c r="C416" s="384" t="inlineStr">
        <is>
          <t>2011Q</t>
        </is>
      </c>
      <c r="D416" s="605" t="inlineStr">
        <is>
          <t xml:space="preserve">02281-07-005-000 </t>
        </is>
      </c>
      <c r="E416" s="407" t="inlineStr">
        <is>
          <t>Actual</t>
        </is>
      </c>
      <c r="F416" s="605" t="inlineStr">
        <is>
          <t>3700   OSAGE               ST</t>
        </is>
      </c>
      <c r="G416" s="378" t="n">
        <v>44.1</v>
      </c>
      <c r="H416" s="378" t="n">
        <v>9208</v>
      </c>
      <c r="I416" s="403" t="n">
        <v>0</v>
      </c>
      <c r="J416" s="404" t="n">
        <v>5920</v>
      </c>
      <c r="K416" s="408" t="n">
        <v>8.108108108108111</v>
      </c>
      <c r="L416" s="409" t="n">
        <v>0</v>
      </c>
      <c r="M416" s="409" t="n">
        <v>0.075</v>
      </c>
      <c r="N416" s="378" t="n">
        <v>1904</v>
      </c>
      <c r="O416" s="393" t="n">
        <v>468</v>
      </c>
      <c r="P416" s="393" t="n">
        <v>1000</v>
      </c>
      <c r="Q416" s="605" t="n">
        <v>12</v>
      </c>
      <c r="R416" s="605" t="n">
        <v>1</v>
      </c>
      <c r="S416" s="605" t="n">
        <v>1</v>
      </c>
      <c r="T416" s="403" t="inlineStr">
        <is>
          <t xml:space="preserve">B2   </t>
        </is>
      </c>
      <c r="U416" s="403" t="n">
        <v>398</v>
      </c>
      <c r="V416" s="404" t="n">
        <v>6237</v>
      </c>
      <c r="W416" s="404" t="n">
        <v>6000</v>
      </c>
      <c r="X416" s="410" t="inlineStr">
        <is>
          <t>1.1:1</t>
        </is>
      </c>
      <c r="Y416" s="404" t="n">
        <v>6000</v>
      </c>
      <c r="Z416" s="403" t="inlineStr">
        <is>
          <t xml:space="preserve">C </t>
        </is>
      </c>
      <c r="AC416" s="378" t="n"/>
      <c r="AD416" s="384" t="n"/>
      <c r="AE416" s="145" t="n"/>
      <c r="AF416" s="145" t="n"/>
      <c r="AG416" s="145" t="n"/>
      <c r="AH416" s="145" t="n"/>
      <c r="AI416" s="145" t="n"/>
      <c r="AJ416" s="145" t="n"/>
      <c r="AK416" s="411" t="n"/>
      <c r="AM416" s="605" t="n"/>
    </row>
    <row r="417" ht="12.75" customHeight="1" s="545">
      <c r="A417" s="388" t="n">
        <v>7</v>
      </c>
      <c r="B417" s="605" t="n">
        <v>410</v>
      </c>
      <c r="C417" s="384" t="inlineStr">
        <is>
          <t>2011Q</t>
        </is>
      </c>
      <c r="D417" s="605" t="inlineStr">
        <is>
          <t xml:space="preserve">02281-27-013-000 </t>
        </is>
      </c>
      <c r="E417" s="407" t="inlineStr">
        <is>
          <t>Actual</t>
        </is>
      </c>
      <c r="F417" s="605" t="inlineStr">
        <is>
          <t>4400   MARIPOSA            ST</t>
        </is>
      </c>
      <c r="G417" s="378" t="n">
        <v>44.1</v>
      </c>
      <c r="H417" s="378" t="n">
        <v>9208</v>
      </c>
      <c r="I417" s="403" t="n">
        <v>0</v>
      </c>
      <c r="J417" s="404" t="n">
        <v>8142</v>
      </c>
      <c r="K417" s="408" t="n">
        <v>11.0537951363301</v>
      </c>
      <c r="L417" s="409" t="n">
        <v>0</v>
      </c>
      <c r="M417" s="409" t="n">
        <v>0.0277777777777778</v>
      </c>
      <c r="N417" s="378" t="n">
        <v>1966</v>
      </c>
      <c r="O417" s="393" t="n">
        <v>0</v>
      </c>
      <c r="P417" s="393" t="n">
        <v>6090</v>
      </c>
      <c r="Q417" s="605" t="n">
        <v>14</v>
      </c>
      <c r="R417" s="605" t="n">
        <v>3</v>
      </c>
      <c r="S417" s="605" t="n">
        <v>1</v>
      </c>
      <c r="T417" s="403" t="inlineStr">
        <is>
          <t xml:space="preserve">PRV  </t>
        </is>
      </c>
      <c r="U417" s="403" t="n">
        <v>398</v>
      </c>
      <c r="V417" s="404" t="n">
        <v>9375</v>
      </c>
      <c r="W417" s="404" t="n">
        <v>9000</v>
      </c>
      <c r="X417" s="410" t="inlineStr">
        <is>
          <t>1.2:1</t>
        </is>
      </c>
      <c r="Y417" s="404" t="n">
        <v>8000</v>
      </c>
      <c r="Z417" s="403" t="inlineStr">
        <is>
          <t xml:space="preserve">C </t>
        </is>
      </c>
      <c r="AC417" s="378" t="n"/>
      <c r="AD417" s="384" t="n"/>
      <c r="AE417" s="145" t="n"/>
      <c r="AF417" s="145" t="n"/>
      <c r="AG417" s="145" t="n"/>
      <c r="AH417" s="145" t="n"/>
      <c r="AI417" s="145" t="n"/>
      <c r="AJ417" s="145" t="n"/>
      <c r="AK417" s="411" t="n"/>
      <c r="AM417" s="605" t="n"/>
    </row>
    <row r="418" ht="12.75" customHeight="1" s="545">
      <c r="A418" s="388" t="n">
        <v>7</v>
      </c>
      <c r="B418" s="605" t="n">
        <v>411</v>
      </c>
      <c r="C418" s="384" t="inlineStr">
        <is>
          <t>2011Q</t>
        </is>
      </c>
      <c r="D418" s="605" t="inlineStr">
        <is>
          <t xml:space="preserve">02283-23-024-000 </t>
        </is>
      </c>
      <c r="E418" s="407" t="inlineStr">
        <is>
          <t>Actual</t>
        </is>
      </c>
      <c r="F418" s="605" t="inlineStr">
        <is>
          <t>2226 W 29TH                AV</t>
        </is>
      </c>
      <c r="G418" s="378" t="n">
        <v>44.1</v>
      </c>
      <c r="H418" s="378" t="n">
        <v>9208</v>
      </c>
      <c r="I418" s="403" t="n">
        <v>0</v>
      </c>
      <c r="J418" s="404" t="n">
        <v>1800</v>
      </c>
      <c r="K418" s="408" t="n">
        <v>5.33333333333333</v>
      </c>
      <c r="L418" s="409" t="n">
        <v>0</v>
      </c>
      <c r="M418" s="409" t="n">
        <v>0</v>
      </c>
      <c r="N418" s="378" t="n">
        <v>1972</v>
      </c>
      <c r="O418" s="393" t="n">
        <v>2148</v>
      </c>
      <c r="Q418" s="605" t="n">
        <v>12</v>
      </c>
      <c r="R418" s="605" t="n">
        <v>7</v>
      </c>
      <c r="S418" s="605" t="n">
        <v>1</v>
      </c>
      <c r="T418" s="403" t="inlineStr">
        <is>
          <t xml:space="preserve">PRV  </t>
        </is>
      </c>
      <c r="U418" s="403" t="n">
        <v>398</v>
      </c>
      <c r="V418" s="404" t="n">
        <v>18075</v>
      </c>
      <c r="W418" s="404" t="n">
        <v>18000</v>
      </c>
      <c r="X418" s="410" t="inlineStr">
        <is>
          <t>1.7:1</t>
        </is>
      </c>
      <c r="Y418" s="404" t="n">
        <v>2000</v>
      </c>
      <c r="Z418" s="403" t="inlineStr">
        <is>
          <t xml:space="preserve">C </t>
        </is>
      </c>
      <c r="AC418" s="378" t="n"/>
      <c r="AD418" s="384" t="n"/>
      <c r="AE418" s="145" t="n"/>
      <c r="AF418" s="145" t="n"/>
      <c r="AG418" s="145" t="n"/>
      <c r="AH418" s="145" t="n"/>
      <c r="AI418" s="145" t="n"/>
      <c r="AJ418" s="145" t="n"/>
      <c r="AK418" s="411" t="inlineStr">
        <is>
          <t xml:space="preserve">1800 SF LEASED OUT OF A 10,408 SF BLDG.                           </t>
        </is>
      </c>
      <c r="AM418" s="605" t="n"/>
    </row>
    <row r="419" ht="12.75" customHeight="1" s="545">
      <c r="A419" s="388" t="n">
        <v>7</v>
      </c>
      <c r="B419" s="605" t="n">
        <v>412</v>
      </c>
      <c r="C419" s="384" t="inlineStr">
        <is>
          <t>2011Q</t>
        </is>
      </c>
      <c r="D419" s="605" t="inlineStr">
        <is>
          <t xml:space="preserve">02342-28-021-000 </t>
        </is>
      </c>
      <c r="E419" s="407" t="inlineStr">
        <is>
          <t>Actual</t>
        </is>
      </c>
      <c r="F419" s="605" t="inlineStr">
        <is>
          <t>2258   CALIFORNIA          ST</t>
        </is>
      </c>
      <c r="G419" s="378" t="n">
        <v>44.1</v>
      </c>
      <c r="H419" s="378" t="n">
        <v>9202</v>
      </c>
      <c r="I419" s="403" t="n">
        <v>4</v>
      </c>
      <c r="J419" s="404" t="n">
        <v>1495</v>
      </c>
      <c r="K419" s="408" t="n">
        <v>24.0802675585284</v>
      </c>
      <c r="L419" s="409" t="n">
        <v>0</v>
      </c>
      <c r="M419" s="409" t="n">
        <v>0</v>
      </c>
      <c r="N419" s="378" t="n">
        <v>1955</v>
      </c>
      <c r="O419" s="393" t="n">
        <v>120</v>
      </c>
      <c r="Q419" s="605" t="n">
        <v>13</v>
      </c>
      <c r="R419" s="605" t="n">
        <v>1</v>
      </c>
      <c r="S419" s="605" t="n">
        <v>1</v>
      </c>
      <c r="T419" s="403" t="inlineStr">
        <is>
          <t xml:space="preserve">B8   </t>
        </is>
      </c>
      <c r="U419" s="403" t="n">
        <v>398</v>
      </c>
      <c r="V419" s="404" t="n">
        <v>6290</v>
      </c>
      <c r="W419" s="404" t="n">
        <v>6000</v>
      </c>
      <c r="X419" s="410" t="inlineStr">
        <is>
          <t>4.2:1</t>
        </is>
      </c>
      <c r="Y419" s="404" t="n">
        <v>1000</v>
      </c>
      <c r="Z419" s="403" t="inlineStr">
        <is>
          <t xml:space="preserve">C </t>
        </is>
      </c>
      <c r="AC419" s="378" t="n"/>
      <c r="AD419" s="384" t="inlineStr">
        <is>
          <t xml:space="preserve">S-W IDEAL RADIATOR  </t>
        </is>
      </c>
      <c r="AE419" s="145" t="n"/>
      <c r="AF419" s="145" t="n"/>
      <c r="AG419" s="145" t="n"/>
      <c r="AH419" s="145" t="n"/>
      <c r="AI419" s="145" t="n"/>
      <c r="AJ419" s="145" t="n"/>
      <c r="AK419" s="411" t="inlineStr">
        <is>
          <t xml:space="preserve">AGE OF LEASE UNKNOWN.                                             </t>
        </is>
      </c>
      <c r="AM419" s="605" t="n"/>
    </row>
    <row r="420" ht="12.75" customHeight="1" s="545">
      <c r="A420" s="388" t="n">
        <v>7</v>
      </c>
      <c r="B420" s="605" t="n">
        <v>413</v>
      </c>
      <c r="C420" s="384" t="inlineStr">
        <is>
          <t>2011Q</t>
        </is>
      </c>
      <c r="D420" s="605" t="inlineStr">
        <is>
          <t xml:space="preserve">02342-37-017-000 </t>
        </is>
      </c>
      <c r="E420" s="407" t="inlineStr">
        <is>
          <t>Actual</t>
        </is>
      </c>
      <c r="F420" s="605" t="inlineStr">
        <is>
          <t>2040   LAWRENCE            ST</t>
        </is>
      </c>
      <c r="G420" s="392" t="n">
        <v>47.2</v>
      </c>
      <c r="H420" s="378" t="n">
        <v>9202</v>
      </c>
      <c r="I420" s="403" t="n">
        <v>7</v>
      </c>
      <c r="J420" s="404" t="n">
        <v>5000</v>
      </c>
      <c r="K420" s="408" t="n">
        <v>8.880000000000001</v>
      </c>
      <c r="L420" s="409" t="n">
        <v>0</v>
      </c>
      <c r="M420" s="409" t="n">
        <v>0.027027027027027</v>
      </c>
      <c r="N420" s="378" t="n">
        <v>1957</v>
      </c>
      <c r="O420" s="393" t="n">
        <v>641</v>
      </c>
      <c r="Q420" s="605" t="n">
        <v>13</v>
      </c>
      <c r="R420" s="605" t="n">
        <v>3</v>
      </c>
      <c r="S420" s="605" t="n">
        <v>1</v>
      </c>
      <c r="T420" s="403" t="inlineStr">
        <is>
          <t xml:space="preserve">B8A  </t>
        </is>
      </c>
      <c r="U420" s="403" t="n">
        <v>401</v>
      </c>
      <c r="V420" s="404" t="n">
        <v>6270</v>
      </c>
      <c r="W420" s="404" t="n">
        <v>6000</v>
      </c>
      <c r="X420" s="410" t="inlineStr">
        <is>
          <t>1.3:1</t>
        </is>
      </c>
      <c r="Y420" s="404" t="n">
        <v>5000</v>
      </c>
      <c r="Z420" s="403" t="inlineStr">
        <is>
          <t xml:space="preserve">C </t>
        </is>
      </c>
      <c r="AC420" s="378" t="n"/>
      <c r="AD420" s="384" t="inlineStr">
        <is>
          <t xml:space="preserve">BUDGET BLUEPRINTS   </t>
        </is>
      </c>
      <c r="AE420" s="145" t="n"/>
      <c r="AF420" s="145" t="n"/>
      <c r="AG420" s="145" t="n"/>
      <c r="AH420" s="145" t="n"/>
      <c r="AI420" s="145" t="n"/>
      <c r="AJ420" s="145" t="n"/>
      <c r="AK420" s="411" t="inlineStr">
        <is>
          <t xml:space="preserve">2008 LEASE.                                                       </t>
        </is>
      </c>
      <c r="AM420" s="605" t="n"/>
    </row>
    <row r="421" ht="12.75" customHeight="1" s="545">
      <c r="A421" s="388" t="n">
        <v>7</v>
      </c>
      <c r="B421" s="605" t="n">
        <v>414</v>
      </c>
      <c r="C421" s="384" t="inlineStr">
        <is>
          <t>2011Q</t>
        </is>
      </c>
      <c r="D421" s="605" t="inlineStr">
        <is>
          <t xml:space="preserve">02342-38-014-000 </t>
        </is>
      </c>
      <c r="E421" s="407" t="inlineStr">
        <is>
          <t>Actual</t>
        </is>
      </c>
      <c r="F421" s="605" t="inlineStr">
        <is>
          <t>2063   CURTIS              ST</t>
        </is>
      </c>
      <c r="G421" s="378" t="n">
        <v>44.1</v>
      </c>
      <c r="H421" s="378" t="n">
        <v>9202</v>
      </c>
      <c r="I421" s="403" t="n">
        <v>7</v>
      </c>
      <c r="J421" s="404" t="n">
        <v>1300</v>
      </c>
      <c r="K421" s="408" t="n">
        <v>23.0769230769231</v>
      </c>
      <c r="L421" s="409" t="n">
        <v>0</v>
      </c>
      <c r="M421" s="409" t="n">
        <v>0.03</v>
      </c>
      <c r="N421" s="378" t="n">
        <v>1937</v>
      </c>
      <c r="O421" s="393" t="n">
        <v>0</v>
      </c>
      <c r="Q421" s="605" t="n">
        <v>12</v>
      </c>
      <c r="R421" s="605" t="n">
        <v>3</v>
      </c>
      <c r="S421" s="605" t="n">
        <v>1</v>
      </c>
      <c r="T421" s="403" t="inlineStr">
        <is>
          <t xml:space="preserve">B8A  </t>
        </is>
      </c>
      <c r="U421" s="403" t="n">
        <v>398</v>
      </c>
      <c r="V421" s="404" t="n">
        <v>6260</v>
      </c>
      <c r="W421" s="404" t="n">
        <v>6000</v>
      </c>
      <c r="X421" s="410" t="inlineStr">
        <is>
          <t>3.1:1</t>
        </is>
      </c>
      <c r="Y421" s="404" t="n">
        <v>1000</v>
      </c>
      <c r="Z421" s="403" t="inlineStr">
        <is>
          <t xml:space="preserve">C </t>
        </is>
      </c>
      <c r="AC421" s="378" t="n"/>
      <c r="AD421" s="384" t="inlineStr">
        <is>
          <t xml:space="preserve">S-W                 </t>
        </is>
      </c>
      <c r="AE421" s="145" t="n"/>
      <c r="AF421" s="145" t="n"/>
      <c r="AG421" s="145" t="n"/>
      <c r="AH421" s="145" t="n"/>
      <c r="AI421" s="145" t="n"/>
      <c r="AJ421" s="145" t="n"/>
      <c r="AK421" s="411" t="inlineStr">
        <is>
          <t xml:space="preserve">LEASE COMMENCEMENT UNKNOWN.                                       </t>
        </is>
      </c>
      <c r="AM421" s="605" t="n"/>
    </row>
    <row r="422" ht="25.5" customHeight="1" s="545">
      <c r="A422" s="388" t="n">
        <v>7</v>
      </c>
      <c r="B422" s="605" t="n">
        <v>415</v>
      </c>
      <c r="C422" s="384" t="inlineStr">
        <is>
          <t>2011Q</t>
        </is>
      </c>
      <c r="D422" s="605" t="inlineStr">
        <is>
          <t xml:space="preserve">05034-15-029-000 </t>
        </is>
      </c>
      <c r="E422" s="407" t="inlineStr">
        <is>
          <t>Actual</t>
        </is>
      </c>
      <c r="F422" s="605" t="inlineStr">
        <is>
          <t>1136 N SPEER               BV</t>
        </is>
      </c>
      <c r="G422" s="392" t="n">
        <v>44.2</v>
      </c>
      <c r="H422" s="378" t="n">
        <v>9503</v>
      </c>
      <c r="I422" s="403" t="n">
        <v>6</v>
      </c>
      <c r="J422" s="404" t="n">
        <v>1500</v>
      </c>
      <c r="K422" s="408" t="n">
        <v>12</v>
      </c>
      <c r="L422" s="409" t="n">
        <v>0</v>
      </c>
      <c r="M422" s="409" t="n">
        <v>0</v>
      </c>
      <c r="N422" s="378" t="n">
        <v>1947</v>
      </c>
      <c r="O422" s="393" t="n">
        <v>0</v>
      </c>
      <c r="Q422" s="605" t="n">
        <v>13</v>
      </c>
      <c r="R422" s="605" t="n">
        <v>3</v>
      </c>
      <c r="S422" s="605" t="n">
        <v>1</v>
      </c>
      <c r="T422" s="403" t="inlineStr">
        <is>
          <t xml:space="preserve">B8G  </t>
        </is>
      </c>
      <c r="U422" s="403" t="n">
        <v>398</v>
      </c>
      <c r="V422" s="404" t="n">
        <v>10315</v>
      </c>
      <c r="W422" s="404" t="n">
        <v>10000</v>
      </c>
      <c r="X422" s="410" t="inlineStr">
        <is>
          <t>1.3:1</t>
        </is>
      </c>
      <c r="Y422" s="404" t="n">
        <v>2000</v>
      </c>
      <c r="Z422" s="403" t="inlineStr">
        <is>
          <t xml:space="preserve">C </t>
        </is>
      </c>
      <c r="AC422" s="378" t="n"/>
      <c r="AD422" s="384" t="n"/>
      <c r="AE422" s="145" t="n"/>
      <c r="AF422" s="145" t="n"/>
      <c r="AG422" s="145" t="n"/>
      <c r="AH422" s="145" t="n"/>
      <c r="AI422" s="145" t="n"/>
      <c r="AJ422" s="145" t="n"/>
      <c r="AK422" s="411" t="inlineStr">
        <is>
          <t xml:space="preserve">1500 SF LEASED IN 8000 SF BLDG; LEASE COMMENCEMENT UNKNOWN        </t>
        </is>
      </c>
      <c r="AM422" s="605" t="n"/>
    </row>
    <row r="423" ht="12.75" customHeight="1" s="545">
      <c r="A423" s="388" t="n">
        <v>7</v>
      </c>
      <c r="B423" s="605" t="n">
        <v>416</v>
      </c>
      <c r="C423" s="384" t="inlineStr">
        <is>
          <t>2011Q</t>
        </is>
      </c>
      <c r="D423" s="605" t="inlineStr">
        <is>
          <t xml:space="preserve">05036-13-027-000 </t>
        </is>
      </c>
      <c r="E423" s="407" t="inlineStr">
        <is>
          <t>Actual</t>
        </is>
      </c>
      <c r="F423" s="605" t="inlineStr">
        <is>
          <t>855   INCA                ST</t>
        </is>
      </c>
      <c r="G423" s="392" t="n">
        <v>44.2</v>
      </c>
      <c r="H423" s="378" t="n">
        <v>9505</v>
      </c>
      <c r="I423" s="403" t="n">
        <v>0</v>
      </c>
      <c r="J423" s="404" t="n">
        <v>8389</v>
      </c>
      <c r="K423" s="408" t="n">
        <v>11.6581237334605</v>
      </c>
      <c r="L423" s="409" t="n">
        <v>0.27</v>
      </c>
      <c r="M423" s="409" t="n">
        <v>0.14821063394683</v>
      </c>
      <c r="N423" s="378" t="n">
        <v>1957</v>
      </c>
      <c r="O423" s="393" t="n">
        <v>1206</v>
      </c>
      <c r="Q423" s="605" t="n">
        <v>12</v>
      </c>
      <c r="R423" s="605" t="n">
        <v>3</v>
      </c>
      <c r="S423" s="605" t="n">
        <v>1</v>
      </c>
      <c r="T423" s="403" t="inlineStr">
        <is>
          <t xml:space="preserve">B4   </t>
        </is>
      </c>
      <c r="U423" s="403" t="n">
        <v>398</v>
      </c>
      <c r="V423" s="404" t="n">
        <v>10500</v>
      </c>
      <c r="W423" s="404" t="n">
        <v>11000</v>
      </c>
      <c r="X423" s="410" t="inlineStr">
        <is>
          <t>1.3:1</t>
        </is>
      </c>
      <c r="Y423" s="404" t="n">
        <v>8000</v>
      </c>
      <c r="Z423" s="403" t="inlineStr">
        <is>
          <t xml:space="preserve">C </t>
        </is>
      </c>
      <c r="AC423" s="378" t="n"/>
      <c r="AD423" s="384" t="inlineStr">
        <is>
          <t xml:space="preserve">GUARDIAN ANGELS     </t>
        </is>
      </c>
      <c r="AE423" s="145" t="n"/>
      <c r="AF423" s="145" t="n"/>
      <c r="AG423" s="145" t="n"/>
      <c r="AH423" s="145" t="n"/>
      <c r="AI423" s="145" t="n"/>
      <c r="AJ423" s="145" t="n"/>
      <c r="AK423" s="411" t="n"/>
      <c r="AM423" s="605" t="n"/>
    </row>
    <row r="424" ht="12.75" customHeight="1" s="545">
      <c r="A424" s="388" t="n">
        <v>7</v>
      </c>
      <c r="B424" s="605" t="n">
        <v>417</v>
      </c>
      <c r="C424" s="384" t="inlineStr">
        <is>
          <t>2011Q</t>
        </is>
      </c>
      <c r="D424" s="605" t="inlineStr">
        <is>
          <t xml:space="preserve">05039-09-024-000 </t>
        </is>
      </c>
      <c r="E424" s="407" t="inlineStr">
        <is>
          <t>Actual</t>
        </is>
      </c>
      <c r="F424" s="605" t="inlineStr">
        <is>
          <t>390 E 7TH                 AV</t>
        </is>
      </c>
      <c r="G424" s="378" t="n">
        <v>44.1</v>
      </c>
      <c r="H424" s="378" t="n">
        <v>9502</v>
      </c>
      <c r="I424" s="403" t="n">
        <v>0</v>
      </c>
      <c r="J424" s="404" t="n">
        <v>20217</v>
      </c>
      <c r="K424" s="408" t="n">
        <v>9.899985161003119</v>
      </c>
      <c r="L424" s="409" t="n">
        <v>0</v>
      </c>
      <c r="M424" s="409" t="n">
        <v>0</v>
      </c>
      <c r="N424" s="378" t="n">
        <v>1973</v>
      </c>
      <c r="O424" s="393" t="n">
        <v>2325</v>
      </c>
      <c r="Q424" s="605" t="n">
        <v>20</v>
      </c>
      <c r="R424" s="605" t="n">
        <v>1</v>
      </c>
      <c r="S424" s="605" t="n">
        <v>1</v>
      </c>
      <c r="T424" s="403" t="inlineStr">
        <is>
          <t xml:space="preserve">B2   </t>
        </is>
      </c>
      <c r="U424" s="403" t="n">
        <v>398</v>
      </c>
      <c r="V424" s="404" t="n">
        <v>37564</v>
      </c>
      <c r="W424" s="404" t="n">
        <v>38000</v>
      </c>
      <c r="X424" s="410" t="inlineStr">
        <is>
          <t>1.9:1</t>
        </is>
      </c>
      <c r="Y424" s="404" t="n">
        <v>20000</v>
      </c>
      <c r="Z424" s="403" t="inlineStr">
        <is>
          <t xml:space="preserve">C </t>
        </is>
      </c>
      <c r="AC424" s="378" t="n"/>
      <c r="AD424" s="384" t="n"/>
      <c r="AE424" s="145" t="n"/>
      <c r="AF424" s="145" t="n"/>
      <c r="AG424" s="145" t="n"/>
      <c r="AH424" s="145" t="n"/>
      <c r="AI424" s="145" t="n"/>
      <c r="AJ424" s="145" t="n"/>
      <c r="AK424" s="411" t="inlineStr">
        <is>
          <t xml:space="preserve">2008 LEASE.                                                       </t>
        </is>
      </c>
      <c r="AM424" s="605" t="n"/>
    </row>
    <row r="425" ht="12.75" customHeight="1" s="545">
      <c r="A425" s="388" t="n">
        <v>7</v>
      </c>
      <c r="B425" s="605" t="n">
        <v>418</v>
      </c>
      <c r="C425" s="384" t="inlineStr">
        <is>
          <t>2011Q</t>
        </is>
      </c>
      <c r="D425" s="605" t="inlineStr">
        <is>
          <t xml:space="preserve">05041-07-020-000 </t>
        </is>
      </c>
      <c r="E425" s="407" t="inlineStr">
        <is>
          <t>Actual</t>
        </is>
      </c>
      <c r="F425" s="605" t="inlineStr">
        <is>
          <t>1305   OSAGE               ST</t>
        </is>
      </c>
      <c r="G425" s="378" t="n">
        <v>44.1</v>
      </c>
      <c r="H425" s="378" t="n">
        <v>9505</v>
      </c>
      <c r="I425" s="403" t="n">
        <v>0</v>
      </c>
      <c r="J425" s="404" t="n">
        <v>10600</v>
      </c>
      <c r="K425" s="408" t="n">
        <v>8.490566037735849</v>
      </c>
      <c r="L425" s="409" t="n">
        <v>0</v>
      </c>
      <c r="M425" s="409" t="n">
        <v>0</v>
      </c>
      <c r="N425" s="378" t="n">
        <v>1966</v>
      </c>
      <c r="O425" s="393" t="n">
        <v>3480</v>
      </c>
      <c r="Q425" s="605" t="n">
        <v>13</v>
      </c>
      <c r="R425" s="605" t="n">
        <v>8</v>
      </c>
      <c r="S425" s="605" t="n">
        <v>1</v>
      </c>
      <c r="T425" s="403" t="inlineStr">
        <is>
          <t xml:space="preserve">I1   </t>
        </is>
      </c>
      <c r="U425" s="403" t="n">
        <v>397</v>
      </c>
      <c r="V425" s="404" t="n">
        <v>25019</v>
      </c>
      <c r="W425" s="404" t="n">
        <v>25000</v>
      </c>
      <c r="X425" s="410" t="inlineStr">
        <is>
          <t>2.4:1</t>
        </is>
      </c>
      <c r="Y425" s="404" t="n">
        <v>11000</v>
      </c>
      <c r="Z425" s="403" t="inlineStr">
        <is>
          <t xml:space="preserve">C </t>
        </is>
      </c>
      <c r="AC425" s="378" t="n"/>
      <c r="AD425" s="384" t="inlineStr">
        <is>
          <t xml:space="preserve">DIST-J-8 EQUIPMENT  </t>
        </is>
      </c>
      <c r="AE425" s="145" t="n"/>
      <c r="AF425" s="145" t="n"/>
      <c r="AG425" s="145" t="n"/>
      <c r="AH425" s="145" t="n"/>
      <c r="AI425" s="145" t="n"/>
      <c r="AJ425" s="145" t="n"/>
      <c r="AK425" s="411" t="n"/>
      <c r="AM425" s="605" t="n"/>
    </row>
    <row r="426" ht="12.75" customHeight="1" s="545">
      <c r="A426" s="388" t="n">
        <v>7</v>
      </c>
      <c r="B426" s="605" t="n">
        <v>419</v>
      </c>
      <c r="C426" s="384" t="inlineStr">
        <is>
          <t>2011Q</t>
        </is>
      </c>
      <c r="D426" s="605" t="inlineStr">
        <is>
          <t xml:space="preserve">05041-13-038-000 </t>
        </is>
      </c>
      <c r="E426" s="407" t="inlineStr">
        <is>
          <t>Actual</t>
        </is>
      </c>
      <c r="F426" s="605" t="inlineStr">
        <is>
          <t>1247   SANTA FE            DR</t>
        </is>
      </c>
      <c r="G426" s="378" t="n">
        <v>44.1</v>
      </c>
      <c r="H426" s="378" t="n">
        <v>9505</v>
      </c>
      <c r="I426" s="403" t="n">
        <v>3</v>
      </c>
      <c r="J426" s="404" t="n">
        <v>25080</v>
      </c>
      <c r="K426" s="408" t="n">
        <v>4.78468899521531</v>
      </c>
      <c r="L426" s="409" t="n">
        <v>0</v>
      </c>
      <c r="M426" s="409" t="n">
        <v>0</v>
      </c>
      <c r="N426" s="378" t="n">
        <v>1976</v>
      </c>
      <c r="O426" s="393" t="n">
        <v>0</v>
      </c>
      <c r="Q426" s="605" t="n">
        <v>13</v>
      </c>
      <c r="R426" s="605" t="n">
        <v>4</v>
      </c>
      <c r="S426" s="605" t="n">
        <v>1</v>
      </c>
      <c r="T426" s="403" t="inlineStr">
        <is>
          <t xml:space="preserve">B8   </t>
        </is>
      </c>
      <c r="U426" s="403" t="n">
        <v>398</v>
      </c>
      <c r="V426" s="404" t="n">
        <v>32900</v>
      </c>
      <c r="W426" s="404" t="n">
        <v>33000</v>
      </c>
      <c r="X426" s="410" t="inlineStr">
        <is>
          <t>1.3:1</t>
        </is>
      </c>
      <c r="Y426" s="404" t="n">
        <v>25000</v>
      </c>
      <c r="Z426" s="403" t="inlineStr">
        <is>
          <t xml:space="preserve">C </t>
        </is>
      </c>
      <c r="AC426" s="378" t="n"/>
      <c r="AD426" s="384" t="inlineStr">
        <is>
          <t xml:space="preserve">CIES SEXTON PHOTO   </t>
        </is>
      </c>
      <c r="AE426" s="145" t="n"/>
      <c r="AF426" s="145" t="n"/>
      <c r="AG426" s="145" t="n"/>
      <c r="AH426" s="145" t="n"/>
      <c r="AI426" s="145" t="n"/>
      <c r="AJ426" s="145" t="n"/>
      <c r="AK426" s="411" t="inlineStr">
        <is>
          <t xml:space="preserve">MO-TO-MO.                                                         </t>
        </is>
      </c>
      <c r="AM426" s="605" t="n"/>
    </row>
    <row r="427" ht="12.75" customHeight="1" s="545">
      <c r="A427" s="388" t="n">
        <v>7</v>
      </c>
      <c r="B427" s="605" t="n">
        <v>420</v>
      </c>
      <c r="C427" s="384" t="inlineStr">
        <is>
          <t>2011Q</t>
        </is>
      </c>
      <c r="D427" s="605" t="inlineStr">
        <is>
          <t xml:space="preserve">05042-01-047-000 </t>
        </is>
      </c>
      <c r="E427" s="407" t="inlineStr">
        <is>
          <t>Actual</t>
        </is>
      </c>
      <c r="F427" s="605" t="inlineStr">
        <is>
          <t>1801 W COLFAX              AV</t>
        </is>
      </c>
      <c r="G427" s="378" t="n">
        <v>44.1</v>
      </c>
      <c r="H427" s="378" t="n">
        <v>9505</v>
      </c>
      <c r="I427" s="403" t="n">
        <v>0</v>
      </c>
      <c r="J427" s="404" t="n">
        <v>3300</v>
      </c>
      <c r="K427" s="408" t="n">
        <v>5.45454545454545</v>
      </c>
      <c r="L427" s="409" t="n">
        <v>0</v>
      </c>
      <c r="M427" s="409" t="n">
        <v>0.192888888888889</v>
      </c>
      <c r="N427" s="378" t="n">
        <v>1953</v>
      </c>
      <c r="O427" s="393" t="n">
        <v>325</v>
      </c>
      <c r="Q427" s="605" t="n">
        <v>13</v>
      </c>
      <c r="R427" s="605" t="n">
        <v>6</v>
      </c>
      <c r="S427" s="605" t="n">
        <v>1</v>
      </c>
      <c r="T427" s="403" t="inlineStr">
        <is>
          <t xml:space="preserve">I2   </t>
        </is>
      </c>
      <c r="U427" s="403" t="n">
        <v>398</v>
      </c>
      <c r="V427" s="404" t="n">
        <v>25929</v>
      </c>
      <c r="W427" s="404" t="n">
        <v>26000</v>
      </c>
      <c r="X427" s="410" t="inlineStr">
        <is>
          <t>5.1:1</t>
        </is>
      </c>
      <c r="Y427" s="404" t="n">
        <v>3000</v>
      </c>
      <c r="Z427" s="403" t="inlineStr">
        <is>
          <t xml:space="preserve">C </t>
        </is>
      </c>
      <c r="AC427" s="378" t="n"/>
      <c r="AD427" s="384" t="n"/>
      <c r="AE427" s="145" t="n"/>
      <c r="AF427" s="145" t="n"/>
      <c r="AG427" s="145" t="n"/>
      <c r="AH427" s="145" t="n"/>
      <c r="AI427" s="145" t="n"/>
      <c r="AJ427" s="145" t="n"/>
      <c r="AK427" s="411" t="n"/>
      <c r="AM427" s="605" t="n"/>
    </row>
    <row r="428" ht="25.5" customHeight="1" s="545">
      <c r="A428" s="388" t="n">
        <v>7</v>
      </c>
      <c r="B428" s="605" t="n">
        <v>421</v>
      </c>
      <c r="C428" s="384" t="inlineStr">
        <is>
          <t>2011Q</t>
        </is>
      </c>
      <c r="D428" s="605" t="inlineStr">
        <is>
          <t xml:space="preserve">05042-10-047-000 </t>
        </is>
      </c>
      <c r="E428" s="407" t="inlineStr">
        <is>
          <t>Actual</t>
        </is>
      </c>
      <c r="F428" s="605" t="inlineStr">
        <is>
          <t>1950 W 14TH                AV</t>
        </is>
      </c>
      <c r="G428" s="392" t="n">
        <v>47.1</v>
      </c>
      <c r="H428" s="378" t="n">
        <v>9505</v>
      </c>
      <c r="I428" s="403" t="n">
        <v>0</v>
      </c>
      <c r="J428" s="404" t="n">
        <v>4848</v>
      </c>
      <c r="K428" s="408" t="n">
        <v>9.900990099009899</v>
      </c>
      <c r="L428" s="409" t="n">
        <v>0</v>
      </c>
      <c r="M428" s="409" t="n">
        <v>0</v>
      </c>
      <c r="N428" s="378" t="n">
        <v>1960</v>
      </c>
      <c r="O428" s="393" t="n">
        <v>1596</v>
      </c>
      <c r="Q428" s="605" t="n">
        <v>15</v>
      </c>
      <c r="R428" s="605" t="n">
        <v>3</v>
      </c>
      <c r="S428" s="605" t="n">
        <v>1</v>
      </c>
      <c r="T428" s="403" t="inlineStr">
        <is>
          <t xml:space="preserve">PRV  </t>
        </is>
      </c>
      <c r="U428" s="403" t="n">
        <v>401</v>
      </c>
      <c r="V428" s="404" t="n">
        <v>9940</v>
      </c>
      <c r="W428" s="404" t="n">
        <v>10000</v>
      </c>
      <c r="X428" s="410" t="inlineStr">
        <is>
          <t>2.1:1</t>
        </is>
      </c>
      <c r="Y428" s="404" t="n">
        <v>5000</v>
      </c>
      <c r="Z428" s="403" t="inlineStr">
        <is>
          <t xml:space="preserve">C </t>
        </is>
      </c>
      <c r="AC428" s="378" t="n"/>
      <c r="AD428" s="384" t="inlineStr">
        <is>
          <t xml:space="preserve">SIEGEL OIL          </t>
        </is>
      </c>
      <c r="AE428" s="145" t="n"/>
      <c r="AF428" s="145" t="n"/>
      <c r="AG428" s="145" t="n"/>
      <c r="AH428" s="145" t="n"/>
      <c r="AI428" s="145" t="n"/>
      <c r="AJ428" s="145" t="n"/>
      <c r="AK428" s="411" t="inlineStr">
        <is>
          <t xml:space="preserve">2008 &amp; 2010 LEASES - MAJOR PORTION IN 2008.                       </t>
        </is>
      </c>
      <c r="AM428" s="605" t="n"/>
    </row>
    <row r="429" ht="12.75" customHeight="1" s="545">
      <c r="A429" s="388" t="n">
        <v>7</v>
      </c>
      <c r="B429" s="605" t="n">
        <v>422</v>
      </c>
      <c r="C429" s="384" t="inlineStr">
        <is>
          <t>2011Q</t>
        </is>
      </c>
      <c r="D429" s="605" t="inlineStr">
        <is>
          <t xml:space="preserve">05042-14-011-000 </t>
        </is>
      </c>
      <c r="E429" s="407" t="inlineStr">
        <is>
          <t>Actual</t>
        </is>
      </c>
      <c r="F429" s="605" t="inlineStr">
        <is>
          <t>1945 W 13TH                AV</t>
        </is>
      </c>
      <c r="G429" s="392" t="n">
        <v>44.2</v>
      </c>
      <c r="H429" s="378" t="n">
        <v>9505</v>
      </c>
      <c r="I429" s="403" t="n">
        <v>0</v>
      </c>
      <c r="J429" s="404" t="n">
        <v>32231</v>
      </c>
      <c r="K429" s="408" t="n">
        <v>5.45288697216965</v>
      </c>
      <c r="L429" s="409" t="n">
        <v>0</v>
      </c>
      <c r="M429" s="409" t="n">
        <v>0.0524830442896809</v>
      </c>
      <c r="N429" s="378" t="n">
        <v>1972</v>
      </c>
      <c r="O429" s="393" t="n">
        <v>5413</v>
      </c>
      <c r="Q429" s="605" t="n">
        <v>24</v>
      </c>
      <c r="R429" s="605" t="n">
        <v>14</v>
      </c>
      <c r="S429" s="605" t="n">
        <v>3</v>
      </c>
      <c r="T429" s="403" t="inlineStr">
        <is>
          <t xml:space="preserve">I2   </t>
        </is>
      </c>
      <c r="U429" s="403" t="n">
        <v>398</v>
      </c>
      <c r="V429" s="404" t="n">
        <v>53550</v>
      </c>
      <c r="W429" s="404" t="n">
        <v>54000</v>
      </c>
      <c r="X429" s="410" t="inlineStr">
        <is>
          <t>1.7:1</t>
        </is>
      </c>
      <c r="Y429" s="404" t="n">
        <v>32000</v>
      </c>
      <c r="Z429" s="403" t="inlineStr">
        <is>
          <t xml:space="preserve">C </t>
        </is>
      </c>
      <c r="AC429" s="378" t="n"/>
      <c r="AD429" s="384" t="n"/>
      <c r="AE429" s="145" t="n"/>
      <c r="AF429" s="145" t="n"/>
      <c r="AG429" s="145" t="n"/>
      <c r="AH429" s="145" t="n"/>
      <c r="AI429" s="145" t="n"/>
      <c r="AJ429" s="145" t="n"/>
      <c r="AK429" s="411" t="inlineStr">
        <is>
          <t xml:space="preserve">LEASE COMMENCEMENT UNKNOWN.                                       </t>
        </is>
      </c>
      <c r="AM429" s="605" t="n"/>
    </row>
    <row r="430" ht="25.5" customHeight="1" s="545">
      <c r="A430" s="388" t="n">
        <v>7</v>
      </c>
      <c r="B430" s="605" t="n">
        <v>423</v>
      </c>
      <c r="C430" s="384" t="inlineStr">
        <is>
          <t>2011Q</t>
        </is>
      </c>
      <c r="D430" s="605" t="inlineStr">
        <is>
          <t xml:space="preserve">05042-18-014-000 </t>
        </is>
      </c>
      <c r="E430" s="407" t="inlineStr">
        <is>
          <t>Actual</t>
        </is>
      </c>
      <c r="F430" s="605" t="inlineStr">
        <is>
          <t>1201   PECOS               ST</t>
        </is>
      </c>
      <c r="G430" s="392" t="n">
        <v>47.1</v>
      </c>
      <c r="H430" s="378" t="n">
        <v>9505</v>
      </c>
      <c r="I430" s="403" t="n">
        <v>0</v>
      </c>
      <c r="J430" s="404" t="n">
        <v>5328</v>
      </c>
      <c r="K430" s="408" t="n">
        <v>3.37837837837838</v>
      </c>
      <c r="L430" s="409" t="n">
        <v>0</v>
      </c>
      <c r="M430" s="409" t="n">
        <v>0</v>
      </c>
      <c r="N430" s="378" t="n">
        <v>1952</v>
      </c>
      <c r="O430" s="393" t="n">
        <v>0</v>
      </c>
      <c r="Q430" s="605" t="n">
        <v>12</v>
      </c>
      <c r="R430" s="605" t="n">
        <v>1</v>
      </c>
      <c r="S430" s="605" t="n">
        <v>1</v>
      </c>
      <c r="T430" s="403" t="inlineStr">
        <is>
          <t xml:space="preserve">I2   </t>
        </is>
      </c>
      <c r="U430" s="403" t="n">
        <v>401</v>
      </c>
      <c r="V430" s="404" t="n">
        <v>10845</v>
      </c>
      <c r="W430" s="404" t="n">
        <v>11000</v>
      </c>
      <c r="X430" s="410" t="inlineStr">
        <is>
          <t>2.0:1</t>
        </is>
      </c>
      <c r="Y430" s="404" t="n">
        <v>5000</v>
      </c>
      <c r="Z430" s="403" t="inlineStr">
        <is>
          <t xml:space="preserve">C </t>
        </is>
      </c>
      <c r="AC430" s="378" t="n"/>
      <c r="AD430" s="384" t="n"/>
      <c r="AE430" s="145" t="n"/>
      <c r="AF430" s="145" t="n"/>
      <c r="AG430" s="145" t="n"/>
      <c r="AH430" s="145" t="n"/>
      <c r="AI430" s="145" t="n"/>
      <c r="AJ430" s="145" t="n"/>
      <c r="AK430" s="411" t="inlineStr">
        <is>
          <t xml:space="preserve">MO-TO-MO, COMMENCEMENT DATE UNKNOWN.                              </t>
        </is>
      </c>
      <c r="AM430" s="605" t="n"/>
    </row>
    <row r="431" ht="12.75" customHeight="1" s="545">
      <c r="A431" s="388" t="n">
        <v>7</v>
      </c>
      <c r="B431" s="605" t="n">
        <v>424</v>
      </c>
      <c r="C431" s="384" t="inlineStr">
        <is>
          <t>2011Q</t>
        </is>
      </c>
      <c r="D431" s="605" t="inlineStr">
        <is>
          <t xml:space="preserve">05043-31-018-000 </t>
        </is>
      </c>
      <c r="E431" s="407" t="inlineStr">
        <is>
          <t>Actual</t>
        </is>
      </c>
      <c r="F431" s="605" t="inlineStr">
        <is>
          <t>2050 W BARBERRY            PL</t>
        </is>
      </c>
      <c r="G431" s="378" t="n">
        <v>44.1</v>
      </c>
      <c r="H431" s="378" t="n">
        <v>9505</v>
      </c>
      <c r="I431" s="403" t="n">
        <v>0</v>
      </c>
      <c r="J431" s="404" t="n">
        <v>7350</v>
      </c>
      <c r="K431" s="408" t="n">
        <v>11.4285714285714</v>
      </c>
      <c r="L431" s="409" t="n">
        <v>0</v>
      </c>
      <c r="M431" s="409" t="n">
        <v>0</v>
      </c>
      <c r="N431" s="378" t="n">
        <v>1973</v>
      </c>
      <c r="O431" s="393" t="n">
        <v>1898</v>
      </c>
      <c r="Q431" s="605" t="n">
        <v>20</v>
      </c>
      <c r="R431" s="605" t="n">
        <v>3</v>
      </c>
      <c r="S431" s="605" t="n">
        <v>1</v>
      </c>
      <c r="T431" s="403" t="inlineStr">
        <is>
          <t xml:space="preserve">I2   </t>
        </is>
      </c>
      <c r="U431" s="403" t="n">
        <v>398</v>
      </c>
      <c r="V431" s="404" t="n">
        <v>12000</v>
      </c>
      <c r="W431" s="404" t="n">
        <v>12000</v>
      </c>
      <c r="X431" s="410" t="inlineStr">
        <is>
          <t>1.6:1</t>
        </is>
      </c>
      <c r="Y431" s="404" t="n">
        <v>7000</v>
      </c>
      <c r="Z431" s="403" t="inlineStr">
        <is>
          <t xml:space="preserve">C </t>
        </is>
      </c>
      <c r="AC431" s="378" t="n"/>
      <c r="AD431" s="384" t="n"/>
      <c r="AE431" s="145" t="n"/>
      <c r="AF431" s="145" t="n"/>
      <c r="AG431" s="145" t="n"/>
      <c r="AH431" s="145" t="n"/>
      <c r="AI431" s="145" t="n"/>
      <c r="AJ431" s="145" t="n"/>
      <c r="AK431" s="411" t="n"/>
      <c r="AM431" s="605" t="n"/>
    </row>
    <row r="432" ht="12.75" customHeight="1" s="545">
      <c r="A432" s="388" t="n">
        <v>7</v>
      </c>
      <c r="B432" s="605" t="n">
        <v>425</v>
      </c>
      <c r="C432" s="384" t="inlineStr">
        <is>
          <t>2011Q</t>
        </is>
      </c>
      <c r="D432" s="605" t="inlineStr">
        <is>
          <t xml:space="preserve">05043-38-001-000 </t>
        </is>
      </c>
      <c r="E432" s="407" t="inlineStr">
        <is>
          <t>Actual</t>
        </is>
      </c>
      <c r="F432" s="605" t="inlineStr">
        <is>
          <t>951   VALLEJO             ST</t>
        </is>
      </c>
      <c r="G432" s="378" t="n">
        <v>44.1</v>
      </c>
      <c r="H432" s="378" t="n">
        <v>9505</v>
      </c>
      <c r="I432" s="403" t="n">
        <v>0</v>
      </c>
      <c r="J432" s="404" t="n">
        <v>6035</v>
      </c>
      <c r="K432" s="408" t="n">
        <v>7.95360397680199</v>
      </c>
      <c r="L432" s="409" t="n">
        <v>0</v>
      </c>
      <c r="M432" s="409" t="n">
        <v>0.0835833333333333</v>
      </c>
      <c r="N432" s="378" t="n">
        <v>1963</v>
      </c>
      <c r="O432" s="393" t="n">
        <v>3240</v>
      </c>
      <c r="Q432" s="605" t="n">
        <v>14</v>
      </c>
      <c r="R432" s="605" t="n">
        <v>1</v>
      </c>
      <c r="S432" s="605" t="n">
        <v>2</v>
      </c>
      <c r="T432" s="403" t="inlineStr">
        <is>
          <t xml:space="preserve">I2   </t>
        </is>
      </c>
      <c r="U432" s="403" t="n">
        <v>398</v>
      </c>
      <c r="V432" s="404" t="n">
        <v>13219</v>
      </c>
      <c r="W432" s="404" t="n">
        <v>13000</v>
      </c>
      <c r="X432" s="410" t="inlineStr">
        <is>
          <t>2.2:1</t>
        </is>
      </c>
      <c r="Y432" s="404" t="n">
        <v>6000</v>
      </c>
      <c r="Z432" s="403" t="inlineStr">
        <is>
          <t xml:space="preserve">C </t>
        </is>
      </c>
      <c r="AC432" s="378" t="n"/>
      <c r="AD432" s="384" t="n"/>
      <c r="AE432" s="145" t="n"/>
      <c r="AF432" s="145" t="n"/>
      <c r="AG432" s="145" t="n"/>
      <c r="AH432" s="145" t="n"/>
      <c r="AI432" s="145" t="n"/>
      <c r="AJ432" s="145" t="n"/>
      <c r="AK432" s="411" t="n"/>
      <c r="AM432" s="605" t="n"/>
    </row>
    <row r="433" ht="12.75" customHeight="1" s="545">
      <c r="A433" s="388" t="n">
        <v>7</v>
      </c>
      <c r="B433" s="605" t="n">
        <v>426</v>
      </c>
      <c r="C433" s="384" t="inlineStr">
        <is>
          <t>2011Q</t>
        </is>
      </c>
      <c r="D433" s="605" t="inlineStr">
        <is>
          <t xml:space="preserve">05043-38-006-000 </t>
        </is>
      </c>
      <c r="E433" s="407" t="inlineStr">
        <is>
          <t>Actual</t>
        </is>
      </c>
      <c r="F433" s="605" t="inlineStr">
        <is>
          <t>2191 W 10TH                AV</t>
        </is>
      </c>
      <c r="G433" s="378" t="n">
        <v>44.1</v>
      </c>
      <c r="H433" s="378" t="n">
        <v>9505</v>
      </c>
      <c r="I433" s="403" t="n">
        <v>0</v>
      </c>
      <c r="J433" s="404" t="n">
        <v>6792</v>
      </c>
      <c r="K433" s="408" t="n">
        <v>5.65842167255595</v>
      </c>
      <c r="L433" s="409" t="n">
        <v>0</v>
      </c>
      <c r="M433" s="409" t="n">
        <v>0.0442339716902581</v>
      </c>
      <c r="N433" s="378" t="n">
        <v>1964</v>
      </c>
      <c r="O433" s="393" t="n">
        <v>2199</v>
      </c>
      <c r="Q433" s="605" t="n">
        <v>14</v>
      </c>
      <c r="R433" s="605" t="n">
        <v>1</v>
      </c>
      <c r="S433" s="605" t="n">
        <v>1</v>
      </c>
      <c r="T433" s="403" t="inlineStr">
        <is>
          <t xml:space="preserve">I2   </t>
        </is>
      </c>
      <c r="U433" s="403" t="n">
        <v>398</v>
      </c>
      <c r="V433" s="404" t="n">
        <v>17819</v>
      </c>
      <c r="W433" s="404" t="n">
        <v>18000</v>
      </c>
      <c r="X433" s="410" t="inlineStr">
        <is>
          <t>2.6:1</t>
        </is>
      </c>
      <c r="Y433" s="404" t="n">
        <v>7000</v>
      </c>
      <c r="Z433" s="403" t="inlineStr">
        <is>
          <t xml:space="preserve">C </t>
        </is>
      </c>
      <c r="AC433" s="378" t="n"/>
      <c r="AD433" s="384" t="inlineStr">
        <is>
          <t xml:space="preserve">ELECTRI-SERVE       </t>
        </is>
      </c>
      <c r="AE433" s="145" t="n"/>
      <c r="AF433" s="145" t="n"/>
      <c r="AG433" s="145" t="n"/>
      <c r="AH433" s="145" t="n"/>
      <c r="AI433" s="145" t="n"/>
      <c r="AJ433" s="145" t="n"/>
      <c r="AK433" s="411" t="n"/>
      <c r="AM433" s="605" t="n"/>
    </row>
    <row r="434" ht="12.75" customHeight="1" s="545">
      <c r="A434" s="388" t="n">
        <v>7</v>
      </c>
      <c r="B434" s="605" t="n">
        <v>427</v>
      </c>
      <c r="C434" s="384" t="inlineStr">
        <is>
          <t>2011Q</t>
        </is>
      </c>
      <c r="D434" s="605" t="inlineStr">
        <is>
          <t xml:space="preserve">05044-17-007-000 </t>
        </is>
      </c>
      <c r="E434" s="407" t="inlineStr">
        <is>
          <t>Actual</t>
        </is>
      </c>
      <c r="F434" s="605" t="inlineStr">
        <is>
          <t>845   NAVAJO              ST</t>
        </is>
      </c>
      <c r="G434" s="378" t="n">
        <v>44.1</v>
      </c>
      <c r="H434" s="378" t="n">
        <v>9505</v>
      </c>
      <c r="I434" s="403" t="n">
        <v>0</v>
      </c>
      <c r="J434" s="404" t="n">
        <v>5580</v>
      </c>
      <c r="K434" s="408" t="n">
        <v>11.8279569892473</v>
      </c>
      <c r="L434" s="409" t="n">
        <v>0</v>
      </c>
      <c r="M434" s="409" t="n">
        <v>0</v>
      </c>
      <c r="N434" s="378" t="n">
        <v>1965</v>
      </c>
      <c r="O434" s="393" t="n">
        <v>2737</v>
      </c>
      <c r="Q434" s="605" t="n">
        <v>15</v>
      </c>
      <c r="R434" s="605" t="n">
        <v>3</v>
      </c>
      <c r="S434" s="605" t="n">
        <v>1</v>
      </c>
      <c r="T434" s="403" t="inlineStr">
        <is>
          <t xml:space="preserve">I1   </t>
        </is>
      </c>
      <c r="U434" s="403" t="n">
        <v>398</v>
      </c>
      <c r="V434" s="404" t="n">
        <v>8800</v>
      </c>
      <c r="W434" s="404" t="n">
        <v>9000</v>
      </c>
      <c r="X434" s="410" t="inlineStr">
        <is>
          <t>1.6:1</t>
        </is>
      </c>
      <c r="Y434" s="404" t="n">
        <v>6000</v>
      </c>
      <c r="Z434" s="403" t="inlineStr">
        <is>
          <t xml:space="preserve">C </t>
        </is>
      </c>
      <c r="AC434" s="378" t="n"/>
      <c r="AD434" s="384" t="n"/>
      <c r="AE434" s="145" t="n"/>
      <c r="AF434" s="145" t="n"/>
      <c r="AG434" s="145" t="n"/>
      <c r="AH434" s="145" t="n"/>
      <c r="AI434" s="145" t="n"/>
      <c r="AJ434" s="145" t="n"/>
      <c r="AK434" s="411" t="n"/>
      <c r="AM434" s="605" t="n"/>
    </row>
    <row r="435" ht="25.5" customHeight="1" s="545">
      <c r="A435" s="388" t="n">
        <v>7</v>
      </c>
      <c r="B435" s="605" t="n">
        <v>428</v>
      </c>
      <c r="C435" s="384" t="inlineStr">
        <is>
          <t>2011Q</t>
        </is>
      </c>
      <c r="D435" s="605" t="inlineStr">
        <is>
          <t xml:space="preserve">05052-19-002-000 </t>
        </is>
      </c>
      <c r="E435" s="407" t="inlineStr">
        <is>
          <t>Actual</t>
        </is>
      </c>
      <c r="F435" s="605" t="inlineStr">
        <is>
          <t>3101 W 14TH                AV</t>
        </is>
      </c>
      <c r="G435" s="378" t="n">
        <v>44.1</v>
      </c>
      <c r="H435" s="378" t="n">
        <v>9508</v>
      </c>
      <c r="I435" s="403" t="n">
        <v>0</v>
      </c>
      <c r="J435" s="404" t="n">
        <v>5000</v>
      </c>
      <c r="K435" s="408" t="n">
        <v>5.475</v>
      </c>
      <c r="L435" s="409" t="n">
        <v>0</v>
      </c>
      <c r="M435" s="409" t="n">
        <v>0</v>
      </c>
      <c r="N435" s="378" t="n">
        <v>1972</v>
      </c>
      <c r="O435" s="393" t="n">
        <v>1600</v>
      </c>
      <c r="Q435" s="605" t="n">
        <v>11</v>
      </c>
      <c r="R435" s="605" t="n">
        <v>8</v>
      </c>
      <c r="S435" s="605" t="n">
        <v>1</v>
      </c>
      <c r="T435" s="403" t="inlineStr">
        <is>
          <t xml:space="preserve">B4   </t>
        </is>
      </c>
      <c r="U435" s="403" t="n">
        <v>398</v>
      </c>
      <c r="V435" s="404" t="n">
        <v>17464</v>
      </c>
      <c r="W435" s="404" t="n">
        <v>17000</v>
      </c>
      <c r="X435" s="410" t="inlineStr">
        <is>
          <t>3.5:1</t>
        </is>
      </c>
      <c r="Y435" s="404" t="n">
        <v>5000</v>
      </c>
      <c r="Z435" s="403" t="inlineStr">
        <is>
          <t xml:space="preserve">C </t>
        </is>
      </c>
      <c r="AC435" s="378" t="n"/>
      <c r="AD435" s="384" t="inlineStr">
        <is>
          <t xml:space="preserve">MENTAL HEALTH SERV  </t>
        </is>
      </c>
      <c r="AE435" s="145" t="n"/>
      <c r="AF435" s="145" t="n"/>
      <c r="AG435" s="145" t="n"/>
      <c r="AH435" s="145" t="n"/>
      <c r="AI435" s="145" t="n"/>
      <c r="AJ435" s="145" t="n"/>
      <c r="AK435" s="411" t="inlineStr">
        <is>
          <t xml:space="preserve">DATE OF LEASE COMMENCEMENT UNKNOWN.                               </t>
        </is>
      </c>
      <c r="AM435" s="605" t="n"/>
    </row>
    <row r="436" ht="25.5" customHeight="1" s="545">
      <c r="A436" s="388" t="n">
        <v>7</v>
      </c>
      <c r="B436" s="605" t="n">
        <v>429</v>
      </c>
      <c r="C436" s="384" t="inlineStr">
        <is>
          <t>2011Q</t>
        </is>
      </c>
      <c r="D436" s="605" t="inlineStr">
        <is>
          <t xml:space="preserve">05053-17-030-000 </t>
        </is>
      </c>
      <c r="E436" s="407" t="inlineStr">
        <is>
          <t>Actual</t>
        </is>
      </c>
      <c r="F436" s="605" t="inlineStr">
        <is>
          <t>947   FEDERAL             BV</t>
        </is>
      </c>
      <c r="G436" s="378" t="n">
        <v>44.1</v>
      </c>
      <c r="H436" s="378" t="n">
        <v>9508</v>
      </c>
      <c r="I436" s="403" t="n">
        <v>6</v>
      </c>
      <c r="J436" s="404" t="n">
        <v>4800</v>
      </c>
      <c r="K436" s="408" t="n">
        <v>7</v>
      </c>
      <c r="L436" s="409" t="n">
        <v>0</v>
      </c>
      <c r="M436" s="409" t="n">
        <v>0.09910714285714289</v>
      </c>
      <c r="N436" s="378" t="n">
        <v>1985</v>
      </c>
      <c r="O436" s="393" t="n">
        <v>2850</v>
      </c>
      <c r="Q436" s="605" t="n">
        <v>13</v>
      </c>
      <c r="R436" s="605" t="n">
        <v>3</v>
      </c>
      <c r="S436" s="605" t="n">
        <v>1</v>
      </c>
      <c r="T436" s="403" t="inlineStr">
        <is>
          <t xml:space="preserve">B4   </t>
        </is>
      </c>
      <c r="U436" s="403" t="n">
        <v>398</v>
      </c>
      <c r="V436" s="404" t="n">
        <v>12500</v>
      </c>
      <c r="W436" s="404" t="n">
        <v>13000</v>
      </c>
      <c r="X436" s="410" t="inlineStr">
        <is>
          <t>2.6:1</t>
        </is>
      </c>
      <c r="Y436" s="404" t="n">
        <v>5000</v>
      </c>
      <c r="Z436" s="403" t="inlineStr">
        <is>
          <t xml:space="preserve">C </t>
        </is>
      </c>
      <c r="AC436" s="378" t="n"/>
      <c r="AD436" s="384" t="inlineStr">
        <is>
          <t xml:space="preserve">S-O TELEVUE TV/VCR  </t>
        </is>
      </c>
      <c r="AE436" s="145" t="n"/>
      <c r="AF436" s="145" t="n"/>
      <c r="AG436" s="145" t="n"/>
      <c r="AH436" s="145" t="n"/>
      <c r="AI436" s="145" t="n"/>
      <c r="AJ436" s="145" t="n"/>
      <c r="AK436" s="411" t="inlineStr">
        <is>
          <t xml:space="preserve">MO-TO-MO LEASE; COMMENCEMENT DATA UNKNOWN.                        </t>
        </is>
      </c>
      <c r="AM436" s="605" t="n"/>
    </row>
    <row r="437" ht="12.75" customHeight="1" s="545">
      <c r="A437" s="388" t="n">
        <v>7</v>
      </c>
      <c r="B437" s="605" t="n">
        <v>430</v>
      </c>
      <c r="C437" s="384" t="inlineStr">
        <is>
          <t>2011Q</t>
        </is>
      </c>
      <c r="D437" s="605" t="inlineStr">
        <is>
          <t xml:space="preserve">05054-21-033-000 </t>
        </is>
      </c>
      <c r="E437" s="407" t="inlineStr">
        <is>
          <t>Actual</t>
        </is>
      </c>
      <c r="F437" s="605" t="inlineStr">
        <is>
          <t>2727 W BARBERRY            PL</t>
        </is>
      </c>
      <c r="G437" s="392" t="n">
        <v>44.2</v>
      </c>
      <c r="H437" s="378" t="n">
        <v>9508</v>
      </c>
      <c r="I437" s="403" t="n">
        <v>0</v>
      </c>
      <c r="J437" s="404" t="n">
        <v>17672</v>
      </c>
      <c r="K437" s="408" t="n">
        <v>7.46995246717972</v>
      </c>
      <c r="L437" s="409" t="n">
        <v>0</v>
      </c>
      <c r="M437" s="409" t="n">
        <v>0</v>
      </c>
      <c r="N437" s="378" t="n">
        <v>1968</v>
      </c>
      <c r="O437" s="393" t="n">
        <v>2000</v>
      </c>
      <c r="Q437" s="605" t="n">
        <v>12</v>
      </c>
      <c r="R437" s="605" t="n">
        <v>1</v>
      </c>
      <c r="S437" s="605" t="n">
        <v>1</v>
      </c>
      <c r="T437" s="403" t="inlineStr">
        <is>
          <t xml:space="preserve">I1   </t>
        </is>
      </c>
      <c r="U437" s="403" t="n">
        <v>398</v>
      </c>
      <c r="V437" s="404" t="n">
        <v>30200</v>
      </c>
      <c r="W437" s="404" t="n">
        <v>30000</v>
      </c>
      <c r="X437" s="410" t="inlineStr">
        <is>
          <t>1.7:1</t>
        </is>
      </c>
      <c r="Y437" s="404" t="n">
        <v>18000</v>
      </c>
      <c r="Z437" s="403" t="inlineStr">
        <is>
          <t xml:space="preserve">C </t>
        </is>
      </c>
      <c r="AC437" s="378" t="n"/>
      <c r="AD437" s="384" t="inlineStr">
        <is>
          <t xml:space="preserve">GRANDMA'S PASTA     </t>
        </is>
      </c>
      <c r="AE437" s="145" t="n"/>
      <c r="AF437" s="145" t="n"/>
      <c r="AG437" s="145" t="n"/>
      <c r="AH437" s="145" t="n"/>
      <c r="AI437" s="145" t="n"/>
      <c r="AJ437" s="145" t="n"/>
      <c r="AK437" s="411" t="n"/>
      <c r="AM437" s="605" t="n"/>
    </row>
    <row r="438" ht="12.75" customHeight="1" s="545">
      <c r="A438" s="388" t="n">
        <v>7</v>
      </c>
      <c r="B438" s="605" t="n">
        <v>431</v>
      </c>
      <c r="C438" s="384" t="inlineStr">
        <is>
          <t>2011Q</t>
        </is>
      </c>
      <c r="D438" s="605" t="inlineStr">
        <is>
          <t xml:space="preserve">05054-24-003-000 </t>
        </is>
      </c>
      <c r="E438" s="407" t="inlineStr">
        <is>
          <t>Actual</t>
        </is>
      </c>
      <c r="F438" s="605" t="inlineStr">
        <is>
          <t>2720 W BARBERRY            PL</t>
        </is>
      </c>
      <c r="G438" s="392" t="n">
        <v>47.1</v>
      </c>
      <c r="H438" s="378" t="n">
        <v>9508</v>
      </c>
      <c r="I438" s="403" t="n">
        <v>0</v>
      </c>
      <c r="J438" s="404" t="n">
        <v>4970</v>
      </c>
      <c r="K438" s="408" t="n">
        <v>8.27203219315895</v>
      </c>
      <c r="L438" s="409" t="n">
        <v>0</v>
      </c>
      <c r="M438" s="409" t="n">
        <v>0</v>
      </c>
      <c r="N438" s="378" t="n">
        <v>1962</v>
      </c>
      <c r="O438" s="393" t="n">
        <v>150</v>
      </c>
      <c r="Q438" s="605" t="n">
        <v>12</v>
      </c>
      <c r="R438" s="605" t="n">
        <v>3</v>
      </c>
      <c r="S438" s="605" t="n">
        <v>1</v>
      </c>
      <c r="T438" s="403" t="inlineStr">
        <is>
          <t xml:space="preserve">I1   </t>
        </is>
      </c>
      <c r="U438" s="403" t="n">
        <v>401</v>
      </c>
      <c r="V438" s="404" t="n">
        <v>7000</v>
      </c>
      <c r="W438" s="404" t="n">
        <v>7000</v>
      </c>
      <c r="X438" s="410" t="inlineStr">
        <is>
          <t>1.4:1</t>
        </is>
      </c>
      <c r="Y438" s="404" t="n">
        <v>5000</v>
      </c>
      <c r="Z438" s="403" t="inlineStr">
        <is>
          <t xml:space="preserve">C </t>
        </is>
      </c>
      <c r="AC438" s="378" t="n"/>
      <c r="AD438" s="384" t="n"/>
      <c r="AE438" s="145" t="n"/>
      <c r="AF438" s="145" t="n"/>
      <c r="AG438" s="145" t="n"/>
      <c r="AH438" s="145" t="n"/>
      <c r="AI438" s="145" t="n"/>
      <c r="AJ438" s="145" t="n"/>
      <c r="AK438" s="411" t="n"/>
      <c r="AM438" s="605" t="n"/>
    </row>
    <row r="439" ht="12.75" customHeight="1" s="545">
      <c r="A439" s="388" t="n">
        <v>7</v>
      </c>
      <c r="B439" s="605" t="n">
        <v>432</v>
      </c>
      <c r="C439" s="384" t="inlineStr">
        <is>
          <t>2011Q</t>
        </is>
      </c>
      <c r="D439" s="605" t="inlineStr">
        <is>
          <t xml:space="preserve">05054-24-012-000 </t>
        </is>
      </c>
      <c r="E439" s="407" t="inlineStr">
        <is>
          <t>Actual</t>
        </is>
      </c>
      <c r="F439" s="605" t="inlineStr">
        <is>
          <t>2701 W 8TH                 AV</t>
        </is>
      </c>
      <c r="G439" s="392" t="n">
        <v>44.2</v>
      </c>
      <c r="H439" s="378" t="n">
        <v>9508</v>
      </c>
      <c r="I439" s="403" t="n">
        <v>0</v>
      </c>
      <c r="J439" s="404" t="n">
        <v>9909</v>
      </c>
      <c r="K439" s="408" t="n">
        <v>5.49994954082148</v>
      </c>
      <c r="L439" s="409" t="n">
        <v>0</v>
      </c>
      <c r="M439" s="409" t="n">
        <v>0</v>
      </c>
      <c r="N439" s="378" t="n">
        <v>1999</v>
      </c>
      <c r="O439" s="393" t="n">
        <v>51</v>
      </c>
      <c r="Q439" s="605" t="n">
        <v>24</v>
      </c>
      <c r="R439" s="605" t="n">
        <v>3</v>
      </c>
      <c r="S439" s="605" t="n">
        <v>1</v>
      </c>
      <c r="T439" s="403" t="inlineStr">
        <is>
          <t xml:space="preserve">I1   </t>
        </is>
      </c>
      <c r="U439" s="403" t="n">
        <v>398</v>
      </c>
      <c r="V439" s="404" t="n">
        <v>17500</v>
      </c>
      <c r="W439" s="404" t="n">
        <v>18000</v>
      </c>
      <c r="X439" s="410" t="inlineStr">
        <is>
          <t>1.8:1</t>
        </is>
      </c>
      <c r="Y439" s="404" t="n">
        <v>10000</v>
      </c>
      <c r="Z439" s="403" t="inlineStr">
        <is>
          <t xml:space="preserve">C </t>
        </is>
      </c>
      <c r="AC439" s="378" t="n"/>
      <c r="AD439" s="384" t="inlineStr">
        <is>
          <t xml:space="preserve">SINGLE TENANT WHSE  </t>
        </is>
      </c>
      <c r="AE439" s="145" t="n"/>
      <c r="AF439" s="145" t="n"/>
      <c r="AG439" s="145" t="n"/>
      <c r="AH439" s="145" t="n"/>
      <c r="AI439" s="145" t="n"/>
      <c r="AJ439" s="145" t="n"/>
      <c r="AK439" s="411" t="n"/>
      <c r="AM439" s="605" t="n"/>
    </row>
    <row r="440" ht="12.75" customHeight="1" s="545">
      <c r="A440" s="388" t="n">
        <v>7</v>
      </c>
      <c r="B440" s="605" t="n">
        <v>433</v>
      </c>
      <c r="C440" s="384" t="inlineStr">
        <is>
          <t>2011Q</t>
        </is>
      </c>
      <c r="D440" s="605" t="inlineStr">
        <is>
          <t xml:space="preserve">05054-24-023-000 </t>
        </is>
      </c>
      <c r="E440" s="407" t="inlineStr">
        <is>
          <t>Actual</t>
        </is>
      </c>
      <c r="F440" s="605" t="inlineStr">
        <is>
          <t>2730 W BARBERRY            PL</t>
        </is>
      </c>
      <c r="G440" s="392" t="n">
        <v>46.1</v>
      </c>
      <c r="H440" s="378" t="n">
        <v>9508</v>
      </c>
      <c r="I440" s="403" t="n">
        <v>0</v>
      </c>
      <c r="J440" s="404" t="n">
        <v>4990</v>
      </c>
      <c r="K440" s="408" t="n">
        <v>5.5</v>
      </c>
      <c r="L440" s="409" t="n">
        <v>0</v>
      </c>
      <c r="M440" s="409" t="n">
        <v>0</v>
      </c>
      <c r="N440" s="378" t="n">
        <v>1962</v>
      </c>
      <c r="O440" s="393" t="n">
        <v>120</v>
      </c>
      <c r="Q440" s="605" t="n">
        <v>13</v>
      </c>
      <c r="R440" s="605" t="n">
        <v>1</v>
      </c>
      <c r="S440" s="605" t="n">
        <v>1</v>
      </c>
      <c r="T440" s="403" t="inlineStr">
        <is>
          <t xml:space="preserve">I1   </t>
        </is>
      </c>
      <c r="U440" s="403" t="n">
        <v>391</v>
      </c>
      <c r="V440" s="404" t="n">
        <v>7000</v>
      </c>
      <c r="W440" s="404" t="n">
        <v>7000</v>
      </c>
      <c r="X440" s="410" t="inlineStr">
        <is>
          <t>1.4:1</t>
        </is>
      </c>
      <c r="Y440" s="404" t="n">
        <v>5000</v>
      </c>
      <c r="Z440" s="403" t="inlineStr">
        <is>
          <t xml:space="preserve">C </t>
        </is>
      </c>
      <c r="AC440" s="378" t="n"/>
      <c r="AD440" s="384" t="n"/>
      <c r="AE440" s="145" t="n"/>
      <c r="AF440" s="145" t="n"/>
      <c r="AG440" s="145" t="n"/>
      <c r="AH440" s="145" t="n"/>
      <c r="AI440" s="145" t="n"/>
      <c r="AJ440" s="145" t="n"/>
      <c r="AK440" s="411" t="n"/>
      <c r="AM440" s="605" t="n"/>
    </row>
    <row r="441" ht="12.75" customHeight="1" s="545">
      <c r="A441" s="388" t="n">
        <v>7</v>
      </c>
      <c r="B441" s="605" t="n">
        <v>434</v>
      </c>
      <c r="C441" s="384" t="inlineStr">
        <is>
          <t>2011Q</t>
        </is>
      </c>
      <c r="D441" s="605" t="inlineStr">
        <is>
          <t xml:space="preserve">05054-24-025-000 </t>
        </is>
      </c>
      <c r="E441" s="407" t="inlineStr">
        <is>
          <t>Actual</t>
        </is>
      </c>
      <c r="F441" s="605" t="inlineStr">
        <is>
          <t>2700 W BARBERRY            PL</t>
        </is>
      </c>
      <c r="G441" s="392" t="n">
        <v>47.1</v>
      </c>
      <c r="H441" s="378" t="n">
        <v>9508</v>
      </c>
      <c r="I441" s="403" t="n">
        <v>0</v>
      </c>
      <c r="J441" s="404" t="n">
        <v>8252</v>
      </c>
      <c r="K441" s="408" t="n">
        <v>5.5</v>
      </c>
      <c r="L441" s="409" t="n">
        <v>0</v>
      </c>
      <c r="M441" s="409" t="n">
        <v>0</v>
      </c>
      <c r="N441" s="378" t="n">
        <v>1968</v>
      </c>
      <c r="O441" s="393" t="n">
        <v>0</v>
      </c>
      <c r="P441" s="393" t="n">
        <v>2108</v>
      </c>
      <c r="Q441" s="605" t="n">
        <v>14</v>
      </c>
      <c r="R441" s="605" t="n">
        <v>3</v>
      </c>
      <c r="S441" s="605" t="n">
        <v>1</v>
      </c>
      <c r="T441" s="403" t="inlineStr">
        <is>
          <t xml:space="preserve">I1   </t>
        </is>
      </c>
      <c r="U441" s="403" t="n">
        <v>401</v>
      </c>
      <c r="V441" s="404" t="n">
        <v>11486</v>
      </c>
      <c r="W441" s="404" t="n">
        <v>11000</v>
      </c>
      <c r="X441" s="410" t="inlineStr">
        <is>
          <t>1.4:1</t>
        </is>
      </c>
      <c r="Y441" s="404" t="n">
        <v>8000</v>
      </c>
      <c r="Z441" s="403" t="inlineStr">
        <is>
          <t xml:space="preserve">C </t>
        </is>
      </c>
      <c r="AC441" s="378" t="n"/>
      <c r="AD441" s="384" t="n"/>
      <c r="AE441" s="145" t="n"/>
      <c r="AF441" s="145" t="n"/>
      <c r="AG441" s="145" t="n"/>
      <c r="AH441" s="145" t="n"/>
      <c r="AI441" s="145" t="n"/>
      <c r="AJ441" s="145" t="n"/>
      <c r="AK441" s="411" t="n"/>
      <c r="AM441" s="605" t="n"/>
    </row>
    <row r="442" ht="25.5" customHeight="1" s="545">
      <c r="A442" s="388" t="n">
        <v>7</v>
      </c>
      <c r="B442" s="605" t="n">
        <v>435</v>
      </c>
      <c r="C442" s="384" t="inlineStr">
        <is>
          <t>2011Q</t>
        </is>
      </c>
      <c r="D442" s="605" t="inlineStr">
        <is>
          <t xml:space="preserve">05054-24-026-000 </t>
        </is>
      </c>
      <c r="E442" s="407" t="inlineStr">
        <is>
          <t>Actual</t>
        </is>
      </c>
      <c r="F442" s="605" t="inlineStr">
        <is>
          <t>2605 W 8TH                 AV</t>
        </is>
      </c>
      <c r="G442" s="378" t="n">
        <v>44.1</v>
      </c>
      <c r="H442" s="378" t="n">
        <v>9508</v>
      </c>
      <c r="I442" s="403" t="n">
        <v>0</v>
      </c>
      <c r="J442" s="404" t="n">
        <v>13500</v>
      </c>
      <c r="K442" s="408" t="n">
        <v>17.7777777777778</v>
      </c>
      <c r="L442" s="409" t="n">
        <v>1</v>
      </c>
      <c r="M442" s="409" t="n">
        <v>0</v>
      </c>
      <c r="N442" s="378" t="n">
        <v>1973</v>
      </c>
      <c r="O442" s="393" t="n">
        <v>6657</v>
      </c>
      <c r="Q442" s="605" t="n">
        <v>21</v>
      </c>
      <c r="R442" s="605" t="n">
        <v>14</v>
      </c>
      <c r="S442" s="605" t="n">
        <v>1</v>
      </c>
      <c r="T442" s="403" t="inlineStr">
        <is>
          <t xml:space="preserve">I1   </t>
        </is>
      </c>
      <c r="U442" s="403" t="n">
        <v>398</v>
      </c>
      <c r="V442" s="404" t="n">
        <v>21000</v>
      </c>
      <c r="W442" s="404" t="n">
        <v>21000</v>
      </c>
      <c r="X442" s="410" t="inlineStr">
        <is>
          <t>1.6:1</t>
        </is>
      </c>
      <c r="Y442" s="404" t="n">
        <v>14000</v>
      </c>
      <c r="Z442" s="403" t="inlineStr">
        <is>
          <t xml:space="preserve">C </t>
        </is>
      </c>
      <c r="AC442" s="378" t="n"/>
      <c r="AD442" s="384" t="inlineStr">
        <is>
          <t xml:space="preserve">COMCABLE            </t>
        </is>
      </c>
      <c r="AE442" s="145" t="n"/>
      <c r="AF442" s="145" t="n"/>
      <c r="AG442" s="145" t="n"/>
      <c r="AH442" s="145" t="n"/>
      <c r="AI442" s="145" t="n"/>
      <c r="AJ442" s="145" t="n"/>
      <c r="AK442" s="411" t="inlineStr">
        <is>
          <t xml:space="preserve">LEASE DATE UNKNOWN; INCLUDES PARCEL -24-030.                      </t>
        </is>
      </c>
      <c r="AM442" s="605" t="n"/>
    </row>
    <row r="443" ht="12.75" customHeight="1" s="545">
      <c r="A443" s="388" t="n">
        <v>7</v>
      </c>
      <c r="B443" s="605" t="n">
        <v>436</v>
      </c>
      <c r="C443" s="384" t="inlineStr">
        <is>
          <t>2011Q</t>
        </is>
      </c>
      <c r="D443" s="605" t="inlineStr">
        <is>
          <t xml:space="preserve">05081-00-134-000 </t>
        </is>
      </c>
      <c r="E443" s="407" t="inlineStr">
        <is>
          <t>Actual</t>
        </is>
      </c>
      <c r="F443" s="605" t="inlineStr">
        <is>
          <t>2645 W 7TH                 AV</t>
        </is>
      </c>
      <c r="G443" s="392" t="n">
        <v>46.1</v>
      </c>
      <c r="H443" s="378" t="n">
        <v>9508</v>
      </c>
      <c r="I443" s="403" t="n">
        <v>0</v>
      </c>
      <c r="J443" s="404" t="n">
        <v>33042</v>
      </c>
      <c r="K443" s="408" t="n">
        <v>5.69000060529024</v>
      </c>
      <c r="L443" s="409" t="n">
        <v>0</v>
      </c>
      <c r="M443" s="409" t="n">
        <v>0</v>
      </c>
      <c r="N443" s="378" t="n">
        <v>1970</v>
      </c>
      <c r="O443" s="393" t="n">
        <v>6537</v>
      </c>
      <c r="Q443" s="605" t="n">
        <v>16</v>
      </c>
      <c r="R443" s="605" t="n">
        <v>14</v>
      </c>
      <c r="S443" s="605" t="n">
        <v>1</v>
      </c>
      <c r="T443" s="403" t="inlineStr">
        <is>
          <t xml:space="preserve">I1   </t>
        </is>
      </c>
      <c r="U443" s="403" t="n">
        <v>398</v>
      </c>
      <c r="V443" s="404" t="n">
        <v>73039</v>
      </c>
      <c r="W443" s="404" t="n">
        <v>73000</v>
      </c>
      <c r="X443" s="410" t="inlineStr">
        <is>
          <t>2.2:1</t>
        </is>
      </c>
      <c r="Y443" s="404" t="n">
        <v>33000</v>
      </c>
      <c r="Z443" s="403" t="inlineStr">
        <is>
          <t xml:space="preserve">C </t>
        </is>
      </c>
      <c r="AC443" s="378" t="n"/>
      <c r="AD443" s="384" t="n"/>
      <c r="AE443" s="145" t="n"/>
      <c r="AF443" s="145" t="n"/>
      <c r="AG443" s="145" t="n"/>
      <c r="AH443" s="145" t="n"/>
      <c r="AI443" s="145" t="n"/>
      <c r="AJ443" s="145" t="n"/>
      <c r="AK443" s="411" t="n"/>
      <c r="AM443" s="605" t="n"/>
    </row>
    <row r="444" ht="12.75" customHeight="1" s="545">
      <c r="A444" s="388" t="n">
        <v>7</v>
      </c>
      <c r="B444" s="605" t="n">
        <v>437</v>
      </c>
      <c r="C444" s="384" t="inlineStr">
        <is>
          <t>2011Q</t>
        </is>
      </c>
      <c r="D444" s="605" t="inlineStr">
        <is>
          <t xml:space="preserve">05081-04-016-000 </t>
        </is>
      </c>
      <c r="E444" s="407" t="inlineStr">
        <is>
          <t>Actual</t>
        </is>
      </c>
      <c r="F444" s="605" t="inlineStr">
        <is>
          <t>695   CANOSA              CT</t>
        </is>
      </c>
      <c r="G444" s="392" t="n">
        <v>44.2</v>
      </c>
      <c r="H444" s="378" t="n">
        <v>9508</v>
      </c>
      <c r="I444" s="403" t="n">
        <v>0</v>
      </c>
      <c r="J444" s="404" t="n">
        <v>18000</v>
      </c>
      <c r="K444" s="408" t="n">
        <v>4</v>
      </c>
      <c r="L444" s="409" t="n">
        <v>0</v>
      </c>
      <c r="M444" s="409" t="n">
        <v>0.174166666666667</v>
      </c>
      <c r="N444" s="378" t="n">
        <v>1954</v>
      </c>
      <c r="O444" s="393" t="n">
        <v>4000</v>
      </c>
      <c r="Q444" s="605" t="n">
        <v>14</v>
      </c>
      <c r="R444" s="605" t="n">
        <v>1</v>
      </c>
      <c r="S444" s="605" t="n">
        <v>2</v>
      </c>
      <c r="T444" s="403" t="inlineStr">
        <is>
          <t xml:space="preserve">I1   </t>
        </is>
      </c>
      <c r="U444" s="403" t="n">
        <v>398</v>
      </c>
      <c r="V444" s="404" t="n">
        <v>34375</v>
      </c>
      <c r="W444" s="404" t="n">
        <v>34000</v>
      </c>
      <c r="X444" s="410" t="inlineStr">
        <is>
          <t>1.9:1</t>
        </is>
      </c>
      <c r="Y444" s="404" t="n">
        <v>18000</v>
      </c>
      <c r="Z444" s="403" t="inlineStr">
        <is>
          <t xml:space="preserve">C </t>
        </is>
      </c>
      <c r="AC444" s="378" t="n"/>
      <c r="AD444" s="384" t="inlineStr">
        <is>
          <t xml:space="preserve">M-W GREAT INDOORS   </t>
        </is>
      </c>
      <c r="AE444" s="145" t="n"/>
      <c r="AF444" s="145" t="n"/>
      <c r="AG444" s="145" t="n"/>
      <c r="AH444" s="145" t="n"/>
      <c r="AI444" s="145" t="n"/>
      <c r="AJ444" s="145" t="n"/>
      <c r="AK444" s="411" t="n"/>
      <c r="AM444" s="605" t="n"/>
    </row>
    <row r="445" ht="12.75" customHeight="1" s="545">
      <c r="A445" s="388" t="n">
        <v>7</v>
      </c>
      <c r="B445" s="605" t="n">
        <v>438</v>
      </c>
      <c r="C445" s="384" t="inlineStr">
        <is>
          <t>2011Q</t>
        </is>
      </c>
      <c r="D445" s="605" t="inlineStr">
        <is>
          <t xml:space="preserve">05081-06-019-000 </t>
        </is>
      </c>
      <c r="E445" s="407" t="inlineStr">
        <is>
          <t>Actual</t>
        </is>
      </c>
      <c r="F445" s="605" t="inlineStr">
        <is>
          <t>670   BRYANT              ST</t>
        </is>
      </c>
      <c r="G445" s="378" t="n">
        <v>44.1</v>
      </c>
      <c r="H445" s="378" t="n">
        <v>9508</v>
      </c>
      <c r="I445" s="403" t="n">
        <v>0</v>
      </c>
      <c r="J445" s="404" t="n">
        <v>3704</v>
      </c>
      <c r="K445" s="408" t="n">
        <v>7.72138228941685</v>
      </c>
      <c r="L445" s="409" t="n">
        <v>0</v>
      </c>
      <c r="M445" s="409" t="n">
        <v>0.129370629370629</v>
      </c>
      <c r="N445" s="378" t="n">
        <v>1963</v>
      </c>
      <c r="O445" s="393" t="n">
        <v>644</v>
      </c>
      <c r="Q445" s="605" t="n">
        <v>11</v>
      </c>
      <c r="R445" s="605" t="n">
        <v>1</v>
      </c>
      <c r="S445" s="605" t="n">
        <v>1</v>
      </c>
      <c r="T445" s="403" t="inlineStr">
        <is>
          <t xml:space="preserve">I1   </t>
        </is>
      </c>
      <c r="U445" s="403" t="n">
        <v>398</v>
      </c>
      <c r="V445" s="404" t="n">
        <v>6000</v>
      </c>
      <c r="W445" s="404" t="n">
        <v>6000</v>
      </c>
      <c r="X445" s="410" t="inlineStr">
        <is>
          <t>1.6:1</t>
        </is>
      </c>
      <c r="Y445" s="404" t="n">
        <v>4000</v>
      </c>
      <c r="Z445" s="403" t="inlineStr">
        <is>
          <t xml:space="preserve">C </t>
        </is>
      </c>
      <c r="AC445" s="378" t="n"/>
      <c r="AD445" s="384" t="inlineStr">
        <is>
          <t xml:space="preserve">S-W LIQUID COFFEE   </t>
        </is>
      </c>
      <c r="AE445" s="145" t="n"/>
      <c r="AF445" s="145" t="n"/>
      <c r="AG445" s="145" t="n"/>
      <c r="AH445" s="145" t="n"/>
      <c r="AI445" s="145" t="n"/>
      <c r="AJ445" s="145" t="n"/>
      <c r="AK445" s="411" t="inlineStr">
        <is>
          <t xml:space="preserve">2010 LEASE; 2009 EXPENSES.                                        </t>
        </is>
      </c>
      <c r="AM445" s="605" t="n"/>
    </row>
    <row r="446" ht="12.75" customHeight="1" s="545">
      <c r="A446" s="388" t="n">
        <v>7</v>
      </c>
      <c r="B446" s="605" t="n">
        <v>439</v>
      </c>
      <c r="C446" s="384" t="inlineStr">
        <is>
          <t>2011Q</t>
        </is>
      </c>
      <c r="D446" s="605" t="inlineStr">
        <is>
          <t xml:space="preserve">05081-18-011-000 </t>
        </is>
      </c>
      <c r="E446" s="407" t="inlineStr">
        <is>
          <t>Actual</t>
        </is>
      </c>
      <c r="F446" s="605" t="inlineStr">
        <is>
          <t>2750 W 5TH                 AV</t>
        </is>
      </c>
      <c r="G446" s="378" t="n">
        <v>44.1</v>
      </c>
      <c r="H446" s="378" t="n">
        <v>9508</v>
      </c>
      <c r="I446" s="403" t="n">
        <v>0</v>
      </c>
      <c r="J446" s="404" t="n">
        <v>14000</v>
      </c>
      <c r="K446" s="408" t="n">
        <v>8.571428571428569</v>
      </c>
      <c r="L446" s="409" t="n">
        <v>0</v>
      </c>
      <c r="M446" s="409" t="n">
        <v>0.00463333333333333</v>
      </c>
      <c r="N446" s="378" t="n">
        <v>1972</v>
      </c>
      <c r="O446" s="393" t="n">
        <v>6213</v>
      </c>
      <c r="P446" s="393" t="n">
        <v>2500</v>
      </c>
      <c r="Q446" s="605" t="n">
        <v>18</v>
      </c>
      <c r="R446" s="605" t="n">
        <v>3</v>
      </c>
      <c r="S446" s="605" t="n">
        <v>1</v>
      </c>
      <c r="T446" s="403" t="inlineStr">
        <is>
          <t xml:space="preserve">I0   </t>
        </is>
      </c>
      <c r="U446" s="403" t="n">
        <v>398</v>
      </c>
      <c r="V446" s="404" t="n">
        <v>27787</v>
      </c>
      <c r="W446" s="404" t="n">
        <v>28000</v>
      </c>
      <c r="X446" s="410" t="inlineStr">
        <is>
          <t>2.0:1</t>
        </is>
      </c>
      <c r="Y446" s="404" t="n">
        <v>14000</v>
      </c>
      <c r="Z446" s="403" t="inlineStr">
        <is>
          <t xml:space="preserve">C </t>
        </is>
      </c>
      <c r="AC446" s="378" t="n"/>
      <c r="AD446" s="384" t="inlineStr">
        <is>
          <t xml:space="preserve">PEAK RESOURCES      </t>
        </is>
      </c>
      <c r="AE446" s="145" t="n"/>
      <c r="AF446" s="145" t="n"/>
      <c r="AG446" s="145" t="n"/>
      <c r="AH446" s="145" t="n"/>
      <c r="AI446" s="145" t="n"/>
      <c r="AJ446" s="145" t="n"/>
      <c r="AK446" s="411" t="n"/>
      <c r="AM446" s="605" t="n"/>
    </row>
    <row r="447" ht="12.75" customHeight="1" s="545">
      <c r="A447" s="388" t="n">
        <v>7</v>
      </c>
      <c r="B447" s="605" t="n">
        <v>439.3</v>
      </c>
      <c r="C447" s="384" t="inlineStr">
        <is>
          <t>2011W</t>
        </is>
      </c>
      <c r="D447" s="605" t="inlineStr">
        <is>
          <t>05081-23-004-000</t>
        </is>
      </c>
      <c r="E447" s="403" t="inlineStr">
        <is>
          <t>Actual</t>
        </is>
      </c>
      <c r="F447" s="605" t="inlineStr">
        <is>
          <t>2400 W 5th Ave</t>
        </is>
      </c>
      <c r="G447" s="412" t="inlineStr">
        <is>
          <t>44.4</t>
        </is>
      </c>
      <c r="H447" s="605" t="n">
        <v>9508</v>
      </c>
      <c r="I447" s="403" t="n">
        <v>0</v>
      </c>
      <c r="J447" s="393" t="n">
        <v>325858</v>
      </c>
      <c r="K447" s="154" t="n">
        <v>2.38</v>
      </c>
      <c r="L447" s="153">
        <f>40350/J447</f>
        <v/>
      </c>
      <c r="M447" s="153">
        <f>(465642-304940-136035-25638)/(0.9*(K447*J447))</f>
        <v/>
      </c>
      <c r="N447" s="605" t="n">
        <v>1964</v>
      </c>
      <c r="O447" s="605" t="n">
        <v>32410</v>
      </c>
      <c r="P447" s="605" t="n">
        <v>10000</v>
      </c>
      <c r="Q447" s="605" t="n">
        <v>26</v>
      </c>
      <c r="R447" s="605" t="n">
        <v>3</v>
      </c>
      <c r="S447" s="605" t="n">
        <v>11</v>
      </c>
      <c r="T447" s="403" t="inlineStr">
        <is>
          <t>I1</t>
        </is>
      </c>
      <c r="U447" s="605" t="n">
        <v>398</v>
      </c>
      <c r="V447" s="393" t="n">
        <v>487038</v>
      </c>
      <c r="W447" s="393" t="n">
        <v>500000</v>
      </c>
      <c r="X447" s="378" t="inlineStr">
        <is>
          <t>1.49:1</t>
        </is>
      </c>
      <c r="Y447" s="393" t="n">
        <v>300000</v>
      </c>
      <c r="Z447" s="403" t="inlineStr">
        <is>
          <t>B</t>
        </is>
      </c>
      <c r="AA447" s="605" t="n">
        <v>3</v>
      </c>
      <c r="AB447" s="605" t="n">
        <v>3</v>
      </c>
      <c r="AC447" s="605" t="n">
        <v>33</v>
      </c>
      <c r="AD447" s="605" t="inlineStr">
        <is>
          <t>WW Grainger</t>
        </is>
      </c>
      <c r="AE447" s="377" t="n"/>
      <c r="AF447" s="145" t="n"/>
      <c r="AG447" s="145" t="n"/>
      <c r="AH447" s="145" t="n"/>
      <c r="AI447" s="145" t="n"/>
      <c r="AJ447" s="145" t="n"/>
      <c r="AK447" s="145" t="n"/>
      <c r="AL447" s="605">
        <f>IF(AND(ISNUMBER($S447),$S447&gt;0,ISNUMBER($K447),ISNUMBER($J447)),($K447*$J447)/$S447,"")</f>
        <v/>
      </c>
    </row>
    <row r="448" ht="12.75" customHeight="1" s="545">
      <c r="A448" s="388" t="n">
        <v>7</v>
      </c>
      <c r="B448" s="605" t="n">
        <v>440</v>
      </c>
      <c r="C448" s="384" t="inlineStr">
        <is>
          <t>2011Q</t>
        </is>
      </c>
      <c r="D448" s="605" t="inlineStr">
        <is>
          <t xml:space="preserve">05084-00-046-000 </t>
        </is>
      </c>
      <c r="E448" s="407" t="inlineStr">
        <is>
          <t>Actual</t>
        </is>
      </c>
      <c r="F448" s="605" t="inlineStr">
        <is>
          <t>2650 W 3RD                 AV</t>
        </is>
      </c>
      <c r="G448" s="392" t="n">
        <v>44.2</v>
      </c>
      <c r="H448" s="378" t="n">
        <v>9508</v>
      </c>
      <c r="I448" s="403" t="n">
        <v>0</v>
      </c>
      <c r="J448" s="404" t="n">
        <v>27700</v>
      </c>
      <c r="K448" s="408" t="n">
        <v>4.01956678700361</v>
      </c>
      <c r="L448" s="409" t="n">
        <v>0</v>
      </c>
      <c r="M448" s="409" t="n">
        <v>0.041224335830145</v>
      </c>
      <c r="N448" s="378" t="n">
        <v>1963</v>
      </c>
      <c r="O448" s="393" t="n">
        <v>9365</v>
      </c>
      <c r="Q448" s="605" t="n">
        <v>20</v>
      </c>
      <c r="R448" s="605" t="n">
        <v>14</v>
      </c>
      <c r="S448" s="605" t="n">
        <v>2</v>
      </c>
      <c r="T448" s="403" t="inlineStr">
        <is>
          <t xml:space="preserve">I0   </t>
        </is>
      </c>
      <c r="U448" s="403" t="n">
        <v>398</v>
      </c>
      <c r="V448" s="404" t="n">
        <v>81431</v>
      </c>
      <c r="W448" s="404" t="n">
        <v>81000</v>
      </c>
      <c r="X448" s="410" t="inlineStr">
        <is>
          <t>1.5:1</t>
        </is>
      </c>
      <c r="Y448" s="404" t="n">
        <v>28000</v>
      </c>
      <c r="Z448" s="403" t="inlineStr">
        <is>
          <t xml:space="preserve">C </t>
        </is>
      </c>
      <c r="AC448" s="378" t="n"/>
      <c r="AD448" s="384" t="inlineStr">
        <is>
          <t xml:space="preserve">HEALTH CENTER       </t>
        </is>
      </c>
      <c r="AE448" s="145" t="n"/>
      <c r="AF448" s="145" t="n"/>
      <c r="AG448" s="145" t="n"/>
      <c r="AH448" s="145" t="n"/>
      <c r="AI448" s="145" t="n"/>
      <c r="AJ448" s="145" t="n"/>
      <c r="AK448" s="411" t="n"/>
      <c r="AM448" s="605" t="n"/>
    </row>
    <row r="449" ht="25.5" customHeight="1" s="545">
      <c r="A449" s="388" t="n">
        <v>7</v>
      </c>
      <c r="B449" s="605" t="n">
        <v>441</v>
      </c>
      <c r="C449" s="384" t="inlineStr">
        <is>
          <t>2011Q</t>
        </is>
      </c>
      <c r="D449" s="605" t="inlineStr">
        <is>
          <t xml:space="preserve">05084-08-022-000 </t>
        </is>
      </c>
      <c r="E449" s="407" t="inlineStr">
        <is>
          <t>Actual</t>
        </is>
      </c>
      <c r="F449" s="605" t="inlineStr">
        <is>
          <t>2600 W 2ND                 AV</t>
        </is>
      </c>
      <c r="G449" s="392" t="n">
        <v>44.2</v>
      </c>
      <c r="H449" s="378" t="n">
        <v>9508</v>
      </c>
      <c r="I449" s="403" t="n">
        <v>0</v>
      </c>
      <c r="J449" s="404" t="n">
        <v>5000</v>
      </c>
      <c r="K449" s="408" t="n">
        <v>5.28</v>
      </c>
      <c r="L449" s="409" t="n">
        <v>0.29</v>
      </c>
      <c r="M449" s="409" t="n">
        <v>0.454469696969697</v>
      </c>
      <c r="N449" s="378" t="n">
        <v>1967</v>
      </c>
      <c r="O449" s="393" t="n">
        <v>9801</v>
      </c>
      <c r="Q449" s="605" t="n">
        <v>18</v>
      </c>
      <c r="R449" s="605" t="n">
        <v>10</v>
      </c>
      <c r="S449" s="605" t="n">
        <v>1</v>
      </c>
      <c r="T449" s="403" t="inlineStr">
        <is>
          <t xml:space="preserve">I0   </t>
        </is>
      </c>
      <c r="U449" s="403" t="n">
        <v>398</v>
      </c>
      <c r="V449" s="404" t="n">
        <v>50661</v>
      </c>
      <c r="W449" s="404" t="n">
        <v>51000</v>
      </c>
      <c r="X449" s="410" t="inlineStr">
        <is>
          <t>2.4:1</t>
        </is>
      </c>
      <c r="Y449" s="404" t="n">
        <v>5000</v>
      </c>
      <c r="Z449" s="403" t="inlineStr">
        <is>
          <t xml:space="preserve">C </t>
        </is>
      </c>
      <c r="AC449" s="378" t="n"/>
      <c r="AD449" s="384" t="inlineStr">
        <is>
          <t xml:space="preserve">M-W                 </t>
        </is>
      </c>
      <c r="AE449" s="145" t="n"/>
      <c r="AF449" s="145" t="n"/>
      <c r="AG449" s="145" t="n"/>
      <c r="AH449" s="145" t="n"/>
      <c r="AI449" s="145" t="n"/>
      <c r="AJ449" s="145" t="n"/>
      <c r="AK449" s="411" t="inlineStr">
        <is>
          <t xml:space="preserve">ONE BASE PERIOD LEASE IN 21263 SF BLDG REPRESENTED HERE.          </t>
        </is>
      </c>
      <c r="AM449" s="605" t="n"/>
    </row>
    <row r="450" ht="12.75" customHeight="1" s="545">
      <c r="A450" s="388" t="n">
        <v>7</v>
      </c>
      <c r="B450" s="605" t="n">
        <v>442</v>
      </c>
      <c r="C450" s="384" t="inlineStr">
        <is>
          <t>2011Q</t>
        </is>
      </c>
      <c r="D450" s="605" t="inlineStr">
        <is>
          <t xml:space="preserve">05091-00-049-000 </t>
        </is>
      </c>
      <c r="E450" s="407" t="inlineStr">
        <is>
          <t>Actual</t>
        </is>
      </c>
      <c r="F450" s="605" t="inlineStr">
        <is>
          <t>123   RIO GRANDE          BV</t>
        </is>
      </c>
      <c r="G450" s="392" t="n">
        <v>44.2</v>
      </c>
      <c r="H450" s="378" t="n">
        <v>9505</v>
      </c>
      <c r="I450" s="403" t="n">
        <v>0</v>
      </c>
      <c r="J450" s="404" t="n">
        <v>12994</v>
      </c>
      <c r="K450" s="408" t="n">
        <v>4.61751577651224</v>
      </c>
      <c r="L450" s="409" t="n">
        <v>0</v>
      </c>
      <c r="M450" s="409" t="n">
        <v>0.119666666666667</v>
      </c>
      <c r="N450" s="378" t="n">
        <v>1959</v>
      </c>
      <c r="O450" s="393" t="n">
        <v>2548</v>
      </c>
      <c r="Q450" s="605" t="n">
        <v>16</v>
      </c>
      <c r="R450" s="605" t="n">
        <v>1</v>
      </c>
      <c r="S450" s="605" t="n">
        <v>1</v>
      </c>
      <c r="T450" s="403" t="inlineStr">
        <is>
          <t xml:space="preserve">I1   </t>
        </is>
      </c>
      <c r="U450" s="403" t="n">
        <v>398</v>
      </c>
      <c r="V450" s="404" t="n">
        <v>20500</v>
      </c>
      <c r="W450" s="404" t="n">
        <v>21000</v>
      </c>
      <c r="X450" s="410" t="inlineStr">
        <is>
          <t>1.6:1</t>
        </is>
      </c>
      <c r="Y450" s="404" t="n">
        <v>13000</v>
      </c>
      <c r="Z450" s="403" t="inlineStr">
        <is>
          <t xml:space="preserve">C </t>
        </is>
      </c>
      <c r="AC450" s="378" t="n"/>
      <c r="AD450" s="384" t="inlineStr">
        <is>
          <t xml:space="preserve">DIST                </t>
        </is>
      </c>
      <c r="AE450" s="145" t="n"/>
      <c r="AF450" s="145" t="n"/>
      <c r="AG450" s="145" t="n"/>
      <c r="AH450" s="145" t="n"/>
      <c r="AI450" s="145" t="n"/>
      <c r="AJ450" s="145" t="n"/>
      <c r="AK450" s="411" t="n"/>
      <c r="AM450" s="605" t="n"/>
    </row>
    <row r="451" ht="12.75" customHeight="1" s="545">
      <c r="A451" s="388" t="n">
        <v>7</v>
      </c>
      <c r="B451" s="605" t="n">
        <v>443</v>
      </c>
      <c r="C451" s="384" t="inlineStr">
        <is>
          <t>2011Q</t>
        </is>
      </c>
      <c r="D451" s="605" t="inlineStr">
        <is>
          <t xml:space="preserve">05091-00-050-000 </t>
        </is>
      </c>
      <c r="E451" s="407" t="inlineStr">
        <is>
          <t>Actual</t>
        </is>
      </c>
      <c r="F451" s="605" t="inlineStr">
        <is>
          <t>1490 W 3RD                 AV</t>
        </is>
      </c>
      <c r="G451" s="392" t="n">
        <v>44.2</v>
      </c>
      <c r="H451" s="378" t="n">
        <v>9505</v>
      </c>
      <c r="I451" s="403" t="n">
        <v>0</v>
      </c>
      <c r="J451" s="404" t="n">
        <v>8502</v>
      </c>
      <c r="K451" s="408" t="n">
        <v>7.05716302046577</v>
      </c>
      <c r="L451" s="409" t="n">
        <v>0</v>
      </c>
      <c r="M451" s="409" t="n">
        <v>0</v>
      </c>
      <c r="N451" s="378" t="n">
        <v>1968</v>
      </c>
      <c r="O451" s="393" t="n">
        <v>9109</v>
      </c>
      <c r="Q451" s="605" t="n">
        <v>16</v>
      </c>
      <c r="R451" s="605" t="n">
        <v>1</v>
      </c>
      <c r="S451" s="605" t="n">
        <v>1</v>
      </c>
      <c r="T451" s="403" t="inlineStr">
        <is>
          <t xml:space="preserve">I1   </t>
        </is>
      </c>
      <c r="U451" s="403" t="n">
        <v>398</v>
      </c>
      <c r="V451" s="404" t="n">
        <v>12400</v>
      </c>
      <c r="W451" s="404" t="n">
        <v>12000</v>
      </c>
      <c r="X451" s="410" t="inlineStr">
        <is>
          <t>1.5:1</t>
        </is>
      </c>
      <c r="Y451" s="404" t="n">
        <v>9000</v>
      </c>
      <c r="Z451" s="403" t="inlineStr">
        <is>
          <t xml:space="preserve">C </t>
        </is>
      </c>
      <c r="AC451" s="378" t="n"/>
      <c r="AD451" s="384" t="n"/>
      <c r="AE451" s="145" t="n"/>
      <c r="AF451" s="145" t="n"/>
      <c r="AG451" s="145" t="n"/>
      <c r="AH451" s="145" t="n"/>
      <c r="AI451" s="145" t="n"/>
      <c r="AJ451" s="145" t="n"/>
      <c r="AK451" s="411" t="n"/>
      <c r="AM451" s="605" t="n"/>
    </row>
    <row r="452" ht="12.75" customHeight="1" s="545">
      <c r="A452" s="388" t="n">
        <v>7</v>
      </c>
      <c r="B452" s="605" t="n">
        <v>444</v>
      </c>
      <c r="C452" s="384" t="inlineStr">
        <is>
          <t>2011Q</t>
        </is>
      </c>
      <c r="D452" s="605" t="inlineStr">
        <is>
          <t xml:space="preserve">05091-00-067-000 </t>
        </is>
      </c>
      <c r="E452" s="407" t="inlineStr">
        <is>
          <t>Actual</t>
        </is>
      </c>
      <c r="F452" s="605" t="inlineStr">
        <is>
          <t>1480 W 3RD                 AV</t>
        </is>
      </c>
      <c r="G452" s="378" t="n">
        <v>44.1</v>
      </c>
      <c r="H452" s="378" t="n">
        <v>9505</v>
      </c>
      <c r="I452" s="403" t="n">
        <v>0</v>
      </c>
      <c r="J452" s="404" t="n">
        <v>7200</v>
      </c>
      <c r="K452" s="408" t="n">
        <v>6.66666666666667</v>
      </c>
      <c r="L452" s="409" t="n">
        <v>0</v>
      </c>
      <c r="M452" s="409" t="n">
        <v>0</v>
      </c>
      <c r="N452" s="378" t="n">
        <v>1966</v>
      </c>
      <c r="O452" s="393" t="n">
        <v>4200</v>
      </c>
      <c r="Q452" s="605" t="n">
        <v>14</v>
      </c>
      <c r="R452" s="605" t="n">
        <v>3</v>
      </c>
      <c r="S452" s="605" t="n">
        <v>1</v>
      </c>
      <c r="T452" s="403" t="inlineStr">
        <is>
          <t xml:space="preserve">I1   </t>
        </is>
      </c>
      <c r="U452" s="403" t="n">
        <v>398</v>
      </c>
      <c r="V452" s="404" t="n">
        <v>11917</v>
      </c>
      <c r="W452" s="404" t="n">
        <v>12000</v>
      </c>
      <c r="X452" s="410" t="inlineStr">
        <is>
          <t>1.7:1</t>
        </is>
      </c>
      <c r="Y452" s="404" t="n">
        <v>7000</v>
      </c>
      <c r="Z452" s="403" t="inlineStr">
        <is>
          <t xml:space="preserve">C </t>
        </is>
      </c>
      <c r="AC452" s="378" t="n"/>
      <c r="AD452" s="384" t="n"/>
      <c r="AE452" s="145" t="n"/>
      <c r="AF452" s="145" t="n"/>
      <c r="AG452" s="145" t="n"/>
      <c r="AH452" s="145" t="n"/>
      <c r="AI452" s="145" t="n"/>
      <c r="AJ452" s="145" t="n"/>
      <c r="AK452" s="411" t="n"/>
      <c r="AM452" s="605" t="n"/>
    </row>
    <row r="453" ht="25.5" customHeight="1" s="545">
      <c r="A453" s="388" t="n">
        <v>7</v>
      </c>
      <c r="B453" s="605" t="n">
        <v>445</v>
      </c>
      <c r="C453" s="384" t="inlineStr">
        <is>
          <t>2011Q</t>
        </is>
      </c>
      <c r="D453" s="605" t="inlineStr">
        <is>
          <t xml:space="preserve">05091-03-046-000 </t>
        </is>
      </c>
      <c r="E453" s="407" t="inlineStr">
        <is>
          <t>Actual</t>
        </is>
      </c>
      <c r="F453" s="605" t="inlineStr">
        <is>
          <t>525   SANTA FE            DR</t>
        </is>
      </c>
      <c r="G453" s="378" t="n">
        <v>44.1</v>
      </c>
      <c r="H453" s="378" t="n">
        <v>9505</v>
      </c>
      <c r="I453" s="403" t="n">
        <v>3</v>
      </c>
      <c r="J453" s="404" t="n">
        <v>21594</v>
      </c>
      <c r="K453" s="408" t="n">
        <v>7.850004630916</v>
      </c>
      <c r="L453" s="409" t="n">
        <v>0</v>
      </c>
      <c r="M453" s="409" t="n">
        <v>0.00592284957495885</v>
      </c>
      <c r="N453" s="378" t="n">
        <v>1975</v>
      </c>
      <c r="O453" s="393" t="n">
        <v>5148</v>
      </c>
      <c r="P453" s="393" t="n">
        <v>8100</v>
      </c>
      <c r="Q453" s="605" t="n">
        <v>17</v>
      </c>
      <c r="R453" s="605" t="n">
        <v>3</v>
      </c>
      <c r="S453" s="605" t="n">
        <v>3</v>
      </c>
      <c r="T453" s="403" t="inlineStr">
        <is>
          <t xml:space="preserve">B4   </t>
        </is>
      </c>
      <c r="U453" s="403" t="n">
        <v>398</v>
      </c>
      <c r="V453" s="404" t="n">
        <v>26775</v>
      </c>
      <c r="W453" s="404" t="n">
        <v>27000</v>
      </c>
      <c r="X453" s="410" t="inlineStr">
        <is>
          <t>1.2:1</t>
        </is>
      </c>
      <c r="Y453" s="404" t="n">
        <v>22000</v>
      </c>
      <c r="Z453" s="403" t="inlineStr">
        <is>
          <t xml:space="preserve">C </t>
        </is>
      </c>
      <c r="AC453" s="378" t="n"/>
      <c r="AD453" s="384" t="inlineStr">
        <is>
          <t>MULTI/DISTRIB/OFFICE</t>
        </is>
      </c>
      <c r="AE453" s="145" t="n"/>
      <c r="AF453" s="145" t="n"/>
      <c r="AG453" s="145" t="n"/>
      <c r="AH453" s="145" t="n"/>
      <c r="AI453" s="145" t="n"/>
      <c r="AJ453" s="145" t="n"/>
      <c r="AK453" s="411" t="inlineStr">
        <is>
          <t xml:space="preserve">INPUT BASED ON RENT RATE FROM 11/08 LEASE.                        </t>
        </is>
      </c>
      <c r="AM453" s="605" t="n"/>
    </row>
    <row r="454" ht="12.75" customHeight="1" s="545">
      <c r="A454" s="388" t="n">
        <v>7</v>
      </c>
      <c r="B454" s="605" t="n">
        <v>446</v>
      </c>
      <c r="C454" s="384" t="inlineStr">
        <is>
          <t>2011Q</t>
        </is>
      </c>
      <c r="D454" s="605" t="inlineStr">
        <is>
          <t>05091-03-047-000</t>
        </is>
      </c>
      <c r="E454" s="407" t="inlineStr">
        <is>
          <t>Actual</t>
        </is>
      </c>
      <c r="F454" s="605" t="inlineStr">
        <is>
          <t>525  SANTA FE            DR</t>
        </is>
      </c>
      <c r="G454" s="378" t="n">
        <v>44.1</v>
      </c>
      <c r="H454" s="378" t="n">
        <v>9505</v>
      </c>
      <c r="I454" s="403" t="n">
        <v>3</v>
      </c>
      <c r="J454" s="404" t="n">
        <v>1995</v>
      </c>
      <c r="K454" s="408" t="n">
        <v>3.00751879699248</v>
      </c>
      <c r="L454" s="409" t="n">
        <v>0</v>
      </c>
      <c r="M454" s="409" t="n">
        <v>0</v>
      </c>
      <c r="N454" s="378" t="n">
        <v>1929</v>
      </c>
      <c r="O454" s="393" t="n">
        <v>0</v>
      </c>
      <c r="Q454" s="605" t="n">
        <v>14</v>
      </c>
      <c r="R454" s="605" t="n">
        <v>1</v>
      </c>
      <c r="S454" s="605" t="n">
        <v>2</v>
      </c>
      <c r="T454" s="403" t="inlineStr">
        <is>
          <t xml:space="preserve">B4   </t>
        </is>
      </c>
      <c r="U454" s="403" t="n">
        <v>395</v>
      </c>
      <c r="V454" s="404" t="n">
        <v>17850</v>
      </c>
      <c r="W454" s="404" t="n">
        <v>18000</v>
      </c>
      <c r="X454" s="410" t="inlineStr">
        <is>
          <t>8.9:1</t>
        </is>
      </c>
      <c r="Y454" s="404" t="n">
        <v>2000</v>
      </c>
      <c r="Z454" s="403" t="inlineStr">
        <is>
          <t>C</t>
        </is>
      </c>
      <c r="AC454" s="378" t="n"/>
      <c r="AD454" s="384" t="inlineStr">
        <is>
          <t xml:space="preserve">WAREHOUSE           </t>
        </is>
      </c>
      <c r="AE454" s="145" t="n"/>
      <c r="AF454" s="145" t="n"/>
      <c r="AG454" s="145" t="n"/>
      <c r="AH454" s="145" t="n"/>
      <c r="AI454" s="145" t="n"/>
      <c r="AJ454" s="145" t="n"/>
      <c r="AK454" s="411" t="inlineStr">
        <is>
          <t>MONTH TO MONTH ON LAPSED 2000 LEASE</t>
        </is>
      </c>
      <c r="AL454" s="605">
        <f>IF(AND(ISNUMBER($S454),$S454&gt;0,ISNUMBER($K454),ISNUMBER($J454)),($K454*$J454)/$S454,"")</f>
        <v/>
      </c>
    </row>
    <row r="455" ht="25.5" customHeight="1" s="545">
      <c r="A455" s="388" t="n">
        <v>7</v>
      </c>
      <c r="B455" s="605" t="n">
        <v>447</v>
      </c>
      <c r="C455" s="384" t="inlineStr">
        <is>
          <t>2011Q</t>
        </is>
      </c>
      <c r="D455" s="605" t="inlineStr">
        <is>
          <t xml:space="preserve">05091-03-048-000 </t>
        </is>
      </c>
      <c r="E455" s="407" t="inlineStr">
        <is>
          <t>Actual</t>
        </is>
      </c>
      <c r="F455" s="605" t="inlineStr">
        <is>
          <t>525  SANTA FE            Dr</t>
        </is>
      </c>
      <c r="G455" s="378" t="n">
        <v>44.1</v>
      </c>
      <c r="H455" s="378" t="n">
        <v>9505</v>
      </c>
      <c r="I455" s="403" t="n">
        <v>3</v>
      </c>
      <c r="J455" s="404" t="n">
        <v>7555</v>
      </c>
      <c r="K455" s="408" t="n">
        <v>12.5744540039709</v>
      </c>
      <c r="L455" s="409" t="n">
        <v>0</v>
      </c>
      <c r="M455" s="409" t="n">
        <v>0.00315789473684211</v>
      </c>
      <c r="N455" s="378" t="n">
        <v>1975</v>
      </c>
      <c r="O455" s="393" t="n">
        <v>287</v>
      </c>
      <c r="Q455" s="605" t="n">
        <v>17</v>
      </c>
      <c r="R455" s="605" t="n">
        <v>3</v>
      </c>
      <c r="S455" s="605" t="n">
        <v>1</v>
      </c>
      <c r="T455" s="403" t="inlineStr">
        <is>
          <t xml:space="preserve">B4   </t>
        </is>
      </c>
      <c r="U455" s="403" t="n">
        <v>398</v>
      </c>
      <c r="V455" s="404" t="n">
        <v>8925</v>
      </c>
      <c r="W455" s="404" t="n">
        <v>9000</v>
      </c>
      <c r="X455" s="410" t="inlineStr">
        <is>
          <t>1.2:1</t>
        </is>
      </c>
      <c r="Y455" s="404" t="n">
        <v>8000</v>
      </c>
      <c r="Z455" s="403" t="inlineStr">
        <is>
          <t xml:space="preserve">C </t>
        </is>
      </c>
      <c r="AC455" s="378" t="n"/>
      <c r="AD455" s="384" t="inlineStr">
        <is>
          <t xml:space="preserve">WAREHOUSE           </t>
        </is>
      </c>
      <c r="AE455" s="145" t="n"/>
      <c r="AF455" s="145" t="n"/>
      <c r="AG455" s="145" t="n"/>
      <c r="AH455" s="145" t="n"/>
      <c r="AI455" s="145" t="n"/>
      <c r="AJ455" s="145" t="n"/>
      <c r="AK455" s="411" t="inlineStr">
        <is>
          <t>RECORD LEASE FOR 7,060 SF; GBA = 7555. USE GBA -CORRECTED PARCEL# ON RETURN</t>
        </is>
      </c>
      <c r="AM455" s="605" t="n"/>
    </row>
    <row r="456" ht="12.75" customHeight="1" s="545">
      <c r="A456" s="388" t="n">
        <v>7</v>
      </c>
      <c r="B456" s="605" t="n">
        <v>448</v>
      </c>
      <c r="C456" s="384" t="inlineStr">
        <is>
          <t>2011Q</t>
        </is>
      </c>
      <c r="D456" s="605" t="inlineStr">
        <is>
          <t xml:space="preserve">05091-08-001-000 </t>
        </is>
      </c>
      <c r="E456" s="407" t="inlineStr">
        <is>
          <t>Actual</t>
        </is>
      </c>
      <c r="F456" s="605" t="inlineStr">
        <is>
          <t>490   SANTA FE            DR</t>
        </is>
      </c>
      <c r="G456" s="392" t="n">
        <v>42.1</v>
      </c>
      <c r="H456" s="378" t="n">
        <v>9505</v>
      </c>
      <c r="I456" s="403" t="n">
        <v>3</v>
      </c>
      <c r="J456" s="404" t="n">
        <v>4020</v>
      </c>
      <c r="K456" s="408" t="n">
        <v>7.99253731343284</v>
      </c>
      <c r="L456" s="409" t="n">
        <v>0</v>
      </c>
      <c r="M456" s="409" t="n">
        <v>0.0682539682539683</v>
      </c>
      <c r="N456" s="378" t="n">
        <v>1975</v>
      </c>
      <c r="O456" s="393" t="n">
        <v>705</v>
      </c>
      <c r="Q456" s="605" t="n">
        <v>17</v>
      </c>
      <c r="R456" s="605" t="n">
        <v>1</v>
      </c>
      <c r="S456" s="605" t="n">
        <v>1</v>
      </c>
      <c r="T456" s="403" t="inlineStr">
        <is>
          <t xml:space="preserve">B4   </t>
        </is>
      </c>
      <c r="U456" s="403" t="n">
        <v>401</v>
      </c>
      <c r="V456" s="404" t="n">
        <v>5247</v>
      </c>
      <c r="W456" s="404" t="n">
        <v>5000</v>
      </c>
      <c r="X456" s="410" t="inlineStr">
        <is>
          <t>1.3:1</t>
        </is>
      </c>
      <c r="Y456" s="404" t="n">
        <v>4000</v>
      </c>
      <c r="Z456" s="403" t="inlineStr">
        <is>
          <t xml:space="preserve">C </t>
        </is>
      </c>
      <c r="AC456" s="378" t="n"/>
      <c r="AD456" s="384" t="inlineStr">
        <is>
          <t xml:space="preserve">S-W                 </t>
        </is>
      </c>
      <c r="AE456" s="145" t="n"/>
      <c r="AF456" s="145" t="n"/>
      <c r="AG456" s="145" t="n"/>
      <c r="AH456" s="145" t="n"/>
      <c r="AI456" s="145" t="n"/>
      <c r="AJ456" s="145" t="n"/>
      <c r="AK456" s="411" t="n"/>
      <c r="AM456" s="605" t="n"/>
    </row>
    <row r="457" ht="12.75" customHeight="1" s="545">
      <c r="A457" s="388" t="n">
        <v>7</v>
      </c>
      <c r="B457" s="605" t="n">
        <v>449</v>
      </c>
      <c r="C457" s="384" t="inlineStr">
        <is>
          <t>2011Q</t>
        </is>
      </c>
      <c r="D457" s="605" t="inlineStr">
        <is>
          <t xml:space="preserve">05091-20-016-000 </t>
        </is>
      </c>
      <c r="E457" s="407" t="inlineStr">
        <is>
          <t>Actual</t>
        </is>
      </c>
      <c r="F457" s="605" t="inlineStr">
        <is>
          <t>275   KALAMATH            ST</t>
        </is>
      </c>
      <c r="G457" s="392" t="n">
        <v>44.2</v>
      </c>
      <c r="H457" s="378" t="n">
        <v>9505</v>
      </c>
      <c r="I457" s="403" t="n">
        <v>0</v>
      </c>
      <c r="J457" s="404" t="n">
        <v>17286</v>
      </c>
      <c r="K457" s="408" t="n">
        <v>5.32367233599445</v>
      </c>
      <c r="L457" s="409" t="n">
        <v>0</v>
      </c>
      <c r="M457" s="409" t="n">
        <v>0.0314045096441184</v>
      </c>
      <c r="N457" s="378" t="n">
        <v>1959</v>
      </c>
      <c r="O457" s="393" t="n">
        <v>2902</v>
      </c>
      <c r="Q457" s="605" t="n">
        <v>15</v>
      </c>
      <c r="R457" s="605" t="n">
        <v>3</v>
      </c>
      <c r="S457" s="605" t="n">
        <v>1</v>
      </c>
      <c r="T457" s="403" t="inlineStr">
        <is>
          <t xml:space="preserve">I1   </t>
        </is>
      </c>
      <c r="U457" s="403" t="n">
        <v>398</v>
      </c>
      <c r="V457" s="404" t="n">
        <v>36500</v>
      </c>
      <c r="W457" s="404" t="n">
        <v>37000</v>
      </c>
      <c r="X457" s="410" t="inlineStr">
        <is>
          <t>2.1:1</t>
        </is>
      </c>
      <c r="Y457" s="404" t="n">
        <v>17000</v>
      </c>
      <c r="Z457" s="403" t="inlineStr">
        <is>
          <t xml:space="preserve">C </t>
        </is>
      </c>
      <c r="AC457" s="378" t="n"/>
      <c r="AD457" s="384" t="inlineStr">
        <is>
          <t xml:space="preserve">WHSE DIST.          </t>
        </is>
      </c>
      <c r="AE457" s="145" t="n"/>
      <c r="AF457" s="145" t="n"/>
      <c r="AG457" s="145" t="n"/>
      <c r="AH457" s="145" t="n"/>
      <c r="AI457" s="145" t="n"/>
      <c r="AJ457" s="145" t="n"/>
      <c r="AK457" s="411" t="inlineStr">
        <is>
          <t xml:space="preserve">2008 LEASE.                                                       </t>
        </is>
      </c>
      <c r="AM457" s="605" t="n"/>
    </row>
    <row r="458" ht="12.75" customHeight="1" s="545">
      <c r="A458" s="388" t="n">
        <v>7</v>
      </c>
      <c r="B458" s="605" t="n">
        <v>450</v>
      </c>
      <c r="C458" s="384" t="inlineStr">
        <is>
          <t>2011Q</t>
        </is>
      </c>
      <c r="D458" s="605" t="inlineStr">
        <is>
          <t xml:space="preserve">05091-21-002-000 </t>
        </is>
      </c>
      <c r="E458" s="407" t="inlineStr">
        <is>
          <t>Actual</t>
        </is>
      </c>
      <c r="F458" s="605" t="inlineStr">
        <is>
          <t>200   KALAMATH            ST</t>
        </is>
      </c>
      <c r="G458" s="392" t="n">
        <v>44.2</v>
      </c>
      <c r="H458" s="378" t="n">
        <v>9505</v>
      </c>
      <c r="I458" s="403" t="n">
        <v>0</v>
      </c>
      <c r="J458" s="404" t="n">
        <v>7883</v>
      </c>
      <c r="K458" s="408" t="n">
        <v>3.19675250539135</v>
      </c>
      <c r="L458" s="409" t="n">
        <v>0</v>
      </c>
      <c r="M458" s="409" t="n">
        <v>0.0679761904761905</v>
      </c>
      <c r="N458" s="378" t="n">
        <v>1955</v>
      </c>
      <c r="O458" s="393" t="n">
        <v>3048</v>
      </c>
      <c r="Q458" s="605" t="n">
        <v>12</v>
      </c>
      <c r="R458" s="605" t="n">
        <v>3</v>
      </c>
      <c r="S458" s="605" t="n">
        <v>1</v>
      </c>
      <c r="T458" s="403" t="inlineStr">
        <is>
          <t xml:space="preserve">I1   </t>
        </is>
      </c>
      <c r="U458" s="403" t="n">
        <v>398</v>
      </c>
      <c r="V458" s="404" t="n">
        <v>14243</v>
      </c>
      <c r="W458" s="404" t="n">
        <v>14000</v>
      </c>
      <c r="X458" s="410" t="inlineStr">
        <is>
          <t>1.8:1</t>
        </is>
      </c>
      <c r="Y458" s="404" t="n">
        <v>8000</v>
      </c>
      <c r="Z458" s="403" t="inlineStr">
        <is>
          <t xml:space="preserve">C </t>
        </is>
      </c>
      <c r="AC458" s="378" t="n"/>
      <c r="AD458" s="384" t="n"/>
      <c r="AE458" s="145" t="n"/>
      <c r="AF458" s="145" t="n"/>
      <c r="AG458" s="145" t="n"/>
      <c r="AH458" s="145" t="n"/>
      <c r="AI458" s="145" t="n"/>
      <c r="AJ458" s="145" t="n"/>
      <c r="AK458" s="411" t="n"/>
      <c r="AM458" s="605" t="n"/>
    </row>
    <row r="459" ht="12.75" customHeight="1" s="545">
      <c r="A459" s="388" t="n">
        <v>7</v>
      </c>
      <c r="B459" s="605" t="n">
        <v>451</v>
      </c>
      <c r="C459" s="384" t="inlineStr">
        <is>
          <t>2011Q</t>
        </is>
      </c>
      <c r="D459" s="605" t="inlineStr">
        <is>
          <t xml:space="preserve">05092-00-076-000 </t>
        </is>
      </c>
      <c r="E459" s="407" t="inlineStr">
        <is>
          <t>Actual</t>
        </is>
      </c>
      <c r="F459" s="605" t="inlineStr">
        <is>
          <t>657   OSAGE               ST</t>
        </is>
      </c>
      <c r="G459" s="378" t="n">
        <v>44.1</v>
      </c>
      <c r="H459" s="378" t="n">
        <v>9505</v>
      </c>
      <c r="I459" s="403" t="n">
        <v>0</v>
      </c>
      <c r="J459" s="404" t="n">
        <v>9361</v>
      </c>
      <c r="K459" s="408" t="n">
        <v>4.42260442260442</v>
      </c>
      <c r="L459" s="409" t="n">
        <v>0</v>
      </c>
      <c r="M459" s="409" t="n">
        <v>0.0150966183574879</v>
      </c>
      <c r="N459" s="378" t="n">
        <v>1965</v>
      </c>
      <c r="O459" s="393" t="n">
        <v>1260</v>
      </c>
      <c r="Q459" s="605" t="n">
        <v>14</v>
      </c>
      <c r="R459" s="605" t="n">
        <v>1</v>
      </c>
      <c r="S459" s="605" t="n">
        <v>1</v>
      </c>
      <c r="T459" s="403" t="inlineStr">
        <is>
          <t xml:space="preserve">I1   </t>
        </is>
      </c>
      <c r="U459" s="403" t="n">
        <v>398</v>
      </c>
      <c r="V459" s="404" t="n">
        <v>17908</v>
      </c>
      <c r="W459" s="404" t="n">
        <v>18000</v>
      </c>
      <c r="X459" s="410" t="inlineStr">
        <is>
          <t>1.9:1</t>
        </is>
      </c>
      <c r="Y459" s="404" t="n">
        <v>9000</v>
      </c>
      <c r="Z459" s="403" t="inlineStr">
        <is>
          <t xml:space="preserve">C </t>
        </is>
      </c>
      <c r="AC459" s="378" t="n"/>
      <c r="AD459" s="384" t="n"/>
      <c r="AE459" s="145" t="n"/>
      <c r="AF459" s="145" t="n"/>
      <c r="AG459" s="145" t="n"/>
      <c r="AH459" s="145" t="n"/>
      <c r="AI459" s="145" t="n"/>
      <c r="AJ459" s="145" t="n"/>
      <c r="AK459" s="411" t="inlineStr">
        <is>
          <t xml:space="preserve">DATA FOR 2010 LEASE ENTERED.                                      </t>
        </is>
      </c>
      <c r="AM459" s="605" t="n"/>
    </row>
    <row r="460" ht="12.75" customHeight="1" s="545">
      <c r="A460" s="388" t="n">
        <v>7</v>
      </c>
      <c r="B460" s="605" t="n">
        <v>452</v>
      </c>
      <c r="C460" s="384" t="inlineStr">
        <is>
          <t>2011Q</t>
        </is>
      </c>
      <c r="D460" s="605" t="inlineStr">
        <is>
          <t xml:space="preserve">05092-06-015-000 </t>
        </is>
      </c>
      <c r="E460" s="407" t="inlineStr">
        <is>
          <t>Actual</t>
        </is>
      </c>
      <c r="F460" s="605" t="inlineStr">
        <is>
          <t>707   UMATILLA            ST</t>
        </is>
      </c>
      <c r="G460" s="378" t="n">
        <v>44.1</v>
      </c>
      <c r="H460" s="378" t="n">
        <v>9505</v>
      </c>
      <c r="I460" s="403" t="n">
        <v>0</v>
      </c>
      <c r="J460" s="404" t="n">
        <v>18270</v>
      </c>
      <c r="K460" s="408" t="n">
        <v>6.37181171319102</v>
      </c>
      <c r="L460" s="409" t="n">
        <v>0</v>
      </c>
      <c r="M460" s="409" t="n">
        <v>0.00438095401716303</v>
      </c>
      <c r="N460" s="378" t="n">
        <v>1982</v>
      </c>
      <c r="O460" s="393" t="n">
        <v>1128</v>
      </c>
      <c r="P460" s="393" t="n">
        <v>1293</v>
      </c>
      <c r="Q460" s="605" t="n">
        <v>17</v>
      </c>
      <c r="R460" s="605" t="n">
        <v>7</v>
      </c>
      <c r="S460" s="605" t="n">
        <v>1</v>
      </c>
      <c r="T460" s="403" t="inlineStr">
        <is>
          <t xml:space="preserve">I1   </t>
        </is>
      </c>
      <c r="U460" s="403" t="n">
        <v>398</v>
      </c>
      <c r="V460" s="404" t="n">
        <v>29950</v>
      </c>
      <c r="W460" s="404" t="n">
        <v>30000</v>
      </c>
      <c r="X460" s="410" t="inlineStr">
        <is>
          <t>1.6:1</t>
        </is>
      </c>
      <c r="Y460" s="404" t="n">
        <v>18000</v>
      </c>
      <c r="Z460" s="403" t="inlineStr">
        <is>
          <t xml:space="preserve">C </t>
        </is>
      </c>
      <c r="AC460" s="378" t="n"/>
      <c r="AD460" s="384" t="n"/>
      <c r="AE460" s="145" t="n"/>
      <c r="AF460" s="145" t="n"/>
      <c r="AG460" s="145" t="n"/>
      <c r="AH460" s="145" t="n"/>
      <c r="AI460" s="145" t="n"/>
      <c r="AJ460" s="145" t="n"/>
      <c r="AK460" s="411" t="n"/>
      <c r="AM460" s="605" t="n"/>
    </row>
    <row r="461" ht="12.75" customHeight="1" s="545">
      <c r="A461" s="388" t="n">
        <v>7</v>
      </c>
      <c r="B461" s="605" t="n">
        <v>453</v>
      </c>
      <c r="C461" s="384" t="inlineStr">
        <is>
          <t>2011Q</t>
        </is>
      </c>
      <c r="D461" s="605" t="inlineStr">
        <is>
          <t xml:space="preserve">05092-06-023-000 </t>
        </is>
      </c>
      <c r="E461" s="407" t="inlineStr">
        <is>
          <t>Actual</t>
        </is>
      </c>
      <c r="F461" s="605" t="inlineStr">
        <is>
          <t>777   UMATILLA            ST</t>
        </is>
      </c>
      <c r="G461" s="392" t="n">
        <v>47.1</v>
      </c>
      <c r="H461" s="378" t="n">
        <v>9505</v>
      </c>
      <c r="I461" s="403" t="n">
        <v>0</v>
      </c>
      <c r="J461" s="404" t="n">
        <v>15531</v>
      </c>
      <c r="K461" s="408" t="n">
        <v>5.13489150730797</v>
      </c>
      <c r="L461" s="409" t="n">
        <v>0.75</v>
      </c>
      <c r="M461" s="409" t="n">
        <v>0</v>
      </c>
      <c r="N461" s="378" t="n">
        <v>1962</v>
      </c>
      <c r="O461" s="393" t="n">
        <v>978</v>
      </c>
      <c r="Q461" s="605" t="n">
        <v>16</v>
      </c>
      <c r="R461" s="605" t="n">
        <v>1</v>
      </c>
      <c r="S461" s="605" t="n">
        <v>1</v>
      </c>
      <c r="T461" s="403" t="inlineStr">
        <is>
          <t xml:space="preserve">I1   </t>
        </is>
      </c>
      <c r="U461" s="403" t="n">
        <v>401</v>
      </c>
      <c r="V461" s="404" t="n">
        <v>27000</v>
      </c>
      <c r="W461" s="404" t="n">
        <v>27000</v>
      </c>
      <c r="X461" s="410" t="inlineStr">
        <is>
          <t>1.7:1</t>
        </is>
      </c>
      <c r="Y461" s="404" t="n">
        <v>16000</v>
      </c>
      <c r="Z461" s="403" t="inlineStr">
        <is>
          <t xml:space="preserve">C </t>
        </is>
      </c>
      <c r="AC461" s="378" t="n"/>
      <c r="AD461" s="384" t="inlineStr">
        <is>
          <t xml:space="preserve">VACANT              </t>
        </is>
      </c>
      <c r="AE461" s="145" t="n"/>
      <c r="AF461" s="145" t="n"/>
      <c r="AG461" s="145" t="n"/>
      <c r="AH461" s="145" t="n"/>
      <c r="AI461" s="145" t="n"/>
      <c r="AJ461" s="145" t="n"/>
      <c r="AK461" s="411" t="n"/>
      <c r="AM461" s="605" t="n"/>
    </row>
    <row r="462" ht="12.75" customHeight="1" s="545">
      <c r="A462" s="388" t="n">
        <v>7</v>
      </c>
      <c r="B462" s="605" t="n">
        <v>454</v>
      </c>
      <c r="C462" s="384" t="inlineStr">
        <is>
          <t>2011Q</t>
        </is>
      </c>
      <c r="D462" s="605" t="inlineStr">
        <is>
          <t xml:space="preserve">05092-07-013-000 </t>
        </is>
      </c>
      <c r="E462" s="407" t="inlineStr">
        <is>
          <t>Actual</t>
        </is>
      </c>
      <c r="F462" s="605" t="inlineStr">
        <is>
          <t>745   VALLEJO             ST</t>
        </is>
      </c>
      <c r="G462" s="378" t="n">
        <v>44.1</v>
      </c>
      <c r="H462" s="378" t="n">
        <v>9505</v>
      </c>
      <c r="I462" s="403" t="n">
        <v>0</v>
      </c>
      <c r="J462" s="404" t="n">
        <v>2800</v>
      </c>
      <c r="K462" s="408" t="n">
        <v>9.945</v>
      </c>
      <c r="L462" s="409" t="n">
        <v>0</v>
      </c>
      <c r="M462" s="409" t="n">
        <v>0.0706385118149824</v>
      </c>
      <c r="N462" s="378" t="n">
        <v>1964</v>
      </c>
      <c r="O462" s="393" t="n">
        <v>198</v>
      </c>
      <c r="Q462" s="605" t="n">
        <v>14</v>
      </c>
      <c r="R462" s="605" t="n">
        <v>3</v>
      </c>
      <c r="S462" s="605" t="n">
        <v>1</v>
      </c>
      <c r="T462" s="403" t="inlineStr">
        <is>
          <t xml:space="preserve">I1   </t>
        </is>
      </c>
      <c r="U462" s="403" t="n">
        <v>398</v>
      </c>
      <c r="V462" s="404" t="n">
        <v>6000</v>
      </c>
      <c r="W462" s="404" t="n">
        <v>6000</v>
      </c>
      <c r="X462" s="410" t="inlineStr">
        <is>
          <t>2.1:1</t>
        </is>
      </c>
      <c r="Y462" s="404" t="n">
        <v>3000</v>
      </c>
      <c r="Z462" s="403" t="inlineStr">
        <is>
          <t xml:space="preserve">C </t>
        </is>
      </c>
      <c r="AC462" s="378" t="n"/>
      <c r="AD462" s="384" t="inlineStr">
        <is>
          <t>S-W DENVER WIRE WORK</t>
        </is>
      </c>
      <c r="AE462" s="145" t="n"/>
      <c r="AF462" s="145" t="n"/>
      <c r="AG462" s="145" t="n"/>
      <c r="AH462" s="145" t="n"/>
      <c r="AI462" s="145" t="n"/>
      <c r="AJ462" s="145" t="n"/>
      <c r="AK462" s="411" t="inlineStr">
        <is>
          <t xml:space="preserve">2008 LEASE.                                                       </t>
        </is>
      </c>
      <c r="AM462" s="605" t="n"/>
    </row>
    <row r="463" ht="25.5" customHeight="1" s="545">
      <c r="A463" s="388" t="n">
        <v>7</v>
      </c>
      <c r="B463" s="605" t="n">
        <v>455</v>
      </c>
      <c r="C463" s="384" t="inlineStr">
        <is>
          <t>2011Q</t>
        </is>
      </c>
      <c r="D463" s="605" t="inlineStr">
        <is>
          <t xml:space="preserve">05092-07-032-000 </t>
        </is>
      </c>
      <c r="E463" s="407" t="inlineStr">
        <is>
          <t>Actual</t>
        </is>
      </c>
      <c r="F463" s="605" t="inlineStr">
        <is>
          <t>755   VALLEJO             ST</t>
        </is>
      </c>
      <c r="G463" s="392" t="n">
        <v>44.2</v>
      </c>
      <c r="H463" s="378" t="n">
        <v>9505</v>
      </c>
      <c r="I463" s="403" t="n">
        <v>0</v>
      </c>
      <c r="J463" s="404" t="n">
        <v>4928</v>
      </c>
      <c r="K463" s="408" t="n">
        <v>6.25</v>
      </c>
      <c r="L463" s="409" t="n">
        <v>0.59</v>
      </c>
      <c r="M463" s="409" t="n">
        <v>0.391038961038961</v>
      </c>
      <c r="N463" s="378" t="n">
        <v>1970</v>
      </c>
      <c r="O463" s="393" t="n">
        <v>5575</v>
      </c>
      <c r="Q463" s="605" t="n">
        <v>18</v>
      </c>
      <c r="R463" s="605" t="n">
        <v>1</v>
      </c>
      <c r="S463" s="605" t="n">
        <v>1</v>
      </c>
      <c r="T463" s="403" t="inlineStr">
        <is>
          <t xml:space="preserve">I1   </t>
        </is>
      </c>
      <c r="U463" s="403" t="n">
        <v>398</v>
      </c>
      <c r="V463" s="404" t="n">
        <v>18000</v>
      </c>
      <c r="W463" s="404" t="n">
        <v>18000</v>
      </c>
      <c r="X463" s="410" t="inlineStr">
        <is>
          <t>1.5:1</t>
        </is>
      </c>
      <c r="Y463" s="404" t="n">
        <v>5000</v>
      </c>
      <c r="Z463" s="403" t="inlineStr">
        <is>
          <t xml:space="preserve">C </t>
        </is>
      </c>
      <c r="AC463" s="378" t="n"/>
      <c r="AD463" s="384" t="inlineStr">
        <is>
          <t xml:space="preserve">M-W                 </t>
        </is>
      </c>
      <c r="AE463" s="145" t="n"/>
      <c r="AF463" s="145" t="n"/>
      <c r="AG463" s="145" t="n"/>
      <c r="AH463" s="145" t="n"/>
      <c r="AI463" s="145" t="n"/>
      <c r="AJ463" s="145" t="n"/>
      <c r="AK463" s="411" t="inlineStr">
        <is>
          <t xml:space="preserve">APPLY DATA FOR 4928 SF LEASED IN 2009; TOTAL 11867 SF BUILDING.   </t>
        </is>
      </c>
      <c r="AM463" s="605" t="n"/>
    </row>
    <row r="464" ht="12.75" customHeight="1" s="545">
      <c r="A464" s="388" t="n">
        <v>7</v>
      </c>
      <c r="B464" s="605" t="n">
        <v>456</v>
      </c>
      <c r="C464" s="384" t="inlineStr">
        <is>
          <t>2011Q</t>
        </is>
      </c>
      <c r="D464" s="605" t="inlineStr">
        <is>
          <t xml:space="preserve">05092-13-013-000 </t>
        </is>
      </c>
      <c r="E464" s="407" t="inlineStr">
        <is>
          <t>Actual</t>
        </is>
      </c>
      <c r="F464" s="605" t="inlineStr">
        <is>
          <t>2038 W 7TH                 AV</t>
        </is>
      </c>
      <c r="G464" s="378" t="n">
        <v>44.1</v>
      </c>
      <c r="H464" s="378" t="n">
        <v>9505</v>
      </c>
      <c r="I464" s="403" t="n">
        <v>0</v>
      </c>
      <c r="J464" s="404" t="n">
        <v>28364</v>
      </c>
      <c r="K464" s="408" t="n">
        <v>5.9060781272035</v>
      </c>
      <c r="L464" s="409" t="n">
        <v>0</v>
      </c>
      <c r="M464" s="409" t="n">
        <v>0.0065365329512894</v>
      </c>
      <c r="N464" s="378" t="n">
        <v>1961</v>
      </c>
      <c r="O464" s="393" t="n">
        <v>1967</v>
      </c>
      <c r="Q464" s="605" t="n">
        <v>13</v>
      </c>
      <c r="R464" s="605" t="n">
        <v>3</v>
      </c>
      <c r="S464" s="605" t="n">
        <v>1</v>
      </c>
      <c r="T464" s="403" t="inlineStr">
        <is>
          <t xml:space="preserve">I1   </t>
        </is>
      </c>
      <c r="U464" s="403" t="n">
        <v>398</v>
      </c>
      <c r="V464" s="404" t="n">
        <v>47476</v>
      </c>
      <c r="W464" s="404" t="n">
        <v>47000</v>
      </c>
      <c r="X464" s="410" t="inlineStr">
        <is>
          <t>1.7:1</t>
        </is>
      </c>
      <c r="Y464" s="404" t="n">
        <v>28000</v>
      </c>
      <c r="Z464" s="403" t="inlineStr">
        <is>
          <t xml:space="preserve">C </t>
        </is>
      </c>
      <c r="AC464" s="378" t="n"/>
      <c r="AD464" s="384" t="n"/>
      <c r="AE464" s="145" t="n"/>
      <c r="AF464" s="145" t="n"/>
      <c r="AG464" s="145" t="n"/>
      <c r="AH464" s="145" t="n"/>
      <c r="AI464" s="145" t="n"/>
      <c r="AJ464" s="145" t="n"/>
      <c r="AK464" s="411" t="n"/>
      <c r="AM464" s="605" t="n"/>
    </row>
    <row r="465" ht="12.75" customHeight="1" s="545">
      <c r="A465" s="388" t="n">
        <v>7</v>
      </c>
      <c r="B465" s="605" t="n">
        <v>457</v>
      </c>
      <c r="C465" s="384" t="inlineStr">
        <is>
          <t>2011Q</t>
        </is>
      </c>
      <c r="D465" s="605" t="inlineStr">
        <is>
          <t xml:space="preserve">05093-00-052-000 </t>
        </is>
      </c>
      <c r="E465" s="407" t="inlineStr">
        <is>
          <t>Actual</t>
        </is>
      </c>
      <c r="F465" s="605" t="inlineStr">
        <is>
          <t>163   VALLEJO             ST</t>
        </is>
      </c>
      <c r="G465" s="378" t="n">
        <v>44.1</v>
      </c>
      <c r="H465" s="378" t="n">
        <v>9508</v>
      </c>
      <c r="I465" s="403" t="n">
        <v>0</v>
      </c>
      <c r="J465" s="404" t="n">
        <v>4681</v>
      </c>
      <c r="K465" s="408" t="n">
        <v>11.0232856227302</v>
      </c>
      <c r="L465" s="409" t="n">
        <v>0</v>
      </c>
      <c r="M465" s="409" t="n">
        <v>0.0242635658914729</v>
      </c>
      <c r="N465" s="378" t="n">
        <v>1937</v>
      </c>
      <c r="O465" s="393" t="n">
        <v>700</v>
      </c>
      <c r="P465" s="393" t="n">
        <v>1922</v>
      </c>
      <c r="Q465" s="605" t="n">
        <v>18</v>
      </c>
      <c r="R465" s="605" t="n">
        <v>3</v>
      </c>
      <c r="S465" s="605" t="n">
        <v>1</v>
      </c>
      <c r="T465" s="403" t="inlineStr">
        <is>
          <t xml:space="preserve">I1   </t>
        </is>
      </c>
      <c r="U465" s="403" t="n">
        <v>398</v>
      </c>
      <c r="V465" s="404" t="n">
        <v>14136</v>
      </c>
      <c r="W465" s="404" t="n">
        <v>14000</v>
      </c>
      <c r="X465" s="410" t="inlineStr">
        <is>
          <t>3.0:1</t>
        </is>
      </c>
      <c r="Y465" s="404" t="n">
        <v>5000</v>
      </c>
      <c r="Z465" s="403" t="inlineStr">
        <is>
          <t xml:space="preserve">C </t>
        </is>
      </c>
      <c r="AC465" s="378" t="n"/>
      <c r="AD465" s="384" t="inlineStr">
        <is>
          <t>IAI CONSTRUCTION CO.</t>
        </is>
      </c>
      <c r="AE465" s="145" t="n"/>
      <c r="AF465" s="145" t="n"/>
      <c r="AG465" s="145" t="n"/>
      <c r="AH465" s="145" t="n"/>
      <c r="AI465" s="145" t="n"/>
      <c r="AJ465" s="145" t="n"/>
      <c r="AK465" s="411" t="n"/>
      <c r="AM465" s="605" t="n"/>
    </row>
    <row r="466" ht="25.5" customHeight="1" s="545">
      <c r="A466" s="388" t="n">
        <v>7</v>
      </c>
      <c r="B466" s="605" t="n">
        <v>458</v>
      </c>
      <c r="C466" s="384" t="inlineStr">
        <is>
          <t>2011Q</t>
        </is>
      </c>
      <c r="D466" s="605" t="inlineStr">
        <is>
          <t xml:space="preserve">05093-11-008-000 </t>
        </is>
      </c>
      <c r="E466" s="407" t="inlineStr">
        <is>
          <t>Actual</t>
        </is>
      </c>
      <c r="F466" s="605" t="inlineStr">
        <is>
          <t>145   YUMA                ST</t>
        </is>
      </c>
      <c r="G466" s="378" t="n">
        <v>44.1</v>
      </c>
      <c r="H466" s="378" t="n">
        <v>9508</v>
      </c>
      <c r="I466" s="403" t="n">
        <v>0</v>
      </c>
      <c r="J466" s="404" t="n">
        <v>6930</v>
      </c>
      <c r="K466" s="408" t="n">
        <v>6.14963924963925</v>
      </c>
      <c r="L466" s="409" t="n">
        <v>0</v>
      </c>
      <c r="M466" s="409" t="n">
        <v>0.30699016824272</v>
      </c>
      <c r="N466" s="378" t="n">
        <v>1965</v>
      </c>
      <c r="O466" s="393" t="n">
        <v>1260</v>
      </c>
      <c r="Q466" s="605" t="n">
        <v>13</v>
      </c>
      <c r="R466" s="605" t="n">
        <v>1</v>
      </c>
      <c r="S466" s="605" t="n">
        <v>1</v>
      </c>
      <c r="T466" s="403" t="inlineStr">
        <is>
          <t xml:space="preserve">I1   </t>
        </is>
      </c>
      <c r="U466" s="403" t="n">
        <v>398</v>
      </c>
      <c r="V466" s="404" t="n">
        <v>18900</v>
      </c>
      <c r="W466" s="404" t="n">
        <v>19000</v>
      </c>
      <c r="X466" s="410" t="inlineStr">
        <is>
          <t>2.7:1</t>
        </is>
      </c>
      <c r="Y466" s="404" t="n">
        <v>7000</v>
      </c>
      <c r="Z466" s="403" t="inlineStr">
        <is>
          <t xml:space="preserve">C </t>
        </is>
      </c>
      <c r="AC466" s="378" t="n"/>
      <c r="AD466" s="384" t="n"/>
      <c r="AE466" s="145" t="n"/>
      <c r="AF466" s="145" t="n"/>
      <c r="AG466" s="145" t="n"/>
      <c r="AH466" s="145" t="n"/>
      <c r="AI466" s="145" t="n"/>
      <c r="AJ466" s="145" t="n"/>
      <c r="AK466" s="411" t="inlineStr">
        <is>
          <t xml:space="preserve">OWNER PAYING TOO MUCH OF THE EXPENSE HERE.                        </t>
        </is>
      </c>
      <c r="AM466" s="605" t="n"/>
    </row>
    <row r="467" ht="12.75" customHeight="1" s="545">
      <c r="A467" s="388" t="n">
        <v>7</v>
      </c>
      <c r="B467" s="605" t="n">
        <v>459</v>
      </c>
      <c r="C467" s="384" t="inlineStr">
        <is>
          <t>2011Q</t>
        </is>
      </c>
      <c r="D467" s="605" t="inlineStr">
        <is>
          <t xml:space="preserve">05094-05-032-000 </t>
        </is>
      </c>
      <c r="E467" s="407" t="inlineStr">
        <is>
          <t>Actual</t>
        </is>
      </c>
      <c r="F467" s="605" t="inlineStr">
        <is>
          <t>1448 W CEDAR               AV</t>
        </is>
      </c>
      <c r="G467" s="378" t="n">
        <v>44.1</v>
      </c>
      <c r="H467" s="378" t="n">
        <v>9508</v>
      </c>
      <c r="I467" s="403" t="n">
        <v>0</v>
      </c>
      <c r="J467" s="404" t="n">
        <v>6300</v>
      </c>
      <c r="K467" s="408" t="n">
        <v>5.71428571428571</v>
      </c>
      <c r="L467" s="409" t="n">
        <v>0</v>
      </c>
      <c r="M467" s="409" t="n">
        <v>0.151861111111111</v>
      </c>
      <c r="N467" s="378" t="n">
        <v>1982</v>
      </c>
      <c r="O467" s="393" t="n">
        <v>929</v>
      </c>
      <c r="Q467" s="605" t="n">
        <v>15</v>
      </c>
      <c r="R467" s="605" t="n">
        <v>3</v>
      </c>
      <c r="S467" s="605" t="n">
        <v>1</v>
      </c>
      <c r="T467" s="403" t="inlineStr">
        <is>
          <t xml:space="preserve">I0   </t>
        </is>
      </c>
      <c r="U467" s="403" t="n">
        <v>398</v>
      </c>
      <c r="V467" s="404" t="n">
        <v>12500</v>
      </c>
      <c r="W467" s="404" t="n">
        <v>13000</v>
      </c>
      <c r="X467" s="410" t="inlineStr">
        <is>
          <t>2.0:1</t>
        </is>
      </c>
      <c r="Y467" s="404" t="n">
        <v>6000</v>
      </c>
      <c r="Z467" s="403" t="inlineStr">
        <is>
          <t xml:space="preserve">C </t>
        </is>
      </c>
      <c r="AC467" s="378" t="n"/>
      <c r="AD467" s="384" t="n"/>
      <c r="AE467" s="145" t="n"/>
      <c r="AF467" s="145" t="n"/>
      <c r="AG467" s="145" t="n"/>
      <c r="AH467" s="145" t="n"/>
      <c r="AI467" s="145" t="n"/>
      <c r="AJ467" s="145" t="n"/>
      <c r="AK467" s="411" t="n"/>
      <c r="AM467" s="605" t="n"/>
    </row>
    <row r="468" ht="12.75" customHeight="1" s="545">
      <c r="A468" s="388" t="n">
        <v>7</v>
      </c>
      <c r="B468" s="605" t="n">
        <v>460</v>
      </c>
      <c r="C468" s="384" t="inlineStr">
        <is>
          <t>2011Q</t>
        </is>
      </c>
      <c r="D468" s="605" t="inlineStr">
        <is>
          <t xml:space="preserve">05095-05-005-000 </t>
        </is>
      </c>
      <c r="E468" s="407" t="inlineStr">
        <is>
          <t>Actual</t>
        </is>
      </c>
      <c r="F468" s="605" t="inlineStr">
        <is>
          <t>1345 W BAYAUD              AV</t>
        </is>
      </c>
      <c r="G468" s="378" t="n">
        <v>44.1</v>
      </c>
      <c r="H468" s="378" t="n">
        <v>9508</v>
      </c>
      <c r="I468" s="403" t="n">
        <v>0</v>
      </c>
      <c r="J468" s="404" t="n">
        <v>3424</v>
      </c>
      <c r="K468" s="408" t="n">
        <v>7.00934579439252</v>
      </c>
      <c r="L468" s="409" t="n">
        <v>0</v>
      </c>
      <c r="M468" s="409" t="n">
        <v>0.285625</v>
      </c>
      <c r="N468" s="378" t="n">
        <v>1966</v>
      </c>
      <c r="O468" s="393" t="n">
        <v>1024</v>
      </c>
      <c r="Q468" s="605" t="n">
        <v>12</v>
      </c>
      <c r="R468" s="605" t="n">
        <v>7</v>
      </c>
      <c r="S468" s="605" t="n">
        <v>1</v>
      </c>
      <c r="T468" s="403" t="inlineStr">
        <is>
          <t xml:space="preserve">I2   </t>
        </is>
      </c>
      <c r="U468" s="403" t="n">
        <v>398</v>
      </c>
      <c r="V468" s="404" t="n">
        <v>21106</v>
      </c>
      <c r="W468" s="404" t="n">
        <v>21000</v>
      </c>
      <c r="X468" s="410" t="inlineStr">
        <is>
          <t>6.2:1</t>
        </is>
      </c>
      <c r="Y468" s="404" t="n">
        <v>3000</v>
      </c>
      <c r="Z468" s="403" t="inlineStr">
        <is>
          <t xml:space="preserve">C </t>
        </is>
      </c>
      <c r="AC468" s="378" t="n"/>
      <c r="AD468" s="384" t="inlineStr">
        <is>
          <t>S-W LINCOLN LANDSCPE</t>
        </is>
      </c>
      <c r="AE468" s="145" t="n"/>
      <c r="AF468" s="145" t="n"/>
      <c r="AG468" s="145" t="n"/>
      <c r="AH468" s="145" t="n"/>
      <c r="AI468" s="145" t="n"/>
      <c r="AJ468" s="145" t="n"/>
      <c r="AK468" s="411" t="inlineStr">
        <is>
          <t xml:space="preserve">2008 LEASE.                                                       </t>
        </is>
      </c>
      <c r="AM468" s="605" t="n"/>
    </row>
    <row r="469" ht="25.5" customHeight="1" s="545">
      <c r="A469" s="388" t="n">
        <v>7</v>
      </c>
      <c r="B469" s="605" t="n">
        <v>461</v>
      </c>
      <c r="C469" s="384" t="inlineStr">
        <is>
          <t>2011Q</t>
        </is>
      </c>
      <c r="D469" s="605" t="inlineStr">
        <is>
          <t xml:space="preserve">05095-08-006-000 </t>
        </is>
      </c>
      <c r="E469" s="407" t="inlineStr">
        <is>
          <t>Actual</t>
        </is>
      </c>
      <c r="F469" s="605" t="inlineStr">
        <is>
          <t>1340 W BAYAUD              AV</t>
        </is>
      </c>
      <c r="G469" s="378" t="n">
        <v>44.1</v>
      </c>
      <c r="H469" s="378" t="n">
        <v>9508</v>
      </c>
      <c r="I469" s="403" t="n">
        <v>0</v>
      </c>
      <c r="J469" s="404" t="n">
        <v>5350</v>
      </c>
      <c r="K469" s="408" t="n">
        <v>6.28130841121495</v>
      </c>
      <c r="L469" s="409" t="n">
        <v>0</v>
      </c>
      <c r="M469" s="409" t="n">
        <v>0.257937806873977</v>
      </c>
      <c r="N469" s="378" t="n">
        <v>1977</v>
      </c>
      <c r="O469" s="393" t="n">
        <v>699</v>
      </c>
      <c r="Q469" s="605" t="n">
        <v>21</v>
      </c>
      <c r="R469" s="605" t="n">
        <v>14</v>
      </c>
      <c r="S469" s="605" t="n">
        <v>1</v>
      </c>
      <c r="T469" s="403" t="inlineStr">
        <is>
          <t xml:space="preserve">I2   </t>
        </is>
      </c>
      <c r="U469" s="403" t="n">
        <v>398</v>
      </c>
      <c r="V469" s="404" t="n">
        <v>33457</v>
      </c>
      <c r="W469" s="404" t="n">
        <v>33000</v>
      </c>
      <c r="X469" s="410" t="inlineStr">
        <is>
          <t>1.5:1</t>
        </is>
      </c>
      <c r="Y469" s="404" t="n">
        <v>5000</v>
      </c>
      <c r="Z469" s="403" t="inlineStr">
        <is>
          <t xml:space="preserve">C </t>
        </is>
      </c>
      <c r="AC469" s="378" t="n"/>
      <c r="AD469" s="384" t="inlineStr">
        <is>
          <t xml:space="preserve">M-W                 </t>
        </is>
      </c>
      <c r="AE469" s="145" t="n"/>
      <c r="AF469" s="145" t="n"/>
      <c r="AG469" s="145" t="n"/>
      <c r="AH469" s="145" t="n"/>
      <c r="AI469" s="145" t="n"/>
      <c r="AJ469" s="145" t="n"/>
      <c r="AK469" s="411" t="inlineStr">
        <is>
          <t xml:space="preserve">5350 SF 2010 LEASE USED FOR ENTRY; TOTAL BLDG AREA 21450 SF.      </t>
        </is>
      </c>
      <c r="AM469" s="605" t="n"/>
    </row>
    <row r="470" ht="12.75" customHeight="1" s="545">
      <c r="A470" s="388" t="n">
        <v>7</v>
      </c>
      <c r="B470" s="605" t="n">
        <v>462</v>
      </c>
      <c r="C470" s="384" t="inlineStr">
        <is>
          <t>2011Q</t>
        </is>
      </c>
      <c r="D470" s="605" t="inlineStr">
        <is>
          <t xml:space="preserve">05095-11-008-000 </t>
        </is>
      </c>
      <c r="E470" s="407" t="inlineStr">
        <is>
          <t>Actual</t>
        </is>
      </c>
      <c r="F470" s="605" t="inlineStr">
        <is>
          <t>1339 W CEDAR               AV</t>
        </is>
      </c>
      <c r="G470" s="378" t="n">
        <v>44.1</v>
      </c>
      <c r="H470" s="378" t="n">
        <v>9508</v>
      </c>
      <c r="I470" s="403" t="n">
        <v>0</v>
      </c>
      <c r="J470" s="404" t="n">
        <v>17155</v>
      </c>
      <c r="K470" s="408" t="n">
        <v>12.5910813174002</v>
      </c>
      <c r="L470" s="409" t="n">
        <v>0</v>
      </c>
      <c r="M470" s="409" t="n">
        <v>0</v>
      </c>
      <c r="N470" s="378" t="n">
        <v>1987</v>
      </c>
      <c r="O470" s="393" t="n">
        <v>1227</v>
      </c>
      <c r="Q470" s="605" t="n">
        <v>22</v>
      </c>
      <c r="R470" s="605" t="n">
        <v>3</v>
      </c>
      <c r="S470" s="605" t="n">
        <v>1</v>
      </c>
      <c r="T470" s="403" t="inlineStr">
        <is>
          <t xml:space="preserve">I2   </t>
        </is>
      </c>
      <c r="U470" s="403" t="n">
        <v>398</v>
      </c>
      <c r="V470" s="404" t="n">
        <v>29750</v>
      </c>
      <c r="W470" s="404" t="n">
        <v>30000</v>
      </c>
      <c r="X470" s="410" t="inlineStr">
        <is>
          <t>1.7:1</t>
        </is>
      </c>
      <c r="Y470" s="404" t="n">
        <v>17000</v>
      </c>
      <c r="Z470" s="403" t="inlineStr">
        <is>
          <t xml:space="preserve">C </t>
        </is>
      </c>
      <c r="AC470" s="378" t="n"/>
      <c r="AD470" s="384" t="inlineStr">
        <is>
          <t xml:space="preserve">S-W                 </t>
        </is>
      </c>
      <c r="AE470" s="145" t="n"/>
      <c r="AF470" s="145" t="n"/>
      <c r="AG470" s="145" t="n"/>
      <c r="AH470" s="145" t="n"/>
      <c r="AI470" s="145" t="n"/>
      <c r="AJ470" s="145" t="n"/>
      <c r="AK470" s="411" t="inlineStr">
        <is>
          <t xml:space="preserve">2008 LEASES.                                                      </t>
        </is>
      </c>
      <c r="AM470" s="605" t="n"/>
    </row>
    <row r="471" ht="12.75" customHeight="1" s="545">
      <c r="A471" s="388" t="n">
        <v>7</v>
      </c>
      <c r="B471" s="605" t="n">
        <v>463</v>
      </c>
      <c r="C471" s="384" t="inlineStr">
        <is>
          <t>2011Q</t>
        </is>
      </c>
      <c r="D471" s="605" t="inlineStr">
        <is>
          <t xml:space="preserve">05095-12-015-000 </t>
        </is>
      </c>
      <c r="E471" s="407" t="inlineStr">
        <is>
          <t>Actual</t>
        </is>
      </c>
      <c r="F471" s="605" t="inlineStr">
        <is>
          <t>240 S PECOS               ST</t>
        </is>
      </c>
      <c r="G471" s="378" t="n">
        <v>44.1</v>
      </c>
      <c r="H471" s="378" t="n">
        <v>9508</v>
      </c>
      <c r="I471" s="403" t="n">
        <v>0</v>
      </c>
      <c r="J471" s="404" t="n">
        <v>2905</v>
      </c>
      <c r="K471" s="408" t="n">
        <v>6.19621342512909</v>
      </c>
      <c r="L471" s="409" t="n">
        <v>0</v>
      </c>
      <c r="M471" s="409" t="n">
        <v>0</v>
      </c>
      <c r="N471" s="378" t="n">
        <v>1978</v>
      </c>
      <c r="O471" s="393" t="n">
        <v>350</v>
      </c>
      <c r="Q471" s="605" t="n">
        <v>14</v>
      </c>
      <c r="R471" s="605" t="n">
        <v>3</v>
      </c>
      <c r="S471" s="605" t="n">
        <v>1</v>
      </c>
      <c r="T471" s="403" t="inlineStr">
        <is>
          <t xml:space="preserve">I0   </t>
        </is>
      </c>
      <c r="U471" s="403" t="n">
        <v>398</v>
      </c>
      <c r="V471" s="404" t="n">
        <v>6875</v>
      </c>
      <c r="W471" s="404" t="n">
        <v>7000</v>
      </c>
      <c r="X471" s="410" t="inlineStr">
        <is>
          <t>2.4:1</t>
        </is>
      </c>
      <c r="Y471" s="404" t="n">
        <v>3000</v>
      </c>
      <c r="Z471" s="403" t="inlineStr">
        <is>
          <t xml:space="preserve">C </t>
        </is>
      </c>
      <c r="AC471" s="378" t="n"/>
      <c r="AD471" s="384" t="inlineStr">
        <is>
          <t>S-W UNTD MECH SYSTEM</t>
        </is>
      </c>
      <c r="AE471" s="145" t="n"/>
      <c r="AF471" s="145" t="n"/>
      <c r="AG471" s="145" t="n"/>
      <c r="AH471" s="145" t="n"/>
      <c r="AI471" s="145" t="n"/>
      <c r="AJ471" s="145" t="n"/>
      <c r="AK471" s="411" t="n"/>
      <c r="AM471" s="605" t="n"/>
    </row>
    <row r="472" ht="12.75" customHeight="1" s="545">
      <c r="A472" s="388" t="n">
        <v>7</v>
      </c>
      <c r="B472" s="605" t="n">
        <v>464</v>
      </c>
      <c r="C472" s="384" t="inlineStr">
        <is>
          <t>2011Q</t>
        </is>
      </c>
      <c r="D472" s="605" t="inlineStr">
        <is>
          <t xml:space="preserve">05095-13-008-000 </t>
        </is>
      </c>
      <c r="E472" s="407" t="inlineStr">
        <is>
          <t>Actual</t>
        </is>
      </c>
      <c r="F472" s="605" t="inlineStr">
        <is>
          <t>1254 W CEDAR               AV</t>
        </is>
      </c>
      <c r="G472" s="392" t="n">
        <v>44.2</v>
      </c>
      <c r="H472" s="378" t="n">
        <v>9508</v>
      </c>
      <c r="I472" s="403" t="n">
        <v>0</v>
      </c>
      <c r="J472" s="404" t="n">
        <v>4000</v>
      </c>
      <c r="K472" s="408" t="n">
        <v>6</v>
      </c>
      <c r="L472" s="409" t="n">
        <v>0</v>
      </c>
      <c r="M472" s="409" t="n">
        <v>0.483916666666667</v>
      </c>
      <c r="N472" s="378" t="n">
        <v>1979</v>
      </c>
      <c r="O472" s="393" t="n">
        <v>2242</v>
      </c>
      <c r="P472" s="393" t="n">
        <v>521</v>
      </c>
      <c r="Q472" s="605" t="n">
        <v>16</v>
      </c>
      <c r="R472" s="605" t="n">
        <v>3</v>
      </c>
      <c r="S472" s="605" t="n">
        <v>1</v>
      </c>
      <c r="T472" s="403" t="inlineStr">
        <is>
          <t xml:space="preserve">I0   </t>
        </is>
      </c>
      <c r="U472" s="403" t="n">
        <v>398</v>
      </c>
      <c r="V472" s="404" t="n">
        <v>10000</v>
      </c>
      <c r="W472" s="404" t="n">
        <v>10000</v>
      </c>
      <c r="X472" s="410" t="inlineStr">
        <is>
          <t>2.1:1</t>
        </is>
      </c>
      <c r="Y472" s="404" t="n">
        <v>4000</v>
      </c>
      <c r="Z472" s="403" t="inlineStr">
        <is>
          <t xml:space="preserve">C </t>
        </is>
      </c>
      <c r="AC472" s="378" t="n"/>
      <c r="AD472" s="384" t="inlineStr">
        <is>
          <t xml:space="preserve">PREMIER  PRINTING   </t>
        </is>
      </c>
      <c r="AE472" s="145" t="n"/>
      <c r="AF472" s="145" t="n"/>
      <c r="AG472" s="145" t="n"/>
      <c r="AH472" s="145" t="n"/>
      <c r="AI472" s="145" t="n"/>
      <c r="AJ472" s="145" t="n"/>
      <c r="AK472" s="411" t="inlineStr">
        <is>
          <t xml:space="preserve">MO-TO-MO LEASE.                                                   </t>
        </is>
      </c>
      <c r="AM472" s="605" t="n"/>
    </row>
    <row r="473" ht="12.75" customHeight="1" s="545">
      <c r="A473" s="388" t="n">
        <v>7</v>
      </c>
      <c r="B473" s="605" t="n">
        <v>465</v>
      </c>
      <c r="C473" s="384" t="inlineStr">
        <is>
          <t>2011Q</t>
        </is>
      </c>
      <c r="D473" s="605" t="inlineStr">
        <is>
          <t xml:space="preserve">05095-13-033-000 </t>
        </is>
      </c>
      <c r="E473" s="407" t="inlineStr">
        <is>
          <t>Actual</t>
        </is>
      </c>
      <c r="F473" s="605" t="inlineStr">
        <is>
          <t>1234 W CEDAR               AV</t>
        </is>
      </c>
      <c r="G473" s="392" t="n">
        <v>44.2</v>
      </c>
      <c r="H473" s="378" t="n">
        <v>9508</v>
      </c>
      <c r="I473" s="403" t="n">
        <v>0</v>
      </c>
      <c r="J473" s="404" t="n">
        <v>6558</v>
      </c>
      <c r="K473" s="408" t="n">
        <v>5.41323574260445</v>
      </c>
      <c r="L473" s="409" t="n">
        <v>0</v>
      </c>
      <c r="M473" s="409" t="n">
        <v>0</v>
      </c>
      <c r="N473" s="378" t="n">
        <v>1980</v>
      </c>
      <c r="O473" s="393" t="n">
        <v>2350</v>
      </c>
      <c r="Q473" s="605" t="n">
        <v>14</v>
      </c>
      <c r="R473" s="605" t="n">
        <v>3</v>
      </c>
      <c r="S473" s="605" t="n">
        <v>1</v>
      </c>
      <c r="T473" s="403" t="inlineStr">
        <is>
          <t xml:space="preserve">I0   </t>
        </is>
      </c>
      <c r="U473" s="403" t="n">
        <v>398</v>
      </c>
      <c r="V473" s="404" t="n">
        <v>12875</v>
      </c>
      <c r="W473" s="404" t="n">
        <v>13000</v>
      </c>
      <c r="X473" s="410" t="inlineStr">
        <is>
          <t>2.0:1</t>
        </is>
      </c>
      <c r="Y473" s="404" t="n">
        <v>7000</v>
      </c>
      <c r="Z473" s="403" t="inlineStr">
        <is>
          <t xml:space="preserve">C </t>
        </is>
      </c>
      <c r="AC473" s="378" t="n"/>
      <c r="AD473" s="384" t="n"/>
      <c r="AE473" s="145" t="n"/>
      <c r="AF473" s="145" t="n"/>
      <c r="AG473" s="145" t="n"/>
      <c r="AH473" s="145" t="n"/>
      <c r="AI473" s="145" t="n"/>
      <c r="AJ473" s="145" t="n"/>
      <c r="AK473" s="411" t="inlineStr">
        <is>
          <t xml:space="preserve">MO-TO-MO.  NO LEASE AGREEMENT.                                    </t>
        </is>
      </c>
      <c r="AM473" s="605" t="n"/>
    </row>
    <row r="474" ht="12.75" customHeight="1" s="545">
      <c r="A474" s="388" t="n">
        <v>7</v>
      </c>
      <c r="B474" s="605" t="n">
        <v>466</v>
      </c>
      <c r="C474" s="384" t="inlineStr">
        <is>
          <t>2011Q</t>
        </is>
      </c>
      <c r="D474" s="605" t="inlineStr">
        <is>
          <t xml:space="preserve">05095-15-045-000 </t>
        </is>
      </c>
      <c r="E474" s="407" t="inlineStr">
        <is>
          <t>Actual</t>
        </is>
      </c>
      <c r="F474" s="605" t="inlineStr">
        <is>
          <t>1340 W BYERS               PL</t>
        </is>
      </c>
      <c r="G474" s="392" t="n">
        <v>44.2</v>
      </c>
      <c r="H474" s="378" t="n">
        <v>9508</v>
      </c>
      <c r="I474" s="403" t="n">
        <v>0</v>
      </c>
      <c r="J474" s="404" t="n">
        <v>2000</v>
      </c>
      <c r="K474" s="408" t="n">
        <v>7.2</v>
      </c>
      <c r="L474" s="409" t="n">
        <v>0</v>
      </c>
      <c r="M474" s="409" t="n">
        <v>0.153194444444444</v>
      </c>
      <c r="N474" s="378" t="n">
        <v>1984</v>
      </c>
      <c r="O474" s="393" t="n">
        <v>2738</v>
      </c>
      <c r="Q474" s="605" t="n">
        <v>14</v>
      </c>
      <c r="R474" s="605" t="n">
        <v>3</v>
      </c>
      <c r="S474" s="605" t="n">
        <v>2</v>
      </c>
      <c r="T474" s="403" t="inlineStr">
        <is>
          <t xml:space="preserve">I0   </t>
        </is>
      </c>
      <c r="U474" s="403" t="n">
        <v>398</v>
      </c>
      <c r="V474" s="404" t="n">
        <v>12500</v>
      </c>
      <c r="W474" s="404" t="n">
        <v>13000</v>
      </c>
      <c r="X474" s="410" t="inlineStr">
        <is>
          <t>1.5:1</t>
        </is>
      </c>
      <c r="Y474" s="404" t="n">
        <v>2000</v>
      </c>
      <c r="Z474" s="403" t="inlineStr">
        <is>
          <t xml:space="preserve">C </t>
        </is>
      </c>
      <c r="AC474" s="378" t="n"/>
      <c r="AD474" s="384" t="n"/>
      <c r="AE474" s="145" t="n"/>
      <c r="AF474" s="145" t="n"/>
      <c r="AG474" s="145" t="n"/>
      <c r="AH474" s="145" t="n"/>
      <c r="AI474" s="145" t="n"/>
      <c r="AJ474" s="145" t="n"/>
      <c r="AK474" s="411" t="inlineStr">
        <is>
          <t xml:space="preserve">2000 SQ OF8142 SF BLDG IS LEASED.                                 </t>
        </is>
      </c>
      <c r="AM474" s="605" t="n"/>
    </row>
    <row r="475" ht="12.75" customHeight="1" s="545">
      <c r="A475" s="388" t="n">
        <v>7</v>
      </c>
      <c r="B475" s="605" t="n">
        <v>467</v>
      </c>
      <c r="C475" s="384" t="inlineStr">
        <is>
          <t>2011Q</t>
        </is>
      </c>
      <c r="D475" s="605" t="inlineStr">
        <is>
          <t xml:space="preserve">05096-04-038-000 </t>
        </is>
      </c>
      <c r="E475" s="407" t="inlineStr">
        <is>
          <t>Actual</t>
        </is>
      </c>
      <c r="F475" s="605" t="inlineStr">
        <is>
          <t>60   LIPAN               ST</t>
        </is>
      </c>
      <c r="G475" s="392" t="n">
        <v>44.2</v>
      </c>
      <c r="H475" s="378" t="n">
        <v>9505</v>
      </c>
      <c r="I475" s="403" t="n">
        <v>0</v>
      </c>
      <c r="J475" s="404" t="n">
        <v>4950</v>
      </c>
      <c r="K475" s="408" t="n">
        <v>6.4779797979798</v>
      </c>
      <c r="L475" s="409" t="n">
        <v>0</v>
      </c>
      <c r="M475" s="409" t="n">
        <v>0.061030374851868</v>
      </c>
      <c r="N475" s="378" t="n">
        <v>1966</v>
      </c>
      <c r="O475" s="393" t="n">
        <v>517</v>
      </c>
      <c r="Q475" s="605" t="n">
        <v>14</v>
      </c>
      <c r="R475" s="605" t="n">
        <v>3</v>
      </c>
      <c r="S475" s="605" t="n">
        <v>1</v>
      </c>
      <c r="T475" s="403" t="inlineStr">
        <is>
          <t xml:space="preserve">I1   </t>
        </is>
      </c>
      <c r="U475" s="403" t="n">
        <v>397</v>
      </c>
      <c r="V475" s="404" t="n">
        <v>7582</v>
      </c>
      <c r="W475" s="404" t="n">
        <v>8000</v>
      </c>
      <c r="X475" s="410" t="inlineStr">
        <is>
          <t>1.5:1</t>
        </is>
      </c>
      <c r="Y475" s="404" t="n">
        <v>5000</v>
      </c>
      <c r="Z475" s="403" t="inlineStr">
        <is>
          <t xml:space="preserve">C </t>
        </is>
      </c>
      <c r="AC475" s="378" t="n"/>
      <c r="AD475" s="384" t="inlineStr">
        <is>
          <t>S-W AAA METRIC SUPPL</t>
        </is>
      </c>
      <c r="AE475" s="145" t="n"/>
      <c r="AF475" s="145" t="n"/>
      <c r="AG475" s="145" t="n"/>
      <c r="AH475" s="145" t="n"/>
      <c r="AI475" s="145" t="n"/>
      <c r="AJ475" s="145" t="n"/>
      <c r="AK475" s="411" t="inlineStr">
        <is>
          <t xml:space="preserve">MO-TO-MO LEASE.                                                   </t>
        </is>
      </c>
      <c r="AM475" s="605" t="n"/>
    </row>
    <row r="476" ht="12.75" customHeight="1" s="545">
      <c r="A476" s="388" t="n">
        <v>7</v>
      </c>
      <c r="B476" s="605" t="n">
        <v>468</v>
      </c>
      <c r="C476" s="384" t="inlineStr">
        <is>
          <t>2011Q</t>
        </is>
      </c>
      <c r="D476" s="605" t="inlineStr">
        <is>
          <t xml:space="preserve">05096-04-057-000 </t>
        </is>
      </c>
      <c r="E476" s="407" t="inlineStr">
        <is>
          <t>Actual</t>
        </is>
      </c>
      <c r="F476" s="605" t="inlineStr">
        <is>
          <t>22   LIPAN               ST</t>
        </is>
      </c>
      <c r="G476" s="392" t="n">
        <v>47.2</v>
      </c>
      <c r="H476" s="378" t="n">
        <v>9505</v>
      </c>
      <c r="I476" s="403" t="n">
        <v>0</v>
      </c>
      <c r="J476" s="404" t="n">
        <v>7585</v>
      </c>
      <c r="K476" s="408" t="n">
        <v>7.11931443638761</v>
      </c>
      <c r="L476" s="409" t="n">
        <v>0</v>
      </c>
      <c r="M476" s="409" t="n">
        <v>0</v>
      </c>
      <c r="N476" s="378" t="n">
        <v>1957</v>
      </c>
      <c r="O476" s="393" t="n">
        <v>0</v>
      </c>
      <c r="Q476" s="605" t="n">
        <v>12</v>
      </c>
      <c r="R476" s="605" t="n">
        <v>3</v>
      </c>
      <c r="S476" s="605" t="n">
        <v>1</v>
      </c>
      <c r="T476" s="403" t="inlineStr">
        <is>
          <t xml:space="preserve">I1   </t>
        </is>
      </c>
      <c r="U476" s="403" t="n">
        <v>401</v>
      </c>
      <c r="V476" s="404" t="n">
        <v>19000</v>
      </c>
      <c r="W476" s="404" t="n">
        <v>19000</v>
      </c>
      <c r="X476" s="410" t="inlineStr">
        <is>
          <t>2.5:1</t>
        </is>
      </c>
      <c r="Y476" s="404" t="n">
        <v>8000</v>
      </c>
      <c r="Z476" s="403" t="inlineStr">
        <is>
          <t xml:space="preserve">C </t>
        </is>
      </c>
      <c r="AC476" s="378" t="n"/>
      <c r="AD476" s="384" t="n"/>
      <c r="AE476" s="145" t="n"/>
      <c r="AF476" s="145" t="n"/>
      <c r="AG476" s="145" t="n"/>
      <c r="AH476" s="145" t="n"/>
      <c r="AI476" s="145" t="n"/>
      <c r="AJ476" s="145" t="n"/>
      <c r="AK476" s="411" t="inlineStr">
        <is>
          <t xml:space="preserve">2008 LEASE.                                                       </t>
        </is>
      </c>
      <c r="AM476" s="605" t="n"/>
    </row>
    <row r="477" ht="12.75" customHeight="1" s="545">
      <c r="A477" s="388" t="n">
        <v>7</v>
      </c>
      <c r="B477" s="605" t="n">
        <v>469</v>
      </c>
      <c r="C477" s="384" t="inlineStr">
        <is>
          <t>2011Q</t>
        </is>
      </c>
      <c r="D477" s="605" t="inlineStr">
        <is>
          <t xml:space="preserve">05096-04-065-000 </t>
        </is>
      </c>
      <c r="E477" s="407" t="inlineStr">
        <is>
          <t>Actual</t>
        </is>
      </c>
      <c r="F477" s="605" t="inlineStr">
        <is>
          <t>5   KALAMATH            ST</t>
        </is>
      </c>
      <c r="G477" s="378" t="n">
        <v>44.1</v>
      </c>
      <c r="H477" s="378" t="n">
        <v>9505</v>
      </c>
      <c r="I477" s="403" t="n">
        <v>0</v>
      </c>
      <c r="J477" s="404" t="n">
        <v>5467</v>
      </c>
      <c r="K477" s="408" t="n">
        <v>9.438448875068589</v>
      </c>
      <c r="L477" s="409" t="n">
        <v>0</v>
      </c>
      <c r="M477" s="409" t="n">
        <v>0.0324031007751938</v>
      </c>
      <c r="N477" s="378" t="n">
        <v>1968</v>
      </c>
      <c r="O477" s="393" t="n">
        <v>1510</v>
      </c>
      <c r="Q477" s="605" t="n">
        <v>18</v>
      </c>
      <c r="R477" s="605" t="n">
        <v>3</v>
      </c>
      <c r="S477" s="605" t="n">
        <v>1</v>
      </c>
      <c r="T477" s="403" t="inlineStr">
        <is>
          <t xml:space="preserve">I1   </t>
        </is>
      </c>
      <c r="U477" s="403" t="n">
        <v>398</v>
      </c>
      <c r="V477" s="404" t="n">
        <v>11400</v>
      </c>
      <c r="W477" s="404" t="n">
        <v>11000</v>
      </c>
      <c r="X477" s="410" t="inlineStr">
        <is>
          <t>2.1:1</t>
        </is>
      </c>
      <c r="Y477" s="404" t="n">
        <v>5000</v>
      </c>
      <c r="Z477" s="403" t="inlineStr">
        <is>
          <t xml:space="preserve">C </t>
        </is>
      </c>
      <c r="AC477" s="378" t="n"/>
      <c r="AD477" s="384" t="inlineStr">
        <is>
          <t xml:space="preserve">DIST/S/T CO HOT TUB </t>
        </is>
      </c>
      <c r="AE477" s="145" t="n"/>
      <c r="AF477" s="145" t="n"/>
      <c r="AG477" s="145" t="n"/>
      <c r="AH477" s="145" t="n"/>
      <c r="AI477" s="145" t="n"/>
      <c r="AJ477" s="145" t="n"/>
      <c r="AK477" s="411" t="n"/>
      <c r="AM477" s="605" t="n"/>
    </row>
    <row r="478" ht="12.75" customHeight="1" s="545">
      <c r="A478" s="388" t="n">
        <v>7</v>
      </c>
      <c r="B478" s="605" t="n">
        <v>470</v>
      </c>
      <c r="C478" s="384" t="inlineStr">
        <is>
          <t>2011Q</t>
        </is>
      </c>
      <c r="D478" s="605" t="inlineStr">
        <is>
          <t xml:space="preserve">05096-18-016-000 </t>
        </is>
      </c>
      <c r="E478" s="407" t="inlineStr">
        <is>
          <t>Actual</t>
        </is>
      </c>
      <c r="F478" s="605" t="inlineStr">
        <is>
          <t>285 S SANTA FE            DR</t>
        </is>
      </c>
      <c r="G478" s="378" t="n">
        <v>44.1</v>
      </c>
      <c r="H478" s="378" t="n">
        <v>9505</v>
      </c>
      <c r="I478" s="403" t="n">
        <v>3</v>
      </c>
      <c r="J478" s="404" t="n">
        <v>6802</v>
      </c>
      <c r="K478" s="408" t="n">
        <v>7.70596883269627</v>
      </c>
      <c r="L478" s="409" t="n">
        <v>0</v>
      </c>
      <c r="M478" s="409" t="n">
        <v>0</v>
      </c>
      <c r="N478" s="378" t="n">
        <v>1971</v>
      </c>
      <c r="O478" s="393" t="n">
        <v>1338</v>
      </c>
      <c r="Q478" s="605" t="n">
        <v>20</v>
      </c>
      <c r="R478" s="605" t="n">
        <v>7</v>
      </c>
      <c r="S478" s="605" t="n">
        <v>1</v>
      </c>
      <c r="T478" s="403" t="inlineStr">
        <is>
          <t xml:space="preserve">I1   </t>
        </is>
      </c>
      <c r="U478" s="403" t="n">
        <v>398</v>
      </c>
      <c r="V478" s="404" t="n">
        <v>13864</v>
      </c>
      <c r="W478" s="404" t="n">
        <v>14000</v>
      </c>
      <c r="X478" s="410" t="inlineStr">
        <is>
          <t>2.0:1</t>
        </is>
      </c>
      <c r="Y478" s="404" t="n">
        <v>7000</v>
      </c>
      <c r="Z478" s="403" t="inlineStr">
        <is>
          <t xml:space="preserve">C </t>
        </is>
      </c>
      <c r="AC478" s="378" t="n"/>
      <c r="AD478" s="384" t="inlineStr">
        <is>
          <t xml:space="preserve">WHSE/DIST PLUMBING  </t>
        </is>
      </c>
      <c r="AE478" s="145" t="n"/>
      <c r="AF478" s="145" t="n"/>
      <c r="AG478" s="145" t="n"/>
      <c r="AH478" s="145" t="n"/>
      <c r="AI478" s="145" t="n"/>
      <c r="AJ478" s="145" t="n"/>
      <c r="AK478" s="411" t="n"/>
      <c r="AM478" s="605" t="n"/>
    </row>
    <row r="479" ht="25.5" customHeight="1" s="545">
      <c r="A479" s="388" t="n">
        <v>7</v>
      </c>
      <c r="B479" s="605" t="n">
        <v>471</v>
      </c>
      <c r="C479" s="384" t="inlineStr">
        <is>
          <t>2011Q</t>
        </is>
      </c>
      <c r="D479" s="605" t="inlineStr">
        <is>
          <t xml:space="preserve">05103-19-037-000 </t>
        </is>
      </c>
      <c r="E479" s="407" t="inlineStr">
        <is>
          <t>Actual</t>
        </is>
      </c>
      <c r="F479" s="605" t="inlineStr">
        <is>
          <t>185 W BAYAUD              AV</t>
        </is>
      </c>
      <c r="G479" s="378" t="n">
        <v>44.1</v>
      </c>
      <c r="H479" s="378" t="n">
        <v>9505</v>
      </c>
      <c r="I479" s="403" t="n">
        <v>0</v>
      </c>
      <c r="J479" s="404" t="n">
        <v>1305</v>
      </c>
      <c r="K479" s="408" t="n">
        <v>9.931034482758619</v>
      </c>
      <c r="L479" s="409" t="n">
        <v>0</v>
      </c>
      <c r="M479" s="409" t="n">
        <v>0</v>
      </c>
      <c r="N479" s="378" t="n">
        <v>1948</v>
      </c>
      <c r="O479" s="404" t="n">
        <v>100</v>
      </c>
      <c r="P479" s="404" t="n"/>
      <c r="Q479" s="605" t="n">
        <v>10</v>
      </c>
      <c r="R479" s="605" t="n">
        <v>7</v>
      </c>
      <c r="S479" s="605" t="n">
        <v>1</v>
      </c>
      <c r="T479" s="403" t="inlineStr">
        <is>
          <t xml:space="preserve">PUD  </t>
        </is>
      </c>
      <c r="U479" s="403" t="n">
        <v>398</v>
      </c>
      <c r="V479" s="404" t="n">
        <v>5900</v>
      </c>
      <c r="W479" s="404" t="n">
        <v>6000</v>
      </c>
      <c r="X479" s="410" t="inlineStr">
        <is>
          <t>4.5:1</t>
        </is>
      </c>
      <c r="Y479" s="404" t="n">
        <v>1000</v>
      </c>
      <c r="Z479" s="403" t="inlineStr">
        <is>
          <t xml:space="preserve">C </t>
        </is>
      </c>
      <c r="AC479" s="378" t="n"/>
      <c r="AD479" s="384" t="n"/>
      <c r="AE479" s="145" t="n"/>
      <c r="AF479" s="145" t="n"/>
      <c r="AG479" s="145" t="n"/>
      <c r="AH479" s="145" t="n"/>
      <c r="AI479" s="145" t="n"/>
      <c r="AJ479" s="145" t="n"/>
      <c r="AK479" s="411" t="inlineStr">
        <is>
          <t xml:space="preserve">TRIPLE NET LEASE, ONE TENANT (18-013 76%, 19-037 24%)             </t>
        </is>
      </c>
      <c r="AL479" s="605">
        <f>IF(AND(ISNUMBER($S479),$S479&gt;0,ISNUMBER($K479),ISNUMBER($J479)),($K479*$J479)/$S479,"")</f>
        <v/>
      </c>
    </row>
    <row r="480" ht="12.75" customHeight="1" s="545">
      <c r="A480" s="388" t="n">
        <v>7</v>
      </c>
      <c r="B480" s="605" t="n">
        <v>472</v>
      </c>
      <c r="C480" s="384" t="inlineStr">
        <is>
          <t>2011Q</t>
        </is>
      </c>
      <c r="D480" s="605" t="inlineStr">
        <is>
          <t xml:space="preserve">05113-05-001-000 </t>
        </is>
      </c>
      <c r="E480" s="407" t="inlineStr">
        <is>
          <t>Actual</t>
        </is>
      </c>
      <c r="F480" s="605" t="inlineStr">
        <is>
          <t>560   PEARL               ST</t>
        </is>
      </c>
      <c r="G480" s="392" t="n">
        <v>42.1</v>
      </c>
      <c r="H480" s="378" t="n">
        <v>9502</v>
      </c>
      <c r="I480" s="403" t="n">
        <v>0</v>
      </c>
      <c r="J480" s="404" t="n">
        <v>9147</v>
      </c>
      <c r="K480" s="408" t="n">
        <v>10.8867388214715</v>
      </c>
      <c r="L480" s="409" t="n">
        <v>0</v>
      </c>
      <c r="M480" s="409" t="n">
        <v>0.0547694841385405</v>
      </c>
      <c r="N480" s="378" t="n">
        <v>1935</v>
      </c>
      <c r="O480" s="393" t="n">
        <v>0</v>
      </c>
      <c r="Q480" s="605" t="n">
        <v>13</v>
      </c>
      <c r="R480" s="605" t="n">
        <v>1</v>
      </c>
      <c r="S480" s="605" t="n">
        <v>2</v>
      </c>
      <c r="T480" s="403" t="inlineStr">
        <is>
          <t xml:space="preserve">B2   </t>
        </is>
      </c>
      <c r="U480" s="403" t="n">
        <v>401</v>
      </c>
      <c r="V480" s="404" t="n">
        <v>12500</v>
      </c>
      <c r="W480" s="404" t="n">
        <v>13000</v>
      </c>
      <c r="X480" s="410" t="inlineStr">
        <is>
          <t>1.4:1</t>
        </is>
      </c>
      <c r="Y480" s="404" t="n">
        <v>9000</v>
      </c>
      <c r="Z480" s="403" t="inlineStr">
        <is>
          <t xml:space="preserve">C </t>
        </is>
      </c>
      <c r="AC480" s="378" t="n"/>
      <c r="AD480" s="384" t="inlineStr">
        <is>
          <t>HANNECK DRY CLEANERS</t>
        </is>
      </c>
      <c r="AE480" s="145" t="n"/>
      <c r="AF480" s="145" t="n"/>
      <c r="AG480" s="145" t="n"/>
      <c r="AH480" s="145" t="n"/>
      <c r="AI480" s="145" t="n"/>
      <c r="AJ480" s="145" t="n"/>
      <c r="AK480" s="411" t="n"/>
      <c r="AM480" s="605" t="n"/>
    </row>
    <row r="481" ht="12.75" customHeight="1" s="545">
      <c r="A481" s="388" t="n">
        <v>7</v>
      </c>
      <c r="B481" s="605" t="n">
        <v>473</v>
      </c>
      <c r="C481" s="384" t="inlineStr">
        <is>
          <t>2011Q</t>
        </is>
      </c>
      <c r="D481" s="605" t="inlineStr">
        <is>
          <t xml:space="preserve">05154-03-017-000 </t>
        </is>
      </c>
      <c r="E481" s="407" t="inlineStr">
        <is>
          <t>Actual</t>
        </is>
      </c>
      <c r="F481" s="605" t="inlineStr">
        <is>
          <t>1070 S GALAPAGO            ST</t>
        </is>
      </c>
      <c r="G481" s="392" t="n">
        <v>44.2</v>
      </c>
      <c r="H481" s="378" t="n">
        <v>9506</v>
      </c>
      <c r="I481" s="403" t="n">
        <v>0</v>
      </c>
      <c r="J481" s="404" t="n">
        <v>13570</v>
      </c>
      <c r="K481" s="408" t="n">
        <v>10.6116433308769</v>
      </c>
      <c r="L481" s="409" t="n">
        <v>0</v>
      </c>
      <c r="M481" s="409" t="n">
        <v>0</v>
      </c>
      <c r="N481" s="378" t="n">
        <v>1974</v>
      </c>
      <c r="O481" s="393" t="n">
        <v>3360</v>
      </c>
      <c r="Q481" s="605" t="n">
        <v>13</v>
      </c>
      <c r="R481" s="605" t="n">
        <v>3</v>
      </c>
      <c r="S481" s="605" t="n">
        <v>1</v>
      </c>
      <c r="T481" s="403" t="inlineStr">
        <is>
          <t xml:space="preserve">I1   </t>
        </is>
      </c>
      <c r="U481" s="403" t="n">
        <v>398</v>
      </c>
      <c r="V481" s="404" t="n">
        <v>53150</v>
      </c>
      <c r="W481" s="404" t="n">
        <v>53000</v>
      </c>
      <c r="X481" s="410" t="inlineStr">
        <is>
          <t>3.9:1</t>
        </is>
      </c>
      <c r="Y481" s="404" t="n">
        <v>14000</v>
      </c>
      <c r="Z481" s="403" t="inlineStr">
        <is>
          <t xml:space="preserve">C </t>
        </is>
      </c>
      <c r="AC481" s="378" t="n"/>
      <c r="AD481" s="384" t="n"/>
      <c r="AE481" s="145" t="n"/>
      <c r="AF481" s="145" t="n"/>
      <c r="AG481" s="145" t="n"/>
      <c r="AH481" s="145" t="n"/>
      <c r="AI481" s="145" t="n"/>
      <c r="AJ481" s="145" t="n"/>
      <c r="AK481" s="411" t="inlineStr">
        <is>
          <t xml:space="preserve">2008 LEASE.                                                       </t>
        </is>
      </c>
      <c r="AM481" s="605" t="n"/>
    </row>
    <row r="482" ht="25.5" customHeight="1" s="545">
      <c r="A482" s="388" t="n">
        <v>7</v>
      </c>
      <c r="B482" s="605" t="n">
        <v>474</v>
      </c>
      <c r="C482" s="384" t="inlineStr">
        <is>
          <t>2011Q</t>
        </is>
      </c>
      <c r="D482" s="605" t="inlineStr">
        <is>
          <t xml:space="preserve">05161-04-012-000 </t>
        </is>
      </c>
      <c r="E482" s="407" t="inlineStr">
        <is>
          <t>Actual</t>
        </is>
      </c>
      <c r="F482" s="605" t="inlineStr">
        <is>
          <t>360 S NAVAJO              ST</t>
        </is>
      </c>
      <c r="G482" s="392" t="n">
        <v>47.2</v>
      </c>
      <c r="H482" s="378" t="n">
        <v>9506</v>
      </c>
      <c r="I482" s="403" t="n">
        <v>0</v>
      </c>
      <c r="J482" s="404" t="n">
        <v>1626</v>
      </c>
      <c r="K482" s="408" t="n">
        <v>8.85608856088561</v>
      </c>
      <c r="L482" s="409" t="n">
        <v>0</v>
      </c>
      <c r="M482" s="409" t="n">
        <v>0.136597222222222</v>
      </c>
      <c r="N482" s="378" t="n">
        <v>1952</v>
      </c>
      <c r="O482" s="393" t="n">
        <v>126</v>
      </c>
      <c r="Q482" s="605" t="n">
        <v>12</v>
      </c>
      <c r="R482" s="605" t="n">
        <v>1</v>
      </c>
      <c r="S482" s="605" t="n">
        <v>1</v>
      </c>
      <c r="T482" s="403" t="inlineStr">
        <is>
          <t xml:space="preserve">I0   </t>
        </is>
      </c>
      <c r="U482" s="403" t="n">
        <v>401</v>
      </c>
      <c r="V482" s="404" t="n">
        <v>19817</v>
      </c>
      <c r="W482" s="404" t="n">
        <v>20000</v>
      </c>
      <c r="X482" s="410" t="inlineStr">
        <is>
          <t>3.0:1</t>
        </is>
      </c>
      <c r="Y482" s="404" t="n">
        <v>2000</v>
      </c>
      <c r="Z482" s="403" t="inlineStr">
        <is>
          <t xml:space="preserve">C </t>
        </is>
      </c>
      <c r="AC482" s="378" t="n"/>
      <c r="AD482" s="384" t="inlineStr">
        <is>
          <t xml:space="preserve">BLG GLASS COMPANY   </t>
        </is>
      </c>
      <c r="AE482" s="145" t="n"/>
      <c r="AF482" s="145" t="n"/>
      <c r="AG482" s="145" t="n"/>
      <c r="AH482" s="145" t="n"/>
      <c r="AI482" s="145" t="n"/>
      <c r="AJ482" s="145" t="n"/>
      <c r="AK482" s="411" t="inlineStr">
        <is>
          <t xml:space="preserve">ONLY RENTAL PORTION ENTERED; OWNER-OCC PORTION NOT ENTERED.       </t>
        </is>
      </c>
      <c r="AM482" s="605" t="n"/>
    </row>
    <row r="483" ht="12.75" customHeight="1" s="545">
      <c r="A483" s="388" t="n">
        <v>7</v>
      </c>
      <c r="B483" s="605" t="n">
        <v>475</v>
      </c>
      <c r="C483" s="384" t="inlineStr">
        <is>
          <t>2011Q</t>
        </is>
      </c>
      <c r="D483" s="605" t="inlineStr">
        <is>
          <t xml:space="preserve">05161-10-002-000 </t>
        </is>
      </c>
      <c r="E483" s="407" t="inlineStr">
        <is>
          <t>Actual</t>
        </is>
      </c>
      <c r="F483" s="605" t="inlineStr">
        <is>
          <t>1216 W VIRGINIA            AV</t>
        </is>
      </c>
      <c r="G483" s="392" t="n">
        <v>44.5</v>
      </c>
      <c r="H483" s="378" t="n">
        <v>9506</v>
      </c>
      <c r="I483" s="403" t="n">
        <v>0</v>
      </c>
      <c r="J483" s="404" t="n">
        <v>3485</v>
      </c>
      <c r="K483" s="408" t="n">
        <v>4.65423242467719</v>
      </c>
      <c r="L483" s="409" t="n">
        <v>0</v>
      </c>
      <c r="M483" s="409" t="n">
        <v>0.200184956843403</v>
      </c>
      <c r="N483" s="378" t="n">
        <v>1973</v>
      </c>
      <c r="O483" s="393" t="n">
        <v>0</v>
      </c>
      <c r="Q483" s="605" t="n">
        <v>12</v>
      </c>
      <c r="R483" s="605" t="n">
        <v>7</v>
      </c>
      <c r="S483" s="605" t="n">
        <v>20</v>
      </c>
      <c r="T483" s="403" t="inlineStr">
        <is>
          <t xml:space="preserve">I0   </t>
        </is>
      </c>
      <c r="U483" s="403" t="n">
        <v>396</v>
      </c>
      <c r="V483" s="404" t="n">
        <v>9375</v>
      </c>
      <c r="W483" s="404" t="n">
        <v>9000</v>
      </c>
      <c r="X483" s="410" t="inlineStr">
        <is>
          <t>2.7:1</t>
        </is>
      </c>
      <c r="Y483" s="404" t="n">
        <v>3000</v>
      </c>
      <c r="Z483" s="403" t="inlineStr">
        <is>
          <t xml:space="preserve">C </t>
        </is>
      </c>
      <c r="AC483" s="378" t="n"/>
      <c r="AD483" s="384" t="inlineStr">
        <is>
          <t xml:space="preserve">MINI STORAGE        </t>
        </is>
      </c>
      <c r="AE483" s="145" t="n"/>
      <c r="AF483" s="145" t="n"/>
      <c r="AG483" s="145" t="n"/>
      <c r="AH483" s="145" t="n"/>
      <c r="AI483" s="145" t="n"/>
      <c r="AJ483" s="145" t="n"/>
      <c r="AK483" s="411" t="n"/>
      <c r="AM483" s="605" t="n"/>
    </row>
    <row r="484" ht="12.75" customHeight="1" s="545">
      <c r="A484" s="388" t="n">
        <v>7</v>
      </c>
      <c r="B484" s="605" t="n">
        <v>476</v>
      </c>
      <c r="C484" s="384" t="inlineStr">
        <is>
          <t>2011Q</t>
        </is>
      </c>
      <c r="D484" s="605" t="inlineStr">
        <is>
          <t xml:space="preserve">05161-13-026-000 </t>
        </is>
      </c>
      <c r="E484" s="407" t="inlineStr">
        <is>
          <t>Actual</t>
        </is>
      </c>
      <c r="F484" s="605" t="inlineStr">
        <is>
          <t>1210 W CUSTER              PL</t>
        </is>
      </c>
      <c r="G484" s="392" t="n">
        <v>44.2</v>
      </c>
      <c r="H484" s="378" t="n">
        <v>9506</v>
      </c>
      <c r="I484" s="403" t="n">
        <v>0</v>
      </c>
      <c r="J484" s="404" t="n">
        <v>6000</v>
      </c>
      <c r="K484" s="408" t="n">
        <v>6.4</v>
      </c>
      <c r="L484" s="409" t="n">
        <v>0</v>
      </c>
      <c r="M484" s="409" t="n">
        <v>0.262552083333333</v>
      </c>
      <c r="N484" s="378" t="n">
        <v>1971</v>
      </c>
      <c r="O484" s="393" t="n">
        <v>630</v>
      </c>
      <c r="Q484" s="605" t="n">
        <v>13</v>
      </c>
      <c r="R484" s="605" t="n">
        <v>3</v>
      </c>
      <c r="S484" s="605" t="n">
        <v>1</v>
      </c>
      <c r="T484" s="403" t="inlineStr">
        <is>
          <t xml:space="preserve">I0   </t>
        </is>
      </c>
      <c r="U484" s="403" t="n">
        <v>398</v>
      </c>
      <c r="V484" s="404" t="n">
        <v>12500</v>
      </c>
      <c r="W484" s="404" t="n">
        <v>13000</v>
      </c>
      <c r="X484" s="410" t="inlineStr">
        <is>
          <t>2.1:1</t>
        </is>
      </c>
      <c r="Y484" s="404" t="n">
        <v>6000</v>
      </c>
      <c r="Z484" s="403" t="inlineStr">
        <is>
          <t xml:space="preserve">C </t>
        </is>
      </c>
      <c r="AC484" s="378" t="n"/>
      <c r="AD484" s="384" t="n"/>
      <c r="AE484" s="145" t="n"/>
      <c r="AF484" s="145" t="n"/>
      <c r="AG484" s="145" t="n"/>
      <c r="AH484" s="145" t="n"/>
      <c r="AI484" s="145" t="n"/>
      <c r="AJ484" s="145" t="n"/>
      <c r="AK484" s="411" t="n"/>
      <c r="AM484" s="605" t="n"/>
    </row>
    <row r="485" ht="12.75" customHeight="1" s="545">
      <c r="A485" s="388" t="n">
        <v>7</v>
      </c>
      <c r="B485" s="605" t="n">
        <v>477</v>
      </c>
      <c r="C485" s="384" t="inlineStr">
        <is>
          <t>2011Q</t>
        </is>
      </c>
      <c r="D485" s="605" t="inlineStr">
        <is>
          <t xml:space="preserve">05161-15-011-000 </t>
        </is>
      </c>
      <c r="E485" s="407" t="inlineStr">
        <is>
          <t>Actual</t>
        </is>
      </c>
      <c r="F485" s="605" t="inlineStr">
        <is>
          <t>621 S JASON               ST</t>
        </is>
      </c>
      <c r="G485" s="392" t="n">
        <v>44.2</v>
      </c>
      <c r="H485" s="378" t="n">
        <v>9506</v>
      </c>
      <c r="I485" s="403" t="n">
        <v>0</v>
      </c>
      <c r="J485" s="404" t="n">
        <v>18695</v>
      </c>
      <c r="K485" s="408" t="n">
        <v>3.20941428189355</v>
      </c>
      <c r="L485" s="409" t="n">
        <v>0</v>
      </c>
      <c r="M485" s="409" t="n">
        <v>0.06666666666666669</v>
      </c>
      <c r="N485" s="378" t="n">
        <v>1959</v>
      </c>
      <c r="O485" s="393" t="n">
        <v>1197</v>
      </c>
      <c r="Q485" s="605" t="n">
        <v>13</v>
      </c>
      <c r="R485" s="605" t="n">
        <v>1</v>
      </c>
      <c r="S485" s="605" t="n">
        <v>1</v>
      </c>
      <c r="T485" s="403" t="inlineStr">
        <is>
          <t xml:space="preserve">I1   </t>
        </is>
      </c>
      <c r="U485" s="403" t="n">
        <v>398</v>
      </c>
      <c r="V485" s="404" t="n">
        <v>38285</v>
      </c>
      <c r="W485" s="404" t="n">
        <v>38000</v>
      </c>
      <c r="X485" s="410" t="inlineStr">
        <is>
          <t>2.0:1</t>
        </is>
      </c>
      <c r="Y485" s="404" t="n">
        <v>19000</v>
      </c>
      <c r="Z485" s="403" t="inlineStr">
        <is>
          <t xml:space="preserve">C </t>
        </is>
      </c>
      <c r="AC485" s="378" t="n"/>
      <c r="AD485" s="384" t="n"/>
      <c r="AE485" s="145" t="n"/>
      <c r="AF485" s="145" t="n"/>
      <c r="AG485" s="145" t="n"/>
      <c r="AH485" s="145" t="n"/>
      <c r="AI485" s="145" t="n"/>
      <c r="AJ485" s="145" t="n"/>
      <c r="AK485" s="411" t="inlineStr">
        <is>
          <t xml:space="preserve">2008 LEASE.                                                       </t>
        </is>
      </c>
      <c r="AM485" s="605" t="n"/>
    </row>
    <row r="486" ht="12.75" customHeight="1" s="545">
      <c r="A486" s="388" t="n">
        <v>7</v>
      </c>
      <c r="B486" s="605" t="n">
        <v>478</v>
      </c>
      <c r="C486" s="384" t="inlineStr">
        <is>
          <t>2011Q</t>
        </is>
      </c>
      <c r="D486" s="605" t="inlineStr">
        <is>
          <t xml:space="preserve">05161-16-027-000 </t>
        </is>
      </c>
      <c r="E486" s="407" t="inlineStr">
        <is>
          <t>Actual</t>
        </is>
      </c>
      <c r="F486" s="605" t="inlineStr">
        <is>
          <t>1212 W CENTER              AV</t>
        </is>
      </c>
      <c r="G486" s="378" t="n">
        <v>44.1</v>
      </c>
      <c r="H486" s="378" t="n">
        <v>9506</v>
      </c>
      <c r="I486" s="403" t="n">
        <v>0</v>
      </c>
      <c r="J486" s="404" t="n">
        <v>2432</v>
      </c>
      <c r="K486" s="408" t="n">
        <v>8.63486842105263</v>
      </c>
      <c r="L486" s="409" t="n">
        <v>0</v>
      </c>
      <c r="M486" s="409" t="n">
        <v>0</v>
      </c>
      <c r="N486" s="378" t="n">
        <v>1997</v>
      </c>
      <c r="O486" s="393" t="n">
        <v>0</v>
      </c>
      <c r="Q486" s="605" t="n">
        <v>21</v>
      </c>
      <c r="R486" s="605" t="n">
        <v>3</v>
      </c>
      <c r="S486" s="605" t="n">
        <v>1</v>
      </c>
      <c r="T486" s="403" t="inlineStr">
        <is>
          <t xml:space="preserve">I0   </t>
        </is>
      </c>
      <c r="U486" s="403" t="n">
        <v>398</v>
      </c>
      <c r="V486" s="404" t="n">
        <v>37500</v>
      </c>
      <c r="W486" s="404" t="n">
        <v>38000</v>
      </c>
      <c r="X486" s="410" t="inlineStr">
        <is>
          <t>15.4:1</t>
        </is>
      </c>
      <c r="Y486" s="404" t="n">
        <v>2000</v>
      </c>
      <c r="Z486" s="403" t="inlineStr">
        <is>
          <t xml:space="preserve">C </t>
        </is>
      </c>
      <c r="AC486" s="378" t="n"/>
      <c r="AD486" s="384" t="inlineStr">
        <is>
          <t>S-W INTRMTN ELECTRIC</t>
        </is>
      </c>
      <c r="AE486" s="145" t="n"/>
      <c r="AF486" s="145" t="n"/>
      <c r="AG486" s="145" t="n"/>
      <c r="AH486" s="145" t="n"/>
      <c r="AI486" s="145" t="n"/>
      <c r="AJ486" s="145" t="n"/>
      <c r="AK486" s="411" t="n"/>
      <c r="AM486" s="605" t="n"/>
    </row>
    <row r="487" ht="25.5" customHeight="1" s="545">
      <c r="A487" s="388" t="n">
        <v>7</v>
      </c>
      <c r="B487" s="605" t="n">
        <v>479</v>
      </c>
      <c r="C487" s="384" t="inlineStr">
        <is>
          <t>2011Q</t>
        </is>
      </c>
      <c r="D487" s="605" t="inlineStr">
        <is>
          <t xml:space="preserve">05161-20-022-000 </t>
        </is>
      </c>
      <c r="E487" s="407" t="inlineStr">
        <is>
          <t>Actual</t>
        </is>
      </c>
      <c r="F487" s="605" t="inlineStr">
        <is>
          <t>687 S JASON               ST</t>
        </is>
      </c>
      <c r="G487" s="378" t="n">
        <v>44.1</v>
      </c>
      <c r="H487" s="378" t="n">
        <v>9506</v>
      </c>
      <c r="I487" s="403" t="n">
        <v>0</v>
      </c>
      <c r="J487" s="404" t="n">
        <v>2100</v>
      </c>
      <c r="K487" s="408" t="n">
        <v>6.85714285714286</v>
      </c>
      <c r="L487" s="409" t="n">
        <v>0</v>
      </c>
      <c r="M487" s="409" t="n">
        <v>0.385069444444445</v>
      </c>
      <c r="N487" s="378" t="n">
        <v>1963</v>
      </c>
      <c r="O487" s="393" t="n">
        <v>1057</v>
      </c>
      <c r="Q487" s="605" t="n">
        <v>13</v>
      </c>
      <c r="R487" s="605" t="n">
        <v>1</v>
      </c>
      <c r="S487" s="605" t="n">
        <v>2</v>
      </c>
      <c r="T487" s="403" t="inlineStr">
        <is>
          <t xml:space="preserve">I1   </t>
        </is>
      </c>
      <c r="U487" s="403" t="n">
        <v>398</v>
      </c>
      <c r="V487" s="404" t="n">
        <v>10027</v>
      </c>
      <c r="W487" s="404" t="n">
        <v>10000</v>
      </c>
      <c r="X487" s="410" t="inlineStr">
        <is>
          <t>1.5:1</t>
        </is>
      </c>
      <c r="Y487" s="404" t="n">
        <v>2000</v>
      </c>
      <c r="Z487" s="403" t="inlineStr">
        <is>
          <t xml:space="preserve">C </t>
        </is>
      </c>
      <c r="AC487" s="378" t="n"/>
      <c r="AD487" s="384" t="inlineStr">
        <is>
          <t xml:space="preserve">MOTHER TRUCKERS     </t>
        </is>
      </c>
      <c r="AE487" s="145" t="n"/>
      <c r="AF487" s="145" t="n"/>
      <c r="AG487" s="145" t="n"/>
      <c r="AH487" s="145" t="n"/>
      <c r="AI487" s="145" t="n"/>
      <c r="AJ487" s="145" t="n"/>
      <c r="AK487" s="411" t="inlineStr">
        <is>
          <t xml:space="preserve">DATA FOR 2100 SF BASE PERIOD LEASE ENTERED; BLDG 6585 SF          </t>
        </is>
      </c>
      <c r="AM487" s="605" t="n"/>
    </row>
    <row r="488" ht="12.75" customHeight="1" s="545">
      <c r="A488" s="388" t="n">
        <v>7</v>
      </c>
      <c r="B488" s="605" t="n">
        <v>480</v>
      </c>
      <c r="C488" s="384" t="inlineStr">
        <is>
          <t>2011Q</t>
        </is>
      </c>
      <c r="D488" s="605" t="inlineStr">
        <is>
          <t xml:space="preserve">05164-00-029-000 </t>
        </is>
      </c>
      <c r="E488" s="407" t="inlineStr">
        <is>
          <t>Actual</t>
        </is>
      </c>
      <c r="F488" s="605" t="inlineStr">
        <is>
          <t>1055 S JASON               ST</t>
        </is>
      </c>
      <c r="G488" s="392" t="n">
        <v>47.1</v>
      </c>
      <c r="H488" s="378" t="n">
        <v>9506</v>
      </c>
      <c r="I488" s="403" t="n">
        <v>0</v>
      </c>
      <c r="J488" s="404" t="n">
        <v>47216</v>
      </c>
      <c r="K488" s="408" t="n">
        <v>3.04981362250085</v>
      </c>
      <c r="L488" s="409" t="n">
        <v>0</v>
      </c>
      <c r="M488" s="409" t="n">
        <v>0.0694444444444445</v>
      </c>
      <c r="N488" s="378" t="n">
        <v>1956</v>
      </c>
      <c r="O488" s="393" t="n">
        <v>4642</v>
      </c>
      <c r="Q488" s="605" t="n">
        <v>14</v>
      </c>
      <c r="R488" s="605" t="n">
        <v>10</v>
      </c>
      <c r="S488" s="605" t="n">
        <v>1</v>
      </c>
      <c r="T488" s="403" t="inlineStr">
        <is>
          <t xml:space="preserve">I1   </t>
        </is>
      </c>
      <c r="U488" s="403" t="n">
        <v>401</v>
      </c>
      <c r="V488" s="404" t="n">
        <v>89364</v>
      </c>
      <c r="W488" s="404" t="n">
        <v>89000</v>
      </c>
      <c r="X488" s="410" t="inlineStr">
        <is>
          <t>1.9:1</t>
        </is>
      </c>
      <c r="Y488" s="404" t="n">
        <v>47000</v>
      </c>
      <c r="Z488" s="403" t="inlineStr">
        <is>
          <t xml:space="preserve">C </t>
        </is>
      </c>
      <c r="AC488" s="378" t="n"/>
      <c r="AD488" s="384" t="inlineStr">
        <is>
          <t xml:space="preserve">SPRING AIR MATTRESS </t>
        </is>
      </c>
      <c r="AE488" s="145" t="n"/>
      <c r="AF488" s="145" t="n"/>
      <c r="AG488" s="145" t="n"/>
      <c r="AH488" s="145" t="n"/>
      <c r="AI488" s="145" t="n"/>
      <c r="AJ488" s="145" t="n"/>
      <c r="AK488" s="411" t="n"/>
      <c r="AM488" s="605" t="n"/>
    </row>
    <row r="489" ht="25.5" customHeight="1" s="545">
      <c r="A489" s="388" t="n">
        <v>7</v>
      </c>
      <c r="B489" s="605" t="n">
        <v>481</v>
      </c>
      <c r="C489" s="384" t="inlineStr">
        <is>
          <t>2011Q</t>
        </is>
      </c>
      <c r="D489" s="605" t="inlineStr">
        <is>
          <t xml:space="preserve">05164-00-030-000 </t>
        </is>
      </c>
      <c r="E489" s="407" t="inlineStr">
        <is>
          <t>Actual</t>
        </is>
      </c>
      <c r="F489" s="605" t="inlineStr">
        <is>
          <t>1002 S JASON               ST</t>
        </is>
      </c>
      <c r="G489" s="392" t="n">
        <v>44.2</v>
      </c>
      <c r="H489" s="378" t="n">
        <v>9506</v>
      </c>
      <c r="I489" s="403" t="n">
        <v>0</v>
      </c>
      <c r="J489" s="404" t="n">
        <v>3000</v>
      </c>
      <c r="K489" s="408" t="n">
        <v>5.6</v>
      </c>
      <c r="L489" s="409" t="n">
        <v>0.2</v>
      </c>
      <c r="M489" s="409" t="n">
        <v>0.0941071428571429</v>
      </c>
      <c r="N489" s="378" t="n">
        <v>1954</v>
      </c>
      <c r="O489" s="393" t="n">
        <v>6211</v>
      </c>
      <c r="P489" s="393" t="n">
        <v>651</v>
      </c>
      <c r="Q489" s="605" t="n">
        <v>9</v>
      </c>
      <c r="R489" s="605" t="n">
        <v>3</v>
      </c>
      <c r="S489" s="605" t="n">
        <v>4</v>
      </c>
      <c r="T489" s="403" t="inlineStr">
        <is>
          <t xml:space="preserve">I1   </t>
        </is>
      </c>
      <c r="U489" s="403" t="n">
        <v>398</v>
      </c>
      <c r="V489" s="404" t="n">
        <v>52850</v>
      </c>
      <c r="W489" s="404" t="n">
        <v>53000</v>
      </c>
      <c r="X489" s="410" t="inlineStr">
        <is>
          <t>2.0:1</t>
        </is>
      </c>
      <c r="Y489" s="404" t="n">
        <v>3000</v>
      </c>
      <c r="Z489" s="403" t="inlineStr">
        <is>
          <t xml:space="preserve">C </t>
        </is>
      </c>
      <c r="AC489" s="378" t="n"/>
      <c r="AD489" s="384" t="inlineStr">
        <is>
          <t xml:space="preserve">DENVER STONE &amp; TILE </t>
        </is>
      </c>
      <c r="AE489" s="145" t="n"/>
      <c r="AF489" s="145" t="n"/>
      <c r="AG489" s="145" t="n"/>
      <c r="AH489" s="145" t="n"/>
      <c r="AI489" s="145" t="n"/>
      <c r="AJ489" s="145" t="n"/>
      <c r="AK489" s="411" t="inlineStr">
        <is>
          <t xml:space="preserve">DATA FOR 3000 SF UNIT WITH 2009 LEASE; FULL BLDG =26251 SF.       </t>
        </is>
      </c>
      <c r="AM489" s="605" t="n"/>
    </row>
    <row r="490" ht="12.75" customHeight="1" s="545">
      <c r="A490" s="388" t="n">
        <v>7</v>
      </c>
      <c r="B490" s="605" t="n">
        <v>482</v>
      </c>
      <c r="C490" s="384" t="inlineStr">
        <is>
          <t>2011Q</t>
        </is>
      </c>
      <c r="D490" s="605" t="inlineStr">
        <is>
          <t xml:space="preserve">05164-00-044-000 </t>
        </is>
      </c>
      <c r="E490" s="407" t="inlineStr">
        <is>
          <t>Actual</t>
        </is>
      </c>
      <c r="F490" s="605" t="inlineStr">
        <is>
          <t>991 S JASON               ST</t>
        </is>
      </c>
      <c r="G490" s="378" t="n">
        <v>44.1</v>
      </c>
      <c r="H490" s="378" t="n">
        <v>9506</v>
      </c>
      <c r="I490" s="403" t="n">
        <v>0</v>
      </c>
      <c r="J490" s="404" t="n">
        <v>9000</v>
      </c>
      <c r="K490" s="408" t="n">
        <v>5.26</v>
      </c>
      <c r="L490" s="409" t="n">
        <v>0</v>
      </c>
      <c r="M490" s="409" t="n">
        <v>0.169286016054077</v>
      </c>
      <c r="N490" s="378" t="n">
        <v>1961</v>
      </c>
      <c r="O490" s="393" t="n">
        <v>5930</v>
      </c>
      <c r="Q490" s="605" t="n">
        <v>12</v>
      </c>
      <c r="R490" s="605" t="n">
        <v>1</v>
      </c>
      <c r="S490" s="605" t="n">
        <v>1</v>
      </c>
      <c r="T490" s="403" t="inlineStr">
        <is>
          <t xml:space="preserve">I1   </t>
        </is>
      </c>
      <c r="U490" s="403" t="n">
        <v>398</v>
      </c>
      <c r="V490" s="404" t="n">
        <v>61862</v>
      </c>
      <c r="W490" s="404" t="n">
        <v>62000</v>
      </c>
      <c r="X490" s="410" t="inlineStr">
        <is>
          <t>1.6:1</t>
        </is>
      </c>
      <c r="Y490" s="404" t="n">
        <v>9000</v>
      </c>
      <c r="Z490" s="403" t="inlineStr">
        <is>
          <t xml:space="preserve">C </t>
        </is>
      </c>
      <c r="AC490" s="378" t="n"/>
      <c r="AD490" s="384" t="inlineStr">
        <is>
          <t>DIRECT MAIL SERVICES</t>
        </is>
      </c>
      <c r="AE490" s="145" t="n"/>
      <c r="AF490" s="145" t="n"/>
      <c r="AG490" s="145" t="n"/>
      <c r="AH490" s="145" t="n"/>
      <c r="AI490" s="145" t="n"/>
      <c r="AJ490" s="145" t="n"/>
      <c r="AK490" s="411" t="n"/>
      <c r="AM490" s="605" t="n"/>
    </row>
    <row r="491" ht="25.5" customHeight="1" s="545">
      <c r="A491" s="388" t="n">
        <v>7</v>
      </c>
      <c r="B491" s="605" t="n">
        <v>483</v>
      </c>
      <c r="C491" s="384" t="inlineStr">
        <is>
          <t>2011Q</t>
        </is>
      </c>
      <c r="D491" s="605" t="inlineStr">
        <is>
          <t xml:space="preserve">05164-00-082-000 </t>
        </is>
      </c>
      <c r="E491" s="407" t="inlineStr">
        <is>
          <t>Actual</t>
        </is>
      </c>
      <c r="F491" s="605" t="inlineStr">
        <is>
          <t>820 S LIPAN               ST</t>
        </is>
      </c>
      <c r="G491" s="392" t="n">
        <v>44.2</v>
      </c>
      <c r="H491" s="378" t="n">
        <v>9506</v>
      </c>
      <c r="I491" s="403" t="n">
        <v>0</v>
      </c>
      <c r="J491" s="404" t="n">
        <v>3835</v>
      </c>
      <c r="K491" s="408" t="n">
        <v>7.82268578878748</v>
      </c>
      <c r="L491" s="409" t="n">
        <v>0</v>
      </c>
      <c r="M491" s="409" t="n">
        <v>0</v>
      </c>
      <c r="N491" s="378" t="n">
        <v>1960</v>
      </c>
      <c r="O491" s="393" t="n">
        <v>672</v>
      </c>
      <c r="Q491" s="605" t="n">
        <v>12</v>
      </c>
      <c r="R491" s="605" t="n">
        <v>1</v>
      </c>
      <c r="S491" s="605" t="n">
        <v>1</v>
      </c>
      <c r="T491" s="403" t="inlineStr">
        <is>
          <t xml:space="preserve">I0   </t>
        </is>
      </c>
      <c r="U491" s="403" t="n">
        <v>398</v>
      </c>
      <c r="V491" s="404" t="n">
        <v>11040</v>
      </c>
      <c r="W491" s="404" t="n">
        <v>11000</v>
      </c>
      <c r="X491" s="410" t="inlineStr">
        <is>
          <t>2.9:1</t>
        </is>
      </c>
      <c r="Y491" s="404" t="n">
        <v>4000</v>
      </c>
      <c r="Z491" s="403" t="inlineStr">
        <is>
          <t xml:space="preserve">C </t>
        </is>
      </c>
      <c r="AC491" s="378" t="n"/>
      <c r="AD491" s="384" t="inlineStr">
        <is>
          <t xml:space="preserve">S-W RAINS FLO       </t>
        </is>
      </c>
      <c r="AE491" s="145" t="n"/>
      <c r="AF491" s="145" t="n"/>
      <c r="AG491" s="145" t="n"/>
      <c r="AH491" s="145" t="n"/>
      <c r="AI491" s="145" t="n"/>
      <c r="AJ491" s="145" t="n"/>
      <c r="AK491" s="411" t="inlineStr">
        <is>
          <t xml:space="preserve">DATE OF LEASE COMMENCEMENT UNKNOWN.                               </t>
        </is>
      </c>
      <c r="AM491" s="605" t="n"/>
    </row>
    <row r="492" ht="12.75" customHeight="1" s="545">
      <c r="A492" s="388" t="n">
        <v>7</v>
      </c>
      <c r="B492" s="605" t="n">
        <v>484</v>
      </c>
      <c r="C492" s="384" t="inlineStr">
        <is>
          <t>2011Q</t>
        </is>
      </c>
      <c r="D492" s="605" t="inlineStr">
        <is>
          <t xml:space="preserve">05164-00-084-000 </t>
        </is>
      </c>
      <c r="E492" s="407" t="inlineStr">
        <is>
          <t>Actual</t>
        </is>
      </c>
      <c r="F492" s="605" t="inlineStr">
        <is>
          <t>1141 W MISSISSIPPI         AV</t>
        </is>
      </c>
      <c r="G492" s="392" t="n">
        <v>44.2</v>
      </c>
      <c r="H492" s="378" t="n">
        <v>9506</v>
      </c>
      <c r="I492" s="403" t="n">
        <v>0</v>
      </c>
      <c r="J492" s="404" t="n">
        <v>4147</v>
      </c>
      <c r="K492" s="408" t="n">
        <v>6.49987943091391</v>
      </c>
      <c r="L492" s="409" t="n">
        <v>0</v>
      </c>
      <c r="M492" s="409" t="n">
        <v>0</v>
      </c>
      <c r="N492" s="378" t="n">
        <v>1956</v>
      </c>
      <c r="O492" s="393" t="n">
        <v>135</v>
      </c>
      <c r="Q492" s="605" t="n">
        <v>13</v>
      </c>
      <c r="R492" s="605" t="n">
        <v>3</v>
      </c>
      <c r="S492" s="605" t="n">
        <v>1</v>
      </c>
      <c r="T492" s="403" t="inlineStr">
        <is>
          <t xml:space="preserve">I1   </t>
        </is>
      </c>
      <c r="U492" s="403" t="n">
        <v>332</v>
      </c>
      <c r="V492" s="404" t="n">
        <v>11000</v>
      </c>
      <c r="W492" s="404" t="n">
        <v>11000</v>
      </c>
      <c r="X492" s="410" t="inlineStr">
        <is>
          <t>2.7:1</t>
        </is>
      </c>
      <c r="Y492" s="404" t="n">
        <v>4000</v>
      </c>
      <c r="Z492" s="403" t="inlineStr">
        <is>
          <t xml:space="preserve">C </t>
        </is>
      </c>
      <c r="AC492" s="378" t="n"/>
      <c r="AD492" s="384" t="inlineStr">
        <is>
          <t xml:space="preserve">ARAPAHOE SIGN ARTS  </t>
        </is>
      </c>
      <c r="AE492" s="145" t="n"/>
      <c r="AF492" s="145" t="n"/>
      <c r="AG492" s="145" t="n"/>
      <c r="AH492" s="145" t="n"/>
      <c r="AI492" s="145" t="n"/>
      <c r="AJ492" s="145" t="n"/>
      <c r="AK492" s="411" t="n"/>
      <c r="AM492" s="605" t="n"/>
    </row>
    <row r="493" ht="12.75" customHeight="1" s="545">
      <c r="A493" s="388" t="n">
        <v>7</v>
      </c>
      <c r="B493" s="605" t="n">
        <v>485</v>
      </c>
      <c r="C493" s="384" t="inlineStr">
        <is>
          <t>2011Q</t>
        </is>
      </c>
      <c r="D493" s="605" t="inlineStr">
        <is>
          <t xml:space="preserve">05181-17-024-000 </t>
        </is>
      </c>
      <c r="E493" s="407" t="inlineStr">
        <is>
          <t>Actual</t>
        </is>
      </c>
      <c r="F493" s="605" t="inlineStr">
        <is>
          <t>3615   MORRISON            RD</t>
        </is>
      </c>
      <c r="G493" s="378" t="n">
        <v>44.1</v>
      </c>
      <c r="H493" s="378" t="n">
        <v>9506</v>
      </c>
      <c r="I493" s="403" t="n">
        <v>5</v>
      </c>
      <c r="J493" s="404" t="n">
        <v>5274</v>
      </c>
      <c r="K493" s="408" t="n">
        <v>2.27531285551763</v>
      </c>
      <c r="L493" s="409" t="n">
        <v>0</v>
      </c>
      <c r="M493" s="409" t="n">
        <v>0</v>
      </c>
      <c r="N493" s="378" t="n">
        <v>1975</v>
      </c>
      <c r="O493" s="393" t="n">
        <v>1027</v>
      </c>
      <c r="Q493" s="605" t="n">
        <v>18</v>
      </c>
      <c r="R493" s="605" t="n">
        <v>8</v>
      </c>
      <c r="S493" s="605" t="n">
        <v>1</v>
      </c>
      <c r="T493" s="403" t="inlineStr">
        <is>
          <t xml:space="preserve">B4   </t>
        </is>
      </c>
      <c r="U493" s="403" t="n">
        <v>398</v>
      </c>
      <c r="V493" s="404" t="n">
        <v>14286</v>
      </c>
      <c r="W493" s="404" t="n">
        <v>14000</v>
      </c>
      <c r="X493" s="410" t="inlineStr">
        <is>
          <t>2.7:1</t>
        </is>
      </c>
      <c r="Y493" s="404" t="n">
        <v>5000</v>
      </c>
      <c r="Z493" s="403" t="inlineStr">
        <is>
          <t xml:space="preserve">C </t>
        </is>
      </c>
      <c r="AC493" s="378" t="n"/>
      <c r="AD493" s="384" t="n"/>
      <c r="AE493" s="145" t="n"/>
      <c r="AF493" s="145" t="n"/>
      <c r="AG493" s="145" t="n"/>
      <c r="AH493" s="145" t="n"/>
      <c r="AI493" s="145" t="n"/>
      <c r="AJ493" s="145" t="n"/>
      <c r="AK493" s="411" t="n"/>
      <c r="AM493" s="605" t="n"/>
    </row>
    <row r="494" ht="12.75" customHeight="1" s="545">
      <c r="A494" s="388" t="n">
        <v>7</v>
      </c>
      <c r="B494" s="605" t="n">
        <v>486</v>
      </c>
      <c r="C494" s="384" t="inlineStr">
        <is>
          <t>2011Q</t>
        </is>
      </c>
      <c r="D494" s="605" t="inlineStr">
        <is>
          <t xml:space="preserve">05181-20-014-000 </t>
        </is>
      </c>
      <c r="E494" s="407" t="inlineStr">
        <is>
          <t>Actual</t>
        </is>
      </c>
      <c r="F494" s="605" t="inlineStr">
        <is>
          <t>3715   MORRISON            RD</t>
        </is>
      </c>
      <c r="G494" s="378" t="n">
        <v>44.1</v>
      </c>
      <c r="H494" s="378" t="n">
        <v>9506</v>
      </c>
      <c r="I494" s="403" t="n">
        <v>5</v>
      </c>
      <c r="J494" s="404" t="n">
        <v>5077</v>
      </c>
      <c r="K494" s="408" t="n">
        <v>6.38172148906835</v>
      </c>
      <c r="L494" s="409" t="n">
        <v>0</v>
      </c>
      <c r="M494" s="409" t="n">
        <v>0</v>
      </c>
      <c r="N494" s="378" t="n">
        <v>1956</v>
      </c>
      <c r="O494" s="393" t="n">
        <v>480</v>
      </c>
      <c r="Q494" s="605" t="n">
        <v>15</v>
      </c>
      <c r="R494" s="605" t="n">
        <v>1</v>
      </c>
      <c r="S494" s="605" t="n">
        <v>1</v>
      </c>
      <c r="T494" s="403" t="inlineStr">
        <is>
          <t xml:space="preserve">B4   </t>
        </is>
      </c>
      <c r="U494" s="403" t="n">
        <v>398</v>
      </c>
      <c r="V494" s="404" t="n">
        <v>15254</v>
      </c>
      <c r="W494" s="404" t="n">
        <v>15000</v>
      </c>
      <c r="X494" s="410" t="inlineStr">
        <is>
          <t>3.0:1</t>
        </is>
      </c>
      <c r="Y494" s="404" t="n">
        <v>5000</v>
      </c>
      <c r="Z494" s="403" t="inlineStr">
        <is>
          <t xml:space="preserve">C </t>
        </is>
      </c>
      <c r="AC494" s="378" t="n"/>
      <c r="AD494" s="384" t="n"/>
      <c r="AE494" s="145" t="n"/>
      <c r="AF494" s="145" t="n"/>
      <c r="AG494" s="145" t="n"/>
      <c r="AH494" s="145" t="n"/>
      <c r="AI494" s="145" t="n"/>
      <c r="AJ494" s="145" t="n"/>
      <c r="AK494" s="411" t="n"/>
      <c r="AM494" s="605" t="n"/>
    </row>
    <row r="495" ht="12.75" customHeight="1" s="545">
      <c r="A495" s="388" t="n">
        <v>7</v>
      </c>
      <c r="B495" s="605" t="n">
        <v>487</v>
      </c>
      <c r="C495" s="384" t="inlineStr">
        <is>
          <t>2011Q</t>
        </is>
      </c>
      <c r="D495" s="605" t="inlineStr">
        <is>
          <t xml:space="preserve">05184-29-007-000 </t>
        </is>
      </c>
      <c r="E495" s="407" t="inlineStr">
        <is>
          <t>Actual</t>
        </is>
      </c>
      <c r="F495" s="605" t="inlineStr">
        <is>
          <t>1050 S QUITMAN             ST</t>
        </is>
      </c>
      <c r="G495" s="378" t="n">
        <v>44.1</v>
      </c>
      <c r="H495" s="378" t="n">
        <v>9506</v>
      </c>
      <c r="I495" s="403" t="n">
        <v>0</v>
      </c>
      <c r="J495" s="404" t="n">
        <v>2873</v>
      </c>
      <c r="K495" s="408" t="n">
        <v>6.265227984685</v>
      </c>
      <c r="L495" s="409" t="n">
        <v>0</v>
      </c>
      <c r="M495" s="409" t="n">
        <v>0.190444444444444</v>
      </c>
      <c r="N495" s="378" t="n">
        <v>1946</v>
      </c>
      <c r="O495" s="393" t="n">
        <v>595</v>
      </c>
      <c r="Q495" s="605" t="n">
        <v>11</v>
      </c>
      <c r="R495" s="605" t="n">
        <v>3</v>
      </c>
      <c r="S495" s="605" t="n">
        <v>1</v>
      </c>
      <c r="T495" s="403" t="inlineStr">
        <is>
          <t xml:space="preserve">R2   </t>
        </is>
      </c>
      <c r="U495" s="403" t="n">
        <v>398</v>
      </c>
      <c r="V495" s="404" t="n">
        <v>6350</v>
      </c>
      <c r="W495" s="404" t="n">
        <v>6000</v>
      </c>
      <c r="X495" s="410" t="inlineStr">
        <is>
          <t>2.2:1</t>
        </is>
      </c>
      <c r="Y495" s="404" t="n">
        <v>3000</v>
      </c>
      <c r="Z495" s="403" t="inlineStr">
        <is>
          <t xml:space="preserve">C </t>
        </is>
      </c>
      <c r="AC495" s="378" t="n"/>
      <c r="AD495" s="384" t="inlineStr">
        <is>
          <t>S-WNEW ERA CONSTRUCT</t>
        </is>
      </c>
      <c r="AE495" s="145" t="n"/>
      <c r="AF495" s="145" t="n"/>
      <c r="AG495" s="145" t="n"/>
      <c r="AH495" s="145" t="n"/>
      <c r="AI495" s="145" t="n"/>
      <c r="AJ495" s="145" t="n"/>
      <c r="AK495" s="411" t="n"/>
      <c r="AM495" s="605" t="n"/>
    </row>
    <row r="496" ht="12.75" customHeight="1" s="545">
      <c r="A496" s="388" t="n">
        <v>7</v>
      </c>
      <c r="B496" s="605" t="n">
        <v>488</v>
      </c>
      <c r="C496" s="384" t="inlineStr">
        <is>
          <t>2011Q</t>
        </is>
      </c>
      <c r="D496" s="605" t="inlineStr">
        <is>
          <t xml:space="preserve">05211-03-005-000 </t>
        </is>
      </c>
      <c r="E496" s="407" t="inlineStr">
        <is>
          <t>Actual</t>
        </is>
      </c>
      <c r="F496" s="605" t="inlineStr">
        <is>
          <t>1001 W ARIZONA             AV</t>
        </is>
      </c>
      <c r="G496" s="392" t="n">
        <v>44.2</v>
      </c>
      <c r="H496" s="378" t="n">
        <v>9506</v>
      </c>
      <c r="I496" s="403" t="n">
        <v>0</v>
      </c>
      <c r="J496" s="404" t="n">
        <v>6919</v>
      </c>
      <c r="K496" s="408" t="n">
        <v>5.88235294117647</v>
      </c>
      <c r="L496" s="409" t="n">
        <v>0</v>
      </c>
      <c r="M496" s="409" t="n">
        <v>0.0962653562653563</v>
      </c>
      <c r="N496" s="378" t="n">
        <v>1961</v>
      </c>
      <c r="O496" s="393" t="n">
        <v>1014</v>
      </c>
      <c r="Q496" s="605" t="n">
        <v>14</v>
      </c>
      <c r="R496" s="605" t="n">
        <v>1</v>
      </c>
      <c r="S496" s="605" t="n">
        <v>1</v>
      </c>
      <c r="T496" s="403" t="inlineStr">
        <is>
          <t xml:space="preserve">I2   </t>
        </is>
      </c>
      <c r="U496" s="403" t="n">
        <v>398</v>
      </c>
      <c r="V496" s="404" t="n">
        <v>19113</v>
      </c>
      <c r="W496" s="404" t="n">
        <v>19000</v>
      </c>
      <c r="X496" s="410" t="inlineStr">
        <is>
          <t>2.8:1</t>
        </is>
      </c>
      <c r="Y496" s="404" t="n">
        <v>7000</v>
      </c>
      <c r="Z496" s="403" t="inlineStr">
        <is>
          <t xml:space="preserve">C </t>
        </is>
      </c>
      <c r="AC496" s="378" t="n"/>
      <c r="AD496" s="384" t="inlineStr">
        <is>
          <t xml:space="preserve">TODAYS FITNESS      </t>
        </is>
      </c>
      <c r="AE496" s="145" t="n"/>
      <c r="AF496" s="145" t="n"/>
      <c r="AG496" s="145" t="n"/>
      <c r="AH496" s="145" t="n"/>
      <c r="AI496" s="145" t="n"/>
      <c r="AJ496" s="145" t="n"/>
      <c r="AK496" s="411" t="n"/>
      <c r="AM496" s="605" t="n"/>
    </row>
    <row r="497" ht="12.75" customHeight="1" s="545">
      <c r="A497" s="388" t="n">
        <v>7</v>
      </c>
      <c r="B497" s="605" t="n">
        <v>489</v>
      </c>
      <c r="C497" s="384" t="inlineStr">
        <is>
          <t>2011Q</t>
        </is>
      </c>
      <c r="D497" s="605" t="inlineStr">
        <is>
          <t xml:space="preserve">05211-03-033-000 </t>
        </is>
      </c>
      <c r="E497" s="407" t="inlineStr">
        <is>
          <t>Actual</t>
        </is>
      </c>
      <c r="F497" s="605" t="inlineStr">
        <is>
          <t>1178 S KALAMATH            ST</t>
        </is>
      </c>
      <c r="G497" s="392" t="n">
        <v>44.2</v>
      </c>
      <c r="H497" s="378" t="n">
        <v>9506</v>
      </c>
      <c r="I497" s="403" t="n">
        <v>0</v>
      </c>
      <c r="J497" s="404" t="n">
        <v>8000</v>
      </c>
      <c r="K497" s="408" t="n">
        <v>4.2495</v>
      </c>
      <c r="L497" s="409" t="n">
        <v>0</v>
      </c>
      <c r="M497" s="409" t="n">
        <v>0</v>
      </c>
      <c r="N497" s="378" t="n">
        <v>1975</v>
      </c>
      <c r="O497" s="393" t="n">
        <v>1000</v>
      </c>
      <c r="P497" s="393" t="n">
        <v>2000</v>
      </c>
      <c r="Q497" s="605" t="n">
        <v>13</v>
      </c>
      <c r="R497" s="605" t="n">
        <v>1</v>
      </c>
      <c r="S497" s="605" t="n">
        <v>1</v>
      </c>
      <c r="T497" s="403" t="inlineStr">
        <is>
          <t xml:space="preserve">I2   </t>
        </is>
      </c>
      <c r="U497" s="403" t="n">
        <v>398</v>
      </c>
      <c r="V497" s="404" t="n">
        <v>6477</v>
      </c>
      <c r="W497" s="404" t="n">
        <v>6000</v>
      </c>
      <c r="X497" s="410" t="inlineStr">
        <is>
          <t>0.8:1</t>
        </is>
      </c>
      <c r="Y497" s="404" t="n">
        <v>8000</v>
      </c>
      <c r="Z497" s="403" t="inlineStr">
        <is>
          <t xml:space="preserve">C </t>
        </is>
      </c>
      <c r="AC497" s="378" t="n"/>
      <c r="AD497" s="384" t="n"/>
      <c r="AE497" s="145" t="n"/>
      <c r="AF497" s="145" t="n"/>
      <c r="AG497" s="145" t="n"/>
      <c r="AH497" s="145" t="n"/>
      <c r="AI497" s="145" t="n"/>
      <c r="AJ497" s="145" t="n"/>
      <c r="AK497" s="411" t="n"/>
      <c r="AM497" s="605" t="n"/>
    </row>
    <row r="498" ht="12.75" customHeight="1" s="545">
      <c r="A498" s="388" t="n">
        <v>7</v>
      </c>
      <c r="B498" s="605" t="n">
        <v>490</v>
      </c>
      <c r="C498" s="384" t="inlineStr">
        <is>
          <t>2011Q</t>
        </is>
      </c>
      <c r="D498" s="605" t="inlineStr">
        <is>
          <t xml:space="preserve">05211-15-012-000 </t>
        </is>
      </c>
      <c r="E498" s="407" t="inlineStr">
        <is>
          <t>Actual</t>
        </is>
      </c>
      <c r="F498" s="605" t="inlineStr">
        <is>
          <t>1220 S JASON               ST</t>
        </is>
      </c>
      <c r="G498" s="392" t="n">
        <v>44.2</v>
      </c>
      <c r="H498" s="378" t="n">
        <v>9506</v>
      </c>
      <c r="I498" s="403" t="n">
        <v>0</v>
      </c>
      <c r="J498" s="404" t="n">
        <v>2610</v>
      </c>
      <c r="K498" s="408" t="n">
        <v>8.00766283524904</v>
      </c>
      <c r="L498" s="409" t="n">
        <v>0</v>
      </c>
      <c r="M498" s="409" t="n">
        <v>0.406411483253589</v>
      </c>
      <c r="N498" s="378" t="n">
        <v>1962</v>
      </c>
      <c r="O498" s="393" t="n">
        <v>750</v>
      </c>
      <c r="Q498" s="605" t="n">
        <v>12</v>
      </c>
      <c r="R498" s="605" t="n">
        <v>1</v>
      </c>
      <c r="S498" s="605" t="n">
        <v>1</v>
      </c>
      <c r="T498" s="403" t="inlineStr">
        <is>
          <t xml:space="preserve">I1   </t>
        </is>
      </c>
      <c r="U498" s="403" t="n">
        <v>398</v>
      </c>
      <c r="V498" s="404" t="n">
        <v>6350</v>
      </c>
      <c r="W498" s="404" t="n">
        <v>6000</v>
      </c>
      <c r="X498" s="410" t="inlineStr">
        <is>
          <t>2.4:1</t>
        </is>
      </c>
      <c r="Y498" s="404" t="n">
        <v>3000</v>
      </c>
      <c r="Z498" s="403" t="inlineStr">
        <is>
          <t xml:space="preserve">C </t>
        </is>
      </c>
      <c r="AC498" s="378" t="n"/>
      <c r="AD498" s="384" t="inlineStr">
        <is>
          <t xml:space="preserve">THOMAS-STUART INC.  </t>
        </is>
      </c>
      <c r="AE498" s="145" t="n"/>
      <c r="AF498" s="145" t="n"/>
      <c r="AG498" s="145" t="n"/>
      <c r="AH498" s="145" t="n"/>
      <c r="AI498" s="145" t="n"/>
      <c r="AJ498" s="145" t="n"/>
      <c r="AK498" s="411" t="inlineStr">
        <is>
          <t xml:space="preserve">2008 LEASE.                                                       </t>
        </is>
      </c>
      <c r="AM498" s="605" t="n"/>
    </row>
    <row r="499" ht="25.5" customHeight="1" s="545">
      <c r="A499" s="388" t="n">
        <v>7</v>
      </c>
      <c r="B499" s="605" t="n">
        <v>491</v>
      </c>
      <c r="C499" s="384" t="inlineStr">
        <is>
          <t>2011Q</t>
        </is>
      </c>
      <c r="D499" s="605" t="inlineStr">
        <is>
          <t xml:space="preserve">05211-16-028-000 </t>
        </is>
      </c>
      <c r="E499" s="407" t="inlineStr">
        <is>
          <t>Actual</t>
        </is>
      </c>
      <c r="F499" s="605" t="inlineStr">
        <is>
          <t>1257 S HURON               ST</t>
        </is>
      </c>
      <c r="G499" s="378" t="n">
        <v>44.1</v>
      </c>
      <c r="H499" s="378" t="n">
        <v>9506</v>
      </c>
      <c r="I499" s="403" t="n">
        <v>0</v>
      </c>
      <c r="J499" s="404" t="n">
        <v>600</v>
      </c>
      <c r="K499" s="408" t="n">
        <v>8.699999999999999</v>
      </c>
      <c r="L499" s="409" t="n">
        <v>0</v>
      </c>
      <c r="M499" s="409" t="n">
        <v>0.419731800766284</v>
      </c>
      <c r="N499" s="378" t="n">
        <v>1983</v>
      </c>
      <c r="O499" s="393" t="n">
        <v>775</v>
      </c>
      <c r="Q499" s="605" t="n">
        <v>14</v>
      </c>
      <c r="R499" s="605" t="n">
        <v>3</v>
      </c>
      <c r="S499" s="605" t="n">
        <v>1</v>
      </c>
      <c r="T499" s="403" t="inlineStr">
        <is>
          <t xml:space="preserve">I1   </t>
        </is>
      </c>
      <c r="U499" s="403" t="n">
        <v>398</v>
      </c>
      <c r="V499" s="404" t="n">
        <v>4504</v>
      </c>
      <c r="W499" s="404" t="n">
        <v>5000</v>
      </c>
      <c r="X499" s="410" t="inlineStr">
        <is>
          <t>2.2:1</t>
        </is>
      </c>
      <c r="Y499" s="404" t="n">
        <v>600</v>
      </c>
      <c r="Z499" s="403" t="inlineStr">
        <is>
          <t xml:space="preserve">C </t>
        </is>
      </c>
      <c r="AC499" s="378" t="n"/>
      <c r="AD499" s="384" t="inlineStr">
        <is>
          <t>M-W EAST/WEST DESIGN</t>
        </is>
      </c>
      <c r="AE499" s="145" t="n"/>
      <c r="AF499" s="145" t="n"/>
      <c r="AG499" s="145" t="n"/>
      <c r="AH499" s="145" t="n"/>
      <c r="AI499" s="145" t="n"/>
      <c r="AJ499" s="145" t="n"/>
      <c r="AK499" s="411" t="inlineStr">
        <is>
          <t xml:space="preserve">600 SF BASE PERIOD LEASE IN 2049 SF BUILDING.                     </t>
        </is>
      </c>
      <c r="AM499" s="605" t="n"/>
    </row>
    <row r="500" ht="12.75" customHeight="1" s="545">
      <c r="A500" s="388" t="n">
        <v>7</v>
      </c>
      <c r="B500" s="605" t="n">
        <v>492</v>
      </c>
      <c r="C500" s="384" t="inlineStr">
        <is>
          <t>2011Q</t>
        </is>
      </c>
      <c r="D500" s="605" t="inlineStr">
        <is>
          <t xml:space="preserve">05211-17-021-000 </t>
        </is>
      </c>
      <c r="E500" s="407" t="inlineStr">
        <is>
          <t>Actual</t>
        </is>
      </c>
      <c r="F500" s="605" t="inlineStr">
        <is>
          <t>1300 S INCA                ST</t>
        </is>
      </c>
      <c r="G500" s="392" t="n">
        <v>44.2</v>
      </c>
      <c r="H500" s="378" t="n">
        <v>9506</v>
      </c>
      <c r="I500" s="403" t="n">
        <v>0</v>
      </c>
      <c r="J500" s="404" t="n">
        <v>2400</v>
      </c>
      <c r="K500" s="408" t="n">
        <v>5</v>
      </c>
      <c r="L500" s="409" t="n">
        <v>0</v>
      </c>
      <c r="M500" s="409" t="n">
        <v>0</v>
      </c>
      <c r="N500" s="378" t="n">
        <v>1977</v>
      </c>
      <c r="O500" s="393" t="n">
        <v>240</v>
      </c>
      <c r="P500" s="393" t="n">
        <v>2400</v>
      </c>
      <c r="Q500" s="605" t="n">
        <v>16</v>
      </c>
      <c r="R500" s="605" t="n">
        <v>8</v>
      </c>
      <c r="S500" s="605" t="n">
        <v>1</v>
      </c>
      <c r="T500" s="403" t="inlineStr">
        <is>
          <t xml:space="preserve">I1   </t>
        </is>
      </c>
      <c r="U500" s="403" t="n">
        <v>398</v>
      </c>
      <c r="V500" s="404" t="n">
        <v>13500</v>
      </c>
      <c r="W500" s="404" t="n">
        <v>14000</v>
      </c>
      <c r="X500" s="410" t="inlineStr">
        <is>
          <t>2.8:1</t>
        </is>
      </c>
      <c r="Y500" s="404" t="n">
        <v>2000</v>
      </c>
      <c r="Z500" s="403" t="inlineStr">
        <is>
          <t xml:space="preserve">C </t>
        </is>
      </c>
      <c r="AC500" s="378" t="n"/>
      <c r="AD500" s="384" t="inlineStr">
        <is>
          <t xml:space="preserve">S-W GEI ELECTRIC    </t>
        </is>
      </c>
      <c r="AE500" s="145" t="n"/>
      <c r="AF500" s="145" t="n"/>
      <c r="AG500" s="145" t="n"/>
      <c r="AH500" s="145" t="n"/>
      <c r="AI500" s="145" t="n"/>
      <c r="AJ500" s="145" t="n"/>
      <c r="AK500" s="411" t="inlineStr">
        <is>
          <t xml:space="preserve">2008 LEASE ON 2400 SF OF 4867 SF BUILDING.                        </t>
        </is>
      </c>
      <c r="AM500" s="605" t="n"/>
    </row>
    <row r="501" ht="12.75" customHeight="1" s="545">
      <c r="A501" s="388" t="n">
        <v>7</v>
      </c>
      <c r="B501" s="605" t="n">
        <v>493</v>
      </c>
      <c r="C501" s="384" t="inlineStr">
        <is>
          <t>2011Q</t>
        </is>
      </c>
      <c r="D501" s="605" t="inlineStr">
        <is>
          <t xml:space="preserve">05211-18-004-000 </t>
        </is>
      </c>
      <c r="E501" s="407" t="inlineStr">
        <is>
          <t>Actual</t>
        </is>
      </c>
      <c r="F501" s="605" t="inlineStr">
        <is>
          <t>1371 S INCA                ST</t>
        </is>
      </c>
      <c r="G501" s="392" t="n">
        <v>44.2</v>
      </c>
      <c r="H501" s="378" t="n">
        <v>9506</v>
      </c>
      <c r="I501" s="403" t="n">
        <v>0</v>
      </c>
      <c r="J501" s="404" t="n">
        <v>9600</v>
      </c>
      <c r="K501" s="408" t="n">
        <v>6.4375</v>
      </c>
      <c r="L501" s="409" t="n">
        <v>0</v>
      </c>
      <c r="M501" s="409" t="n">
        <v>0.175760517799353</v>
      </c>
      <c r="N501" s="378" t="n">
        <v>1983</v>
      </c>
      <c r="O501" s="393" t="n">
        <v>1700</v>
      </c>
      <c r="Q501" s="605" t="n">
        <v>18</v>
      </c>
      <c r="R501" s="605" t="n">
        <v>3</v>
      </c>
      <c r="S501" s="605" t="n">
        <v>3</v>
      </c>
      <c r="T501" s="403" t="inlineStr">
        <is>
          <t xml:space="preserve">I1   </t>
        </is>
      </c>
      <c r="U501" s="403" t="n">
        <v>398</v>
      </c>
      <c r="V501" s="404" t="n">
        <v>12700</v>
      </c>
      <c r="W501" s="404" t="n">
        <v>13000</v>
      </c>
      <c r="X501" s="410" t="inlineStr">
        <is>
          <t>1.3:1</t>
        </is>
      </c>
      <c r="Y501" s="404" t="n">
        <v>10000</v>
      </c>
      <c r="Z501" s="403" t="inlineStr">
        <is>
          <t xml:space="preserve">C </t>
        </is>
      </c>
      <c r="AC501" s="378" t="n"/>
      <c r="AD501" s="384" t="inlineStr">
        <is>
          <t xml:space="preserve">KM GRAPHICS         </t>
        </is>
      </c>
      <c r="AE501" s="145" t="n"/>
      <c r="AF501" s="145" t="n"/>
      <c r="AG501" s="145" t="n"/>
      <c r="AH501" s="145" t="n"/>
      <c r="AI501" s="145" t="n"/>
      <c r="AJ501" s="145" t="n"/>
      <c r="AK501" s="145" t="inlineStr">
        <is>
          <t xml:space="preserve">FULL SERVICE LEASE HIGHLY ATYPICAL FOR WAREHOUSE USE.             </t>
        </is>
      </c>
      <c r="AM501" s="605" t="n"/>
    </row>
    <row r="502" ht="12.75" customHeight="1" s="545">
      <c r="A502" s="388" t="n">
        <v>7</v>
      </c>
      <c r="B502" s="605" t="n">
        <v>494</v>
      </c>
      <c r="C502" s="384" t="inlineStr">
        <is>
          <t>2011Q</t>
        </is>
      </c>
      <c r="D502" s="605" t="inlineStr">
        <is>
          <t xml:space="preserve">05211-18-028-000 </t>
        </is>
      </c>
      <c r="E502" s="407" t="inlineStr">
        <is>
          <t>Actual</t>
        </is>
      </c>
      <c r="F502" s="605" t="inlineStr">
        <is>
          <t>1385 S INCA                ST</t>
        </is>
      </c>
      <c r="G502" s="392" t="n">
        <v>44.2</v>
      </c>
      <c r="H502" s="378" t="n">
        <v>9506</v>
      </c>
      <c r="I502" s="403" t="n">
        <v>0</v>
      </c>
      <c r="J502" s="404" t="n">
        <v>7604</v>
      </c>
      <c r="K502" s="408" t="n">
        <v>5.60165702261967</v>
      </c>
      <c r="L502" s="409" t="n">
        <v>0</v>
      </c>
      <c r="M502" s="409" t="n">
        <v>0.140814649606761</v>
      </c>
      <c r="N502" s="378" t="n">
        <v>1961</v>
      </c>
      <c r="O502" s="393" t="n">
        <v>4601</v>
      </c>
      <c r="Q502" s="605" t="n">
        <v>12</v>
      </c>
      <c r="R502" s="605" t="n">
        <v>1</v>
      </c>
      <c r="S502" s="605" t="n">
        <v>2</v>
      </c>
      <c r="T502" s="403" t="inlineStr">
        <is>
          <t xml:space="preserve">I1   </t>
        </is>
      </c>
      <c r="U502" s="403" t="n">
        <v>398</v>
      </c>
      <c r="V502" s="404" t="n">
        <v>27746</v>
      </c>
      <c r="W502" s="404" t="n">
        <v>28000</v>
      </c>
      <c r="X502" s="410" t="inlineStr">
        <is>
          <t>2.5:1</t>
        </is>
      </c>
      <c r="Y502" s="404" t="n">
        <v>8000</v>
      </c>
      <c r="Z502" s="403" t="inlineStr">
        <is>
          <t xml:space="preserve">C </t>
        </is>
      </c>
      <c r="AC502" s="378" t="n"/>
      <c r="AD502" s="384" t="inlineStr">
        <is>
          <t xml:space="preserve">M-W                 </t>
        </is>
      </c>
      <c r="AE502" s="145" t="n"/>
      <c r="AF502" s="145" t="n"/>
      <c r="AG502" s="145" t="n"/>
      <c r="AH502" s="145" t="n"/>
      <c r="AI502" s="145" t="n"/>
      <c r="AJ502" s="145" t="n"/>
      <c r="AK502" s="145" t="inlineStr">
        <is>
          <t xml:space="preserve">ONLY USED RENTAL PORTION FOR ENTRY; OWNER-OCC NOT INCLUDED.       </t>
        </is>
      </c>
      <c r="AM502" s="605" t="n"/>
    </row>
    <row r="503" ht="12.75" customHeight="1" s="545">
      <c r="A503" s="388" t="n">
        <v>7</v>
      </c>
      <c r="B503" s="605" t="n">
        <v>495</v>
      </c>
      <c r="C503" s="384" t="inlineStr">
        <is>
          <t>2011Q</t>
        </is>
      </c>
      <c r="D503" s="605" t="inlineStr">
        <is>
          <t xml:space="preserve">05211-18-029-000 </t>
        </is>
      </c>
      <c r="E503" s="407" t="inlineStr">
        <is>
          <t>Actual</t>
        </is>
      </c>
      <c r="F503" s="605" t="inlineStr">
        <is>
          <t>1328 S JASON               ST</t>
        </is>
      </c>
      <c r="G503" s="392" t="n">
        <v>44.2</v>
      </c>
      <c r="H503" s="378" t="n">
        <v>9506</v>
      </c>
      <c r="I503" s="403" t="n">
        <v>0</v>
      </c>
      <c r="J503" s="404" t="n">
        <v>10000</v>
      </c>
      <c r="K503" s="408" t="n">
        <v>6</v>
      </c>
      <c r="L503" s="409" t="n">
        <v>0</v>
      </c>
      <c r="M503" s="409" t="n">
        <v>0</v>
      </c>
      <c r="N503" s="378" t="n">
        <v>1983</v>
      </c>
      <c r="O503" s="393" t="n">
        <v>2300</v>
      </c>
      <c r="Q503" s="605" t="n">
        <v>14</v>
      </c>
      <c r="R503" s="605" t="n">
        <v>3</v>
      </c>
      <c r="S503" s="605" t="n">
        <v>1</v>
      </c>
      <c r="T503" s="403" t="inlineStr">
        <is>
          <t xml:space="preserve">I1   </t>
        </is>
      </c>
      <c r="U503" s="403" t="n">
        <v>398</v>
      </c>
      <c r="V503" s="404" t="n">
        <v>14224</v>
      </c>
      <c r="W503" s="404" t="n">
        <v>14000</v>
      </c>
      <c r="X503" s="410" t="inlineStr">
        <is>
          <t>1.4:1</t>
        </is>
      </c>
      <c r="Y503" s="404" t="n">
        <v>10000</v>
      </c>
      <c r="Z503" s="403" t="inlineStr">
        <is>
          <t xml:space="preserve">C </t>
        </is>
      </c>
      <c r="AC503" s="378" t="n"/>
      <c r="AD503" s="384" t="inlineStr">
        <is>
          <t xml:space="preserve">AMERICAN TARGET     </t>
        </is>
      </c>
      <c r="AE503" s="145" t="n"/>
      <c r="AF503" s="145" t="n"/>
      <c r="AG503" s="145" t="n"/>
      <c r="AH503" s="145" t="n"/>
      <c r="AI503" s="145" t="n"/>
      <c r="AJ503" s="145" t="n"/>
      <c r="AK503" s="145" t="n"/>
      <c r="AM503" s="605" t="n"/>
    </row>
    <row r="504" ht="12.75" customHeight="1" s="545">
      <c r="A504" s="388" t="n">
        <v>7</v>
      </c>
      <c r="B504" s="605" t="n">
        <v>496</v>
      </c>
      <c r="C504" s="384" t="inlineStr">
        <is>
          <t>2011Q</t>
        </is>
      </c>
      <c r="D504" s="605" t="inlineStr">
        <is>
          <t xml:space="preserve">05211-18-030-000 </t>
        </is>
      </c>
      <c r="E504" s="407" t="inlineStr">
        <is>
          <t>Actual</t>
        </is>
      </c>
      <c r="F504" s="605" t="inlineStr">
        <is>
          <t>1308 S JASON               ST</t>
        </is>
      </c>
      <c r="G504" s="392" t="n">
        <v>44.2</v>
      </c>
      <c r="H504" s="378" t="n">
        <v>9506</v>
      </c>
      <c r="I504" s="403" t="n">
        <v>0</v>
      </c>
      <c r="J504" s="404" t="n">
        <v>6801</v>
      </c>
      <c r="K504" s="408" t="n">
        <v>7.49889722099691</v>
      </c>
      <c r="L504" s="409" t="n">
        <v>0</v>
      </c>
      <c r="M504" s="409" t="n">
        <v>0.0392156862745098</v>
      </c>
      <c r="N504" s="378" t="n">
        <v>1997</v>
      </c>
      <c r="O504" s="393" t="n">
        <v>2664</v>
      </c>
      <c r="Q504" s="605" t="n">
        <v>16</v>
      </c>
      <c r="R504" s="605" t="n">
        <v>3</v>
      </c>
      <c r="S504" s="605" t="n">
        <v>1</v>
      </c>
      <c r="T504" s="403" t="inlineStr">
        <is>
          <t xml:space="preserve">I1   </t>
        </is>
      </c>
      <c r="U504" s="403" t="n">
        <v>398</v>
      </c>
      <c r="V504" s="404" t="n">
        <v>11176</v>
      </c>
      <c r="W504" s="404" t="n">
        <v>11000</v>
      </c>
      <c r="X504" s="410" t="inlineStr">
        <is>
          <t>1.6:1</t>
        </is>
      </c>
      <c r="Y504" s="404" t="n">
        <v>7000</v>
      </c>
      <c r="Z504" s="403" t="inlineStr">
        <is>
          <t xml:space="preserve">C </t>
        </is>
      </c>
      <c r="AC504" s="378" t="n"/>
      <c r="AD504" s="384" t="inlineStr">
        <is>
          <t xml:space="preserve">DIST WHSE           </t>
        </is>
      </c>
      <c r="AE504" s="145" t="n"/>
      <c r="AF504" s="145" t="n"/>
      <c r="AG504" s="145" t="n"/>
      <c r="AH504" s="145" t="n"/>
      <c r="AI504" s="145" t="n"/>
      <c r="AJ504" s="145" t="n"/>
      <c r="AK504" s="145" t="inlineStr">
        <is>
          <t xml:space="preserve">2008 LEASE.                                                       </t>
        </is>
      </c>
      <c r="AM504" s="605" t="n"/>
    </row>
    <row r="505" ht="12.75" customHeight="1" s="545">
      <c r="A505" s="388" t="n">
        <v>7</v>
      </c>
      <c r="B505" s="605" t="n">
        <v>497</v>
      </c>
      <c r="C505" s="384" t="inlineStr">
        <is>
          <t>2011Q</t>
        </is>
      </c>
      <c r="D505" s="605" t="inlineStr">
        <is>
          <t xml:space="preserve">05211-19-011-000 </t>
        </is>
      </c>
      <c r="E505" s="407" t="inlineStr">
        <is>
          <t>Actual</t>
        </is>
      </c>
      <c r="F505" s="605" t="inlineStr">
        <is>
          <t>1301 S JASON               ST</t>
        </is>
      </c>
      <c r="G505" s="392" t="n">
        <v>44.2</v>
      </c>
      <c r="H505" s="378" t="n">
        <v>9506</v>
      </c>
      <c r="I505" s="403" t="n">
        <v>0</v>
      </c>
      <c r="J505" s="404" t="n">
        <v>10246</v>
      </c>
      <c r="K505" s="408" t="n">
        <v>6.8199297286746</v>
      </c>
      <c r="L505" s="409" t="n">
        <v>0.21</v>
      </c>
      <c r="M505" s="409" t="n">
        <v>0.0993603045351117</v>
      </c>
      <c r="N505" s="378" t="n">
        <v>1997</v>
      </c>
      <c r="O505" s="393" t="n">
        <v>8666</v>
      </c>
      <c r="Q505" s="605" t="n">
        <v>26</v>
      </c>
      <c r="R505" s="605" t="n">
        <v>14</v>
      </c>
      <c r="S505" s="605" t="n">
        <v>4</v>
      </c>
      <c r="T505" s="403" t="inlineStr">
        <is>
          <t xml:space="preserve">I0   </t>
        </is>
      </c>
      <c r="U505" s="403" t="n">
        <v>398</v>
      </c>
      <c r="V505" s="404" t="n">
        <v>99255</v>
      </c>
      <c r="W505" s="404" t="n">
        <v>99000</v>
      </c>
      <c r="X505" s="410" t="inlineStr">
        <is>
          <t>2.0:1</t>
        </is>
      </c>
      <c r="Y505" s="404" t="n">
        <v>10000</v>
      </c>
      <c r="Z505" s="403" t="inlineStr">
        <is>
          <t xml:space="preserve">C </t>
        </is>
      </c>
      <c r="AC505" s="378" t="n"/>
      <c r="AD505" s="384" t="inlineStr">
        <is>
          <t xml:space="preserve">M-W DISTRIBUTION    </t>
        </is>
      </c>
      <c r="AE505" s="145" t="n"/>
      <c r="AF505" s="145" t="n"/>
      <c r="AG505" s="145" t="n"/>
      <c r="AH505" s="145" t="n"/>
      <c r="AI505" s="145" t="n"/>
      <c r="AJ505" s="145" t="n"/>
      <c r="AK505" s="145" t="inlineStr">
        <is>
          <t xml:space="preserve">DATA ENTERED FOR ONE BASE PERIOD LEASE IN 49886 SQ.FT. BLDG.      </t>
        </is>
      </c>
      <c r="AM505" s="605" t="n"/>
    </row>
    <row r="506" ht="12.75" customHeight="1" s="545">
      <c r="A506" s="388" t="n">
        <v>7</v>
      </c>
      <c r="B506" s="605" t="n">
        <v>498</v>
      </c>
      <c r="C506" s="384" t="inlineStr">
        <is>
          <t>2011Q</t>
        </is>
      </c>
      <c r="D506" s="605" t="inlineStr">
        <is>
          <t xml:space="preserve">05211-20-020-000 </t>
        </is>
      </c>
      <c r="E506" s="407" t="inlineStr">
        <is>
          <t>Actual</t>
        </is>
      </c>
      <c r="F506" s="605" t="inlineStr">
        <is>
          <t>1360 S LIPAN               ST</t>
        </is>
      </c>
      <c r="G506" s="392" t="n">
        <v>43.2</v>
      </c>
      <c r="H506" s="378" t="n">
        <v>9506</v>
      </c>
      <c r="I506" s="403" t="n">
        <v>0</v>
      </c>
      <c r="J506" s="404" t="n">
        <v>14976</v>
      </c>
      <c r="K506" s="408" t="n">
        <v>3.73931623931624</v>
      </c>
      <c r="L506" s="409" t="n">
        <v>0</v>
      </c>
      <c r="M506" s="409" t="n">
        <v>0</v>
      </c>
      <c r="N506" s="378" t="n">
        <v>1973</v>
      </c>
      <c r="O506" s="393" t="n">
        <v>7296</v>
      </c>
      <c r="Q506" s="605" t="n">
        <v>20</v>
      </c>
      <c r="R506" s="605" t="n">
        <v>14</v>
      </c>
      <c r="S506" s="605" t="n">
        <v>1</v>
      </c>
      <c r="T506" s="403" t="inlineStr">
        <is>
          <t xml:space="preserve">I0   </t>
        </is>
      </c>
      <c r="U506" s="403" t="n">
        <v>401</v>
      </c>
      <c r="V506" s="404" t="n">
        <v>27318</v>
      </c>
      <c r="W506" s="404" t="n">
        <v>27000</v>
      </c>
      <c r="X506" s="410" t="inlineStr">
        <is>
          <t>1.8:1</t>
        </is>
      </c>
      <c r="Y506" s="404" t="n">
        <v>15000</v>
      </c>
      <c r="Z506" s="403" t="inlineStr">
        <is>
          <t xml:space="preserve">C </t>
        </is>
      </c>
      <c r="AC506" s="378" t="n"/>
      <c r="AD506" s="384" t="inlineStr">
        <is>
          <t xml:space="preserve">S-W LANGE GRAPHICS  </t>
        </is>
      </c>
      <c r="AE506" s="145" t="n"/>
      <c r="AF506" s="145" t="n"/>
      <c r="AG506" s="145" t="n"/>
      <c r="AH506" s="145" t="n"/>
      <c r="AI506" s="145" t="n"/>
      <c r="AJ506" s="145" t="n"/>
      <c r="AK506" s="145" t="n"/>
      <c r="AM506" s="605" t="n"/>
    </row>
    <row r="507" ht="12.75" customHeight="1" s="545">
      <c r="A507" s="388" t="n">
        <v>7</v>
      </c>
      <c r="B507" s="605" t="n">
        <v>499</v>
      </c>
      <c r="C507" s="384" t="inlineStr">
        <is>
          <t>2011Q</t>
        </is>
      </c>
      <c r="D507" s="605" t="inlineStr">
        <is>
          <t xml:space="preserve">05211-30-014-000 </t>
        </is>
      </c>
      <c r="E507" s="407" t="inlineStr">
        <is>
          <t>Actual</t>
        </is>
      </c>
      <c r="F507" s="605" t="inlineStr">
        <is>
          <t>1495 S PLATTE RIVER        DR</t>
        </is>
      </c>
      <c r="G507" s="378" t="n">
        <v>44.1</v>
      </c>
      <c r="H507" s="378" t="n">
        <v>9506</v>
      </c>
      <c r="I507" s="403" t="n">
        <v>0</v>
      </c>
      <c r="J507" s="404" t="n">
        <v>10120</v>
      </c>
      <c r="K507" s="408" t="n">
        <v>8.32885375494071</v>
      </c>
      <c r="L507" s="409" t="n">
        <v>1</v>
      </c>
      <c r="M507" s="409" t="n">
        <v>0</v>
      </c>
      <c r="N507" s="378" t="n">
        <v>1985</v>
      </c>
      <c r="O507" s="393" t="n">
        <v>2300</v>
      </c>
      <c r="Q507" s="605" t="n">
        <v>16</v>
      </c>
      <c r="R507" s="605" t="n">
        <v>3</v>
      </c>
      <c r="S507" s="605" t="n">
        <v>1</v>
      </c>
      <c r="T507" s="403" t="inlineStr">
        <is>
          <t xml:space="preserve">I0   </t>
        </is>
      </c>
      <c r="U507" s="403" t="n">
        <v>397</v>
      </c>
      <c r="V507" s="404" t="n">
        <v>22600</v>
      </c>
      <c r="W507" s="404" t="n">
        <v>23000</v>
      </c>
      <c r="X507" s="410" t="inlineStr">
        <is>
          <t>2.2:1</t>
        </is>
      </c>
      <c r="Y507" s="404" t="n">
        <v>10000</v>
      </c>
      <c r="Z507" s="403" t="inlineStr">
        <is>
          <t xml:space="preserve">C </t>
        </is>
      </c>
      <c r="AC507" s="378" t="n"/>
      <c r="AD507" s="384" t="n"/>
      <c r="AE507" s="145" t="n"/>
      <c r="AF507" s="145" t="n"/>
      <c r="AG507" s="145" t="n"/>
      <c r="AH507" s="145" t="n"/>
      <c r="AI507" s="145" t="n"/>
      <c r="AJ507" s="145" t="n"/>
      <c r="AK507" s="145" t="n"/>
      <c r="AM507" s="605" t="n"/>
    </row>
    <row r="508" ht="12.75" customHeight="1" s="545">
      <c r="A508" s="388" t="n">
        <v>7</v>
      </c>
      <c r="B508" s="605" t="n">
        <v>500</v>
      </c>
      <c r="C508" s="384" t="inlineStr">
        <is>
          <t>2011Q</t>
        </is>
      </c>
      <c r="D508" s="605" t="inlineStr">
        <is>
          <t xml:space="preserve">05221-14-033-000 </t>
        </is>
      </c>
      <c r="E508" s="407" t="inlineStr">
        <is>
          <t>Actual</t>
        </is>
      </c>
      <c r="F508" s="605" t="inlineStr">
        <is>
          <t>1215 S PEARL               ST</t>
        </is>
      </c>
      <c r="G508" s="392" t="n">
        <v>44.2</v>
      </c>
      <c r="H508" s="378" t="n">
        <v>9509</v>
      </c>
      <c r="I508" s="403" t="n">
        <v>0</v>
      </c>
      <c r="J508" s="404" t="n">
        <v>4161</v>
      </c>
      <c r="K508" s="408" t="n">
        <v>7.78658976207642</v>
      </c>
      <c r="L508" s="409" t="n">
        <v>0</v>
      </c>
      <c r="M508" s="409" t="n">
        <v>0.106666666666667</v>
      </c>
      <c r="N508" s="378" t="n">
        <v>1919</v>
      </c>
      <c r="O508" s="393" t="n">
        <v>1720</v>
      </c>
      <c r="Q508" s="605" t="n">
        <v>13</v>
      </c>
      <c r="R508" s="605" t="n">
        <v>1</v>
      </c>
      <c r="S508" s="605" t="n">
        <v>1</v>
      </c>
      <c r="T508" s="403" t="inlineStr">
        <is>
          <t xml:space="preserve">B4   </t>
        </is>
      </c>
      <c r="U508" s="403" t="n">
        <v>398</v>
      </c>
      <c r="V508" s="404" t="n">
        <v>10300</v>
      </c>
      <c r="W508" s="404" t="n">
        <v>10000</v>
      </c>
      <c r="X508" s="410" t="inlineStr">
        <is>
          <t>1.7:1</t>
        </is>
      </c>
      <c r="Y508" s="404" t="n">
        <v>4000</v>
      </c>
      <c r="Z508" s="403" t="inlineStr">
        <is>
          <t xml:space="preserve">C </t>
        </is>
      </c>
      <c r="AC508" s="378" t="n"/>
      <c r="AD508" s="384" t="inlineStr">
        <is>
          <t>SYNERGY COMMUNICATIN</t>
        </is>
      </c>
      <c r="AE508" s="145" t="n"/>
      <c r="AF508" s="145" t="n"/>
      <c r="AG508" s="145" t="n"/>
      <c r="AH508" s="145" t="n"/>
      <c r="AI508" s="145" t="n"/>
      <c r="AJ508" s="145" t="n"/>
      <c r="AK508" s="145" t="n"/>
      <c r="AM508" s="605" t="n"/>
    </row>
    <row r="509" ht="12.75" customHeight="1" s="545">
      <c r="A509" s="388" t="n">
        <v>7</v>
      </c>
      <c r="B509" s="605" t="n">
        <v>501</v>
      </c>
      <c r="C509" s="384" t="inlineStr">
        <is>
          <t>2011Q</t>
        </is>
      </c>
      <c r="D509" s="605" t="inlineStr">
        <is>
          <t xml:space="preserve">05221-15-013-000 </t>
        </is>
      </c>
      <c r="E509" s="407" t="inlineStr">
        <is>
          <t>Actual</t>
        </is>
      </c>
      <c r="F509" s="605" t="inlineStr">
        <is>
          <t>666   BUCHTEL             BV</t>
        </is>
      </c>
      <c r="G509" s="392" t="n">
        <v>44.2</v>
      </c>
      <c r="H509" s="378" t="n">
        <v>9509</v>
      </c>
      <c r="I509" s="403" t="n">
        <v>0</v>
      </c>
      <c r="J509" s="404" t="n">
        <v>8845</v>
      </c>
      <c r="K509" s="408" t="n">
        <v>7.14980214810628</v>
      </c>
      <c r="L509" s="409" t="n">
        <v>1</v>
      </c>
      <c r="M509" s="409" t="n">
        <v>0</v>
      </c>
      <c r="N509" s="378" t="n">
        <v>1957</v>
      </c>
      <c r="O509" s="393" t="n">
        <v>576</v>
      </c>
      <c r="Q509" s="605" t="n">
        <v>20</v>
      </c>
      <c r="R509" s="605" t="n">
        <v>3</v>
      </c>
      <c r="S509" s="605" t="n">
        <v>1</v>
      </c>
      <c r="T509" s="403" t="inlineStr">
        <is>
          <t xml:space="preserve">B4   </t>
        </is>
      </c>
      <c r="U509" s="403" t="n">
        <v>398</v>
      </c>
      <c r="V509" s="404" t="n">
        <v>14300</v>
      </c>
      <c r="W509" s="404" t="n">
        <v>14000</v>
      </c>
      <c r="X509" s="410" t="inlineStr">
        <is>
          <t>1.6:1</t>
        </is>
      </c>
      <c r="Y509" s="404" t="n">
        <v>9000</v>
      </c>
      <c r="Z509" s="403" t="inlineStr">
        <is>
          <t xml:space="preserve">C </t>
        </is>
      </c>
      <c r="AC509" s="378" t="n"/>
      <c r="AD509" s="384" t="inlineStr">
        <is>
          <t>ARTISANS STAIN GLASS</t>
        </is>
      </c>
      <c r="AE509" s="145" t="n"/>
      <c r="AF509" s="145" t="n"/>
      <c r="AG509" s="145" t="n"/>
      <c r="AH509" s="145" t="n"/>
      <c r="AI509" s="145" t="n"/>
      <c r="AJ509" s="145" t="n"/>
      <c r="AK509" s="145" t="n"/>
      <c r="AM509" s="605" t="n"/>
    </row>
    <row r="510" ht="12.75" customHeight="1" s="545">
      <c r="A510" s="388" t="n">
        <v>7</v>
      </c>
      <c r="B510" s="605" t="n">
        <v>502</v>
      </c>
      <c r="C510" s="384" t="inlineStr">
        <is>
          <t>2011Q</t>
        </is>
      </c>
      <c r="D510" s="605" t="inlineStr">
        <is>
          <t xml:space="preserve">05222-03-012-000 </t>
        </is>
      </c>
      <c r="E510" s="407" t="inlineStr">
        <is>
          <t>Actual</t>
        </is>
      </c>
      <c r="F510" s="605" t="inlineStr">
        <is>
          <t>1220 S ACOMA               ST</t>
        </is>
      </c>
      <c r="G510" s="378" t="n">
        <v>44.1</v>
      </c>
      <c r="H510" s="378" t="n">
        <v>9506</v>
      </c>
      <c r="I510" s="403" t="n">
        <v>0</v>
      </c>
      <c r="J510" s="404" t="n">
        <v>3000</v>
      </c>
      <c r="K510" s="408" t="n">
        <v>5.4</v>
      </c>
      <c r="L510" s="409" t="n">
        <v>0.17</v>
      </c>
      <c r="M510" s="409" t="n">
        <v>0.0177160493827161</v>
      </c>
      <c r="N510" s="378" t="n">
        <v>1959</v>
      </c>
      <c r="O510" s="393" t="n">
        <v>1850</v>
      </c>
      <c r="Q510" s="605" t="n">
        <v>16</v>
      </c>
      <c r="R510" s="605" t="n">
        <v>3</v>
      </c>
      <c r="S510" s="605" t="n">
        <v>1</v>
      </c>
      <c r="T510" s="403" t="inlineStr">
        <is>
          <t xml:space="preserve">I1   </t>
        </is>
      </c>
      <c r="U510" s="403" t="n">
        <v>398</v>
      </c>
      <c r="V510" s="404" t="n">
        <v>15625</v>
      </c>
      <c r="W510" s="404" t="n">
        <v>16000</v>
      </c>
      <c r="X510" s="410" t="inlineStr">
        <is>
          <t>1.3:1</t>
        </is>
      </c>
      <c r="Y510" s="404" t="n">
        <v>3000</v>
      </c>
      <c r="Z510" s="403" t="inlineStr">
        <is>
          <t xml:space="preserve">C </t>
        </is>
      </c>
      <c r="AC510" s="378" t="n"/>
      <c r="AD510" s="384" t="n"/>
      <c r="AE510" s="145" t="n"/>
      <c r="AF510" s="145" t="n"/>
      <c r="AG510" s="145" t="n"/>
      <c r="AH510" s="145" t="n"/>
      <c r="AI510" s="145" t="n"/>
      <c r="AJ510" s="145" t="n"/>
      <c r="AK510" s="145" t="inlineStr">
        <is>
          <t xml:space="preserve">DATA FOR 3000 SF UNIT WITH 2009 LEASE IN 12,038 SF BUILDING.      </t>
        </is>
      </c>
      <c r="AM510" s="605" t="n"/>
    </row>
    <row r="511" ht="12.75" customHeight="1" s="545">
      <c r="A511" s="388" t="n">
        <v>7</v>
      </c>
      <c r="B511" s="605" t="n">
        <v>503</v>
      </c>
      <c r="C511" s="384" t="inlineStr">
        <is>
          <t>2011Q</t>
        </is>
      </c>
      <c r="D511" s="605" t="inlineStr">
        <is>
          <t xml:space="preserve">05222-07-005-000 </t>
        </is>
      </c>
      <c r="E511" s="407" t="inlineStr">
        <is>
          <t>Actual</t>
        </is>
      </c>
      <c r="F511" s="605" t="inlineStr">
        <is>
          <t>1432 S ACOMA               ST</t>
        </is>
      </c>
      <c r="G511" s="392" t="n">
        <v>44.2</v>
      </c>
      <c r="H511" s="378" t="n">
        <v>9506</v>
      </c>
      <c r="I511" s="403" t="n">
        <v>0</v>
      </c>
      <c r="J511" s="404" t="n">
        <v>4313</v>
      </c>
      <c r="K511" s="408" t="n">
        <v>11.1987015998145</v>
      </c>
      <c r="L511" s="409" t="n">
        <v>0</v>
      </c>
      <c r="M511" s="409" t="n">
        <v>0.0402691511387164</v>
      </c>
      <c r="N511" s="378" t="n">
        <v>2002</v>
      </c>
      <c r="O511" s="393" t="n">
        <v>0</v>
      </c>
      <c r="Q511" s="605" t="n">
        <v>24</v>
      </c>
      <c r="R511" s="605" t="n">
        <v>3</v>
      </c>
      <c r="S511" s="605" t="n">
        <v>1</v>
      </c>
      <c r="T511" s="403" t="inlineStr">
        <is>
          <t xml:space="preserve">I1   </t>
        </is>
      </c>
      <c r="U511" s="403" t="n">
        <v>398</v>
      </c>
      <c r="V511" s="404" t="n">
        <v>6250</v>
      </c>
      <c r="W511" s="404" t="n">
        <v>6000</v>
      </c>
      <c r="X511" s="410" t="inlineStr">
        <is>
          <t>1.4:1</t>
        </is>
      </c>
      <c r="Y511" s="404" t="n">
        <v>4000</v>
      </c>
      <c r="Z511" s="403" t="inlineStr">
        <is>
          <t xml:space="preserve">C </t>
        </is>
      </c>
      <c r="AC511" s="378" t="n"/>
      <c r="AD511" s="384" t="inlineStr">
        <is>
          <t xml:space="preserve">TRUE PUMP &amp; EQUPMNT </t>
        </is>
      </c>
      <c r="AE511" s="145" t="n"/>
      <c r="AF511" s="145" t="n"/>
      <c r="AG511" s="145" t="n"/>
      <c r="AH511" s="145" t="n"/>
      <c r="AI511" s="145" t="n"/>
      <c r="AJ511" s="145" t="n"/>
      <c r="AK511" s="145" t="n"/>
      <c r="AM511" s="605" t="n"/>
    </row>
    <row r="512" ht="12.75" customHeight="1" s="545">
      <c r="A512" s="388" t="n">
        <v>7</v>
      </c>
      <c r="B512" s="605" t="n">
        <v>504</v>
      </c>
      <c r="C512" s="384" t="inlineStr">
        <is>
          <t>2011Q</t>
        </is>
      </c>
      <c r="D512" s="605" t="inlineStr">
        <is>
          <t xml:space="preserve">05222-07-018-000 </t>
        </is>
      </c>
      <c r="E512" s="407" t="inlineStr">
        <is>
          <t>Actual</t>
        </is>
      </c>
      <c r="F512" s="605" t="inlineStr">
        <is>
          <t>1429 S BROADWAY            ST</t>
        </is>
      </c>
      <c r="G512" s="378" t="n">
        <v>44.1</v>
      </c>
      <c r="H512" s="378" t="n">
        <v>9506</v>
      </c>
      <c r="I512" s="403" t="n">
        <v>2</v>
      </c>
      <c r="J512" s="404" t="n">
        <v>1912</v>
      </c>
      <c r="K512" s="408" t="n">
        <v>13.0230125523013</v>
      </c>
      <c r="L512" s="409" t="n">
        <v>0</v>
      </c>
      <c r="M512" s="409" t="n">
        <v>0.0538152610441767</v>
      </c>
      <c r="N512" s="378" t="n">
        <v>1912</v>
      </c>
      <c r="O512" s="393" t="n">
        <v>1006</v>
      </c>
      <c r="Q512" s="605" t="n">
        <v>15</v>
      </c>
      <c r="R512" s="605" t="n">
        <v>1</v>
      </c>
      <c r="S512" s="605" t="n">
        <v>1</v>
      </c>
      <c r="T512" s="403" t="inlineStr">
        <is>
          <t xml:space="preserve">B4   </t>
        </is>
      </c>
      <c r="U512" s="403" t="n">
        <v>398</v>
      </c>
      <c r="V512" s="404" t="n">
        <v>6250</v>
      </c>
      <c r="W512" s="404" t="n">
        <v>6000</v>
      </c>
      <c r="X512" s="410" t="inlineStr">
        <is>
          <t>3.3:1</t>
        </is>
      </c>
      <c r="Y512" s="404" t="n">
        <v>2000</v>
      </c>
      <c r="Z512" s="403" t="inlineStr">
        <is>
          <t xml:space="preserve">C </t>
        </is>
      </c>
      <c r="AC512" s="378" t="n"/>
      <c r="AD512" s="384" t="inlineStr">
        <is>
          <t xml:space="preserve">TRUE PUMP EQUIPT    </t>
        </is>
      </c>
      <c r="AE512" s="145" t="n"/>
      <c r="AF512" s="145" t="n"/>
      <c r="AG512" s="145" t="n"/>
      <c r="AH512" s="145" t="n"/>
      <c r="AI512" s="145" t="n"/>
      <c r="AJ512" s="145" t="n"/>
      <c r="AK512" s="145" t="n"/>
      <c r="AM512" s="605" t="n"/>
    </row>
    <row r="513" ht="12.75" customHeight="1" s="545">
      <c r="A513" s="388" t="n">
        <v>7</v>
      </c>
      <c r="B513" s="605" t="n">
        <v>505</v>
      </c>
      <c r="C513" s="384" t="inlineStr">
        <is>
          <t>2011Q</t>
        </is>
      </c>
      <c r="D513" s="605" t="inlineStr">
        <is>
          <t xml:space="preserve">05223-01-008-000 </t>
        </is>
      </c>
      <c r="E513" s="407" t="inlineStr">
        <is>
          <t>Actual</t>
        </is>
      </c>
      <c r="F513" s="605" t="inlineStr">
        <is>
          <t>1132 S BANNOCK             ST</t>
        </is>
      </c>
      <c r="G513" s="378" t="n">
        <v>44.1</v>
      </c>
      <c r="H513" s="378" t="n">
        <v>9506</v>
      </c>
      <c r="I513" s="403" t="n">
        <v>0</v>
      </c>
      <c r="J513" s="404" t="n">
        <v>4699</v>
      </c>
      <c r="K513" s="408" t="n">
        <v>6.89508406043839</v>
      </c>
      <c r="L513" s="409" t="n">
        <v>0</v>
      </c>
      <c r="M513" s="409" t="n">
        <v>0.206327160493827</v>
      </c>
      <c r="N513" s="378" t="n">
        <v>1962</v>
      </c>
      <c r="O513" s="393" t="n">
        <v>798</v>
      </c>
      <c r="Q513" s="605" t="n">
        <v>14</v>
      </c>
      <c r="R513" s="605" t="n">
        <v>1</v>
      </c>
      <c r="S513" s="605" t="n">
        <v>1</v>
      </c>
      <c r="T513" s="403" t="inlineStr">
        <is>
          <t xml:space="preserve">I1   </t>
        </is>
      </c>
      <c r="U513" s="403" t="n">
        <v>398</v>
      </c>
      <c r="V513" s="404" t="n">
        <v>6100</v>
      </c>
      <c r="W513" s="404" t="n">
        <v>6000</v>
      </c>
      <c r="X513" s="410" t="inlineStr">
        <is>
          <t>1.3:1</t>
        </is>
      </c>
      <c r="Y513" s="404" t="n">
        <v>5000</v>
      </c>
      <c r="Z513" s="403" t="inlineStr">
        <is>
          <t xml:space="preserve">C </t>
        </is>
      </c>
      <c r="AC513" s="378" t="n"/>
      <c r="AD513" s="384" t="inlineStr">
        <is>
          <t>M-F DIAMOND IRON WRK</t>
        </is>
      </c>
      <c r="AE513" s="145" t="n"/>
      <c r="AF513" s="145" t="n"/>
      <c r="AG513" s="145" t="n"/>
      <c r="AH513" s="145" t="n"/>
      <c r="AI513" s="145" t="n"/>
      <c r="AJ513" s="145" t="n"/>
      <c r="AK513" s="145" t="inlineStr">
        <is>
          <t xml:space="preserve">MO-TO-MO LEASES                                                   </t>
        </is>
      </c>
      <c r="AM513" s="605" t="n"/>
    </row>
    <row r="514" ht="12.75" customHeight="1" s="545">
      <c r="A514" s="388" t="n">
        <v>7</v>
      </c>
      <c r="B514" s="605" t="n">
        <v>506</v>
      </c>
      <c r="C514" s="384" t="inlineStr">
        <is>
          <t>2011Q</t>
        </is>
      </c>
      <c r="D514" s="605" t="inlineStr">
        <is>
          <t xml:space="preserve">05223-05-013-000 </t>
        </is>
      </c>
      <c r="E514" s="407" t="inlineStr">
        <is>
          <t>Actual</t>
        </is>
      </c>
      <c r="F514" s="605" t="inlineStr">
        <is>
          <t>1253 S CHEROKEE            ST</t>
        </is>
      </c>
      <c r="G514" s="392" t="n">
        <v>44.2</v>
      </c>
      <c r="H514" s="378" t="n">
        <v>9506</v>
      </c>
      <c r="I514" s="403" t="n">
        <v>0</v>
      </c>
      <c r="J514" s="404" t="n">
        <v>12860</v>
      </c>
      <c r="K514" s="408" t="n">
        <v>5.7400466562986</v>
      </c>
      <c r="L514" s="409" t="n">
        <v>0.13</v>
      </c>
      <c r="M514" s="409" t="n">
        <v>0</v>
      </c>
      <c r="N514" s="378" t="n">
        <v>1943</v>
      </c>
      <c r="O514" s="393" t="n">
        <v>5907</v>
      </c>
      <c r="Q514" s="605" t="n">
        <v>12</v>
      </c>
      <c r="R514" s="605" t="n">
        <v>1</v>
      </c>
      <c r="S514" s="605" t="n">
        <v>4</v>
      </c>
      <c r="T514" s="403" t="inlineStr">
        <is>
          <t xml:space="preserve">I2   </t>
        </is>
      </c>
      <c r="U514" s="403" t="n">
        <v>398</v>
      </c>
      <c r="V514" s="404" t="n">
        <v>35250</v>
      </c>
      <c r="W514" s="404" t="n">
        <v>35000</v>
      </c>
      <c r="X514" s="410" t="inlineStr">
        <is>
          <t>1.9:1</t>
        </is>
      </c>
      <c r="Y514" s="404" t="n">
        <v>13000</v>
      </c>
      <c r="Z514" s="403" t="inlineStr">
        <is>
          <t xml:space="preserve">C </t>
        </is>
      </c>
      <c r="AC514" s="378" t="n"/>
      <c r="AD514" s="384" t="inlineStr">
        <is>
          <t xml:space="preserve">M-W                 </t>
        </is>
      </c>
      <c r="AE514" s="145" t="n"/>
      <c r="AF514" s="145" t="n"/>
      <c r="AG514" s="145" t="n"/>
      <c r="AH514" s="145" t="n"/>
      <c r="AI514" s="145" t="n"/>
      <c r="AJ514" s="145" t="n"/>
      <c r="AK514" s="145" t="inlineStr">
        <is>
          <t xml:space="preserve">12860 SF LEASED IN AN 18642 SF BLDG.                              </t>
        </is>
      </c>
      <c r="AM514" s="605" t="n"/>
    </row>
    <row r="515" ht="12.75" customHeight="1" s="545">
      <c r="A515" s="388" t="n">
        <v>7</v>
      </c>
      <c r="B515" s="605" t="n">
        <v>507</v>
      </c>
      <c r="C515" s="384" t="inlineStr">
        <is>
          <t>2011Q</t>
        </is>
      </c>
      <c r="D515" s="605" t="inlineStr">
        <is>
          <t xml:space="preserve">05223-05-022-000 </t>
        </is>
      </c>
      <c r="E515" s="407" t="inlineStr">
        <is>
          <t>Actual</t>
        </is>
      </c>
      <c r="F515" s="605" t="inlineStr">
        <is>
          <t>1221 S CHEROKEE            ST</t>
        </is>
      </c>
      <c r="G515" s="378" t="n">
        <v>44.1</v>
      </c>
      <c r="H515" s="378" t="n">
        <v>9506</v>
      </c>
      <c r="I515" s="403" t="n">
        <v>0</v>
      </c>
      <c r="J515" s="404" t="n">
        <v>3600</v>
      </c>
      <c r="K515" s="408" t="n">
        <v>13.1197222222222</v>
      </c>
      <c r="L515" s="409" t="n">
        <v>0</v>
      </c>
      <c r="M515" s="409" t="n">
        <v>0.179775994579831</v>
      </c>
      <c r="N515" s="378" t="n">
        <v>1985</v>
      </c>
      <c r="O515" s="393" t="n">
        <v>0</v>
      </c>
      <c r="Q515" s="605" t="n">
        <v>15</v>
      </c>
      <c r="R515" s="605" t="n">
        <v>7</v>
      </c>
      <c r="S515" s="605" t="n">
        <v>1</v>
      </c>
      <c r="T515" s="403" t="inlineStr">
        <is>
          <t xml:space="preserve">I1   </t>
        </is>
      </c>
      <c r="U515" s="403" t="n">
        <v>398</v>
      </c>
      <c r="V515" s="404" t="n">
        <v>22750</v>
      </c>
      <c r="W515" s="404" t="n">
        <v>23000</v>
      </c>
      <c r="X515" s="410" t="inlineStr">
        <is>
          <t>5.4:1</t>
        </is>
      </c>
      <c r="Y515" s="404" t="n">
        <v>4000</v>
      </c>
      <c r="Z515" s="403" t="inlineStr">
        <is>
          <t xml:space="preserve">C </t>
        </is>
      </c>
      <c r="AC515" s="378" t="n"/>
      <c r="AD515" s="384" t="inlineStr">
        <is>
          <t xml:space="preserve">S-W                 </t>
        </is>
      </c>
      <c r="AE515" s="145" t="n"/>
      <c r="AF515" s="145" t="n"/>
      <c r="AG515" s="145" t="n"/>
      <c r="AH515" s="145" t="n"/>
      <c r="AI515" s="145" t="n"/>
      <c r="AJ515" s="145" t="n"/>
      <c r="AK515" s="145" t="inlineStr">
        <is>
          <t xml:space="preserve">3600 SF OF BLDG LEASED - BALANCE OCCUPIED BY OWNER.               </t>
        </is>
      </c>
      <c r="AM515" s="605" t="n"/>
    </row>
    <row r="516" ht="12.75" customHeight="1" s="545">
      <c r="A516" s="388" t="n">
        <v>7</v>
      </c>
      <c r="B516" s="605" t="n">
        <v>508</v>
      </c>
      <c r="C516" s="384" t="inlineStr">
        <is>
          <t>2011Q</t>
        </is>
      </c>
      <c r="D516" s="605" t="inlineStr">
        <is>
          <t xml:space="preserve">05223-06-007-000 </t>
        </is>
      </c>
      <c r="E516" s="407" t="inlineStr">
        <is>
          <t>Actual</t>
        </is>
      </c>
      <c r="F516" s="605" t="inlineStr">
        <is>
          <t>1257 S BANNOCK             ST</t>
        </is>
      </c>
      <c r="G516" s="392" t="n">
        <v>44.2</v>
      </c>
      <c r="H516" s="378" t="n">
        <v>9506</v>
      </c>
      <c r="I516" s="403" t="n">
        <v>0</v>
      </c>
      <c r="J516" s="404" t="n">
        <v>2156</v>
      </c>
      <c r="K516" s="408" t="n">
        <v>9.74025974025974</v>
      </c>
      <c r="L516" s="409" t="n">
        <v>0</v>
      </c>
      <c r="M516" s="409" t="n">
        <v>0.144666666666667</v>
      </c>
      <c r="N516" s="378" t="n">
        <v>1957</v>
      </c>
      <c r="O516" s="393" t="n">
        <v>0</v>
      </c>
      <c r="Q516" s="605" t="n">
        <v>12</v>
      </c>
      <c r="R516" s="605" t="n">
        <v>3</v>
      </c>
      <c r="S516" s="605" t="n">
        <v>1</v>
      </c>
      <c r="T516" s="403" t="inlineStr">
        <is>
          <t xml:space="preserve">I1   </t>
        </is>
      </c>
      <c r="U516" s="403" t="n">
        <v>398</v>
      </c>
      <c r="V516" s="404" t="n">
        <v>9370</v>
      </c>
      <c r="W516" s="404" t="n">
        <v>9000</v>
      </c>
      <c r="X516" s="410" t="inlineStr">
        <is>
          <t>4.3:1</t>
        </is>
      </c>
      <c r="Y516" s="404" t="n">
        <v>2000</v>
      </c>
      <c r="Z516" s="403" t="inlineStr">
        <is>
          <t xml:space="preserve">C </t>
        </is>
      </c>
      <c r="AC516" s="378" t="n"/>
      <c r="AD516" s="384" t="n"/>
      <c r="AE516" s="145" t="n"/>
      <c r="AF516" s="145" t="n"/>
      <c r="AG516" s="145" t="n"/>
      <c r="AH516" s="145" t="n"/>
      <c r="AI516" s="145" t="n"/>
      <c r="AJ516" s="145" t="n"/>
      <c r="AK516" s="145" t="inlineStr">
        <is>
          <t xml:space="preserve">2010 LEASE.                                                       </t>
        </is>
      </c>
      <c r="AM516" s="605" t="n"/>
    </row>
    <row r="517" ht="12.75" customHeight="1" s="545">
      <c r="A517" s="388" t="n">
        <v>7</v>
      </c>
      <c r="B517" s="605" t="n">
        <v>509</v>
      </c>
      <c r="C517" s="384" t="inlineStr">
        <is>
          <t>2011Q</t>
        </is>
      </c>
      <c r="D517" s="605" t="inlineStr">
        <is>
          <t xml:space="preserve">05223-07-017-000 </t>
        </is>
      </c>
      <c r="E517" s="407" t="inlineStr">
        <is>
          <t>Actual</t>
        </is>
      </c>
      <c r="F517" s="605" t="inlineStr">
        <is>
          <t>1220 S BANNOCK             ST</t>
        </is>
      </c>
      <c r="G517" s="392" t="n">
        <v>47.1</v>
      </c>
      <c r="H517" s="378" t="n">
        <v>9506</v>
      </c>
      <c r="I517" s="403" t="n">
        <v>0</v>
      </c>
      <c r="J517" s="404" t="n">
        <v>6800</v>
      </c>
      <c r="K517" s="408" t="n">
        <v>5.92279411764706</v>
      </c>
      <c r="L517" s="409" t="n">
        <v>0</v>
      </c>
      <c r="M517" s="409" t="n">
        <v>0.0985723153320919</v>
      </c>
      <c r="N517" s="378" t="n">
        <v>1967</v>
      </c>
      <c r="O517" s="393" t="n">
        <v>2000</v>
      </c>
      <c r="Q517" s="605" t="n">
        <v>16</v>
      </c>
      <c r="R517" s="605" t="n">
        <v>1</v>
      </c>
      <c r="S517" s="605" t="n">
        <v>1</v>
      </c>
      <c r="T517" s="403" t="inlineStr">
        <is>
          <t xml:space="preserve">I1   </t>
        </is>
      </c>
      <c r="U517" s="403" t="n">
        <v>401</v>
      </c>
      <c r="V517" s="404" t="n">
        <v>11800</v>
      </c>
      <c r="W517" s="404" t="n">
        <v>12000</v>
      </c>
      <c r="X517" s="410" t="inlineStr">
        <is>
          <t>1.4:1</t>
        </is>
      </c>
      <c r="Y517" s="404" t="n">
        <v>7000</v>
      </c>
      <c r="Z517" s="403" t="inlineStr">
        <is>
          <t xml:space="preserve">C </t>
        </is>
      </c>
      <c r="AC517" s="378" t="n"/>
      <c r="AD517" s="384" t="n"/>
      <c r="AE517" s="145" t="n"/>
      <c r="AF517" s="145" t="n"/>
      <c r="AG517" s="145" t="n"/>
      <c r="AH517" s="145" t="n"/>
      <c r="AI517" s="145" t="n"/>
      <c r="AJ517" s="145" t="n"/>
      <c r="AK517" s="145" t="n"/>
      <c r="AM517" s="605" t="n"/>
    </row>
    <row r="518" ht="12.75" customHeight="1" s="545">
      <c r="A518" s="388" t="n">
        <v>7</v>
      </c>
      <c r="B518" s="605" t="n">
        <v>510</v>
      </c>
      <c r="C518" s="384" t="inlineStr">
        <is>
          <t>2011Q</t>
        </is>
      </c>
      <c r="D518" s="605" t="inlineStr">
        <is>
          <t xml:space="preserve">05223-07-018-000 </t>
        </is>
      </c>
      <c r="E518" s="407" t="inlineStr">
        <is>
          <t>Actual</t>
        </is>
      </c>
      <c r="F518" s="605" t="inlineStr">
        <is>
          <t>1240 S BANNOCK             ST</t>
        </is>
      </c>
      <c r="G518" s="392" t="n">
        <v>47.2</v>
      </c>
      <c r="H518" s="378" t="n">
        <v>9506</v>
      </c>
      <c r="I518" s="403" t="n">
        <v>0</v>
      </c>
      <c r="J518" s="404" t="n">
        <v>7720</v>
      </c>
      <c r="K518" s="408" t="n">
        <v>6.21761658031088</v>
      </c>
      <c r="L518" s="409" t="n">
        <v>0</v>
      </c>
      <c r="M518" s="409" t="n">
        <v>0.072625</v>
      </c>
      <c r="N518" s="378" t="n">
        <v>1967</v>
      </c>
      <c r="O518" s="393" t="n">
        <v>1068</v>
      </c>
      <c r="P518" s="393" t="n">
        <v>1005</v>
      </c>
      <c r="Q518" s="605" t="n">
        <v>13</v>
      </c>
      <c r="R518" s="605" t="n">
        <v>1</v>
      </c>
      <c r="S518" s="605" t="n">
        <v>1</v>
      </c>
      <c r="T518" s="403" t="inlineStr">
        <is>
          <t xml:space="preserve">I1   </t>
        </is>
      </c>
      <c r="U518" s="403" t="n">
        <v>401</v>
      </c>
      <c r="V518" s="404" t="n">
        <v>12063</v>
      </c>
      <c r="W518" s="404" t="n">
        <v>12000</v>
      </c>
      <c r="X518" s="410" t="inlineStr">
        <is>
          <t>1.6:1</t>
        </is>
      </c>
      <c r="Y518" s="404" t="n">
        <v>8000</v>
      </c>
      <c r="Z518" s="403" t="inlineStr">
        <is>
          <t xml:space="preserve">C </t>
        </is>
      </c>
      <c r="AC518" s="378" t="n"/>
      <c r="AD518" s="384" t="n"/>
      <c r="AE518" s="145" t="n"/>
      <c r="AF518" s="145" t="n"/>
      <c r="AG518" s="145" t="n"/>
      <c r="AH518" s="145" t="n"/>
      <c r="AI518" s="145" t="n"/>
      <c r="AJ518" s="145" t="n"/>
      <c r="AK518" s="145" t="n"/>
      <c r="AM518" s="605" t="n"/>
    </row>
    <row r="519" ht="12.75" customHeight="1" s="545">
      <c r="A519" s="388" t="n">
        <v>7</v>
      </c>
      <c r="B519" s="605" t="n">
        <v>511</v>
      </c>
      <c r="C519" s="384" t="inlineStr">
        <is>
          <t>2011Q</t>
        </is>
      </c>
      <c r="D519" s="605" t="inlineStr">
        <is>
          <t xml:space="preserve">05223-10-021-000 </t>
        </is>
      </c>
      <c r="E519" s="407" t="inlineStr">
        <is>
          <t>Actual</t>
        </is>
      </c>
      <c r="F519" s="605" t="inlineStr">
        <is>
          <t>1330 S CHEROKEE            ST</t>
        </is>
      </c>
      <c r="G519" s="378" t="n">
        <v>44.1</v>
      </c>
      <c r="H519" s="378" t="n">
        <v>9506</v>
      </c>
      <c r="I519" s="403" t="n">
        <v>0</v>
      </c>
      <c r="J519" s="404" t="n">
        <v>6176</v>
      </c>
      <c r="K519" s="408" t="n">
        <v>6.20903497409327</v>
      </c>
      <c r="L519" s="409" t="n">
        <v>0</v>
      </c>
      <c r="M519" s="409" t="n">
        <v>0.0807625107570344</v>
      </c>
      <c r="N519" s="378" t="n">
        <v>1971</v>
      </c>
      <c r="O519" s="393" t="n">
        <v>2875</v>
      </c>
      <c r="Q519" s="605" t="n">
        <v>18</v>
      </c>
      <c r="R519" s="605" t="n">
        <v>14</v>
      </c>
      <c r="S519" s="605" t="n">
        <v>1</v>
      </c>
      <c r="T519" s="403" t="inlineStr">
        <is>
          <t xml:space="preserve">I2   </t>
        </is>
      </c>
      <c r="U519" s="403" t="n">
        <v>398</v>
      </c>
      <c r="V519" s="404" t="n">
        <v>12870</v>
      </c>
      <c r="W519" s="404" t="n">
        <v>13000</v>
      </c>
      <c r="X519" s="410" t="inlineStr">
        <is>
          <t>2.1:1</t>
        </is>
      </c>
      <c r="Y519" s="404" t="n">
        <v>6000</v>
      </c>
      <c r="Z519" s="403" t="inlineStr">
        <is>
          <t xml:space="preserve">C </t>
        </is>
      </c>
      <c r="AC519" s="378" t="n"/>
      <c r="AD519" s="384" t="n"/>
      <c r="AE519" s="145" t="n"/>
      <c r="AF519" s="145" t="n"/>
      <c r="AG519" s="145" t="n"/>
      <c r="AH519" s="145" t="n"/>
      <c r="AI519" s="145" t="n"/>
      <c r="AJ519" s="145" t="n"/>
      <c r="AK519" s="145" t="n"/>
      <c r="AM519" s="605" t="n"/>
    </row>
    <row r="520" ht="12.75" customHeight="1" s="545">
      <c r="A520" s="388" t="n">
        <v>7</v>
      </c>
      <c r="B520" s="605" t="n">
        <v>512</v>
      </c>
      <c r="C520" s="384" t="inlineStr">
        <is>
          <t>2011Q</t>
        </is>
      </c>
      <c r="D520" s="605" t="inlineStr">
        <is>
          <t xml:space="preserve">05223-10-033-000 </t>
        </is>
      </c>
      <c r="E520" s="407" t="inlineStr">
        <is>
          <t>Actual</t>
        </is>
      </c>
      <c r="F520" s="605" t="inlineStr">
        <is>
          <t>1468 S CHEROKEE            ST</t>
        </is>
      </c>
      <c r="G520" s="392" t="n">
        <v>44.2</v>
      </c>
      <c r="H520" s="378" t="n">
        <v>9506</v>
      </c>
      <c r="I520" s="403" t="n">
        <v>0</v>
      </c>
      <c r="J520" s="404" t="n">
        <v>3000</v>
      </c>
      <c r="K520" s="408" t="n">
        <v>7.9</v>
      </c>
      <c r="L520" s="409" t="n">
        <v>0</v>
      </c>
      <c r="M520" s="409" t="n">
        <v>0.0759493670886076</v>
      </c>
      <c r="N520" s="378" t="n">
        <v>1998</v>
      </c>
      <c r="O520" s="393" t="n">
        <v>657</v>
      </c>
      <c r="Q520" s="605" t="n">
        <v>15</v>
      </c>
      <c r="R520" s="605" t="n">
        <v>7</v>
      </c>
      <c r="S520" s="605" t="n">
        <v>3</v>
      </c>
      <c r="T520" s="403" t="inlineStr">
        <is>
          <t xml:space="preserve">I1   </t>
        </is>
      </c>
      <c r="U520" s="403" t="n">
        <v>398</v>
      </c>
      <c r="V520" s="404" t="n">
        <v>10950</v>
      </c>
      <c r="W520" s="404" t="n">
        <v>11000</v>
      </c>
      <c r="X520" s="410" t="inlineStr">
        <is>
          <t>2.4:1</t>
        </is>
      </c>
      <c r="Y520" s="404" t="n">
        <v>3000</v>
      </c>
      <c r="Z520" s="403" t="inlineStr">
        <is>
          <t xml:space="preserve">C </t>
        </is>
      </c>
      <c r="AC520" s="378" t="n"/>
      <c r="AD520" s="384" t="inlineStr">
        <is>
          <t xml:space="preserve">M-WHSE              </t>
        </is>
      </c>
      <c r="AE520" s="145" t="n"/>
      <c r="AF520" s="145" t="n"/>
      <c r="AG520" s="145" t="n"/>
      <c r="AH520" s="145" t="n"/>
      <c r="AI520" s="145" t="n"/>
      <c r="AJ520" s="145" t="n"/>
      <c r="AK520" s="145" t="n"/>
      <c r="AM520" s="605" t="n"/>
    </row>
    <row r="521" ht="12.75" customHeight="1" s="545">
      <c r="A521" s="388" t="n">
        <v>7</v>
      </c>
      <c r="B521" s="605" t="n">
        <v>513</v>
      </c>
      <c r="C521" s="605" t="inlineStr">
        <is>
          <t>2011W</t>
        </is>
      </c>
      <c r="D521" s="605" t="inlineStr">
        <is>
          <t>05224-00-061-000</t>
        </is>
      </c>
      <c r="E521" s="605" t="inlineStr">
        <is>
          <t xml:space="preserve">  Actual</t>
        </is>
      </c>
      <c r="F521" s="605" t="inlineStr">
        <is>
          <t>700 W. Mississippi Ave  B</t>
        </is>
      </c>
      <c r="G521" s="605" t="n">
        <v>44.2</v>
      </c>
      <c r="H521" s="605" t="n">
        <v>9506</v>
      </c>
      <c r="I521" s="605" t="inlineStr">
        <is>
          <t>^     0</t>
        </is>
      </c>
      <c r="J521" s="393" t="n">
        <v>39365</v>
      </c>
      <c r="K521" s="414" t="n">
        <v>4.05</v>
      </c>
      <c r="L521" s="153" t="n">
        <v>0</v>
      </c>
      <c r="M521" s="153" t="n">
        <v>0.09</v>
      </c>
      <c r="N521" s="605" t="n">
        <v>1957</v>
      </c>
      <c r="O521" s="393" t="n">
        <v>20042</v>
      </c>
      <c r="Q521" s="605" t="n">
        <v>20</v>
      </c>
      <c r="R521" s="605" t="n">
        <v>10</v>
      </c>
      <c r="S521" s="605" t="n">
        <v>8</v>
      </c>
      <c r="T521" s="605" t="inlineStr">
        <is>
          <t xml:space="preserve">     I2</t>
        </is>
      </c>
      <c r="U521" s="605" t="n">
        <v>398</v>
      </c>
      <c r="V521" s="393" t="n">
        <v>60009</v>
      </c>
      <c r="W521" s="393" t="n">
        <v>60000</v>
      </c>
      <c r="X521" s="605" t="inlineStr">
        <is>
          <t xml:space="preserve">           1.5:1</t>
        </is>
      </c>
      <c r="Y521" s="393" t="n">
        <v>40000</v>
      </c>
      <c r="Z521" s="605" t="inlineStr">
        <is>
          <t>B</t>
        </is>
      </c>
      <c r="AA521" s="605" t="n">
        <v>3</v>
      </c>
      <c r="AB521" s="605" t="n">
        <v>3</v>
      </c>
      <c r="AC521" s="605" t="n">
        <v>33</v>
      </c>
      <c r="AD521" s="605" t="inlineStr">
        <is>
          <t>Valley Business Center</t>
        </is>
      </c>
      <c r="AJ521" s="377" t="n"/>
      <c r="AK521" s="605" t="inlineStr">
        <is>
          <t>Expenses are an estimate.  Could be as low as 5%</t>
        </is>
      </c>
      <c r="AM521" s="605" t="n"/>
    </row>
    <row r="522" ht="12.75" customHeight="1" s="545">
      <c r="A522" s="388" t="n">
        <v>7</v>
      </c>
      <c r="B522" s="605" t="n">
        <v>514</v>
      </c>
      <c r="C522" s="384" t="inlineStr">
        <is>
          <t>2011Q</t>
        </is>
      </c>
      <c r="D522" s="605" t="inlineStr">
        <is>
          <t xml:space="preserve">05224-00-063-000 </t>
        </is>
      </c>
      <c r="E522" s="407" t="inlineStr">
        <is>
          <t>Actual</t>
        </is>
      </c>
      <c r="F522" s="605" t="inlineStr">
        <is>
          <t>1155 S PLATTE RIVER        DR</t>
        </is>
      </c>
      <c r="G522" s="378" t="n">
        <v>44.1</v>
      </c>
      <c r="H522" s="378" t="n">
        <v>9506</v>
      </c>
      <c r="I522" s="403" t="n">
        <v>0</v>
      </c>
      <c r="J522" s="404" t="n">
        <v>6148</v>
      </c>
      <c r="K522" s="408" t="n">
        <v>5.46519193233572</v>
      </c>
      <c r="L522" s="409" t="n">
        <v>0</v>
      </c>
      <c r="M522" s="409" t="n">
        <v>0</v>
      </c>
      <c r="N522" s="378" t="n">
        <v>1955</v>
      </c>
      <c r="O522" s="393" t="n">
        <v>0</v>
      </c>
      <c r="Q522" s="605" t="n">
        <v>11</v>
      </c>
      <c r="R522" s="605" t="n">
        <v>3</v>
      </c>
      <c r="S522" s="605" t="n">
        <v>1</v>
      </c>
      <c r="T522" s="403" t="inlineStr">
        <is>
          <t xml:space="preserve">I1   </t>
        </is>
      </c>
      <c r="U522" s="403" t="n">
        <v>398</v>
      </c>
      <c r="V522" s="404" t="n">
        <v>21984</v>
      </c>
      <c r="W522" s="404" t="n">
        <v>22000</v>
      </c>
      <c r="X522" s="410" t="inlineStr">
        <is>
          <t>3.6:1</t>
        </is>
      </c>
      <c r="Y522" s="404" t="n">
        <v>6000</v>
      </c>
      <c r="Z522" s="403" t="inlineStr">
        <is>
          <t xml:space="preserve">C </t>
        </is>
      </c>
      <c r="AC522" s="378" t="n"/>
      <c r="AD522" s="384" t="inlineStr">
        <is>
          <t>DNVR AWNING/IRONWORK</t>
        </is>
      </c>
      <c r="AE522" s="145" t="n"/>
      <c r="AF522" s="145" t="n"/>
      <c r="AG522" s="145" t="n"/>
      <c r="AH522" s="145" t="n"/>
      <c r="AI522" s="145" t="n"/>
      <c r="AJ522" s="145" t="n"/>
      <c r="AK522" s="145" t="n"/>
      <c r="AM522" s="605" t="n"/>
    </row>
    <row r="523" ht="12.75" customHeight="1" s="545">
      <c r="A523" s="388" t="n">
        <v>7</v>
      </c>
      <c r="B523" s="605" t="n">
        <v>515</v>
      </c>
      <c r="C523" s="384" t="inlineStr">
        <is>
          <t>2011Q</t>
        </is>
      </c>
      <c r="D523" s="605" t="inlineStr">
        <is>
          <t xml:space="preserve">05226-01-028-000 </t>
        </is>
      </c>
      <c r="E523" s="407" t="inlineStr">
        <is>
          <t>Actual</t>
        </is>
      </c>
      <c r="F523" s="605" t="inlineStr">
        <is>
          <t>1586 S ACOMA               ST</t>
        </is>
      </c>
      <c r="G523" s="392" t="n">
        <v>44.2</v>
      </c>
      <c r="H523" s="378" t="n">
        <v>9506</v>
      </c>
      <c r="I523" s="403" t="n">
        <v>0</v>
      </c>
      <c r="J523" s="404" t="n">
        <v>7000</v>
      </c>
      <c r="K523" s="408" t="n">
        <v>6.85714285714286</v>
      </c>
      <c r="L523" s="409" t="n">
        <v>0</v>
      </c>
      <c r="M523" s="409" t="n">
        <v>0.05375</v>
      </c>
      <c r="N523" s="378" t="n">
        <v>1967</v>
      </c>
      <c r="O523" s="393" t="n">
        <v>2500</v>
      </c>
      <c r="Q523" s="605" t="n">
        <v>14</v>
      </c>
      <c r="R523" s="605" t="n">
        <v>1</v>
      </c>
      <c r="S523" s="605" t="n">
        <v>1</v>
      </c>
      <c r="T523" s="403" t="inlineStr">
        <is>
          <t xml:space="preserve">I1   </t>
        </is>
      </c>
      <c r="U523" s="403" t="n">
        <v>398</v>
      </c>
      <c r="V523" s="404" t="n">
        <v>12500</v>
      </c>
      <c r="W523" s="404" t="n">
        <v>13000</v>
      </c>
      <c r="X523" s="410" t="inlineStr">
        <is>
          <t>1.8:1</t>
        </is>
      </c>
      <c r="Y523" s="404" t="n">
        <v>7000</v>
      </c>
      <c r="Z523" s="403" t="inlineStr">
        <is>
          <t xml:space="preserve">C </t>
        </is>
      </c>
      <c r="AC523" s="378" t="n"/>
      <c r="AD523" s="384" t="n"/>
      <c r="AE523" s="145" t="n"/>
      <c r="AF523" s="145" t="n"/>
      <c r="AG523" s="145" t="n"/>
      <c r="AH523" s="145" t="n"/>
      <c r="AI523" s="145" t="n"/>
      <c r="AJ523" s="145" t="n"/>
      <c r="AK523" s="145" t="inlineStr">
        <is>
          <t xml:space="preserve">LEASES RANGE FROM 2006 TO 2009 ALL AT SAME RATE.                  </t>
        </is>
      </c>
      <c r="AM523" s="605" t="n"/>
    </row>
    <row r="524" ht="12.75" customHeight="1" s="545">
      <c r="A524" s="388" t="n">
        <v>7</v>
      </c>
      <c r="B524" s="605" t="n">
        <v>516</v>
      </c>
      <c r="C524" s="384" t="inlineStr">
        <is>
          <t>2011Q</t>
        </is>
      </c>
      <c r="D524" s="605" t="inlineStr">
        <is>
          <t xml:space="preserve">05226-16-040-000 </t>
        </is>
      </c>
      <c r="E524" s="407" t="inlineStr">
        <is>
          <t>Actual</t>
        </is>
      </c>
      <c r="F524" s="605" t="inlineStr">
        <is>
          <t>1853 S ACOMA               ST</t>
        </is>
      </c>
      <c r="G524" s="392" t="n">
        <v>44.2</v>
      </c>
      <c r="H524" s="378" t="n">
        <v>9506</v>
      </c>
      <c r="I524" s="403" t="n">
        <v>0</v>
      </c>
      <c r="J524" s="404" t="n">
        <v>4991</v>
      </c>
      <c r="K524" s="408" t="n">
        <v>10.8194750550992</v>
      </c>
      <c r="L524" s="409" t="n">
        <v>0</v>
      </c>
      <c r="M524" s="409" t="n">
        <v>0.106574074074074</v>
      </c>
      <c r="N524" s="378" t="n">
        <v>1970</v>
      </c>
      <c r="O524" s="393" t="n">
        <v>744</v>
      </c>
      <c r="Q524" s="605" t="n">
        <v>14</v>
      </c>
      <c r="R524" s="605" t="n">
        <v>3</v>
      </c>
      <c r="S524" s="605" t="n">
        <v>1</v>
      </c>
      <c r="T524" s="403" t="inlineStr">
        <is>
          <t xml:space="preserve">I1   </t>
        </is>
      </c>
      <c r="U524" s="403" t="n">
        <v>398</v>
      </c>
      <c r="V524" s="404" t="n">
        <v>7751</v>
      </c>
      <c r="W524" s="404" t="n">
        <v>8000</v>
      </c>
      <c r="X524" s="410" t="inlineStr">
        <is>
          <t>1.6:1</t>
        </is>
      </c>
      <c r="Y524" s="404" t="n">
        <v>5000</v>
      </c>
      <c r="Z524" s="403" t="inlineStr">
        <is>
          <t xml:space="preserve">C </t>
        </is>
      </c>
      <c r="AC524" s="378" t="n"/>
      <c r="AD524" s="384" t="inlineStr">
        <is>
          <t xml:space="preserve">S-W HAMMILL WEST    </t>
        </is>
      </c>
      <c r="AE524" s="145" t="n"/>
      <c r="AF524" s="145" t="n"/>
      <c r="AG524" s="145" t="n"/>
      <c r="AH524" s="145" t="n"/>
      <c r="AI524" s="145" t="n"/>
      <c r="AJ524" s="145" t="n"/>
      <c r="AK524" s="145" t="inlineStr">
        <is>
          <t xml:space="preserve">MO-TO-MO LEASE.                                                   </t>
        </is>
      </c>
      <c r="AM524" s="605" t="n"/>
    </row>
    <row r="525" ht="12.75" customHeight="1" s="545">
      <c r="A525" s="388" t="n">
        <v>7</v>
      </c>
      <c r="B525" s="605" t="n">
        <v>517</v>
      </c>
      <c r="C525" s="384" t="inlineStr">
        <is>
          <t>2011Q</t>
        </is>
      </c>
      <c r="D525" s="605" t="inlineStr">
        <is>
          <t xml:space="preserve">05226-17-006-000 </t>
        </is>
      </c>
      <c r="E525" s="407" t="inlineStr">
        <is>
          <t>Actual</t>
        </is>
      </c>
      <c r="F525" s="605" t="inlineStr">
        <is>
          <t>1869 S BROADWAY            ST</t>
        </is>
      </c>
      <c r="G525" s="378" t="n">
        <v>44.1</v>
      </c>
      <c r="H525" s="378" t="n">
        <v>9506</v>
      </c>
      <c r="I525" s="403" t="n">
        <v>2</v>
      </c>
      <c r="J525" s="404" t="n">
        <v>3750</v>
      </c>
      <c r="K525" s="408" t="n">
        <v>4.48</v>
      </c>
      <c r="L525" s="409" t="n">
        <v>0</v>
      </c>
      <c r="M525" s="409" t="n">
        <v>0</v>
      </c>
      <c r="N525" s="378" t="n">
        <v>1954</v>
      </c>
      <c r="O525" s="393" t="n">
        <v>0</v>
      </c>
      <c r="Q525" s="605" t="n">
        <v>13</v>
      </c>
      <c r="R525" s="605" t="n">
        <v>3</v>
      </c>
      <c r="S525" s="605" t="n">
        <v>1</v>
      </c>
      <c r="T525" s="403" t="inlineStr">
        <is>
          <t xml:space="preserve">B4   </t>
        </is>
      </c>
      <c r="U525" s="403" t="n">
        <v>398</v>
      </c>
      <c r="V525" s="404" t="n">
        <v>4687</v>
      </c>
      <c r="W525" s="404" t="n">
        <v>5000</v>
      </c>
      <c r="X525" s="410" t="inlineStr">
        <is>
          <t>1.2:1</t>
        </is>
      </c>
      <c r="Y525" s="404" t="n">
        <v>4000</v>
      </c>
      <c r="Z525" s="403" t="inlineStr">
        <is>
          <t>C+</t>
        </is>
      </c>
      <c r="AC525" s="378" t="n"/>
      <c r="AD525" s="384" t="n"/>
      <c r="AE525" s="145" t="n"/>
      <c r="AF525" s="145" t="n"/>
      <c r="AG525" s="145" t="n"/>
      <c r="AH525" s="145" t="n"/>
      <c r="AI525" s="145" t="n"/>
      <c r="AJ525" s="145" t="n"/>
      <c r="AK525" s="145" t="n"/>
      <c r="AM525" s="605" t="n"/>
    </row>
    <row r="526" ht="12.75" customHeight="1" s="545">
      <c r="A526" s="388" t="n">
        <v>7</v>
      </c>
      <c r="B526" s="605" t="n">
        <v>518</v>
      </c>
      <c r="C526" s="384" t="inlineStr">
        <is>
          <t>2011Q</t>
        </is>
      </c>
      <c r="D526" s="605" t="inlineStr">
        <is>
          <t xml:space="preserve">05226-17-017-000 </t>
        </is>
      </c>
      <c r="E526" s="407" t="inlineStr">
        <is>
          <t>Actual</t>
        </is>
      </c>
      <c r="F526" s="605" t="inlineStr">
        <is>
          <t>1860 S ACOMA               ST</t>
        </is>
      </c>
      <c r="G526" s="392" t="n">
        <v>44.2</v>
      </c>
      <c r="H526" s="378" t="n">
        <v>9506</v>
      </c>
      <c r="I526" s="403" t="n">
        <v>0</v>
      </c>
      <c r="J526" s="404" t="n">
        <v>4704</v>
      </c>
      <c r="K526" s="408" t="n">
        <v>7.25</v>
      </c>
      <c r="L526" s="409" t="n">
        <v>0</v>
      </c>
      <c r="M526" s="409" t="n">
        <v>0.133679333802487</v>
      </c>
      <c r="N526" s="378" t="n">
        <v>1958</v>
      </c>
      <c r="O526" s="393" t="n">
        <v>0</v>
      </c>
      <c r="P526" s="393" t="n">
        <v>1208</v>
      </c>
      <c r="Q526" s="605" t="n">
        <v>10</v>
      </c>
      <c r="R526" s="605" t="n">
        <v>1</v>
      </c>
      <c r="S526" s="605" t="n">
        <v>1</v>
      </c>
      <c r="T526" s="403" t="inlineStr">
        <is>
          <t xml:space="preserve">I1   </t>
        </is>
      </c>
      <c r="U526" s="403" t="n">
        <v>398</v>
      </c>
      <c r="V526" s="404" t="n">
        <v>6250</v>
      </c>
      <c r="W526" s="404" t="n">
        <v>6000</v>
      </c>
      <c r="X526" s="410" t="inlineStr">
        <is>
          <t>1.3:1</t>
        </is>
      </c>
      <c r="Y526" s="404" t="n">
        <v>5000</v>
      </c>
      <c r="Z526" s="403" t="inlineStr">
        <is>
          <t xml:space="preserve">C </t>
        </is>
      </c>
      <c r="AC526" s="378" t="n"/>
      <c r="AD526" s="384" t="inlineStr">
        <is>
          <t xml:space="preserve">S-W ELECTRIC SUPPLY </t>
        </is>
      </c>
      <c r="AE526" s="145" t="n"/>
      <c r="AF526" s="145" t="n"/>
      <c r="AG526" s="145" t="n"/>
      <c r="AH526" s="145" t="n"/>
      <c r="AI526" s="145" t="n"/>
      <c r="AJ526" s="145" t="n"/>
      <c r="AK526" s="145" t="n"/>
      <c r="AM526" s="605" t="n"/>
    </row>
    <row r="527" ht="12.75" customHeight="1" s="545">
      <c r="A527" s="388" t="n">
        <v>7</v>
      </c>
      <c r="B527" s="605" t="n">
        <v>519</v>
      </c>
      <c r="C527" s="384" t="inlineStr">
        <is>
          <t>2011Q</t>
        </is>
      </c>
      <c r="D527" s="605" t="inlineStr">
        <is>
          <t xml:space="preserve">05227-36-027-000 </t>
        </is>
      </c>
      <c r="E527" s="407" t="inlineStr">
        <is>
          <t>Actual</t>
        </is>
      </c>
      <c r="F527" s="605" t="inlineStr">
        <is>
          <t>1859 S PEARL               ST</t>
        </is>
      </c>
      <c r="G527" s="378" t="n">
        <v>44.1</v>
      </c>
      <c r="H527" s="378" t="n">
        <v>9509</v>
      </c>
      <c r="I527" s="403" t="n">
        <v>0</v>
      </c>
      <c r="J527" s="404" t="n">
        <v>1912</v>
      </c>
      <c r="K527" s="408" t="n">
        <v>14.1715481171548</v>
      </c>
      <c r="L527" s="409" t="n">
        <v>0</v>
      </c>
      <c r="M527" s="409" t="n">
        <v>0.09676705048715679</v>
      </c>
      <c r="N527" s="378" t="n">
        <v>1955</v>
      </c>
      <c r="O527" s="393" t="n">
        <v>0</v>
      </c>
      <c r="P527" s="393" t="n">
        <v>800</v>
      </c>
      <c r="Q527" s="605" t="n">
        <v>12</v>
      </c>
      <c r="R527" s="605" t="n">
        <v>3</v>
      </c>
      <c r="S527" s="605" t="n">
        <v>1</v>
      </c>
      <c r="T527" s="403" t="inlineStr">
        <is>
          <t xml:space="preserve">B2   </t>
        </is>
      </c>
      <c r="U527" s="403" t="n">
        <v>398</v>
      </c>
      <c r="V527" s="404" t="n">
        <v>3125</v>
      </c>
      <c r="W527" s="404" t="n">
        <v>3000</v>
      </c>
      <c r="X527" s="410" t="inlineStr">
        <is>
          <t>1.6:1</t>
        </is>
      </c>
      <c r="Y527" s="404" t="n">
        <v>2000</v>
      </c>
      <c r="Z527" s="403" t="inlineStr">
        <is>
          <t xml:space="preserve">C </t>
        </is>
      </c>
      <c r="AC527" s="378" t="n"/>
      <c r="AD527" s="384" t="inlineStr">
        <is>
          <t>S-W R K LEONARD SPEC</t>
        </is>
      </c>
      <c r="AE527" s="145" t="n"/>
      <c r="AF527" s="145" t="n"/>
      <c r="AG527" s="145" t="n"/>
      <c r="AH527" s="145" t="n"/>
      <c r="AI527" s="145" t="n"/>
      <c r="AJ527" s="145" t="n"/>
      <c r="AK527" s="145" t="inlineStr">
        <is>
          <t xml:space="preserve">2008 LEASE.                                                       </t>
        </is>
      </c>
      <c r="AM527" s="605" t="n"/>
    </row>
    <row r="528" ht="12.75" customHeight="1" s="545">
      <c r="A528" s="388" t="n">
        <v>7</v>
      </c>
      <c r="B528" s="605" t="n">
        <v>520</v>
      </c>
      <c r="C528" s="384" t="inlineStr">
        <is>
          <t>2011Q</t>
        </is>
      </c>
      <c r="D528" s="605" t="inlineStr">
        <is>
          <t xml:space="preserve">05271-23-002-000 </t>
        </is>
      </c>
      <c r="E528" s="407" t="inlineStr">
        <is>
          <t>Actual</t>
        </is>
      </c>
      <c r="F528" s="605" t="inlineStr">
        <is>
          <t>2112 S WASHINGTON          ST</t>
        </is>
      </c>
      <c r="G528" s="378" t="n">
        <v>44.1</v>
      </c>
      <c r="H528" s="378" t="n">
        <v>9509</v>
      </c>
      <c r="I528" s="403" t="n">
        <v>0</v>
      </c>
      <c r="J528" s="404" t="n">
        <v>798</v>
      </c>
      <c r="K528" s="408" t="n">
        <v>15.0375939849624</v>
      </c>
      <c r="L528" s="409" t="n">
        <v>0</v>
      </c>
      <c r="M528" s="409" t="n">
        <v>0</v>
      </c>
      <c r="N528" s="378" t="n">
        <v>1956</v>
      </c>
      <c r="O528" s="393" t="n">
        <v>200</v>
      </c>
      <c r="Q528" s="605" t="n">
        <v>14</v>
      </c>
      <c r="R528" s="605" t="n">
        <v>3</v>
      </c>
      <c r="S528" s="605" t="n">
        <v>1</v>
      </c>
      <c r="T528" s="403" t="inlineStr">
        <is>
          <t xml:space="preserve">R2   </t>
        </is>
      </c>
      <c r="U528" s="403" t="n">
        <v>398</v>
      </c>
      <c r="V528" s="404" t="n">
        <v>4700</v>
      </c>
      <c r="W528" s="404" t="n">
        <v>5000</v>
      </c>
      <c r="X528" s="410" t="inlineStr">
        <is>
          <t>5.9:1</t>
        </is>
      </c>
      <c r="Y528" s="404" t="n">
        <v>800</v>
      </c>
      <c r="Z528" s="403" t="inlineStr">
        <is>
          <t xml:space="preserve">C </t>
        </is>
      </c>
      <c r="AC528" s="378" t="n"/>
      <c r="AD528" s="384" t="inlineStr">
        <is>
          <t xml:space="preserve">S-W D.C. PLUMBING   </t>
        </is>
      </c>
      <c r="AE528" s="145" t="n"/>
      <c r="AF528" s="145" t="n"/>
      <c r="AG528" s="145" t="n"/>
      <c r="AH528" s="145" t="n"/>
      <c r="AI528" s="145" t="n"/>
      <c r="AJ528" s="145" t="n"/>
      <c r="AK528" s="145" t="n"/>
      <c r="AM528" s="605" t="n"/>
    </row>
    <row r="529" ht="12.75" customHeight="1" s="545">
      <c r="A529" s="388" t="n">
        <v>7</v>
      </c>
      <c r="B529" s="605" t="n">
        <v>521</v>
      </c>
      <c r="C529" s="384" t="inlineStr">
        <is>
          <t>2011Q</t>
        </is>
      </c>
      <c r="D529" s="605" t="inlineStr">
        <is>
          <t xml:space="preserve">05272-01-009-000 </t>
        </is>
      </c>
      <c r="E529" s="407" t="inlineStr">
        <is>
          <t>Actual</t>
        </is>
      </c>
      <c r="F529" s="605" t="inlineStr">
        <is>
          <t>1978 S ACOMA               ST</t>
        </is>
      </c>
      <c r="G529" s="392" t="n">
        <v>44.2</v>
      </c>
      <c r="H529" s="378" t="n">
        <v>9506</v>
      </c>
      <c r="I529" s="403" t="n">
        <v>0</v>
      </c>
      <c r="J529" s="404" t="n">
        <v>6000</v>
      </c>
      <c r="K529" s="408" t="n">
        <v>7</v>
      </c>
      <c r="L529" s="409" t="n">
        <v>0</v>
      </c>
      <c r="M529" s="409" t="n">
        <v>0</v>
      </c>
      <c r="N529" s="378" t="n">
        <v>1999</v>
      </c>
      <c r="O529" s="393" t="n">
        <v>4153</v>
      </c>
      <c r="Q529" s="605" t="n">
        <v>14</v>
      </c>
      <c r="R529" s="605" t="n">
        <v>8</v>
      </c>
      <c r="S529" s="605" t="n">
        <v>2</v>
      </c>
      <c r="T529" s="403" t="inlineStr">
        <is>
          <t xml:space="preserve">I1   </t>
        </is>
      </c>
      <c r="U529" s="403" t="n">
        <v>398</v>
      </c>
      <c r="V529" s="404" t="n">
        <v>6250</v>
      </c>
      <c r="W529" s="404" t="n">
        <v>6000</v>
      </c>
      <c r="X529" s="410" t="inlineStr">
        <is>
          <t>1.0:1</t>
        </is>
      </c>
      <c r="Y529" s="404" t="n">
        <v>6000</v>
      </c>
      <c r="Z529" s="403" t="inlineStr">
        <is>
          <t xml:space="preserve">C </t>
        </is>
      </c>
      <c r="AC529" s="378" t="n"/>
      <c r="AD529" s="384" t="inlineStr">
        <is>
          <t>M-O AMERICAN APPLNCE</t>
        </is>
      </c>
      <c r="AE529" s="145" t="n"/>
      <c r="AF529" s="145" t="n"/>
      <c r="AG529" s="145" t="n"/>
      <c r="AH529" s="145" t="n"/>
      <c r="AI529" s="145" t="n"/>
      <c r="AJ529" s="145" t="n"/>
      <c r="AK529" s="145" t="n"/>
      <c r="AM529" s="605" t="n"/>
    </row>
    <row r="530" ht="12.75" customHeight="1" s="545">
      <c r="A530" s="388" t="n">
        <v>7</v>
      </c>
      <c r="B530" s="605" t="n">
        <v>522</v>
      </c>
      <c r="C530" s="384" t="inlineStr">
        <is>
          <t>2011Q</t>
        </is>
      </c>
      <c r="D530" s="605" t="inlineStr">
        <is>
          <t xml:space="preserve">05272-02-011-000 </t>
        </is>
      </c>
      <c r="E530" s="407" t="inlineStr">
        <is>
          <t>Actual</t>
        </is>
      </c>
      <c r="F530" s="605" t="inlineStr">
        <is>
          <t>165 W ASBURY              AV</t>
        </is>
      </c>
      <c r="G530" s="378" t="n">
        <v>44.1</v>
      </c>
      <c r="H530" s="378" t="n">
        <v>9506</v>
      </c>
      <c r="I530" s="403" t="n">
        <v>0</v>
      </c>
      <c r="J530" s="404" t="n">
        <v>2400</v>
      </c>
      <c r="K530" s="408" t="n">
        <v>6.875</v>
      </c>
      <c r="L530" s="409" t="n">
        <v>0</v>
      </c>
      <c r="M530" s="409" t="n">
        <v>0</v>
      </c>
      <c r="N530" s="378" t="n">
        <v>2008</v>
      </c>
      <c r="O530" s="393" t="n">
        <v>0</v>
      </c>
      <c r="Q530" s="605" t="n">
        <v>16</v>
      </c>
      <c r="R530" s="605" t="n">
        <v>2</v>
      </c>
      <c r="S530" s="605" t="n">
        <v>1</v>
      </c>
      <c r="T530" s="403" t="inlineStr">
        <is>
          <t xml:space="preserve">I1   </t>
        </is>
      </c>
      <c r="U530" s="403" t="n">
        <v>398</v>
      </c>
      <c r="V530" s="404" t="n">
        <v>4690</v>
      </c>
      <c r="W530" s="404" t="n">
        <v>5000</v>
      </c>
      <c r="X530" s="410" t="inlineStr">
        <is>
          <t>2.0:1</t>
        </is>
      </c>
      <c r="Y530" s="404" t="n">
        <v>2000</v>
      </c>
      <c r="Z530" s="403" t="inlineStr">
        <is>
          <t xml:space="preserve">C </t>
        </is>
      </c>
      <c r="AC530" s="378" t="n"/>
      <c r="AD530" s="384" t="n"/>
      <c r="AE530" s="145" t="n"/>
      <c r="AF530" s="145" t="n"/>
      <c r="AG530" s="145" t="n"/>
      <c r="AH530" s="145" t="n"/>
      <c r="AI530" s="145" t="n"/>
      <c r="AJ530" s="145" t="n"/>
      <c r="AK530" s="145" t="inlineStr">
        <is>
          <t xml:space="preserve">2008 LEASE.                                                       </t>
        </is>
      </c>
      <c r="AM530" s="605" t="n"/>
    </row>
    <row r="531" ht="12.75" customHeight="1" s="545">
      <c r="A531" s="388" t="n">
        <v>7</v>
      </c>
      <c r="B531" s="605" t="n">
        <v>523</v>
      </c>
      <c r="C531" s="384" t="inlineStr">
        <is>
          <t>2011Q</t>
        </is>
      </c>
      <c r="D531" s="605" t="inlineStr">
        <is>
          <t xml:space="preserve">05272-03-007-000 </t>
        </is>
      </c>
      <c r="E531" s="407" t="inlineStr">
        <is>
          <t>Actual</t>
        </is>
      </c>
      <c r="F531" s="605" t="inlineStr">
        <is>
          <t>1950 S CHEROKEE            ST</t>
        </is>
      </c>
      <c r="G531" s="392" t="n">
        <v>44.2</v>
      </c>
      <c r="H531" s="378" t="n">
        <v>9506</v>
      </c>
      <c r="I531" s="403" t="n">
        <v>0</v>
      </c>
      <c r="J531" s="404" t="n">
        <v>3594</v>
      </c>
      <c r="K531" s="408" t="n">
        <v>4.00667779632721</v>
      </c>
      <c r="L531" s="409" t="n">
        <v>0</v>
      </c>
      <c r="M531" s="409" t="n">
        <v>0.0451388888888889</v>
      </c>
      <c r="N531" s="378" t="n">
        <v>1953</v>
      </c>
      <c r="O531" s="393" t="n">
        <v>0</v>
      </c>
      <c r="Q531" s="605" t="n">
        <v>14</v>
      </c>
      <c r="R531" s="605" t="n">
        <v>3</v>
      </c>
      <c r="S531" s="605" t="n">
        <v>1</v>
      </c>
      <c r="T531" s="403" t="inlineStr">
        <is>
          <t xml:space="preserve">I1   </t>
        </is>
      </c>
      <c r="U531" s="403" t="n">
        <v>398</v>
      </c>
      <c r="V531" s="404" t="n">
        <v>12500</v>
      </c>
      <c r="W531" s="404" t="n">
        <v>13000</v>
      </c>
      <c r="X531" s="410" t="inlineStr">
        <is>
          <t>3.5:1</t>
        </is>
      </c>
      <c r="Y531" s="404" t="n">
        <v>4000</v>
      </c>
      <c r="Z531" s="403" t="inlineStr">
        <is>
          <t xml:space="preserve">C </t>
        </is>
      </c>
      <c r="AC531" s="378" t="n"/>
      <c r="AD531" s="384" t="inlineStr">
        <is>
          <t>S-W PASTERKAMPS HEAT</t>
        </is>
      </c>
      <c r="AE531" s="145" t="n"/>
      <c r="AF531" s="145" t="n"/>
      <c r="AG531" s="145" t="n"/>
      <c r="AH531" s="145" t="n"/>
      <c r="AI531" s="145" t="n"/>
      <c r="AJ531" s="145" t="n"/>
      <c r="AK531" s="145" t="n"/>
      <c r="AM531" s="605" t="n"/>
    </row>
    <row r="532" ht="12.75" customHeight="1" s="545">
      <c r="A532" s="388" t="n">
        <v>7</v>
      </c>
      <c r="B532" s="605" t="n">
        <v>524</v>
      </c>
      <c r="C532" s="384" t="inlineStr">
        <is>
          <t>2011Q</t>
        </is>
      </c>
      <c r="D532" s="605" t="inlineStr">
        <is>
          <t xml:space="preserve">05272-03-029-000 </t>
        </is>
      </c>
      <c r="E532" s="407" t="inlineStr">
        <is>
          <t>Actual</t>
        </is>
      </c>
      <c r="F532" s="605" t="inlineStr">
        <is>
          <t>1930 S CHEROKEE            ST</t>
        </is>
      </c>
      <c r="G532" s="392" t="n">
        <v>44.2</v>
      </c>
      <c r="H532" s="378" t="n">
        <v>9506</v>
      </c>
      <c r="I532" s="403" t="n">
        <v>0</v>
      </c>
      <c r="J532" s="404" t="n">
        <v>11266</v>
      </c>
      <c r="K532" s="408" t="n">
        <v>5.81404225102077</v>
      </c>
      <c r="L532" s="409" t="n">
        <v>0</v>
      </c>
      <c r="M532" s="409" t="n">
        <v>0</v>
      </c>
      <c r="N532" s="378" t="n">
        <v>1968</v>
      </c>
      <c r="O532" s="393" t="n">
        <v>612</v>
      </c>
      <c r="Q532" s="605" t="n">
        <v>13</v>
      </c>
      <c r="R532" s="605" t="n">
        <v>1</v>
      </c>
      <c r="S532" s="605" t="n">
        <v>1</v>
      </c>
      <c r="T532" s="403" t="inlineStr">
        <is>
          <t xml:space="preserve">I1   </t>
        </is>
      </c>
      <c r="U532" s="403" t="n">
        <v>398</v>
      </c>
      <c r="V532" s="404" t="n">
        <v>15625</v>
      </c>
      <c r="W532" s="404" t="n">
        <v>16000</v>
      </c>
      <c r="X532" s="410" t="inlineStr">
        <is>
          <t>1.4:1</t>
        </is>
      </c>
      <c r="Y532" s="404" t="n">
        <v>11000</v>
      </c>
      <c r="Z532" s="403" t="inlineStr">
        <is>
          <t xml:space="preserve">C </t>
        </is>
      </c>
      <c r="AC532" s="378" t="n"/>
      <c r="AD532" s="384" t="inlineStr">
        <is>
          <t>S-W PASTERKAMP PLUMB</t>
        </is>
      </c>
      <c r="AE532" s="145" t="n"/>
      <c r="AF532" s="145" t="n"/>
      <c r="AG532" s="145" t="n"/>
      <c r="AH532" s="145" t="n"/>
      <c r="AI532" s="145" t="n"/>
      <c r="AJ532" s="145" t="n"/>
      <c r="AK532" s="145" t="n"/>
      <c r="AM532" s="605" t="n"/>
    </row>
    <row r="533" ht="12.75" customHeight="1" s="545">
      <c r="A533" s="388" t="n">
        <v>7</v>
      </c>
      <c r="B533" s="605" t="n">
        <v>525</v>
      </c>
      <c r="C533" s="384" t="inlineStr">
        <is>
          <t>2011Q</t>
        </is>
      </c>
      <c r="D533" s="605" t="inlineStr">
        <is>
          <t xml:space="preserve">05274-03-004-000 </t>
        </is>
      </c>
      <c r="E533" s="407" t="inlineStr">
        <is>
          <t>Actual</t>
        </is>
      </c>
      <c r="F533" s="605" t="inlineStr">
        <is>
          <t>2301 S DELAWARE            ST</t>
        </is>
      </c>
      <c r="G533" s="392" t="n">
        <v>47.2</v>
      </c>
      <c r="H533" s="378" t="n">
        <v>9506</v>
      </c>
      <c r="I533" s="403" t="n">
        <v>0</v>
      </c>
      <c r="J533" s="404" t="n">
        <v>30653</v>
      </c>
      <c r="K533" s="408" t="n">
        <v>4.8282386715819</v>
      </c>
      <c r="L533" s="409" t="n">
        <v>0</v>
      </c>
      <c r="M533" s="409" t="n">
        <v>0.0574054054054054</v>
      </c>
      <c r="N533" s="378" t="n">
        <v>1951</v>
      </c>
      <c r="O533" s="393" t="n">
        <v>1922</v>
      </c>
      <c r="Q533" s="605" t="n">
        <v>17</v>
      </c>
      <c r="R533" s="605" t="n">
        <v>3</v>
      </c>
      <c r="S533" s="605" t="n">
        <v>1</v>
      </c>
      <c r="T533" s="403" t="inlineStr">
        <is>
          <t xml:space="preserve">I1   </t>
        </is>
      </c>
      <c r="U533" s="403" t="n">
        <v>401</v>
      </c>
      <c r="V533" s="404" t="n">
        <v>33750</v>
      </c>
      <c r="W533" s="404" t="n">
        <v>34000</v>
      </c>
      <c r="X533" s="410" t="inlineStr">
        <is>
          <t>1.1:1</t>
        </is>
      </c>
      <c r="Y533" s="404" t="n">
        <v>31000</v>
      </c>
      <c r="Z533" s="403" t="inlineStr">
        <is>
          <t xml:space="preserve">C </t>
        </is>
      </c>
      <c r="AC533" s="378" t="n"/>
      <c r="AD533" s="384" t="inlineStr">
        <is>
          <t xml:space="preserve">WOODCRAFT UNLIMITED </t>
        </is>
      </c>
      <c r="AE533" s="145" t="n"/>
      <c r="AF533" s="145" t="n"/>
      <c r="AG533" s="145" t="n"/>
      <c r="AH533" s="145" t="n"/>
      <c r="AI533" s="145" t="n"/>
      <c r="AJ533" s="145" t="n"/>
      <c r="AK533" s="145" t="n"/>
      <c r="AM533" s="605" t="n"/>
    </row>
    <row r="534" ht="12.75" customHeight="1" s="545">
      <c r="A534" s="388" t="n">
        <v>7</v>
      </c>
      <c r="B534" s="605" t="n">
        <v>526</v>
      </c>
      <c r="C534" s="384" t="inlineStr">
        <is>
          <t>2011Q</t>
        </is>
      </c>
      <c r="D534" s="605" t="inlineStr">
        <is>
          <t xml:space="preserve">05274-03-008-000 </t>
        </is>
      </c>
      <c r="E534" s="407" t="inlineStr">
        <is>
          <t>Actual</t>
        </is>
      </c>
      <c r="F534" s="605" t="inlineStr">
        <is>
          <t>2385 S DELAWARE            ST</t>
        </is>
      </c>
      <c r="G534" s="392" t="n">
        <v>44.2</v>
      </c>
      <c r="H534" s="378" t="n">
        <v>9506</v>
      </c>
      <c r="I534" s="403" t="n">
        <v>0</v>
      </c>
      <c r="J534" s="404" t="n">
        <v>14970</v>
      </c>
      <c r="K534" s="408" t="n">
        <v>4.68350033400134</v>
      </c>
      <c r="L534" s="409" t="n">
        <v>0</v>
      </c>
      <c r="M534" s="409" t="n">
        <v>0.08656150159744409</v>
      </c>
      <c r="N534" s="378" t="n">
        <v>1960</v>
      </c>
      <c r="O534" s="393" t="n">
        <v>1407</v>
      </c>
      <c r="Q534" s="605" t="n">
        <v>13</v>
      </c>
      <c r="R534" s="605" t="n">
        <v>3</v>
      </c>
      <c r="S534" s="605" t="n">
        <v>1</v>
      </c>
      <c r="T534" s="403" t="inlineStr">
        <is>
          <t xml:space="preserve">I1   </t>
        </is>
      </c>
      <c r="U534" s="403" t="n">
        <v>398</v>
      </c>
      <c r="V534" s="404" t="n">
        <v>17968</v>
      </c>
      <c r="W534" s="404" t="n">
        <v>18000</v>
      </c>
      <c r="X534" s="410" t="inlineStr">
        <is>
          <t>1.2:1</t>
        </is>
      </c>
      <c r="Y534" s="404" t="n">
        <v>15000</v>
      </c>
      <c r="Z534" s="403" t="inlineStr">
        <is>
          <t xml:space="preserve">C </t>
        </is>
      </c>
      <c r="AC534" s="378" t="n"/>
      <c r="AD534" s="384" t="n"/>
      <c r="AE534" s="145" t="n"/>
      <c r="AF534" s="145" t="n"/>
      <c r="AG534" s="145" t="n"/>
      <c r="AH534" s="145" t="n"/>
      <c r="AI534" s="145" t="n"/>
      <c r="AJ534" s="145" t="n"/>
      <c r="AK534" s="145" t="n"/>
      <c r="AM534" s="605" t="n"/>
    </row>
    <row r="535" ht="12.75" customHeight="1" s="545">
      <c r="A535" s="388" t="n">
        <v>7</v>
      </c>
      <c r="B535" s="605" t="n">
        <v>527</v>
      </c>
      <c r="C535" s="384" t="inlineStr">
        <is>
          <t>2011Q</t>
        </is>
      </c>
      <c r="D535" s="605" t="inlineStr">
        <is>
          <t xml:space="preserve">05274-03-009-000 </t>
        </is>
      </c>
      <c r="E535" s="407" t="inlineStr">
        <is>
          <t>Actual</t>
        </is>
      </c>
      <c r="F535" s="605" t="inlineStr">
        <is>
          <t>2345 S DELAWARE            ST</t>
        </is>
      </c>
      <c r="G535" s="392" t="n">
        <v>47.2</v>
      </c>
      <c r="H535" s="378" t="n">
        <v>9506</v>
      </c>
      <c r="I535" s="403" t="n">
        <v>0</v>
      </c>
      <c r="J535" s="404" t="n">
        <v>28581</v>
      </c>
      <c r="K535" s="408" t="n">
        <v>5.45463769637172</v>
      </c>
      <c r="L535" s="409" t="n">
        <v>0</v>
      </c>
      <c r="M535" s="409" t="n">
        <v>0.0414948139500574</v>
      </c>
      <c r="N535" s="378" t="n">
        <v>1961</v>
      </c>
      <c r="O535" s="393" t="n">
        <v>6364</v>
      </c>
      <c r="Q535" s="605" t="n">
        <v>13</v>
      </c>
      <c r="R535" s="605" t="n">
        <v>3</v>
      </c>
      <c r="S535" s="605" t="n">
        <v>1</v>
      </c>
      <c r="T535" s="403" t="inlineStr">
        <is>
          <t xml:space="preserve">I1   </t>
        </is>
      </c>
      <c r="U535" s="403" t="n">
        <v>401</v>
      </c>
      <c r="V535" s="404" t="n">
        <v>38282</v>
      </c>
      <c r="W535" s="404" t="n">
        <v>38000</v>
      </c>
      <c r="X535" s="410" t="inlineStr">
        <is>
          <t>1.3:1</t>
        </is>
      </c>
      <c r="Y535" s="404" t="n">
        <v>29000</v>
      </c>
      <c r="Z535" s="403" t="inlineStr">
        <is>
          <t xml:space="preserve">C </t>
        </is>
      </c>
      <c r="AC535" s="378" t="n"/>
      <c r="AD535" s="384" t="inlineStr">
        <is>
          <t xml:space="preserve">S-F GOLESH INC.     </t>
        </is>
      </c>
      <c r="AE535" s="145" t="n"/>
      <c r="AF535" s="145" t="n"/>
      <c r="AG535" s="145" t="n"/>
      <c r="AH535" s="145" t="n"/>
      <c r="AI535" s="145" t="n"/>
      <c r="AJ535" s="145" t="n"/>
      <c r="AK535" s="145" t="n"/>
      <c r="AM535" s="605" t="n"/>
    </row>
    <row r="536" ht="12.75" customHeight="1" s="545">
      <c r="A536" s="388" t="n">
        <v>7</v>
      </c>
      <c r="B536" s="605" t="n">
        <v>528</v>
      </c>
      <c r="C536" s="384" t="inlineStr">
        <is>
          <t>2011Q</t>
        </is>
      </c>
      <c r="D536" s="605" t="inlineStr">
        <is>
          <t xml:space="preserve">05274-15-029-000 </t>
        </is>
      </c>
      <c r="E536" s="407" t="inlineStr">
        <is>
          <t>Actual</t>
        </is>
      </c>
      <c r="F536" s="605" t="inlineStr">
        <is>
          <t>2536 S DELAWARE            ST</t>
        </is>
      </c>
      <c r="G536" s="392" t="n">
        <v>47.1</v>
      </c>
      <c r="H536" s="378" t="n">
        <v>9506</v>
      </c>
      <c r="I536" s="403" t="n">
        <v>0</v>
      </c>
      <c r="J536" s="404" t="n">
        <v>2487</v>
      </c>
      <c r="K536" s="408" t="n">
        <v>9.650180940892639</v>
      </c>
      <c r="L536" s="409" t="n">
        <v>0</v>
      </c>
      <c r="M536" s="409" t="n">
        <v>0.183125</v>
      </c>
      <c r="N536" s="378" t="n">
        <v>1954</v>
      </c>
      <c r="O536" s="393" t="n">
        <v>0</v>
      </c>
      <c r="P536" s="393" t="n">
        <v>1188</v>
      </c>
      <c r="Q536" s="605" t="n">
        <v>16</v>
      </c>
      <c r="R536" s="605" t="n">
        <v>3</v>
      </c>
      <c r="S536" s="605" t="n">
        <v>1</v>
      </c>
      <c r="T536" s="403" t="inlineStr">
        <is>
          <t xml:space="preserve">I0   </t>
        </is>
      </c>
      <c r="U536" s="403" t="n">
        <v>401</v>
      </c>
      <c r="V536" s="404" t="n">
        <v>12500</v>
      </c>
      <c r="W536" s="404" t="n">
        <v>13000</v>
      </c>
      <c r="X536" s="410" t="inlineStr">
        <is>
          <t>5.0:1</t>
        </is>
      </c>
      <c r="Y536" s="404" t="n">
        <v>2000</v>
      </c>
      <c r="Z536" s="403" t="inlineStr">
        <is>
          <t xml:space="preserve">C </t>
        </is>
      </c>
      <c r="AC536" s="378" t="n"/>
      <c r="AD536" s="384" t="inlineStr">
        <is>
          <t xml:space="preserve">S-W CS GROUP        </t>
        </is>
      </c>
      <c r="AE536" s="145" t="n"/>
      <c r="AF536" s="145" t="n"/>
      <c r="AG536" s="145" t="n"/>
      <c r="AH536" s="145" t="n"/>
      <c r="AI536" s="145" t="n"/>
      <c r="AJ536" s="145" t="n"/>
      <c r="AK536" s="145" t="n"/>
      <c r="AM536" s="605" t="n"/>
    </row>
    <row r="537" ht="12.75" customHeight="1" s="545">
      <c r="A537" s="388" t="n">
        <v>7</v>
      </c>
      <c r="B537" s="605" t="n">
        <v>529</v>
      </c>
      <c r="C537" s="384" t="inlineStr">
        <is>
          <t>2011Q</t>
        </is>
      </c>
      <c r="D537" s="605" t="inlineStr">
        <is>
          <t xml:space="preserve">05281-01-018-000 </t>
        </is>
      </c>
      <c r="E537" s="407" t="inlineStr">
        <is>
          <t>Actual</t>
        </is>
      </c>
      <c r="F537" s="605" t="inlineStr">
        <is>
          <t>1970 S NAVAJO              ST</t>
        </is>
      </c>
      <c r="G537" s="392" t="n">
        <v>44.2</v>
      </c>
      <c r="H537" s="378" t="n">
        <v>9506</v>
      </c>
      <c r="I537" s="403" t="n">
        <v>0</v>
      </c>
      <c r="J537" s="404" t="n">
        <v>4500</v>
      </c>
      <c r="K537" s="408" t="n">
        <v>5.33333333333333</v>
      </c>
      <c r="L537" s="409" t="n">
        <v>0</v>
      </c>
      <c r="M537" s="409" t="n">
        <v>0.4925</v>
      </c>
      <c r="N537" s="378" t="n">
        <v>1976</v>
      </c>
      <c r="O537" s="393" t="n">
        <v>1950</v>
      </c>
      <c r="Q537" s="605" t="n">
        <v>14</v>
      </c>
      <c r="R537" s="605" t="n">
        <v>3</v>
      </c>
      <c r="S537" s="605" t="n">
        <v>2</v>
      </c>
      <c r="T537" s="403" t="inlineStr">
        <is>
          <t xml:space="preserve">I0   </t>
        </is>
      </c>
      <c r="U537" s="403" t="n">
        <v>398</v>
      </c>
      <c r="V537" s="404" t="n">
        <v>33135</v>
      </c>
      <c r="W537" s="404" t="n">
        <v>33000</v>
      </c>
      <c r="X537" s="410" t="inlineStr">
        <is>
          <t>3.3:1</t>
        </is>
      </c>
      <c r="Y537" s="404" t="n">
        <v>5000</v>
      </c>
      <c r="Z537" s="403" t="inlineStr">
        <is>
          <t xml:space="preserve">C </t>
        </is>
      </c>
      <c r="AC537" s="378" t="n"/>
      <c r="AD537" s="384" t="inlineStr">
        <is>
          <t>M-W;TAD FISER RACING</t>
        </is>
      </c>
      <c r="AE537" s="145" t="n"/>
      <c r="AF537" s="145" t="n"/>
      <c r="AG537" s="145" t="n"/>
      <c r="AH537" s="145" t="n"/>
      <c r="AI537" s="145" t="n"/>
      <c r="AJ537" s="145" t="n"/>
      <c r="AK537" s="145" t="inlineStr">
        <is>
          <t xml:space="preserve">MO-TO-MO; 4500 SF LEASED IN 10120 SF BLDG.                        </t>
        </is>
      </c>
      <c r="AM537" s="605" t="n"/>
    </row>
    <row r="538" ht="12.75" customHeight="1" s="545">
      <c r="A538" s="388" t="n">
        <v>7</v>
      </c>
      <c r="B538" s="605" t="n">
        <v>530</v>
      </c>
      <c r="C538" s="384" t="inlineStr">
        <is>
          <t>2011Q</t>
        </is>
      </c>
      <c r="D538" s="605" t="inlineStr">
        <is>
          <t xml:space="preserve">05281-05-033-000 </t>
        </is>
      </c>
      <c r="E538" s="407" t="inlineStr">
        <is>
          <t>Actual</t>
        </is>
      </c>
      <c r="F538" s="605" t="inlineStr">
        <is>
          <t>2001 S NAVAJO              ST</t>
        </is>
      </c>
      <c r="G538" s="378" t="n">
        <v>44.1</v>
      </c>
      <c r="H538" s="378" t="n">
        <v>9506</v>
      </c>
      <c r="I538" s="403" t="n">
        <v>0</v>
      </c>
      <c r="J538" s="404" t="n">
        <v>9120</v>
      </c>
      <c r="K538" s="408" t="n">
        <v>6.76052631578947</v>
      </c>
      <c r="L538" s="409" t="n">
        <v>0</v>
      </c>
      <c r="M538" s="409" t="n">
        <v>0.0246366939146231</v>
      </c>
      <c r="N538" s="378" t="n">
        <v>1986</v>
      </c>
      <c r="O538" s="393" t="n">
        <v>1669</v>
      </c>
      <c r="Q538" s="605" t="n">
        <v>16</v>
      </c>
      <c r="R538" s="605" t="n">
        <v>3</v>
      </c>
      <c r="S538" s="605" t="n">
        <v>1</v>
      </c>
      <c r="T538" s="403" t="inlineStr">
        <is>
          <t xml:space="preserve">I1   </t>
        </is>
      </c>
      <c r="U538" s="403" t="n">
        <v>398</v>
      </c>
      <c r="V538" s="404" t="n">
        <v>21128</v>
      </c>
      <c r="W538" s="404" t="n">
        <v>21000</v>
      </c>
      <c r="X538" s="410" t="inlineStr">
        <is>
          <t>2.3:1</t>
        </is>
      </c>
      <c r="Y538" s="404" t="n">
        <v>9000</v>
      </c>
      <c r="Z538" s="403" t="inlineStr">
        <is>
          <t xml:space="preserve">C </t>
        </is>
      </c>
      <c r="AC538" s="378" t="n"/>
      <c r="AD538" s="384" t="n"/>
      <c r="AE538" s="145" t="n"/>
      <c r="AF538" s="145" t="n"/>
      <c r="AG538" s="145" t="n"/>
      <c r="AH538" s="145" t="n"/>
      <c r="AI538" s="145" t="n"/>
      <c r="AJ538" s="145" t="n"/>
      <c r="AK538" s="145" t="inlineStr">
        <is>
          <t xml:space="preserve">MO-TO-MO. LEASE.                                                  </t>
        </is>
      </c>
      <c r="AM538" s="605" t="n"/>
    </row>
    <row r="539" ht="12.75" customHeight="1" s="545">
      <c r="A539" s="388" t="n">
        <v>7</v>
      </c>
      <c r="B539" s="605" t="n">
        <v>531</v>
      </c>
      <c r="C539" s="384" t="inlineStr">
        <is>
          <t>2011Q</t>
        </is>
      </c>
      <c r="D539" s="605" t="inlineStr">
        <is>
          <t xml:space="preserve">05281-05-036-000 </t>
        </is>
      </c>
      <c r="E539" s="407" t="inlineStr">
        <is>
          <t>Actual</t>
        </is>
      </c>
      <c r="F539" s="605" t="inlineStr">
        <is>
          <t>2059 S NAVAJO              ST</t>
        </is>
      </c>
      <c r="G539" s="392" t="n">
        <v>44.5</v>
      </c>
      <c r="H539" s="378" t="n">
        <v>9506</v>
      </c>
      <c r="I539" s="403" t="n">
        <v>0</v>
      </c>
      <c r="J539" s="404" t="n">
        <v>26357</v>
      </c>
      <c r="K539" s="408" t="n">
        <v>7.26061387866601</v>
      </c>
      <c r="L539" s="409" t="n">
        <v>0</v>
      </c>
      <c r="M539" s="409" t="n">
        <v>0.34838635508549</v>
      </c>
      <c r="N539" s="378" t="n">
        <v>2000</v>
      </c>
      <c r="O539" s="393" t="n">
        <v>379</v>
      </c>
      <c r="P539" s="393" t="n">
        <v>825</v>
      </c>
      <c r="Q539" s="605" t="n">
        <v>10</v>
      </c>
      <c r="R539" s="605" t="n">
        <v>1</v>
      </c>
      <c r="S539" s="605" t="n">
        <v>255</v>
      </c>
      <c r="T539" s="403" t="inlineStr">
        <is>
          <t xml:space="preserve">I2   </t>
        </is>
      </c>
      <c r="U539" s="403" t="n">
        <v>396</v>
      </c>
      <c r="V539" s="404" t="n">
        <v>76475</v>
      </c>
      <c r="W539" s="404" t="n">
        <v>76000</v>
      </c>
      <c r="X539" s="410" t="inlineStr">
        <is>
          <t>2.9:1</t>
        </is>
      </c>
      <c r="Y539" s="404" t="n">
        <v>26000</v>
      </c>
      <c r="Z539" s="403" t="inlineStr">
        <is>
          <t xml:space="preserve">C </t>
        </is>
      </c>
      <c r="AC539" s="378" t="n"/>
      <c r="AD539" s="384" t="inlineStr">
        <is>
          <t>ACCSS ANYTME SLFSTGE</t>
        </is>
      </c>
      <c r="AE539" s="145" t="n"/>
      <c r="AF539" s="145" t="n"/>
      <c r="AG539" s="145" t="n"/>
      <c r="AH539" s="145" t="n"/>
      <c r="AI539" s="145" t="n"/>
      <c r="AJ539" s="145" t="n"/>
      <c r="AK539" s="145" t="inlineStr">
        <is>
          <t xml:space="preserve">ADVERTIZING AT $12,653 MAY BE OVERSTATED                          </t>
        </is>
      </c>
      <c r="AM539" s="605" t="n"/>
    </row>
    <row r="540" ht="12.75" customHeight="1" s="545">
      <c r="A540" s="388" t="n">
        <v>7</v>
      </c>
      <c r="B540" s="605" t="n">
        <v>532</v>
      </c>
      <c r="C540" s="384" t="inlineStr">
        <is>
          <t>2011Q</t>
        </is>
      </c>
      <c r="D540" s="605" t="inlineStr">
        <is>
          <t xml:space="preserve">05281-06-007-000 </t>
        </is>
      </c>
      <c r="E540" s="407" t="inlineStr">
        <is>
          <t>Actual</t>
        </is>
      </c>
      <c r="F540" s="605" t="inlineStr">
        <is>
          <t>1305 W EVANS               AV</t>
        </is>
      </c>
      <c r="G540" s="378" t="n">
        <v>44.1</v>
      </c>
      <c r="H540" s="378" t="n">
        <v>9506</v>
      </c>
      <c r="I540" s="403" t="n">
        <v>0</v>
      </c>
      <c r="J540" s="404" t="n">
        <v>2000</v>
      </c>
      <c r="K540" s="408" t="n">
        <v>4.8</v>
      </c>
      <c r="L540" s="409" t="n">
        <v>0</v>
      </c>
      <c r="M540" s="409" t="n">
        <v>0.147916666666667</v>
      </c>
      <c r="N540" s="378" t="n">
        <v>1943</v>
      </c>
      <c r="O540" s="393" t="n">
        <v>0</v>
      </c>
      <c r="Q540" s="605" t="n">
        <v>10</v>
      </c>
      <c r="R540" s="605" t="n">
        <v>7</v>
      </c>
      <c r="S540" s="605" t="n">
        <v>1</v>
      </c>
      <c r="T540" s="403" t="inlineStr">
        <is>
          <t xml:space="preserve">I2   </t>
        </is>
      </c>
      <c r="U540" s="403" t="n">
        <v>398</v>
      </c>
      <c r="V540" s="404" t="n">
        <v>8650</v>
      </c>
      <c r="W540" s="404" t="n">
        <v>9000</v>
      </c>
      <c r="X540" s="410" t="inlineStr">
        <is>
          <t>4.3:1</t>
        </is>
      </c>
      <c r="Y540" s="404" t="n">
        <v>2000</v>
      </c>
      <c r="Z540" s="403" t="inlineStr">
        <is>
          <t xml:space="preserve">C </t>
        </is>
      </c>
      <c r="AC540" s="378" t="n"/>
      <c r="AD540" s="384" t="inlineStr">
        <is>
          <t xml:space="preserve">S-W                 </t>
        </is>
      </c>
      <c r="AE540" s="145" t="n"/>
      <c r="AF540" s="145" t="n"/>
      <c r="AG540" s="145" t="n"/>
      <c r="AH540" s="145" t="n"/>
      <c r="AI540" s="145" t="n"/>
      <c r="AJ540" s="145" t="n"/>
      <c r="AK540" s="145" t="inlineStr">
        <is>
          <t xml:space="preserve">6 MO. LEASE ANNUALIZED.                                           </t>
        </is>
      </c>
      <c r="AM540" s="605" t="n"/>
    </row>
    <row r="541" ht="12.75" customHeight="1" s="545">
      <c r="A541" s="388" t="n">
        <v>7</v>
      </c>
      <c r="B541" s="605" t="n">
        <v>533</v>
      </c>
      <c r="C541" s="384" t="inlineStr">
        <is>
          <t>2011Q</t>
        </is>
      </c>
      <c r="D541" s="605" t="inlineStr">
        <is>
          <t xml:space="preserve">05281-06-012-000 </t>
        </is>
      </c>
      <c r="E541" s="407" t="inlineStr">
        <is>
          <t>Actual</t>
        </is>
      </c>
      <c r="F541" s="605" t="inlineStr">
        <is>
          <t>1331 W EVANS               AV</t>
        </is>
      </c>
      <c r="G541" s="378" t="n">
        <v>44.1</v>
      </c>
      <c r="H541" s="378" t="n">
        <v>9506</v>
      </c>
      <c r="I541" s="403" t="n">
        <v>0</v>
      </c>
      <c r="J541" s="404" t="n">
        <v>7040</v>
      </c>
      <c r="K541" s="408" t="n">
        <v>6.82159090909091</v>
      </c>
      <c r="L541" s="409" t="n">
        <v>0.24</v>
      </c>
      <c r="M541" s="409" t="n">
        <v>0</v>
      </c>
      <c r="N541" s="378" t="n">
        <v>1973</v>
      </c>
      <c r="O541" s="393" t="n">
        <v>1212</v>
      </c>
      <c r="Q541" s="605" t="n">
        <v>11</v>
      </c>
      <c r="R541" s="605" t="n">
        <v>14</v>
      </c>
      <c r="S541" s="605" t="n">
        <v>1</v>
      </c>
      <c r="T541" s="403" t="inlineStr">
        <is>
          <t xml:space="preserve">I2   </t>
        </is>
      </c>
      <c r="U541" s="403" t="n">
        <v>398</v>
      </c>
      <c r="V541" s="404" t="n">
        <v>31915</v>
      </c>
      <c r="W541" s="404" t="n">
        <v>32000</v>
      </c>
      <c r="X541" s="410" t="inlineStr">
        <is>
          <t>1.9:1</t>
        </is>
      </c>
      <c r="Y541" s="404" t="n">
        <v>7000</v>
      </c>
      <c r="Z541" s="403" t="inlineStr">
        <is>
          <t xml:space="preserve">C </t>
        </is>
      </c>
      <c r="AC541" s="378" t="n"/>
      <c r="AD541" s="384" t="inlineStr">
        <is>
          <t>BLUE FLAME POWER CTG</t>
        </is>
      </c>
      <c r="AE541" s="145" t="n"/>
      <c r="AF541" s="145" t="n"/>
      <c r="AG541" s="145" t="n"/>
      <c r="AH541" s="145" t="n"/>
      <c r="AI541" s="145" t="n"/>
      <c r="AJ541" s="145" t="n"/>
      <c r="AK541" s="145" t="inlineStr">
        <is>
          <t xml:space="preserve">7040 SF OF 16551 SF BLDG. AVAILABLE FOR LEASE.                    </t>
        </is>
      </c>
      <c r="AM541" s="605" t="n"/>
    </row>
    <row r="542" ht="12.75" customHeight="1" s="545">
      <c r="A542" s="388" t="n">
        <v>7</v>
      </c>
      <c r="B542" s="605" t="n">
        <v>534</v>
      </c>
      <c r="C542" s="384" t="inlineStr">
        <is>
          <t>2011Q</t>
        </is>
      </c>
      <c r="D542" s="605" t="inlineStr">
        <is>
          <t xml:space="preserve">05281-12-026-026 </t>
        </is>
      </c>
      <c r="E542" s="407" t="inlineStr">
        <is>
          <t>Actual</t>
        </is>
      </c>
      <c r="F542" s="605" t="inlineStr">
        <is>
          <t>1015 W EVANS               AV</t>
        </is>
      </c>
      <c r="G542" s="392" t="n">
        <v>44.8</v>
      </c>
      <c r="H542" s="378" t="n">
        <v>9506</v>
      </c>
      <c r="I542" s="403" t="n">
        <v>0</v>
      </c>
      <c r="J542" s="404" t="n">
        <v>2102</v>
      </c>
      <c r="K542" s="408" t="n">
        <v>8.563273073263559</v>
      </c>
      <c r="L542" s="409" t="n">
        <v>0</v>
      </c>
      <c r="M542" s="409" t="n">
        <v>0</v>
      </c>
      <c r="N542" s="378" t="n">
        <v>1982</v>
      </c>
      <c r="O542" s="393" t="n">
        <v>0</v>
      </c>
      <c r="Q542" s="605" t="n">
        <v>16</v>
      </c>
      <c r="R542" s="605" t="n">
        <v>3</v>
      </c>
      <c r="S542" s="605" t="n">
        <v>1</v>
      </c>
      <c r="T542" s="403" t="inlineStr">
        <is>
          <t xml:space="preserve">I1   </t>
        </is>
      </c>
      <c r="U542" s="403" t="n">
        <v>398</v>
      </c>
      <c r="V542" s="404" t="n">
        <v>3521</v>
      </c>
      <c r="W542" s="404" t="n">
        <v>4000</v>
      </c>
      <c r="X542" s="410" t="inlineStr">
        <is>
          <t>1.7:1</t>
        </is>
      </c>
      <c r="Y542" s="404" t="n">
        <v>2000</v>
      </c>
      <c r="Z542" s="403" t="inlineStr">
        <is>
          <t xml:space="preserve">C </t>
        </is>
      </c>
      <c r="AC542" s="378" t="n"/>
      <c r="AD542" s="384" t="inlineStr">
        <is>
          <t xml:space="preserve">CONDO UNIT #A       </t>
        </is>
      </c>
      <c r="AE542" s="145" t="n"/>
      <c r="AF542" s="145" t="n"/>
      <c r="AG542" s="145" t="n"/>
      <c r="AH542" s="145" t="n"/>
      <c r="AI542" s="145" t="n"/>
      <c r="AJ542" s="145" t="n"/>
      <c r="AK542" s="145" t="n"/>
      <c r="AM542" s="605" t="n"/>
    </row>
    <row r="543" ht="12.75" customHeight="1" s="545">
      <c r="A543" s="388" t="n">
        <v>7</v>
      </c>
      <c r="B543" s="605" t="n">
        <v>535</v>
      </c>
      <c r="C543" s="384" t="inlineStr">
        <is>
          <t>2011Q</t>
        </is>
      </c>
      <c r="D543" s="605" t="inlineStr">
        <is>
          <t xml:space="preserve">05281-12-027-027 </t>
        </is>
      </c>
      <c r="E543" s="407" t="inlineStr">
        <is>
          <t>Actual</t>
        </is>
      </c>
      <c r="F543" s="605" t="inlineStr">
        <is>
          <t>1015 W EVANS               AV</t>
        </is>
      </c>
      <c r="G543" s="392" t="n">
        <v>44.8</v>
      </c>
      <c r="H543" s="378" t="n">
        <v>9506</v>
      </c>
      <c r="I543" s="403" t="n">
        <v>0</v>
      </c>
      <c r="J543" s="404" t="n">
        <v>2126</v>
      </c>
      <c r="K543" s="408" t="n">
        <v>8.46660395108184</v>
      </c>
      <c r="L543" s="409" t="n">
        <v>0</v>
      </c>
      <c r="M543" s="409" t="n">
        <v>0</v>
      </c>
      <c r="N543" s="378" t="n">
        <v>1982</v>
      </c>
      <c r="O543" s="393" t="n">
        <v>0</v>
      </c>
      <c r="Q543" s="605" t="n">
        <v>16</v>
      </c>
      <c r="R543" s="605" t="n">
        <v>3</v>
      </c>
      <c r="S543" s="605" t="n">
        <v>1</v>
      </c>
      <c r="T543" s="403" t="inlineStr">
        <is>
          <t xml:space="preserve">I1   </t>
        </is>
      </c>
      <c r="U543" s="403" t="n">
        <v>398</v>
      </c>
      <c r="V543" s="404" t="n">
        <v>3586</v>
      </c>
      <c r="W543" s="404" t="n">
        <v>4000</v>
      </c>
      <c r="X543" s="410" t="inlineStr">
        <is>
          <t>1.7:1</t>
        </is>
      </c>
      <c r="Y543" s="404" t="n">
        <v>2000</v>
      </c>
      <c r="Z543" s="403" t="inlineStr">
        <is>
          <t xml:space="preserve">C </t>
        </is>
      </c>
      <c r="AC543" s="378" t="n"/>
      <c r="AD543" s="384" t="inlineStr">
        <is>
          <t xml:space="preserve">CONDO UNIT #B       </t>
        </is>
      </c>
      <c r="AE543" s="145" t="n"/>
      <c r="AF543" s="145" t="n"/>
      <c r="AG543" s="145" t="n"/>
      <c r="AH543" s="145" t="n"/>
      <c r="AI543" s="145" t="n"/>
      <c r="AJ543" s="145" t="n"/>
      <c r="AK543" s="145" t="n"/>
      <c r="AM543" s="605" t="n"/>
    </row>
    <row r="544" ht="12.75" customHeight="1" s="545">
      <c r="A544" s="388" t="n">
        <v>7</v>
      </c>
      <c r="B544" s="605" t="n">
        <v>536</v>
      </c>
      <c r="C544" s="384" t="inlineStr">
        <is>
          <t>2011Q</t>
        </is>
      </c>
      <c r="D544" s="605" t="inlineStr">
        <is>
          <t xml:space="preserve">05281-14-017-000 </t>
        </is>
      </c>
      <c r="E544" s="407" t="inlineStr">
        <is>
          <t>Actual</t>
        </is>
      </c>
      <c r="F544" s="605" t="inlineStr">
        <is>
          <t>2140 S KALAMATH            ST</t>
        </is>
      </c>
      <c r="G544" s="378" t="n">
        <v>44.1</v>
      </c>
      <c r="H544" s="378" t="n">
        <v>9506</v>
      </c>
      <c r="I544" s="403" t="n">
        <v>0</v>
      </c>
      <c r="J544" s="404" t="n">
        <v>2000</v>
      </c>
      <c r="K544" s="408" t="n">
        <v>5.94</v>
      </c>
      <c r="L544" s="409" t="n">
        <v>0</v>
      </c>
      <c r="M544" s="409" t="n">
        <v>0.345875420875421</v>
      </c>
      <c r="N544" s="378" t="n">
        <v>1960</v>
      </c>
      <c r="O544" s="393" t="n">
        <v>0</v>
      </c>
      <c r="Q544" s="605" t="n">
        <v>12</v>
      </c>
      <c r="R544" s="605" t="n">
        <v>1</v>
      </c>
      <c r="S544" s="605" t="n">
        <v>2</v>
      </c>
      <c r="T544" s="403" t="inlineStr">
        <is>
          <t xml:space="preserve">I1   </t>
        </is>
      </c>
      <c r="U544" s="403" t="n">
        <v>398</v>
      </c>
      <c r="V544" s="404" t="n">
        <v>9375</v>
      </c>
      <c r="W544" s="404" t="n">
        <v>9000</v>
      </c>
      <c r="X544" s="410" t="inlineStr">
        <is>
          <t>2.4:1</t>
        </is>
      </c>
      <c r="Y544" s="404" t="n">
        <v>2000</v>
      </c>
      <c r="Z544" s="403" t="inlineStr">
        <is>
          <t xml:space="preserve">C </t>
        </is>
      </c>
      <c r="AC544" s="378" t="n"/>
      <c r="AD544" s="384" t="inlineStr">
        <is>
          <t>M-W GUS SHEKER STUDI</t>
        </is>
      </c>
      <c r="AE544" s="145" t="n"/>
      <c r="AF544" s="145" t="n"/>
      <c r="AG544" s="145" t="n"/>
      <c r="AH544" s="145" t="n"/>
      <c r="AI544" s="145" t="n"/>
      <c r="AJ544" s="145" t="n"/>
      <c r="AK544" s="145" t="inlineStr">
        <is>
          <t xml:space="preserve">ENTER ONLY DATA FOR THE 2009 LEASE.                               </t>
        </is>
      </c>
      <c r="AM544" s="605" t="n"/>
    </row>
    <row r="545" ht="12.75" customHeight="1" s="545">
      <c r="A545" s="388" t="n">
        <v>7</v>
      </c>
      <c r="B545" s="605" t="n">
        <v>537</v>
      </c>
      <c r="C545" s="384" t="inlineStr">
        <is>
          <t>2011Q</t>
        </is>
      </c>
      <c r="D545" s="605" t="inlineStr">
        <is>
          <t xml:space="preserve">05281-14-018-000 </t>
        </is>
      </c>
      <c r="E545" s="407" t="inlineStr">
        <is>
          <t>Actual</t>
        </is>
      </c>
      <c r="F545" s="605" t="inlineStr">
        <is>
          <t>2150 S KALAMATH            ST</t>
        </is>
      </c>
      <c r="G545" s="378" t="n">
        <v>44.1</v>
      </c>
      <c r="H545" s="378" t="n">
        <v>9506</v>
      </c>
      <c r="I545" s="403" t="n">
        <v>0</v>
      </c>
      <c r="J545" s="404" t="n">
        <v>4000</v>
      </c>
      <c r="K545" s="408" t="n">
        <v>6.1</v>
      </c>
      <c r="L545" s="409" t="n">
        <v>0</v>
      </c>
      <c r="M545" s="409" t="n">
        <v>0.110327868852459</v>
      </c>
      <c r="N545" s="378" t="n">
        <v>1962</v>
      </c>
      <c r="O545" s="393" t="n">
        <v>0</v>
      </c>
      <c r="Q545" s="605" t="n">
        <v>12</v>
      </c>
      <c r="R545" s="605" t="n">
        <v>1</v>
      </c>
      <c r="S545" s="605" t="n">
        <v>1</v>
      </c>
      <c r="T545" s="403" t="inlineStr">
        <is>
          <t xml:space="preserve">I1   </t>
        </is>
      </c>
      <c r="U545" s="403" t="n">
        <v>398</v>
      </c>
      <c r="V545" s="404" t="n">
        <v>9375</v>
      </c>
      <c r="W545" s="404" t="n">
        <v>9000</v>
      </c>
      <c r="X545" s="410" t="inlineStr">
        <is>
          <t>2.3:1</t>
        </is>
      </c>
      <c r="Y545" s="404" t="n">
        <v>4000</v>
      </c>
      <c r="Z545" s="403" t="inlineStr">
        <is>
          <t xml:space="preserve">C </t>
        </is>
      </c>
      <c r="AC545" s="378" t="n"/>
      <c r="AD545" s="384" t="inlineStr">
        <is>
          <t xml:space="preserve">S-W ABLE SIGN       </t>
        </is>
      </c>
      <c r="AE545" s="145" t="n"/>
      <c r="AF545" s="145" t="n"/>
      <c r="AG545" s="145" t="n"/>
      <c r="AH545" s="145" t="n"/>
      <c r="AI545" s="145" t="n"/>
      <c r="AJ545" s="145" t="n"/>
      <c r="AK545" s="145" t="n"/>
      <c r="AM545" s="605" t="n"/>
    </row>
    <row r="546" ht="12.75" customHeight="1" s="545">
      <c r="A546" s="388" t="n">
        <v>7</v>
      </c>
      <c r="B546" s="605" t="n">
        <v>538</v>
      </c>
      <c r="C546" s="384" t="inlineStr">
        <is>
          <t>2011Q</t>
        </is>
      </c>
      <c r="D546" s="605" t="inlineStr">
        <is>
          <t xml:space="preserve">05281-14-019-000 </t>
        </is>
      </c>
      <c r="E546" s="407" t="inlineStr">
        <is>
          <t>Actual</t>
        </is>
      </c>
      <c r="F546" s="605" t="inlineStr">
        <is>
          <t>2168 S KALAMATH            ST</t>
        </is>
      </c>
      <c r="G546" s="392" t="n">
        <v>47.2</v>
      </c>
      <c r="H546" s="378" t="n">
        <v>9506</v>
      </c>
      <c r="I546" s="403" t="n">
        <v>0</v>
      </c>
      <c r="J546" s="404" t="n">
        <v>4000</v>
      </c>
      <c r="K546" s="408" t="n">
        <v>6.3175</v>
      </c>
      <c r="L546" s="409" t="n">
        <v>0</v>
      </c>
      <c r="M546" s="409" t="n">
        <v>0.0923229125445192</v>
      </c>
      <c r="N546" s="378" t="n">
        <v>1956</v>
      </c>
      <c r="O546" s="393" t="n">
        <v>200</v>
      </c>
      <c r="Q546" s="605" t="n">
        <v>14</v>
      </c>
      <c r="R546" s="605" t="n">
        <v>1</v>
      </c>
      <c r="S546" s="605" t="n">
        <v>1</v>
      </c>
      <c r="T546" s="403" t="inlineStr">
        <is>
          <t xml:space="preserve">I1   </t>
        </is>
      </c>
      <c r="U546" s="403" t="n">
        <v>401</v>
      </c>
      <c r="V546" s="404" t="n">
        <v>12500</v>
      </c>
      <c r="W546" s="404" t="n">
        <v>13000</v>
      </c>
      <c r="X546" s="410" t="inlineStr">
        <is>
          <t>3.1:1</t>
        </is>
      </c>
      <c r="Y546" s="404" t="n">
        <v>4000</v>
      </c>
      <c r="Z546" s="403" t="inlineStr">
        <is>
          <t xml:space="preserve">C </t>
        </is>
      </c>
      <c r="AC546" s="378" t="n"/>
      <c r="AD546" s="384" t="inlineStr">
        <is>
          <t xml:space="preserve">S-F ELEMER'S MANUF. </t>
        </is>
      </c>
      <c r="AE546" s="145" t="n"/>
      <c r="AF546" s="145" t="n"/>
      <c r="AG546" s="145" t="n"/>
      <c r="AH546" s="145" t="n"/>
      <c r="AI546" s="145" t="n"/>
      <c r="AJ546" s="145" t="n"/>
      <c r="AK546" s="145" t="n"/>
      <c r="AM546" s="605" t="n"/>
    </row>
    <row r="547" ht="12.75" customHeight="1" s="545">
      <c r="A547" s="388" t="n">
        <v>7</v>
      </c>
      <c r="B547" s="605" t="n">
        <v>539</v>
      </c>
      <c r="C547" s="384" t="inlineStr">
        <is>
          <t>2011Q</t>
        </is>
      </c>
      <c r="D547" s="605" t="inlineStr">
        <is>
          <t xml:space="preserve">05281-14-029-000 </t>
        </is>
      </c>
      <c r="E547" s="407" t="inlineStr">
        <is>
          <t>Actual</t>
        </is>
      </c>
      <c r="F547" s="605" t="inlineStr">
        <is>
          <t>2121 S JASON               ST</t>
        </is>
      </c>
      <c r="G547" s="378" t="n">
        <v>44.1</v>
      </c>
      <c r="H547" s="378" t="n">
        <v>9506</v>
      </c>
      <c r="I547" s="403" t="n">
        <v>0</v>
      </c>
      <c r="J547" s="404" t="n">
        <v>4000</v>
      </c>
      <c r="K547" s="408" t="n">
        <v>12</v>
      </c>
      <c r="L547" s="409" t="n">
        <v>0</v>
      </c>
      <c r="M547" s="409" t="n">
        <v>0</v>
      </c>
      <c r="N547" s="378" t="n">
        <v>1972</v>
      </c>
      <c r="O547" s="393" t="n">
        <v>0</v>
      </c>
      <c r="Q547" s="605" t="n">
        <v>0</v>
      </c>
      <c r="S547" s="605" t="n">
        <v>0</v>
      </c>
      <c r="T547" s="403" t="inlineStr">
        <is>
          <t xml:space="preserve">I1   </t>
        </is>
      </c>
      <c r="U547" s="403" t="n">
        <v>397</v>
      </c>
      <c r="V547" s="404" t="n">
        <v>6250</v>
      </c>
      <c r="W547" s="404" t="n">
        <v>6000</v>
      </c>
      <c r="X547" s="410" t="inlineStr">
        <is>
          <t>1.6:1</t>
        </is>
      </c>
      <c r="Y547" s="404" t="n">
        <v>4000</v>
      </c>
      <c r="Z547" s="403" t="inlineStr">
        <is>
          <t>C</t>
        </is>
      </c>
      <c r="AC547" s="378" t="n"/>
      <c r="AD547" s="384" t="n"/>
      <c r="AE547" s="145" t="n"/>
      <c r="AF547" s="145" t="n"/>
      <c r="AG547" s="145" t="n"/>
      <c r="AH547" s="145" t="n"/>
      <c r="AI547" s="145" t="n"/>
      <c r="AJ547" s="145" t="n"/>
      <c r="AK547" s="145" t="n"/>
      <c r="AM547" s="605" t="n"/>
    </row>
    <row r="548" ht="12.75" customHeight="1" s="545">
      <c r="A548" s="388" t="n">
        <v>7</v>
      </c>
      <c r="B548" s="605" t="n">
        <v>540</v>
      </c>
      <c r="C548" s="384" t="inlineStr">
        <is>
          <t>2011Q</t>
        </is>
      </c>
      <c r="D548" s="605" t="inlineStr">
        <is>
          <t xml:space="preserve">05281-15-013-000 </t>
        </is>
      </c>
      <c r="E548" s="407" t="inlineStr">
        <is>
          <t>Actual</t>
        </is>
      </c>
      <c r="F548" s="605" t="inlineStr">
        <is>
          <t>1130 W EVANS               AV</t>
        </is>
      </c>
      <c r="G548" s="392" t="n">
        <v>44.2</v>
      </c>
      <c r="H548" s="378" t="n">
        <v>9506</v>
      </c>
      <c r="I548" s="403" t="n">
        <v>0</v>
      </c>
      <c r="J548" s="404" t="n">
        <v>10010</v>
      </c>
      <c r="K548" s="408" t="n">
        <v>5.86933066933067</v>
      </c>
      <c r="L548" s="409" t="n">
        <v>0</v>
      </c>
      <c r="M548" s="409" t="n">
        <v>0.0528492647058824</v>
      </c>
      <c r="N548" s="378" t="n">
        <v>1961</v>
      </c>
      <c r="O548" s="393" t="n">
        <v>1135</v>
      </c>
      <c r="Q548" s="605" t="n">
        <v>14</v>
      </c>
      <c r="R548" s="605" t="n">
        <v>1</v>
      </c>
      <c r="S548" s="605" t="n">
        <v>1</v>
      </c>
      <c r="T548" s="403" t="inlineStr">
        <is>
          <t xml:space="preserve">I1   </t>
        </is>
      </c>
      <c r="U548" s="403" t="n">
        <v>397</v>
      </c>
      <c r="V548" s="404" t="n">
        <v>15625</v>
      </c>
      <c r="W548" s="404" t="n">
        <v>16000</v>
      </c>
      <c r="X548" s="410" t="inlineStr">
        <is>
          <t>1.6:1</t>
        </is>
      </c>
      <c r="Y548" s="404" t="n">
        <v>10000</v>
      </c>
      <c r="Z548" s="403" t="inlineStr">
        <is>
          <t xml:space="preserve">C </t>
        </is>
      </c>
      <c r="AC548" s="378" t="n"/>
      <c r="AD548" s="384" t="n"/>
      <c r="AE548" s="145" t="n"/>
      <c r="AF548" s="145" t="n"/>
      <c r="AG548" s="145" t="n"/>
      <c r="AH548" s="145" t="n"/>
      <c r="AI548" s="145" t="n"/>
      <c r="AJ548" s="145" t="n"/>
      <c r="AK548" s="145" t="n"/>
      <c r="AM548" s="605" t="n"/>
    </row>
    <row r="549" ht="12.75" customHeight="1" s="545">
      <c r="A549" s="388" t="n">
        <v>7</v>
      </c>
      <c r="B549" s="605" t="n">
        <v>541</v>
      </c>
      <c r="C549" s="384" t="inlineStr">
        <is>
          <t>2011Q</t>
        </is>
      </c>
      <c r="D549" s="605" t="inlineStr">
        <is>
          <t xml:space="preserve">05281-16-001-000 </t>
        </is>
      </c>
      <c r="E549" s="407" t="inlineStr">
        <is>
          <t>Actual</t>
        </is>
      </c>
      <c r="F549" s="605" t="inlineStr">
        <is>
          <t>2201 S KALAMATH            ST</t>
        </is>
      </c>
      <c r="G549" s="378" t="n">
        <v>44.1</v>
      </c>
      <c r="H549" s="378" t="n">
        <v>9506</v>
      </c>
      <c r="I549" s="403" t="n">
        <v>0</v>
      </c>
      <c r="J549" s="404" t="n">
        <v>5000</v>
      </c>
      <c r="K549" s="408" t="n">
        <v>6</v>
      </c>
      <c r="L549" s="409" t="n">
        <v>0</v>
      </c>
      <c r="M549" s="409" t="n">
        <v>0.108033333333333</v>
      </c>
      <c r="N549" s="378" t="n">
        <v>1966</v>
      </c>
      <c r="O549" s="393" t="n">
        <v>521</v>
      </c>
      <c r="Q549" s="605" t="n">
        <v>14</v>
      </c>
      <c r="R549" s="605" t="n">
        <v>3</v>
      </c>
      <c r="S549" s="605" t="n">
        <v>1</v>
      </c>
      <c r="T549" s="403" t="inlineStr">
        <is>
          <t xml:space="preserve">I1   </t>
        </is>
      </c>
      <c r="U549" s="403" t="n">
        <v>397</v>
      </c>
      <c r="V549" s="404" t="n">
        <v>6250</v>
      </c>
      <c r="W549" s="404" t="n">
        <v>6000</v>
      </c>
      <c r="X549" s="410" t="inlineStr">
        <is>
          <t>1.3:1</t>
        </is>
      </c>
      <c r="Y549" s="404" t="n">
        <v>5000</v>
      </c>
      <c r="Z549" s="403" t="inlineStr">
        <is>
          <t xml:space="preserve">C </t>
        </is>
      </c>
      <c r="AC549" s="378" t="n"/>
      <c r="AD549" s="384" t="inlineStr">
        <is>
          <t xml:space="preserve">S-W EUROPEAN MARBLE </t>
        </is>
      </c>
      <c r="AE549" s="145" t="n"/>
      <c r="AF549" s="145" t="n"/>
      <c r="AG549" s="145" t="n"/>
      <c r="AH549" s="145" t="n"/>
      <c r="AI549" s="145" t="n"/>
      <c r="AJ549" s="145" t="n"/>
      <c r="AK549" s="145" t="inlineStr">
        <is>
          <t xml:space="preserve">2008 LEASE.                                                       </t>
        </is>
      </c>
      <c r="AM549" s="605" t="n"/>
    </row>
    <row r="550" ht="12.75" customHeight="1" s="545">
      <c r="A550" s="388" t="n">
        <v>7</v>
      </c>
      <c r="B550" s="605" t="n">
        <v>542</v>
      </c>
      <c r="C550" s="384" t="inlineStr">
        <is>
          <t>2011Q</t>
        </is>
      </c>
      <c r="D550" s="605" t="inlineStr">
        <is>
          <t xml:space="preserve">05281-16-004-000 </t>
        </is>
      </c>
      <c r="E550" s="407" t="inlineStr">
        <is>
          <t>Actual</t>
        </is>
      </c>
      <c r="F550" s="605" t="inlineStr">
        <is>
          <t>2235 S KALAMATH            ST</t>
        </is>
      </c>
      <c r="G550" s="378" t="n">
        <v>44.1</v>
      </c>
      <c r="H550" s="378" t="n">
        <v>9506</v>
      </c>
      <c r="I550" s="403" t="n">
        <v>0</v>
      </c>
      <c r="J550" s="404" t="n">
        <v>5425</v>
      </c>
      <c r="K550" s="408" t="n">
        <v>7.74193548387097</v>
      </c>
      <c r="L550" s="409" t="n">
        <v>0</v>
      </c>
      <c r="M550" s="409" t="n">
        <v>0.08016666666666671</v>
      </c>
      <c r="N550" s="378" t="n">
        <v>1974</v>
      </c>
      <c r="O550" s="393" t="n">
        <v>1116</v>
      </c>
      <c r="Q550" s="605" t="n">
        <v>13</v>
      </c>
      <c r="R550" s="605" t="n">
        <v>8</v>
      </c>
      <c r="S550" s="605" t="n">
        <v>1</v>
      </c>
      <c r="T550" s="403" t="inlineStr">
        <is>
          <t xml:space="preserve">I1   </t>
        </is>
      </c>
      <c r="U550" s="403" t="n">
        <v>397</v>
      </c>
      <c r="V550" s="404" t="n">
        <v>12500</v>
      </c>
      <c r="W550" s="404" t="n">
        <v>13000</v>
      </c>
      <c r="X550" s="410" t="inlineStr">
        <is>
          <t>2.3:1</t>
        </is>
      </c>
      <c r="Y550" s="404" t="n">
        <v>5000</v>
      </c>
      <c r="Z550" s="403" t="inlineStr">
        <is>
          <t xml:space="preserve">C </t>
        </is>
      </c>
      <c r="AC550" s="378" t="n"/>
      <c r="AD550" s="384" t="inlineStr">
        <is>
          <t xml:space="preserve">SEAL MAXX           </t>
        </is>
      </c>
      <c r="AE550" s="145" t="n"/>
      <c r="AF550" s="145" t="n"/>
      <c r="AG550" s="145" t="n"/>
      <c r="AH550" s="145" t="n"/>
      <c r="AI550" s="145" t="n"/>
      <c r="AJ550" s="145" t="n"/>
      <c r="AK550" s="145" t="inlineStr">
        <is>
          <t xml:space="preserve">2008 LEASE.                                                       </t>
        </is>
      </c>
      <c r="AM550" s="605" t="n"/>
    </row>
    <row r="551" ht="12.75" customHeight="1" s="545">
      <c r="A551" s="388" t="n">
        <v>7</v>
      </c>
      <c r="B551" s="605" t="n">
        <v>543</v>
      </c>
      <c r="C551" s="384" t="inlineStr">
        <is>
          <t>2011Q</t>
        </is>
      </c>
      <c r="D551" s="605" t="inlineStr">
        <is>
          <t xml:space="preserve">05281-17-024-000 </t>
        </is>
      </c>
      <c r="E551" s="407" t="inlineStr">
        <is>
          <t>Actual</t>
        </is>
      </c>
      <c r="F551" s="605" t="inlineStr">
        <is>
          <t>2240 S KALAMATH            ST</t>
        </is>
      </c>
      <c r="G551" s="392" t="n">
        <v>44.2</v>
      </c>
      <c r="H551" s="378" t="n">
        <v>9506</v>
      </c>
      <c r="I551" s="403" t="n">
        <v>0</v>
      </c>
      <c r="J551" s="404" t="n">
        <v>2000</v>
      </c>
      <c r="K551" s="408" t="n">
        <v>7.2</v>
      </c>
      <c r="L551" s="409" t="n">
        <v>0</v>
      </c>
      <c r="M551" s="409" t="n">
        <v>0.0791666666666667</v>
      </c>
      <c r="N551" s="378" t="n">
        <v>1962</v>
      </c>
      <c r="O551" s="393" t="n">
        <v>0</v>
      </c>
      <c r="Q551" s="605" t="n">
        <v>12</v>
      </c>
      <c r="R551" s="605" t="n">
        <v>3</v>
      </c>
      <c r="S551" s="605" t="n">
        <v>1</v>
      </c>
      <c r="T551" s="403" t="inlineStr">
        <is>
          <t xml:space="preserve">I1   </t>
        </is>
      </c>
      <c r="U551" s="403" t="n">
        <v>398</v>
      </c>
      <c r="V551" s="404" t="n">
        <v>12500</v>
      </c>
      <c r="W551" s="404" t="n">
        <v>13000</v>
      </c>
      <c r="X551" s="410" t="inlineStr">
        <is>
          <t>6.3:1</t>
        </is>
      </c>
      <c r="Y551" s="404" t="n">
        <v>2000</v>
      </c>
      <c r="Z551" s="403" t="inlineStr">
        <is>
          <t xml:space="preserve">C </t>
        </is>
      </c>
      <c r="AC551" s="378" t="n"/>
      <c r="AD551" s="384" t="inlineStr">
        <is>
          <t xml:space="preserve">S-W JT'S UPHOLSTERY </t>
        </is>
      </c>
      <c r="AE551" s="145" t="n"/>
      <c r="AF551" s="145" t="n"/>
      <c r="AG551" s="145" t="n"/>
      <c r="AH551" s="145" t="n"/>
      <c r="AI551" s="145" t="n"/>
      <c r="AJ551" s="145" t="n"/>
      <c r="AK551" s="145" t="inlineStr">
        <is>
          <t xml:space="preserve">2008 LEASE.                                                       </t>
        </is>
      </c>
      <c r="AM551" s="605" t="n"/>
    </row>
    <row r="552" ht="12.75" customHeight="1" s="545">
      <c r="A552" s="388" t="n">
        <v>7</v>
      </c>
      <c r="B552" s="605" t="n">
        <v>544</v>
      </c>
      <c r="C552" s="384" t="inlineStr">
        <is>
          <t>2011Q</t>
        </is>
      </c>
      <c r="D552" s="605" t="inlineStr">
        <is>
          <t xml:space="preserve">05281-18-015-000 </t>
        </is>
      </c>
      <c r="E552" s="407" t="inlineStr">
        <is>
          <t>Actual</t>
        </is>
      </c>
      <c r="F552" s="605" t="inlineStr">
        <is>
          <t>2201 S PLATTE RIVER        DR</t>
        </is>
      </c>
      <c r="G552" s="392" t="inlineStr">
        <is>
          <t>44.M</t>
        </is>
      </c>
      <c r="H552" s="378" t="n">
        <v>9506</v>
      </c>
      <c r="I552" s="403" t="n">
        <v>0</v>
      </c>
      <c r="J552" s="404" t="n">
        <v>2490</v>
      </c>
      <c r="K552" s="408" t="n">
        <v>7.71084337349398</v>
      </c>
      <c r="L552" s="409" t="n">
        <v>0</v>
      </c>
      <c r="M552" s="409" t="n">
        <v>0</v>
      </c>
      <c r="N552" s="378" t="n">
        <v>1954</v>
      </c>
      <c r="O552" s="393" t="n">
        <v>0</v>
      </c>
      <c r="Q552" s="605" t="n">
        <v>10</v>
      </c>
      <c r="R552" s="605" t="n">
        <v>1</v>
      </c>
      <c r="S552" s="605" t="n">
        <v>1</v>
      </c>
      <c r="T552" s="403" t="inlineStr">
        <is>
          <t xml:space="preserve">I1   </t>
        </is>
      </c>
      <c r="U552" s="403" t="n">
        <v>398</v>
      </c>
      <c r="V552" s="404" t="n">
        <v>29660</v>
      </c>
      <c r="W552" s="404" t="n">
        <v>30000</v>
      </c>
      <c r="X552" s="410" t="inlineStr">
        <is>
          <t>11.9:1</t>
        </is>
      </c>
      <c r="Y552" s="404" t="n">
        <v>2000</v>
      </c>
      <c r="Z552" s="403" t="inlineStr">
        <is>
          <t xml:space="preserve">C </t>
        </is>
      </c>
      <c r="AC552" s="378" t="n"/>
      <c r="AD552" s="384" t="n"/>
      <c r="AE552" s="145" t="n"/>
      <c r="AF552" s="145" t="n"/>
      <c r="AG552" s="145" t="n"/>
      <c r="AH552" s="145" t="n"/>
      <c r="AI552" s="145" t="n"/>
      <c r="AJ552" s="145" t="n"/>
      <c r="AK552" s="145" t="n"/>
      <c r="AM552" s="605" t="n"/>
    </row>
    <row r="553" ht="12.75" customHeight="1" s="545">
      <c r="A553" s="388" t="n">
        <v>7</v>
      </c>
      <c r="B553" s="605" t="n">
        <v>545</v>
      </c>
      <c r="C553" s="384" t="inlineStr">
        <is>
          <t>2011Q</t>
        </is>
      </c>
      <c r="D553" s="605" t="inlineStr">
        <is>
          <t xml:space="preserve">05281-18-022-000 </t>
        </is>
      </c>
      <c r="E553" s="407" t="inlineStr">
        <is>
          <t>Actual</t>
        </is>
      </c>
      <c r="F553" s="605" t="inlineStr">
        <is>
          <t>2240 S JASON               ST</t>
        </is>
      </c>
      <c r="G553" s="378" t="n">
        <v>44.1</v>
      </c>
      <c r="H553" s="378" t="n">
        <v>9506</v>
      </c>
      <c r="I553" s="403" t="n">
        <v>0</v>
      </c>
      <c r="J553" s="404" t="n">
        <v>1360</v>
      </c>
      <c r="K553" s="408" t="n">
        <v>13.2352941176471</v>
      </c>
      <c r="L553" s="409" t="n">
        <v>0</v>
      </c>
      <c r="M553" s="409" t="n">
        <v>0</v>
      </c>
      <c r="N553" s="378" t="n">
        <v>1970</v>
      </c>
      <c r="O553" s="393" t="n">
        <v>200</v>
      </c>
      <c r="Q553" s="605" t="n">
        <v>12</v>
      </c>
      <c r="R553" s="605" t="n">
        <v>7</v>
      </c>
      <c r="S553" s="605" t="n">
        <v>1</v>
      </c>
      <c r="T553" s="403" t="inlineStr">
        <is>
          <t xml:space="preserve">I1   </t>
        </is>
      </c>
      <c r="U553" s="403" t="n">
        <v>398</v>
      </c>
      <c r="V553" s="404" t="n">
        <v>9975</v>
      </c>
      <c r="W553" s="404" t="n">
        <v>10000</v>
      </c>
      <c r="X553" s="410" t="inlineStr">
        <is>
          <t>7.3:1</t>
        </is>
      </c>
      <c r="Y553" s="404" t="n">
        <v>1000</v>
      </c>
      <c r="Z553" s="403" t="inlineStr">
        <is>
          <t xml:space="preserve">C </t>
        </is>
      </c>
      <c r="AC553" s="378" t="n"/>
      <c r="AD553" s="384" t="inlineStr">
        <is>
          <t xml:space="preserve">AA HIGH TECH AUTO   </t>
        </is>
      </c>
      <c r="AE553" s="145" t="n"/>
      <c r="AF553" s="145" t="n"/>
      <c r="AG553" s="145" t="n"/>
      <c r="AH553" s="145" t="n"/>
      <c r="AI553" s="145" t="n"/>
      <c r="AJ553" s="145" t="n"/>
      <c r="AK553" s="145" t="inlineStr">
        <is>
          <t xml:space="preserve">MONTH-TO-MONTH LEASE - COMMENCEMENT DATE UNKNOWN.                 </t>
        </is>
      </c>
      <c r="AM553" s="605" t="n"/>
    </row>
    <row r="554" ht="12.75" customHeight="1" s="545">
      <c r="A554" s="388" t="n">
        <v>7</v>
      </c>
      <c r="B554" s="605" t="n">
        <v>546</v>
      </c>
      <c r="C554" s="384" t="inlineStr">
        <is>
          <t>2011Q</t>
        </is>
      </c>
      <c r="D554" s="605" t="inlineStr">
        <is>
          <t xml:space="preserve">05281-18-036-000 </t>
        </is>
      </c>
      <c r="E554" s="407" t="inlineStr">
        <is>
          <t>Actual</t>
        </is>
      </c>
      <c r="F554" s="605" t="inlineStr">
        <is>
          <t>905 W ILIFF               AV</t>
        </is>
      </c>
      <c r="G554" s="392" t="n">
        <v>44.2</v>
      </c>
      <c r="H554" s="378" t="n">
        <v>9506</v>
      </c>
      <c r="I554" s="403" t="n">
        <v>0</v>
      </c>
      <c r="J554" s="404" t="n">
        <v>5500</v>
      </c>
      <c r="K554" s="408" t="n">
        <v>4.8</v>
      </c>
      <c r="L554" s="409" t="n">
        <v>0</v>
      </c>
      <c r="M554" s="409" t="n">
        <v>0</v>
      </c>
      <c r="N554" s="378" t="n">
        <v>1982</v>
      </c>
      <c r="O554" s="393" t="n">
        <v>1500</v>
      </c>
      <c r="Q554" s="605" t="n">
        <v>19</v>
      </c>
      <c r="R554" s="605" t="n">
        <v>7</v>
      </c>
      <c r="S554" s="605" t="n">
        <v>1</v>
      </c>
      <c r="T554" s="403" t="inlineStr">
        <is>
          <t xml:space="preserve">I1   </t>
        </is>
      </c>
      <c r="U554" s="403" t="n">
        <v>398</v>
      </c>
      <c r="V554" s="404" t="n">
        <v>29925</v>
      </c>
      <c r="W554" s="404" t="n">
        <v>30000</v>
      </c>
      <c r="X554" s="410" t="inlineStr">
        <is>
          <t>2.3:1</t>
        </is>
      </c>
      <c r="Y554" s="404" t="n">
        <v>6000</v>
      </c>
      <c r="Z554" s="403" t="inlineStr">
        <is>
          <t xml:space="preserve">C </t>
        </is>
      </c>
      <c r="AC554" s="378" t="n"/>
      <c r="AD554" s="384" t="n"/>
      <c r="AE554" s="145" t="n"/>
      <c r="AF554" s="145" t="n"/>
      <c r="AG554" s="145" t="n"/>
      <c r="AH554" s="145" t="n"/>
      <c r="AI554" s="145" t="n"/>
      <c r="AJ554" s="145" t="n"/>
      <c r="AK554" s="145" t="n"/>
      <c r="AM554" s="605" t="n"/>
    </row>
    <row r="555" ht="12.75" customHeight="1" s="545">
      <c r="A555" s="388" t="n">
        <v>7</v>
      </c>
      <c r="B555" s="605" t="n">
        <v>547</v>
      </c>
      <c r="C555" s="384" t="inlineStr">
        <is>
          <t>2011Q</t>
        </is>
      </c>
      <c r="D555" s="605" t="inlineStr">
        <is>
          <t xml:space="preserve">05282-11-010-000 </t>
        </is>
      </c>
      <c r="E555" s="407" t="inlineStr">
        <is>
          <t>Actual</t>
        </is>
      </c>
      <c r="F555" s="605" t="inlineStr">
        <is>
          <t>1801 W EVANS               AV</t>
        </is>
      </c>
      <c r="G555" s="392" t="n">
        <v>44.2</v>
      </c>
      <c r="H555" s="378" t="n">
        <v>9506</v>
      </c>
      <c r="I555" s="403" t="n">
        <v>0</v>
      </c>
      <c r="J555" s="404" t="n">
        <v>1784</v>
      </c>
      <c r="K555" s="408" t="n">
        <v>9.08071748878924</v>
      </c>
      <c r="L555" s="409" t="n">
        <v>0</v>
      </c>
      <c r="M555" s="409" t="n">
        <v>0.354320987654321</v>
      </c>
      <c r="N555" s="378" t="n">
        <v>1980</v>
      </c>
      <c r="O555" s="393" t="n">
        <v>2205</v>
      </c>
      <c r="Q555" s="605" t="n">
        <v>19</v>
      </c>
      <c r="R555" s="605" t="n">
        <v>3</v>
      </c>
      <c r="S555" s="605" t="n">
        <v>1</v>
      </c>
      <c r="T555" s="403" t="inlineStr">
        <is>
          <t xml:space="preserve">PUD  </t>
        </is>
      </c>
      <c r="U555" s="403" t="n">
        <v>398</v>
      </c>
      <c r="V555" s="404" t="n">
        <v>15960</v>
      </c>
      <c r="W555" s="404" t="n">
        <v>16000</v>
      </c>
      <c r="X555" s="410" t="inlineStr">
        <is>
          <t>2.2:1</t>
        </is>
      </c>
      <c r="Y555" s="404" t="n">
        <v>2000</v>
      </c>
      <c r="Z555" s="403" t="inlineStr">
        <is>
          <t xml:space="preserve">C </t>
        </is>
      </c>
      <c r="AC555" s="378" t="n"/>
      <c r="AD555" s="384" t="inlineStr">
        <is>
          <t>VOLVO PARTS &amp; SERVCE</t>
        </is>
      </c>
      <c r="AE555" s="145" t="n"/>
      <c r="AF555" s="145" t="n"/>
      <c r="AG555" s="145" t="n"/>
      <c r="AH555" s="145" t="n"/>
      <c r="AI555" s="145" t="n"/>
      <c r="AJ555" s="145" t="n"/>
      <c r="AK555" s="145" t="inlineStr">
        <is>
          <t xml:space="preserve">MO-TO-MO LEASE FOR 1,784 SQ FT OUT OF 7,094 SQ FT BLDG.           </t>
        </is>
      </c>
      <c r="AM555" s="605" t="n"/>
    </row>
    <row r="556" ht="12.75" customHeight="1" s="545">
      <c r="A556" s="388" t="n">
        <v>7</v>
      </c>
      <c r="B556" s="605" t="n">
        <v>548</v>
      </c>
      <c r="C556" s="384" t="inlineStr">
        <is>
          <t>2011Q</t>
        </is>
      </c>
      <c r="D556" s="605" t="inlineStr">
        <is>
          <t xml:space="preserve">05284-02-010-000 </t>
        </is>
      </c>
      <c r="E556" s="407" t="inlineStr">
        <is>
          <t>Actual</t>
        </is>
      </c>
      <c r="F556" s="605" t="inlineStr">
        <is>
          <t>2301 S INCA                ST</t>
        </is>
      </c>
      <c r="G556" s="378" t="n">
        <v>44.1</v>
      </c>
      <c r="H556" s="378" t="n">
        <v>9506</v>
      </c>
      <c r="I556" s="403" t="n">
        <v>0</v>
      </c>
      <c r="J556" s="404" t="n">
        <v>10005</v>
      </c>
      <c r="K556" s="408" t="n">
        <v>5.75712143928036</v>
      </c>
      <c r="L556" s="409" t="n">
        <v>0</v>
      </c>
      <c r="M556" s="409" t="n">
        <v>0.0223958333333333</v>
      </c>
      <c r="N556" s="378" t="n">
        <v>1965</v>
      </c>
      <c r="O556" s="393" t="n">
        <v>2142</v>
      </c>
      <c r="P556" s="393" t="n">
        <v>1188</v>
      </c>
      <c r="Q556" s="605" t="n">
        <v>13</v>
      </c>
      <c r="R556" s="605" t="n">
        <v>1</v>
      </c>
      <c r="S556" s="605" t="n">
        <v>1</v>
      </c>
      <c r="T556" s="403" t="inlineStr">
        <is>
          <t xml:space="preserve">I1   </t>
        </is>
      </c>
      <c r="U556" s="403" t="n">
        <v>398</v>
      </c>
      <c r="V556" s="404" t="n">
        <v>12500</v>
      </c>
      <c r="W556" s="404" t="n">
        <v>13000</v>
      </c>
      <c r="X556" s="410" t="inlineStr">
        <is>
          <t>1.2:1</t>
        </is>
      </c>
      <c r="Y556" s="404" t="n">
        <v>10000</v>
      </c>
      <c r="Z556" s="403" t="inlineStr">
        <is>
          <t>C+</t>
        </is>
      </c>
      <c r="AC556" s="378" t="n"/>
      <c r="AD556" s="384" t="inlineStr">
        <is>
          <t xml:space="preserve">S-D STRUBLE         </t>
        </is>
      </c>
      <c r="AE556" s="145" t="n"/>
      <c r="AF556" s="145" t="n"/>
      <c r="AG556" s="145" t="n"/>
      <c r="AH556" s="145" t="n"/>
      <c r="AI556" s="145" t="n"/>
      <c r="AJ556" s="145" t="n"/>
      <c r="AK556" s="145" t="inlineStr">
        <is>
          <t xml:space="preserve">2008 LEASE.                                                       </t>
        </is>
      </c>
      <c r="AM556" s="605" t="n"/>
    </row>
    <row r="557" ht="12.75" customHeight="1" s="545">
      <c r="A557" s="388" t="n">
        <v>7</v>
      </c>
      <c r="B557" s="605" t="n">
        <v>549</v>
      </c>
      <c r="C557" s="384" t="inlineStr">
        <is>
          <t>2011Q</t>
        </is>
      </c>
      <c r="D557" s="605" t="inlineStr">
        <is>
          <t xml:space="preserve">05284-02-031-000 </t>
        </is>
      </c>
      <c r="E557" s="407" t="inlineStr">
        <is>
          <t>Actual</t>
        </is>
      </c>
      <c r="F557" s="605" t="inlineStr">
        <is>
          <t>2335 S INCA                ST</t>
        </is>
      </c>
      <c r="G557" s="392" t="n">
        <v>44.2</v>
      </c>
      <c r="H557" s="378" t="n">
        <v>9506</v>
      </c>
      <c r="I557" s="403" t="n">
        <v>0</v>
      </c>
      <c r="J557" s="404" t="n">
        <v>10073</v>
      </c>
      <c r="K557" s="408" t="n">
        <v>3.46470763426983</v>
      </c>
      <c r="L557" s="409" t="n">
        <v>0</v>
      </c>
      <c r="M557" s="409" t="n">
        <v>0.0916905444126075</v>
      </c>
      <c r="N557" s="378" t="n">
        <v>1973</v>
      </c>
      <c r="O557" s="393" t="n">
        <v>2805</v>
      </c>
      <c r="Q557" s="605" t="n">
        <v>12</v>
      </c>
      <c r="R557" s="605" t="n">
        <v>1</v>
      </c>
      <c r="S557" s="605" t="n">
        <v>1</v>
      </c>
      <c r="T557" s="403" t="inlineStr">
        <is>
          <t xml:space="preserve">I1   </t>
        </is>
      </c>
      <c r="U557" s="403" t="n">
        <v>398</v>
      </c>
      <c r="V557" s="404" t="n">
        <v>12500</v>
      </c>
      <c r="W557" s="404" t="n">
        <v>13000</v>
      </c>
      <c r="X557" s="410" t="inlineStr">
        <is>
          <t>1.2:1</t>
        </is>
      </c>
      <c r="Y557" s="404" t="n">
        <v>10000</v>
      </c>
      <c r="Z557" s="403" t="inlineStr">
        <is>
          <t xml:space="preserve">C </t>
        </is>
      </c>
      <c r="AC557" s="378" t="n"/>
      <c r="AD557" s="384" t="inlineStr">
        <is>
          <t>LAUNDRY/DRY CLEANERS</t>
        </is>
      </c>
      <c r="AE557" s="145" t="n"/>
      <c r="AF557" s="145" t="n"/>
      <c r="AG557" s="145" t="n"/>
      <c r="AH557" s="145" t="n"/>
      <c r="AI557" s="145" t="n"/>
      <c r="AJ557" s="145" t="n"/>
      <c r="AK557" s="145" t="n"/>
      <c r="AM557" s="605" t="n"/>
    </row>
    <row r="558" ht="12.75" customHeight="1" s="545">
      <c r="A558" s="388" t="n">
        <v>7</v>
      </c>
      <c r="B558" s="605" t="n">
        <v>550</v>
      </c>
      <c r="C558" s="384" t="inlineStr">
        <is>
          <t>2011Q</t>
        </is>
      </c>
      <c r="D558" s="605" t="inlineStr">
        <is>
          <t xml:space="preserve">05284-03-018-000 </t>
        </is>
      </c>
      <c r="E558" s="407" t="inlineStr">
        <is>
          <t>Actual</t>
        </is>
      </c>
      <c r="F558" s="605" t="inlineStr">
        <is>
          <t>2390 S KALAMATH            ST</t>
        </is>
      </c>
      <c r="G558" s="392" t="n">
        <v>44.2</v>
      </c>
      <c r="H558" s="378" t="n">
        <v>9506</v>
      </c>
      <c r="I558" s="403" t="n">
        <v>0</v>
      </c>
      <c r="J558" s="404" t="n">
        <v>6000</v>
      </c>
      <c r="K558" s="408" t="n">
        <v>6.3</v>
      </c>
      <c r="L558" s="409" t="n">
        <v>0</v>
      </c>
      <c r="M558" s="409" t="n">
        <v>0.294867724867725</v>
      </c>
      <c r="N558" s="378" t="n">
        <v>1973</v>
      </c>
      <c r="O558" s="393" t="n">
        <v>1440</v>
      </c>
      <c r="Q558" s="605" t="n">
        <v>14</v>
      </c>
      <c r="R558" s="605" t="n">
        <v>1</v>
      </c>
      <c r="S558" s="605" t="n">
        <v>1</v>
      </c>
      <c r="T558" s="403" t="inlineStr">
        <is>
          <t xml:space="preserve">I1   </t>
        </is>
      </c>
      <c r="U558" s="403" t="n">
        <v>398</v>
      </c>
      <c r="V558" s="404" t="n">
        <v>18750</v>
      </c>
      <c r="W558" s="404" t="n">
        <v>19000</v>
      </c>
      <c r="X558" s="410" t="inlineStr">
        <is>
          <t>1.6:1</t>
        </is>
      </c>
      <c r="Y558" s="404" t="n">
        <v>6000</v>
      </c>
      <c r="Z558" s="403" t="inlineStr">
        <is>
          <t xml:space="preserve">C </t>
        </is>
      </c>
      <c r="AC558" s="378" t="n"/>
      <c r="AD558" s="384" t="n"/>
      <c r="AE558" s="145" t="n"/>
      <c r="AF558" s="145" t="n"/>
      <c r="AG558" s="145" t="n"/>
      <c r="AH558" s="145" t="n"/>
      <c r="AI558" s="145" t="n"/>
      <c r="AJ558" s="145" t="n"/>
      <c r="AK558" s="145" t="inlineStr">
        <is>
          <t xml:space="preserve">6000 SF OF 12000 SF BLDG. LEASED.                                 </t>
        </is>
      </c>
      <c r="AM558" s="605" t="n"/>
    </row>
    <row r="559" ht="12.75" customHeight="1" s="545">
      <c r="A559" s="388" t="n">
        <v>7</v>
      </c>
      <c r="B559" s="605" t="n">
        <v>551</v>
      </c>
      <c r="C559" s="384" t="inlineStr">
        <is>
          <t>2011Q</t>
        </is>
      </c>
      <c r="D559" s="605" t="inlineStr">
        <is>
          <t xml:space="preserve">05284-03-019-000 </t>
        </is>
      </c>
      <c r="E559" s="407" t="inlineStr">
        <is>
          <t>Actual</t>
        </is>
      </c>
      <c r="F559" s="605" t="inlineStr">
        <is>
          <t>2340 S KALAMATH            ST</t>
        </is>
      </c>
      <c r="G559" s="392" t="n">
        <v>44.2</v>
      </c>
      <c r="H559" s="378" t="n">
        <v>9506</v>
      </c>
      <c r="I559" s="403" t="n">
        <v>0</v>
      </c>
      <c r="J559" s="404" t="n">
        <v>4000</v>
      </c>
      <c r="K559" s="408" t="n">
        <v>6.45</v>
      </c>
      <c r="L559" s="409" t="n">
        <v>0</v>
      </c>
      <c r="M559" s="409" t="n">
        <v>0.17953488372093</v>
      </c>
      <c r="N559" s="378" t="n">
        <v>1973</v>
      </c>
      <c r="O559" s="393" t="n">
        <v>400</v>
      </c>
      <c r="Q559" s="605" t="n">
        <v>14</v>
      </c>
      <c r="R559" s="605" t="n">
        <v>1</v>
      </c>
      <c r="S559" s="605" t="n">
        <v>2</v>
      </c>
      <c r="T559" s="403" t="inlineStr">
        <is>
          <t xml:space="preserve">I1   </t>
        </is>
      </c>
      <c r="U559" s="403" t="n">
        <v>398</v>
      </c>
      <c r="V559" s="404" t="n">
        <v>6250</v>
      </c>
      <c r="W559" s="404" t="n">
        <v>6000</v>
      </c>
      <c r="X559" s="410" t="inlineStr">
        <is>
          <t>1.6:1</t>
        </is>
      </c>
      <c r="Y559" s="404" t="n">
        <v>4000</v>
      </c>
      <c r="Z559" s="403" t="inlineStr">
        <is>
          <t xml:space="preserve">C </t>
        </is>
      </c>
      <c r="AC559" s="378" t="n"/>
      <c r="AD559" s="384" t="inlineStr">
        <is>
          <t xml:space="preserve">M-W                 </t>
        </is>
      </c>
      <c r="AE559" s="145" t="n"/>
      <c r="AF559" s="145" t="n"/>
      <c r="AG559" s="145" t="n"/>
      <c r="AH559" s="145" t="n"/>
      <c r="AI559" s="145" t="n"/>
      <c r="AJ559" s="145" t="n"/>
      <c r="AK559" s="145" t="n"/>
      <c r="AM559" s="605" t="n"/>
    </row>
    <row r="560" ht="12.75" customHeight="1" s="545">
      <c r="A560" s="388" t="n">
        <v>7</v>
      </c>
      <c r="B560" s="605" t="n">
        <v>552</v>
      </c>
      <c r="C560" s="384" t="inlineStr">
        <is>
          <t>2011Q</t>
        </is>
      </c>
      <c r="D560" s="605" t="inlineStr">
        <is>
          <t xml:space="preserve">05294-00-003-000 </t>
        </is>
      </c>
      <c r="E560" s="407" t="inlineStr">
        <is>
          <t>Actual</t>
        </is>
      </c>
      <c r="F560" s="605" t="inlineStr">
        <is>
          <t>2920 W ILIFF               AV</t>
        </is>
      </c>
      <c r="G560" s="392" t="n">
        <v>47.1</v>
      </c>
      <c r="H560" s="378" t="n">
        <v>9506</v>
      </c>
      <c r="I560" s="403" t="n">
        <v>0</v>
      </c>
      <c r="J560" s="404" t="n">
        <v>3260</v>
      </c>
      <c r="K560" s="408" t="n">
        <v>4.96932515337423</v>
      </c>
      <c r="L560" s="409" t="n">
        <v>0</v>
      </c>
      <c r="M560" s="409" t="n">
        <v>0.438271604938272</v>
      </c>
      <c r="N560" s="378" t="n">
        <v>1970</v>
      </c>
      <c r="O560" s="393" t="n">
        <v>180</v>
      </c>
      <c r="Q560" s="605" t="n">
        <v>14</v>
      </c>
      <c r="R560" s="605" t="n">
        <v>14</v>
      </c>
      <c r="S560" s="605" t="n">
        <v>1</v>
      </c>
      <c r="T560" s="403" t="inlineStr">
        <is>
          <t xml:space="preserve">B4   </t>
        </is>
      </c>
      <c r="U560" s="403" t="n">
        <v>401</v>
      </c>
      <c r="V560" s="404" t="n">
        <v>14704</v>
      </c>
      <c r="W560" s="404" t="n">
        <v>15000</v>
      </c>
      <c r="X560" s="410" t="inlineStr">
        <is>
          <t>4.5:1</t>
        </is>
      </c>
      <c r="Y560" s="404" t="n">
        <v>3000</v>
      </c>
      <c r="Z560" s="403" t="inlineStr">
        <is>
          <t xml:space="preserve">C </t>
        </is>
      </c>
      <c r="AC560" s="378" t="n"/>
      <c r="AD560" s="384" t="inlineStr">
        <is>
          <t xml:space="preserve">MB MARBLE &amp; TILE    </t>
        </is>
      </c>
      <c r="AE560" s="145" t="n"/>
      <c r="AF560" s="145" t="n"/>
      <c r="AG560" s="145" t="n"/>
      <c r="AH560" s="145" t="n"/>
      <c r="AI560" s="145" t="n"/>
      <c r="AJ560" s="145" t="n"/>
      <c r="AK560" s="145" t="inlineStr">
        <is>
          <t xml:space="preserve">2008 LEASE.                                                       </t>
        </is>
      </c>
      <c r="AM560" s="605" t="n"/>
    </row>
    <row r="561" ht="12.75" customHeight="1" s="545">
      <c r="A561" s="388" t="n">
        <v>7</v>
      </c>
      <c r="B561" s="605" t="n">
        <v>553</v>
      </c>
      <c r="C561" s="384" t="inlineStr">
        <is>
          <t>2011Q</t>
        </is>
      </c>
      <c r="D561" s="605" t="inlineStr">
        <is>
          <t xml:space="preserve">06041-08-020-000 </t>
        </is>
      </c>
      <c r="E561" s="407" t="inlineStr">
        <is>
          <t>Actual</t>
        </is>
      </c>
      <c r="F561" s="605" t="inlineStr">
        <is>
          <t>1420   ULSTER              ST</t>
        </is>
      </c>
      <c r="G561" s="378" t="n">
        <v>44.1</v>
      </c>
      <c r="H561" s="378" t="n">
        <v>9601</v>
      </c>
      <c r="I561" s="403" t="n">
        <v>0</v>
      </c>
      <c r="J561" s="404" t="n">
        <v>1500</v>
      </c>
      <c r="K561" s="408" t="n">
        <v>4.8</v>
      </c>
      <c r="L561" s="409" t="n">
        <v>0</v>
      </c>
      <c r="M561" s="409" t="n">
        <v>0</v>
      </c>
      <c r="N561" s="378" t="n">
        <v>1949</v>
      </c>
      <c r="O561" s="393" t="n">
        <v>0</v>
      </c>
      <c r="P561" s="393" t="n">
        <v>703</v>
      </c>
      <c r="Q561" s="605" t="n">
        <v>10</v>
      </c>
      <c r="R561" s="605" t="n">
        <v>7</v>
      </c>
      <c r="S561" s="605" t="n">
        <v>1</v>
      </c>
      <c r="T561" s="403" t="inlineStr">
        <is>
          <t xml:space="preserve">MS1  </t>
        </is>
      </c>
      <c r="U561" s="403" t="n">
        <v>398</v>
      </c>
      <c r="V561" s="404" t="n">
        <v>12200</v>
      </c>
      <c r="W561" s="404" t="n">
        <v>12000</v>
      </c>
      <c r="X561" s="410" t="inlineStr">
        <is>
          <t>2.8:1</t>
        </is>
      </c>
      <c r="Y561" s="404" t="n">
        <v>2000</v>
      </c>
      <c r="Z561" s="403" t="inlineStr">
        <is>
          <t xml:space="preserve">C </t>
        </is>
      </c>
      <c r="AC561" s="378" t="n"/>
      <c r="AD561" s="384" t="inlineStr">
        <is>
          <t xml:space="preserve">1426 ULSTER ST      </t>
        </is>
      </c>
      <c r="AE561" s="145" t="n"/>
      <c r="AF561" s="145" t="n"/>
      <c r="AG561" s="145" t="n"/>
      <c r="AH561" s="145" t="n"/>
      <c r="AI561" s="145" t="n"/>
      <c r="AJ561" s="145" t="n"/>
      <c r="AK561" s="145" t="inlineStr">
        <is>
          <t xml:space="preserve">LEASE COVERS 1500 SF OF 4377 SF BLDG.                             </t>
        </is>
      </c>
      <c r="AM561" s="605" t="n"/>
    </row>
    <row r="562" ht="12.75" customHeight="1" s="545">
      <c r="A562" s="388" t="n">
        <v>7</v>
      </c>
      <c r="B562" s="605" t="n">
        <v>554</v>
      </c>
      <c r="C562" s="384" t="inlineStr">
        <is>
          <t>2011Q</t>
        </is>
      </c>
      <c r="D562" s="605" t="inlineStr">
        <is>
          <t xml:space="preserve">06041-08-021-000 </t>
        </is>
      </c>
      <c r="E562" s="407" t="inlineStr">
        <is>
          <t>Actual</t>
        </is>
      </c>
      <c r="F562" s="605" t="inlineStr">
        <is>
          <t>1414   ULSTER              ST</t>
        </is>
      </c>
      <c r="G562" s="392" t="n">
        <v>44.2</v>
      </c>
      <c r="H562" s="378" t="n">
        <v>9601</v>
      </c>
      <c r="I562" s="403" t="n">
        <v>0</v>
      </c>
      <c r="J562" s="404" t="n">
        <v>5978</v>
      </c>
      <c r="K562" s="408" t="n">
        <v>4.51656072264972</v>
      </c>
      <c r="L562" s="409" t="n">
        <v>0</v>
      </c>
      <c r="M562" s="409" t="n">
        <v>0</v>
      </c>
      <c r="N562" s="378" t="n">
        <v>1964</v>
      </c>
      <c r="O562" s="393" t="n">
        <v>0</v>
      </c>
      <c r="Q562" s="605" t="n">
        <v>10</v>
      </c>
      <c r="R562" s="605" t="n">
        <v>3</v>
      </c>
      <c r="S562" s="605" t="n">
        <v>2</v>
      </c>
      <c r="T562" s="403" t="inlineStr">
        <is>
          <t xml:space="preserve">MS1  </t>
        </is>
      </c>
      <c r="U562" s="403" t="n">
        <v>398</v>
      </c>
      <c r="V562" s="404" t="n">
        <v>12200</v>
      </c>
      <c r="W562" s="404" t="n">
        <v>12000</v>
      </c>
      <c r="X562" s="410" t="inlineStr">
        <is>
          <t>2.0:1</t>
        </is>
      </c>
      <c r="Y562" s="404" t="n">
        <v>6000</v>
      </c>
      <c r="Z562" s="403" t="inlineStr">
        <is>
          <t xml:space="preserve">C </t>
        </is>
      </c>
      <c r="AC562" s="378" t="n"/>
      <c r="AD562" s="384" t="n"/>
      <c r="AE562" s="145" t="n"/>
      <c r="AF562" s="145" t="n"/>
      <c r="AG562" s="145" t="n"/>
      <c r="AH562" s="145" t="n"/>
      <c r="AI562" s="145" t="n"/>
      <c r="AJ562" s="145" t="n"/>
      <c r="AK562" s="145" t="inlineStr">
        <is>
          <t>LEASE COMMENCEMENT UNKNOWN - MAY BE 2008 OR 2009.LOT OF ASSUMPT'NS</t>
        </is>
      </c>
      <c r="AM562" s="605" t="n"/>
    </row>
    <row r="563" ht="12.75" customHeight="1" s="545">
      <c r="A563" s="388" t="n">
        <v>7</v>
      </c>
      <c r="B563" s="605" t="n">
        <v>555</v>
      </c>
      <c r="C563" s="384" t="inlineStr">
        <is>
          <t>2011Q</t>
        </is>
      </c>
      <c r="D563" s="605" t="inlineStr">
        <is>
          <t xml:space="preserve">06172-00-031-000 </t>
        </is>
      </c>
      <c r="E563" s="407" t="inlineStr">
        <is>
          <t>Actual</t>
        </is>
      </c>
      <c r="F563" s="605" t="inlineStr">
        <is>
          <t>6150   LEETSDALE           DR</t>
        </is>
      </c>
      <c r="G563" s="392" t="n">
        <v>44.5</v>
      </c>
      <c r="H563" s="378" t="n">
        <v>9602</v>
      </c>
      <c r="I563" s="403" t="n">
        <v>9</v>
      </c>
      <c r="J563" s="404" t="n">
        <v>75160</v>
      </c>
      <c r="K563" s="408" t="n">
        <v>10.1161788185205</v>
      </c>
      <c r="L563" s="409" t="n">
        <v>0</v>
      </c>
      <c r="M563" s="409" t="n">
        <v>0.256210444910907</v>
      </c>
      <c r="N563" s="378" t="n">
        <v>2006</v>
      </c>
      <c r="O563" s="393" t="n">
        <v>0</v>
      </c>
      <c r="Q563" s="605" t="n">
        <v>18</v>
      </c>
      <c r="R563" s="605" t="n">
        <v>3</v>
      </c>
      <c r="S563" s="605" t="n">
        <v>651</v>
      </c>
      <c r="T563" s="403" t="inlineStr">
        <is>
          <t xml:space="preserve">PUD  </t>
        </is>
      </c>
      <c r="U563" s="403" t="n">
        <v>396</v>
      </c>
      <c r="V563" s="404" t="n">
        <v>95897</v>
      </c>
      <c r="W563" s="404" t="n">
        <v>96000</v>
      </c>
      <c r="X563" s="410" t="inlineStr">
        <is>
          <t>1.3:1</t>
        </is>
      </c>
      <c r="Y563" s="404" t="n">
        <v>75000</v>
      </c>
      <c r="Z563" s="403" t="inlineStr">
        <is>
          <t xml:space="preserve">B </t>
        </is>
      </c>
      <c r="AC563" s="378" t="n"/>
      <c r="AD563" s="384" t="inlineStr">
        <is>
          <t xml:space="preserve">UN'TED STGE LTSDALE </t>
        </is>
      </c>
      <c r="AE563" s="145" t="n"/>
      <c r="AF563" s="145" t="n"/>
      <c r="AG563" s="145" t="n"/>
      <c r="AH563" s="145" t="n"/>
      <c r="AI563" s="145" t="n"/>
      <c r="AJ563" s="145" t="n"/>
      <c r="AK563" s="145" t="n"/>
      <c r="AM563" s="605" t="n"/>
    </row>
    <row r="564" ht="12.75" customHeight="1" s="545">
      <c r="A564" s="388" t="n">
        <v>7</v>
      </c>
      <c r="B564" s="605" t="n">
        <v>556</v>
      </c>
      <c r="C564" s="384" t="inlineStr">
        <is>
          <t>2011Q</t>
        </is>
      </c>
      <c r="D564" s="605" t="inlineStr">
        <is>
          <t xml:space="preserve">06282-01-003-000 </t>
        </is>
      </c>
      <c r="E564" s="407" t="inlineStr">
        <is>
          <t>Actual</t>
        </is>
      </c>
      <c r="F564" s="605" t="inlineStr">
        <is>
          <t>7450 E JEWELL              AV</t>
        </is>
      </c>
      <c r="G564" s="392" t="n">
        <v>44.2</v>
      </c>
      <c r="H564" s="378" t="n">
        <v>9603</v>
      </c>
      <c r="I564" s="403" t="n">
        <v>0</v>
      </c>
      <c r="J564" s="404" t="n">
        <v>3400</v>
      </c>
      <c r="K564" s="408" t="n">
        <v>8.84</v>
      </c>
      <c r="L564" s="409" t="n">
        <v>0</v>
      </c>
      <c r="M564" s="409" t="n">
        <v>0.108098216662231</v>
      </c>
      <c r="N564" s="378" t="n">
        <v>1977</v>
      </c>
      <c r="O564" s="393" t="n">
        <v>8901</v>
      </c>
      <c r="Q564" s="605" t="n">
        <v>19</v>
      </c>
      <c r="R564" s="605" t="n">
        <v>10</v>
      </c>
      <c r="S564" s="605" t="n">
        <v>3</v>
      </c>
      <c r="T564" s="403" t="inlineStr">
        <is>
          <t xml:space="preserve">I1   </t>
        </is>
      </c>
      <c r="U564" s="403" t="n">
        <v>398</v>
      </c>
      <c r="V564" s="404" t="n">
        <v>41625</v>
      </c>
      <c r="W564" s="404" t="n">
        <v>42000</v>
      </c>
      <c r="X564" s="410" t="inlineStr">
        <is>
          <t>2.4:1</t>
        </is>
      </c>
      <c r="Y564" s="404" t="n">
        <v>3000</v>
      </c>
      <c r="Z564" s="403" t="inlineStr">
        <is>
          <t xml:space="preserve">C </t>
        </is>
      </c>
      <c r="AC564" s="378" t="n"/>
      <c r="AD564" s="384" t="inlineStr">
        <is>
          <t xml:space="preserve">WAREHOUSE           </t>
        </is>
      </c>
      <c r="AE564" s="145" t="n"/>
      <c r="AF564" s="145" t="n"/>
      <c r="AG564" s="145" t="n"/>
      <c r="AH564" s="145" t="n"/>
      <c r="AI564" s="145" t="n"/>
      <c r="AJ564" s="145" t="n"/>
      <c r="AK564" s="145" t="inlineStr">
        <is>
          <t xml:space="preserve">BASE PEROD LEASE = 3400 SF OF 17,092 SF BLDG.                     </t>
        </is>
      </c>
      <c r="AM564" s="605" t="n"/>
    </row>
    <row r="565" ht="12.75" customHeight="1" s="545">
      <c r="A565" s="388" t="n">
        <v>7</v>
      </c>
      <c r="B565" s="605" t="n">
        <v>557</v>
      </c>
      <c r="C565" s="384" t="inlineStr">
        <is>
          <t>2011Q</t>
        </is>
      </c>
      <c r="D565" s="605" t="inlineStr">
        <is>
          <t xml:space="preserve">06292-10-004-000 </t>
        </is>
      </c>
      <c r="E565" s="407" t="inlineStr">
        <is>
          <t>Actual</t>
        </is>
      </c>
      <c r="F565" s="605" t="inlineStr">
        <is>
          <t>5885 E EVANS               AV</t>
        </is>
      </c>
      <c r="G565" s="378" t="n">
        <v>44.1</v>
      </c>
      <c r="H565" s="378" t="n">
        <v>9603</v>
      </c>
      <c r="I565" s="403" t="n">
        <v>0</v>
      </c>
      <c r="J565" s="404" t="n">
        <v>12244</v>
      </c>
      <c r="K565" s="408" t="n">
        <v>5.39039529565502</v>
      </c>
      <c r="L565" s="409" t="n">
        <v>0</v>
      </c>
      <c r="M565" s="409" t="n">
        <v>0.08540909090909091</v>
      </c>
      <c r="N565" s="378" t="n">
        <v>1960</v>
      </c>
      <c r="O565" s="393" t="n">
        <v>5891</v>
      </c>
      <c r="Q565" s="605" t="n">
        <v>13</v>
      </c>
      <c r="R565" s="605" t="n">
        <v>3</v>
      </c>
      <c r="S565" s="605" t="n">
        <v>1</v>
      </c>
      <c r="T565" s="403" t="inlineStr">
        <is>
          <t xml:space="preserve">I0   </t>
        </is>
      </c>
      <c r="U565" s="403" t="n">
        <v>398</v>
      </c>
      <c r="V565" s="404" t="n">
        <v>43775</v>
      </c>
      <c r="W565" s="404" t="n">
        <v>44000</v>
      </c>
      <c r="X565" s="410" t="inlineStr">
        <is>
          <t>3.6:1</t>
        </is>
      </c>
      <c r="Y565" s="404" t="n">
        <v>12000</v>
      </c>
      <c r="Z565" s="403" t="inlineStr">
        <is>
          <t xml:space="preserve">C </t>
        </is>
      </c>
      <c r="AC565" s="378" t="n"/>
      <c r="AD565" s="384" t="inlineStr">
        <is>
          <t xml:space="preserve">PRINTSHOP PLUS      </t>
        </is>
      </c>
      <c r="AE565" s="145" t="n"/>
      <c r="AF565" s="145" t="n"/>
      <c r="AG565" s="145" t="n"/>
      <c r="AH565" s="145" t="n"/>
      <c r="AI565" s="145" t="n"/>
      <c r="AJ565" s="145" t="n"/>
      <c r="AK565" s="145" t="n"/>
      <c r="AM565" s="605" t="n"/>
    </row>
    <row r="566" ht="12.75" customHeight="1" s="545">
      <c r="A566" s="388" t="n">
        <v>7</v>
      </c>
      <c r="B566" s="605" t="n">
        <v>558</v>
      </c>
      <c r="C566" s="384" t="inlineStr">
        <is>
          <t>2011Q</t>
        </is>
      </c>
      <c r="D566" s="605" t="inlineStr">
        <is>
          <t xml:space="preserve">06292-12-017-000 </t>
        </is>
      </c>
      <c r="E566" s="407" t="inlineStr">
        <is>
          <t>Actual</t>
        </is>
      </c>
      <c r="F566" s="605" t="inlineStr">
        <is>
          <t>2160 S IVANHOE             ST</t>
        </is>
      </c>
      <c r="G566" s="392" t="inlineStr">
        <is>
          <t>44.M</t>
        </is>
      </c>
      <c r="H566" s="378" t="n">
        <v>9603</v>
      </c>
      <c r="I566" s="403" t="n">
        <v>0</v>
      </c>
      <c r="J566" s="404" t="n">
        <v>10200</v>
      </c>
      <c r="K566" s="408" t="n">
        <v>11.9470588235294</v>
      </c>
      <c r="L566" s="409" t="n">
        <v>0</v>
      </c>
      <c r="M566" s="409" t="n">
        <v>0.281010996225176</v>
      </c>
      <c r="N566" s="378" t="n">
        <v>1974</v>
      </c>
      <c r="O566" s="393" t="n">
        <v>0</v>
      </c>
      <c r="Q566" s="605" t="n">
        <v>10</v>
      </c>
      <c r="R566" s="605" t="n">
        <v>3</v>
      </c>
      <c r="S566" s="605" t="n">
        <v>56</v>
      </c>
      <c r="T566" s="403" t="inlineStr">
        <is>
          <t xml:space="preserve">I0   </t>
        </is>
      </c>
      <c r="U566" s="403" t="n">
        <v>396</v>
      </c>
      <c r="V566" s="404" t="n">
        <v>34151</v>
      </c>
      <c r="W566" s="404" t="n">
        <v>34000</v>
      </c>
      <c r="X566" s="410" t="inlineStr">
        <is>
          <t>3.3:1</t>
        </is>
      </c>
      <c r="Y566" s="404" t="n">
        <v>10000</v>
      </c>
      <c r="Z566" s="403" t="inlineStr">
        <is>
          <t xml:space="preserve">C </t>
        </is>
      </c>
      <c r="AC566" s="378" t="n"/>
      <c r="AD566" s="384" t="inlineStr">
        <is>
          <t>EVANS/HOLLY SELF STG</t>
        </is>
      </c>
      <c r="AE566" s="145" t="n"/>
      <c r="AF566" s="145" t="n"/>
      <c r="AG566" s="145" t="n"/>
      <c r="AH566" s="145" t="n"/>
      <c r="AI566" s="145" t="n"/>
      <c r="AJ566" s="145" t="n"/>
      <c r="AK566" s="145" t="n"/>
      <c r="AM566" s="605" t="n"/>
    </row>
    <row r="567" ht="12.75" customHeight="1" s="545">
      <c r="A567" s="388" t="n">
        <v>7</v>
      </c>
      <c r="B567" s="605" t="n">
        <v>559</v>
      </c>
      <c r="C567" s="384" t="inlineStr">
        <is>
          <t>2011Q</t>
        </is>
      </c>
      <c r="D567" s="605" t="inlineStr">
        <is>
          <t xml:space="preserve">06292-14-004-000 </t>
        </is>
      </c>
      <c r="E567" s="407" t="inlineStr">
        <is>
          <t>Actual</t>
        </is>
      </c>
      <c r="F567" s="605" t="inlineStr">
        <is>
          <t>6300 E EVANS               AV</t>
        </is>
      </c>
      <c r="G567" s="378" t="n">
        <v>44.1</v>
      </c>
      <c r="H567" s="378" t="n">
        <v>9603</v>
      </c>
      <c r="I567" s="403" t="n">
        <v>7</v>
      </c>
      <c r="J567" s="404" t="n">
        <v>40296</v>
      </c>
      <c r="K567" s="408" t="n">
        <v>4.64090728608299</v>
      </c>
      <c r="L567" s="409" t="n">
        <v>0</v>
      </c>
      <c r="M567" s="409" t="n">
        <v>0.00235281535746752</v>
      </c>
      <c r="N567" s="378" t="n">
        <v>1963</v>
      </c>
      <c r="O567" s="393" t="n">
        <v>11042</v>
      </c>
      <c r="P567" s="393" t="n">
        <v>5161</v>
      </c>
      <c r="Q567" s="605" t="n">
        <v>15</v>
      </c>
      <c r="R567" s="605" t="n">
        <v>1</v>
      </c>
      <c r="S567" s="605" t="n">
        <v>1</v>
      </c>
      <c r="T567" s="403" t="inlineStr">
        <is>
          <t xml:space="preserve">I0   </t>
        </is>
      </c>
      <c r="U567" s="403" t="n">
        <v>398</v>
      </c>
      <c r="V567" s="404" t="n">
        <v>66517</v>
      </c>
      <c r="W567" s="404" t="n">
        <v>67000</v>
      </c>
      <c r="X567" s="410" t="inlineStr">
        <is>
          <t>1.7:1</t>
        </is>
      </c>
      <c r="Y567" s="404" t="n">
        <v>40000</v>
      </c>
      <c r="Z567" s="403" t="inlineStr">
        <is>
          <t xml:space="preserve">C </t>
        </is>
      </c>
      <c r="AC567" s="378" t="n"/>
      <c r="AD567" s="384" t="inlineStr">
        <is>
          <t xml:space="preserve">S-W LEWAN SALES     </t>
        </is>
      </c>
      <c r="AE567" s="145" t="n"/>
      <c r="AF567" s="145" t="n"/>
      <c r="AG567" s="145" t="n"/>
      <c r="AH567" s="145" t="n"/>
      <c r="AI567" s="145" t="n"/>
      <c r="AJ567" s="145" t="n"/>
      <c r="AK567" s="145" t="n"/>
      <c r="AM567" s="605" t="n"/>
    </row>
    <row r="568" ht="12.75" customHeight="1" s="545">
      <c r="A568" s="388" t="n">
        <v>7</v>
      </c>
      <c r="B568" s="605" t="n">
        <v>560</v>
      </c>
      <c r="C568" s="384" t="inlineStr">
        <is>
          <t>2011Q</t>
        </is>
      </c>
      <c r="D568" s="605" t="inlineStr">
        <is>
          <t xml:space="preserve">06301-13-010-000 </t>
        </is>
      </c>
      <c r="E568" s="407" t="inlineStr">
        <is>
          <t>Actual</t>
        </is>
      </c>
      <c r="F568" s="605" t="inlineStr">
        <is>
          <t>4925 E PACIFIC             PL</t>
        </is>
      </c>
      <c r="G568" s="378" t="n">
        <v>44.1</v>
      </c>
      <c r="H568" s="378" t="n">
        <v>9603</v>
      </c>
      <c r="I568" s="403" t="n">
        <v>0</v>
      </c>
      <c r="J568" s="404" t="n">
        <v>6752</v>
      </c>
      <c r="K568" s="408" t="n">
        <v>7.28672985781991</v>
      </c>
      <c r="L568" s="409" t="n">
        <v>0</v>
      </c>
      <c r="M568" s="409" t="n">
        <v>0</v>
      </c>
      <c r="N568" s="378" t="n">
        <v>1973</v>
      </c>
      <c r="O568" s="393" t="n">
        <v>2832</v>
      </c>
      <c r="Q568" s="605" t="n">
        <v>20</v>
      </c>
      <c r="R568" s="605" t="n">
        <v>14</v>
      </c>
      <c r="S568" s="605" t="n">
        <v>1</v>
      </c>
      <c r="T568" s="403" t="inlineStr">
        <is>
          <t xml:space="preserve">I0   </t>
        </is>
      </c>
      <c r="U568" s="403" t="n">
        <v>398</v>
      </c>
      <c r="V568" s="404" t="n">
        <v>15625</v>
      </c>
      <c r="W568" s="404" t="n">
        <v>16000</v>
      </c>
      <c r="X568" s="410" t="inlineStr">
        <is>
          <t>2.3:1</t>
        </is>
      </c>
      <c r="Y568" s="404" t="n">
        <v>7000</v>
      </c>
      <c r="Z568" s="403" t="inlineStr">
        <is>
          <t xml:space="preserve">C </t>
        </is>
      </c>
      <c r="AC568" s="378" t="n"/>
      <c r="AD568" s="384" t="inlineStr">
        <is>
          <t>S-W CREATIVE DRYWALL</t>
        </is>
      </c>
      <c r="AE568" s="145" t="n"/>
      <c r="AF568" s="145" t="n"/>
      <c r="AG568" s="145" t="n"/>
      <c r="AH568" s="145" t="n"/>
      <c r="AI568" s="145" t="n"/>
      <c r="AJ568" s="145" t="n"/>
      <c r="AK568" s="145" t="n"/>
      <c r="AM568" s="605" t="n"/>
    </row>
    <row r="569" ht="12.75" customHeight="1" s="545">
      <c r="A569" s="388" t="n">
        <v>7</v>
      </c>
      <c r="B569" s="605" t="n">
        <v>561</v>
      </c>
      <c r="C569" s="384" t="inlineStr">
        <is>
          <t>2011Q</t>
        </is>
      </c>
      <c r="D569" s="605" t="inlineStr">
        <is>
          <t xml:space="preserve">06302-20-007-000 </t>
        </is>
      </c>
      <c r="E569" s="407" t="inlineStr">
        <is>
          <t>Actual</t>
        </is>
      </c>
      <c r="F569" s="605" t="inlineStr">
        <is>
          <t>4875 E EVANS               AV</t>
        </is>
      </c>
      <c r="G569" s="378" t="n">
        <v>44.1</v>
      </c>
      <c r="H569" s="378" t="n">
        <v>9603</v>
      </c>
      <c r="I569" s="403" t="n">
        <v>0</v>
      </c>
      <c r="J569" s="404" t="n">
        <v>8512</v>
      </c>
      <c r="K569" s="408" t="n">
        <v>8.250117481203009</v>
      </c>
      <c r="L569" s="409" t="n">
        <v>0</v>
      </c>
      <c r="M569" s="409" t="n">
        <v>0.09715913136347459</v>
      </c>
      <c r="N569" s="378" t="n">
        <v>1973</v>
      </c>
      <c r="O569" s="393" t="n">
        <v>1054</v>
      </c>
      <c r="Q569" s="605" t="n">
        <v>14</v>
      </c>
      <c r="R569" s="605" t="n">
        <v>3</v>
      </c>
      <c r="S569" s="605" t="n">
        <v>1</v>
      </c>
      <c r="T569" s="403" t="inlineStr">
        <is>
          <t xml:space="preserve">I0   </t>
        </is>
      </c>
      <c r="U569" s="403" t="n">
        <v>398</v>
      </c>
      <c r="V569" s="404" t="n">
        <v>19718</v>
      </c>
      <c r="W569" s="404" t="n">
        <v>20000</v>
      </c>
      <c r="X569" s="410" t="inlineStr">
        <is>
          <t>2.3:1</t>
        </is>
      </c>
      <c r="Y569" s="404" t="n">
        <v>9000</v>
      </c>
      <c r="Z569" s="403" t="inlineStr">
        <is>
          <t xml:space="preserve">C </t>
        </is>
      </c>
      <c r="AC569" s="378" t="n"/>
      <c r="AD569" s="384" t="n"/>
      <c r="AE569" s="145" t="n"/>
      <c r="AF569" s="145" t="n"/>
      <c r="AG569" s="145" t="n"/>
      <c r="AH569" s="145" t="n"/>
      <c r="AI569" s="145" t="n"/>
      <c r="AJ569" s="145" t="n"/>
      <c r="AK569" s="145" t="inlineStr">
        <is>
          <t xml:space="preserve">08/08 LEASE.                                                      </t>
        </is>
      </c>
      <c r="AM569" s="605" t="n"/>
    </row>
    <row r="570" ht="12.75" customHeight="1" s="545">
      <c r="A570" s="388" t="n">
        <v>8</v>
      </c>
      <c r="B570" s="605" t="n">
        <v>562</v>
      </c>
      <c r="C570" s="384" t="inlineStr">
        <is>
          <t>2009Q</t>
        </is>
      </c>
      <c r="D570" s="605" t="inlineStr">
        <is>
          <t xml:space="preserve">00184-01-019-000 </t>
        </is>
      </c>
      <c r="E570" s="407" t="inlineStr">
        <is>
          <t>Actual</t>
        </is>
      </c>
      <c r="F570" s="605" t="inlineStr">
        <is>
          <t>15200 E 53RD                 AV</t>
        </is>
      </c>
      <c r="G570" s="392" t="n">
        <v>44.5</v>
      </c>
      <c r="H570" s="378" t="n">
        <v>9102</v>
      </c>
      <c r="I570" s="403" t="n">
        <v>0</v>
      </c>
      <c r="J570" s="404" t="n">
        <v>59703</v>
      </c>
      <c r="K570" s="408" t="n">
        <v>10.2211949148284</v>
      </c>
      <c r="L570" s="409" t="n">
        <v>0.07000000000000001</v>
      </c>
      <c r="M570" s="409" t="n">
        <v>0.107030722540132</v>
      </c>
      <c r="N570" s="378" t="n">
        <v>2000</v>
      </c>
      <c r="P570" s="393">
        <f>1294*2</f>
        <v/>
      </c>
      <c r="Q570" s="605" t="n">
        <v>9</v>
      </c>
      <c r="R570" s="605" t="n">
        <v>3</v>
      </c>
      <c r="S570" s="605" t="n">
        <v>1</v>
      </c>
      <c r="T570" s="403" t="inlineStr">
        <is>
          <t xml:space="preserve">PUD  </t>
        </is>
      </c>
      <c r="U570" s="403" t="n">
        <v>396</v>
      </c>
      <c r="V570" s="404" t="n">
        <v>223537</v>
      </c>
      <c r="W570" s="404" t="n">
        <v>220000</v>
      </c>
      <c r="X570" s="410" t="inlineStr">
        <is>
          <t>3.7:1</t>
        </is>
      </c>
      <c r="Y570" s="404">
        <f>ROUND(J570,-4)</f>
        <v/>
      </c>
      <c r="Z570" s="403" t="inlineStr">
        <is>
          <t xml:space="preserve">C </t>
        </is>
      </c>
      <c r="AA570" s="605" t="n">
        <v>3</v>
      </c>
      <c r="AB570" s="605" t="n">
        <v>3</v>
      </c>
      <c r="AC570" s="378" t="inlineStr">
        <is>
          <t>33</t>
        </is>
      </c>
      <c r="AD570" s="384" t="inlineStr">
        <is>
          <t xml:space="preserve">KANGAROO SELF STRGE </t>
        </is>
      </c>
      <c r="AE570" s="145" t="n"/>
      <c r="AF570" s="145" t="n"/>
      <c r="AG570" s="145" t="n"/>
      <c r="AH570" s="145" t="n"/>
      <c r="AI570" s="145" t="n"/>
      <c r="AJ570" s="145" t="n"/>
      <c r="AK570" s="145" t="inlineStr">
        <is>
          <t xml:space="preserve">KANGAROO SELF-STORAGE                                             </t>
        </is>
      </c>
      <c r="AL570" s="605">
        <f>IF(AND(ISNUMBER($S570),$S570&gt;0,ISNUMBER($K570),ISNUMBER($J570)),($K570*$J570)/$S570,"")</f>
        <v/>
      </c>
    </row>
    <row r="571" ht="12.75" customHeight="1" s="545">
      <c r="A571" s="388" t="n">
        <v>8</v>
      </c>
      <c r="B571" s="605" t="n">
        <v>563</v>
      </c>
      <c r="C571" s="384" t="inlineStr">
        <is>
          <t>2009Q</t>
        </is>
      </c>
      <c r="D571" s="605" t="inlineStr">
        <is>
          <t xml:space="preserve">01141-01-015-000 </t>
        </is>
      </c>
      <c r="E571" s="407" t="inlineStr">
        <is>
          <t>Actual</t>
        </is>
      </c>
      <c r="F571" s="605" t="inlineStr">
        <is>
          <t>11777 E 55TH                 AV</t>
        </is>
      </c>
      <c r="G571" s="392" t="n">
        <v>44.3</v>
      </c>
      <c r="H571" s="378" t="n">
        <v>9102</v>
      </c>
      <c r="I571" s="403" t="n">
        <v>0</v>
      </c>
      <c r="J571" s="404" t="n">
        <v>171880</v>
      </c>
      <c r="K571" s="408" t="n">
        <v>4.40846520828485</v>
      </c>
      <c r="L571" s="409" t="n">
        <v>0</v>
      </c>
      <c r="M571" s="409" t="n">
        <v>0.113762608432853</v>
      </c>
      <c r="N571" s="378" t="n">
        <v>1986</v>
      </c>
      <c r="O571" s="393" t="n">
        <v>2232</v>
      </c>
      <c r="Q571" s="605" t="n">
        <v>28</v>
      </c>
      <c r="R571" s="605" t="n">
        <v>14</v>
      </c>
      <c r="S571" s="605" t="n">
        <v>1</v>
      </c>
      <c r="T571" s="403" t="inlineStr">
        <is>
          <t xml:space="preserve">I2   </t>
        </is>
      </c>
      <c r="U571" s="403" t="n">
        <v>398</v>
      </c>
      <c r="V571" s="404" t="n">
        <v>311753</v>
      </c>
      <c r="W571" s="404" t="n">
        <v>310000</v>
      </c>
      <c r="X571" s="410" t="inlineStr">
        <is>
          <t>1.8:1</t>
        </is>
      </c>
      <c r="Y571" s="404">
        <f>ROUND(J571,-4)</f>
        <v/>
      </c>
      <c r="Z571" s="403" t="inlineStr">
        <is>
          <t xml:space="preserve">C </t>
        </is>
      </c>
      <c r="AA571" s="605" t="n">
        <v>3</v>
      </c>
      <c r="AB571" s="605" t="n">
        <v>3</v>
      </c>
      <c r="AC571" s="378" t="inlineStr">
        <is>
          <t>33</t>
        </is>
      </c>
      <c r="AD571" s="384" t="inlineStr">
        <is>
          <t xml:space="preserve">S-W G.E. DIST WHSE  </t>
        </is>
      </c>
      <c r="AE571" s="145" t="n"/>
      <c r="AF571" s="145" t="n"/>
      <c r="AG571" s="145" t="n"/>
      <c r="AH571" s="145" t="n"/>
      <c r="AI571" s="145" t="n"/>
      <c r="AJ571" s="145" t="n"/>
      <c r="AK571" s="145" t="inlineStr">
        <is>
          <t xml:space="preserve">S-T WHSE - G.E.; 25 YR. LEASE DATES FROM 1986.                    </t>
        </is>
      </c>
      <c r="AL571" s="605">
        <f>IF(AND(ISNUMBER($S571),$S571&gt;0,ISNUMBER($K571),ISNUMBER($J571)),($K571*$J571)/$S571,"")</f>
        <v/>
      </c>
    </row>
    <row r="572" ht="12.75" customHeight="1" s="545">
      <c r="A572" s="388" t="n">
        <v>8</v>
      </c>
      <c r="B572" s="605" t="n">
        <v>564</v>
      </c>
      <c r="C572" s="384" t="inlineStr">
        <is>
          <t>2009Q</t>
        </is>
      </c>
      <c r="D572" s="605" t="inlineStr">
        <is>
          <t xml:space="preserve">01141-02-010-000 </t>
        </is>
      </c>
      <c r="E572" s="407" t="inlineStr">
        <is>
          <t>Actual</t>
        </is>
      </c>
      <c r="F572" s="605" t="inlineStr">
        <is>
          <t>11475 E 53RD                 AV</t>
        </is>
      </c>
      <c r="G572" s="392" t="n">
        <v>44.4</v>
      </c>
      <c r="H572" s="378" t="n">
        <v>9102</v>
      </c>
      <c r="I572" s="403" t="n">
        <v>0</v>
      </c>
      <c r="J572" s="404" t="n">
        <v>168112</v>
      </c>
      <c r="K572" s="408" t="n">
        <v>4.91016703150281</v>
      </c>
      <c r="L572" s="409" t="n">
        <v>0</v>
      </c>
      <c r="M572" s="409" t="n">
        <v>0.128867852755682</v>
      </c>
      <c r="N572" s="378" t="n">
        <v>1985</v>
      </c>
      <c r="O572" s="393">
        <f>3650+1504+400+3422</f>
        <v/>
      </c>
      <c r="Q572" s="605" t="n">
        <v>20</v>
      </c>
      <c r="R572" s="605" t="n">
        <v>10</v>
      </c>
      <c r="S572" s="605" t="n">
        <v>5</v>
      </c>
      <c r="T572" s="403" t="inlineStr">
        <is>
          <t xml:space="preserve">I2   </t>
        </is>
      </c>
      <c r="U572" s="403" t="n">
        <v>398</v>
      </c>
      <c r="V572" s="404" t="n">
        <v>339340</v>
      </c>
      <c r="W572" s="404" t="n">
        <v>340000</v>
      </c>
      <c r="X572" s="410" t="inlineStr">
        <is>
          <t>2.0:1</t>
        </is>
      </c>
      <c r="Y572" s="404">
        <f>ROUND(J572,-4)</f>
        <v/>
      </c>
      <c r="Z572" s="403" t="inlineStr">
        <is>
          <t xml:space="preserve">C </t>
        </is>
      </c>
      <c r="AA572" s="605" t="n">
        <v>3</v>
      </c>
      <c r="AB572" s="605" t="n">
        <v>3</v>
      </c>
      <c r="AC572" s="378" t="inlineStr">
        <is>
          <t>33</t>
        </is>
      </c>
      <c r="AD572" s="384" t="inlineStr">
        <is>
          <t xml:space="preserve">M-W MIDWAY DIST CTR </t>
        </is>
      </c>
      <c r="AE572" s="145" t="n"/>
      <c r="AF572" s="145" t="n"/>
      <c r="AG572" s="145" t="n"/>
      <c r="AH572" s="145" t="n"/>
      <c r="AI572" s="145" t="n"/>
      <c r="AJ572" s="145" t="n"/>
      <c r="AK572" s="145" t="inlineStr">
        <is>
          <t xml:space="preserve">M-T WHSE; 6 TENANTS; LEASES 2002 - 2005.                          </t>
        </is>
      </c>
      <c r="AL572" s="605">
        <f>IF(AND(ISNUMBER($S572),$S572&gt;0,ISNUMBER($K572),ISNUMBER($J572)),($K572*$J572)/$S572,"")</f>
        <v/>
      </c>
    </row>
    <row r="573" ht="12.75" customHeight="1" s="545">
      <c r="A573" s="388" t="n">
        <v>8</v>
      </c>
      <c r="B573" s="605" t="n">
        <v>565</v>
      </c>
      <c r="C573" s="384" t="inlineStr">
        <is>
          <t>2009Q</t>
        </is>
      </c>
      <c r="D573" s="605" t="inlineStr">
        <is>
          <t xml:space="preserve">01141-04-043-043 </t>
        </is>
      </c>
      <c r="E573" s="407" t="inlineStr">
        <is>
          <t>Actual</t>
        </is>
      </c>
      <c r="F573" s="605" t="inlineStr">
        <is>
          <t>5475   PEORIA               ST</t>
        </is>
      </c>
      <c r="G573" s="392" t="n">
        <v>44.8</v>
      </c>
      <c r="H573" s="378" t="n">
        <v>9102</v>
      </c>
      <c r="I573" s="403" t="n">
        <v>3</v>
      </c>
      <c r="J573" s="404" t="n">
        <v>1780</v>
      </c>
      <c r="K573" s="408" t="n">
        <v>11.561797752809</v>
      </c>
      <c r="L573" s="409" t="n">
        <v>0</v>
      </c>
      <c r="M573" s="409" t="n">
        <v>0.125364431486881</v>
      </c>
      <c r="N573" s="378" t="n">
        <v>1985</v>
      </c>
      <c r="O573" s="393" t="n">
        <v>502</v>
      </c>
      <c r="Q573" s="605" t="n">
        <v>17</v>
      </c>
      <c r="R573" s="605" t="n">
        <v>10</v>
      </c>
      <c r="S573" s="605" t="n">
        <v>1</v>
      </c>
      <c r="T573" s="403" t="inlineStr">
        <is>
          <t xml:space="preserve">I0   </t>
        </is>
      </c>
      <c r="U573" s="403" t="n">
        <v>398</v>
      </c>
      <c r="V573" s="404" t="n">
        <v>5810</v>
      </c>
      <c r="W573" s="404" t="n">
        <v>6000</v>
      </c>
      <c r="X573" s="410" t="inlineStr">
        <is>
          <t>3.3:1</t>
        </is>
      </c>
      <c r="Y573" s="404">
        <f>ROUND(J573,-2)</f>
        <v/>
      </c>
      <c r="Z573" s="403" t="inlineStr">
        <is>
          <t xml:space="preserve">C </t>
        </is>
      </c>
      <c r="AA573" s="605" t="n">
        <v>3</v>
      </c>
      <c r="AB573" s="605" t="n">
        <v>3</v>
      </c>
      <c r="AC573" s="378" t="inlineStr">
        <is>
          <t>33</t>
        </is>
      </c>
      <c r="AD573" s="384" t="inlineStr">
        <is>
          <t xml:space="preserve">PEORIA PLAZA #3-107 </t>
        </is>
      </c>
      <c r="AE573" s="145" t="n"/>
      <c r="AF573" s="145" t="n"/>
      <c r="AG573" s="145" t="n"/>
      <c r="AH573" s="145" t="n"/>
      <c r="AI573" s="145" t="n"/>
      <c r="AJ573" s="145" t="n"/>
      <c r="AK573" s="145" t="inlineStr">
        <is>
          <t xml:space="preserve">S-T WHSE.                                                         </t>
        </is>
      </c>
      <c r="AL573" s="605">
        <f>IF(AND(ISNUMBER($S573),$S573&gt;0,ISNUMBER($K573),ISNUMBER($J573)),($K573*$J573)/$S573,"")</f>
        <v/>
      </c>
    </row>
    <row r="574" ht="12.75" customHeight="1" s="545">
      <c r="A574" s="388" t="n">
        <v>8</v>
      </c>
      <c r="B574" s="605" t="n">
        <v>566</v>
      </c>
      <c r="C574" s="384" t="inlineStr">
        <is>
          <t>2009Q</t>
        </is>
      </c>
      <c r="D574" s="605" t="inlineStr">
        <is>
          <t xml:space="preserve">01141-04-058-058 </t>
        </is>
      </c>
      <c r="E574" s="407" t="inlineStr">
        <is>
          <t>Actual</t>
        </is>
      </c>
      <c r="F574" s="605" t="inlineStr">
        <is>
          <t>5475   PEORIA               ST</t>
        </is>
      </c>
      <c r="G574" s="392" t="n">
        <v>44.8</v>
      </c>
      <c r="H574" s="378" t="n">
        <v>9102</v>
      </c>
      <c r="I574" s="403" t="n">
        <v>3</v>
      </c>
      <c r="J574" s="404" t="n">
        <v>1490</v>
      </c>
      <c r="K574" s="408" t="n">
        <v>9.664429530201341</v>
      </c>
      <c r="L574" s="409" t="n">
        <v>0</v>
      </c>
      <c r="M574" s="409" t="n">
        <v>0.173611111111111</v>
      </c>
      <c r="N574" s="378" t="n">
        <v>1985</v>
      </c>
      <c r="O574" s="393" t="n">
        <v>678</v>
      </c>
      <c r="Q574" s="605" t="n">
        <v>17</v>
      </c>
      <c r="R574" s="605" t="n">
        <v>10</v>
      </c>
      <c r="S574" s="605" t="n">
        <v>1</v>
      </c>
      <c r="T574" s="403" t="inlineStr">
        <is>
          <t xml:space="preserve">I0   </t>
        </is>
      </c>
      <c r="U574" s="403" t="n">
        <v>398</v>
      </c>
      <c r="V574" s="404" t="n">
        <v>5810</v>
      </c>
      <c r="W574" s="404" t="n">
        <v>6000</v>
      </c>
      <c r="X574" s="410" t="inlineStr">
        <is>
          <t>3.9:1</t>
        </is>
      </c>
      <c r="Y574" s="404">
        <f>ROUND(J574,-2)</f>
        <v/>
      </c>
      <c r="Z574" s="403" t="inlineStr">
        <is>
          <t xml:space="preserve">C </t>
        </is>
      </c>
      <c r="AA574" s="605" t="n">
        <v>3</v>
      </c>
      <c r="AB574" s="605" t="n">
        <v>3</v>
      </c>
      <c r="AC574" s="378" t="inlineStr">
        <is>
          <t>33</t>
        </is>
      </c>
      <c r="AD574" s="384" t="inlineStr">
        <is>
          <t xml:space="preserve">PEORIA PLAZA #4-112 </t>
        </is>
      </c>
      <c r="AE574" s="145" t="n"/>
      <c r="AF574" s="145" t="n"/>
      <c r="AG574" s="145" t="n"/>
      <c r="AH574" s="145" t="n"/>
      <c r="AI574" s="145" t="n"/>
      <c r="AJ574" s="145" t="n"/>
      <c r="AK574" s="145" t="inlineStr">
        <is>
          <t xml:space="preserve">S-T WHSE.                                                         </t>
        </is>
      </c>
      <c r="AL574" s="605">
        <f>IF(AND(ISNUMBER($S574),$S574&gt;0,ISNUMBER($K574),ISNUMBER($J574)),($K574*$J574)/$S574,"")</f>
        <v/>
      </c>
    </row>
    <row r="575" ht="12.75" customHeight="1" s="545">
      <c r="A575" s="388" t="n">
        <v>8</v>
      </c>
      <c r="B575" s="605" t="n">
        <v>567</v>
      </c>
      <c r="C575" s="384" t="inlineStr">
        <is>
          <t>2009Q</t>
        </is>
      </c>
      <c r="D575" s="605" t="inlineStr">
        <is>
          <t xml:space="preserve">01142-00-014-000 </t>
        </is>
      </c>
      <c r="E575" s="407" t="inlineStr">
        <is>
          <t>Actual</t>
        </is>
      </c>
      <c r="F575" s="605" t="inlineStr">
        <is>
          <t>5150   HAVANA               ST</t>
        </is>
      </c>
      <c r="G575" s="392" t="n">
        <v>44.4</v>
      </c>
      <c r="H575" s="378" t="n">
        <v>9102</v>
      </c>
      <c r="I575" s="403" t="n">
        <v>0</v>
      </c>
      <c r="J575" s="404" t="n">
        <v>151792</v>
      </c>
      <c r="K575" s="408" t="n">
        <v>6.03927084431327</v>
      </c>
      <c r="L575" s="409" t="n">
        <v>0.0981606408769896</v>
      </c>
      <c r="M575" s="409" t="n">
        <v>0.271489550164555</v>
      </c>
      <c r="N575" s="378" t="n">
        <v>1997</v>
      </c>
      <c r="O575" s="393" t="n">
        <v>15827</v>
      </c>
      <c r="Q575" s="605" t="n">
        <v>26</v>
      </c>
      <c r="R575" s="605" t="n">
        <v>14</v>
      </c>
      <c r="S575" s="605" t="n">
        <v>5</v>
      </c>
      <c r="T575" s="403" t="inlineStr">
        <is>
          <t xml:space="preserve">I1   </t>
        </is>
      </c>
      <c r="U575" s="403" t="n">
        <v>398</v>
      </c>
      <c r="V575" s="404" t="n">
        <v>358383</v>
      </c>
      <c r="W575" s="404" t="n">
        <v>360000</v>
      </c>
      <c r="X575" s="410" t="inlineStr">
        <is>
          <t>2.4:1</t>
        </is>
      </c>
      <c r="Y575" s="404">
        <f>ROUND(J575,-4)</f>
        <v/>
      </c>
      <c r="Z575" s="403" t="inlineStr">
        <is>
          <t xml:space="preserve">C </t>
        </is>
      </c>
      <c r="AA575" s="605" t="n">
        <v>3</v>
      </c>
      <c r="AB575" s="605" t="n">
        <v>3</v>
      </c>
      <c r="AC575" s="378" t="inlineStr">
        <is>
          <t>33</t>
        </is>
      </c>
      <c r="AD575" s="384" t="inlineStr">
        <is>
          <t>MTN VIEW BUS. CENTER</t>
        </is>
      </c>
      <c r="AE575" s="145" t="n"/>
      <c r="AF575" s="145" t="n"/>
      <c r="AG575" s="145" t="n"/>
      <c r="AH575" s="145" t="n"/>
      <c r="AI575" s="145" t="n"/>
      <c r="AJ575" s="145" t="n"/>
      <c r="AK575" s="145" t="n"/>
      <c r="AL575" s="605">
        <f>IF(AND(ISNUMBER($S575),$S575&gt;0,ISNUMBER($K575),ISNUMBER($J575)),($K575*$J575)/$S575,"")</f>
        <v/>
      </c>
    </row>
    <row r="576" ht="12.75" customHeight="1" s="545">
      <c r="A576" s="388" t="n">
        <v>8</v>
      </c>
      <c r="B576" s="605" t="n">
        <v>568</v>
      </c>
      <c r="C576" s="384" t="inlineStr">
        <is>
          <t>2009Q</t>
        </is>
      </c>
      <c r="D576" s="605" t="inlineStr">
        <is>
          <t xml:space="preserve">01142-01-027-000 </t>
        </is>
      </c>
      <c r="E576" s="407" t="inlineStr">
        <is>
          <t>Actual</t>
        </is>
      </c>
      <c r="F576" s="605" t="inlineStr">
        <is>
          <t>5555   JOLIET               ST</t>
        </is>
      </c>
      <c r="G576" s="392" t="n">
        <v>44.2</v>
      </c>
      <c r="H576" s="378" t="n">
        <v>9102</v>
      </c>
      <c r="I576" s="403" t="n">
        <v>0</v>
      </c>
      <c r="J576" s="404" t="n">
        <v>96836</v>
      </c>
      <c r="K576" s="408" t="n">
        <v>3.9702486678508</v>
      </c>
      <c r="L576" s="409" t="n">
        <v>0</v>
      </c>
      <c r="M576" s="409" t="n">
        <v>0</v>
      </c>
      <c r="N576" s="378" t="n">
        <v>1996</v>
      </c>
      <c r="O576" s="393" t="n">
        <v>9601</v>
      </c>
      <c r="Q576" s="605" t="n">
        <v>26</v>
      </c>
      <c r="R576" s="605" t="n">
        <v>14</v>
      </c>
      <c r="S576" s="605" t="n">
        <v>1</v>
      </c>
      <c r="T576" s="403" t="inlineStr">
        <is>
          <t xml:space="preserve">I2   </t>
        </is>
      </c>
      <c r="U576" s="403" t="n">
        <v>398</v>
      </c>
      <c r="V576" s="404" t="n">
        <v>314024</v>
      </c>
      <c r="W576" s="404" t="n">
        <v>310000</v>
      </c>
      <c r="X576" s="410" t="inlineStr">
        <is>
          <t>3.2:1</t>
        </is>
      </c>
      <c r="Y576" s="404">
        <f>ROUND(J576,-4)</f>
        <v/>
      </c>
      <c r="Z576" s="403" t="inlineStr">
        <is>
          <t xml:space="preserve">C </t>
        </is>
      </c>
      <c r="AA576" s="605" t="n">
        <v>3</v>
      </c>
      <c r="AB576" s="605" t="n">
        <v>3</v>
      </c>
      <c r="AC576" s="378" t="inlineStr">
        <is>
          <t>33</t>
        </is>
      </c>
      <c r="AD576" s="384" t="inlineStr">
        <is>
          <t xml:space="preserve">ADAM WHOLESALERS    </t>
        </is>
      </c>
      <c r="AE576" s="145" t="n"/>
      <c r="AF576" s="145" t="n"/>
      <c r="AG576" s="145" t="n"/>
      <c r="AH576" s="145" t="n"/>
      <c r="AI576" s="145" t="n"/>
      <c r="AJ576" s="145" t="n"/>
      <c r="AK576" s="145" t="inlineStr">
        <is>
          <t xml:space="preserve">S-T WHSE.                                                         </t>
        </is>
      </c>
      <c r="AL576" s="605">
        <f>IF(AND(ISNUMBER($S576),$S576&gt;0,ISNUMBER($K576),ISNUMBER($J576)),($K576*$J576)/$S576,"")</f>
        <v/>
      </c>
    </row>
    <row r="577" ht="12.75" customHeight="1" s="545">
      <c r="A577" s="388" t="n">
        <v>8</v>
      </c>
      <c r="B577" s="605" t="n">
        <v>569</v>
      </c>
      <c r="C577" s="384" t="inlineStr">
        <is>
          <t>2009Q</t>
        </is>
      </c>
      <c r="D577" s="605" t="inlineStr">
        <is>
          <t xml:space="preserve">01142-02-007-000 </t>
        </is>
      </c>
      <c r="E577" s="407" t="inlineStr">
        <is>
          <t>Actual</t>
        </is>
      </c>
      <c r="F577" s="605" t="inlineStr">
        <is>
          <t>5353   JOLIET               ST</t>
        </is>
      </c>
      <c r="G577" s="392" t="n">
        <v>44.2</v>
      </c>
      <c r="H577" s="378" t="n">
        <v>9102</v>
      </c>
      <c r="I577" s="403" t="n">
        <v>0</v>
      </c>
      <c r="J577" s="404" t="n">
        <v>22144</v>
      </c>
      <c r="K577" s="408" t="n">
        <v>7.58670520231214</v>
      </c>
      <c r="L577" s="409" t="n">
        <v>0</v>
      </c>
      <c r="M577" s="409" t="n">
        <v>0</v>
      </c>
      <c r="N577" s="378" t="n">
        <v>1980</v>
      </c>
      <c r="O577" s="393" t="n">
        <v>4080</v>
      </c>
      <c r="Q577" s="605" t="n">
        <v>21</v>
      </c>
      <c r="R577" s="605" t="n">
        <v>3</v>
      </c>
      <c r="S577" s="605" t="n">
        <v>1</v>
      </c>
      <c r="T577" s="403" t="inlineStr">
        <is>
          <t xml:space="preserve">I2   </t>
        </is>
      </c>
      <c r="U577" s="403" t="n">
        <v>398</v>
      </c>
      <c r="V577" s="404" t="n">
        <v>61688</v>
      </c>
      <c r="W577" s="404" t="n">
        <v>60000</v>
      </c>
      <c r="X577" s="410" t="inlineStr">
        <is>
          <t>2.8:1</t>
        </is>
      </c>
      <c r="Y577" s="404">
        <f>ROUND(J577,-3)</f>
        <v/>
      </c>
      <c r="Z577" s="403" t="inlineStr">
        <is>
          <t xml:space="preserve">C </t>
        </is>
      </c>
      <c r="AA577" s="605" t="n">
        <v>3</v>
      </c>
      <c r="AB577" s="605" t="n">
        <v>3</v>
      </c>
      <c r="AC577" s="378" t="inlineStr">
        <is>
          <t>33</t>
        </is>
      </c>
      <c r="AD577" s="384" t="n"/>
      <c r="AE577" s="145" t="n"/>
      <c r="AF577" s="145" t="n"/>
      <c r="AG577" s="145" t="n"/>
      <c r="AH577" s="145" t="n"/>
      <c r="AI577" s="145" t="n"/>
      <c r="AJ577" s="145" t="n"/>
      <c r="AK577" s="145" t="inlineStr">
        <is>
          <t xml:space="preserve">S-T WHSE.                                                         </t>
        </is>
      </c>
      <c r="AL577" s="605">
        <f>IF(AND(ISNUMBER($S577),$S577&gt;0,ISNUMBER($K577),ISNUMBER($J577)),($K577*$J577)/$S577,"")</f>
        <v/>
      </c>
    </row>
    <row r="578" ht="12.75" customHeight="1" s="545">
      <c r="A578" s="388" t="n">
        <v>8</v>
      </c>
      <c r="B578" s="605" t="n">
        <v>570</v>
      </c>
      <c r="C578" s="384" t="inlineStr">
        <is>
          <t>2009W</t>
        </is>
      </c>
      <c r="D578" s="605" t="inlineStr">
        <is>
          <t>01142-03-002-000</t>
        </is>
      </c>
      <c r="E578" s="407" t="inlineStr">
        <is>
          <t>Actual</t>
        </is>
      </c>
      <c r="F578" s="605" t="inlineStr">
        <is>
          <t>11175 E 55th Ave</t>
        </is>
      </c>
      <c r="G578" s="392" t="n">
        <v>44.2</v>
      </c>
      <c r="H578" s="378" t="n">
        <v>9102</v>
      </c>
      <c r="I578" s="403" t="n">
        <v>0</v>
      </c>
      <c r="J578" s="404" t="n">
        <v>236800</v>
      </c>
      <c r="K578" s="408">
        <f>870223/J578</f>
        <v/>
      </c>
      <c r="L578" s="409" t="n">
        <v>0.35</v>
      </c>
      <c r="M578" s="409">
        <f>(870223-843917)/870223</f>
        <v/>
      </c>
      <c r="N578" s="378" t="n">
        <v>1996</v>
      </c>
      <c r="O578" s="393" t="n">
        <v>10121</v>
      </c>
      <c r="Q578" s="605" t="n">
        <v>32</v>
      </c>
      <c r="R578" s="605" t="n">
        <v>14</v>
      </c>
      <c r="S578" s="605" t="n">
        <v>5</v>
      </c>
      <c r="T578" s="403" t="inlineStr">
        <is>
          <t>I2</t>
        </is>
      </c>
      <c r="U578" s="403" t="n">
        <v>398</v>
      </c>
      <c r="V578" s="404" t="n">
        <v>492234</v>
      </c>
      <c r="W578" s="404" t="n">
        <v>500000</v>
      </c>
      <c r="X578" s="410">
        <f>5/2</f>
        <v/>
      </c>
      <c r="Y578" s="404" t="n">
        <v>200000</v>
      </c>
      <c r="Z578" s="403" t="inlineStr">
        <is>
          <t>B</t>
        </is>
      </c>
      <c r="AA578" s="605" t="n">
        <v>3</v>
      </c>
      <c r="AB578" s="605" t="n">
        <v>3</v>
      </c>
      <c r="AC578" s="378" t="n">
        <v>33</v>
      </c>
      <c r="AD578" s="384" t="inlineStr">
        <is>
          <t>Denver Buss Ctr #5</t>
        </is>
      </c>
      <c r="AE578" s="145" t="n">
        <v>3.67</v>
      </c>
      <c r="AF578" s="145" t="n"/>
      <c r="AG578" s="145">
        <f>843917/236800</f>
        <v/>
      </c>
      <c r="AH578" s="145">
        <f>AE578-AG578</f>
        <v/>
      </c>
      <c r="AI578" s="145" t="n"/>
      <c r="AJ578" s="145" t="n"/>
      <c r="AK578" s="145" t="inlineStr">
        <is>
          <t xml:space="preserve">ProLogis multi-tenant excess vacancy </t>
        </is>
      </c>
      <c r="AL578" s="605">
        <f>IF(AND(ISNUMBER($S578),$S578&gt;0,ISNUMBER($K578),ISNUMBER($J578)),($K578*$J578)/$S578,"")</f>
        <v/>
      </c>
    </row>
    <row r="579" ht="12.75" customHeight="1" s="545">
      <c r="A579" s="388" t="n">
        <v>8</v>
      </c>
      <c r="B579" s="605" t="n">
        <v>571</v>
      </c>
      <c r="C579" s="384" t="inlineStr">
        <is>
          <t>2009Q</t>
        </is>
      </c>
      <c r="D579" s="605" t="inlineStr">
        <is>
          <t xml:space="preserve">01142-03-011-000 </t>
        </is>
      </c>
      <c r="E579" s="407" t="inlineStr">
        <is>
          <t>Actual</t>
        </is>
      </c>
      <c r="F579" s="605" t="inlineStr">
        <is>
          <t>5550   JOLIET               ST</t>
        </is>
      </c>
      <c r="G579" s="392" t="n">
        <v>44.2</v>
      </c>
      <c r="H579" s="378" t="n">
        <v>9102</v>
      </c>
      <c r="I579" s="403" t="n">
        <v>0</v>
      </c>
      <c r="J579" s="404" t="n">
        <v>19715</v>
      </c>
      <c r="K579" s="408" t="n">
        <v>5.96500126807</v>
      </c>
      <c r="L579" s="409" t="n">
        <v>0</v>
      </c>
      <c r="M579" s="409" t="n">
        <v>0</v>
      </c>
      <c r="N579" s="378" t="n">
        <v>1985</v>
      </c>
      <c r="O579" s="393">
        <f>2371+1772</f>
        <v/>
      </c>
      <c r="Q579" s="605" t="n">
        <v>26</v>
      </c>
      <c r="R579" s="605" t="n">
        <v>3</v>
      </c>
      <c r="S579" s="605" t="n">
        <v>1</v>
      </c>
      <c r="T579" s="403" t="inlineStr">
        <is>
          <t xml:space="preserve">I2   </t>
        </is>
      </c>
      <c r="U579" s="403" t="n">
        <v>398</v>
      </c>
      <c r="V579" s="404" t="n">
        <v>46294</v>
      </c>
      <c r="W579" s="404" t="n">
        <v>46000</v>
      </c>
      <c r="X579" s="410" t="inlineStr">
        <is>
          <t>2.3:1</t>
        </is>
      </c>
      <c r="Y579" s="404">
        <f>ROUND(J579,-3)</f>
        <v/>
      </c>
      <c r="Z579" s="403" t="inlineStr">
        <is>
          <t xml:space="preserve">C </t>
        </is>
      </c>
      <c r="AA579" s="605" t="n">
        <v>3</v>
      </c>
      <c r="AB579" s="605" t="n">
        <v>3</v>
      </c>
      <c r="AC579" s="378" t="inlineStr">
        <is>
          <t>33</t>
        </is>
      </c>
      <c r="AD579" s="384" t="n"/>
      <c r="AE579" s="145" t="n"/>
      <c r="AF579" s="145" t="n"/>
      <c r="AG579" s="145" t="n"/>
      <c r="AH579" s="145" t="n"/>
      <c r="AI579" s="145" t="n"/>
      <c r="AJ579" s="145" t="n"/>
      <c r="AK579" s="145" t="inlineStr">
        <is>
          <t xml:space="preserve">S-T WHSE.                                                         </t>
        </is>
      </c>
      <c r="AL579" s="605">
        <f>IF(AND(ISNUMBER($S579),$S579&gt;0,ISNUMBER($K579),ISNUMBER($J579)),($K579*$J579)/$S579,"")</f>
        <v/>
      </c>
    </row>
    <row r="580" ht="12.75" customHeight="1" s="545">
      <c r="A580" s="388" t="n">
        <v>8</v>
      </c>
      <c r="B580" s="605" t="n">
        <v>572</v>
      </c>
      <c r="C580" s="384" t="inlineStr">
        <is>
          <t>2009Q</t>
        </is>
      </c>
      <c r="D580" s="605" t="inlineStr">
        <is>
          <t xml:space="preserve">01142-03-014-000 </t>
        </is>
      </c>
      <c r="E580" s="407" t="inlineStr">
        <is>
          <t>Actual</t>
        </is>
      </c>
      <c r="F580" s="605" t="inlineStr">
        <is>
          <t>10975 E 55TH                 AV</t>
        </is>
      </c>
      <c r="G580" s="392" t="n">
        <v>44.2</v>
      </c>
      <c r="H580" s="378" t="n">
        <v>9102</v>
      </c>
      <c r="I580" s="403" t="n">
        <v>0</v>
      </c>
      <c r="J580" s="404" t="n">
        <v>18782</v>
      </c>
      <c r="K580" s="408" t="n">
        <v>4.51160685762965</v>
      </c>
      <c r="L580" s="409" t="n">
        <v>0</v>
      </c>
      <c r="M580" s="409" t="n">
        <v>0</v>
      </c>
      <c r="N580" s="378" t="n">
        <v>1999</v>
      </c>
      <c r="O580" s="393">
        <f>4482+1185</f>
        <v/>
      </c>
      <c r="Q580" s="605" t="n">
        <v>25</v>
      </c>
      <c r="R580" s="605" t="n">
        <v>14</v>
      </c>
      <c r="S580" s="605" t="n">
        <v>5</v>
      </c>
      <c r="T580" s="403" t="inlineStr">
        <is>
          <t xml:space="preserve">I2   </t>
        </is>
      </c>
      <c r="U580" s="403" t="n">
        <v>398</v>
      </c>
      <c r="V580" s="404" t="n">
        <v>87567</v>
      </c>
      <c r="W580" s="404" t="n">
        <v>90000</v>
      </c>
      <c r="X580" s="410" t="inlineStr">
        <is>
          <t>2.4:1</t>
        </is>
      </c>
      <c r="Y580" s="404">
        <f>ROUND(J580,-3)</f>
        <v/>
      </c>
      <c r="Z580" s="403" t="inlineStr">
        <is>
          <t xml:space="preserve">C </t>
        </is>
      </c>
      <c r="AA580" s="605" t="n">
        <v>3</v>
      </c>
      <c r="AB580" s="605" t="n">
        <v>3</v>
      </c>
      <c r="AC580" s="378" t="inlineStr">
        <is>
          <t>33</t>
        </is>
      </c>
      <c r="AD580" s="384" t="inlineStr">
        <is>
          <t xml:space="preserve">M-W                 </t>
        </is>
      </c>
      <c r="AE580" s="145" t="n"/>
      <c r="AF580" s="145" t="n"/>
      <c r="AG580" s="145" t="n"/>
      <c r="AH580" s="145" t="n"/>
      <c r="AI580" s="145" t="n"/>
      <c r="AJ580" s="145" t="n"/>
      <c r="AK580" s="145" t="inlineStr">
        <is>
          <t xml:space="preserve">M-T WHSE.                                                         </t>
        </is>
      </c>
      <c r="AL580" s="605">
        <f>IF(AND(ISNUMBER($S580),$S580&gt;0,ISNUMBER($K580),ISNUMBER($J580)),($K580*$J580)/$S580,"")</f>
        <v/>
      </c>
    </row>
    <row r="581" ht="12.75" customHeight="1" s="545">
      <c r="A581" s="388" t="n">
        <v>8</v>
      </c>
      <c r="B581" s="605" t="n">
        <v>573</v>
      </c>
      <c r="C581" s="384" t="inlineStr">
        <is>
          <t>2009Q</t>
        </is>
      </c>
      <c r="D581" s="605" t="inlineStr">
        <is>
          <t xml:space="preserve">01142-05-004-000 </t>
        </is>
      </c>
      <c r="E581" s="407" t="inlineStr">
        <is>
          <t>Actual</t>
        </is>
      </c>
      <c r="F581" s="605" t="inlineStr">
        <is>
          <t>5280   JOLIET               ST</t>
        </is>
      </c>
      <c r="G581" s="392" t="n">
        <v>44.2</v>
      </c>
      <c r="H581" s="378" t="n">
        <v>9102</v>
      </c>
      <c r="I581" s="403" t="n">
        <v>0</v>
      </c>
      <c r="J581" s="404" t="n">
        <v>83072</v>
      </c>
      <c r="K581" s="408" t="n">
        <v>3.9160126155624</v>
      </c>
      <c r="L581" s="409" t="n">
        <v>0</v>
      </c>
      <c r="M581" s="409" t="n">
        <v>0.0332112962672643</v>
      </c>
      <c r="N581" s="378" t="n">
        <v>1984</v>
      </c>
      <c r="O581" s="393">
        <f>499+1123+9724</f>
        <v/>
      </c>
      <c r="P581" s="393">
        <f>2092+14006</f>
        <v/>
      </c>
      <c r="Q581" s="605" t="n">
        <v>25</v>
      </c>
      <c r="R581" s="605" t="n">
        <v>10</v>
      </c>
      <c r="S581" s="605" t="n">
        <v>1</v>
      </c>
      <c r="T581" s="403" t="inlineStr">
        <is>
          <t xml:space="preserve">I2   </t>
        </is>
      </c>
      <c r="U581" s="403" t="n">
        <v>398</v>
      </c>
      <c r="V581" s="404" t="n">
        <v>174895</v>
      </c>
      <c r="W581" s="404" t="n">
        <v>170000</v>
      </c>
      <c r="X581" s="410" t="inlineStr">
        <is>
          <t>2.1:1</t>
        </is>
      </c>
      <c r="Y581" s="404">
        <f>ROUND(J581,-4)</f>
        <v/>
      </c>
      <c r="Z581" s="403" t="inlineStr">
        <is>
          <t xml:space="preserve">C </t>
        </is>
      </c>
      <c r="AA581" s="605" t="n">
        <v>3</v>
      </c>
      <c r="AB581" s="605" t="n">
        <v>3</v>
      </c>
      <c r="AC581" s="378" t="inlineStr">
        <is>
          <t>33</t>
        </is>
      </c>
      <c r="AD581" s="384" t="inlineStr">
        <is>
          <t xml:space="preserve">DIST/WHSE OFC DEPOT </t>
        </is>
      </c>
      <c r="AE581" s="145" t="n"/>
      <c r="AF581" s="145" t="n"/>
      <c r="AG581" s="145" t="n"/>
      <c r="AH581" s="145" t="n"/>
      <c r="AI581" s="145" t="n"/>
      <c r="AJ581" s="145" t="n"/>
      <c r="AK581" s="145" t="inlineStr">
        <is>
          <t xml:space="preserve">S-T WHS; OFFICE DEPOT; 2003 LEASE.                                </t>
        </is>
      </c>
      <c r="AL581" s="605">
        <f>IF(AND(ISNUMBER($S581),$S581&gt;0,ISNUMBER($K581),ISNUMBER($J581)),($K581*$J581)/$S581,"")</f>
        <v/>
      </c>
    </row>
    <row r="582" ht="12.75" customHeight="1" s="545">
      <c r="A582" s="388" t="n">
        <v>8</v>
      </c>
      <c r="B582" s="605" t="n">
        <v>574</v>
      </c>
      <c r="C582" s="384" t="inlineStr">
        <is>
          <t>2009Q</t>
        </is>
      </c>
      <c r="D582" s="605" t="inlineStr">
        <is>
          <t xml:space="preserve">01142-05-006-000 </t>
        </is>
      </c>
      <c r="E582" s="407" t="inlineStr">
        <is>
          <t>Actual</t>
        </is>
      </c>
      <c r="F582" s="605" t="inlineStr">
        <is>
          <t>11000 E 53RD                 AV</t>
        </is>
      </c>
      <c r="G582" s="392" t="n">
        <v>44.2</v>
      </c>
      <c r="H582" s="378" t="n">
        <v>9102</v>
      </c>
      <c r="I582" s="403" t="n">
        <v>0</v>
      </c>
      <c r="J582" s="404" t="n">
        <v>24319</v>
      </c>
      <c r="K582" s="408" t="n">
        <v>6.90817879024631</v>
      </c>
      <c r="L582" s="409" t="n">
        <v>0</v>
      </c>
      <c r="M582" s="409" t="n">
        <v>0</v>
      </c>
      <c r="N582" s="378" t="n">
        <v>1983</v>
      </c>
      <c r="O582" s="393" t="n">
        <v>462</v>
      </c>
      <c r="P582" s="393" t="n">
        <v>3519</v>
      </c>
      <c r="Q582" s="605" t="n">
        <v>23</v>
      </c>
      <c r="R582" s="605" t="n">
        <v>7</v>
      </c>
      <c r="S582" s="605" t="n">
        <v>1</v>
      </c>
      <c r="T582" s="403" t="inlineStr">
        <is>
          <t xml:space="preserve">I2   </t>
        </is>
      </c>
      <c r="U582" s="403" t="n">
        <v>398</v>
      </c>
      <c r="V582" s="404" t="n">
        <v>100126</v>
      </c>
      <c r="W582" s="404" t="n">
        <v>100000</v>
      </c>
      <c r="X582" s="410" t="inlineStr">
        <is>
          <t>4.1:1</t>
        </is>
      </c>
      <c r="Y582" s="404">
        <f>ROUND(J582,-3)</f>
        <v/>
      </c>
      <c r="Z582" s="403" t="inlineStr">
        <is>
          <t xml:space="preserve">C </t>
        </is>
      </c>
      <c r="AA582" s="605" t="n">
        <v>3</v>
      </c>
      <c r="AB582" s="605" t="n">
        <v>3</v>
      </c>
      <c r="AC582" s="378" t="inlineStr">
        <is>
          <t>33</t>
        </is>
      </c>
      <c r="AD582" s="384" t="inlineStr">
        <is>
          <t xml:space="preserve">KEY PRODUCTS        </t>
        </is>
      </c>
      <c r="AE582" s="145" t="n"/>
      <c r="AF582" s="145" t="n"/>
      <c r="AG582" s="145" t="n"/>
      <c r="AH582" s="145" t="n"/>
      <c r="AI582" s="145" t="n"/>
      <c r="AJ582" s="145" t="n"/>
      <c r="AK582" s="145" t="inlineStr">
        <is>
          <t xml:space="preserve">S-T WHSE.                                                         </t>
        </is>
      </c>
      <c r="AL582" s="605">
        <f>IF(AND(ISNUMBER($S582),$S582&gt;0,ISNUMBER($K582),ISNUMBER($J582)),($K582*$J582)/$S582,"")</f>
        <v/>
      </c>
    </row>
    <row r="583" ht="12.75" customHeight="1" s="545">
      <c r="A583" s="388" t="n">
        <v>8</v>
      </c>
      <c r="B583" s="605" t="n">
        <v>575</v>
      </c>
      <c r="C583" s="384" t="inlineStr">
        <is>
          <t>2009Q</t>
        </is>
      </c>
      <c r="D583" s="605" t="inlineStr">
        <is>
          <t xml:space="preserve">01143-01-010-000 </t>
        </is>
      </c>
      <c r="E583" s="407" t="inlineStr">
        <is>
          <t>Actual</t>
        </is>
      </c>
      <c r="F583" s="605" t="inlineStr">
        <is>
          <t>10705 E 51ST                 AV</t>
        </is>
      </c>
      <c r="G583" s="392" t="n">
        <v>44.2</v>
      </c>
      <c r="H583" s="378" t="n">
        <v>9102</v>
      </c>
      <c r="I583" s="403" t="n">
        <v>0</v>
      </c>
      <c r="J583" s="404" t="n">
        <v>48000</v>
      </c>
      <c r="K583" s="408" t="n">
        <v>4.84964583333333</v>
      </c>
      <c r="L583" s="409" t="n">
        <v>0.5</v>
      </c>
      <c r="M583" s="409" t="n">
        <v>0.0530880691459428</v>
      </c>
      <c r="N583" s="378" t="n">
        <v>1973</v>
      </c>
      <c r="O583" s="393" t="n">
        <v>5467</v>
      </c>
      <c r="Q583" s="605" t="n">
        <v>26</v>
      </c>
      <c r="R583" s="605" t="n">
        <v>10</v>
      </c>
      <c r="S583" s="605" t="n">
        <v>3</v>
      </c>
      <c r="T583" s="403" t="inlineStr">
        <is>
          <t xml:space="preserve">I2   </t>
        </is>
      </c>
      <c r="U583" s="403" t="n">
        <v>398</v>
      </c>
      <c r="V583" s="404" t="n">
        <v>104089</v>
      </c>
      <c r="W583" s="404" t="n">
        <v>100000</v>
      </c>
      <c r="X583" s="410" t="inlineStr">
        <is>
          <t>2.2:1</t>
        </is>
      </c>
      <c r="Y583" s="404">
        <f>ROUND(J583,-3)</f>
        <v/>
      </c>
      <c r="Z583" s="403" t="inlineStr">
        <is>
          <t xml:space="preserve">C </t>
        </is>
      </c>
      <c r="AA583" s="605" t="n">
        <v>3</v>
      </c>
      <c r="AB583" s="605" t="n">
        <v>3</v>
      </c>
      <c r="AC583" s="378" t="inlineStr">
        <is>
          <t>33</t>
        </is>
      </c>
      <c r="AD583" s="384" t="inlineStr">
        <is>
          <t>M-W DIST &amp; WHOLESALE</t>
        </is>
      </c>
      <c r="AE583" s="145" t="n"/>
      <c r="AF583" s="145" t="n"/>
      <c r="AG583" s="145" t="n"/>
      <c r="AH583" s="145" t="n"/>
      <c r="AI583" s="145" t="n"/>
      <c r="AJ583" s="145" t="n"/>
      <c r="AK583" s="145" t="inlineStr">
        <is>
          <t xml:space="preserve">M-T WHSE.                                                         </t>
        </is>
      </c>
      <c r="AL583" s="605">
        <f>IF(AND(ISNUMBER($S583),$S583&gt;0,ISNUMBER($K583),ISNUMBER($J583)),($K583*$J583)/$S583,"")</f>
        <v/>
      </c>
    </row>
    <row r="584" ht="12.75" customHeight="1" s="545">
      <c r="A584" s="388" t="n">
        <v>8</v>
      </c>
      <c r="B584" s="605" t="n">
        <v>576</v>
      </c>
      <c r="C584" s="384" t="inlineStr">
        <is>
          <t>2009Q</t>
        </is>
      </c>
      <c r="D584" s="605" t="inlineStr">
        <is>
          <t xml:space="preserve">01143-03-024-000 </t>
        </is>
      </c>
      <c r="E584" s="407" t="inlineStr">
        <is>
          <t>Actual</t>
        </is>
      </c>
      <c r="F584" s="605" t="inlineStr">
        <is>
          <t>4890   IRONTON              ST</t>
        </is>
      </c>
      <c r="G584" s="392" t="n">
        <v>44.2</v>
      </c>
      <c r="H584" s="378" t="n">
        <v>9102</v>
      </c>
      <c r="I584" s="403" t="n">
        <v>0</v>
      </c>
      <c r="J584" s="404" t="n">
        <v>57300</v>
      </c>
      <c r="K584" s="408" t="n">
        <v>6.58970331588133</v>
      </c>
      <c r="L584" s="409" t="n">
        <v>0</v>
      </c>
      <c r="M584" s="409" t="n">
        <v>0.198861198654625</v>
      </c>
      <c r="N584" s="378" t="n">
        <v>1973</v>
      </c>
      <c r="O584" s="393" t="n">
        <v>14305</v>
      </c>
      <c r="Q584" s="605" t="n">
        <v>14</v>
      </c>
      <c r="R584" s="605" t="n">
        <v>10</v>
      </c>
      <c r="S584" s="605" t="n">
        <v>7</v>
      </c>
      <c r="T584" s="403" t="inlineStr">
        <is>
          <t xml:space="preserve">I2   </t>
        </is>
      </c>
      <c r="U584" s="403" t="n">
        <v>397</v>
      </c>
      <c r="V584" s="404" t="n">
        <v>169147</v>
      </c>
      <c r="W584" s="404" t="n">
        <v>170000</v>
      </c>
      <c r="X584" s="410" t="inlineStr">
        <is>
          <t>3.0:1</t>
        </is>
      </c>
      <c r="Y584" s="404">
        <f>ROUND(J584,-4)</f>
        <v/>
      </c>
      <c r="Z584" s="403" t="inlineStr">
        <is>
          <t xml:space="preserve">C </t>
        </is>
      </c>
      <c r="AA584" s="605" t="n">
        <v>3</v>
      </c>
      <c r="AB584" s="605" t="n">
        <v>3</v>
      </c>
      <c r="AC584" s="378" t="inlineStr">
        <is>
          <t>33</t>
        </is>
      </c>
      <c r="AD584" s="384" t="inlineStr">
        <is>
          <t xml:space="preserve">OFC/WHSE MULIT-TEN  </t>
        </is>
      </c>
      <c r="AE584" s="145" t="n"/>
      <c r="AF584" s="145" t="n"/>
      <c r="AG584" s="145" t="n"/>
      <c r="AH584" s="145" t="n"/>
      <c r="AI584" s="145" t="n"/>
      <c r="AJ584" s="145" t="n"/>
      <c r="AK584" s="145" t="inlineStr">
        <is>
          <t xml:space="preserve">M-T WHSE; 17 TENANTS; LEASES 1995-2008.                           </t>
        </is>
      </c>
      <c r="AL584" s="605">
        <f>IF(AND(ISNUMBER($S584),$S584&gt;0,ISNUMBER($K584),ISNUMBER($J584)),($K584*$J584)/$S584,"")</f>
        <v/>
      </c>
    </row>
    <row r="585" ht="12.75" customHeight="1" s="545">
      <c r="A585" s="388" t="n">
        <v>8</v>
      </c>
      <c r="B585" s="605" t="n">
        <v>577</v>
      </c>
      <c r="C585" s="384" t="inlineStr">
        <is>
          <t>2009Q</t>
        </is>
      </c>
      <c r="D585" s="605" t="inlineStr">
        <is>
          <t xml:space="preserve">01143-04-005-000 </t>
        </is>
      </c>
      <c r="E585" s="407" t="inlineStr">
        <is>
          <t>Actual</t>
        </is>
      </c>
      <c r="F585" s="605" t="inlineStr">
        <is>
          <t>4901   IRONTON              ST</t>
        </is>
      </c>
      <c r="G585" s="392" t="n">
        <v>44.2</v>
      </c>
      <c r="H585" s="378" t="n">
        <v>9102</v>
      </c>
      <c r="I585" s="403" t="n">
        <v>0</v>
      </c>
      <c r="J585" s="404" t="n">
        <v>25095</v>
      </c>
      <c r="K585" s="408" t="n">
        <v>2.05487148834429</v>
      </c>
      <c r="L585" s="409" t="n">
        <v>0</v>
      </c>
      <c r="M585" s="409" t="n">
        <v>0.356817344425699</v>
      </c>
      <c r="N585" s="378" t="n">
        <v>1969</v>
      </c>
      <c r="O585" s="393" t="n">
        <v>2430</v>
      </c>
      <c r="Q585" s="605" t="n">
        <v>24</v>
      </c>
      <c r="R585" s="605" t="n">
        <v>7</v>
      </c>
      <c r="S585" s="605" t="n">
        <v>1</v>
      </c>
      <c r="T585" s="403" t="inlineStr">
        <is>
          <t xml:space="preserve">I2   </t>
        </is>
      </c>
      <c r="U585" s="403" t="n">
        <v>398</v>
      </c>
      <c r="V585" s="404" t="n">
        <v>72790</v>
      </c>
      <c r="W585" s="404" t="n">
        <v>70000</v>
      </c>
      <c r="X585" s="410" t="inlineStr">
        <is>
          <t>1.5:1</t>
        </is>
      </c>
      <c r="Y585" s="404">
        <f>ROUND(J585,-3)</f>
        <v/>
      </c>
      <c r="Z585" s="403" t="inlineStr">
        <is>
          <t xml:space="preserve">C </t>
        </is>
      </c>
      <c r="AA585" s="605" t="n">
        <v>2</v>
      </c>
      <c r="AB585" s="605" t="n">
        <v>3</v>
      </c>
      <c r="AC585" s="378" t="inlineStr">
        <is>
          <t>23</t>
        </is>
      </c>
      <c r="AD585" s="384" t="inlineStr">
        <is>
          <t xml:space="preserve">MAN T-SHIRTS        </t>
        </is>
      </c>
      <c r="AE585" s="145" t="n"/>
      <c r="AF585" s="145" t="n"/>
      <c r="AG585" s="145" t="n"/>
      <c r="AH585" s="145" t="n"/>
      <c r="AI585" s="145" t="n"/>
      <c r="AJ585" s="145" t="n"/>
      <c r="AK585" s="145" t="inlineStr">
        <is>
          <t xml:space="preserve">M-T WHSE; 3 TENANTS                                               </t>
        </is>
      </c>
      <c r="AL585" s="605">
        <f>IF(AND(ISNUMBER($S585),$S585&gt;0,ISNUMBER($K585),ISNUMBER($J585)),($K585*$J585)/$S585,"")</f>
        <v/>
      </c>
    </row>
    <row r="586" ht="12.75" customHeight="1" s="545">
      <c r="A586" s="388" t="n">
        <v>8</v>
      </c>
      <c r="B586" s="605" t="n">
        <v>578</v>
      </c>
      <c r="C586" s="384" t="inlineStr">
        <is>
          <t>2009Q</t>
        </is>
      </c>
      <c r="D586" s="605" t="inlineStr">
        <is>
          <t xml:space="preserve">01143-04-033-000 </t>
        </is>
      </c>
      <c r="E586" s="407" t="inlineStr">
        <is>
          <t>Actual</t>
        </is>
      </c>
      <c r="F586" s="605" t="inlineStr">
        <is>
          <t>5040   HAVANA               ST</t>
        </is>
      </c>
      <c r="G586" s="392" t="n">
        <v>44.2</v>
      </c>
      <c r="H586" s="378" t="n">
        <v>9102</v>
      </c>
      <c r="I586" s="403" t="n">
        <v>0</v>
      </c>
      <c r="J586" s="404" t="n">
        <v>10604</v>
      </c>
      <c r="K586" s="408" t="n">
        <v>8.487363259147489</v>
      </c>
      <c r="L586" s="409" t="n">
        <v>0</v>
      </c>
      <c r="M586" s="409" t="n">
        <v>0</v>
      </c>
      <c r="N586" s="378" t="n">
        <v>1994</v>
      </c>
      <c r="O586" s="393" t="n">
        <v>3059</v>
      </c>
      <c r="Q586" s="605" t="n">
        <v>21</v>
      </c>
      <c r="R586" s="605" t="n">
        <v>6</v>
      </c>
      <c r="S586" s="605" t="n">
        <v>2</v>
      </c>
      <c r="T586" s="403" t="inlineStr">
        <is>
          <t xml:space="preserve">I2   </t>
        </is>
      </c>
      <c r="U586" s="403" t="n">
        <v>332</v>
      </c>
      <c r="V586" s="404" t="n">
        <v>56150</v>
      </c>
      <c r="W586" s="404" t="n">
        <v>60000</v>
      </c>
      <c r="X586" s="410" t="inlineStr">
        <is>
          <t>5.3:1</t>
        </is>
      </c>
      <c r="Y586" s="404">
        <f>ROUND(J586,-3)</f>
        <v/>
      </c>
      <c r="Z586" s="403" t="inlineStr">
        <is>
          <t xml:space="preserve">C </t>
        </is>
      </c>
      <c r="AA586" s="605" t="n">
        <v>3</v>
      </c>
      <c r="AB586" s="605" t="n">
        <v>3</v>
      </c>
      <c r="AC586" s="378" t="n">
        <v>33</v>
      </c>
      <c r="AD586" s="384" t="n"/>
      <c r="AE586" s="145" t="n"/>
      <c r="AF586" s="145" t="n"/>
      <c r="AG586" s="145" t="n"/>
      <c r="AH586" s="145" t="n"/>
      <c r="AI586" s="145" t="n"/>
      <c r="AJ586" s="145" t="n"/>
      <c r="AK586" s="145" t="n"/>
      <c r="AL586" s="605">
        <f>IF(AND(ISNUMBER($S586),$S586&gt;0,ISNUMBER($K586),ISNUMBER($J586)),($K586*$J586)/$S586,"")</f>
        <v/>
      </c>
    </row>
    <row r="587" ht="12.75" customHeight="1" s="545">
      <c r="A587" s="388" t="n">
        <v>8</v>
      </c>
      <c r="B587" s="605" t="n">
        <v>579</v>
      </c>
      <c r="C587" s="384" t="inlineStr">
        <is>
          <t>2009Q</t>
        </is>
      </c>
      <c r="D587" s="605" t="inlineStr">
        <is>
          <t xml:space="preserve">01143-05-010-000 </t>
        </is>
      </c>
      <c r="E587" s="407" t="inlineStr">
        <is>
          <t>Actual</t>
        </is>
      </c>
      <c r="F587" s="605" t="inlineStr">
        <is>
          <t>11001 E 51ST                 AV</t>
        </is>
      </c>
      <c r="G587" s="392" t="n">
        <v>44.2</v>
      </c>
      <c r="H587" s="378" t="n">
        <v>9102</v>
      </c>
      <c r="I587" s="403" t="n">
        <v>0</v>
      </c>
      <c r="J587" s="404" t="n">
        <v>14270</v>
      </c>
      <c r="K587" s="408" t="n">
        <v>6.20882971268395</v>
      </c>
      <c r="L587" s="409" t="n">
        <v>0</v>
      </c>
      <c r="M587" s="409" t="n">
        <v>0.280112866817156</v>
      </c>
      <c r="N587" s="378" t="n">
        <v>1987</v>
      </c>
      <c r="P587" s="393" t="n">
        <v>6822</v>
      </c>
      <c r="Q587" s="605" t="n">
        <v>16</v>
      </c>
      <c r="R587" s="605" t="n">
        <v>3</v>
      </c>
      <c r="S587" s="605" t="n">
        <v>1</v>
      </c>
      <c r="T587" s="403" t="inlineStr">
        <is>
          <t xml:space="preserve">I2   </t>
        </is>
      </c>
      <c r="U587" s="403" t="n">
        <v>397</v>
      </c>
      <c r="V587" s="404" t="n">
        <v>48567</v>
      </c>
      <c r="W587" s="404" t="n">
        <v>49000</v>
      </c>
      <c r="X587" s="410" t="inlineStr">
        <is>
          <t>3.4:1</t>
        </is>
      </c>
      <c r="Y587" s="404">
        <f>ROUND(J587,-3)</f>
        <v/>
      </c>
      <c r="Z587" s="403" t="inlineStr">
        <is>
          <t xml:space="preserve">C </t>
        </is>
      </c>
      <c r="AA587" s="605" t="n">
        <v>3</v>
      </c>
      <c r="AB587" s="605" t="n">
        <v>3</v>
      </c>
      <c r="AC587" s="378" t="inlineStr">
        <is>
          <t>33</t>
        </is>
      </c>
      <c r="AD587" s="384" t="inlineStr">
        <is>
          <t xml:space="preserve">CMI MECHANCIAL      </t>
        </is>
      </c>
      <c r="AE587" s="145" t="n"/>
      <c r="AF587" s="145" t="n"/>
      <c r="AG587" s="145" t="n"/>
      <c r="AH587" s="145" t="n"/>
      <c r="AI587" s="145" t="n"/>
      <c r="AJ587" s="145" t="n"/>
      <c r="AK587" s="145" t="inlineStr">
        <is>
          <t xml:space="preserve">S-T WHSE; 2005 LEASE.                                             </t>
        </is>
      </c>
      <c r="AL587" s="605">
        <f>IF(AND(ISNUMBER($S587),$S587&gt;0,ISNUMBER($K587),ISNUMBER($J587)),($K587*$J587)/$S587,"")</f>
        <v/>
      </c>
    </row>
    <row r="588" ht="12.75" customHeight="1" s="545">
      <c r="A588" s="388" t="n">
        <v>8</v>
      </c>
      <c r="B588" s="605" t="n">
        <v>580</v>
      </c>
      <c r="C588" s="384" t="inlineStr">
        <is>
          <t>2009Q</t>
        </is>
      </c>
      <c r="D588" s="605" t="inlineStr">
        <is>
          <t xml:space="preserve">01143-05-018-000 </t>
        </is>
      </c>
      <c r="E588" s="407" t="inlineStr">
        <is>
          <t>Actual</t>
        </is>
      </c>
      <c r="F588" s="605" t="inlineStr">
        <is>
          <t>11055 E 51ST                 AV</t>
        </is>
      </c>
      <c r="G588" s="392" t="n">
        <v>44.1</v>
      </c>
      <c r="H588" s="378" t="n">
        <v>9102</v>
      </c>
      <c r="I588" s="403" t="n">
        <v>0</v>
      </c>
      <c r="J588" s="404" t="n">
        <v>53947</v>
      </c>
      <c r="K588" s="408" t="n">
        <v>5.0716443917178</v>
      </c>
      <c r="L588" s="409" t="n">
        <v>0</v>
      </c>
      <c r="M588" s="409" t="n">
        <v>0</v>
      </c>
      <c r="N588" s="378" t="n">
        <v>1999</v>
      </c>
      <c r="O588" s="393" t="n">
        <v>2507</v>
      </c>
      <c r="Q588" s="605" t="n">
        <v>20</v>
      </c>
      <c r="R588" s="605" t="n">
        <v>14</v>
      </c>
      <c r="S588" s="605" t="n">
        <v>1</v>
      </c>
      <c r="T588" s="403" t="inlineStr">
        <is>
          <t xml:space="preserve">I2   </t>
        </is>
      </c>
      <c r="U588" s="403" t="n">
        <v>398</v>
      </c>
      <c r="V588" s="404" t="n">
        <v>74836</v>
      </c>
      <c r="W588" s="404" t="n">
        <v>70000</v>
      </c>
      <c r="X588" s="410" t="inlineStr">
        <is>
          <t>1.4:1</t>
        </is>
      </c>
      <c r="Y588" s="404">
        <f>ROUND(J588,-4)</f>
        <v/>
      </c>
      <c r="Z588" s="403" t="inlineStr">
        <is>
          <t xml:space="preserve">C </t>
        </is>
      </c>
      <c r="AA588" s="605" t="n">
        <v>3</v>
      </c>
      <c r="AB588" s="605" t="n">
        <v>3</v>
      </c>
      <c r="AC588" s="378" t="inlineStr">
        <is>
          <t>33</t>
        </is>
      </c>
      <c r="AD588" s="384" t="inlineStr">
        <is>
          <t xml:space="preserve">DISTRIBUTION WHSE   </t>
        </is>
      </c>
      <c r="AE588" s="145" t="n"/>
      <c r="AF588" s="145" t="n"/>
      <c r="AG588" s="145" t="n"/>
      <c r="AH588" s="145" t="n"/>
      <c r="AI588" s="145" t="n"/>
      <c r="AJ588" s="145" t="n"/>
      <c r="AK588" s="145" t="inlineStr">
        <is>
          <t xml:space="preserve">S-T WHSE.; 2003 LEASE.                                            </t>
        </is>
      </c>
      <c r="AL588" s="605">
        <f>IF(AND(ISNUMBER($S588),$S588&gt;0,ISNUMBER($K588),ISNUMBER($J588)),($K588*$J588)/$S588,"")</f>
        <v/>
      </c>
    </row>
    <row r="589" ht="12.75" customHeight="1" s="545">
      <c r="A589" s="388" t="n">
        <v>8</v>
      </c>
      <c r="B589" s="605" t="n">
        <v>581</v>
      </c>
      <c r="C589" s="384" t="inlineStr">
        <is>
          <t>2009Q</t>
        </is>
      </c>
      <c r="D589" s="605" t="inlineStr">
        <is>
          <t xml:space="preserve">01143-06-008-000 </t>
        </is>
      </c>
      <c r="E589" s="407" t="inlineStr">
        <is>
          <t>Actual</t>
        </is>
      </c>
      <c r="F589" s="605" t="inlineStr">
        <is>
          <t>4999   KINGSTON             ST</t>
        </is>
      </c>
      <c r="G589" s="392" t="n">
        <v>43.2</v>
      </c>
      <c r="H589" s="378" t="n">
        <v>9102</v>
      </c>
      <c r="I589" s="403" t="n">
        <v>0</v>
      </c>
      <c r="J589" s="404" t="n">
        <v>45450</v>
      </c>
      <c r="K589" s="408" t="n">
        <v>5.80858085808581</v>
      </c>
      <c r="L589" s="409" t="n">
        <v>0</v>
      </c>
      <c r="M589" s="409" t="n">
        <v>0</v>
      </c>
      <c r="N589" s="378" t="n">
        <v>1980</v>
      </c>
      <c r="O589" s="393" t="n">
        <v>6453</v>
      </c>
      <c r="Q589" s="605" t="n">
        <v>26</v>
      </c>
      <c r="R589" s="605" t="n">
        <v>10</v>
      </c>
      <c r="S589" s="605" t="n">
        <v>1</v>
      </c>
      <c r="T589" s="403" t="inlineStr">
        <is>
          <t xml:space="preserve">I2   </t>
        </is>
      </c>
      <c r="U589" s="403" t="n">
        <v>401</v>
      </c>
      <c r="V589" s="404" t="n">
        <v>78320</v>
      </c>
      <c r="W589" s="404" t="n">
        <v>80000</v>
      </c>
      <c r="X589" s="410" t="inlineStr">
        <is>
          <t>1.7:1</t>
        </is>
      </c>
      <c r="Y589" s="404">
        <f>ROUND(J589,-3)</f>
        <v/>
      </c>
      <c r="Z589" s="403" t="inlineStr">
        <is>
          <t xml:space="preserve">C </t>
        </is>
      </c>
      <c r="AA589" s="605" t="n">
        <v>3</v>
      </c>
      <c r="AB589" s="605" t="n">
        <v>3</v>
      </c>
      <c r="AC589" s="378" t="inlineStr">
        <is>
          <t>33</t>
        </is>
      </c>
      <c r="AD589" s="384" t="inlineStr">
        <is>
          <t>PRINTINGPLANT/SPRINT</t>
        </is>
      </c>
      <c r="AE589" s="145" t="n"/>
      <c r="AF589" s="145" t="n"/>
      <c r="AG589" s="145" t="n"/>
      <c r="AH589" s="145" t="n"/>
      <c r="AI589" s="145" t="n"/>
      <c r="AJ589" s="145" t="n"/>
      <c r="AK589" s="145" t="inlineStr">
        <is>
          <t xml:space="preserve">S-T WHSE; MAY BE OWNER-OCCUPIED.                                  </t>
        </is>
      </c>
      <c r="AL589" s="605">
        <f>IF(AND(ISNUMBER($S589),$S589&gt;0,ISNUMBER($K589),ISNUMBER($J589)),($K589*$J589)/$S589,"")</f>
        <v/>
      </c>
    </row>
    <row r="590" ht="12.75" customHeight="1" s="545">
      <c r="A590" s="388" t="n">
        <v>8</v>
      </c>
      <c r="B590" s="605" t="n">
        <v>582</v>
      </c>
      <c r="C590" s="384" t="inlineStr">
        <is>
          <t>2009Q</t>
        </is>
      </c>
      <c r="D590" s="605" t="inlineStr">
        <is>
          <t xml:space="preserve">01144-02-008-000 </t>
        </is>
      </c>
      <c r="E590" s="407" t="inlineStr">
        <is>
          <t>Actual</t>
        </is>
      </c>
      <c r="F590" s="605" t="inlineStr">
        <is>
          <t>5055   LIMA                 ST</t>
        </is>
      </c>
      <c r="G590" s="392" t="n">
        <v>44.2</v>
      </c>
      <c r="H590" s="378" t="n">
        <v>9102</v>
      </c>
      <c r="I590" s="403" t="n">
        <v>0</v>
      </c>
      <c r="J590" s="404" t="n">
        <v>39832</v>
      </c>
      <c r="K590" s="408" t="n">
        <v>4.40751154850372</v>
      </c>
      <c r="L590" s="409" t="n">
        <v>0</v>
      </c>
      <c r="M590" s="409" t="n">
        <v>0.322413989519253</v>
      </c>
      <c r="N590" s="378" t="n">
        <v>1978</v>
      </c>
      <c r="O590" s="393">
        <f>114+219</f>
        <v/>
      </c>
      <c r="P590" s="393" t="n">
        <v>3874</v>
      </c>
      <c r="Q590" s="605" t="n">
        <v>26</v>
      </c>
      <c r="R590" s="605" t="n">
        <v>10</v>
      </c>
      <c r="S590" s="605" t="n">
        <v>1</v>
      </c>
      <c r="T590" s="403" t="inlineStr">
        <is>
          <t xml:space="preserve">I2   </t>
        </is>
      </c>
      <c r="U590" s="403" t="n">
        <v>398</v>
      </c>
      <c r="V590" s="404" t="n">
        <v>77488</v>
      </c>
      <c r="W590" s="404" t="n">
        <v>80000</v>
      </c>
      <c r="X590" s="410" t="inlineStr">
        <is>
          <t>1.9:1</t>
        </is>
      </c>
      <c r="Y590" s="404">
        <f>ROUND(J590,-3)</f>
        <v/>
      </c>
      <c r="Z590" s="403" t="inlineStr">
        <is>
          <t xml:space="preserve">C </t>
        </is>
      </c>
      <c r="AA590" s="605" t="n">
        <v>3</v>
      </c>
      <c r="AB590" s="605" t="n">
        <v>3</v>
      </c>
      <c r="AC590" s="378" t="inlineStr">
        <is>
          <t>33</t>
        </is>
      </c>
      <c r="AD590" s="384" t="inlineStr">
        <is>
          <t xml:space="preserve">S-W                 </t>
        </is>
      </c>
      <c r="AE590" s="145" t="n"/>
      <c r="AF590" s="145" t="n"/>
      <c r="AG590" s="145" t="n"/>
      <c r="AH590" s="145" t="n"/>
      <c r="AI590" s="145" t="n"/>
      <c r="AJ590" s="145" t="n"/>
      <c r="AK590" s="145" t="inlineStr">
        <is>
          <t xml:space="preserve">S-T WHSE                                                          </t>
        </is>
      </c>
      <c r="AL590" s="605">
        <f>IF(AND(ISNUMBER($S590),$S590&gt;0,ISNUMBER($K590),ISNUMBER($J590)),($K590*$J590)/$S590,"")</f>
        <v/>
      </c>
    </row>
    <row r="591" ht="12.75" customHeight="1" s="545">
      <c r="A591" s="388" t="n">
        <v>8</v>
      </c>
      <c r="B591" s="605" t="n">
        <v>583</v>
      </c>
      <c r="C591" s="384" t="inlineStr">
        <is>
          <t>2009Q</t>
        </is>
      </c>
      <c r="D591" s="605" t="inlineStr">
        <is>
          <t xml:space="preserve">01144-04-011-000 </t>
        </is>
      </c>
      <c r="E591" s="407" t="inlineStr">
        <is>
          <t>Actual</t>
        </is>
      </c>
      <c r="F591" s="605" t="inlineStr">
        <is>
          <t>5010   PARIS                ST</t>
        </is>
      </c>
      <c r="G591" s="392" t="n">
        <v>44.2</v>
      </c>
      <c r="H591" s="378" t="n">
        <v>9102</v>
      </c>
      <c r="I591" s="403" t="n">
        <v>0</v>
      </c>
      <c r="J591" s="404" t="n">
        <v>14636</v>
      </c>
      <c r="K591" s="408" t="n">
        <v>7.18522820442744</v>
      </c>
      <c r="L591" s="409" t="n">
        <v>0</v>
      </c>
      <c r="M591" s="409" t="n">
        <v>0.30233066763025</v>
      </c>
      <c r="N591" s="378" t="n">
        <v>1981</v>
      </c>
      <c r="O591" s="393" t="n">
        <v>8545</v>
      </c>
      <c r="P591" s="393" t="n">
        <v>1046</v>
      </c>
      <c r="Q591" s="605" t="n">
        <v>20</v>
      </c>
      <c r="R591" s="605" t="n">
        <v>10</v>
      </c>
      <c r="S591" s="605" t="n">
        <v>1</v>
      </c>
      <c r="T591" s="403" t="inlineStr">
        <is>
          <t xml:space="preserve">I0   </t>
        </is>
      </c>
      <c r="U591" s="403" t="n">
        <v>398</v>
      </c>
      <c r="V591" s="404" t="n">
        <v>33200</v>
      </c>
      <c r="W591" s="404" t="n">
        <v>33000</v>
      </c>
      <c r="X591" s="410" t="inlineStr">
        <is>
          <t>2.3:1</t>
        </is>
      </c>
      <c r="Y591" s="404">
        <f>ROUND(J591,-3)</f>
        <v/>
      </c>
      <c r="Z591" s="403" t="inlineStr">
        <is>
          <t xml:space="preserve">C </t>
        </is>
      </c>
      <c r="AA591" s="605" t="n">
        <v>3</v>
      </c>
      <c r="AB591" s="605" t="n">
        <v>3</v>
      </c>
      <c r="AC591" s="378" t="inlineStr">
        <is>
          <t>33</t>
        </is>
      </c>
      <c r="AD591" s="384" t="inlineStr">
        <is>
          <t xml:space="preserve">A T SYSTEMS         </t>
        </is>
      </c>
      <c r="AE591" s="145" t="n"/>
      <c r="AF591" s="145" t="n"/>
      <c r="AG591" s="145" t="n"/>
      <c r="AH591" s="145" t="n"/>
      <c r="AI591" s="145" t="n"/>
      <c r="AJ591" s="145" t="n"/>
      <c r="AK591" s="145" t="inlineStr">
        <is>
          <t xml:space="preserve">S-T WHSE; 2002 LEASE.                                             </t>
        </is>
      </c>
      <c r="AL591" s="605">
        <f>IF(AND(ISNUMBER($S591),$S591&gt;0,ISNUMBER($K591),ISNUMBER($J591)),($K591*$J591)/$S591,"")</f>
        <v/>
      </c>
    </row>
    <row r="592" ht="12.75" customHeight="1" s="545">
      <c r="A592" s="388" t="n">
        <v>8</v>
      </c>
      <c r="B592" s="605" t="n">
        <v>584</v>
      </c>
      <c r="C592" s="384" t="inlineStr">
        <is>
          <t>2009Q</t>
        </is>
      </c>
      <c r="D592" s="605" t="inlineStr">
        <is>
          <t xml:space="preserve">01144-04-020-000 </t>
        </is>
      </c>
      <c r="E592" s="407" t="inlineStr">
        <is>
          <t>Actual</t>
        </is>
      </c>
      <c r="F592" s="605" t="inlineStr">
        <is>
          <t>5090   PARIS                ST</t>
        </is>
      </c>
      <c r="G592" s="392" t="n">
        <v>44.2</v>
      </c>
      <c r="H592" s="378" t="n">
        <v>9102</v>
      </c>
      <c r="I592" s="403" t="n">
        <v>0</v>
      </c>
      <c r="J592" s="404" t="n">
        <v>9376</v>
      </c>
      <c r="K592" s="408" t="n">
        <v>6.93259385665529</v>
      </c>
      <c r="L592" s="409" t="n">
        <v>0</v>
      </c>
      <c r="M592" s="409" t="n">
        <v>0</v>
      </c>
      <c r="N592" s="378" t="n">
        <v>1981</v>
      </c>
      <c r="O592" s="393" t="n">
        <v>1927</v>
      </c>
      <c r="P592" s="393" t="n">
        <v>952</v>
      </c>
      <c r="Q592" s="605" t="n">
        <v>19</v>
      </c>
      <c r="R592" s="605" t="n">
        <v>10</v>
      </c>
      <c r="S592" s="605" t="n">
        <v>1</v>
      </c>
      <c r="T592" s="403" t="inlineStr">
        <is>
          <t xml:space="preserve">I0   </t>
        </is>
      </c>
      <c r="U592" s="403" t="n">
        <v>398</v>
      </c>
      <c r="V592" s="404" t="n">
        <v>27477</v>
      </c>
      <c r="W592" s="404" t="n">
        <v>27000</v>
      </c>
      <c r="X592" s="410" t="inlineStr">
        <is>
          <t>2.9:1</t>
        </is>
      </c>
      <c r="Y592" s="404">
        <f>ROUND(J592,-3)</f>
        <v/>
      </c>
      <c r="Z592" s="403" t="inlineStr">
        <is>
          <t xml:space="preserve">C </t>
        </is>
      </c>
      <c r="AA592" s="605" t="n">
        <v>3</v>
      </c>
      <c r="AB592" s="605" t="n">
        <v>3</v>
      </c>
      <c r="AC592" s="378" t="inlineStr">
        <is>
          <t>33</t>
        </is>
      </c>
      <c r="AD592" s="384" t="n"/>
      <c r="AE592" s="145" t="n"/>
      <c r="AF592" s="145" t="n"/>
      <c r="AG592" s="145" t="n"/>
      <c r="AH592" s="145" t="n"/>
      <c r="AI592" s="145" t="n"/>
      <c r="AJ592" s="145" t="n"/>
      <c r="AK592" s="145" t="inlineStr">
        <is>
          <t xml:space="preserve">S-T WHSE.                                                         </t>
        </is>
      </c>
      <c r="AL592" s="605">
        <f>IF(AND(ISNUMBER($S592),$S592&gt;0,ISNUMBER($K592),ISNUMBER($J592)),($K592*$J592)/$S592,"")</f>
        <v/>
      </c>
    </row>
    <row r="593" ht="12.75" customHeight="1" s="545">
      <c r="A593" s="388" t="n">
        <v>8</v>
      </c>
      <c r="B593" s="605" t="n">
        <v>585</v>
      </c>
      <c r="C593" s="384" t="inlineStr">
        <is>
          <t>2009Q</t>
        </is>
      </c>
      <c r="D593" s="605" t="inlineStr">
        <is>
          <t xml:space="preserve">01144-05-007-000 </t>
        </is>
      </c>
      <c r="E593" s="407" t="inlineStr">
        <is>
          <t>Actual</t>
        </is>
      </c>
      <c r="F593" s="605" t="inlineStr">
        <is>
          <t>5001   OAKLAND              ST</t>
        </is>
      </c>
      <c r="G593" s="392" t="n">
        <v>44.2</v>
      </c>
      <c r="H593" s="378" t="n">
        <v>9102</v>
      </c>
      <c r="I593" s="403" t="n">
        <v>0</v>
      </c>
      <c r="J593" s="404" t="n">
        <v>9800</v>
      </c>
      <c r="K593" s="408" t="n">
        <v>8.19377551020408</v>
      </c>
      <c r="L593" s="409" t="n">
        <v>0</v>
      </c>
      <c r="M593" s="409" t="n">
        <v>0.0339232119951681</v>
      </c>
      <c r="N593" s="378" t="n">
        <v>2004</v>
      </c>
      <c r="O593" s="393" t="n">
        <v>2520</v>
      </c>
      <c r="Q593" s="605" t="n">
        <v>45</v>
      </c>
      <c r="R593" s="605" t="n">
        <v>22</v>
      </c>
      <c r="S593" s="605" t="n">
        <v>1</v>
      </c>
      <c r="T593" s="403" t="inlineStr">
        <is>
          <t xml:space="preserve">I1   </t>
        </is>
      </c>
      <c r="U593" s="403" t="n">
        <v>398</v>
      </c>
      <c r="V593" s="404" t="n">
        <v>42336</v>
      </c>
      <c r="W593" s="404" t="n">
        <v>42000</v>
      </c>
      <c r="X593" s="410" t="inlineStr">
        <is>
          <t>4.3:1</t>
        </is>
      </c>
      <c r="Y593" s="404">
        <f>ROUND(J593,-3)</f>
        <v/>
      </c>
      <c r="Z593" s="403" t="inlineStr">
        <is>
          <t xml:space="preserve">C </t>
        </is>
      </c>
      <c r="AA593" s="605" t="n">
        <v>3</v>
      </c>
      <c r="AB593" s="605" t="n">
        <v>3</v>
      </c>
      <c r="AC593" s="378" t="inlineStr">
        <is>
          <t>33</t>
        </is>
      </c>
      <c r="AD593" s="384" t="inlineStr">
        <is>
          <t>BAKER AUCTION &amp; ESTA</t>
        </is>
      </c>
      <c r="AE593" s="145" t="n"/>
      <c r="AF593" s="145" t="n"/>
      <c r="AG593" s="145" t="n"/>
      <c r="AH593" s="145" t="n"/>
      <c r="AI593" s="145" t="n"/>
      <c r="AJ593" s="145" t="n"/>
      <c r="AK593" s="145" t="inlineStr">
        <is>
          <t xml:space="preserve">S-T WHSE.; 2004 LEASE.                                            </t>
        </is>
      </c>
      <c r="AL593" s="605">
        <f>IF(AND(ISNUMBER($S593),$S593&gt;0,ISNUMBER($K593),ISNUMBER($J593)),($K593*$J593)/$S593,"")</f>
        <v/>
      </c>
    </row>
    <row r="594" ht="12.75" customHeight="1" s="545">
      <c r="A594" s="388" t="n">
        <v>8</v>
      </c>
      <c r="B594" s="605" t="n">
        <v>586</v>
      </c>
      <c r="C594" s="384" t="inlineStr">
        <is>
          <t>2009Q</t>
        </is>
      </c>
      <c r="D594" s="605" t="inlineStr">
        <is>
          <t xml:space="preserve">01144-06-013-000 </t>
        </is>
      </c>
      <c r="E594" s="407" t="inlineStr">
        <is>
          <t>Actual</t>
        </is>
      </c>
      <c r="F594" s="605" t="inlineStr">
        <is>
          <t>4995   PARIS                ST</t>
        </is>
      </c>
      <c r="G594" s="392" t="n">
        <v>47.2</v>
      </c>
      <c r="H594" s="378" t="n">
        <v>9102</v>
      </c>
      <c r="I594" s="403" t="n">
        <v>0</v>
      </c>
      <c r="J594" s="404" t="n">
        <v>10143</v>
      </c>
      <c r="K594" s="408" t="n">
        <v>9.331558710440699</v>
      </c>
      <c r="L594" s="409" t="n">
        <v>0</v>
      </c>
      <c r="M594" s="409" t="n">
        <v>0.00695192815636556</v>
      </c>
      <c r="N594" s="378" t="n">
        <v>1979</v>
      </c>
      <c r="O594" s="393" t="n">
        <v>1451</v>
      </c>
      <c r="Q594" s="605" t="n">
        <v>20</v>
      </c>
      <c r="R594" s="605" t="n">
        <v>10</v>
      </c>
      <c r="S594" s="605" t="n">
        <v>1</v>
      </c>
      <c r="T594" s="403" t="inlineStr">
        <is>
          <t xml:space="preserve">I1   </t>
        </is>
      </c>
      <c r="U594" s="403" t="n">
        <v>401</v>
      </c>
      <c r="V594" s="404" t="n">
        <v>30504</v>
      </c>
      <c r="W594" s="404" t="n">
        <v>31000</v>
      </c>
      <c r="X594" s="410" t="inlineStr">
        <is>
          <t>3.0:1</t>
        </is>
      </c>
      <c r="Y594" s="404">
        <f>ROUND(J594,-3)</f>
        <v/>
      </c>
      <c r="Z594" s="403" t="inlineStr">
        <is>
          <t xml:space="preserve">C </t>
        </is>
      </c>
      <c r="AA594" s="605" t="n">
        <v>3</v>
      </c>
      <c r="AB594" s="605" t="n">
        <v>3</v>
      </c>
      <c r="AC594" s="378" t="inlineStr">
        <is>
          <t>33</t>
        </is>
      </c>
      <c r="AD594" s="384" t="n"/>
      <c r="AE594" s="145" t="n"/>
      <c r="AF594" s="145" t="n"/>
      <c r="AG594" s="145" t="n"/>
      <c r="AH594" s="145" t="n"/>
      <c r="AI594" s="145" t="n"/>
      <c r="AJ594" s="145" t="n"/>
      <c r="AK594" s="145" t="inlineStr">
        <is>
          <t xml:space="preserve">S-T WHSE.                                                         </t>
        </is>
      </c>
      <c r="AL594" s="605">
        <f>IF(AND(ISNUMBER($S594),$S594&gt;0,ISNUMBER($K594),ISNUMBER($J594)),($K594*$J594)/$S594,"")</f>
        <v/>
      </c>
    </row>
    <row r="595" ht="12.75" customHeight="1" s="545">
      <c r="A595" s="388" t="n">
        <v>8</v>
      </c>
      <c r="B595" s="605" t="n">
        <v>587</v>
      </c>
      <c r="C595" s="384" t="inlineStr">
        <is>
          <t>2009Q</t>
        </is>
      </c>
      <c r="D595" s="605" t="inlineStr">
        <is>
          <t xml:space="preserve">01144-06-014-000 </t>
        </is>
      </c>
      <c r="E595" s="407" t="inlineStr">
        <is>
          <t>Actual</t>
        </is>
      </c>
      <c r="F595" s="605" t="inlineStr">
        <is>
          <t>4975   PARIS                ST</t>
        </is>
      </c>
      <c r="G595" s="392" t="n">
        <v>44.2</v>
      </c>
      <c r="H595" s="378" t="n">
        <v>9102</v>
      </c>
      <c r="I595" s="403" t="n">
        <v>0</v>
      </c>
      <c r="J595" s="404" t="n">
        <v>15550</v>
      </c>
      <c r="K595" s="408" t="n">
        <v>8.84244372990354</v>
      </c>
      <c r="L595" s="409" t="n">
        <v>0</v>
      </c>
      <c r="M595" s="409" t="n">
        <v>0</v>
      </c>
      <c r="N595" s="378" t="n">
        <v>1979</v>
      </c>
      <c r="O595" s="393" t="n">
        <v>2400</v>
      </c>
      <c r="P595" s="393" t="n">
        <v>1126</v>
      </c>
      <c r="Q595" s="605" t="n">
        <v>20</v>
      </c>
      <c r="R595" s="605" t="n">
        <v>10</v>
      </c>
      <c r="S595" s="605" t="n">
        <v>1</v>
      </c>
      <c r="T595" s="403" t="inlineStr">
        <is>
          <t xml:space="preserve">I1   </t>
        </is>
      </c>
      <c r="U595" s="403" t="n">
        <v>397</v>
      </c>
      <c r="V595" s="404" t="n">
        <v>40424</v>
      </c>
      <c r="W595" s="404" t="n">
        <v>40000</v>
      </c>
      <c r="X595" s="410" t="inlineStr">
        <is>
          <t>2.6:1</t>
        </is>
      </c>
      <c r="Y595" s="404">
        <f>ROUND(J595,-3)</f>
        <v/>
      </c>
      <c r="Z595" s="403" t="inlineStr">
        <is>
          <t xml:space="preserve">C </t>
        </is>
      </c>
      <c r="AA595" s="605" t="n">
        <v>3</v>
      </c>
      <c r="AB595" s="605" t="n">
        <v>3</v>
      </c>
      <c r="AC595" s="378" t="inlineStr">
        <is>
          <t>33</t>
        </is>
      </c>
      <c r="AD595" s="384" t="inlineStr">
        <is>
          <t xml:space="preserve">RMCAT               </t>
        </is>
      </c>
      <c r="AE595" s="145" t="n"/>
      <c r="AF595" s="145" t="n"/>
      <c r="AG595" s="145" t="n"/>
      <c r="AH595" s="145" t="n"/>
      <c r="AI595" s="145" t="n"/>
      <c r="AJ595" s="145" t="n"/>
      <c r="AK595" s="145" t="inlineStr">
        <is>
          <t xml:space="preserve">S-T WHSE.                                                         </t>
        </is>
      </c>
      <c r="AL595" s="605">
        <f>IF(AND(ISNUMBER($S595),$S595&gt;0,ISNUMBER($K595),ISNUMBER($J595)),($K595*$J595)/$S595,"")</f>
        <v/>
      </c>
    </row>
    <row r="596" ht="12.75" customHeight="1" s="545">
      <c r="A596" s="388" t="n">
        <v>8</v>
      </c>
      <c r="B596" s="605" t="n">
        <v>588</v>
      </c>
      <c r="C596" s="384" t="inlineStr">
        <is>
          <t>2009Q</t>
        </is>
      </c>
      <c r="D596" s="605" t="inlineStr">
        <is>
          <t xml:space="preserve">01144-06-016-000 </t>
        </is>
      </c>
      <c r="E596" s="407" t="inlineStr">
        <is>
          <t>Actual</t>
        </is>
      </c>
      <c r="F596" s="605" t="inlineStr">
        <is>
          <t>5015   PARIS                ST</t>
        </is>
      </c>
      <c r="G596" s="392" t="n">
        <v>44.2</v>
      </c>
      <c r="H596" s="378" t="n">
        <v>9102</v>
      </c>
      <c r="I596" s="403" t="n">
        <v>0</v>
      </c>
      <c r="J596" s="404" t="n">
        <v>16328</v>
      </c>
      <c r="K596" s="408" t="n">
        <v>5.30812101910828</v>
      </c>
      <c r="L596" s="409" t="n">
        <v>0</v>
      </c>
      <c r="M596" s="409" t="n">
        <v>0.0327214408510344</v>
      </c>
      <c r="N596" s="378" t="n">
        <v>1979</v>
      </c>
      <c r="O596" s="393" t="n">
        <v>2250</v>
      </c>
      <c r="Q596" s="605" t="n">
        <v>23</v>
      </c>
      <c r="R596" s="605" t="n">
        <v>10</v>
      </c>
      <c r="S596" s="605" t="n">
        <v>1</v>
      </c>
      <c r="T596" s="403" t="inlineStr">
        <is>
          <t xml:space="preserve">I1   </t>
        </is>
      </c>
      <c r="U596" s="403" t="n">
        <v>398</v>
      </c>
      <c r="V596" s="404" t="n">
        <v>40424</v>
      </c>
      <c r="W596" s="404" t="n">
        <v>40000</v>
      </c>
      <c r="X596" s="410" t="inlineStr">
        <is>
          <t>2.5:1</t>
        </is>
      </c>
      <c r="Y596" s="404">
        <f>ROUND(J596,-3)</f>
        <v/>
      </c>
      <c r="Z596" s="403" t="inlineStr">
        <is>
          <t xml:space="preserve">C </t>
        </is>
      </c>
      <c r="AA596" s="605" t="n">
        <v>3</v>
      </c>
      <c r="AB596" s="605" t="n">
        <v>3</v>
      </c>
      <c r="AC596" s="378" t="inlineStr">
        <is>
          <t>33</t>
        </is>
      </c>
      <c r="AD596" s="384" t="n"/>
      <c r="AE596" s="145" t="n"/>
      <c r="AF596" s="145" t="n"/>
      <c r="AG596" s="145" t="n"/>
      <c r="AH596" s="145" t="n"/>
      <c r="AI596" s="145" t="n"/>
      <c r="AJ596" s="145" t="n"/>
      <c r="AK596" s="145" t="inlineStr">
        <is>
          <t xml:space="preserve">S-T WHSE.; 2006 LEASE.                                            </t>
        </is>
      </c>
      <c r="AL596" s="605">
        <f>IF(AND(ISNUMBER($S596),$S596&gt;0,ISNUMBER($K596),ISNUMBER($J596)),($K596*$J596)/$S596,"")</f>
        <v/>
      </c>
    </row>
    <row r="597" ht="12.75" customHeight="1" s="545">
      <c r="A597" s="388" t="n">
        <v>8</v>
      </c>
      <c r="B597" s="605" t="n">
        <v>589</v>
      </c>
      <c r="C597" s="384" t="inlineStr">
        <is>
          <t>2009Q</t>
        </is>
      </c>
      <c r="D597" s="605" t="inlineStr">
        <is>
          <t xml:space="preserve">01144-10-011-000 </t>
        </is>
      </c>
      <c r="E597" s="407" t="inlineStr">
        <is>
          <t>Actual</t>
        </is>
      </c>
      <c r="F597" s="605" t="inlineStr">
        <is>
          <t>4850   MOLINE               ST</t>
        </is>
      </c>
      <c r="G597" s="392" t="n">
        <v>44.1</v>
      </c>
      <c r="H597" s="378" t="n">
        <v>9102</v>
      </c>
      <c r="I597" s="403" t="n">
        <v>0</v>
      </c>
      <c r="J597" s="404" t="n">
        <v>87133</v>
      </c>
      <c r="K597" s="408" t="n">
        <v>4.360024330621</v>
      </c>
      <c r="L597" s="409" t="n">
        <v>0</v>
      </c>
      <c r="M597" s="409" t="n">
        <v>0</v>
      </c>
      <c r="N597" s="378" t="n">
        <v>1974</v>
      </c>
      <c r="O597" s="393" t="n">
        <v>3944</v>
      </c>
      <c r="P597" s="393" t="n">
        <v>8659</v>
      </c>
      <c r="Q597" s="605" t="n">
        <v>27</v>
      </c>
      <c r="R597" s="605" t="n">
        <v>10</v>
      </c>
      <c r="S597" s="605" t="n">
        <v>1</v>
      </c>
      <c r="T597" s="403" t="inlineStr">
        <is>
          <t xml:space="preserve">I2   </t>
        </is>
      </c>
      <c r="U597" s="403" t="n">
        <v>397</v>
      </c>
      <c r="V597" s="404" t="n">
        <v>211126</v>
      </c>
      <c r="W597" s="404" t="n">
        <v>210000</v>
      </c>
      <c r="X597" s="410" t="inlineStr">
        <is>
          <t>2.4:1</t>
        </is>
      </c>
      <c r="Y597" s="404">
        <f>ROUND(J597,-4)</f>
        <v/>
      </c>
      <c r="Z597" s="403" t="inlineStr">
        <is>
          <t xml:space="preserve">B </t>
        </is>
      </c>
      <c r="AA597" s="605" t="n">
        <v>3</v>
      </c>
      <c r="AB597" s="605" t="n">
        <v>3</v>
      </c>
      <c r="AC597" s="378" t="inlineStr">
        <is>
          <t>33</t>
        </is>
      </c>
      <c r="AD597" s="384" t="inlineStr">
        <is>
          <t xml:space="preserve">S-W WEATHER GUARD   </t>
        </is>
      </c>
      <c r="AE597" s="145" t="n"/>
      <c r="AF597" s="145" t="n"/>
      <c r="AG597" s="145" t="n"/>
      <c r="AH597" s="145" t="n"/>
      <c r="AI597" s="145" t="n"/>
      <c r="AJ597" s="145" t="n"/>
      <c r="AK597" s="145" t="inlineStr">
        <is>
          <t xml:space="preserve">S-T WHSE; 1999 LEASE.                                             </t>
        </is>
      </c>
      <c r="AL597" s="605">
        <f>IF(AND(ISNUMBER($S597),$S597&gt;0,ISNUMBER($K597),ISNUMBER($J597)),($K597*$J597)/$S597,"")</f>
        <v/>
      </c>
    </row>
    <row r="598" ht="12.75" customHeight="1" s="545">
      <c r="A598" s="388" t="n">
        <v>8</v>
      </c>
      <c r="B598" s="605" t="n">
        <v>590</v>
      </c>
      <c r="C598" s="384" t="inlineStr">
        <is>
          <t>2009Q</t>
        </is>
      </c>
      <c r="D598" s="605" t="inlineStr">
        <is>
          <t xml:space="preserve">01153-03-006-000 </t>
        </is>
      </c>
      <c r="E598" s="407" t="inlineStr">
        <is>
          <t>Actual</t>
        </is>
      </c>
      <c r="F598" s="605" t="inlineStr">
        <is>
          <t>9305 E 49TH                 AV</t>
        </is>
      </c>
      <c r="G598" s="392" t="n">
        <v>44.1</v>
      </c>
      <c r="H598" s="378" t="n">
        <v>9103</v>
      </c>
      <c r="I598" s="403" t="n">
        <v>0</v>
      </c>
      <c r="J598" s="404" t="n">
        <v>10530</v>
      </c>
      <c r="K598" s="408" t="n">
        <v>5.65052231718898</v>
      </c>
      <c r="L598" s="409" t="n">
        <v>0</v>
      </c>
      <c r="M598" s="409" t="n">
        <v>0</v>
      </c>
      <c r="N598" s="378" t="n">
        <v>2006</v>
      </c>
      <c r="O598" s="393" t="n">
        <v>3547</v>
      </c>
      <c r="Q598" s="605" t="n">
        <v>25</v>
      </c>
      <c r="R598" s="605" t="n">
        <v>14</v>
      </c>
      <c r="S598" s="605" t="n">
        <v>1</v>
      </c>
      <c r="T598" s="403" t="inlineStr">
        <is>
          <t>CMU30</t>
        </is>
      </c>
      <c r="U598" s="403" t="n">
        <v>398</v>
      </c>
      <c r="V598" s="404" t="n">
        <v>44907</v>
      </c>
      <c r="W598" s="404" t="n">
        <v>45000</v>
      </c>
      <c r="X598" s="410" t="inlineStr">
        <is>
          <t>4.3:1</t>
        </is>
      </c>
      <c r="Y598" s="404">
        <f>ROUND(J598,-3)</f>
        <v/>
      </c>
      <c r="Z598" s="403" t="inlineStr">
        <is>
          <t xml:space="preserve">C </t>
        </is>
      </c>
      <c r="AA598" s="605" t="n">
        <v>3</v>
      </c>
      <c r="AB598" s="605" t="n">
        <v>3</v>
      </c>
      <c r="AC598" s="378" t="inlineStr">
        <is>
          <t>33</t>
        </is>
      </c>
      <c r="AD598" s="384" t="inlineStr">
        <is>
          <t xml:space="preserve">SINGLE TENANT WHSE  </t>
        </is>
      </c>
      <c r="AE598" s="145" t="n"/>
      <c r="AF598" s="145" t="n"/>
      <c r="AG598" s="145" t="n"/>
      <c r="AH598" s="145" t="n"/>
      <c r="AI598" s="145" t="n"/>
      <c r="AJ598" s="145" t="n"/>
      <c r="AK598" s="145" t="inlineStr">
        <is>
          <t xml:space="preserve">S-T WHSE; AGE OF LEASE UNKNOWN.                                   </t>
        </is>
      </c>
      <c r="AL598" s="605">
        <f>IF(AND(ISNUMBER($S598),$S598&gt;0,ISNUMBER($K598),ISNUMBER($J598)),($K598*$J598)/$S598,"")</f>
        <v/>
      </c>
    </row>
    <row r="599" ht="12.75" customHeight="1" s="545">
      <c r="A599" s="388" t="n">
        <v>8</v>
      </c>
      <c r="B599" s="605" t="n">
        <v>591</v>
      </c>
      <c r="C599" s="384" t="inlineStr">
        <is>
          <t>2009W</t>
        </is>
      </c>
      <c r="D599" s="605" t="inlineStr">
        <is>
          <t>01154-01-002-000</t>
        </is>
      </c>
      <c r="E599" s="407" t="inlineStr">
        <is>
          <t>Actual</t>
        </is>
      </c>
      <c r="F599" s="605" t="inlineStr">
        <is>
          <t xml:space="preserve">5025 FLORENCE ST. </t>
        </is>
      </c>
      <c r="G599" s="392" t="n">
        <v>44.4</v>
      </c>
      <c r="H599" s="378" t="n">
        <v>9103</v>
      </c>
      <c r="I599" s="403" t="n">
        <v>0</v>
      </c>
      <c r="J599" s="404" t="n">
        <v>323860</v>
      </c>
      <c r="K599" s="408" t="n">
        <v>3.76</v>
      </c>
      <c r="L599" s="409" t="n">
        <v>0</v>
      </c>
      <c r="M599" s="409" t="n">
        <v>0.01</v>
      </c>
      <c r="N599" s="378" t="n">
        <v>1998</v>
      </c>
      <c r="O599" s="393" t="n">
        <v>8739</v>
      </c>
      <c r="Q599" s="605" t="n">
        <v>35</v>
      </c>
      <c r="R599" s="605" t="n">
        <v>14</v>
      </c>
      <c r="S599" s="605" t="n">
        <v>4</v>
      </c>
      <c r="T599" s="403" t="inlineStr">
        <is>
          <t>CMU30</t>
        </is>
      </c>
      <c r="U599" s="403" t="n">
        <v>398</v>
      </c>
      <c r="V599" s="404" t="n">
        <v>857261</v>
      </c>
      <c r="W599" s="404" t="n">
        <v>900000</v>
      </c>
      <c r="X599" s="410" t="inlineStr">
        <is>
          <t>2.6:1</t>
        </is>
      </c>
      <c r="Y599" s="404" t="n">
        <v>350000</v>
      </c>
      <c r="Z599" s="403" t="inlineStr">
        <is>
          <t>B</t>
        </is>
      </c>
      <c r="AA599" s="605" t="n">
        <v>3</v>
      </c>
      <c r="AB599" s="605" t="n">
        <v>3</v>
      </c>
      <c r="AC599" s="378" t="n">
        <v>33</v>
      </c>
      <c r="AD599" s="384" t="inlineStr">
        <is>
          <t>Stapleton Bus. Ctr. #2</t>
        </is>
      </c>
      <c r="AE599" s="145" t="n">
        <v>3.76</v>
      </c>
      <c r="AF599" s="145" t="n">
        <v>3.76</v>
      </c>
      <c r="AG599" s="145" t="n">
        <v>3.72</v>
      </c>
      <c r="AH599" s="145" t="n">
        <v>0.04</v>
      </c>
      <c r="AI599" s="145" t="inlineStr">
        <is>
          <t>-</t>
        </is>
      </c>
      <c r="AJ599" s="145" t="inlineStr">
        <is>
          <t>-</t>
        </is>
      </c>
      <c r="AK599" s="145" t="n"/>
      <c r="AL599" s="605">
        <f>IF(AND(ISNUMBER($S599),$S599&gt;0,ISNUMBER($K599),ISNUMBER($J599)),($K599*$J599)/$S599,"")</f>
        <v/>
      </c>
    </row>
    <row r="600" ht="12.75" customHeight="1" s="545">
      <c r="A600" s="388" t="n">
        <v>8</v>
      </c>
      <c r="B600" s="605" t="n">
        <v>592</v>
      </c>
      <c r="C600" s="384" t="inlineStr">
        <is>
          <t>2009Q</t>
        </is>
      </c>
      <c r="D600" s="605" t="inlineStr">
        <is>
          <t xml:space="preserve">01154-02-003-000 </t>
        </is>
      </c>
      <c r="E600" s="407" t="inlineStr">
        <is>
          <t>Actual</t>
        </is>
      </c>
      <c r="F600" s="605" t="inlineStr">
        <is>
          <t>5050   FLORENCE             ST</t>
        </is>
      </c>
      <c r="G600" s="392" t="n">
        <v>46.7</v>
      </c>
      <c r="H600" s="378" t="n">
        <v>9103</v>
      </c>
      <c r="I600" s="403" t="n">
        <v>0</v>
      </c>
      <c r="J600" s="404" t="n">
        <v>34112</v>
      </c>
      <c r="K600" s="408" t="n">
        <v>12.2244371482176</v>
      </c>
      <c r="L600" s="409" t="n">
        <v>0</v>
      </c>
      <c r="M600" s="409" t="n">
        <v>0</v>
      </c>
      <c r="N600" s="378" t="n">
        <v>1998</v>
      </c>
      <c r="O600" s="393" t="n">
        <v>5312</v>
      </c>
      <c r="Q600" s="605" t="n">
        <v>26</v>
      </c>
      <c r="R600" s="605" t="n">
        <v>14</v>
      </c>
      <c r="S600" s="605" t="n">
        <v>1</v>
      </c>
      <c r="T600" s="403" t="inlineStr">
        <is>
          <t>CMU30</t>
        </is>
      </c>
      <c r="U600" s="403" t="n">
        <v>391</v>
      </c>
      <c r="V600" s="404" t="n">
        <v>206039</v>
      </c>
      <c r="W600" s="404" t="n">
        <v>210000</v>
      </c>
      <c r="X600" s="410" t="inlineStr">
        <is>
          <t>6.0:1</t>
        </is>
      </c>
      <c r="Y600" s="404">
        <f>ROUND(J600,-3)</f>
        <v/>
      </c>
      <c r="Z600" s="403" t="inlineStr">
        <is>
          <t xml:space="preserve">C </t>
        </is>
      </c>
      <c r="AA600" s="605" t="n">
        <v>3</v>
      </c>
      <c r="AB600" s="605" t="n">
        <v>3</v>
      </c>
      <c r="AC600" s="378" t="inlineStr">
        <is>
          <t>33</t>
        </is>
      </c>
      <c r="AD600" s="384" t="inlineStr">
        <is>
          <t xml:space="preserve">S-M DOMINO'S DOUGH  </t>
        </is>
      </c>
      <c r="AE600" s="145" t="n"/>
      <c r="AF600" s="145" t="n"/>
      <c r="AG600" s="145" t="n"/>
      <c r="AH600" s="145" t="n"/>
      <c r="AI600" s="145" t="n"/>
      <c r="AJ600" s="145" t="n"/>
      <c r="AK600" s="145" t="inlineStr">
        <is>
          <t xml:space="preserve">S-T INDUSTRIAL BLDG; LEASE DATES FROM 1999.                       </t>
        </is>
      </c>
      <c r="AL600" s="605">
        <f>IF(AND(ISNUMBER($S600),$S600&gt;0,ISNUMBER($K600),ISNUMBER($J600)),($K600*$J600)/$S600,"")</f>
        <v/>
      </c>
    </row>
    <row r="601" ht="12.75" customHeight="1" s="545">
      <c r="A601" s="388" t="n">
        <v>8</v>
      </c>
      <c r="B601" s="605" t="n">
        <v>593</v>
      </c>
      <c r="C601" s="384" t="inlineStr">
        <is>
          <t>2009Q</t>
        </is>
      </c>
      <c r="D601" s="605" t="inlineStr">
        <is>
          <t xml:space="preserve">01154-03-004-000 </t>
        </is>
      </c>
      <c r="E601" s="407" t="inlineStr">
        <is>
          <t>Actual</t>
        </is>
      </c>
      <c r="F601" s="605" t="inlineStr">
        <is>
          <t>10275 E 47TH                 AV</t>
        </is>
      </c>
      <c r="G601" s="392" t="n">
        <v>44.2</v>
      </c>
      <c r="H601" s="378" t="n">
        <v>9103</v>
      </c>
      <c r="I601" s="403" t="n">
        <v>0</v>
      </c>
      <c r="J601" s="404" t="n">
        <v>50533</v>
      </c>
      <c r="K601" s="408" t="n">
        <v>7.21429560881009</v>
      </c>
      <c r="L601" s="409" t="n">
        <v>0</v>
      </c>
      <c r="M601" s="409" t="n">
        <v>0</v>
      </c>
      <c r="N601" s="378" t="n">
        <v>1998</v>
      </c>
      <c r="O601" s="393" t="n">
        <v>11472</v>
      </c>
      <c r="P601" s="393" t="n">
        <v>12133</v>
      </c>
      <c r="Q601" s="605" t="n">
        <v>22</v>
      </c>
      <c r="R601" s="605" t="n">
        <v>14</v>
      </c>
      <c r="S601" s="605" t="n">
        <v>1</v>
      </c>
      <c r="T601" s="403" t="inlineStr">
        <is>
          <t>CMU30</t>
        </is>
      </c>
      <c r="U601" s="403" t="n">
        <v>398</v>
      </c>
      <c r="V601" s="404" t="n">
        <v>202118</v>
      </c>
      <c r="W601" s="404" t="n">
        <v>200000</v>
      </c>
      <c r="X601" s="410" t="inlineStr">
        <is>
          <t>4.0:1</t>
        </is>
      </c>
      <c r="Y601" s="404">
        <f>ROUND(J601,-4)</f>
        <v/>
      </c>
      <c r="Z601" s="403" t="inlineStr">
        <is>
          <t xml:space="preserve">C </t>
        </is>
      </c>
      <c r="AA601" s="605" t="n">
        <v>3</v>
      </c>
      <c r="AB601" s="605" t="n">
        <v>3</v>
      </c>
      <c r="AC601" s="378" t="inlineStr">
        <is>
          <t>33</t>
        </is>
      </c>
      <c r="AD601" s="384" t="inlineStr">
        <is>
          <t xml:space="preserve">GUY'S FLOOR SERVICE </t>
        </is>
      </c>
      <c r="AE601" s="145" t="n"/>
      <c r="AF601" s="145" t="n"/>
      <c r="AG601" s="145" t="n"/>
      <c r="AH601" s="145" t="n"/>
      <c r="AI601" s="145" t="n"/>
      <c r="AJ601" s="145" t="n"/>
      <c r="AK601" s="145" t="inlineStr">
        <is>
          <t xml:space="preserve">S-T WHSE                                                          </t>
        </is>
      </c>
      <c r="AL601" s="605">
        <f>IF(AND(ISNUMBER($S601),$S601&gt;0,ISNUMBER($K601),ISNUMBER($J601)),($K601*$J601)/$S601,"")</f>
        <v/>
      </c>
    </row>
    <row r="602" ht="12.75" customHeight="1" s="545">
      <c r="A602" s="388" t="n">
        <v>8</v>
      </c>
      <c r="B602" s="605" t="n">
        <v>594</v>
      </c>
      <c r="C602" s="384" t="inlineStr">
        <is>
          <t>2009Q</t>
        </is>
      </c>
      <c r="D602" s="605" t="inlineStr">
        <is>
          <t xml:space="preserve">01154-04-002-000 </t>
        </is>
      </c>
      <c r="E602" s="407" t="inlineStr">
        <is>
          <t>Actual</t>
        </is>
      </c>
      <c r="F602" s="605" t="inlineStr">
        <is>
          <t>4800   GENEVA               ST</t>
        </is>
      </c>
      <c r="G602" s="392" t="n">
        <v>44.2</v>
      </c>
      <c r="H602" s="378" t="n">
        <v>9103</v>
      </c>
      <c r="I602" s="403" t="n">
        <v>0</v>
      </c>
      <c r="J602" s="404" t="n">
        <v>20146</v>
      </c>
      <c r="K602" s="408" t="n">
        <v>5.55941626129256</v>
      </c>
      <c r="L602" s="409" t="n">
        <v>0</v>
      </c>
      <c r="M602" s="409" t="n">
        <v>0.0183839285714286</v>
      </c>
      <c r="N602" s="378" t="n">
        <v>2005</v>
      </c>
      <c r="O602" s="393" t="n">
        <v>964</v>
      </c>
      <c r="Q602" s="605" t="n">
        <v>28</v>
      </c>
      <c r="R602" s="605" t="n">
        <v>14</v>
      </c>
      <c r="S602" s="605" t="n">
        <v>1</v>
      </c>
      <c r="T602" s="403" t="inlineStr">
        <is>
          <t>CMU30</t>
        </is>
      </c>
      <c r="U602" s="403" t="n">
        <v>398</v>
      </c>
      <c r="V602" s="404" t="n">
        <v>71003</v>
      </c>
      <c r="W602" s="404" t="n">
        <v>70000</v>
      </c>
      <c r="X602" s="410" t="inlineStr">
        <is>
          <t>3.5:1</t>
        </is>
      </c>
      <c r="Y602" s="404">
        <f>ROUND(J602,-3)</f>
        <v/>
      </c>
      <c r="Z602" s="403" t="inlineStr">
        <is>
          <t xml:space="preserve">C </t>
        </is>
      </c>
      <c r="AA602" s="605" t="n">
        <v>3</v>
      </c>
      <c r="AB602" s="605" t="n">
        <v>3</v>
      </c>
      <c r="AC602" s="378" t="inlineStr">
        <is>
          <t>33</t>
        </is>
      </c>
      <c r="AD602" s="384" t="inlineStr">
        <is>
          <t xml:space="preserve">GUY'S FLOOR SERVICE </t>
        </is>
      </c>
      <c r="AE602" s="145" t="n"/>
      <c r="AF602" s="145" t="n"/>
      <c r="AG602" s="145" t="n"/>
      <c r="AH602" s="145" t="n"/>
      <c r="AI602" s="145" t="n"/>
      <c r="AJ602" s="145" t="n"/>
      <c r="AK602" s="145" t="inlineStr">
        <is>
          <t xml:space="preserve">S-T WHSE.                                                         </t>
        </is>
      </c>
      <c r="AL602" s="605">
        <f>IF(AND(ISNUMBER($S602),$S602&gt;0,ISNUMBER($K602),ISNUMBER($J602)),($K602*$J602)/$S602,"")</f>
        <v/>
      </c>
    </row>
    <row r="603" ht="12.75" customHeight="1" s="545">
      <c r="A603" s="388" t="n">
        <v>8</v>
      </c>
      <c r="B603" s="605" t="n">
        <v>595</v>
      </c>
      <c r="C603" s="384" t="inlineStr">
        <is>
          <t>2009Q</t>
        </is>
      </c>
      <c r="D603" s="605" t="inlineStr">
        <is>
          <t xml:space="preserve">01154-04-005-000 </t>
        </is>
      </c>
      <c r="E603" s="407" t="inlineStr">
        <is>
          <t>Actual</t>
        </is>
      </c>
      <c r="F603" s="605" t="inlineStr">
        <is>
          <t>4890   GENEVA               ST</t>
        </is>
      </c>
      <c r="G603" s="392" t="n">
        <v>44.2</v>
      </c>
      <c r="H603" s="378" t="n">
        <v>9103</v>
      </c>
      <c r="I603" s="403" t="n">
        <v>0</v>
      </c>
      <c r="J603" s="404" t="n">
        <v>17750</v>
      </c>
      <c r="K603" s="408" t="n">
        <v>8.44101408450704</v>
      </c>
      <c r="L603" s="409" t="n">
        <v>0</v>
      </c>
      <c r="M603" s="409" t="n">
        <v>0.0741116480230665</v>
      </c>
      <c r="N603" s="378" t="n">
        <v>2004</v>
      </c>
      <c r="O603" s="393" t="n">
        <v>8277</v>
      </c>
      <c r="Q603" s="605" t="n">
        <v>30</v>
      </c>
      <c r="R603" s="605" t="n">
        <v>14</v>
      </c>
      <c r="S603" s="605" t="n">
        <v>1</v>
      </c>
      <c r="T603" s="403" t="inlineStr">
        <is>
          <t>CMU30</t>
        </is>
      </c>
      <c r="U603" s="403" t="n">
        <v>398</v>
      </c>
      <c r="V603" s="404" t="n">
        <v>65250</v>
      </c>
      <c r="W603" s="404" t="n">
        <v>70000</v>
      </c>
      <c r="X603" s="410" t="inlineStr">
        <is>
          <t>3.7:1</t>
        </is>
      </c>
      <c r="Y603" s="404">
        <f>ROUND(J603,-3)</f>
        <v/>
      </c>
      <c r="Z603" s="403" t="inlineStr">
        <is>
          <t xml:space="preserve">C </t>
        </is>
      </c>
      <c r="AA603" s="605" t="n">
        <v>3</v>
      </c>
      <c r="AB603" s="605" t="n">
        <v>3</v>
      </c>
      <c r="AC603" s="378" t="inlineStr">
        <is>
          <t>33</t>
        </is>
      </c>
      <c r="AD603" s="384" t="inlineStr">
        <is>
          <t xml:space="preserve">STRYKER             </t>
        </is>
      </c>
      <c r="AE603" s="145" t="n"/>
      <c r="AF603" s="145" t="n"/>
      <c r="AG603" s="145" t="n"/>
      <c r="AH603" s="145" t="n"/>
      <c r="AI603" s="145" t="n"/>
      <c r="AJ603" s="145" t="n"/>
      <c r="AK603" s="145" t="inlineStr">
        <is>
          <t xml:space="preserve">S-T WHSE.; 2005 LEASE.                                            </t>
        </is>
      </c>
      <c r="AL603" s="605">
        <f>IF(AND(ISNUMBER($S603),$S603&gt;0,ISNUMBER($K603),ISNUMBER($J603)),($K603*$J603)/$S603,"")</f>
        <v/>
      </c>
    </row>
    <row r="604" ht="12.75" customHeight="1" s="545">
      <c r="A604" s="388" t="n">
        <v>8</v>
      </c>
      <c r="B604" s="605" t="n">
        <v>596</v>
      </c>
      <c r="C604" s="384" t="inlineStr">
        <is>
          <t>2009Q</t>
        </is>
      </c>
      <c r="D604" s="605" t="inlineStr">
        <is>
          <t xml:space="preserve">01183-00-012-000 </t>
        </is>
      </c>
      <c r="E604" s="407" t="inlineStr">
        <is>
          <t>Actual</t>
        </is>
      </c>
      <c r="F604" s="605" t="inlineStr">
        <is>
          <t>5050   COLORADO             BV</t>
        </is>
      </c>
      <c r="G604" s="392" t="n">
        <v>44.2</v>
      </c>
      <c r="H604" s="378" t="n">
        <v>9101</v>
      </c>
      <c r="I604" s="403" t="n">
        <v>5</v>
      </c>
      <c r="J604" s="404" t="n">
        <v>40896</v>
      </c>
      <c r="K604" s="408" t="n">
        <v>2.50347222222222</v>
      </c>
      <c r="L604" s="409" t="n">
        <v>0</v>
      </c>
      <c r="M604" s="409" t="n">
        <v>0.223388876951027</v>
      </c>
      <c r="N604" s="378" t="n">
        <v>1959</v>
      </c>
      <c r="O604" s="393" t="n">
        <v>1200</v>
      </c>
      <c r="P604" s="393" t="n">
        <v>2764</v>
      </c>
      <c r="Q604" s="605" t="n">
        <v>22</v>
      </c>
      <c r="R604" s="605" t="n">
        <v>1</v>
      </c>
      <c r="S604" s="605" t="n">
        <v>1</v>
      </c>
      <c r="T604" s="403" t="inlineStr">
        <is>
          <t xml:space="preserve">I2   </t>
        </is>
      </c>
      <c r="U604" s="403" t="n">
        <v>398</v>
      </c>
      <c r="V604" s="404" t="n">
        <v>95733</v>
      </c>
      <c r="W604" s="404" t="n">
        <v>100000</v>
      </c>
      <c r="X604" s="410" t="inlineStr">
        <is>
          <t>2.3:1</t>
        </is>
      </c>
      <c r="Y604" s="404">
        <f>ROUND(J604,-3)</f>
        <v/>
      </c>
      <c r="Z604" s="403" t="inlineStr">
        <is>
          <t xml:space="preserve">C </t>
        </is>
      </c>
      <c r="AA604" s="605" t="n">
        <v>3</v>
      </c>
      <c r="AB604" s="605" t="n">
        <v>3</v>
      </c>
      <c r="AC604" s="378" t="inlineStr">
        <is>
          <t>33</t>
        </is>
      </c>
      <c r="AD604" s="384" t="inlineStr">
        <is>
          <t xml:space="preserve">S-W WEATHER GUARD   </t>
        </is>
      </c>
      <c r="AE604" s="145" t="n"/>
      <c r="AF604" s="145" t="n"/>
      <c r="AG604" s="145" t="n"/>
      <c r="AH604" s="145" t="n"/>
      <c r="AI604" s="145" t="n"/>
      <c r="AJ604" s="145" t="n"/>
      <c r="AK604" s="145" t="inlineStr">
        <is>
          <t xml:space="preserve">S-T WHSE                                                          </t>
        </is>
      </c>
      <c r="AL604" s="605">
        <f>IF(AND(ISNUMBER($S604),$S604&gt;0,ISNUMBER($K604),ISNUMBER($J604)),($K604*$J604)/$S604,"")</f>
        <v/>
      </c>
    </row>
    <row r="605" ht="12.75" customHeight="1" s="545">
      <c r="A605" s="388" t="n">
        <v>8</v>
      </c>
      <c r="B605" s="605" t="n">
        <v>597</v>
      </c>
      <c r="C605" s="384" t="inlineStr">
        <is>
          <t>2009Q</t>
        </is>
      </c>
      <c r="D605" s="605" t="inlineStr">
        <is>
          <t xml:space="preserve">01183-00-013-000 </t>
        </is>
      </c>
      <c r="E605" s="407" t="inlineStr">
        <is>
          <t>Actual</t>
        </is>
      </c>
      <c r="F605" s="605" t="inlineStr">
        <is>
          <t>5000   COLORADO             BV</t>
        </is>
      </c>
      <c r="G605" s="392" t="n">
        <v>44.2</v>
      </c>
      <c r="H605" s="378" t="n">
        <v>9101</v>
      </c>
      <c r="I605" s="403" t="n">
        <v>5</v>
      </c>
      <c r="J605" s="404" t="n">
        <v>15058</v>
      </c>
      <c r="K605" s="408" t="n">
        <v>4.59058307876212</v>
      </c>
      <c r="L605" s="409" t="n">
        <v>0</v>
      </c>
      <c r="M605" s="409" t="n">
        <v>0</v>
      </c>
      <c r="N605" s="378" t="n">
        <v>1964</v>
      </c>
      <c r="P605" s="393" t="n">
        <v>1872</v>
      </c>
      <c r="Q605" s="605" t="n">
        <v>19</v>
      </c>
      <c r="R605" s="605" t="n">
        <v>1</v>
      </c>
      <c r="S605" s="605" t="n">
        <v>1</v>
      </c>
      <c r="T605" s="403" t="inlineStr">
        <is>
          <t xml:space="preserve">I2   </t>
        </is>
      </c>
      <c r="U605" s="403" t="n">
        <v>398</v>
      </c>
      <c r="V605" s="404" t="n">
        <v>59290</v>
      </c>
      <c r="W605" s="404" t="n">
        <v>60000</v>
      </c>
      <c r="X605" s="410" t="inlineStr">
        <is>
          <t>3.9:1</t>
        </is>
      </c>
      <c r="Y605" s="404">
        <f>ROUND(J605,-3)</f>
        <v/>
      </c>
      <c r="Z605" s="403" t="inlineStr">
        <is>
          <t xml:space="preserve">C </t>
        </is>
      </c>
      <c r="AA605" s="605" t="n">
        <v>3</v>
      </c>
      <c r="AB605" s="605" t="n">
        <v>3</v>
      </c>
      <c r="AC605" s="378" t="inlineStr">
        <is>
          <t>33</t>
        </is>
      </c>
      <c r="AD605" s="384" t="inlineStr">
        <is>
          <t>DIST J W BREWER TIRE</t>
        </is>
      </c>
      <c r="AE605" s="145" t="n"/>
      <c r="AF605" s="145" t="n"/>
      <c r="AG605" s="145" t="n"/>
      <c r="AH605" s="145" t="n"/>
      <c r="AI605" s="145" t="n"/>
      <c r="AJ605" s="145" t="n"/>
      <c r="AK605" s="145" t="inlineStr">
        <is>
          <t xml:space="preserve">S-T WHSE.; 2005 LEASE.                                            </t>
        </is>
      </c>
      <c r="AL605" s="605">
        <f>IF(AND(ISNUMBER($S605),$S605&gt;0,ISNUMBER($K605),ISNUMBER($J605)),($K605*$J605)/$S605,"")</f>
        <v/>
      </c>
    </row>
    <row r="606" ht="12.75" customHeight="1" s="545">
      <c r="A606" s="388" t="n">
        <v>8</v>
      </c>
      <c r="B606" s="605" t="n">
        <v>598</v>
      </c>
      <c r="C606" s="384" t="inlineStr">
        <is>
          <t>2009Q</t>
        </is>
      </c>
      <c r="D606" s="605" t="inlineStr">
        <is>
          <t xml:space="preserve">01183-00-036-000 </t>
        </is>
      </c>
      <c r="E606" s="407" t="inlineStr">
        <is>
          <t>Actual</t>
        </is>
      </c>
      <c r="F606" s="605" t="inlineStr">
        <is>
          <t>4950   COLORADO             BV</t>
        </is>
      </c>
      <c r="G606" s="392" t="n">
        <v>44.2</v>
      </c>
      <c r="H606" s="378" t="n">
        <v>9101</v>
      </c>
      <c r="I606" s="403" t="n">
        <v>5</v>
      </c>
      <c r="J606" s="404" t="n">
        <v>44780</v>
      </c>
      <c r="K606" s="408" t="n">
        <v>3.75230013398839</v>
      </c>
      <c r="L606" s="409" t="n">
        <v>0</v>
      </c>
      <c r="M606" s="409" t="n">
        <v>0</v>
      </c>
      <c r="N606" s="378" t="n">
        <v>1955</v>
      </c>
      <c r="P606" s="393" t="n">
        <v>4259</v>
      </c>
      <c r="Q606" s="605" t="n">
        <v>20</v>
      </c>
      <c r="R606" s="605" t="n">
        <v>10</v>
      </c>
      <c r="S606" s="605" t="n">
        <v>1</v>
      </c>
      <c r="T606" s="403" t="inlineStr">
        <is>
          <t xml:space="preserve">I2   </t>
        </is>
      </c>
      <c r="U606" s="403" t="n">
        <v>398</v>
      </c>
      <c r="V606" s="404" t="n">
        <v>104790</v>
      </c>
      <c r="W606" s="404" t="n">
        <v>100000</v>
      </c>
      <c r="X606" s="410" t="inlineStr">
        <is>
          <t>2.3:1</t>
        </is>
      </c>
      <c r="Y606" s="404">
        <f>ROUND(J606,-3)</f>
        <v/>
      </c>
      <c r="Z606" s="403" t="inlineStr">
        <is>
          <t xml:space="preserve">C </t>
        </is>
      </c>
      <c r="AA606" s="605" t="n">
        <v>3</v>
      </c>
      <c r="AB606" s="605" t="n">
        <v>3</v>
      </c>
      <c r="AC606" s="378" t="inlineStr">
        <is>
          <t>33</t>
        </is>
      </c>
      <c r="AD606" s="384" t="n"/>
      <c r="AE606" s="145" t="n"/>
      <c r="AF606" s="145" t="n"/>
      <c r="AG606" s="145" t="n"/>
      <c r="AH606" s="145" t="n"/>
      <c r="AI606" s="145" t="n"/>
      <c r="AJ606" s="145" t="n"/>
      <c r="AK606" s="145" t="inlineStr">
        <is>
          <t xml:space="preserve">S-T WHSE; 2003 LEASE.                                             </t>
        </is>
      </c>
      <c r="AL606" s="605">
        <f>IF(AND(ISNUMBER($S606),$S606&gt;0,ISNUMBER($K606),ISNUMBER($J606)),($K606*$J606)/$S606,"")</f>
        <v/>
      </c>
    </row>
    <row r="607" ht="12.75" customHeight="1" s="545">
      <c r="A607" s="388" t="n">
        <v>8</v>
      </c>
      <c r="B607" s="605" t="n">
        <v>599</v>
      </c>
      <c r="C607" s="384" t="inlineStr">
        <is>
          <t>2009Q</t>
        </is>
      </c>
      <c r="D607" s="605" t="inlineStr">
        <is>
          <t xml:space="preserve">01183-00-057-000 </t>
        </is>
      </c>
      <c r="E607" s="407" t="inlineStr">
        <is>
          <t>Actual</t>
        </is>
      </c>
      <c r="F607" s="605" t="inlineStr">
        <is>
          <t>4101 E 48TH                 AV</t>
        </is>
      </c>
      <c r="G607" s="392" t="n">
        <v>47.2</v>
      </c>
      <c r="H607" s="378" t="n">
        <v>9101</v>
      </c>
      <c r="I607" s="403" t="n">
        <v>0</v>
      </c>
      <c r="J607" s="404" t="n">
        <v>75608</v>
      </c>
      <c r="K607" s="408" t="n">
        <v>1.98391704581526</v>
      </c>
      <c r="L607" s="409" t="n">
        <v>0</v>
      </c>
      <c r="M607" s="409" t="n">
        <v>0</v>
      </c>
      <c r="N607" s="378" t="n">
        <v>1963</v>
      </c>
      <c r="O607" s="393">
        <f>4254+1382</f>
        <v/>
      </c>
      <c r="Q607" s="605" t="n">
        <v>15</v>
      </c>
      <c r="R607" s="605" t="n">
        <v>3</v>
      </c>
      <c r="S607" s="605" t="n">
        <v>1</v>
      </c>
      <c r="T607" s="403" t="inlineStr">
        <is>
          <t xml:space="preserve">I2   </t>
        </is>
      </c>
      <c r="U607" s="403" t="n">
        <v>401</v>
      </c>
      <c r="V607" s="404" t="n">
        <v>110783</v>
      </c>
      <c r="W607" s="404" t="n">
        <v>110000</v>
      </c>
      <c r="X607" s="410" t="inlineStr">
        <is>
          <t>1.5:1</t>
        </is>
      </c>
      <c r="Y607" s="404">
        <f>ROUND(J607,-4)</f>
        <v/>
      </c>
      <c r="Z607" s="403" t="inlineStr">
        <is>
          <t xml:space="preserve">C </t>
        </is>
      </c>
      <c r="AA607" s="605" t="n">
        <v>2</v>
      </c>
      <c r="AB607" s="605" t="n">
        <v>2</v>
      </c>
      <c r="AC607" s="378" t="inlineStr">
        <is>
          <t>22</t>
        </is>
      </c>
      <c r="AD607" s="384" t="n"/>
      <c r="AE607" s="145" t="n"/>
      <c r="AF607" s="145" t="n"/>
      <c r="AG607" s="145" t="n"/>
      <c r="AH607" s="145" t="n"/>
      <c r="AI607" s="145" t="n"/>
      <c r="AJ607" s="145" t="n"/>
      <c r="AK607" s="145" t="inlineStr">
        <is>
          <t xml:space="preserve">S-T WHSE. MO-TO-MO.                                               </t>
        </is>
      </c>
      <c r="AL607" s="605">
        <f>IF(AND(ISNUMBER($S607),$S607&gt;0,ISNUMBER($K607),ISNUMBER($J607)),($K607*$J607)/$S607,"")</f>
        <v/>
      </c>
    </row>
    <row r="608" ht="12.75" customHeight="1" s="545">
      <c r="A608" s="388" t="n">
        <v>8</v>
      </c>
      <c r="B608" s="605" t="n">
        <v>600</v>
      </c>
      <c r="C608" s="384" t="inlineStr">
        <is>
          <t>2009Q</t>
        </is>
      </c>
      <c r="D608" s="605" t="inlineStr">
        <is>
          <t xml:space="preserve">01183-00-058-000 </t>
        </is>
      </c>
      <c r="E608" s="407" t="inlineStr">
        <is>
          <t>Actual</t>
        </is>
      </c>
      <c r="F608" s="605" t="inlineStr">
        <is>
          <t>4201 E 48TH                 AV</t>
        </is>
      </c>
      <c r="G608" s="392" t="n">
        <v>44.2</v>
      </c>
      <c r="H608" s="378" t="n">
        <v>9101</v>
      </c>
      <c r="I608" s="403" t="n">
        <v>0</v>
      </c>
      <c r="J608" s="404" t="n">
        <v>19692</v>
      </c>
      <c r="K608" s="408" t="n">
        <v>2.58988421694089</v>
      </c>
      <c r="L608" s="409" t="n">
        <v>0</v>
      </c>
      <c r="M608" s="409" t="n">
        <v>0</v>
      </c>
      <c r="N608" s="378" t="n">
        <v>1959</v>
      </c>
      <c r="O608" s="393" t="n">
        <v>1400</v>
      </c>
      <c r="Q608" s="605" t="n">
        <v>17</v>
      </c>
      <c r="R608" s="605" t="n">
        <v>3</v>
      </c>
      <c r="S608" s="605" t="n">
        <v>1</v>
      </c>
      <c r="T608" s="403" t="inlineStr">
        <is>
          <t xml:space="preserve">I2   </t>
        </is>
      </c>
      <c r="U608" s="403" t="n">
        <v>398</v>
      </c>
      <c r="V608" s="404" t="n">
        <v>45551</v>
      </c>
      <c r="W608" s="404" t="n">
        <v>46000</v>
      </c>
      <c r="X608" s="410" t="inlineStr">
        <is>
          <t>2.3:1</t>
        </is>
      </c>
      <c r="Y608" s="404">
        <f>ROUND(J608,-3)</f>
        <v/>
      </c>
      <c r="Z608" s="403" t="inlineStr">
        <is>
          <t xml:space="preserve">C </t>
        </is>
      </c>
      <c r="AA608" s="605" t="n">
        <v>2</v>
      </c>
      <c r="AB608" s="605" t="n">
        <v>2</v>
      </c>
      <c r="AC608" s="378" t="inlineStr">
        <is>
          <t>22</t>
        </is>
      </c>
      <c r="AD608" s="384" t="n"/>
      <c r="AE608" s="145" t="n"/>
      <c r="AF608" s="145" t="n"/>
      <c r="AG608" s="145" t="n"/>
      <c r="AH608" s="145" t="n"/>
      <c r="AI608" s="145" t="n"/>
      <c r="AJ608" s="145" t="n"/>
      <c r="AK608" s="145" t="inlineStr">
        <is>
          <t xml:space="preserve">S-T WHSE; MO-TO-MO.                                               </t>
        </is>
      </c>
      <c r="AL608" s="605">
        <f>IF(AND(ISNUMBER($S608),$S608&gt;0,ISNUMBER($K608),ISNUMBER($J608)),($K608*$J608)/$S608,"")</f>
        <v/>
      </c>
    </row>
    <row r="609" ht="12.75" customHeight="1" s="545">
      <c r="A609" s="388" t="n">
        <v>8</v>
      </c>
      <c r="B609" s="605" t="n">
        <v>601</v>
      </c>
      <c r="C609" s="384" t="inlineStr">
        <is>
          <t>2009Q</t>
        </is>
      </c>
      <c r="D609" s="605" t="inlineStr">
        <is>
          <t xml:space="preserve">01183-01-015-000 </t>
        </is>
      </c>
      <c r="E609" s="407" t="inlineStr">
        <is>
          <t>Actual</t>
        </is>
      </c>
      <c r="F609" s="605" t="inlineStr">
        <is>
          <t>4550 E 52ND                 AV</t>
        </is>
      </c>
      <c r="G609" s="392" t="n">
        <v>44.2</v>
      </c>
      <c r="H609" s="378" t="n">
        <v>9101</v>
      </c>
      <c r="I609" s="403" t="n">
        <v>0</v>
      </c>
      <c r="J609" s="404" t="n">
        <v>26010</v>
      </c>
      <c r="K609" s="408" t="n">
        <v>13.840830449827</v>
      </c>
      <c r="L609" s="409" t="n">
        <v>0</v>
      </c>
      <c r="M609" s="409" t="n">
        <v>0</v>
      </c>
      <c r="N609" s="378" t="n">
        <v>1992</v>
      </c>
      <c r="O609" s="393">
        <f>2295*2</f>
        <v/>
      </c>
      <c r="P609" s="393" t="n">
        <v>330</v>
      </c>
      <c r="Q609" s="605" t="n">
        <v>20</v>
      </c>
      <c r="R609" s="605" t="n">
        <v>7</v>
      </c>
      <c r="S609" s="605" t="n">
        <v>1</v>
      </c>
      <c r="T609" s="403" t="inlineStr">
        <is>
          <t xml:space="preserve">I2   </t>
        </is>
      </c>
      <c r="U609" s="403" t="n">
        <v>398</v>
      </c>
      <c r="V609" s="404" t="n">
        <v>81553</v>
      </c>
      <c r="W609" s="404" t="n">
        <v>80000</v>
      </c>
      <c r="X609" s="410" t="inlineStr">
        <is>
          <t>3.1:1</t>
        </is>
      </c>
      <c r="Y609" s="404">
        <f>ROUND(J609,-3)</f>
        <v/>
      </c>
      <c r="Z609" s="403" t="inlineStr">
        <is>
          <t xml:space="preserve">C </t>
        </is>
      </c>
      <c r="AA609" s="605" t="n">
        <v>3</v>
      </c>
      <c r="AB609" s="605" t="n">
        <v>3</v>
      </c>
      <c r="AC609" s="378" t="inlineStr">
        <is>
          <t>33</t>
        </is>
      </c>
      <c r="AD609" s="384" t="inlineStr">
        <is>
          <t>S-W AMERICAN ROOFING</t>
        </is>
      </c>
      <c r="AE609" s="145" t="n"/>
      <c r="AF609" s="145" t="n"/>
      <c r="AG609" s="145" t="n"/>
      <c r="AH609" s="145" t="n"/>
      <c r="AI609" s="145" t="n"/>
      <c r="AJ609" s="145" t="n"/>
      <c r="AK609" s="145" t="inlineStr">
        <is>
          <t xml:space="preserve">S-T WHSES.; LEASE ORIGINATED IN 1989.                             </t>
        </is>
      </c>
      <c r="AL609" s="605">
        <f>IF(AND(ISNUMBER($S609),$S609&gt;0,ISNUMBER($K609),ISNUMBER($J609)),($K609*$J609)/$S609,"")</f>
        <v/>
      </c>
    </row>
    <row r="610" ht="12.75" customHeight="1" s="545">
      <c r="A610" s="388" t="n">
        <v>8</v>
      </c>
      <c r="B610" s="605" t="n">
        <v>602</v>
      </c>
      <c r="C610" s="384" t="inlineStr">
        <is>
          <t>2009Q</t>
        </is>
      </c>
      <c r="D610" s="605" t="inlineStr">
        <is>
          <t xml:space="preserve">01183-02-011-000 </t>
        </is>
      </c>
      <c r="E610" s="407" t="inlineStr">
        <is>
          <t>Actual</t>
        </is>
      </c>
      <c r="F610" s="605" t="inlineStr">
        <is>
          <t>4770 E 51ST                 AV</t>
        </is>
      </c>
      <c r="G610" s="392" t="n">
        <v>44.7</v>
      </c>
      <c r="H610" s="378" t="n">
        <v>9101</v>
      </c>
      <c r="I610" s="403" t="n">
        <v>0</v>
      </c>
      <c r="J610" s="404" t="n">
        <v>101883</v>
      </c>
      <c r="K610" s="408" t="n">
        <v>3.1826212420129</v>
      </c>
      <c r="L610" s="409" t="n">
        <v>0</v>
      </c>
      <c r="M610" s="409" t="n">
        <v>0</v>
      </c>
      <c r="N610" s="378" t="n">
        <v>1974</v>
      </c>
      <c r="O610" s="393">
        <f>16800+8047</f>
        <v/>
      </c>
      <c r="Q610" s="605" t="n">
        <v>24</v>
      </c>
      <c r="R610" s="605" t="n">
        <v>10</v>
      </c>
      <c r="S610" s="605" t="n">
        <v>1</v>
      </c>
      <c r="T610" s="403" t="inlineStr">
        <is>
          <t xml:space="preserve">I2   </t>
        </is>
      </c>
      <c r="U610" s="403" t="n">
        <v>398</v>
      </c>
      <c r="V610" s="404" t="n">
        <v>261000</v>
      </c>
      <c r="W610" s="404" t="n">
        <v>260000</v>
      </c>
      <c r="X610" s="410" t="inlineStr">
        <is>
          <t>2.6:1</t>
        </is>
      </c>
      <c r="Y610" s="404">
        <f>ROUND(J610,-4)</f>
        <v/>
      </c>
      <c r="Z610" s="403" t="inlineStr">
        <is>
          <t xml:space="preserve">C </t>
        </is>
      </c>
      <c r="AA610" s="605" t="n">
        <v>3</v>
      </c>
      <c r="AB610" s="605" t="n">
        <v>3</v>
      </c>
      <c r="AC610" s="378" t="inlineStr">
        <is>
          <t>33</t>
        </is>
      </c>
      <c r="AD610" s="384" t="inlineStr">
        <is>
          <t>MILE-HI FROZEN FOODS</t>
        </is>
      </c>
      <c r="AE610" s="145" t="n"/>
      <c r="AF610" s="145" t="n"/>
      <c r="AG610" s="145" t="n"/>
      <c r="AH610" s="145" t="n"/>
      <c r="AI610" s="145" t="n"/>
      <c r="AJ610" s="145" t="n"/>
      <c r="AK610" s="145" t="inlineStr">
        <is>
          <t xml:space="preserve">S-T WHSE.; DATE OF LEASE UNKNOWN.                                 </t>
        </is>
      </c>
      <c r="AL610" s="605">
        <f>IF(AND(ISNUMBER($S610),$S610&gt;0,ISNUMBER($K610),ISNUMBER($J610)),($K610*$J610)/$S610,"")</f>
        <v/>
      </c>
    </row>
    <row r="611" ht="12.75" customHeight="1" s="545">
      <c r="A611" s="388" t="n">
        <v>8</v>
      </c>
      <c r="B611" s="605" t="n">
        <v>603</v>
      </c>
      <c r="C611" s="384" t="inlineStr">
        <is>
          <t>2009Q</t>
        </is>
      </c>
      <c r="D611" s="605" t="inlineStr">
        <is>
          <t xml:space="preserve">01183-02-012-000 </t>
        </is>
      </c>
      <c r="E611" s="407" t="inlineStr">
        <is>
          <t>Actual</t>
        </is>
      </c>
      <c r="F611" s="605" t="inlineStr">
        <is>
          <t>4501 E 50TH                 AV</t>
        </is>
      </c>
      <c r="G611" s="392" t="n">
        <v>44.7</v>
      </c>
      <c r="H611" s="378" t="n">
        <v>9101</v>
      </c>
      <c r="I611" s="403" t="n">
        <v>0</v>
      </c>
      <c r="J611" s="404" t="n">
        <v>104748</v>
      </c>
      <c r="K611" s="408" t="n">
        <v>5.3141253293619</v>
      </c>
      <c r="L611" s="409" t="n">
        <v>0</v>
      </c>
      <c r="M611" s="409" t="n">
        <v>0</v>
      </c>
      <c r="N611" s="378" t="n">
        <v>1973</v>
      </c>
      <c r="O611" s="393">
        <f>529+2475+512</f>
        <v/>
      </c>
      <c r="Q611" s="605" t="n">
        <v>27</v>
      </c>
      <c r="R611" s="605" t="n">
        <v>3</v>
      </c>
      <c r="S611" s="605" t="n">
        <v>2</v>
      </c>
      <c r="T611" s="403" t="inlineStr">
        <is>
          <t xml:space="preserve">I2   </t>
        </is>
      </c>
      <c r="U611" s="403" t="n">
        <v>398</v>
      </c>
      <c r="V611" s="404" t="n">
        <v>261359</v>
      </c>
      <c r="W611" s="404" t="n">
        <v>260000</v>
      </c>
      <c r="X611" s="410" t="inlineStr">
        <is>
          <t>2.5:1</t>
        </is>
      </c>
      <c r="Y611" s="404">
        <f>ROUND(J611,-4)</f>
        <v/>
      </c>
      <c r="Z611" s="403" t="inlineStr">
        <is>
          <t xml:space="preserve">C </t>
        </is>
      </c>
      <c r="AA611" s="605" t="n">
        <v>3</v>
      </c>
      <c r="AB611" s="605" t="n">
        <v>3</v>
      </c>
      <c r="AC611" s="378" t="inlineStr">
        <is>
          <t>33</t>
        </is>
      </c>
      <c r="AD611" s="384" t="inlineStr">
        <is>
          <t>MILE HIGH FROZEN FOO</t>
        </is>
      </c>
      <c r="AE611" s="145" t="n"/>
      <c r="AF611" s="145" t="n"/>
      <c r="AG611" s="145" t="n"/>
      <c r="AH611" s="145" t="n"/>
      <c r="AI611" s="145" t="n"/>
      <c r="AJ611" s="145" t="n"/>
      <c r="AK611" s="145" t="inlineStr">
        <is>
          <t xml:space="preserve">S-T WHSE.; YR. TO YR. LEASE.                                      </t>
        </is>
      </c>
      <c r="AL611" s="605">
        <f>IF(AND(ISNUMBER($S611),$S611&gt;0,ISNUMBER($K611),ISNUMBER($J611)),($K611*$J611)/$S611,"")</f>
        <v/>
      </c>
    </row>
    <row r="612" ht="12.75" customHeight="1" s="545">
      <c r="A612" s="388" t="n">
        <v>8</v>
      </c>
      <c r="B612" s="605" t="n">
        <v>604</v>
      </c>
      <c r="C612" s="384" t="inlineStr">
        <is>
          <t>2009Q</t>
        </is>
      </c>
      <c r="D612" s="605" t="inlineStr">
        <is>
          <t xml:space="preserve">01183-02-016-000 </t>
        </is>
      </c>
      <c r="E612" s="407" t="inlineStr">
        <is>
          <t>Actual</t>
        </is>
      </c>
      <c r="F612" s="605" t="inlineStr">
        <is>
          <t>5075   DAHLIA               ST</t>
        </is>
      </c>
      <c r="G612" s="392" t="n">
        <v>44.7</v>
      </c>
      <c r="H612" s="378" t="n">
        <v>9101</v>
      </c>
      <c r="I612" s="403" t="n">
        <v>0</v>
      </c>
      <c r="J612" s="404" t="n">
        <v>13066</v>
      </c>
      <c r="K612" s="408" t="n">
        <v>3.73105770702587</v>
      </c>
      <c r="L612" s="409" t="n">
        <v>0</v>
      </c>
      <c r="M612" s="409" t="n">
        <v>0.00176410256410256</v>
      </c>
      <c r="N612" s="378" t="n">
        <v>1966</v>
      </c>
      <c r="O612" s="393" t="n">
        <v>1560</v>
      </c>
      <c r="Q612" s="605" t="n">
        <v>20</v>
      </c>
      <c r="R612" s="605" t="n">
        <v>3</v>
      </c>
      <c r="S612" s="605" t="n">
        <v>2</v>
      </c>
      <c r="T612" s="403" t="inlineStr">
        <is>
          <t xml:space="preserve">I2   </t>
        </is>
      </c>
      <c r="U612" s="403" t="n">
        <v>398</v>
      </c>
      <c r="V612" s="404" t="n">
        <v>18315</v>
      </c>
      <c r="W612" s="404" t="n">
        <v>18000</v>
      </c>
      <c r="X612" s="410" t="inlineStr">
        <is>
          <t>1.4:1</t>
        </is>
      </c>
      <c r="Y612" s="404">
        <f>ROUND(J612,-3)</f>
        <v/>
      </c>
      <c r="Z612" s="403" t="inlineStr">
        <is>
          <t xml:space="preserve">C </t>
        </is>
      </c>
      <c r="AA612" s="605" t="n">
        <v>3</v>
      </c>
      <c r="AB612" s="605" t="n">
        <v>3</v>
      </c>
      <c r="AC612" s="378" t="inlineStr">
        <is>
          <t>33</t>
        </is>
      </c>
      <c r="AD612" s="384" t="n"/>
      <c r="AE612" s="145" t="n"/>
      <c r="AF612" s="145" t="n"/>
      <c r="AG612" s="145" t="n"/>
      <c r="AH612" s="145" t="n"/>
      <c r="AI612" s="145" t="n"/>
      <c r="AJ612" s="145" t="n"/>
      <c r="AK612" s="145" t="inlineStr">
        <is>
          <t xml:space="preserve">S-T WHSE; YR. TO YR.                                              </t>
        </is>
      </c>
      <c r="AL612" s="605">
        <f>IF(AND(ISNUMBER($S612),$S612&gt;0,ISNUMBER($K612),ISNUMBER($J612)),($K612*$J612)/$S612,"")</f>
        <v/>
      </c>
    </row>
    <row r="613" ht="12.75" customHeight="1" s="545">
      <c r="A613" s="388" t="n">
        <v>8</v>
      </c>
      <c r="B613" s="605" t="n">
        <v>605</v>
      </c>
      <c r="C613" s="384" t="inlineStr">
        <is>
          <t>2009Q</t>
        </is>
      </c>
      <c r="D613" s="605" t="inlineStr">
        <is>
          <t xml:space="preserve">01183-02-017-000 </t>
        </is>
      </c>
      <c r="E613" s="407" t="inlineStr">
        <is>
          <t>Actual</t>
        </is>
      </c>
      <c r="F613" s="605" t="inlineStr">
        <is>
          <t>5025   DAHLIA               ST</t>
        </is>
      </c>
      <c r="G613" s="392" t="n">
        <v>44.2</v>
      </c>
      <c r="H613" s="378" t="n">
        <v>9101</v>
      </c>
      <c r="I613" s="403" t="n">
        <v>0</v>
      </c>
      <c r="J613" s="404" t="n">
        <v>11440</v>
      </c>
      <c r="K613" s="408" t="n">
        <v>6.81818181818182</v>
      </c>
      <c r="L613" s="409" t="n">
        <v>0</v>
      </c>
      <c r="M613" s="409" t="n">
        <v>0.0461025641025641</v>
      </c>
      <c r="N613" s="378" t="n">
        <v>1974</v>
      </c>
      <c r="O613" s="393" t="n">
        <v>1564</v>
      </c>
      <c r="Q613" s="605" t="n">
        <v>22</v>
      </c>
      <c r="R613" s="605" t="n">
        <v>1</v>
      </c>
      <c r="S613" s="605" t="n">
        <v>1</v>
      </c>
      <c r="T613" s="403" t="inlineStr">
        <is>
          <t xml:space="preserve">I2   </t>
        </is>
      </c>
      <c r="U613" s="403" t="n">
        <v>398</v>
      </c>
      <c r="V613" s="404" t="n">
        <v>21764</v>
      </c>
      <c r="W613" s="404" t="n">
        <v>22000</v>
      </c>
      <c r="X613" s="410" t="inlineStr">
        <is>
          <t>1.9:1</t>
        </is>
      </c>
      <c r="Y613" s="404">
        <f>ROUND(J613,-3)</f>
        <v/>
      </c>
      <c r="Z613" s="403" t="inlineStr">
        <is>
          <t xml:space="preserve">C </t>
        </is>
      </c>
      <c r="AA613" s="605" t="n">
        <v>3</v>
      </c>
      <c r="AB613" s="605" t="n">
        <v>3</v>
      </c>
      <c r="AC613" s="378" t="inlineStr">
        <is>
          <t>33</t>
        </is>
      </c>
      <c r="AD613" s="384" t="n"/>
      <c r="AE613" s="145" t="n"/>
      <c r="AF613" s="145" t="n"/>
      <c r="AG613" s="145" t="n"/>
      <c r="AH613" s="145" t="n"/>
      <c r="AI613" s="145" t="n"/>
      <c r="AJ613" s="145" t="n"/>
      <c r="AK613" s="145" t="inlineStr">
        <is>
          <t xml:space="preserve">M-T WHSE.                                                         </t>
        </is>
      </c>
      <c r="AL613" s="605">
        <f>IF(AND(ISNUMBER($S613),$S613&gt;0,ISNUMBER($K613),ISNUMBER($J613)),($K613*$J613)/$S613,"")</f>
        <v/>
      </c>
    </row>
    <row r="614" ht="12.75" customHeight="1" s="545">
      <c r="A614" s="388" t="n">
        <v>8</v>
      </c>
      <c r="B614" s="605" t="n">
        <v>606</v>
      </c>
      <c r="C614" s="384" t="inlineStr">
        <is>
          <t>2009Q</t>
        </is>
      </c>
      <c r="D614" s="605" t="inlineStr">
        <is>
          <t xml:space="preserve">01184-00-015-000 </t>
        </is>
      </c>
      <c r="E614" s="407" t="inlineStr">
        <is>
          <t>Actual</t>
        </is>
      </c>
      <c r="F614" s="605" t="inlineStr">
        <is>
          <t>4990   DAHLIA               ST</t>
        </is>
      </c>
      <c r="G614" s="392" t="n">
        <v>44.2</v>
      </c>
      <c r="H614" s="378" t="n">
        <v>9101</v>
      </c>
      <c r="I614" s="403" t="n">
        <v>0</v>
      </c>
      <c r="J614" s="404" t="n">
        <v>81475</v>
      </c>
      <c r="K614" s="408" t="n">
        <v>5.10046026388463</v>
      </c>
      <c r="L614" s="409" t="n">
        <v>0</v>
      </c>
      <c r="M614" s="409" t="n">
        <v>0.321397632110887</v>
      </c>
      <c r="N614" s="378" t="n">
        <v>1966</v>
      </c>
      <c r="O614" s="393" t="n">
        <v>4080</v>
      </c>
      <c r="P614" s="393" t="n">
        <v>1225</v>
      </c>
      <c r="Q614" s="605" t="n">
        <v>30</v>
      </c>
      <c r="R614" s="605" t="n">
        <v>3</v>
      </c>
      <c r="S614" s="605" t="n">
        <v>1</v>
      </c>
      <c r="T614" s="403" t="inlineStr">
        <is>
          <t xml:space="preserve">I2   </t>
        </is>
      </c>
      <c r="U614" s="403" t="n">
        <v>398</v>
      </c>
      <c r="V614" s="404" t="n">
        <v>169045</v>
      </c>
      <c r="W614" s="404" t="n">
        <v>170000</v>
      </c>
      <c r="X614" s="410" t="inlineStr">
        <is>
          <t>2.1:1</t>
        </is>
      </c>
      <c r="Y614" s="404">
        <f>ROUND(J614,-4)</f>
        <v/>
      </c>
      <c r="Z614" s="403" t="inlineStr">
        <is>
          <t xml:space="preserve">C </t>
        </is>
      </c>
      <c r="AA614" s="605" t="n">
        <v>3</v>
      </c>
      <c r="AB614" s="605" t="n">
        <v>3</v>
      </c>
      <c r="AC614" s="378" t="inlineStr">
        <is>
          <t>33</t>
        </is>
      </c>
      <c r="AD614" s="384" t="inlineStr">
        <is>
          <t>S-W AMICK MOVING&amp;STR</t>
        </is>
      </c>
      <c r="AE614" s="145" t="n"/>
      <c r="AF614" s="145" t="n"/>
      <c r="AG614" s="145" t="n"/>
      <c r="AH614" s="145" t="n"/>
      <c r="AI614" s="145" t="n"/>
      <c r="AJ614" s="145" t="n"/>
      <c r="AK614" s="145" t="inlineStr">
        <is>
          <t xml:space="preserve">S-T WHSE; GPMS                                                    </t>
        </is>
      </c>
      <c r="AL614" s="605">
        <f>IF(AND(ISNUMBER($S614),$S614&gt;0,ISNUMBER($K614),ISNUMBER($J614)),($K614*$J614)/$S614,"")</f>
        <v/>
      </c>
    </row>
    <row r="615" ht="12.75" customHeight="1" s="545">
      <c r="A615" s="388" t="n">
        <v>8</v>
      </c>
      <c r="B615" s="605" t="n">
        <v>607</v>
      </c>
      <c r="C615" s="384" t="inlineStr">
        <is>
          <t>2009Q</t>
        </is>
      </c>
      <c r="D615" s="605" t="inlineStr">
        <is>
          <t xml:space="preserve">01184-00-016-000 </t>
        </is>
      </c>
      <c r="E615" s="407" t="inlineStr">
        <is>
          <t>Actual</t>
        </is>
      </c>
      <c r="F615" s="605" t="inlineStr">
        <is>
          <t>4900   DAHLIA               ST</t>
        </is>
      </c>
      <c r="G615" s="392" t="n">
        <v>44.2</v>
      </c>
      <c r="H615" s="378" t="n">
        <v>9101</v>
      </c>
      <c r="I615" s="403" t="n">
        <v>0</v>
      </c>
      <c r="J615" s="404" t="n">
        <v>40200</v>
      </c>
      <c r="K615" s="408" t="n">
        <v>3.37485074626866</v>
      </c>
      <c r="L615" s="409" t="n">
        <v>0</v>
      </c>
      <c r="M615" s="409" t="n">
        <v>0.0390140710110637</v>
      </c>
      <c r="N615" s="378" t="n">
        <v>1966</v>
      </c>
      <c r="Q615" s="605" t="n">
        <v>30</v>
      </c>
      <c r="R615" s="605" t="n">
        <v>1</v>
      </c>
      <c r="S615" s="605" t="n">
        <v>1</v>
      </c>
      <c r="T615" s="403" t="inlineStr">
        <is>
          <t xml:space="preserve">I2   </t>
        </is>
      </c>
      <c r="U615" s="403" t="n">
        <v>398</v>
      </c>
      <c r="V615" s="404" t="n">
        <v>102703</v>
      </c>
      <c r="W615" s="404" t="n">
        <v>100000</v>
      </c>
      <c r="X615" s="410" t="inlineStr">
        <is>
          <t>2.6:1</t>
        </is>
      </c>
      <c r="Y615" s="404">
        <f>ROUND(J615,-3)</f>
        <v/>
      </c>
      <c r="Z615" s="403" t="inlineStr">
        <is>
          <t xml:space="preserve">C </t>
        </is>
      </c>
      <c r="AA615" s="605" t="n">
        <v>2</v>
      </c>
      <c r="AB615" s="605" t="n">
        <v>3</v>
      </c>
      <c r="AC615" s="378" t="inlineStr">
        <is>
          <t>23</t>
        </is>
      </c>
      <c r="AD615" s="384" t="inlineStr">
        <is>
          <t xml:space="preserve">AMERICAN WHSE       </t>
        </is>
      </c>
      <c r="AE615" s="145" t="n"/>
      <c r="AF615" s="145" t="n"/>
      <c r="AG615" s="145" t="n"/>
      <c r="AH615" s="145" t="n"/>
      <c r="AI615" s="145" t="n"/>
      <c r="AJ615" s="145" t="n"/>
      <c r="AK615" s="145" t="inlineStr">
        <is>
          <t xml:space="preserve">S-T WHSE.                                                         </t>
        </is>
      </c>
      <c r="AL615" s="605">
        <f>IF(AND(ISNUMBER($S615),$S615&gt;0,ISNUMBER($K615),ISNUMBER($J615)),($K615*$J615)/$S615,"")</f>
        <v/>
      </c>
    </row>
    <row r="616" ht="12.75" customHeight="1" s="545">
      <c r="A616" s="388" t="n">
        <v>8</v>
      </c>
      <c r="B616" s="605" t="n">
        <v>608</v>
      </c>
      <c r="C616" s="384" t="inlineStr">
        <is>
          <t>2009Q</t>
        </is>
      </c>
      <c r="D616" s="605" t="inlineStr">
        <is>
          <t xml:space="preserve">01184-00-020-000 </t>
        </is>
      </c>
      <c r="E616" s="407" t="inlineStr">
        <is>
          <t>Actual</t>
        </is>
      </c>
      <c r="F616" s="605" t="inlineStr">
        <is>
          <t>4800   DAHLIA               ST</t>
        </is>
      </c>
      <c r="G616" s="392" t="n">
        <v>44.4</v>
      </c>
      <c r="H616" s="378" t="n">
        <v>9101</v>
      </c>
      <c r="I616" s="403" t="n">
        <v>0</v>
      </c>
      <c r="J616" s="404" t="n">
        <v>28015</v>
      </c>
      <c r="K616" s="408" t="n">
        <v>4.45796894520793</v>
      </c>
      <c r="L616" s="409" t="n">
        <v>0.228449045154382</v>
      </c>
      <c r="M616" s="409" t="n">
        <v>0.271775162142686</v>
      </c>
      <c r="N616" s="378" t="n">
        <v>1959</v>
      </c>
      <c r="O616" s="393">
        <f>2630+5166</f>
        <v/>
      </c>
      <c r="P616" s="393" t="n">
        <v>5142</v>
      </c>
      <c r="Q616" s="605" t="n">
        <v>22</v>
      </c>
      <c r="R616" s="605" t="n">
        <v>1</v>
      </c>
      <c r="S616" s="605" t="n">
        <v>1</v>
      </c>
      <c r="T616" s="403" t="inlineStr">
        <is>
          <t xml:space="preserve">I2   </t>
        </is>
      </c>
      <c r="U616" s="403" t="n">
        <v>398</v>
      </c>
      <c r="V616" s="404" t="n">
        <v>239703</v>
      </c>
      <c r="W616" s="404" t="n">
        <v>240000</v>
      </c>
      <c r="X616" s="410" t="inlineStr">
        <is>
          <t>2.3:1</t>
        </is>
      </c>
      <c r="Y616" s="404">
        <f>ROUND(J616,-3)</f>
        <v/>
      </c>
      <c r="Z616" s="403" t="inlineStr">
        <is>
          <t xml:space="preserve">C </t>
        </is>
      </c>
      <c r="AA616" s="605" t="n">
        <v>3</v>
      </c>
      <c r="AB616" s="605" t="n">
        <v>3</v>
      </c>
      <c r="AC616" s="378" t="inlineStr">
        <is>
          <t>33</t>
        </is>
      </c>
      <c r="AD616" s="384" t="inlineStr">
        <is>
          <t>S-F-WHOLESALE FLORST</t>
        </is>
      </c>
      <c r="AE616" s="145" t="n"/>
      <c r="AF616" s="145" t="n"/>
      <c r="AG616" s="145" t="n"/>
      <c r="AH616" s="145" t="n"/>
      <c r="AI616" s="145" t="n"/>
      <c r="AJ616" s="145" t="n"/>
      <c r="AK616" s="145" t="inlineStr">
        <is>
          <t xml:space="preserve">M-T WHSE.                                                         </t>
        </is>
      </c>
      <c r="AL616" s="605">
        <f>IF(AND(ISNUMBER($S616),$S616&gt;0,ISNUMBER($K616),ISNUMBER($J616)),($K616*$J616)/$S616,"")</f>
        <v/>
      </c>
    </row>
    <row r="617" ht="12.75" customHeight="1" s="545">
      <c r="A617" s="388" t="n">
        <v>8</v>
      </c>
      <c r="B617" s="605" t="n">
        <v>609</v>
      </c>
      <c r="C617" s="384" t="inlineStr">
        <is>
          <t>2009Q</t>
        </is>
      </c>
      <c r="D617" s="605" t="inlineStr">
        <is>
          <t xml:space="preserve">01184-01-004-000 </t>
        </is>
      </c>
      <c r="E617" s="407" t="inlineStr">
        <is>
          <t>Actual</t>
        </is>
      </c>
      <c r="F617" s="605" t="inlineStr">
        <is>
          <t>5199 E 48TH                 AV</t>
        </is>
      </c>
      <c r="G617" s="392" t="n">
        <v>44.2</v>
      </c>
      <c r="H617" s="378" t="n">
        <v>9101</v>
      </c>
      <c r="I617" s="403" t="n">
        <v>0</v>
      </c>
      <c r="J617" s="404" t="n">
        <v>14222</v>
      </c>
      <c r="K617" s="408" t="n">
        <v>5.06257910279848</v>
      </c>
      <c r="L617" s="409" t="n">
        <v>0</v>
      </c>
      <c r="M617" s="409" t="n">
        <v>0</v>
      </c>
      <c r="N617" s="378" t="n">
        <v>1986</v>
      </c>
      <c r="O617" s="393" t="n">
        <v>1731</v>
      </c>
      <c r="Q617" s="605" t="n">
        <v>18</v>
      </c>
      <c r="R617" s="605" t="n">
        <v>8</v>
      </c>
      <c r="S617" s="605" t="n">
        <v>1</v>
      </c>
      <c r="T617" s="403" t="inlineStr">
        <is>
          <t xml:space="preserve">I2   </t>
        </is>
      </c>
      <c r="U617" s="403" t="n">
        <v>398</v>
      </c>
      <c r="V617" s="404" t="n">
        <v>99260</v>
      </c>
      <c r="W617" s="404" t="n">
        <v>100000</v>
      </c>
      <c r="X617" s="410" t="inlineStr">
        <is>
          <t>7.0:1</t>
        </is>
      </c>
      <c r="Y617" s="404">
        <f>ROUND(J617,-3)</f>
        <v/>
      </c>
      <c r="Z617" s="403" t="inlineStr">
        <is>
          <t xml:space="preserve">C </t>
        </is>
      </c>
      <c r="AA617" s="605" t="n">
        <v>3</v>
      </c>
      <c r="AB617" s="605" t="n">
        <v>3</v>
      </c>
      <c r="AC617" s="378" t="inlineStr">
        <is>
          <t>33</t>
        </is>
      </c>
      <c r="AD617" s="384" t="inlineStr">
        <is>
          <t xml:space="preserve">CENTRAL STATES HOSE </t>
        </is>
      </c>
      <c r="AE617" s="145" t="n"/>
      <c r="AF617" s="145" t="n"/>
      <c r="AG617" s="145" t="n"/>
      <c r="AH617" s="145" t="n"/>
      <c r="AI617" s="145" t="n"/>
      <c r="AJ617" s="145" t="n"/>
      <c r="AK617" s="145" t="inlineStr">
        <is>
          <t xml:space="preserve">S-T WHSE.                                                         </t>
        </is>
      </c>
      <c r="AL617" s="605">
        <f>IF(AND(ISNUMBER($S617),$S617&gt;0,ISNUMBER($K617),ISNUMBER($J617)),($K617*$J617)/$S617,"")</f>
        <v/>
      </c>
    </row>
    <row r="618" ht="12.75" customHeight="1" s="545">
      <c r="A618" s="388" t="n">
        <v>8</v>
      </c>
      <c r="B618" s="605" t="n">
        <v>610</v>
      </c>
      <c r="C618" s="384" t="inlineStr">
        <is>
          <t>2009Q</t>
        </is>
      </c>
      <c r="D618" s="605" t="inlineStr">
        <is>
          <t xml:space="preserve">01184-01-006-000 </t>
        </is>
      </c>
      <c r="E618" s="407" t="inlineStr">
        <is>
          <t>Actual</t>
        </is>
      </c>
      <c r="F618" s="605" t="inlineStr">
        <is>
          <t>4851   FOREST               ST</t>
        </is>
      </c>
      <c r="G618" s="392" t="n">
        <v>44.2</v>
      </c>
      <c r="H618" s="378" t="n">
        <v>9101</v>
      </c>
      <c r="I618" s="403" t="n">
        <v>0</v>
      </c>
      <c r="J618" s="404" t="n">
        <v>6480</v>
      </c>
      <c r="K618" s="408" t="n">
        <v>9.25925925925926</v>
      </c>
      <c r="L618" s="409" t="n">
        <v>0</v>
      </c>
      <c r="M618" s="409" t="n">
        <v>0</v>
      </c>
      <c r="N618" s="378" t="n">
        <v>1987</v>
      </c>
      <c r="O618" s="393" t="n">
        <v>1744</v>
      </c>
      <c r="Q618" s="605" t="n">
        <v>16</v>
      </c>
      <c r="R618" s="605" t="n">
        <v>8</v>
      </c>
      <c r="S618" s="605" t="n">
        <v>1</v>
      </c>
      <c r="T618" s="403" t="inlineStr">
        <is>
          <t xml:space="preserve">I2   </t>
        </is>
      </c>
      <c r="U618" s="403" t="n">
        <v>398</v>
      </c>
      <c r="V618" s="404" t="n">
        <v>45216</v>
      </c>
      <c r="W618" s="404" t="n">
        <v>45000</v>
      </c>
      <c r="X618" s="410" t="inlineStr">
        <is>
          <t>7.0:1</t>
        </is>
      </c>
      <c r="Y618" s="404">
        <f>ROUND(J618,-3)</f>
        <v/>
      </c>
      <c r="Z618" s="403" t="inlineStr">
        <is>
          <t xml:space="preserve">C </t>
        </is>
      </c>
      <c r="AA618" s="605" t="n">
        <v>3</v>
      </c>
      <c r="AB618" s="605" t="n">
        <v>3</v>
      </c>
      <c r="AC618" s="378" t="inlineStr">
        <is>
          <t>33</t>
        </is>
      </c>
      <c r="AD618" s="384" t="inlineStr">
        <is>
          <t xml:space="preserve">SEAL MASTER/DENVER  </t>
        </is>
      </c>
      <c r="AE618" s="145" t="n"/>
      <c r="AF618" s="145" t="n"/>
      <c r="AG618" s="145" t="n"/>
      <c r="AH618" s="145" t="n"/>
      <c r="AI618" s="145" t="n"/>
      <c r="AJ618" s="145" t="n"/>
      <c r="AK618" s="145" t="inlineStr">
        <is>
          <t xml:space="preserve">S-T WHSE; SEALMASTER                                              </t>
        </is>
      </c>
      <c r="AL618" s="605">
        <f>IF(AND(ISNUMBER($S618),$S618&gt;0,ISNUMBER($K618),ISNUMBER($J618)),($K618*$J618)/$S618,"")</f>
        <v/>
      </c>
    </row>
    <row r="619" ht="12.75" customHeight="1" s="545">
      <c r="A619" s="388" t="n">
        <v>8</v>
      </c>
      <c r="B619" s="605" t="n">
        <v>611</v>
      </c>
      <c r="C619" s="384" t="inlineStr">
        <is>
          <t>2009Q</t>
        </is>
      </c>
      <c r="D619" s="605" t="inlineStr">
        <is>
          <t xml:space="preserve">01191-00-014-000 </t>
        </is>
      </c>
      <c r="E619" s="407" t="inlineStr">
        <is>
          <t>Actual</t>
        </is>
      </c>
      <c r="F619" s="605" t="inlineStr">
        <is>
          <t>4343   HOLLY                ST</t>
        </is>
      </c>
      <c r="G619" s="392" t="n">
        <v>44.1</v>
      </c>
      <c r="H619" s="378" t="n">
        <v>9101</v>
      </c>
      <c r="I619" s="403" t="n">
        <v>0</v>
      </c>
      <c r="J619" s="404" t="n">
        <v>36789</v>
      </c>
      <c r="K619" s="408" t="n">
        <v>4.89276685965914</v>
      </c>
      <c r="L619" s="409" t="n">
        <v>0</v>
      </c>
      <c r="M619" s="409" t="n">
        <v>0</v>
      </c>
      <c r="N619" s="378" t="n">
        <v>1962</v>
      </c>
      <c r="O619" s="393">
        <f>686+686</f>
        <v/>
      </c>
      <c r="P619" s="393" t="n">
        <v>2245</v>
      </c>
      <c r="Q619" s="605" t="n">
        <v>18</v>
      </c>
      <c r="R619" s="605" t="n">
        <v>1</v>
      </c>
      <c r="S619" s="605" t="n">
        <v>1</v>
      </c>
      <c r="T619" s="403" t="inlineStr">
        <is>
          <t xml:space="preserve">I2   </t>
        </is>
      </c>
      <c r="U619" s="403" t="n">
        <v>398</v>
      </c>
      <c r="V619" s="404" t="n">
        <v>157000</v>
      </c>
      <c r="W619" s="404" t="n">
        <v>160000</v>
      </c>
      <c r="X619" s="410" t="inlineStr">
        <is>
          <t>4.3:1</t>
        </is>
      </c>
      <c r="Y619" s="404">
        <f>ROUND(J619,-3)</f>
        <v/>
      </c>
      <c r="Z619" s="403" t="inlineStr">
        <is>
          <t xml:space="preserve">C </t>
        </is>
      </c>
      <c r="AA619" s="605" t="n">
        <v>3</v>
      </c>
      <c r="AB619" s="605" t="n">
        <v>3</v>
      </c>
      <c r="AC619" s="378" t="inlineStr">
        <is>
          <t>33</t>
        </is>
      </c>
      <c r="AD619" s="384" t="inlineStr">
        <is>
          <t xml:space="preserve">PROCOAT SYSTEMS     </t>
        </is>
      </c>
      <c r="AE619" s="145" t="n"/>
      <c r="AF619" s="145" t="n"/>
      <c r="AG619" s="145" t="n"/>
      <c r="AH619" s="145" t="n"/>
      <c r="AI619" s="145" t="n"/>
      <c r="AJ619" s="145" t="n"/>
      <c r="AK619" s="145" t="inlineStr">
        <is>
          <t xml:space="preserve">S-T WHSE.                                                         </t>
        </is>
      </c>
      <c r="AL619" s="605">
        <f>IF(AND(ISNUMBER($S619),$S619&gt;0,ISNUMBER($K619),ISNUMBER($J619)),($K619*$J619)/$S619,"")</f>
        <v/>
      </c>
    </row>
    <row r="620" ht="12.75" customHeight="1" s="545">
      <c r="A620" s="388" t="n">
        <v>8</v>
      </c>
      <c r="B620" s="605" t="n">
        <v>612</v>
      </c>
      <c r="C620" s="384" t="inlineStr">
        <is>
          <t>2009Q</t>
        </is>
      </c>
      <c r="D620" s="605" t="inlineStr">
        <is>
          <t xml:space="preserve">01191-00-022-000 </t>
        </is>
      </c>
      <c r="E620" s="407" t="inlineStr">
        <is>
          <t>Actual</t>
        </is>
      </c>
      <c r="F620" s="605" t="inlineStr">
        <is>
          <t>4700   DAHLIA               ST</t>
        </is>
      </c>
      <c r="G620" s="392" t="n">
        <v>44.2</v>
      </c>
      <c r="H620" s="378" t="n">
        <v>9101</v>
      </c>
      <c r="I620" s="403" t="n">
        <v>0</v>
      </c>
      <c r="J620" s="404" t="n">
        <v>22808</v>
      </c>
      <c r="K620" s="408" t="n">
        <v>4.78656611715188</v>
      </c>
      <c r="L620" s="409" t="n">
        <v>0</v>
      </c>
      <c r="M620" s="409" t="n">
        <v>0</v>
      </c>
      <c r="N620" s="378" t="n">
        <v>1964</v>
      </c>
      <c r="P620" s="393" t="n">
        <v>2358</v>
      </c>
      <c r="Q620" s="605" t="n">
        <v>18</v>
      </c>
      <c r="R620" s="605" t="n">
        <v>3</v>
      </c>
      <c r="S620" s="605" t="n">
        <v>1</v>
      </c>
      <c r="T620" s="403" t="inlineStr">
        <is>
          <t xml:space="preserve">I2   </t>
        </is>
      </c>
      <c r="U620" s="403" t="n">
        <v>398</v>
      </c>
      <c r="V620" s="404" t="n">
        <v>133478</v>
      </c>
      <c r="W620" s="404" t="n">
        <v>130000</v>
      </c>
      <c r="X620" s="410" t="inlineStr">
        <is>
          <t>5.9:1</t>
        </is>
      </c>
      <c r="Y620" s="404">
        <f>ROUND(J620,-3)</f>
        <v/>
      </c>
      <c r="Z620" s="403" t="inlineStr">
        <is>
          <t xml:space="preserve">C </t>
        </is>
      </c>
      <c r="AA620" s="605" t="n">
        <v>3</v>
      </c>
      <c r="AB620" s="605" t="n">
        <v>3</v>
      </c>
      <c r="AC620" s="378" t="inlineStr">
        <is>
          <t>33</t>
        </is>
      </c>
      <c r="AD620" s="384" t="inlineStr">
        <is>
          <t xml:space="preserve">S-W KEENAN SUPPLY   </t>
        </is>
      </c>
      <c r="AE620" s="145" t="n"/>
      <c r="AF620" s="145" t="n"/>
      <c r="AG620" s="145" t="n"/>
      <c r="AH620" s="145" t="n"/>
      <c r="AI620" s="145" t="n"/>
      <c r="AJ620" s="145" t="n"/>
      <c r="AK620" s="145" t="inlineStr">
        <is>
          <t xml:space="preserve">S-T WHSE.                                                         </t>
        </is>
      </c>
      <c r="AL620" s="605">
        <f>IF(AND(ISNUMBER($S620),$S620&gt;0,ISNUMBER($K620),ISNUMBER($J620)),($K620*$J620)/$S620,"")</f>
        <v/>
      </c>
    </row>
    <row r="621" ht="12.75" customHeight="1" s="545">
      <c r="A621" s="388" t="n">
        <v>8</v>
      </c>
      <c r="B621" s="605" t="n">
        <v>613</v>
      </c>
      <c r="C621" s="384" t="inlineStr">
        <is>
          <t>2009Q</t>
        </is>
      </c>
      <c r="D621" s="605" t="inlineStr">
        <is>
          <t xml:space="preserve">01191-00-052-000 </t>
        </is>
      </c>
      <c r="E621" s="407" t="inlineStr">
        <is>
          <t>Actual</t>
        </is>
      </c>
      <c r="F621" s="605" t="inlineStr">
        <is>
          <t>5555   STAPLETON N          DR</t>
        </is>
      </c>
      <c r="G621" s="392" t="n">
        <v>44.1</v>
      </c>
      <c r="H621" s="378" t="n">
        <v>9101</v>
      </c>
      <c r="I621" s="403" t="n">
        <v>0</v>
      </c>
      <c r="J621" s="404" t="n">
        <v>25200</v>
      </c>
      <c r="K621" s="408" t="n">
        <v>4.81543650793651</v>
      </c>
      <c r="L621" s="409" t="n">
        <v>0</v>
      </c>
      <c r="M621" s="409" t="n">
        <v>0.0278453056885512</v>
      </c>
      <c r="N621" s="378" t="n">
        <v>1965</v>
      </c>
      <c r="O621" s="393" t="n">
        <v>890</v>
      </c>
      <c r="P621" s="393" t="n">
        <v>2400</v>
      </c>
      <c r="Q621" s="605" t="n">
        <v>26</v>
      </c>
      <c r="R621" s="605" t="n">
        <v>10</v>
      </c>
      <c r="S621" s="605" t="n">
        <v>1</v>
      </c>
      <c r="T621" s="403" t="inlineStr">
        <is>
          <t xml:space="preserve">I2   </t>
        </is>
      </c>
      <c r="U621" s="403" t="n">
        <v>398</v>
      </c>
      <c r="V621" s="404" t="n">
        <v>102727</v>
      </c>
      <c r="W621" s="404" t="n">
        <v>100000</v>
      </c>
      <c r="X621" s="410" t="inlineStr">
        <is>
          <t>4.1:1</t>
        </is>
      </c>
      <c r="Y621" s="404">
        <f>ROUND(J621,-3)</f>
        <v/>
      </c>
      <c r="Z621" s="403" t="inlineStr">
        <is>
          <t xml:space="preserve">C </t>
        </is>
      </c>
      <c r="AA621" s="605" t="n">
        <v>3</v>
      </c>
      <c r="AB621" s="605" t="n">
        <v>3</v>
      </c>
      <c r="AC621" s="378" t="inlineStr">
        <is>
          <t>33</t>
        </is>
      </c>
      <c r="AD621" s="384" t="n"/>
      <c r="AE621" s="145" t="n"/>
      <c r="AF621" s="145" t="n"/>
      <c r="AG621" s="145" t="n"/>
      <c r="AH621" s="145" t="n"/>
      <c r="AI621" s="145" t="n"/>
      <c r="AJ621" s="145" t="n"/>
      <c r="AK621" s="145" t="inlineStr">
        <is>
          <t xml:space="preserve">S-T WHSE.                                                         </t>
        </is>
      </c>
      <c r="AL621" s="605">
        <f>IF(AND(ISNUMBER($S621),$S621&gt;0,ISNUMBER($K621),ISNUMBER($J621)),($K621*$J621)/$S621,"")</f>
        <v/>
      </c>
    </row>
    <row r="622" ht="12.75" customHeight="1" s="545">
      <c r="A622" s="388" t="n">
        <v>8</v>
      </c>
      <c r="B622" s="605" t="n">
        <v>614</v>
      </c>
      <c r="C622" s="384" t="inlineStr">
        <is>
          <t>2009Q</t>
        </is>
      </c>
      <c r="D622" s="605" t="inlineStr">
        <is>
          <t xml:space="preserve">01192-00-042-000 </t>
        </is>
      </c>
      <c r="E622" s="407" t="inlineStr">
        <is>
          <t>Actual</t>
        </is>
      </c>
      <c r="F622" s="605" t="inlineStr">
        <is>
          <t>4600 E 48TH                 AV</t>
        </is>
      </c>
      <c r="G622" s="392" t="n">
        <v>44.1</v>
      </c>
      <c r="H622" s="378" t="n">
        <v>9101</v>
      </c>
      <c r="I622" s="403" t="n">
        <v>0</v>
      </c>
      <c r="J622" s="404" t="n">
        <v>82122</v>
      </c>
      <c r="K622" s="408" t="n">
        <v>3.33193297776479</v>
      </c>
      <c r="L622" s="409" t="n">
        <v>0</v>
      </c>
      <c r="M622" s="409" t="n">
        <v>0</v>
      </c>
      <c r="N622" s="378" t="n">
        <v>1957</v>
      </c>
      <c r="O622" s="393">
        <f>3330+16342</f>
        <v/>
      </c>
      <c r="Q622" s="605" t="n">
        <v>17</v>
      </c>
      <c r="R622" s="605" t="n">
        <v>1</v>
      </c>
      <c r="S622" s="605" t="n">
        <v>1</v>
      </c>
      <c r="T622" s="403" t="inlineStr">
        <is>
          <t xml:space="preserve">I2   </t>
        </is>
      </c>
      <c r="U622" s="403" t="n">
        <v>398</v>
      </c>
      <c r="V622" s="404" t="n">
        <v>133546</v>
      </c>
      <c r="W622" s="404" t="n">
        <v>130000</v>
      </c>
      <c r="X622" s="410" t="inlineStr">
        <is>
          <t>1.6:1</t>
        </is>
      </c>
      <c r="Y622" s="404">
        <f>ROUND(J622,-4)</f>
        <v/>
      </c>
      <c r="Z622" s="403" t="inlineStr">
        <is>
          <t xml:space="preserve">C </t>
        </is>
      </c>
      <c r="AA622" s="605" t="n">
        <v>3</v>
      </c>
      <c r="AB622" s="605" t="n">
        <v>3</v>
      </c>
      <c r="AC622" s="378" t="inlineStr">
        <is>
          <t>33</t>
        </is>
      </c>
      <c r="AD622" s="384" t="n"/>
      <c r="AE622" s="145" t="n"/>
      <c r="AF622" s="145" t="n"/>
      <c r="AG622" s="145" t="n"/>
      <c r="AH622" s="145" t="n"/>
      <c r="AI622" s="145" t="n"/>
      <c r="AJ622" s="145" t="n"/>
      <c r="AK622" s="145" t="inlineStr">
        <is>
          <t xml:space="preserve">S-T WHSE.; 2006 LEASE.                                            </t>
        </is>
      </c>
      <c r="AL622" s="605">
        <f>IF(AND(ISNUMBER($S622),$S622&gt;0,ISNUMBER($K622),ISNUMBER($J622)),($K622*$J622)/$S622,"")</f>
        <v/>
      </c>
    </row>
    <row r="623" ht="12.75" customHeight="1" s="545">
      <c r="A623" s="388" t="n">
        <v>8</v>
      </c>
      <c r="B623" s="605" t="n">
        <v>615</v>
      </c>
      <c r="C623" s="384" t="inlineStr">
        <is>
          <t>2009Q</t>
        </is>
      </c>
      <c r="D623" s="605" t="inlineStr">
        <is>
          <t xml:space="preserve">01192-00-062-000 </t>
        </is>
      </c>
      <c r="E623" s="407" t="inlineStr">
        <is>
          <t>Actual</t>
        </is>
      </c>
      <c r="F623" s="605" t="inlineStr">
        <is>
          <t>4401 E 46TH                 AV</t>
        </is>
      </c>
      <c r="G623" s="392" t="n">
        <v>44.2</v>
      </c>
      <c r="H623" s="378" t="n">
        <v>9101</v>
      </c>
      <c r="I623" s="403" t="n">
        <v>0</v>
      </c>
      <c r="J623" s="404" t="n">
        <v>87758</v>
      </c>
      <c r="K623" s="408" t="n">
        <v>3.46636204106748</v>
      </c>
      <c r="L623" s="409" t="n">
        <v>0</v>
      </c>
      <c r="M623" s="409" t="n">
        <v>0.430136653068202</v>
      </c>
      <c r="N623" s="378" t="n">
        <v>1953</v>
      </c>
      <c r="O623" s="393">
        <f>3980+1982</f>
        <v/>
      </c>
      <c r="Q623" s="605" t="n">
        <v>18</v>
      </c>
      <c r="R623" s="605" t="n">
        <v>4</v>
      </c>
      <c r="S623" s="605" t="n">
        <v>1</v>
      </c>
      <c r="T623" s="403" t="inlineStr">
        <is>
          <t xml:space="preserve">I2   </t>
        </is>
      </c>
      <c r="U623" s="403" t="n">
        <v>398</v>
      </c>
      <c r="V623" s="404" t="n">
        <v>193278</v>
      </c>
      <c r="W623" s="404" t="n">
        <v>190000</v>
      </c>
      <c r="X623" s="410" t="inlineStr">
        <is>
          <t>2.2:1</t>
        </is>
      </c>
      <c r="Y623" s="404">
        <f>ROUND(J623,-4)</f>
        <v/>
      </c>
      <c r="Z623" s="403" t="inlineStr">
        <is>
          <t xml:space="preserve">C </t>
        </is>
      </c>
      <c r="AA623" s="605" t="n">
        <v>3</v>
      </c>
      <c r="AB623" s="605" t="n">
        <v>3</v>
      </c>
      <c r="AC623" s="378" t="inlineStr">
        <is>
          <t>33</t>
        </is>
      </c>
      <c r="AD623" s="384" t="inlineStr">
        <is>
          <t xml:space="preserve">M-W UNI-WEST        </t>
        </is>
      </c>
      <c r="AE623" s="145" t="n"/>
      <c r="AF623" s="145" t="n"/>
      <c r="AG623" s="145" t="n"/>
      <c r="AH623" s="145" t="n"/>
      <c r="AI623" s="145" t="n"/>
      <c r="AJ623" s="145" t="n"/>
      <c r="AK623" s="145" t="inlineStr">
        <is>
          <t xml:space="preserve">M-T WHSE; 4 TENANTS;LEASES 1994,1996,2000.                        </t>
        </is>
      </c>
      <c r="AL623" s="605">
        <f>IF(AND(ISNUMBER($S623),$S623&gt;0,ISNUMBER($K623),ISNUMBER($J623)),($K623*$J623)/$S623,"")</f>
        <v/>
      </c>
    </row>
    <row r="624" ht="12.75" customHeight="1" s="545">
      <c r="A624" s="388" t="n">
        <v>8</v>
      </c>
      <c r="B624" s="605" t="n">
        <v>616</v>
      </c>
      <c r="C624" s="384" t="inlineStr">
        <is>
          <t>2009Q</t>
        </is>
      </c>
      <c r="D624" s="605" t="inlineStr">
        <is>
          <t xml:space="preserve">01192-00-064-000 </t>
        </is>
      </c>
      <c r="E624" s="407" t="inlineStr">
        <is>
          <t>Actual</t>
        </is>
      </c>
      <c r="F624" s="605" t="inlineStr">
        <is>
          <t>4330 E 48TH                 AV</t>
        </is>
      </c>
      <c r="G624" s="392" t="n">
        <v>44.2</v>
      </c>
      <c r="H624" s="378" t="n">
        <v>9101</v>
      </c>
      <c r="I624" s="403" t="n">
        <v>0</v>
      </c>
      <c r="J624" s="404" t="n">
        <v>43824</v>
      </c>
      <c r="K624" s="408" t="n">
        <v>3.69658178167214</v>
      </c>
      <c r="L624" s="409" t="n">
        <v>0</v>
      </c>
      <c r="M624" s="409" t="n">
        <v>0.0338890980808524</v>
      </c>
      <c r="N624" s="378" t="n">
        <v>1973</v>
      </c>
      <c r="O624" s="393">
        <f>1474+1830</f>
        <v/>
      </c>
      <c r="Q624" s="605" t="n">
        <v>22</v>
      </c>
      <c r="R624" s="605" t="n">
        <v>10</v>
      </c>
      <c r="S624" s="605" t="n">
        <v>1</v>
      </c>
      <c r="T624" s="403" t="inlineStr">
        <is>
          <t xml:space="preserve">I2   </t>
        </is>
      </c>
      <c r="U624" s="403" t="n">
        <v>398</v>
      </c>
      <c r="V624" s="404" t="n">
        <v>117172</v>
      </c>
      <c r="W624" s="404" t="n">
        <v>120000</v>
      </c>
      <c r="X624" s="410" t="inlineStr">
        <is>
          <t>2.7:1</t>
        </is>
      </c>
      <c r="Y624" s="404">
        <f>ROUND(J624,-3)</f>
        <v/>
      </c>
      <c r="Z624" s="403" t="inlineStr">
        <is>
          <t xml:space="preserve">C </t>
        </is>
      </c>
      <c r="AA624" s="605" t="n">
        <v>3</v>
      </c>
      <c r="AB624" s="605" t="n">
        <v>3</v>
      </c>
      <c r="AC624" s="378" t="inlineStr">
        <is>
          <t>33</t>
        </is>
      </c>
      <c r="AD624" s="384" t="inlineStr">
        <is>
          <t xml:space="preserve">DIST WHSE           </t>
        </is>
      </c>
      <c r="AE624" s="145" t="n"/>
      <c r="AF624" s="145" t="n"/>
      <c r="AG624" s="145" t="n"/>
      <c r="AH624" s="145" t="n"/>
      <c r="AI624" s="145" t="n"/>
      <c r="AJ624" s="145" t="n"/>
      <c r="AK624" s="145" t="inlineStr">
        <is>
          <t xml:space="preserve">M-T WHSE; 2 TENANTS; ONE 2007 LEASE, ONE 2005 LEASE.              </t>
        </is>
      </c>
      <c r="AL624" s="605">
        <f>IF(AND(ISNUMBER($S624),$S624&gt;0,ISNUMBER($K624),ISNUMBER($J624)),($K624*$J624)/$S624,"")</f>
        <v/>
      </c>
    </row>
    <row r="625" ht="12.75" customHeight="1" s="545">
      <c r="A625" s="388" t="n">
        <v>8</v>
      </c>
      <c r="B625" s="605" t="n">
        <v>617</v>
      </c>
      <c r="C625" s="384" t="inlineStr">
        <is>
          <t>2009Q</t>
        </is>
      </c>
      <c r="D625" s="605" t="inlineStr">
        <is>
          <t xml:space="preserve">01192-03-006-000 </t>
        </is>
      </c>
      <c r="E625" s="407" t="inlineStr">
        <is>
          <t>Actual</t>
        </is>
      </c>
      <c r="F625" s="605" t="inlineStr">
        <is>
          <t>4555   STAPLETON N          DR</t>
        </is>
      </c>
      <c r="G625" s="392" t="n">
        <v>44.2</v>
      </c>
      <c r="H625" s="378" t="n">
        <v>9101</v>
      </c>
      <c r="I625" s="403" t="n">
        <v>0</v>
      </c>
      <c r="J625" s="404" t="n">
        <v>12559</v>
      </c>
      <c r="K625" s="408" t="n">
        <v>3.93144358627279</v>
      </c>
      <c r="L625" s="409" t="n">
        <v>1</v>
      </c>
      <c r="M625" s="409" t="n">
        <v>0.521316455696203</v>
      </c>
      <c r="N625" s="378" t="n">
        <v>1953</v>
      </c>
      <c r="P625" s="393" t="n">
        <v>1233</v>
      </c>
      <c r="Q625" s="605" t="n">
        <v>15</v>
      </c>
      <c r="R625" s="605" t="n">
        <v>3</v>
      </c>
      <c r="S625" s="605" t="n">
        <v>1</v>
      </c>
      <c r="T625" s="403" t="inlineStr">
        <is>
          <t xml:space="preserve">I2   </t>
        </is>
      </c>
      <c r="U625" s="403" t="n">
        <v>398</v>
      </c>
      <c r="V625" s="404" t="n">
        <v>25000</v>
      </c>
      <c r="W625" s="404" t="n">
        <v>25000</v>
      </c>
      <c r="X625" s="410" t="inlineStr">
        <is>
          <t>2.0:1</t>
        </is>
      </c>
      <c r="Y625" s="404">
        <f>ROUND(J625,-3)</f>
        <v/>
      </c>
      <c r="Z625" s="403" t="inlineStr">
        <is>
          <t xml:space="preserve">C </t>
        </is>
      </c>
      <c r="AA625" s="605" t="n">
        <v>3</v>
      </c>
      <c r="AB625" s="605" t="n">
        <v>2</v>
      </c>
      <c r="AC625" s="378" t="inlineStr">
        <is>
          <t>32</t>
        </is>
      </c>
      <c r="AD625" s="384" t="n"/>
      <c r="AE625" s="145" t="n"/>
      <c r="AF625" s="145" t="n"/>
      <c r="AG625" s="145" t="n"/>
      <c r="AH625" s="145" t="n"/>
      <c r="AI625" s="145" t="n"/>
      <c r="AJ625" s="145" t="n"/>
      <c r="AK625" s="145" t="inlineStr">
        <is>
          <t xml:space="preserve">S-T WHSE.                                                         </t>
        </is>
      </c>
      <c r="AL625" s="605">
        <f>IF(AND(ISNUMBER($S625),$S625&gt;0,ISNUMBER($K625),ISNUMBER($J625)),($K625*$J625)/$S625,"")</f>
        <v/>
      </c>
    </row>
    <row r="626" ht="12.75" customHeight="1" s="545">
      <c r="A626" s="388" t="n">
        <v>8</v>
      </c>
      <c r="B626" s="605" t="n">
        <v>618</v>
      </c>
      <c r="C626" s="384" t="inlineStr">
        <is>
          <t>2009Q</t>
        </is>
      </c>
      <c r="D626" s="605" t="inlineStr">
        <is>
          <t xml:space="preserve">01192-03-007-000 </t>
        </is>
      </c>
      <c r="E626" s="407" t="inlineStr">
        <is>
          <t>Actual</t>
        </is>
      </c>
      <c r="F626" s="605" t="inlineStr">
        <is>
          <t>4595   STAPLETON N          DR</t>
        </is>
      </c>
      <c r="G626" s="392" t="n">
        <v>44.2</v>
      </c>
      <c r="H626" s="378" t="n">
        <v>9101</v>
      </c>
      <c r="I626" s="403" t="n">
        <v>0</v>
      </c>
      <c r="J626" s="404" t="n">
        <v>17600</v>
      </c>
      <c r="K626" s="408" t="n">
        <v>5.26704545454545</v>
      </c>
      <c r="L626" s="409" t="n">
        <v>0</v>
      </c>
      <c r="M626" s="409" t="n">
        <v>0.1680690399137</v>
      </c>
      <c r="N626" s="378" t="n">
        <v>1973</v>
      </c>
      <c r="O626" s="393">
        <f>1900*2</f>
        <v/>
      </c>
      <c r="Q626" s="605" t="n">
        <v>24</v>
      </c>
      <c r="R626" s="605" t="n">
        <v>14</v>
      </c>
      <c r="S626" s="605" t="n">
        <v>1</v>
      </c>
      <c r="T626" s="403" t="inlineStr">
        <is>
          <t xml:space="preserve">I2   </t>
        </is>
      </c>
      <c r="U626" s="403" t="n">
        <v>398</v>
      </c>
      <c r="V626" s="404" t="n">
        <v>43750</v>
      </c>
      <c r="W626" s="404" t="n">
        <v>44000</v>
      </c>
      <c r="X626" s="410" t="inlineStr">
        <is>
          <t>2.5:1</t>
        </is>
      </c>
      <c r="Y626" s="404">
        <f>ROUND(J626,-3)</f>
        <v/>
      </c>
      <c r="Z626" s="403" t="inlineStr">
        <is>
          <t xml:space="preserve">C </t>
        </is>
      </c>
      <c r="AA626" s="605" t="n">
        <v>3</v>
      </c>
      <c r="AB626" s="605" t="n">
        <v>3</v>
      </c>
      <c r="AC626" s="378" t="inlineStr">
        <is>
          <t>33</t>
        </is>
      </c>
      <c r="AD626" s="384" t="inlineStr">
        <is>
          <t xml:space="preserve">KAMAN TECH          </t>
        </is>
      </c>
      <c r="AE626" s="145" t="n"/>
      <c r="AF626" s="145" t="n"/>
      <c r="AG626" s="145" t="n"/>
      <c r="AH626" s="145" t="n"/>
      <c r="AI626" s="145" t="n"/>
      <c r="AJ626" s="145" t="n"/>
      <c r="AK626" s="145" t="inlineStr">
        <is>
          <t xml:space="preserve">S-T WHSE.; DATE OF LEASE UNKNOWN.                                 </t>
        </is>
      </c>
      <c r="AL626" s="605">
        <f>IF(AND(ISNUMBER($S626),$S626&gt;0,ISNUMBER($K626),ISNUMBER($J626)),($K626*$J626)/$S626,"")</f>
        <v/>
      </c>
    </row>
    <row r="627" ht="12.75" customHeight="1" s="545">
      <c r="A627" s="388" t="n">
        <v>8</v>
      </c>
      <c r="B627" s="605" t="n">
        <v>619</v>
      </c>
      <c r="C627" s="384" t="inlineStr">
        <is>
          <t>2009Q</t>
        </is>
      </c>
      <c r="D627" s="605" t="inlineStr">
        <is>
          <t xml:space="preserve">01194-00-044-000 </t>
        </is>
      </c>
      <c r="E627" s="407" t="inlineStr">
        <is>
          <t>Actual</t>
        </is>
      </c>
      <c r="F627" s="605" t="inlineStr">
        <is>
          <t>5145 E 38TH                 AV</t>
        </is>
      </c>
      <c r="G627" s="392" t="n">
        <v>44.1</v>
      </c>
      <c r="H627" s="378" t="n">
        <v>9101</v>
      </c>
      <c r="I627" s="403" t="n">
        <v>0</v>
      </c>
      <c r="J627" s="404" t="n">
        <v>3178</v>
      </c>
      <c r="K627" s="408" t="n">
        <v>4.60163624921334</v>
      </c>
      <c r="L627" s="409" t="n">
        <v>0</v>
      </c>
      <c r="M627" s="409" t="n">
        <v>0</v>
      </c>
      <c r="N627" s="378" t="n">
        <v>1963</v>
      </c>
      <c r="Q627" s="605" t="n">
        <v>14</v>
      </c>
      <c r="R627" s="605" t="n">
        <v>3</v>
      </c>
      <c r="S627" s="605" t="n">
        <v>1</v>
      </c>
      <c r="T627" s="403" t="inlineStr">
        <is>
          <t xml:space="preserve">I0   </t>
        </is>
      </c>
      <c r="U627" s="403" t="n">
        <v>398</v>
      </c>
      <c r="V627" s="404" t="n">
        <v>12500</v>
      </c>
      <c r="W627" s="404" t="n">
        <v>13000</v>
      </c>
      <c r="X627" s="410" t="inlineStr">
        <is>
          <t>3.9:1</t>
        </is>
      </c>
      <c r="Y627" s="404">
        <f>ROUND(J627,-3)</f>
        <v/>
      </c>
      <c r="Z627" s="403" t="inlineStr">
        <is>
          <t xml:space="preserve">C </t>
        </is>
      </c>
      <c r="AA627" s="605" t="n">
        <v>3</v>
      </c>
      <c r="AB627" s="605" t="n">
        <v>3</v>
      </c>
      <c r="AC627" s="378" t="inlineStr">
        <is>
          <t>33</t>
        </is>
      </c>
      <c r="AD627" s="384" t="inlineStr">
        <is>
          <t xml:space="preserve">S-W SPECTRUM        </t>
        </is>
      </c>
      <c r="AE627" s="145" t="n"/>
      <c r="AF627" s="145" t="n"/>
      <c r="AG627" s="145" t="n"/>
      <c r="AH627" s="145" t="n"/>
      <c r="AI627" s="145" t="n"/>
      <c r="AJ627" s="145" t="n"/>
      <c r="AK627" s="145" t="inlineStr">
        <is>
          <t xml:space="preserve">S-T WHSE.                                                         </t>
        </is>
      </c>
      <c r="AL627" s="605">
        <f>IF(AND(ISNUMBER($S627),$S627&gt;0,ISNUMBER($K627),ISNUMBER($J627)),($K627*$J627)/$S627,"")</f>
        <v/>
      </c>
    </row>
    <row r="628" ht="12.75" customHeight="1" s="545">
      <c r="A628" s="388" t="n">
        <v>8</v>
      </c>
      <c r="B628" s="605" t="n">
        <v>620</v>
      </c>
      <c r="C628" s="384" t="inlineStr">
        <is>
          <t>2009Q</t>
        </is>
      </c>
      <c r="D628" s="605" t="inlineStr">
        <is>
          <t xml:space="preserve">01194-00-051-000 </t>
        </is>
      </c>
      <c r="E628" s="407" t="inlineStr">
        <is>
          <t>Actual</t>
        </is>
      </c>
      <c r="F628" s="605" t="inlineStr">
        <is>
          <t>5135 E 38TH                 AV</t>
        </is>
      </c>
      <c r="G628" s="392" t="n">
        <v>44.1</v>
      </c>
      <c r="H628" s="378" t="n">
        <v>9101</v>
      </c>
      <c r="I628" s="403" t="n">
        <v>0</v>
      </c>
      <c r="J628" s="404" t="n">
        <v>5949</v>
      </c>
      <c r="K628" s="408" t="n">
        <v>4.60178181206926</v>
      </c>
      <c r="L628" s="409" t="n">
        <v>0</v>
      </c>
      <c r="M628" s="409" t="n">
        <v>0</v>
      </c>
      <c r="N628" s="378" t="n">
        <v>1967</v>
      </c>
      <c r="O628" s="393">
        <f>1067+1287</f>
        <v/>
      </c>
      <c r="Q628" s="605" t="n">
        <v>15</v>
      </c>
      <c r="R628" s="605" t="n">
        <v>3</v>
      </c>
      <c r="S628" s="605" t="n">
        <v>1</v>
      </c>
      <c r="T628" s="403" t="inlineStr">
        <is>
          <t xml:space="preserve">I0   </t>
        </is>
      </c>
      <c r="U628" s="403" t="n">
        <v>398</v>
      </c>
      <c r="V628" s="404" t="n">
        <v>11850</v>
      </c>
      <c r="W628" s="404" t="n">
        <v>12000</v>
      </c>
      <c r="X628" s="410" t="inlineStr">
        <is>
          <t>2.0:1</t>
        </is>
      </c>
      <c r="Y628" s="404">
        <f>ROUND(J628,-3)</f>
        <v/>
      </c>
      <c r="Z628" s="403" t="inlineStr">
        <is>
          <t xml:space="preserve">C </t>
        </is>
      </c>
      <c r="AA628" s="605" t="n">
        <v>3</v>
      </c>
      <c r="AB628" s="605" t="n">
        <v>3</v>
      </c>
      <c r="AC628" s="378" t="inlineStr">
        <is>
          <t>33</t>
        </is>
      </c>
      <c r="AD628" s="384" t="inlineStr">
        <is>
          <t>S-D-SPECTRUM GEN CON</t>
        </is>
      </c>
      <c r="AE628" s="145" t="n"/>
      <c r="AF628" s="145" t="n"/>
      <c r="AG628" s="145" t="n"/>
      <c r="AH628" s="145" t="n"/>
      <c r="AI628" s="145" t="n"/>
      <c r="AJ628" s="145" t="n"/>
      <c r="AK628" s="145" t="inlineStr">
        <is>
          <t xml:space="preserve">S-T WHSE.                                                         </t>
        </is>
      </c>
      <c r="AL628" s="605">
        <f>IF(AND(ISNUMBER($S628),$S628&gt;0,ISNUMBER($K628),ISNUMBER($J628)),($K628*$J628)/$S628,"")</f>
        <v/>
      </c>
    </row>
    <row r="629" ht="12.75" customHeight="1" s="545">
      <c r="A629" s="388" t="n">
        <v>8</v>
      </c>
      <c r="B629" s="605" t="n">
        <v>621</v>
      </c>
      <c r="C629" s="384" t="inlineStr">
        <is>
          <t>2009Q</t>
        </is>
      </c>
      <c r="D629" s="605" t="inlineStr">
        <is>
          <t xml:space="preserve">01194-00-076-000 </t>
        </is>
      </c>
      <c r="E629" s="407" t="inlineStr">
        <is>
          <t>Actual</t>
        </is>
      </c>
      <c r="F629" s="605" t="inlineStr">
        <is>
          <t>3855   ELM                  ST</t>
        </is>
      </c>
      <c r="G629" s="392" t="n">
        <v>44.2</v>
      </c>
      <c r="H629" s="378" t="n">
        <v>9101</v>
      </c>
      <c r="I629" s="403" t="n">
        <v>0</v>
      </c>
      <c r="J629" s="404" t="n">
        <v>2000</v>
      </c>
      <c r="K629" s="408" t="n">
        <v>3.9</v>
      </c>
      <c r="L629" s="409" t="n">
        <v>0</v>
      </c>
      <c r="M629" s="409" t="n">
        <v>0.253589743589744</v>
      </c>
      <c r="N629" s="378" t="n">
        <v>1961</v>
      </c>
      <c r="O629" s="393">
        <f>756+2408</f>
        <v/>
      </c>
      <c r="Q629" s="605" t="n">
        <v>15</v>
      </c>
      <c r="R629" s="605" t="n">
        <v>3</v>
      </c>
      <c r="S629" s="605" t="n">
        <v>1</v>
      </c>
      <c r="T629" s="403" t="inlineStr">
        <is>
          <t xml:space="preserve">I0   </t>
        </is>
      </c>
      <c r="U629" s="403" t="n">
        <v>398</v>
      </c>
      <c r="V629" s="404" t="n">
        <v>14387</v>
      </c>
      <c r="W629" s="404" t="n">
        <v>14000</v>
      </c>
      <c r="X629" s="410" t="inlineStr">
        <is>
          <t>2.0:1</t>
        </is>
      </c>
      <c r="Y629" s="404">
        <f>ROUND(J629,-3)</f>
        <v/>
      </c>
      <c r="Z629" s="403" t="inlineStr">
        <is>
          <t xml:space="preserve">B </t>
        </is>
      </c>
      <c r="AA629" s="605" t="n">
        <v>3</v>
      </c>
      <c r="AB629" s="605" t="n">
        <v>3</v>
      </c>
      <c r="AC629" s="378" t="inlineStr">
        <is>
          <t>33</t>
        </is>
      </c>
      <c r="AD629" s="384" t="n"/>
      <c r="AE629" s="145" t="n"/>
      <c r="AF629" s="145" t="n"/>
      <c r="AG629" s="145" t="n"/>
      <c r="AH629" s="145" t="n"/>
      <c r="AI629" s="145" t="n"/>
      <c r="AJ629" s="145" t="n"/>
      <c r="AK629" s="145" t="inlineStr">
        <is>
          <t xml:space="preserve">M-T RETAIL; 2 UNITS; 1 OWNER-OCCUPIED.                            </t>
        </is>
      </c>
      <c r="AL629" s="605">
        <f>IF(AND(ISNUMBER($S629),$S629&gt;0,ISNUMBER($K629),ISNUMBER($J629)),($K629*$J629)/$S629,"")</f>
        <v/>
      </c>
    </row>
    <row r="630" ht="12.75" customHeight="1" s="545">
      <c r="A630" s="388" t="n">
        <v>8</v>
      </c>
      <c r="B630" s="605" t="n">
        <v>622</v>
      </c>
      <c r="C630" s="384" t="inlineStr">
        <is>
          <t>2009Q</t>
        </is>
      </c>
      <c r="D630" s="605" t="inlineStr">
        <is>
          <t xml:space="preserve">01194-00-110-000 </t>
        </is>
      </c>
      <c r="E630" s="407" t="inlineStr">
        <is>
          <t>Actual</t>
        </is>
      </c>
      <c r="F630" s="605" t="inlineStr">
        <is>
          <t>5195 E 39TH                 AV</t>
        </is>
      </c>
      <c r="G630" s="392" t="n">
        <v>45.1</v>
      </c>
      <c r="H630" s="378" t="n">
        <v>9101</v>
      </c>
      <c r="I630" s="403" t="n">
        <v>0</v>
      </c>
      <c r="J630" s="404" t="n">
        <v>10250</v>
      </c>
      <c r="K630" s="408" t="n">
        <v>8.34146341463415</v>
      </c>
      <c r="L630" s="409" t="n">
        <v>0</v>
      </c>
      <c r="M630" s="409" t="n">
        <v>0</v>
      </c>
      <c r="N630" s="378" t="n">
        <v>1965</v>
      </c>
      <c r="O630" s="393" t="n">
        <v>2584</v>
      </c>
      <c r="Q630" s="605" t="n">
        <v>18</v>
      </c>
      <c r="R630" s="605" t="n">
        <v>1</v>
      </c>
      <c r="S630" s="605" t="n">
        <v>1</v>
      </c>
      <c r="T630" s="403" t="inlineStr">
        <is>
          <t xml:space="preserve">I1   </t>
        </is>
      </c>
      <c r="U630" s="403" t="n">
        <v>401</v>
      </c>
      <c r="V630" s="404" t="n">
        <v>18500</v>
      </c>
      <c r="W630" s="404" t="n">
        <v>19000</v>
      </c>
      <c r="X630" s="410" t="inlineStr">
        <is>
          <t>1.8:1</t>
        </is>
      </c>
      <c r="Y630" s="404">
        <f>ROUND(J630,-3)</f>
        <v/>
      </c>
      <c r="Z630" s="403" t="inlineStr">
        <is>
          <t xml:space="preserve">C </t>
        </is>
      </c>
      <c r="AA630" s="605" t="n">
        <v>3</v>
      </c>
      <c r="AB630" s="605" t="n">
        <v>3</v>
      </c>
      <c r="AC630" s="378" t="inlineStr">
        <is>
          <t>33</t>
        </is>
      </c>
      <c r="AD630" s="384" t="inlineStr">
        <is>
          <t>S-W GRANDMA'S FROZEN</t>
        </is>
      </c>
      <c r="AE630" s="145" t="n"/>
      <c r="AF630" s="145" t="n"/>
      <c r="AG630" s="145" t="n"/>
      <c r="AH630" s="145" t="n"/>
      <c r="AI630" s="145" t="n"/>
      <c r="AJ630" s="145" t="n"/>
      <c r="AK630" s="145" t="inlineStr">
        <is>
          <t xml:space="preserve">M-T INDUSTRIAL; 2 TENANTS                                         </t>
        </is>
      </c>
      <c r="AL630" s="605">
        <f>IF(AND(ISNUMBER($S630),$S630&gt;0,ISNUMBER($K630),ISNUMBER($J630)),($K630*$J630)/$S630,"")</f>
        <v/>
      </c>
    </row>
    <row r="631" ht="12.75" customHeight="1" s="545">
      <c r="A631" s="388" t="n">
        <v>8</v>
      </c>
      <c r="B631" s="605" t="n">
        <v>623</v>
      </c>
      <c r="C631" s="384" t="inlineStr">
        <is>
          <t>2009Q</t>
        </is>
      </c>
      <c r="D631" s="605" t="inlineStr">
        <is>
          <t xml:space="preserve">01194-00-111-000 </t>
        </is>
      </c>
      <c r="E631" s="407" t="inlineStr">
        <is>
          <t>Actual</t>
        </is>
      </c>
      <c r="F631" s="605" t="inlineStr">
        <is>
          <t>5180   SMITH                RD</t>
        </is>
      </c>
      <c r="G631" s="392" t="n">
        <v>44.2</v>
      </c>
      <c r="H631" s="378" t="n">
        <v>9101</v>
      </c>
      <c r="I631" s="403" t="n">
        <v>0</v>
      </c>
      <c r="J631" s="404" t="n">
        <v>27495</v>
      </c>
      <c r="K631" s="408" t="n">
        <v>5.08139661756683</v>
      </c>
      <c r="L631" s="409" t="n">
        <v>0</v>
      </c>
      <c r="M631" s="409" t="n">
        <v>0.0861623470972637</v>
      </c>
      <c r="N631" s="378" t="n">
        <v>1974</v>
      </c>
      <c r="O631" s="393" t="n">
        <v>6743</v>
      </c>
      <c r="Q631" s="605" t="n">
        <v>17</v>
      </c>
      <c r="R631" s="605" t="n">
        <v>14</v>
      </c>
      <c r="S631" s="605" t="n">
        <v>6</v>
      </c>
      <c r="T631" s="403" t="inlineStr">
        <is>
          <t xml:space="preserve">I1   </t>
        </is>
      </c>
      <c r="U631" s="403" t="n">
        <v>398</v>
      </c>
      <c r="V631" s="404" t="n">
        <v>153000</v>
      </c>
      <c r="W631" s="404" t="n">
        <v>150000</v>
      </c>
      <c r="X631" s="410" t="inlineStr">
        <is>
          <t>2.0:1</t>
        </is>
      </c>
      <c r="Y631" s="404">
        <f>ROUND(J631,-3)</f>
        <v/>
      </c>
      <c r="Z631" s="403" t="inlineStr">
        <is>
          <t xml:space="preserve">C </t>
        </is>
      </c>
      <c r="AA631" s="605" t="n">
        <v>3</v>
      </c>
      <c r="AB631" s="605" t="n">
        <v>3</v>
      </c>
      <c r="AC631" s="378" t="inlineStr">
        <is>
          <t>33</t>
        </is>
      </c>
      <c r="AD631" s="384" t="inlineStr">
        <is>
          <t xml:space="preserve">DIST/OFC            </t>
        </is>
      </c>
      <c r="AE631" s="145" t="n"/>
      <c r="AF631" s="145" t="n"/>
      <c r="AG631" s="145" t="n"/>
      <c r="AH631" s="145" t="n"/>
      <c r="AI631" s="145" t="n"/>
      <c r="AJ631" s="145" t="n"/>
      <c r="AK631" s="145" t="inlineStr">
        <is>
          <t xml:space="preserve">M-T WHSE.; 4 TENANTS                                              </t>
        </is>
      </c>
      <c r="AL631" s="605">
        <f>IF(AND(ISNUMBER($S631),$S631&gt;0,ISNUMBER($K631),ISNUMBER($J631)),($K631*$J631)/$S631,"")</f>
        <v/>
      </c>
    </row>
    <row r="632" ht="12.75" customHeight="1" s="545">
      <c r="A632" s="388" t="n">
        <v>8</v>
      </c>
      <c r="B632" s="605" t="n">
        <v>624</v>
      </c>
      <c r="C632" s="384" t="inlineStr">
        <is>
          <t>2009Q</t>
        </is>
      </c>
      <c r="D632" s="605" t="inlineStr">
        <is>
          <t xml:space="preserve">01194-00-136-000 </t>
        </is>
      </c>
      <c r="E632" s="407" t="inlineStr">
        <is>
          <t>Actual</t>
        </is>
      </c>
      <c r="F632" s="605" t="inlineStr">
        <is>
          <t>3931   HOLLY                ST</t>
        </is>
      </c>
      <c r="G632" s="392" t="n">
        <v>44.2</v>
      </c>
      <c r="H632" s="378" t="n">
        <v>9101</v>
      </c>
      <c r="I632" s="403" t="n">
        <v>0</v>
      </c>
      <c r="J632" s="404" t="n">
        <v>16770</v>
      </c>
      <c r="K632" s="408" t="n">
        <v>5.84973166368515</v>
      </c>
      <c r="L632" s="409" t="n">
        <v>0</v>
      </c>
      <c r="M632" s="409" t="n">
        <v>0.279775739041794</v>
      </c>
      <c r="N632" s="378" t="n">
        <v>1980</v>
      </c>
      <c r="O632" s="393" t="n">
        <v>3949</v>
      </c>
      <c r="Q632" s="605" t="n">
        <v>14</v>
      </c>
      <c r="R632" s="605" t="n">
        <v>1</v>
      </c>
      <c r="S632" s="605" t="n">
        <v>1</v>
      </c>
      <c r="T632" s="403" t="inlineStr">
        <is>
          <t xml:space="preserve">I1   </t>
        </is>
      </c>
      <c r="U632" s="403" t="n">
        <v>398</v>
      </c>
      <c r="V632" s="404" t="n">
        <v>39942</v>
      </c>
      <c r="W632" s="404" t="n">
        <v>40000</v>
      </c>
      <c r="X632" s="410" t="inlineStr">
        <is>
          <t>2.4:1</t>
        </is>
      </c>
      <c r="Y632" s="404">
        <f>ROUND(J632,-3)</f>
        <v/>
      </c>
      <c r="Z632" s="403" t="inlineStr">
        <is>
          <t xml:space="preserve">C </t>
        </is>
      </c>
      <c r="AA632" s="605" t="n">
        <v>3</v>
      </c>
      <c r="AB632" s="605" t="n">
        <v>3</v>
      </c>
      <c r="AC632" s="378" t="inlineStr">
        <is>
          <t>33</t>
        </is>
      </c>
      <c r="AD632" s="384" t="inlineStr">
        <is>
          <t xml:space="preserve">M-W                 </t>
        </is>
      </c>
      <c r="AE632" s="145" t="n"/>
      <c r="AF632" s="145" t="n"/>
      <c r="AG632" s="145" t="n"/>
      <c r="AH632" s="145" t="n"/>
      <c r="AI632" s="145" t="n"/>
      <c r="AJ632" s="145" t="n"/>
      <c r="AK632" s="145" t="inlineStr">
        <is>
          <t xml:space="preserve">M-T RETAIL; 2 TENANTS; 2006 LEASES.                               </t>
        </is>
      </c>
      <c r="AL632" s="605">
        <f>IF(AND(ISNUMBER($S632),$S632&gt;0,ISNUMBER($K632),ISNUMBER($J632)),($K632*$J632)/$S632,"")</f>
        <v/>
      </c>
    </row>
    <row r="633" ht="12.75" customHeight="1" s="545">
      <c r="A633" s="388" t="n">
        <v>8</v>
      </c>
      <c r="B633" s="605" t="n">
        <v>625</v>
      </c>
      <c r="C633" s="384" t="inlineStr">
        <is>
          <t>2009Q</t>
        </is>
      </c>
      <c r="D633" s="605" t="inlineStr">
        <is>
          <t xml:space="preserve">01194-00-182-000 </t>
        </is>
      </c>
      <c r="E633" s="407" t="inlineStr">
        <is>
          <t>Actual</t>
        </is>
      </c>
      <c r="F633" s="605" t="inlineStr">
        <is>
          <t>5150 E 39TH                 AV</t>
        </is>
      </c>
      <c r="G633" s="392" t="n">
        <v>44.1</v>
      </c>
      <c r="H633" s="378" t="n">
        <v>9101</v>
      </c>
      <c r="I633" s="403" t="n">
        <v>0</v>
      </c>
      <c r="J633" s="404" t="n">
        <v>18901</v>
      </c>
      <c r="K633" s="408" t="n">
        <v>5.71398338712238</v>
      </c>
      <c r="L633" s="409" t="n">
        <v>0</v>
      </c>
      <c r="M633" s="409" t="n">
        <v>0</v>
      </c>
      <c r="N633" s="378" t="n">
        <v>1959</v>
      </c>
      <c r="O633" s="393" t="n">
        <v>3532</v>
      </c>
      <c r="Q633" s="605" t="n">
        <v>12</v>
      </c>
      <c r="R633" s="605" t="n">
        <v>1</v>
      </c>
      <c r="S633" s="605" t="n">
        <v>1</v>
      </c>
      <c r="T633" s="403" t="inlineStr">
        <is>
          <t xml:space="preserve">I0   </t>
        </is>
      </c>
      <c r="U633" s="403" t="n">
        <v>398</v>
      </c>
      <c r="V633" s="404" t="n">
        <v>43080</v>
      </c>
      <c r="W633" s="404" t="n">
        <v>43000</v>
      </c>
      <c r="X633" s="410" t="inlineStr">
        <is>
          <t>2.3:1</t>
        </is>
      </c>
      <c r="Y633" s="404">
        <f>ROUND(J633,-3)</f>
        <v/>
      </c>
      <c r="Z633" s="403" t="inlineStr">
        <is>
          <t xml:space="preserve">C </t>
        </is>
      </c>
      <c r="AA633" s="605" t="n">
        <v>3</v>
      </c>
      <c r="AB633" s="605" t="n">
        <v>3</v>
      </c>
      <c r="AC633" s="378" t="inlineStr">
        <is>
          <t>33</t>
        </is>
      </c>
      <c r="AD633" s="384" t="inlineStr">
        <is>
          <t xml:space="preserve">DIST WHSE           </t>
        </is>
      </c>
      <c r="AE633" s="145" t="n"/>
      <c r="AF633" s="145" t="n"/>
      <c r="AG633" s="145" t="n"/>
      <c r="AH633" s="145" t="n"/>
      <c r="AI633" s="145" t="n"/>
      <c r="AJ633" s="145" t="n"/>
      <c r="AK633" s="145" t="inlineStr">
        <is>
          <t xml:space="preserve">S-T RETAIL; AGE OF LEASE UNKNOWN.                                 </t>
        </is>
      </c>
      <c r="AL633" s="605">
        <f>IF(AND(ISNUMBER($S633),$S633&gt;0,ISNUMBER($K633),ISNUMBER($J633)),($K633*$J633)/$S633,"")</f>
        <v/>
      </c>
    </row>
    <row r="634" ht="12.75" customHeight="1" s="545">
      <c r="A634" s="388" t="n">
        <v>8</v>
      </c>
      <c r="B634" s="605" t="n">
        <v>626</v>
      </c>
      <c r="C634" s="384" t="inlineStr">
        <is>
          <t>2009Q</t>
        </is>
      </c>
      <c r="D634" s="605" t="inlineStr">
        <is>
          <t xml:space="preserve">01194-00-210-000 </t>
        </is>
      </c>
      <c r="E634" s="407" t="inlineStr">
        <is>
          <t>Actual</t>
        </is>
      </c>
      <c r="F634" s="605" t="inlineStr">
        <is>
          <t>5225 E 38TH                 AV</t>
        </is>
      </c>
      <c r="G634" s="392" t="n">
        <v>44.1</v>
      </c>
      <c r="H634" s="378" t="n">
        <v>9101</v>
      </c>
      <c r="I634" s="403" t="n">
        <v>0</v>
      </c>
      <c r="J634" s="404" t="n">
        <v>8145</v>
      </c>
      <c r="K634" s="408" t="n">
        <v>3.86740331491713</v>
      </c>
      <c r="L634" s="409" t="n">
        <v>0</v>
      </c>
      <c r="M634" s="409" t="n">
        <v>0.1</v>
      </c>
      <c r="N634" s="378" t="n">
        <v>1969</v>
      </c>
      <c r="O634" s="393" t="n">
        <v>1780</v>
      </c>
      <c r="Q634" s="605" t="n">
        <v>17</v>
      </c>
      <c r="R634" s="605" t="n">
        <v>1</v>
      </c>
      <c r="S634" s="605" t="n">
        <v>1</v>
      </c>
      <c r="T634" s="403" t="inlineStr">
        <is>
          <t xml:space="preserve">I0   </t>
        </is>
      </c>
      <c r="U634" s="403" t="n">
        <v>398</v>
      </c>
      <c r="V634" s="404" t="n">
        <v>16700</v>
      </c>
      <c r="W634" s="404" t="n">
        <v>17000</v>
      </c>
      <c r="X634" s="410" t="inlineStr">
        <is>
          <t>2.1:1</t>
        </is>
      </c>
      <c r="Y634" s="404">
        <f>ROUND(J634,-3)</f>
        <v/>
      </c>
      <c r="Z634" s="403" t="inlineStr">
        <is>
          <t xml:space="preserve">C </t>
        </is>
      </c>
      <c r="AA634" s="605" t="n">
        <v>3</v>
      </c>
      <c r="AB634" s="605" t="n">
        <v>3</v>
      </c>
      <c r="AC634" s="378" t="inlineStr">
        <is>
          <t>33</t>
        </is>
      </c>
      <c r="AD634" s="384" t="inlineStr">
        <is>
          <t xml:space="preserve">SW MC2 ENTERPRISES  </t>
        </is>
      </c>
      <c r="AE634" s="145" t="n"/>
      <c r="AF634" s="145" t="n"/>
      <c r="AG634" s="145" t="n"/>
      <c r="AH634" s="145" t="n"/>
      <c r="AI634" s="145" t="n"/>
      <c r="AJ634" s="145" t="n"/>
      <c r="AK634" s="145" t="inlineStr">
        <is>
          <t xml:space="preserve">S-T WHSE.; DATE OF LEASE UNKNOWN.                                 </t>
        </is>
      </c>
      <c r="AL634" s="605">
        <f>IF(AND(ISNUMBER($S634),$S634&gt;0,ISNUMBER($K634),ISNUMBER($J634)),($K634*$J634)/$S634,"")</f>
        <v/>
      </c>
    </row>
    <row r="635" ht="12.75" customHeight="1" s="545">
      <c r="A635" s="388" t="n">
        <v>8</v>
      </c>
      <c r="B635" s="605" t="n">
        <v>627</v>
      </c>
      <c r="C635" s="384" t="inlineStr">
        <is>
          <t>2009Q</t>
        </is>
      </c>
      <c r="D635" s="605" t="inlineStr">
        <is>
          <t xml:space="preserve">01194-00-211-000 </t>
        </is>
      </c>
      <c r="E635" s="407" t="inlineStr">
        <is>
          <t>Actual</t>
        </is>
      </c>
      <c r="F635" s="605" t="inlineStr">
        <is>
          <t>4880 E 41ST                 AV</t>
        </is>
      </c>
      <c r="G635" s="392" t="n">
        <v>44.1</v>
      </c>
      <c r="H635" s="378" t="n">
        <v>9101</v>
      </c>
      <c r="I635" s="403" t="n">
        <v>0</v>
      </c>
      <c r="J635" s="404" t="n">
        <v>11308</v>
      </c>
      <c r="K635" s="408" t="n">
        <v>10.399717014503</v>
      </c>
      <c r="L635" s="409" t="n">
        <v>0</v>
      </c>
      <c r="M635" s="409" t="n">
        <v>0</v>
      </c>
      <c r="N635" s="378" t="n">
        <v>1976</v>
      </c>
      <c r="O635" s="393" t="n">
        <v>1392</v>
      </c>
      <c r="Q635" s="605" t="n">
        <v>19</v>
      </c>
      <c r="R635" s="605" t="n">
        <v>10</v>
      </c>
      <c r="S635" s="605" t="n">
        <v>1</v>
      </c>
      <c r="T635" s="403" t="inlineStr">
        <is>
          <t xml:space="preserve">I1   </t>
        </is>
      </c>
      <c r="U635" s="403" t="n">
        <v>398</v>
      </c>
      <c r="V635" s="404" t="n">
        <v>35505</v>
      </c>
      <c r="W635" s="404" t="n">
        <v>36000</v>
      </c>
      <c r="X635" s="410" t="inlineStr">
        <is>
          <t>3.1:1</t>
        </is>
      </c>
      <c r="Y635" s="404">
        <f>ROUND(J635,-3)</f>
        <v/>
      </c>
      <c r="Z635" s="403" t="inlineStr">
        <is>
          <t xml:space="preserve">C </t>
        </is>
      </c>
      <c r="AA635" s="605" t="n">
        <v>3</v>
      </c>
      <c r="AB635" s="605" t="n">
        <v>3</v>
      </c>
      <c r="AC635" s="378" t="inlineStr">
        <is>
          <t>33</t>
        </is>
      </c>
      <c r="AD635" s="384" t="n"/>
      <c r="AE635" s="145" t="n"/>
      <c r="AF635" s="145" t="n"/>
      <c r="AG635" s="145" t="n"/>
      <c r="AH635" s="145" t="n"/>
      <c r="AI635" s="145" t="n"/>
      <c r="AJ635" s="145" t="n"/>
      <c r="AK635" s="145" t="inlineStr">
        <is>
          <t xml:space="preserve">S-T WHSE.                                                         </t>
        </is>
      </c>
      <c r="AL635" s="605">
        <f>IF(AND(ISNUMBER($S635),$S635&gt;0,ISNUMBER($K635),ISNUMBER($J635)),($K635*$J635)/$S635,"")</f>
        <v/>
      </c>
    </row>
    <row r="636" ht="12.75" customHeight="1" s="545">
      <c r="A636" s="388" t="n">
        <v>8</v>
      </c>
      <c r="B636" s="605" t="n">
        <v>628</v>
      </c>
      <c r="C636" s="384" t="inlineStr">
        <is>
          <t>2009Q</t>
        </is>
      </c>
      <c r="D636" s="605" t="inlineStr">
        <is>
          <t xml:space="preserve">01194-00-229-000 </t>
        </is>
      </c>
      <c r="E636" s="407" t="inlineStr">
        <is>
          <t>Actual</t>
        </is>
      </c>
      <c r="F636" s="605" t="inlineStr">
        <is>
          <t>3812   DAHLIA               ST</t>
        </is>
      </c>
      <c r="G636" s="392" t="n">
        <v>44.1</v>
      </c>
      <c r="H636" s="378" t="n">
        <v>9101</v>
      </c>
      <c r="I636" s="403" t="n">
        <v>0</v>
      </c>
      <c r="J636" s="404" t="n">
        <v>6579</v>
      </c>
      <c r="K636" s="408" t="n">
        <v>2.27998176014592</v>
      </c>
      <c r="L636" s="409" t="n">
        <v>0</v>
      </c>
      <c r="M636" s="409" t="n">
        <v>0.4306</v>
      </c>
      <c r="N636" s="378" t="n">
        <v>1926</v>
      </c>
      <c r="O636" s="393" t="n">
        <v>1620</v>
      </c>
      <c r="Q636" s="605" t="n">
        <v>10</v>
      </c>
      <c r="R636" s="605" t="n">
        <v>1</v>
      </c>
      <c r="S636" s="605" t="n">
        <v>1</v>
      </c>
      <c r="T636" s="403" t="inlineStr">
        <is>
          <t xml:space="preserve">I0   </t>
        </is>
      </c>
      <c r="U636" s="403" t="n">
        <v>398</v>
      </c>
      <c r="V636" s="404" t="n">
        <v>92437</v>
      </c>
      <c r="W636" s="404" t="n">
        <v>90000</v>
      </c>
      <c r="X636" s="410" t="inlineStr">
        <is>
          <t>14.1:1</t>
        </is>
      </c>
      <c r="Y636" s="404">
        <f>ROUND(J636,-3)</f>
        <v/>
      </c>
      <c r="Z636" s="403" t="inlineStr">
        <is>
          <t xml:space="preserve">C </t>
        </is>
      </c>
      <c r="AA636" s="605" t="n">
        <v>3</v>
      </c>
      <c r="AB636" s="605" t="n">
        <v>3</v>
      </c>
      <c r="AC636" s="378" t="inlineStr">
        <is>
          <t>33</t>
        </is>
      </c>
      <c r="AD636" s="384" t="n"/>
      <c r="AE636" s="145" t="n"/>
      <c r="AF636" s="145" t="n"/>
      <c r="AG636" s="145" t="n"/>
      <c r="AH636" s="145" t="n"/>
      <c r="AI636" s="145" t="n"/>
      <c r="AJ636" s="145" t="n"/>
      <c r="AK636" s="145" t="inlineStr">
        <is>
          <t xml:space="preserve">S-T WHSE.; 2005 LEASE.                                            </t>
        </is>
      </c>
      <c r="AL636" s="605">
        <f>IF(AND(ISNUMBER($S636),$S636&gt;0,ISNUMBER($K636),ISNUMBER($J636)),($K636*$J636)/$S636,"")</f>
        <v/>
      </c>
    </row>
    <row r="637" ht="12.75" customHeight="1" s="545">
      <c r="A637" s="388" t="n">
        <v>8</v>
      </c>
      <c r="B637" s="605" t="n">
        <v>629</v>
      </c>
      <c r="C637" s="384" t="inlineStr">
        <is>
          <t>2009Q</t>
        </is>
      </c>
      <c r="D637" s="605" t="inlineStr">
        <is>
          <t xml:space="preserve">01194-00-239-000 </t>
        </is>
      </c>
      <c r="E637" s="407" t="inlineStr">
        <is>
          <t>Actual</t>
        </is>
      </c>
      <c r="F637" s="605" t="inlineStr">
        <is>
          <t>5255 E 38TH                 AV</t>
        </is>
      </c>
      <c r="G637" s="392" t="n">
        <v>44.1</v>
      </c>
      <c r="H637" s="378" t="n">
        <v>9101</v>
      </c>
      <c r="I637" s="403" t="n">
        <v>0</v>
      </c>
      <c r="J637" s="404" t="n">
        <v>3540</v>
      </c>
      <c r="K637" s="408" t="n">
        <v>8.096892655367229</v>
      </c>
      <c r="L637" s="409" t="n">
        <v>0.11</v>
      </c>
      <c r="M637" s="409" t="n">
        <v>0.123364616404424</v>
      </c>
      <c r="N637" s="378" t="n">
        <v>1958</v>
      </c>
      <c r="O637" s="393" t="n">
        <v>2612</v>
      </c>
      <c r="Q637" s="605" t="n">
        <v>13</v>
      </c>
      <c r="R637" s="605" t="n">
        <v>1</v>
      </c>
      <c r="S637" s="605" t="n">
        <v>1</v>
      </c>
      <c r="T637" s="403" t="inlineStr">
        <is>
          <t xml:space="preserve">I0   </t>
        </is>
      </c>
      <c r="U637" s="403" t="n">
        <v>398</v>
      </c>
      <c r="V637" s="404" t="n">
        <v>21300</v>
      </c>
      <c r="W637" s="404" t="n">
        <v>21000</v>
      </c>
      <c r="X637" s="410" t="inlineStr">
        <is>
          <t>2.1:1</t>
        </is>
      </c>
      <c r="Y637" s="404">
        <f>ROUND(J637,-3)</f>
        <v/>
      </c>
      <c r="Z637" s="403" t="inlineStr">
        <is>
          <t xml:space="preserve">C </t>
        </is>
      </c>
      <c r="AA637" s="605" t="n">
        <v>3</v>
      </c>
      <c r="AB637" s="605" t="n">
        <v>3</v>
      </c>
      <c r="AC637" s="378" t="inlineStr">
        <is>
          <t>33</t>
        </is>
      </c>
      <c r="AD637" s="384" t="inlineStr">
        <is>
          <t xml:space="preserve">LAWNTECH ENT'PRS    </t>
        </is>
      </c>
      <c r="AE637" s="145" t="n"/>
      <c r="AF637" s="145" t="n"/>
      <c r="AG637" s="145" t="n"/>
      <c r="AH637" s="145" t="n"/>
      <c r="AI637" s="145" t="n"/>
      <c r="AJ637" s="145" t="n"/>
      <c r="AK637" s="145" t="inlineStr">
        <is>
          <t xml:space="preserve">M-T WHSE; 4 UNITS.                                                </t>
        </is>
      </c>
      <c r="AL637" s="605">
        <f>IF(AND(ISNUMBER($S637),$S637&gt;0,ISNUMBER($K637),ISNUMBER($J637)),($K637*$J637)/$S637,"")</f>
        <v/>
      </c>
    </row>
    <row r="638" ht="12.75" customHeight="1" s="545">
      <c r="A638" s="388" t="n">
        <v>8</v>
      </c>
      <c r="B638" s="605" t="n">
        <v>630</v>
      </c>
      <c r="C638" s="384" t="inlineStr">
        <is>
          <t>2009Q</t>
        </is>
      </c>
      <c r="D638" s="605" t="inlineStr">
        <is>
          <t xml:space="preserve">01194-00-243-243 </t>
        </is>
      </c>
      <c r="E638" s="407" t="inlineStr">
        <is>
          <t>Actual</t>
        </is>
      </c>
      <c r="F638" s="605" t="inlineStr">
        <is>
          <t>5138 E 39TH                 AV</t>
        </is>
      </c>
      <c r="G638" s="392" t="n">
        <v>44.8</v>
      </c>
      <c r="H638" s="378" t="n">
        <v>9101</v>
      </c>
      <c r="I638" s="403" t="n">
        <v>0</v>
      </c>
      <c r="J638" s="404" t="n">
        <v>6719</v>
      </c>
      <c r="K638" s="408" t="n">
        <v>7.85831224884656</v>
      </c>
      <c r="L638" s="409" t="n">
        <v>0</v>
      </c>
      <c r="M638" s="409" t="n">
        <v>0</v>
      </c>
      <c r="N638" s="378" t="n">
        <v>1962</v>
      </c>
      <c r="P638" s="393" t="n">
        <v>750</v>
      </c>
      <c r="Q638" s="605" t="n">
        <v>16</v>
      </c>
      <c r="R638" s="605" t="n">
        <v>1</v>
      </c>
      <c r="S638" s="605" t="n">
        <v>1</v>
      </c>
      <c r="T638" s="403" t="inlineStr">
        <is>
          <t xml:space="preserve">I0   </t>
        </is>
      </c>
      <c r="U638" s="403" t="n">
        <v>398</v>
      </c>
      <c r="V638" s="404" t="n">
        <v>14654</v>
      </c>
      <c r="W638" s="404" t="n">
        <v>15000</v>
      </c>
      <c r="X638" s="410" t="inlineStr">
        <is>
          <t>2.2:1</t>
        </is>
      </c>
      <c r="Y638" s="404">
        <f>ROUND(J638,-3)</f>
        <v/>
      </c>
      <c r="Z638" s="403" t="inlineStr">
        <is>
          <t xml:space="preserve">C </t>
        </is>
      </c>
      <c r="AA638" s="605" t="n">
        <v>3</v>
      </c>
      <c r="AB638" s="605" t="n">
        <v>3</v>
      </c>
      <c r="AC638" s="378" t="inlineStr">
        <is>
          <t>33</t>
        </is>
      </c>
      <c r="AD638" s="384" t="inlineStr">
        <is>
          <t>UNIT 1;39TH IND COND</t>
        </is>
      </c>
      <c r="AE638" s="145" t="n"/>
      <c r="AF638" s="145" t="n"/>
      <c r="AG638" s="145" t="n"/>
      <c r="AH638" s="145" t="n"/>
      <c r="AI638" s="145" t="n"/>
      <c r="AJ638" s="145" t="n"/>
      <c r="AK638" s="145" t="inlineStr">
        <is>
          <t xml:space="preserve">S-T WHSE.                                                         </t>
        </is>
      </c>
      <c r="AL638" s="605">
        <f>IF(AND(ISNUMBER($S638),$S638&gt;0,ISNUMBER($K638),ISNUMBER($J638)),($K638*$J638)/$S638,"")</f>
        <v/>
      </c>
    </row>
    <row r="639" ht="12.75" customHeight="1" s="545">
      <c r="A639" s="388" t="n">
        <v>8</v>
      </c>
      <c r="B639" s="605" t="n">
        <v>631</v>
      </c>
      <c r="C639" s="384" t="inlineStr">
        <is>
          <t>2009Q</t>
        </is>
      </c>
      <c r="D639" s="605" t="inlineStr">
        <is>
          <t xml:space="preserve">01194-00-246-000 </t>
        </is>
      </c>
      <c r="E639" s="407" t="inlineStr">
        <is>
          <t>Actual</t>
        </is>
      </c>
      <c r="F639" s="605" t="inlineStr">
        <is>
          <t>4902   SMITH                RD</t>
        </is>
      </c>
      <c r="G639" s="392" t="n">
        <v>44.2</v>
      </c>
      <c r="H639" s="378" t="n">
        <v>9101</v>
      </c>
      <c r="I639" s="403" t="n">
        <v>0</v>
      </c>
      <c r="J639" s="404" t="n">
        <v>29244</v>
      </c>
      <c r="K639" s="408" t="n">
        <v>4.04869374914512</v>
      </c>
      <c r="L639" s="409" t="n">
        <v>0.12</v>
      </c>
      <c r="M639" s="409" t="n">
        <v>0</v>
      </c>
      <c r="N639" s="378" t="n">
        <v>1973</v>
      </c>
      <c r="O639" s="393" t="n">
        <v>2590</v>
      </c>
      <c r="Q639" s="605" t="n">
        <v>21</v>
      </c>
      <c r="R639" s="605" t="n">
        <v>3</v>
      </c>
      <c r="S639" s="605" t="n">
        <v>4</v>
      </c>
      <c r="T639" s="403" t="inlineStr">
        <is>
          <t xml:space="preserve">I1   </t>
        </is>
      </c>
      <c r="U639" s="403" t="n">
        <v>398</v>
      </c>
      <c r="V639" s="404" t="n">
        <v>75985</v>
      </c>
      <c r="W639" s="404" t="n">
        <v>80000</v>
      </c>
      <c r="X639" s="410" t="inlineStr">
        <is>
          <t>2.6:1</t>
        </is>
      </c>
      <c r="Y639" s="404">
        <f>ROUND(J639,-3)</f>
        <v/>
      </c>
      <c r="Z639" s="403" t="inlineStr">
        <is>
          <t xml:space="preserve">C </t>
        </is>
      </c>
      <c r="AA639" s="605" t="n">
        <v>2</v>
      </c>
      <c r="AB639" s="605" t="n">
        <v>2</v>
      </c>
      <c r="AC639" s="378" t="inlineStr">
        <is>
          <t>22</t>
        </is>
      </c>
      <c r="AD639" s="384" t="inlineStr">
        <is>
          <t xml:space="preserve">M-W 2 TENANTS       </t>
        </is>
      </c>
      <c r="AE639" s="145" t="n"/>
      <c r="AF639" s="145" t="n"/>
      <c r="AG639" s="145" t="n"/>
      <c r="AH639" s="145" t="n"/>
      <c r="AI639" s="145" t="n"/>
      <c r="AJ639" s="145" t="n"/>
      <c r="AK639" s="145" t="inlineStr">
        <is>
          <t xml:space="preserve">M-T WHSE.; 2 TENANTS; DATE OF LEASE UNKNOWN.                      </t>
        </is>
      </c>
      <c r="AL639" s="605">
        <f>IF(AND(ISNUMBER($S639),$S639&gt;0,ISNUMBER($K639),ISNUMBER($J639)),($K639*$J639)/$S639,"")</f>
        <v/>
      </c>
    </row>
    <row r="640" ht="12.75" customHeight="1" s="545">
      <c r="A640" s="388" t="n">
        <v>8</v>
      </c>
      <c r="B640" s="605" t="n">
        <v>632</v>
      </c>
      <c r="C640" s="384" t="inlineStr">
        <is>
          <t>2009Q</t>
        </is>
      </c>
      <c r="D640" s="605" t="inlineStr">
        <is>
          <t xml:space="preserve">01194-03-002-000 </t>
        </is>
      </c>
      <c r="E640" s="407" t="inlineStr">
        <is>
          <t>Actual</t>
        </is>
      </c>
      <c r="F640" s="605" t="inlineStr">
        <is>
          <t>3875   ELM                  ST</t>
        </is>
      </c>
      <c r="G640" s="392" t="n">
        <v>44.1</v>
      </c>
      <c r="H640" s="378" t="n">
        <v>9101</v>
      </c>
      <c r="I640" s="403" t="n">
        <v>0</v>
      </c>
      <c r="J640" s="404" t="n">
        <v>7200</v>
      </c>
      <c r="K640" s="408" t="n">
        <v>5.83333333333333</v>
      </c>
      <c r="L640" s="409" t="n">
        <v>0</v>
      </c>
      <c r="M640" s="409" t="n">
        <v>0.214071428571429</v>
      </c>
      <c r="N640" s="378" t="n">
        <v>1962</v>
      </c>
      <c r="O640" s="393" t="n">
        <v>2411</v>
      </c>
      <c r="Q640" s="605" t="n">
        <v>12</v>
      </c>
      <c r="R640" s="605" t="n">
        <v>3</v>
      </c>
      <c r="S640" s="605" t="n">
        <v>1</v>
      </c>
      <c r="T640" s="403" t="inlineStr">
        <is>
          <t xml:space="preserve">I0   </t>
        </is>
      </c>
      <c r="U640" s="403" t="n">
        <v>398</v>
      </c>
      <c r="V640" s="404" t="n">
        <v>19800</v>
      </c>
      <c r="W640" s="404" t="n">
        <v>20000</v>
      </c>
      <c r="X640" s="410" t="inlineStr">
        <is>
          <t>2.8:1</t>
        </is>
      </c>
      <c r="Y640" s="404">
        <f>ROUND(J640,-3)</f>
        <v/>
      </c>
      <c r="Z640" s="403" t="inlineStr">
        <is>
          <t xml:space="preserve">C </t>
        </is>
      </c>
      <c r="AA640" s="605" t="n">
        <v>3</v>
      </c>
      <c r="AB640" s="605" t="n">
        <v>3</v>
      </c>
      <c r="AC640" s="378" t="inlineStr">
        <is>
          <t>33</t>
        </is>
      </c>
      <c r="AD640" s="384" t="inlineStr">
        <is>
          <t xml:space="preserve">DIST    AIRPRO      </t>
        </is>
      </c>
      <c r="AE640" s="145" t="n"/>
      <c r="AF640" s="145" t="n"/>
      <c r="AG640" s="145" t="n"/>
      <c r="AH640" s="145" t="n"/>
      <c r="AI640" s="145" t="n"/>
      <c r="AJ640" s="145" t="n"/>
      <c r="AK640" s="145" t="inlineStr">
        <is>
          <t xml:space="preserve">S-T WHSE.                                                         </t>
        </is>
      </c>
      <c r="AL640" s="605">
        <f>IF(AND(ISNUMBER($S640),$S640&gt;0,ISNUMBER($K640),ISNUMBER($J640)),($K640*$J640)/$S640,"")</f>
        <v/>
      </c>
    </row>
    <row r="641" ht="12.75" customHeight="1" s="545">
      <c r="A641" s="388" t="n">
        <v>8</v>
      </c>
      <c r="B641" s="605" t="n">
        <v>633</v>
      </c>
      <c r="C641" s="384" t="inlineStr">
        <is>
          <t>2009Q</t>
        </is>
      </c>
      <c r="D641" s="605" t="inlineStr">
        <is>
          <t xml:space="preserve">01194-03-006-000 </t>
        </is>
      </c>
      <c r="E641" s="407" t="inlineStr">
        <is>
          <t>Actual</t>
        </is>
      </c>
      <c r="F641" s="605" t="inlineStr">
        <is>
          <t>4940 E 39TH                 AV</t>
        </is>
      </c>
      <c r="G641" s="392" t="n">
        <v>43.2</v>
      </c>
      <c r="H641" s="378" t="n">
        <v>9101</v>
      </c>
      <c r="I641" s="403" t="n">
        <v>0</v>
      </c>
      <c r="J641" s="404" t="n">
        <v>6272</v>
      </c>
      <c r="K641" s="408" t="n">
        <v>6.97608418367347</v>
      </c>
      <c r="L641" s="409" t="n">
        <v>0</v>
      </c>
      <c r="M641" s="409" t="n">
        <v>0.0527723179595009</v>
      </c>
      <c r="N641" s="378" t="n">
        <v>1966</v>
      </c>
      <c r="O641" s="393" t="n">
        <v>1040</v>
      </c>
      <c r="Q641" s="605" t="n">
        <v>12</v>
      </c>
      <c r="R641" s="605" t="n">
        <v>1</v>
      </c>
      <c r="S641" s="605" t="n">
        <v>1</v>
      </c>
      <c r="T641" s="403" t="inlineStr">
        <is>
          <t xml:space="preserve">I1   </t>
        </is>
      </c>
      <c r="U641" s="403" t="n">
        <v>401</v>
      </c>
      <c r="V641" s="404" t="n">
        <v>12951</v>
      </c>
      <c r="W641" s="404" t="n">
        <v>13000</v>
      </c>
      <c r="X641" s="410" t="inlineStr">
        <is>
          <t>2.1:1</t>
        </is>
      </c>
      <c r="Y641" s="404">
        <f>ROUND(J641,-3)</f>
        <v/>
      </c>
      <c r="Z641" s="403" t="inlineStr">
        <is>
          <t xml:space="preserve">C </t>
        </is>
      </c>
      <c r="AA641" s="605" t="n">
        <v>3</v>
      </c>
      <c r="AB641" s="605" t="n">
        <v>2</v>
      </c>
      <c r="AC641" s="378" t="inlineStr">
        <is>
          <t>32</t>
        </is>
      </c>
      <c r="AD641" s="384" t="inlineStr">
        <is>
          <t>S-M BC PRINTING INC.</t>
        </is>
      </c>
      <c r="AE641" s="145" t="n"/>
      <c r="AF641" s="145" t="n"/>
      <c r="AG641" s="145" t="n"/>
      <c r="AH641" s="145" t="n"/>
      <c r="AI641" s="145" t="n"/>
      <c r="AJ641" s="145" t="n"/>
      <c r="AK641" s="145" t="inlineStr">
        <is>
          <t xml:space="preserve">S-T WHSE.;LEASE DATES FROM 2001.                                  </t>
        </is>
      </c>
      <c r="AL641" s="605">
        <f>IF(AND(ISNUMBER($S641),$S641&gt;0,ISNUMBER($K641),ISNUMBER($J641)),($K641*$J641)/$S641,"")</f>
        <v/>
      </c>
    </row>
    <row r="642" ht="12.75" customHeight="1" s="545">
      <c r="A642" s="388" t="n">
        <v>8</v>
      </c>
      <c r="B642" s="605" t="n">
        <v>634</v>
      </c>
      <c r="C642" s="384" t="inlineStr">
        <is>
          <t>2009Q</t>
        </is>
      </c>
      <c r="D642" s="605" t="inlineStr">
        <is>
          <t xml:space="preserve">01194-03-007-000 </t>
        </is>
      </c>
      <c r="E642" s="407" t="inlineStr">
        <is>
          <t>Actual</t>
        </is>
      </c>
      <c r="F642" s="605" t="inlineStr">
        <is>
          <t>4900 E 39TH                 AV</t>
        </is>
      </c>
      <c r="G642" s="392" t="n">
        <v>44.1</v>
      </c>
      <c r="H642" s="378" t="n">
        <v>9101</v>
      </c>
      <c r="I642" s="403" t="n">
        <v>0</v>
      </c>
      <c r="J642" s="404" t="n">
        <v>5040</v>
      </c>
      <c r="K642" s="408" t="n">
        <v>7.14285714285714</v>
      </c>
      <c r="L642" s="409" t="n">
        <v>1</v>
      </c>
      <c r="M642" s="409" t="n">
        <v>0.119444444444445</v>
      </c>
      <c r="N642" s="378" t="n">
        <v>1966</v>
      </c>
      <c r="O642" s="393" t="n">
        <v>4080</v>
      </c>
      <c r="Q642" s="605" t="n">
        <v>14</v>
      </c>
      <c r="R642" s="605" t="n">
        <v>10</v>
      </c>
      <c r="S642" s="605" t="n">
        <v>1</v>
      </c>
      <c r="T642" s="403" t="inlineStr">
        <is>
          <t xml:space="preserve">I1   </t>
        </is>
      </c>
      <c r="U642" s="403" t="n">
        <v>397</v>
      </c>
      <c r="V642" s="404" t="n">
        <v>12100</v>
      </c>
      <c r="W642" s="404" t="n">
        <v>12000</v>
      </c>
      <c r="X642" s="410" t="inlineStr">
        <is>
          <t>2.4:1</t>
        </is>
      </c>
      <c r="Y642" s="404">
        <f>ROUND(J642,-3)</f>
        <v/>
      </c>
      <c r="Z642" s="403" t="inlineStr">
        <is>
          <t xml:space="preserve">C </t>
        </is>
      </c>
      <c r="AA642" s="605" t="n">
        <v>3</v>
      </c>
      <c r="AB642" s="605" t="n">
        <v>3</v>
      </c>
      <c r="AC642" s="378" t="inlineStr">
        <is>
          <t>33</t>
        </is>
      </c>
      <c r="AD642" s="384" t="n"/>
      <c r="AE642" s="145" t="n"/>
      <c r="AF642" s="145" t="n"/>
      <c r="AG642" s="145" t="n"/>
      <c r="AH642" s="145" t="n"/>
      <c r="AI642" s="145" t="n"/>
      <c r="AJ642" s="145" t="n"/>
      <c r="AK642" s="145" t="inlineStr">
        <is>
          <t xml:space="preserve">S-T WHSE.; 2005 LEASE.                                            </t>
        </is>
      </c>
      <c r="AL642" s="605">
        <f>IF(AND(ISNUMBER($S642),$S642&gt;0,ISNUMBER($K642),ISNUMBER($J642)),($K642*$J642)/$S642,"")</f>
        <v/>
      </c>
    </row>
    <row r="643" ht="12.75" customHeight="1" s="545">
      <c r="A643" s="388" t="n">
        <v>8</v>
      </c>
      <c r="B643" s="605" t="n">
        <v>635</v>
      </c>
      <c r="C643" s="384" t="inlineStr">
        <is>
          <t>2009Q</t>
        </is>
      </c>
      <c r="D643" s="605" t="inlineStr">
        <is>
          <t xml:space="preserve">01194-04-001-000 </t>
        </is>
      </c>
      <c r="E643" s="407" t="inlineStr">
        <is>
          <t>Actual</t>
        </is>
      </c>
      <c r="F643" s="605" t="inlineStr">
        <is>
          <t>3835   ELM                  ST</t>
        </is>
      </c>
      <c r="G643" s="392" t="n">
        <v>44.2</v>
      </c>
      <c r="H643" s="378" t="n">
        <v>9101</v>
      </c>
      <c r="I643" s="403" t="n">
        <v>0</v>
      </c>
      <c r="J643" s="404" t="n">
        <v>18000</v>
      </c>
      <c r="K643" s="408" t="n">
        <v>5.22333333333333</v>
      </c>
      <c r="L643" s="409" t="n">
        <v>0</v>
      </c>
      <c r="M643" s="409" t="n">
        <v>0.132939800042544</v>
      </c>
      <c r="N643" s="378" t="n">
        <v>1962</v>
      </c>
      <c r="O643" s="393" t="n">
        <v>9120</v>
      </c>
      <c r="Q643" s="605" t="n">
        <v>13</v>
      </c>
      <c r="R643" s="605" t="n">
        <v>3</v>
      </c>
      <c r="S643" s="605" t="n">
        <v>6</v>
      </c>
      <c r="T643" s="403" t="inlineStr">
        <is>
          <t xml:space="preserve">I0   </t>
        </is>
      </c>
      <c r="U643" s="403" t="n">
        <v>398</v>
      </c>
      <c r="V643" s="404" t="n">
        <v>41400</v>
      </c>
      <c r="W643" s="404" t="n">
        <v>41000</v>
      </c>
      <c r="X643" s="410" t="inlineStr">
        <is>
          <t>2.3:1</t>
        </is>
      </c>
      <c r="Y643" s="404">
        <f>ROUND(J643,-3)</f>
        <v/>
      </c>
      <c r="Z643" s="403" t="inlineStr">
        <is>
          <t xml:space="preserve">C </t>
        </is>
      </c>
      <c r="AA643" s="605" t="n">
        <v>3</v>
      </c>
      <c r="AB643" s="605" t="n">
        <v>3</v>
      </c>
      <c r="AC643" s="378" t="inlineStr">
        <is>
          <t>33</t>
        </is>
      </c>
      <c r="AD643" s="384" t="inlineStr">
        <is>
          <t xml:space="preserve">DIST/MULTI TENANT   </t>
        </is>
      </c>
      <c r="AE643" s="145" t="n"/>
      <c r="AF643" s="145" t="n"/>
      <c r="AG643" s="145" t="n"/>
      <c r="AH643" s="145" t="n"/>
      <c r="AI643" s="145" t="n"/>
      <c r="AJ643" s="145" t="n"/>
      <c r="AK643" s="145" t="inlineStr">
        <is>
          <t xml:space="preserve">M-T WHSE.; 4 TENANTS; LEASES 2005 - 2007.                         </t>
        </is>
      </c>
      <c r="AL643" s="605">
        <f>IF(AND(ISNUMBER($S643),$S643&gt;0,ISNUMBER($K643),ISNUMBER($J643)),($K643*$J643)/$S643,"")</f>
        <v/>
      </c>
    </row>
    <row r="644" ht="12.75" customHeight="1" s="545">
      <c r="A644" s="388" t="n">
        <v>8</v>
      </c>
      <c r="B644" s="605" t="n">
        <v>636</v>
      </c>
      <c r="C644" s="384" t="inlineStr">
        <is>
          <t>2009Q</t>
        </is>
      </c>
      <c r="D644" s="605" t="inlineStr">
        <is>
          <t xml:space="preserve">01194-04-002-000 </t>
        </is>
      </c>
      <c r="E644" s="407" t="inlineStr">
        <is>
          <t>Actual</t>
        </is>
      </c>
      <c r="F644" s="605" t="inlineStr">
        <is>
          <t>3831   EUDORA               WY</t>
        </is>
      </c>
      <c r="G644" s="392" t="n">
        <v>44.2</v>
      </c>
      <c r="H644" s="378" t="n">
        <v>9101</v>
      </c>
      <c r="I644" s="403" t="n">
        <v>0</v>
      </c>
      <c r="J644" s="404" t="n">
        <v>20221</v>
      </c>
      <c r="K644" s="408" t="n">
        <v>5.34098214727264</v>
      </c>
      <c r="L644" s="409" t="n">
        <v>0</v>
      </c>
      <c r="M644" s="409" t="n">
        <v>0.113888888888889</v>
      </c>
      <c r="N644" s="378" t="n">
        <v>1964</v>
      </c>
      <c r="O644" s="393" t="n">
        <v>1508</v>
      </c>
      <c r="Q644" s="605" t="n">
        <v>18</v>
      </c>
      <c r="R644" s="605" t="n">
        <v>3</v>
      </c>
      <c r="S644" s="605" t="n">
        <v>2</v>
      </c>
      <c r="T644" s="403" t="inlineStr">
        <is>
          <t xml:space="preserve">I0   </t>
        </is>
      </c>
      <c r="U644" s="403" t="n">
        <v>398</v>
      </c>
      <c r="V644" s="404" t="n">
        <v>34330</v>
      </c>
      <c r="W644" s="404" t="n">
        <v>34000</v>
      </c>
      <c r="X644" s="410" t="inlineStr">
        <is>
          <t>1.7:1</t>
        </is>
      </c>
      <c r="Y644" s="404">
        <f>ROUND(J644,-3)</f>
        <v/>
      </c>
      <c r="Z644" s="403" t="inlineStr">
        <is>
          <t xml:space="preserve">C </t>
        </is>
      </c>
      <c r="AA644" s="605" t="n">
        <v>3</v>
      </c>
      <c r="AB644" s="605" t="n">
        <v>3</v>
      </c>
      <c r="AC644" s="378" t="inlineStr">
        <is>
          <t>33</t>
        </is>
      </c>
      <c r="AD644" s="384" t="inlineStr">
        <is>
          <t xml:space="preserve">PETRIDGE FARMS      </t>
        </is>
      </c>
      <c r="AE644" s="145" t="n"/>
      <c r="AF644" s="145" t="n"/>
      <c r="AG644" s="145" t="n"/>
      <c r="AH644" s="145" t="n"/>
      <c r="AI644" s="145" t="n"/>
      <c r="AJ644" s="145" t="n"/>
      <c r="AK644" s="145" t="inlineStr">
        <is>
          <t xml:space="preserve">M-T WHSE.; 2 TENANTS; LEASES 2005 &amp; 2007.                         </t>
        </is>
      </c>
      <c r="AL644" s="605">
        <f>IF(AND(ISNUMBER($S644),$S644&gt;0,ISNUMBER($K644),ISNUMBER($J644)),($K644*$J644)/$S644,"")</f>
        <v/>
      </c>
    </row>
    <row r="645" ht="12.75" customHeight="1" s="545">
      <c r="A645" s="388" t="n">
        <v>8</v>
      </c>
      <c r="B645" s="605" t="n">
        <v>637</v>
      </c>
      <c r="C645" s="384" t="inlineStr">
        <is>
          <t>2009Q</t>
        </is>
      </c>
      <c r="D645" s="605" t="inlineStr">
        <is>
          <t xml:space="preserve">01201-00-042-000 </t>
        </is>
      </c>
      <c r="E645" s="407" t="inlineStr">
        <is>
          <t>Actual</t>
        </is>
      </c>
      <c r="F645" s="605" t="inlineStr">
        <is>
          <t>4300   MONACO               PY</t>
        </is>
      </c>
      <c r="G645" s="392" t="n">
        <v>44.2</v>
      </c>
      <c r="H645" s="378" t="n">
        <v>9101</v>
      </c>
      <c r="I645" s="403" t="n">
        <v>0</v>
      </c>
      <c r="J645" s="404" t="n">
        <v>20000</v>
      </c>
      <c r="K645" s="408" t="n">
        <v>4.4182</v>
      </c>
      <c r="L645" s="409" t="n">
        <v>0</v>
      </c>
      <c r="M645" s="409" t="n">
        <v>0.0893689737902313</v>
      </c>
      <c r="N645" s="378" t="n">
        <v>1969</v>
      </c>
      <c r="O645" s="393">
        <f>2350+420</f>
        <v/>
      </c>
      <c r="Q645" s="605" t="n">
        <v>20</v>
      </c>
      <c r="R645" s="605" t="n">
        <v>3</v>
      </c>
      <c r="S645" s="605" t="n">
        <v>1</v>
      </c>
      <c r="T645" s="403" t="inlineStr">
        <is>
          <t xml:space="preserve">I2   </t>
        </is>
      </c>
      <c r="U645" s="403" t="n">
        <v>398</v>
      </c>
      <c r="V645" s="404" t="n">
        <v>63328</v>
      </c>
      <c r="W645" s="404" t="n">
        <v>60000</v>
      </c>
      <c r="X645" s="410" t="inlineStr">
        <is>
          <t>3.2:1</t>
        </is>
      </c>
      <c r="Y645" s="404">
        <f>ROUND(J645,-3)</f>
        <v/>
      </c>
      <c r="Z645" s="403" t="inlineStr">
        <is>
          <t xml:space="preserve">C </t>
        </is>
      </c>
      <c r="AA645" s="605" t="n">
        <v>3</v>
      </c>
      <c r="AB645" s="605" t="n">
        <v>3</v>
      </c>
      <c r="AC645" s="378" t="inlineStr">
        <is>
          <t>33</t>
        </is>
      </c>
      <c r="AD645" s="384" t="n"/>
      <c r="AE645" s="145" t="n"/>
      <c r="AF645" s="145" t="n"/>
      <c r="AG645" s="145" t="n"/>
      <c r="AH645" s="145" t="n"/>
      <c r="AI645" s="145" t="n"/>
      <c r="AJ645" s="145" t="n"/>
      <c r="AK645" s="145" t="inlineStr">
        <is>
          <t xml:space="preserve">S-T WHSE.                                                         </t>
        </is>
      </c>
      <c r="AL645" s="605">
        <f>IF(AND(ISNUMBER($S645),$S645&gt;0,ISNUMBER($K645),ISNUMBER($J645)),($K645*$J645)/$S645,"")</f>
        <v/>
      </c>
    </row>
    <row r="646" ht="12.75" customHeight="1" s="545">
      <c r="A646" s="388" t="n">
        <v>8</v>
      </c>
      <c r="B646" s="605" t="n">
        <v>638</v>
      </c>
      <c r="C646" s="384" t="inlineStr">
        <is>
          <t>2009Q</t>
        </is>
      </c>
      <c r="D646" s="605" t="inlineStr">
        <is>
          <t xml:space="preserve">01201-00-044-000 </t>
        </is>
      </c>
      <c r="E646" s="407" t="inlineStr">
        <is>
          <t>Actual</t>
        </is>
      </c>
      <c r="F646" s="605" t="inlineStr">
        <is>
          <t>4600   MONACO               PY</t>
        </is>
      </c>
      <c r="G646" s="392" t="n">
        <v>44.2</v>
      </c>
      <c r="H646" s="378" t="n">
        <v>9101</v>
      </c>
      <c r="I646" s="403" t="n">
        <v>0</v>
      </c>
      <c r="J646" s="404" t="n">
        <v>15492</v>
      </c>
      <c r="K646" s="408" t="n">
        <v>3.4856700232378</v>
      </c>
      <c r="L646" s="409" t="n">
        <v>0</v>
      </c>
      <c r="M646" s="409" t="n">
        <v>0</v>
      </c>
      <c r="N646" s="378" t="n">
        <v>1974</v>
      </c>
      <c r="P646" s="393" t="n">
        <v>1508</v>
      </c>
      <c r="Q646" s="605" t="n">
        <v>20</v>
      </c>
      <c r="R646" s="605" t="n">
        <v>14</v>
      </c>
      <c r="S646" s="605" t="n">
        <v>1</v>
      </c>
      <c r="T646" s="403" t="inlineStr">
        <is>
          <t xml:space="preserve">I2   </t>
        </is>
      </c>
      <c r="U646" s="403" t="n">
        <v>398</v>
      </c>
      <c r="V646" s="404" t="n">
        <v>87100</v>
      </c>
      <c r="W646" s="404" t="n">
        <v>90000</v>
      </c>
      <c r="X646" s="410" t="inlineStr">
        <is>
          <t>5.6:1</t>
        </is>
      </c>
      <c r="Y646" s="404">
        <f>ROUND(J646,-3)</f>
        <v/>
      </c>
      <c r="Z646" s="403" t="inlineStr">
        <is>
          <t xml:space="preserve">C </t>
        </is>
      </c>
      <c r="AA646" s="605" t="n">
        <v>3</v>
      </c>
      <c r="AB646" s="605" t="n">
        <v>3</v>
      </c>
      <c r="AC646" s="378" t="inlineStr">
        <is>
          <t>33</t>
        </is>
      </c>
      <c r="AD646" s="384" t="n"/>
      <c r="AE646" s="145" t="n"/>
      <c r="AF646" s="145" t="n"/>
      <c r="AG646" s="145" t="n"/>
      <c r="AH646" s="145" t="n"/>
      <c r="AI646" s="145" t="n"/>
      <c r="AJ646" s="145" t="n"/>
      <c r="AK646" s="145" t="inlineStr">
        <is>
          <t xml:space="preserve">S-T WHSE.                                                         </t>
        </is>
      </c>
      <c r="AL646" s="605">
        <f>IF(AND(ISNUMBER($S646),$S646&gt;0,ISNUMBER($K646),ISNUMBER($J646)),($K646*$J646)/$S646,"")</f>
        <v/>
      </c>
    </row>
    <row r="647" ht="12.75" customHeight="1" s="545">
      <c r="A647" s="388" t="n">
        <v>8</v>
      </c>
      <c r="B647" s="605" t="n">
        <v>639</v>
      </c>
      <c r="C647" s="384" t="inlineStr">
        <is>
          <t>2009Q</t>
        </is>
      </c>
      <c r="D647" s="605" t="inlineStr">
        <is>
          <t xml:space="preserve">01201-00-060-000 </t>
        </is>
      </c>
      <c r="E647" s="407" t="inlineStr">
        <is>
          <t>Actual</t>
        </is>
      </c>
      <c r="F647" s="605" t="inlineStr">
        <is>
          <t>6666   STAPLETON S          DR</t>
        </is>
      </c>
      <c r="G647" s="392" t="n">
        <v>47.1</v>
      </c>
      <c r="H647" s="378" t="n">
        <v>9101</v>
      </c>
      <c r="I647" s="403" t="n">
        <v>0</v>
      </c>
      <c r="J647" s="404" t="n">
        <v>19998</v>
      </c>
      <c r="K647" s="408" t="n">
        <v>8.23082308230823</v>
      </c>
      <c r="L647" s="409" t="n">
        <v>0</v>
      </c>
      <c r="M647" s="409" t="n">
        <v>0</v>
      </c>
      <c r="N647" s="378" t="n">
        <v>1970</v>
      </c>
      <c r="O647" s="393" t="n">
        <v>4632</v>
      </c>
      <c r="Q647" s="605" t="n">
        <v>17</v>
      </c>
      <c r="R647" s="605" t="n">
        <v>1</v>
      </c>
      <c r="S647" s="605" t="n">
        <v>1</v>
      </c>
      <c r="T647" s="403" t="inlineStr">
        <is>
          <t xml:space="preserve">I2   </t>
        </is>
      </c>
      <c r="U647" s="403" t="n">
        <v>401</v>
      </c>
      <c r="V647" s="404" t="n">
        <v>51907</v>
      </c>
      <c r="W647" s="404" t="n">
        <v>50000</v>
      </c>
      <c r="X647" s="410" t="inlineStr">
        <is>
          <t>2.6:1</t>
        </is>
      </c>
      <c r="Y647" s="404">
        <f>ROUND(J647,-3)</f>
        <v/>
      </c>
      <c r="Z647" s="403" t="inlineStr">
        <is>
          <t xml:space="preserve">C </t>
        </is>
      </c>
      <c r="AA647" s="605" t="n">
        <v>3</v>
      </c>
      <c r="AB647" s="605" t="n">
        <v>3</v>
      </c>
      <c r="AC647" s="378" t="inlineStr">
        <is>
          <t>33</t>
        </is>
      </c>
      <c r="AD647" s="384" t="inlineStr">
        <is>
          <t xml:space="preserve">LIGHT MANUFACTURING </t>
        </is>
      </c>
      <c r="AE647" s="145" t="n"/>
      <c r="AF647" s="145" t="n"/>
      <c r="AG647" s="145" t="n"/>
      <c r="AH647" s="145" t="n"/>
      <c r="AI647" s="145" t="n"/>
      <c r="AJ647" s="145" t="n"/>
      <c r="AK647" s="145" t="inlineStr">
        <is>
          <t xml:space="preserve">S-T INDUSTRIAL BLDG.                                              </t>
        </is>
      </c>
      <c r="AL647" s="605">
        <f>IF(AND(ISNUMBER($S647),$S647&gt;0,ISNUMBER($K647),ISNUMBER($J647)),($K647*$J647)/$S647,"")</f>
        <v/>
      </c>
    </row>
    <row r="648" ht="12.75" customHeight="1" s="545">
      <c r="A648" s="388" t="n">
        <v>8</v>
      </c>
      <c r="B648" s="605" t="n">
        <v>640</v>
      </c>
      <c r="C648" s="384" t="inlineStr">
        <is>
          <t>2009Q</t>
        </is>
      </c>
      <c r="D648" s="605" t="inlineStr">
        <is>
          <t xml:space="preserve">01201-19-020-000 </t>
        </is>
      </c>
      <c r="E648" s="407" t="inlineStr">
        <is>
          <t>Actual</t>
        </is>
      </c>
      <c r="F648" s="605" t="inlineStr">
        <is>
          <t>6804 E 48TH                 AV</t>
        </is>
      </c>
      <c r="G648" s="392" t="n">
        <v>44.2</v>
      </c>
      <c r="H648" s="378" t="n">
        <v>9101</v>
      </c>
      <c r="I648" s="403" t="n">
        <v>0</v>
      </c>
      <c r="J648" s="404" t="n">
        <v>46464</v>
      </c>
      <c r="K648" s="408" t="n">
        <v>4.57074294077135</v>
      </c>
      <c r="L648" s="409" t="n">
        <v>0.125</v>
      </c>
      <c r="M648" s="409" t="n">
        <v>0.22975397292525</v>
      </c>
      <c r="N648" s="378" t="n">
        <v>1973</v>
      </c>
      <c r="O648" s="393" t="n">
        <v>5987</v>
      </c>
      <c r="Q648" s="605" t="n">
        <v>15</v>
      </c>
      <c r="R648" s="605" t="n">
        <v>10</v>
      </c>
      <c r="S648" s="605" t="n">
        <v>8</v>
      </c>
      <c r="T648" s="403" t="inlineStr">
        <is>
          <t xml:space="preserve">I2   </t>
        </is>
      </c>
      <c r="U648" s="403" t="n">
        <v>398</v>
      </c>
      <c r="V648" s="404" t="n">
        <v>97473</v>
      </c>
      <c r="W648" s="404" t="n">
        <v>100000</v>
      </c>
      <c r="X648" s="410" t="inlineStr">
        <is>
          <t>2.1:1</t>
        </is>
      </c>
      <c r="Y648" s="404">
        <f>ROUND(J648,-3)</f>
        <v/>
      </c>
      <c r="Z648" s="403" t="inlineStr">
        <is>
          <t xml:space="preserve">C </t>
        </is>
      </c>
      <c r="AA648" s="605" t="n">
        <v>3</v>
      </c>
      <c r="AB648" s="605" t="n">
        <v>3</v>
      </c>
      <c r="AC648" s="378" t="inlineStr">
        <is>
          <t>33</t>
        </is>
      </c>
      <c r="AD648" s="384" t="n"/>
      <c r="AE648" s="145" t="n"/>
      <c r="AF648" s="145" t="n"/>
      <c r="AG648" s="145" t="n"/>
      <c r="AH648" s="145" t="n"/>
      <c r="AI648" s="145" t="n"/>
      <c r="AJ648" s="145" t="n"/>
      <c r="AK648" s="145" t="inlineStr">
        <is>
          <t xml:space="preserve">M-T WHSE.; 8 TENANTS; LEASES 1995 - 2007.                         </t>
        </is>
      </c>
      <c r="AL648" s="605">
        <f>IF(AND(ISNUMBER($S648),$S648&gt;0,ISNUMBER($K648),ISNUMBER($J648)),($K648*$J648)/$S648,"")</f>
        <v/>
      </c>
    </row>
    <row r="649" ht="12.75" customHeight="1" s="545">
      <c r="A649" s="388" t="n">
        <v>8</v>
      </c>
      <c r="B649" s="605" t="n">
        <v>641</v>
      </c>
      <c r="C649" s="384" t="inlineStr">
        <is>
          <t>2009Q</t>
        </is>
      </c>
      <c r="D649" s="605" t="inlineStr">
        <is>
          <t xml:space="preserve">01201-21-037-037 </t>
        </is>
      </c>
      <c r="E649" s="407" t="inlineStr">
        <is>
          <t>Actual</t>
        </is>
      </c>
      <c r="F649" s="605" t="inlineStr">
        <is>
          <t>4601   QUEBEC               ST</t>
        </is>
      </c>
      <c r="G649" s="392" t="n">
        <v>44.8</v>
      </c>
      <c r="H649" s="378" t="n">
        <v>9101</v>
      </c>
      <c r="I649" s="403" t="n">
        <v>0</v>
      </c>
      <c r="J649" s="404" t="n">
        <v>1510</v>
      </c>
      <c r="K649" s="408" t="n">
        <v>9.93377483443709</v>
      </c>
      <c r="L649" s="409" t="n">
        <v>0</v>
      </c>
      <c r="M649" s="409" t="n">
        <v>0.1384</v>
      </c>
      <c r="N649" s="378" t="n">
        <v>2004</v>
      </c>
      <c r="O649" s="393" t="n">
        <v>1510</v>
      </c>
      <c r="Q649" s="605" t="n">
        <v>18</v>
      </c>
      <c r="R649" s="605" t="n">
        <v>14</v>
      </c>
      <c r="S649" s="605" t="n">
        <v>1</v>
      </c>
      <c r="T649" s="403" t="inlineStr">
        <is>
          <t xml:space="preserve">I2   </t>
        </is>
      </c>
      <c r="U649" s="403" t="n">
        <v>398</v>
      </c>
      <c r="V649" s="404" t="n">
        <v>4552</v>
      </c>
      <c r="W649" s="404" t="n">
        <v>5000</v>
      </c>
      <c r="X649" s="410" t="inlineStr">
        <is>
          <t>3.0:1</t>
        </is>
      </c>
      <c r="Y649" s="404">
        <f>ROUND(J649,-2)</f>
        <v/>
      </c>
      <c r="Z649" s="403" t="inlineStr">
        <is>
          <t xml:space="preserve">C </t>
        </is>
      </c>
      <c r="AA649" s="605" t="n">
        <v>3</v>
      </c>
      <c r="AB649" s="605" t="n">
        <v>3</v>
      </c>
      <c r="AC649" s="378" t="inlineStr">
        <is>
          <t>33</t>
        </is>
      </c>
      <c r="AD649" s="384" t="inlineStr">
        <is>
          <t xml:space="preserve">C-2 (B) SOLSTICE    </t>
        </is>
      </c>
      <c r="AE649" s="145" t="n"/>
      <c r="AF649" s="145" t="n"/>
      <c r="AG649" s="145" t="n"/>
      <c r="AH649" s="145" t="n"/>
      <c r="AI649" s="145" t="n"/>
      <c r="AJ649" s="145" t="n"/>
      <c r="AK649" s="145" t="inlineStr">
        <is>
          <t xml:space="preserve">S-T WHSE. CONDO UNIT; AGE OF LEASE UNKNOWN.                       </t>
        </is>
      </c>
      <c r="AL649" s="605">
        <f>IF(AND(ISNUMBER($S649),$S649&gt;0,ISNUMBER($K649),ISNUMBER($J649)),($K649*$J649)/$S649,"")</f>
        <v/>
      </c>
    </row>
    <row r="650" ht="12.75" customHeight="1" s="545">
      <c r="A650" s="388" t="n">
        <v>8</v>
      </c>
      <c r="B650" s="605" t="n">
        <v>642</v>
      </c>
      <c r="C650" s="384" t="inlineStr">
        <is>
          <t>2009Q</t>
        </is>
      </c>
      <c r="D650" s="605" t="inlineStr">
        <is>
          <t xml:space="preserve">01202-00-129-000 </t>
        </is>
      </c>
      <c r="E650" s="407" t="inlineStr">
        <is>
          <t>Actual</t>
        </is>
      </c>
      <c r="F650" s="605" t="inlineStr">
        <is>
          <t>5601   STAPLETON N          DR</t>
        </is>
      </c>
      <c r="G650" s="392" t="n">
        <v>44.2</v>
      </c>
      <c r="H650" s="378" t="n">
        <v>9101</v>
      </c>
      <c r="I650" s="403" t="n">
        <v>0</v>
      </c>
      <c r="J650" s="404" t="n">
        <v>36000</v>
      </c>
      <c r="K650" s="408" t="n">
        <v>4.16666666666667</v>
      </c>
      <c r="L650" s="409" t="n">
        <v>0</v>
      </c>
      <c r="M650" s="409" t="n">
        <v>0</v>
      </c>
      <c r="N650" s="378" t="n">
        <v>1961</v>
      </c>
      <c r="O650" s="393" t="n">
        <v>6276</v>
      </c>
      <c r="Q650" s="605" t="n">
        <v>17</v>
      </c>
      <c r="R650" s="605" t="n">
        <v>10</v>
      </c>
      <c r="S650" s="605" t="n">
        <v>1</v>
      </c>
      <c r="T650" s="403" t="inlineStr">
        <is>
          <t xml:space="preserve">I2   </t>
        </is>
      </c>
      <c r="U650" s="403" t="n">
        <v>398</v>
      </c>
      <c r="V650" s="404" t="n">
        <v>56220</v>
      </c>
      <c r="W650" s="404" t="n">
        <v>60000</v>
      </c>
      <c r="X650" s="410" t="inlineStr">
        <is>
          <t>1.6:1</t>
        </is>
      </c>
      <c r="Y650" s="404">
        <f>ROUND(J650,-3)</f>
        <v/>
      </c>
      <c r="Z650" s="403" t="inlineStr">
        <is>
          <t xml:space="preserve">C </t>
        </is>
      </c>
      <c r="AA650" s="605" t="n">
        <v>3</v>
      </c>
      <c r="AB650" s="605" t="n">
        <v>3</v>
      </c>
      <c r="AC650" s="378" t="inlineStr">
        <is>
          <t>33</t>
        </is>
      </c>
      <c r="AD650" s="384" t="n"/>
      <c r="AE650" s="145" t="n"/>
      <c r="AF650" s="145" t="n"/>
      <c r="AG650" s="145" t="n"/>
      <c r="AH650" s="145" t="n"/>
      <c r="AI650" s="145" t="n"/>
      <c r="AJ650" s="145" t="n"/>
      <c r="AK650" s="145" t="inlineStr">
        <is>
          <t xml:space="preserve">S-T WHSE.; AGE OF LEASE UNKNOWN.                                  </t>
        </is>
      </c>
      <c r="AL650" s="605">
        <f>IF(AND(ISNUMBER($S650),$S650&gt;0,ISNUMBER($K650),ISNUMBER($J650)),($K650*$J650)/$S650,"")</f>
        <v/>
      </c>
    </row>
    <row r="651" ht="12.75" customHeight="1" s="545">
      <c r="A651" s="388" t="n">
        <v>8</v>
      </c>
      <c r="B651" s="605" t="n">
        <v>643</v>
      </c>
      <c r="C651" s="384" t="inlineStr">
        <is>
          <t>2009Q</t>
        </is>
      </c>
      <c r="D651" s="605" t="inlineStr">
        <is>
          <t xml:space="preserve">01202-00-131-000 </t>
        </is>
      </c>
      <c r="E651" s="407" t="inlineStr">
        <is>
          <t>Actual</t>
        </is>
      </c>
      <c r="F651" s="605" t="inlineStr">
        <is>
          <t>4621   MONACO               PK</t>
        </is>
      </c>
      <c r="G651" s="392" t="n">
        <v>44.1</v>
      </c>
      <c r="H651" s="378" t="n">
        <v>9101</v>
      </c>
      <c r="I651" s="403" t="n">
        <v>0</v>
      </c>
      <c r="J651" s="404" t="n">
        <v>99494</v>
      </c>
      <c r="K651" s="408" t="n">
        <v>4.29372625484954</v>
      </c>
      <c r="L651" s="409" t="n">
        <v>0</v>
      </c>
      <c r="M651" s="409" t="n">
        <v>0</v>
      </c>
      <c r="N651" s="378" t="n">
        <v>1962</v>
      </c>
      <c r="O651" s="393">
        <f>6063+5460</f>
        <v/>
      </c>
      <c r="Q651" s="605" t="n">
        <v>21</v>
      </c>
      <c r="R651" s="605" t="n">
        <v>1</v>
      </c>
      <c r="S651" s="605" t="n">
        <v>1</v>
      </c>
      <c r="T651" s="403" t="inlineStr">
        <is>
          <t xml:space="preserve">I2   </t>
        </is>
      </c>
      <c r="U651" s="403" t="n">
        <v>398</v>
      </c>
      <c r="V651" s="404" t="n">
        <v>235873</v>
      </c>
      <c r="W651" s="404" t="n">
        <v>240000</v>
      </c>
      <c r="X651" s="410" t="inlineStr">
        <is>
          <t>2.4:1</t>
        </is>
      </c>
      <c r="Y651" s="404">
        <f>ROUND(J651,-4)</f>
        <v/>
      </c>
      <c r="Z651" s="403" t="inlineStr">
        <is>
          <t xml:space="preserve">C </t>
        </is>
      </c>
      <c r="AA651" s="605" t="n">
        <v>3</v>
      </c>
      <c r="AB651" s="605" t="n">
        <v>3</v>
      </c>
      <c r="AC651" s="378" t="inlineStr">
        <is>
          <t>33</t>
        </is>
      </c>
      <c r="AD651" s="384" t="inlineStr">
        <is>
          <t xml:space="preserve">S-W ACME MANUF.     </t>
        </is>
      </c>
      <c r="AE651" s="145" t="n"/>
      <c r="AF651" s="145" t="n"/>
      <c r="AG651" s="145" t="n"/>
      <c r="AH651" s="145" t="n"/>
      <c r="AI651" s="145" t="n"/>
      <c r="AJ651" s="145" t="n"/>
      <c r="AK651" s="145" t="inlineStr">
        <is>
          <t xml:space="preserve">S-T WHSE.                                                         </t>
        </is>
      </c>
      <c r="AL651" s="605">
        <f>IF(AND(ISNUMBER($S651),$S651&gt;0,ISNUMBER($K651),ISNUMBER($J651)),($K651*$J651)/$S651,"")</f>
        <v/>
      </c>
    </row>
    <row r="652" ht="12.75" customHeight="1" s="545">
      <c r="A652" s="388" t="n">
        <v>8</v>
      </c>
      <c r="B652" s="605" t="n">
        <v>644</v>
      </c>
      <c r="C652" s="384" t="inlineStr">
        <is>
          <t>2009Q</t>
        </is>
      </c>
      <c r="D652" s="605" t="inlineStr">
        <is>
          <t xml:space="preserve">01203-00-048-000 </t>
        </is>
      </c>
      <c r="E652" s="407" t="inlineStr">
        <is>
          <t>Actual</t>
        </is>
      </c>
      <c r="F652" s="605" t="inlineStr">
        <is>
          <t>5700 E 39TH                 AV</t>
        </is>
      </c>
      <c r="G652" s="392" t="n">
        <v>44.2</v>
      </c>
      <c r="H652" s="378" t="n">
        <v>9101</v>
      </c>
      <c r="I652" s="403" t="n">
        <v>0</v>
      </c>
      <c r="J652" s="404" t="n">
        <v>36742</v>
      </c>
      <c r="K652" s="408" t="n">
        <v>4.89902563823417</v>
      </c>
      <c r="L652" s="409" t="n">
        <v>0</v>
      </c>
      <c r="M652" s="409" t="n">
        <v>0</v>
      </c>
      <c r="N652" s="378" t="n">
        <v>1983</v>
      </c>
      <c r="O652" s="393" t="n">
        <v>7524</v>
      </c>
      <c r="Q652" s="605" t="n">
        <v>18</v>
      </c>
      <c r="R652" s="605" t="n">
        <v>3</v>
      </c>
      <c r="S652" s="605" t="n">
        <v>1</v>
      </c>
      <c r="T652" s="403" t="inlineStr">
        <is>
          <t xml:space="preserve">I0   </t>
        </is>
      </c>
      <c r="U652" s="403" t="n">
        <v>398</v>
      </c>
      <c r="V652" s="404" t="n">
        <v>50800</v>
      </c>
      <c r="W652" s="404" t="n">
        <v>50000</v>
      </c>
      <c r="X652" s="410" t="inlineStr">
        <is>
          <t>1.4:1</t>
        </is>
      </c>
      <c r="Y652" s="404">
        <f>ROUND(J652,-3)</f>
        <v/>
      </c>
      <c r="Z652" s="403" t="inlineStr">
        <is>
          <t xml:space="preserve">C </t>
        </is>
      </c>
      <c r="AA652" s="605" t="n">
        <v>3</v>
      </c>
      <c r="AB652" s="605" t="n">
        <v>3</v>
      </c>
      <c r="AC652" s="378" t="inlineStr">
        <is>
          <t>33</t>
        </is>
      </c>
      <c r="AD652" s="384" t="n"/>
      <c r="AE652" s="145" t="n"/>
      <c r="AF652" s="145" t="n"/>
      <c r="AG652" s="145" t="n"/>
      <c r="AH652" s="145" t="n"/>
      <c r="AI652" s="145" t="n"/>
      <c r="AJ652" s="145" t="n"/>
      <c r="AK652" s="145" t="inlineStr">
        <is>
          <t xml:space="preserve">S-T WHSE.; MAY BE OWNER-OCCUPIED BUT HAS LEASE DATA STATED.       </t>
        </is>
      </c>
      <c r="AL652" s="605">
        <f>IF(AND(ISNUMBER($S652),$S652&gt;0,ISNUMBER($K652),ISNUMBER($J652)),($K652*$J652)/$S652,"")</f>
        <v/>
      </c>
    </row>
    <row r="653" ht="12.75" customHeight="1" s="545">
      <c r="A653" s="388" t="n">
        <v>8</v>
      </c>
      <c r="B653" s="605" t="n">
        <v>645</v>
      </c>
      <c r="C653" s="384" t="inlineStr">
        <is>
          <t>2009Q</t>
        </is>
      </c>
      <c r="D653" s="605" t="inlineStr">
        <is>
          <t xml:space="preserve">01203-00-081-000 </t>
        </is>
      </c>
      <c r="E653" s="407" t="inlineStr">
        <is>
          <t>Actual</t>
        </is>
      </c>
      <c r="F653" s="605" t="inlineStr">
        <is>
          <t>3930   HOLLY                ST</t>
        </is>
      </c>
      <c r="G653" s="392" t="n">
        <v>44.2</v>
      </c>
      <c r="H653" s="378" t="n">
        <v>9101</v>
      </c>
      <c r="I653" s="403" t="n">
        <v>0</v>
      </c>
      <c r="J653" s="404" t="n">
        <v>15454</v>
      </c>
      <c r="K653" s="408" t="n">
        <v>5.27513912255727</v>
      </c>
      <c r="L653" s="409" t="n">
        <v>0</v>
      </c>
      <c r="M653" s="409" t="n">
        <v>0.00498025072986433</v>
      </c>
      <c r="N653" s="378" t="n">
        <v>1972</v>
      </c>
      <c r="O653" s="393" t="n">
        <v>2179</v>
      </c>
      <c r="Q653" s="605" t="n">
        <v>15</v>
      </c>
      <c r="R653" s="605" t="n">
        <v>3</v>
      </c>
      <c r="S653" s="605" t="n">
        <v>1</v>
      </c>
      <c r="T653" s="403" t="inlineStr">
        <is>
          <t xml:space="preserve">I1   </t>
        </is>
      </c>
      <c r="U653" s="403" t="n">
        <v>398</v>
      </c>
      <c r="V653" s="404" t="n">
        <v>22080</v>
      </c>
      <c r="W653" s="404" t="n">
        <v>22000</v>
      </c>
      <c r="X653" s="410" t="inlineStr">
        <is>
          <t>1.4:1</t>
        </is>
      </c>
      <c r="Y653" s="404">
        <f>ROUND(J653,-3)</f>
        <v/>
      </c>
      <c r="Z653" s="403" t="inlineStr">
        <is>
          <t xml:space="preserve">C </t>
        </is>
      </c>
      <c r="AA653" s="605" t="n">
        <v>3</v>
      </c>
      <c r="AB653" s="605" t="n">
        <v>3</v>
      </c>
      <c r="AC653" s="378" t="inlineStr">
        <is>
          <t>33</t>
        </is>
      </c>
      <c r="AD653" s="384" t="n"/>
      <c r="AE653" s="145" t="n"/>
      <c r="AF653" s="145" t="n"/>
      <c r="AG653" s="145" t="n"/>
      <c r="AH653" s="145" t="n"/>
      <c r="AI653" s="145" t="n"/>
      <c r="AJ653" s="145" t="n"/>
      <c r="AK653" s="145" t="inlineStr">
        <is>
          <t xml:space="preserve">M-T WHSE; 2 TENANTS.                                              </t>
        </is>
      </c>
      <c r="AL653" s="605">
        <f>IF(AND(ISNUMBER($S653),$S653&gt;0,ISNUMBER($K653),ISNUMBER($J653)),($K653*$J653)/$S653,"")</f>
        <v/>
      </c>
    </row>
    <row r="654" ht="12.75" customHeight="1" s="545">
      <c r="A654" s="388" t="n">
        <v>8</v>
      </c>
      <c r="B654" s="605" t="n">
        <v>646</v>
      </c>
      <c r="C654" s="384" t="inlineStr">
        <is>
          <t>2009Q</t>
        </is>
      </c>
      <c r="D654" s="605" t="inlineStr">
        <is>
          <t xml:space="preserve">01203-00-100-000 </t>
        </is>
      </c>
      <c r="E654" s="407" t="inlineStr">
        <is>
          <t>Actual</t>
        </is>
      </c>
      <c r="F654" s="605" t="inlineStr">
        <is>
          <t>5775 E 39TH                 AV</t>
        </is>
      </c>
      <c r="G654" s="392" t="n">
        <v>44.1</v>
      </c>
      <c r="H654" s="378" t="n">
        <v>9101</v>
      </c>
      <c r="I654" s="403" t="n">
        <v>0</v>
      </c>
      <c r="J654" s="404" t="n">
        <v>25212</v>
      </c>
      <c r="K654" s="408" t="n">
        <v>3.71037601142313</v>
      </c>
      <c r="L654" s="409" t="n">
        <v>0</v>
      </c>
      <c r="M654" s="409" t="n">
        <v>0.0351912428110235</v>
      </c>
      <c r="N654" s="378" t="n">
        <v>1966</v>
      </c>
      <c r="O654" s="393">
        <f>2989</f>
        <v/>
      </c>
      <c r="Q654" s="605" t="n">
        <v>17</v>
      </c>
      <c r="R654" s="605" t="n">
        <v>1</v>
      </c>
      <c r="S654" s="605" t="n">
        <v>1</v>
      </c>
      <c r="T654" s="403" t="inlineStr">
        <is>
          <t xml:space="preserve">I1   </t>
        </is>
      </c>
      <c r="U654" s="403" t="n">
        <v>398</v>
      </c>
      <c r="V654" s="404" t="n">
        <v>38163</v>
      </c>
      <c r="W654" s="404" t="n">
        <v>38000</v>
      </c>
      <c r="X654" s="410" t="inlineStr">
        <is>
          <t>1.5:1</t>
        </is>
      </c>
      <c r="Y654" s="404">
        <f>ROUND(J654,-3)</f>
        <v/>
      </c>
      <c r="Z654" s="403" t="inlineStr">
        <is>
          <t xml:space="preserve">C </t>
        </is>
      </c>
      <c r="AA654" s="605" t="n">
        <v>3</v>
      </c>
      <c r="AB654" s="605" t="n">
        <v>3</v>
      </c>
      <c r="AC654" s="378" t="inlineStr">
        <is>
          <t>33</t>
        </is>
      </c>
      <c r="AD654" s="384" t="n"/>
      <c r="AE654" s="145" t="n"/>
      <c r="AF654" s="145" t="n"/>
      <c r="AG654" s="145" t="n"/>
      <c r="AH654" s="145" t="n"/>
      <c r="AI654" s="145" t="n"/>
      <c r="AJ654" s="145" t="n"/>
      <c r="AK654" s="145" t="inlineStr">
        <is>
          <t xml:space="preserve">S-T WHSE.; 2006 LEASE.                                            </t>
        </is>
      </c>
      <c r="AL654" s="605">
        <f>IF(AND(ISNUMBER($S654),$S654&gt;0,ISNUMBER($K654),ISNUMBER($J654)),($K654*$J654)/$S654,"")</f>
        <v/>
      </c>
    </row>
    <row r="655" ht="12.75" customHeight="1" s="545">
      <c r="A655" s="388" t="n">
        <v>8</v>
      </c>
      <c r="B655" s="605" t="n">
        <v>647</v>
      </c>
      <c r="C655" s="384" t="inlineStr">
        <is>
          <t>2009Q</t>
        </is>
      </c>
      <c r="D655" s="605" t="inlineStr">
        <is>
          <t xml:space="preserve">01203-00-126-000 </t>
        </is>
      </c>
      <c r="E655" s="407" t="inlineStr">
        <is>
          <t>Actual</t>
        </is>
      </c>
      <c r="F655" s="605" t="inlineStr">
        <is>
          <t>3837   MONACO               PY</t>
        </is>
      </c>
      <c r="G655" s="392" t="n">
        <v>44.1</v>
      </c>
      <c r="H655" s="378" t="n">
        <v>9101</v>
      </c>
      <c r="I655" s="403" t="n">
        <v>0</v>
      </c>
      <c r="J655" s="404" t="n">
        <v>60520</v>
      </c>
      <c r="K655" s="408" t="n">
        <v>4.16391275611368</v>
      </c>
      <c r="L655" s="409" t="n">
        <v>0</v>
      </c>
      <c r="M655" s="409" t="n">
        <v>0</v>
      </c>
      <c r="N655" s="378" t="n">
        <v>1969</v>
      </c>
      <c r="O655" s="393" t="n">
        <v>1566</v>
      </c>
      <c r="Q655" s="605" t="n">
        <v>22</v>
      </c>
      <c r="R655" s="605" t="n">
        <v>10</v>
      </c>
      <c r="S655" s="605" t="n">
        <v>1</v>
      </c>
      <c r="T655" s="403" t="inlineStr">
        <is>
          <t xml:space="preserve">I0   </t>
        </is>
      </c>
      <c r="U655" s="403" t="n">
        <v>398</v>
      </c>
      <c r="V655" s="404" t="n">
        <v>127296</v>
      </c>
      <c r="W655" s="404" t="n">
        <v>130000</v>
      </c>
      <c r="X655" s="410" t="inlineStr">
        <is>
          <t>2.1:1</t>
        </is>
      </c>
      <c r="Y655" s="404">
        <f>ROUND(J655,-4)</f>
        <v/>
      </c>
      <c r="Z655" s="403" t="inlineStr">
        <is>
          <t xml:space="preserve">C </t>
        </is>
      </c>
      <c r="AA655" s="605" t="n">
        <v>3</v>
      </c>
      <c r="AB655" s="605" t="n">
        <v>3</v>
      </c>
      <c r="AC655" s="378" t="inlineStr">
        <is>
          <t>33</t>
        </is>
      </c>
      <c r="AD655" s="384" t="n"/>
      <c r="AE655" s="145" t="n"/>
      <c r="AF655" s="145" t="n"/>
      <c r="AG655" s="145" t="n"/>
      <c r="AH655" s="145" t="n"/>
      <c r="AI655" s="145" t="n"/>
      <c r="AJ655" s="145" t="n"/>
      <c r="AK655" s="145" t="inlineStr">
        <is>
          <t xml:space="preserve">S-T WHSE.                                                         </t>
        </is>
      </c>
      <c r="AL655" s="605">
        <f>IF(AND(ISNUMBER($S655),$S655&gt;0,ISNUMBER($K655),ISNUMBER($J655)),($K655*$J655)/$S655,"")</f>
        <v/>
      </c>
    </row>
    <row r="656" ht="12.75" customHeight="1" s="545">
      <c r="A656" s="388" t="n">
        <v>8</v>
      </c>
      <c r="B656" s="605" t="n">
        <v>648</v>
      </c>
      <c r="C656" s="384" t="inlineStr">
        <is>
          <t>2009Q</t>
        </is>
      </c>
      <c r="D656" s="605" t="inlineStr">
        <is>
          <t xml:space="preserve">01203-00-127-000 </t>
        </is>
      </c>
      <c r="E656" s="407" t="inlineStr">
        <is>
          <t>Actual</t>
        </is>
      </c>
      <c r="F656" s="605" t="inlineStr">
        <is>
          <t>6363 E 38TH                 AV</t>
        </is>
      </c>
      <c r="G656" s="392" t="n">
        <v>44.1</v>
      </c>
      <c r="H656" s="378" t="n">
        <v>9101</v>
      </c>
      <c r="I656" s="403" t="n">
        <v>0</v>
      </c>
      <c r="J656" s="404" t="n">
        <v>38080</v>
      </c>
      <c r="K656" s="408" t="n">
        <v>3.92741596638656</v>
      </c>
      <c r="L656" s="409" t="n">
        <v>0</v>
      </c>
      <c r="M656" s="409" t="n">
        <v>0</v>
      </c>
      <c r="N656" s="378" t="n">
        <v>1971</v>
      </c>
      <c r="O656" s="393">
        <f>3600+616</f>
        <v/>
      </c>
      <c r="Q656" s="605" t="n">
        <v>22</v>
      </c>
      <c r="R656" s="605" t="n">
        <v>10</v>
      </c>
      <c r="S656" s="605" t="n">
        <v>1</v>
      </c>
      <c r="T656" s="403" t="inlineStr">
        <is>
          <t xml:space="preserve">I0   </t>
        </is>
      </c>
      <c r="U656" s="403" t="n">
        <v>398</v>
      </c>
      <c r="V656" s="404" t="n">
        <v>78900</v>
      </c>
      <c r="W656" s="404" t="n">
        <v>80000</v>
      </c>
      <c r="X656" s="410" t="inlineStr">
        <is>
          <t>2.1:1</t>
        </is>
      </c>
      <c r="Y656" s="404">
        <f>ROUND(J656,-3)</f>
        <v/>
      </c>
      <c r="Z656" s="403" t="inlineStr">
        <is>
          <t xml:space="preserve">C </t>
        </is>
      </c>
      <c r="AA656" s="605" t="n">
        <v>3</v>
      </c>
      <c r="AB656" s="605" t="n">
        <v>3</v>
      </c>
      <c r="AC656" s="378" t="inlineStr">
        <is>
          <t>33</t>
        </is>
      </c>
      <c r="AD656" s="384" t="inlineStr">
        <is>
          <t xml:space="preserve">S-W ABC DIE COMPANY </t>
        </is>
      </c>
      <c r="AE656" s="145" t="n"/>
      <c r="AF656" s="145" t="n"/>
      <c r="AG656" s="145" t="n"/>
      <c r="AH656" s="145" t="n"/>
      <c r="AI656" s="145" t="n"/>
      <c r="AJ656" s="145" t="n"/>
      <c r="AK656" s="145" t="inlineStr">
        <is>
          <t xml:space="preserve">M-T WHSE.                                                         </t>
        </is>
      </c>
      <c r="AL656" s="605">
        <f>IF(AND(ISNUMBER($S656),$S656&gt;0,ISNUMBER($K656),ISNUMBER($J656)),($K656*$J656)/$S656,"")</f>
        <v/>
      </c>
    </row>
    <row r="657" ht="12.75" customHeight="1" s="545">
      <c r="A657" s="388" t="n">
        <v>8</v>
      </c>
      <c r="B657" s="605" t="n">
        <v>649</v>
      </c>
      <c r="C657" s="384" t="inlineStr">
        <is>
          <t>2009Q</t>
        </is>
      </c>
      <c r="D657" s="605" t="inlineStr">
        <is>
          <t xml:space="preserve">01203-00-134-000 </t>
        </is>
      </c>
      <c r="E657" s="407" t="inlineStr">
        <is>
          <t>Actual</t>
        </is>
      </c>
      <c r="F657" s="605" t="inlineStr">
        <is>
          <t>6300 E 39TH                 AV</t>
        </is>
      </c>
      <c r="G657" s="392" t="n">
        <v>44.1</v>
      </c>
      <c r="H657" s="378" t="n">
        <v>9101</v>
      </c>
      <c r="I657" s="403" t="n">
        <v>0</v>
      </c>
      <c r="J657" s="404" t="n">
        <v>29376</v>
      </c>
      <c r="K657" s="408" t="n">
        <v>4.99649373638344</v>
      </c>
      <c r="L657" s="409" t="n">
        <v>0</v>
      </c>
      <c r="M657" s="409" t="n">
        <v>0</v>
      </c>
      <c r="N657" s="378" t="n">
        <v>1971</v>
      </c>
      <c r="O657" s="393">
        <f>5061+360</f>
        <v/>
      </c>
      <c r="Q657" s="605" t="n">
        <v>22</v>
      </c>
      <c r="R657" s="605" t="n">
        <v>10</v>
      </c>
      <c r="S657" s="605" t="n">
        <v>1</v>
      </c>
      <c r="T657" s="403" t="inlineStr">
        <is>
          <t xml:space="preserve">I0   </t>
        </is>
      </c>
      <c r="U657" s="403" t="n">
        <v>398</v>
      </c>
      <c r="V657" s="404" t="n">
        <v>61218</v>
      </c>
      <c r="W657" s="404" t="n">
        <v>60000</v>
      </c>
      <c r="X657" s="410" t="inlineStr">
        <is>
          <t>2.1:1</t>
        </is>
      </c>
      <c r="Y657" s="404">
        <f>ROUND(J657,-3)</f>
        <v/>
      </c>
      <c r="Z657" s="403" t="inlineStr">
        <is>
          <t xml:space="preserve">C </t>
        </is>
      </c>
      <c r="AA657" s="605" t="n">
        <v>3</v>
      </c>
      <c r="AB657" s="605" t="n">
        <v>3</v>
      </c>
      <c r="AC657" s="378" t="inlineStr">
        <is>
          <t>33</t>
        </is>
      </c>
      <c r="AD657" s="384" t="n"/>
      <c r="AE657" s="145" t="n"/>
      <c r="AF657" s="145" t="n"/>
      <c r="AG657" s="145" t="n"/>
      <c r="AH657" s="145" t="n"/>
      <c r="AI657" s="145" t="n"/>
      <c r="AJ657" s="145" t="n"/>
      <c r="AK657" s="145" t="inlineStr">
        <is>
          <t xml:space="preserve">S-T WHSE,; 2006 LEASE.                                            </t>
        </is>
      </c>
      <c r="AL657" s="605">
        <f>IF(AND(ISNUMBER($S657),$S657&gt;0,ISNUMBER($K657),ISNUMBER($J657)),($K657*$J657)/$S657,"")</f>
        <v/>
      </c>
    </row>
    <row r="658" ht="12.75" customHeight="1" s="545">
      <c r="A658" s="388" t="n">
        <v>8</v>
      </c>
      <c r="B658" s="605" t="n">
        <v>650</v>
      </c>
      <c r="C658" s="384" t="inlineStr">
        <is>
          <t>2009Q</t>
        </is>
      </c>
      <c r="D658" s="605" t="inlineStr">
        <is>
          <t xml:space="preserve">01203-00-174-000 </t>
        </is>
      </c>
      <c r="E658" s="407" t="inlineStr">
        <is>
          <t>Actual</t>
        </is>
      </c>
      <c r="F658" s="605" t="inlineStr">
        <is>
          <t>6490   SMITH                RD</t>
        </is>
      </c>
      <c r="G658" s="392" t="n">
        <v>44.2</v>
      </c>
      <c r="H658" s="378" t="n">
        <v>9101</v>
      </c>
      <c r="I658" s="403" t="n">
        <v>0</v>
      </c>
      <c r="J658" s="404" t="n">
        <v>49046</v>
      </c>
      <c r="K658" s="408" t="n">
        <v>4.23887778819883</v>
      </c>
      <c r="L658" s="409" t="n">
        <v>0</v>
      </c>
      <c r="M658" s="409" t="n">
        <v>0.06829244829244829</v>
      </c>
      <c r="N658" s="378" t="n">
        <v>2002</v>
      </c>
      <c r="O658" s="393" t="n">
        <v>3032</v>
      </c>
      <c r="Q658" s="605" t="n">
        <v>24</v>
      </c>
      <c r="R658" s="605" t="n">
        <v>14</v>
      </c>
      <c r="S658" s="605" t="n">
        <v>1</v>
      </c>
      <c r="T658" s="403" t="inlineStr">
        <is>
          <t xml:space="preserve">I1   </t>
        </is>
      </c>
      <c r="U658" s="403" t="n">
        <v>398</v>
      </c>
      <c r="V658" s="404" t="n">
        <v>107083</v>
      </c>
      <c r="W658" s="404" t="n">
        <v>110000</v>
      </c>
      <c r="X658" s="410" t="inlineStr">
        <is>
          <t>2.2:1</t>
        </is>
      </c>
      <c r="Y658" s="404">
        <f>ROUND(J658,-3)</f>
        <v/>
      </c>
      <c r="Z658" s="403" t="inlineStr">
        <is>
          <t xml:space="preserve">C </t>
        </is>
      </c>
      <c r="AA658" s="605" t="n">
        <v>3</v>
      </c>
      <c r="AB658" s="605" t="n">
        <v>3</v>
      </c>
      <c r="AC658" s="378" t="inlineStr">
        <is>
          <t>33</t>
        </is>
      </c>
      <c r="AD658" s="384" t="n"/>
      <c r="AE658" s="145" t="n"/>
      <c r="AF658" s="145" t="n"/>
      <c r="AG658" s="145" t="n"/>
      <c r="AH658" s="145" t="n"/>
      <c r="AI658" s="145" t="n"/>
      <c r="AJ658" s="145" t="n"/>
      <c r="AK658" s="145" t="inlineStr">
        <is>
          <t xml:space="preserve">S-T WHSE.; 2004 LEASE; SOME EXPENSES EXCLUDED - EXCESSIVE.        </t>
        </is>
      </c>
      <c r="AL658" s="605">
        <f>IF(AND(ISNUMBER($S658),$S658&gt;0,ISNUMBER($K658),ISNUMBER($J658)),($K658*$J658)/$S658,"")</f>
        <v/>
      </c>
    </row>
    <row r="659" ht="12.75" customHeight="1" s="545">
      <c r="A659" s="388" t="n">
        <v>8</v>
      </c>
      <c r="B659" s="605" t="n">
        <v>651</v>
      </c>
      <c r="C659" s="384" t="inlineStr">
        <is>
          <t>2009Q</t>
        </is>
      </c>
      <c r="D659" s="605" t="inlineStr">
        <is>
          <t xml:space="preserve">01203-00-175-000 </t>
        </is>
      </c>
      <c r="E659" s="407" t="inlineStr">
        <is>
          <t>Actual</t>
        </is>
      </c>
      <c r="F659" s="605" t="inlineStr">
        <is>
          <t>6489   39TH                 AV</t>
        </is>
      </c>
      <c r="G659" s="392" t="n">
        <v>44.2</v>
      </c>
      <c r="H659" s="378" t="n">
        <v>9101</v>
      </c>
      <c r="I659" s="403" t="n">
        <v>0</v>
      </c>
      <c r="J659" s="404" t="n">
        <v>49046</v>
      </c>
      <c r="K659" s="408" t="n">
        <v>4.02469110630836</v>
      </c>
      <c r="L659" s="409" t="n">
        <v>0</v>
      </c>
      <c r="M659" s="409" t="n">
        <v>0.0650371083360774</v>
      </c>
      <c r="N659" s="378" t="n">
        <v>1998</v>
      </c>
      <c r="O659" s="393" t="n">
        <v>6360</v>
      </c>
      <c r="Q659" s="605" t="n">
        <v>24</v>
      </c>
      <c r="R659" s="605" t="n">
        <v>14</v>
      </c>
      <c r="S659" s="605" t="n">
        <v>1</v>
      </c>
      <c r="T659" s="403" t="inlineStr">
        <is>
          <t xml:space="preserve">I1   </t>
        </is>
      </c>
      <c r="U659" s="403" t="n">
        <v>398</v>
      </c>
      <c r="V659" s="404" t="n">
        <v>104440</v>
      </c>
      <c r="W659" s="404" t="n">
        <v>100000</v>
      </c>
      <c r="X659" s="410" t="inlineStr">
        <is>
          <t>2.1:1</t>
        </is>
      </c>
      <c r="Y659" s="404">
        <f>ROUND(J659,-3)</f>
        <v/>
      </c>
      <c r="Z659" s="403" t="inlineStr">
        <is>
          <t xml:space="preserve">C </t>
        </is>
      </c>
      <c r="AA659" s="605" t="n">
        <v>3</v>
      </c>
      <c r="AB659" s="605" t="n">
        <v>3</v>
      </c>
      <c r="AC659" s="378" t="inlineStr">
        <is>
          <t>33</t>
        </is>
      </c>
      <c r="AD659" s="384" t="inlineStr">
        <is>
          <t xml:space="preserve">DENVER TENT COMPANY </t>
        </is>
      </c>
      <c r="AE659" s="145" t="n"/>
      <c r="AF659" s="145" t="n"/>
      <c r="AG659" s="145" t="n"/>
      <c r="AH659" s="145" t="n"/>
      <c r="AI659" s="145" t="n"/>
      <c r="AJ659" s="145" t="n"/>
      <c r="AK659" s="145" t="inlineStr">
        <is>
          <t>S-T WHSE.; 2005 LEASE; SOME EXPENSES EXCLUDED DUE TO EXCESSIVE AMT</t>
        </is>
      </c>
      <c r="AL659" s="605">
        <f>IF(AND(ISNUMBER($S659),$S659&gt;0,ISNUMBER($K659),ISNUMBER($J659)),($K659*$J659)/$S659,"")</f>
        <v/>
      </c>
    </row>
    <row r="660" ht="12.75" customHeight="1" s="545">
      <c r="A660" s="388" t="n">
        <v>8</v>
      </c>
      <c r="B660" s="605" t="n">
        <v>652</v>
      </c>
      <c r="C660" s="384" t="inlineStr">
        <is>
          <t>2009Q</t>
        </is>
      </c>
      <c r="D660" s="605" t="inlineStr">
        <is>
          <t xml:space="preserve">01203-00-176-000 </t>
        </is>
      </c>
      <c r="E660" s="407" t="inlineStr">
        <is>
          <t>Actual</t>
        </is>
      </c>
      <c r="F660" s="605" t="inlineStr">
        <is>
          <t>3925   MONACO               ST</t>
        </is>
      </c>
      <c r="G660" s="392" t="n">
        <v>44.2</v>
      </c>
      <c r="H660" s="378" t="n">
        <v>9101</v>
      </c>
      <c r="I660" s="403" t="n">
        <v>0</v>
      </c>
      <c r="J660" s="404" t="n">
        <v>42130</v>
      </c>
      <c r="K660" s="408" t="n">
        <v>4.86356515547116</v>
      </c>
      <c r="L660" s="409" t="n">
        <v>0</v>
      </c>
      <c r="M660" s="409" t="n">
        <v>0.108637299782335</v>
      </c>
      <c r="N660" s="378" t="n">
        <v>2000</v>
      </c>
      <c r="O660" s="393">
        <f>2485+6700</f>
        <v/>
      </c>
      <c r="Q660" s="605" t="n">
        <v>25</v>
      </c>
      <c r="R660" s="605" t="n">
        <v>14</v>
      </c>
      <c r="S660" s="605" t="n">
        <v>2</v>
      </c>
      <c r="T660" s="403" t="inlineStr">
        <is>
          <t xml:space="preserve">I1   </t>
        </is>
      </c>
      <c r="U660" s="403" t="n">
        <v>398</v>
      </c>
      <c r="V660" s="404" t="n">
        <v>98955</v>
      </c>
      <c r="W660" s="404" t="n">
        <v>100000</v>
      </c>
      <c r="X660" s="410" t="inlineStr">
        <is>
          <t>2.3:1</t>
        </is>
      </c>
      <c r="Y660" s="404">
        <f>ROUND(J660,-3)</f>
        <v/>
      </c>
      <c r="Z660" s="403" t="inlineStr">
        <is>
          <t xml:space="preserve">C </t>
        </is>
      </c>
      <c r="AA660" s="605" t="n">
        <v>3</v>
      </c>
      <c r="AB660" s="605" t="n">
        <v>3</v>
      </c>
      <c r="AC660" s="378" t="inlineStr">
        <is>
          <t>33</t>
        </is>
      </c>
      <c r="AD660" s="384" t="inlineStr">
        <is>
          <t>M-W ATLANTIC WEST FL</t>
        </is>
      </c>
      <c r="AE660" s="145" t="n"/>
      <c r="AF660" s="145" t="n"/>
      <c r="AG660" s="145" t="n"/>
      <c r="AH660" s="145" t="n"/>
      <c r="AI660" s="145" t="n"/>
      <c r="AJ660" s="145" t="n"/>
      <c r="AK660" s="145" t="inlineStr">
        <is>
          <t xml:space="preserve">M-T WHSE.; 2 TENANTS; SOME EXPENSES EXCLUDED DUE TO EXCESSIVE.    </t>
        </is>
      </c>
      <c r="AL660" s="605">
        <f>IF(AND(ISNUMBER($S660),$S660&gt;0,ISNUMBER($K660),ISNUMBER($J660)),($K660*$J660)/$S660,"")</f>
        <v/>
      </c>
    </row>
    <row r="661" ht="12.75" customHeight="1" s="545">
      <c r="A661" s="388" t="n">
        <v>8</v>
      </c>
      <c r="B661" s="605" t="n">
        <v>653</v>
      </c>
      <c r="C661" s="384" t="inlineStr">
        <is>
          <t>2009Q</t>
        </is>
      </c>
      <c r="D661" s="605" t="inlineStr">
        <is>
          <t xml:space="preserve">01204-15-005-000 </t>
        </is>
      </c>
      <c r="E661" s="407" t="inlineStr">
        <is>
          <t>Actual</t>
        </is>
      </c>
      <c r="F661" s="605" t="inlineStr">
        <is>
          <t>6880   SMITH                RD</t>
        </is>
      </c>
      <c r="G661" s="392" t="n">
        <v>44.1</v>
      </c>
      <c r="H661" s="378" t="n">
        <v>9101</v>
      </c>
      <c r="I661" s="403" t="n">
        <v>0</v>
      </c>
      <c r="J661" s="404" t="n">
        <v>2848</v>
      </c>
      <c r="K661" s="408" t="n">
        <v>3.79213483146067</v>
      </c>
      <c r="L661" s="409" t="n">
        <v>0</v>
      </c>
      <c r="M661" s="409" t="n">
        <v>0.194444444444444</v>
      </c>
      <c r="N661" s="378" t="n">
        <v>1959</v>
      </c>
      <c r="O661" s="393" t="n">
        <v>1923</v>
      </c>
      <c r="Q661" s="605" t="n">
        <v>13</v>
      </c>
      <c r="R661" s="605" t="n">
        <v>7</v>
      </c>
      <c r="S661" s="605" t="n">
        <v>2</v>
      </c>
      <c r="T661" s="403" t="inlineStr">
        <is>
          <t xml:space="preserve">I1   </t>
        </is>
      </c>
      <c r="U661" s="403" t="n">
        <v>398</v>
      </c>
      <c r="V661" s="404" t="n">
        <v>11741</v>
      </c>
      <c r="W661" s="404" t="n">
        <v>12000</v>
      </c>
      <c r="X661" s="410" t="inlineStr">
        <is>
          <t>4.1:1</t>
        </is>
      </c>
      <c r="Y661" s="404">
        <f>ROUND(J661,-3)</f>
        <v/>
      </c>
      <c r="Z661" s="403" t="inlineStr">
        <is>
          <t xml:space="preserve">C </t>
        </is>
      </c>
      <c r="AA661" s="605" t="n">
        <v>3</v>
      </c>
      <c r="AB661" s="605" t="n">
        <v>3</v>
      </c>
      <c r="AC661" s="378" t="inlineStr">
        <is>
          <t>33</t>
        </is>
      </c>
      <c r="AD661" s="384" t="inlineStr">
        <is>
          <t xml:space="preserve">SHOWCASE LANDSCAPE  </t>
        </is>
      </c>
      <c r="AE661" s="145" t="n"/>
      <c r="AF661" s="145" t="n"/>
      <c r="AG661" s="145" t="n"/>
      <c r="AH661" s="145" t="n"/>
      <c r="AI661" s="145" t="n"/>
      <c r="AJ661" s="145" t="n"/>
      <c r="AK661" s="145" t="inlineStr">
        <is>
          <t xml:space="preserve">S-T WHSE.                                                         </t>
        </is>
      </c>
      <c r="AL661" s="605">
        <f>IF(AND(ISNUMBER($S661),$S661&gt;0,ISNUMBER($K661),ISNUMBER($J661)),($K661*$J661)/$S661,"")</f>
        <v/>
      </c>
    </row>
    <row r="662" ht="12.75" customHeight="1" s="545">
      <c r="A662" s="388" t="n">
        <v>8</v>
      </c>
      <c r="B662" s="605" t="n">
        <v>654</v>
      </c>
      <c r="C662" s="384" t="inlineStr">
        <is>
          <t>2009Q</t>
        </is>
      </c>
      <c r="D662" s="605" t="inlineStr">
        <is>
          <t xml:space="preserve">01213-00-077-000 </t>
        </is>
      </c>
      <c r="E662" s="407" t="inlineStr">
        <is>
          <t>Actual</t>
        </is>
      </c>
      <c r="F662" s="605" t="inlineStr">
        <is>
          <t>8025 E 40TH                 AV</t>
        </is>
      </c>
      <c r="G662" s="392" t="n">
        <v>44.2</v>
      </c>
      <c r="H662" s="378" t="n">
        <v>9101</v>
      </c>
      <c r="I662" s="403" t="n">
        <v>0</v>
      </c>
      <c r="J662" s="404" t="n">
        <v>25596</v>
      </c>
      <c r="K662" s="408" t="n">
        <v>7.91139240506329</v>
      </c>
      <c r="L662" s="409" t="n">
        <v>0.5</v>
      </c>
      <c r="M662" s="409" t="n">
        <v>0.0780246913580247</v>
      </c>
      <c r="N662" s="378" t="n">
        <v>1959</v>
      </c>
      <c r="O662" s="393" t="n">
        <v>10174</v>
      </c>
      <c r="Q662" s="605" t="n">
        <v>14</v>
      </c>
      <c r="R662" s="605" t="n">
        <v>1</v>
      </c>
      <c r="S662" s="605" t="n">
        <v>3</v>
      </c>
      <c r="T662" s="403" t="inlineStr">
        <is>
          <t xml:space="preserve">I2   </t>
        </is>
      </c>
      <c r="U662" s="403" t="n">
        <v>398</v>
      </c>
      <c r="V662" s="404" t="n">
        <v>80527</v>
      </c>
      <c r="W662" s="404" t="n">
        <v>80000</v>
      </c>
      <c r="X662" s="410" t="inlineStr">
        <is>
          <t>1.8:1</t>
        </is>
      </c>
      <c r="Y662" s="404">
        <f>ROUND(J662,-3)</f>
        <v/>
      </c>
      <c r="Z662" s="403" t="inlineStr">
        <is>
          <t xml:space="preserve">C </t>
        </is>
      </c>
      <c r="AA662" s="605" t="n">
        <v>3</v>
      </c>
      <c r="AB662" s="605" t="n">
        <v>3</v>
      </c>
      <c r="AC662" s="378" t="inlineStr">
        <is>
          <t>33</t>
        </is>
      </c>
      <c r="AD662" s="384" t="inlineStr">
        <is>
          <t xml:space="preserve">M-W ASPEN BAKERY    </t>
        </is>
      </c>
      <c r="AE662" s="145" t="n"/>
      <c r="AF662" s="145" t="n"/>
      <c r="AG662" s="145" t="n"/>
      <c r="AH662" s="145" t="n"/>
      <c r="AI662" s="145" t="n"/>
      <c r="AJ662" s="145" t="n"/>
      <c r="AK662" s="145" t="inlineStr">
        <is>
          <t xml:space="preserve">M-T WHSE; 3 UNITS; LEASES 1997 &amp; 2008.                            </t>
        </is>
      </c>
      <c r="AL662" s="605">
        <f>IF(AND(ISNUMBER($S662),$S662&gt;0,ISNUMBER($K662),ISNUMBER($J662)),($K662*$J662)/$S662,"")</f>
        <v/>
      </c>
    </row>
    <row r="663" ht="12.75" customHeight="1" s="545">
      <c r="A663" s="388" t="n">
        <v>8</v>
      </c>
      <c r="B663" s="605" t="n">
        <v>655</v>
      </c>
      <c r="C663" s="384" t="inlineStr">
        <is>
          <t>2009Q</t>
        </is>
      </c>
      <c r="D663" s="605" t="inlineStr">
        <is>
          <t xml:space="preserve">01231-00-056-000 </t>
        </is>
      </c>
      <c r="E663" s="407" t="inlineStr">
        <is>
          <t>Actual</t>
        </is>
      </c>
      <c r="F663" s="605" t="inlineStr">
        <is>
          <t>4665   PARIS                ST</t>
        </is>
      </c>
      <c r="G663" s="392" t="n">
        <v>44.2</v>
      </c>
      <c r="H663" s="378" t="n">
        <v>9102</v>
      </c>
      <c r="I663" s="403" t="n">
        <v>0</v>
      </c>
      <c r="J663" s="404" t="n">
        <v>62914</v>
      </c>
      <c r="K663" s="408" t="n">
        <v>8.828798041771311</v>
      </c>
      <c r="L663" s="409" t="n">
        <v>0.07000000000000001</v>
      </c>
      <c r="M663" s="409" t="n">
        <v>0.297149184002304</v>
      </c>
      <c r="N663" s="378" t="n">
        <v>1984</v>
      </c>
      <c r="O663" s="393" t="n">
        <v>19937</v>
      </c>
      <c r="Q663" s="605" t="n">
        <v>15</v>
      </c>
      <c r="R663" s="605" t="n">
        <v>3</v>
      </c>
      <c r="S663" s="605" t="n">
        <v>3</v>
      </c>
      <c r="T663" s="403" t="inlineStr">
        <is>
          <t xml:space="preserve">B8   </t>
        </is>
      </c>
      <c r="U663" s="403" t="n">
        <v>398</v>
      </c>
      <c r="V663" s="404" t="n">
        <v>231935</v>
      </c>
      <c r="W663" s="404" t="n">
        <v>230000</v>
      </c>
      <c r="X663" s="410" t="inlineStr">
        <is>
          <t>3.7:1</t>
        </is>
      </c>
      <c r="Y663" s="404">
        <f>ROUND(J663,-4)</f>
        <v/>
      </c>
      <c r="Z663" s="403" t="inlineStr">
        <is>
          <t xml:space="preserve">C </t>
        </is>
      </c>
      <c r="AA663" s="605" t="n">
        <v>3</v>
      </c>
      <c r="AB663" s="605" t="n">
        <v>3</v>
      </c>
      <c r="AC663" s="378" t="inlineStr">
        <is>
          <t>33</t>
        </is>
      </c>
      <c r="AD663" s="384" t="inlineStr">
        <is>
          <t xml:space="preserve">CT&amp;E MAJOR TENANT   </t>
        </is>
      </c>
      <c r="AE663" s="145" t="n"/>
      <c r="AF663" s="145" t="n"/>
      <c r="AG663" s="145" t="n"/>
      <c r="AH663" s="145" t="n"/>
      <c r="AI663" s="145" t="n"/>
      <c r="AJ663" s="145" t="n"/>
      <c r="AK663" s="145" t="inlineStr">
        <is>
          <t xml:space="preserve">M-T WHSE.; 8 TENANTS; LEASES 1998 - 2007.                         </t>
        </is>
      </c>
      <c r="AL663" s="605">
        <f>IF(AND(ISNUMBER($S663),$S663&gt;0,ISNUMBER($K663),ISNUMBER($J663)),($K663*$J663)/$S663,"")</f>
        <v/>
      </c>
    </row>
    <row r="664" ht="12.75" customHeight="1" s="545">
      <c r="A664" s="388" t="n">
        <v>8</v>
      </c>
      <c r="B664" s="605" t="n">
        <v>656</v>
      </c>
      <c r="C664" s="384" t="inlineStr">
        <is>
          <t>2009Q</t>
        </is>
      </c>
      <c r="D664" s="605" t="inlineStr">
        <is>
          <t xml:space="preserve">01231-05-002-000 </t>
        </is>
      </c>
      <c r="E664" s="407" t="inlineStr">
        <is>
          <t>Actual</t>
        </is>
      </c>
      <c r="F664" s="605" t="inlineStr">
        <is>
          <t>4701   MOLINE               ST</t>
        </is>
      </c>
      <c r="G664" s="392" t="n">
        <v>44.4</v>
      </c>
      <c r="H664" s="378" t="n">
        <v>9102</v>
      </c>
      <c r="I664" s="403" t="n">
        <v>0</v>
      </c>
      <c r="J664" s="404" t="n">
        <v>104891</v>
      </c>
      <c r="K664" s="408" t="n">
        <v>5.6182894623943</v>
      </c>
      <c r="L664" s="409" t="n">
        <v>0</v>
      </c>
      <c r="M664" s="409" t="n">
        <v>0.113254868421946</v>
      </c>
      <c r="N664" s="378" t="n">
        <v>1985</v>
      </c>
      <c r="O664" s="393" t="n">
        <v>14479</v>
      </c>
      <c r="Q664" s="605" t="n">
        <v>24</v>
      </c>
      <c r="R664" s="605" t="n">
        <v>14</v>
      </c>
      <c r="S664" s="605" t="n">
        <v>8</v>
      </c>
      <c r="T664" s="403" t="inlineStr">
        <is>
          <t xml:space="preserve">I2   </t>
        </is>
      </c>
      <c r="U664" s="403" t="n">
        <v>398</v>
      </c>
      <c r="V664" s="404" t="n">
        <v>219619</v>
      </c>
      <c r="W664" s="404" t="n">
        <v>220000</v>
      </c>
      <c r="X664" s="410" t="inlineStr">
        <is>
          <t>2.1:1</t>
        </is>
      </c>
      <c r="Y664" s="404">
        <f>ROUND(J664,-4)</f>
        <v/>
      </c>
      <c r="Z664" s="403" t="inlineStr">
        <is>
          <t xml:space="preserve">C </t>
        </is>
      </c>
      <c r="AA664" s="605" t="n">
        <v>3</v>
      </c>
      <c r="AB664" s="605" t="n">
        <v>3</v>
      </c>
      <c r="AC664" s="378" t="inlineStr">
        <is>
          <t>33</t>
        </is>
      </c>
      <c r="AD664" s="384" t="inlineStr">
        <is>
          <t xml:space="preserve">M-W DIST WAREHOUSE  </t>
        </is>
      </c>
      <c r="AE664" s="145" t="n"/>
      <c r="AF664" s="145" t="n"/>
      <c r="AG664" s="145" t="n"/>
      <c r="AH664" s="145" t="n"/>
      <c r="AI664" s="145" t="n"/>
      <c r="AJ664" s="145" t="n"/>
      <c r="AK664" s="145" t="inlineStr">
        <is>
          <t xml:space="preserve">M-T WHSE.; 4 TENANTS; LEASES 2006 - 2008.                         </t>
        </is>
      </c>
      <c r="AL664" s="605">
        <f>IF(AND(ISNUMBER($S664),$S664&gt;0,ISNUMBER($K664),ISNUMBER($J664)),($K664*$J664)/$S664,"")</f>
        <v/>
      </c>
    </row>
    <row r="665" ht="12.75" customHeight="1" s="545">
      <c r="A665" s="388" t="n">
        <v>8</v>
      </c>
      <c r="B665" s="605" t="n">
        <v>657</v>
      </c>
      <c r="C665" s="384" t="inlineStr">
        <is>
          <t>2009W</t>
        </is>
      </c>
      <c r="D665" s="605" t="inlineStr">
        <is>
          <t>01232-00-054-000</t>
        </is>
      </c>
      <c r="E665" s="403" t="inlineStr">
        <is>
          <t>Actual</t>
        </is>
      </c>
      <c r="F665" s="605" t="inlineStr">
        <is>
          <t>4600 HAVANA               ST</t>
        </is>
      </c>
      <c r="G665" s="392" t="n">
        <v>44.3</v>
      </c>
      <c r="H665" s="605" t="n">
        <v>9102</v>
      </c>
      <c r="I665" s="403" t="n">
        <v>0</v>
      </c>
      <c r="J665" s="393" t="n">
        <v>146721</v>
      </c>
      <c r="K665" s="154" t="n">
        <v>3.34</v>
      </c>
      <c r="L665" s="153" t="n">
        <v>0</v>
      </c>
      <c r="M665" s="153" t="n">
        <v>0.01</v>
      </c>
      <c r="N665" s="605" t="n">
        <v>1977</v>
      </c>
      <c r="O665" s="605" t="n">
        <v>4338</v>
      </c>
      <c r="P665" s="605" t="n"/>
      <c r="Q665" s="605" t="n">
        <v>29</v>
      </c>
      <c r="R665" s="605" t="n">
        <v>10</v>
      </c>
      <c r="S665" s="605" t="n">
        <v>1</v>
      </c>
      <c r="T665" s="403" t="inlineStr">
        <is>
          <t>I2</t>
        </is>
      </c>
      <c r="U665" s="605" t="n">
        <v>398</v>
      </c>
      <c r="V665" s="393" t="n">
        <v>307313</v>
      </c>
      <c r="W665" s="393" t="n">
        <v>300000</v>
      </c>
      <c r="X665" s="378" t="inlineStr">
        <is>
          <t>2.0:1</t>
        </is>
      </c>
      <c r="Y665" s="393" t="n">
        <v>150000</v>
      </c>
      <c r="Z665" s="403" t="inlineStr">
        <is>
          <t>C</t>
        </is>
      </c>
      <c r="AA665" s="605" t="n">
        <v>3</v>
      </c>
      <c r="AB665" s="605" t="n">
        <v>3</v>
      </c>
      <c r="AC665" s="605" t="n">
        <v>33</v>
      </c>
      <c r="AD665" s="605" t="inlineStr">
        <is>
          <t>Office Depot Whse.</t>
        </is>
      </c>
      <c r="AE665" s="377" t="n"/>
      <c r="AF665" s="413" t="n"/>
      <c r="AG665" s="413" t="n"/>
      <c r="AH665" s="377" t="n"/>
      <c r="AI665" s="145" t="n"/>
      <c r="AJ665" s="145" t="n"/>
      <c r="AK665" s="145" t="n"/>
      <c r="AL665" s="605">
        <f>IF(AND(ISNUMBER($S665),$S665&gt;0,ISNUMBER($K665),ISNUMBER($J665)),($K665*$J665)/$S665,"")</f>
        <v/>
      </c>
    </row>
    <row r="666" ht="12.75" customHeight="1" s="545">
      <c r="A666" s="388" t="n">
        <v>8</v>
      </c>
      <c r="B666" s="605" t="n">
        <v>658</v>
      </c>
      <c r="C666" s="384" t="inlineStr">
        <is>
          <t>2009Q</t>
        </is>
      </c>
      <c r="D666" s="605" t="inlineStr">
        <is>
          <t xml:space="preserve">01232-02-007-000 </t>
        </is>
      </c>
      <c r="E666" s="407" t="inlineStr">
        <is>
          <t>Actual</t>
        </is>
      </c>
      <c r="F666" s="605" t="inlineStr">
        <is>
          <t>11075 E 47TH                 AV</t>
        </is>
      </c>
      <c r="G666" s="392" t="n">
        <v>44.1</v>
      </c>
      <c r="H666" s="378" t="n">
        <v>9102</v>
      </c>
      <c r="I666" s="403" t="n">
        <v>0</v>
      </c>
      <c r="J666" s="404" t="n">
        <v>10000</v>
      </c>
      <c r="K666" s="408" t="n">
        <v>4.24</v>
      </c>
      <c r="L666" s="409" t="n">
        <v>0</v>
      </c>
      <c r="M666" s="409" t="n">
        <v>0</v>
      </c>
      <c r="N666" s="378" t="n">
        <v>1969</v>
      </c>
      <c r="O666" s="393" t="n">
        <v>1120</v>
      </c>
      <c r="Q666" s="605" t="n">
        <v>22</v>
      </c>
      <c r="R666" s="605" t="n">
        <v>1</v>
      </c>
      <c r="S666" s="605" t="n">
        <v>1</v>
      </c>
      <c r="T666" s="403" t="inlineStr">
        <is>
          <t xml:space="preserve">I2   </t>
        </is>
      </c>
      <c r="U666" s="403" t="n">
        <v>398</v>
      </c>
      <c r="V666" s="404" t="n">
        <v>25000</v>
      </c>
      <c r="W666" s="404" t="n">
        <v>25000</v>
      </c>
      <c r="X666" s="410" t="inlineStr">
        <is>
          <t>2.5:1</t>
        </is>
      </c>
      <c r="Y666" s="404">
        <f>ROUND(J666,-3)</f>
        <v/>
      </c>
      <c r="Z666" s="403" t="inlineStr">
        <is>
          <t xml:space="preserve">C </t>
        </is>
      </c>
      <c r="AA666" s="605" t="n">
        <v>3</v>
      </c>
      <c r="AB666" s="605" t="n">
        <v>3</v>
      </c>
      <c r="AC666" s="378" t="inlineStr">
        <is>
          <t>33</t>
        </is>
      </c>
      <c r="AD666" s="384" t="inlineStr">
        <is>
          <t xml:space="preserve">DAFFY APPLES        </t>
        </is>
      </c>
      <c r="AE666" s="145" t="n"/>
      <c r="AF666" s="145" t="n"/>
      <c r="AG666" s="145" t="n"/>
      <c r="AH666" s="145" t="n"/>
      <c r="AI666" s="145" t="n"/>
      <c r="AJ666" s="145" t="n"/>
      <c r="AK666" s="145" t="inlineStr">
        <is>
          <t xml:space="preserve">S-T WHSE; LEASE DATES FROM 2004.                                  </t>
        </is>
      </c>
      <c r="AL666" s="605">
        <f>IF(AND(ISNUMBER($S666),$S666&gt;0,ISNUMBER($K666),ISNUMBER($J666)),($K666*$J666)/$S666,"")</f>
        <v/>
      </c>
    </row>
    <row r="667" ht="12.75" customHeight="1" s="545">
      <c r="A667" s="388" t="n">
        <v>8</v>
      </c>
      <c r="B667" s="605" t="n">
        <v>659</v>
      </c>
      <c r="C667" s="384" t="inlineStr">
        <is>
          <t>2009Q</t>
        </is>
      </c>
      <c r="D667" s="605" t="inlineStr">
        <is>
          <t xml:space="preserve">01232-03-003-000 </t>
        </is>
      </c>
      <c r="E667" s="407" t="inlineStr">
        <is>
          <t>Actual</t>
        </is>
      </c>
      <c r="F667" s="605" t="inlineStr">
        <is>
          <t>11095 E 45TH                 AV</t>
        </is>
      </c>
      <c r="G667" s="392" t="n">
        <v>44.2</v>
      </c>
      <c r="H667" s="378" t="n">
        <v>9102</v>
      </c>
      <c r="I667" s="403" t="n">
        <v>0</v>
      </c>
      <c r="J667" s="404" t="n">
        <v>24750</v>
      </c>
      <c r="K667" s="408" t="n">
        <v>6.66666666666667</v>
      </c>
      <c r="L667" s="409" t="n">
        <v>0</v>
      </c>
      <c r="M667" s="409" t="n">
        <v>0</v>
      </c>
      <c r="N667" s="378" t="n">
        <v>1970</v>
      </c>
      <c r="O667" s="393">
        <f>3905+3631</f>
        <v/>
      </c>
      <c r="Q667" s="605" t="n">
        <v>16</v>
      </c>
      <c r="R667" s="605" t="n">
        <v>14</v>
      </c>
      <c r="S667" s="605" t="n">
        <v>3</v>
      </c>
      <c r="T667" s="403" t="inlineStr">
        <is>
          <t xml:space="preserve">I2   </t>
        </is>
      </c>
      <c r="U667" s="403" t="n">
        <v>398</v>
      </c>
      <c r="V667" s="404" t="n">
        <v>44000</v>
      </c>
      <c r="W667" s="404" t="n">
        <v>44000</v>
      </c>
      <c r="X667" s="410" t="inlineStr">
        <is>
          <t>1.8:1</t>
        </is>
      </c>
      <c r="Y667" s="404">
        <f>ROUND(J667,-3)</f>
        <v/>
      </c>
      <c r="Z667" s="403" t="inlineStr">
        <is>
          <t xml:space="preserve">C </t>
        </is>
      </c>
      <c r="AA667" s="605" t="n">
        <v>3</v>
      </c>
      <c r="AB667" s="605" t="n">
        <v>3</v>
      </c>
      <c r="AC667" s="378" t="inlineStr">
        <is>
          <t>33</t>
        </is>
      </c>
      <c r="AD667" s="384" t="n"/>
      <c r="AE667" s="145" t="n"/>
      <c r="AF667" s="145" t="n"/>
      <c r="AG667" s="145" t="n"/>
      <c r="AH667" s="145" t="n"/>
      <c r="AI667" s="145" t="n"/>
      <c r="AJ667" s="145" t="n"/>
      <c r="AK667" s="145" t="inlineStr">
        <is>
          <t xml:space="preserve">S-T WHSE.; AGE OF LEASE UNKNOWN.                                  </t>
        </is>
      </c>
      <c r="AL667" s="605">
        <f>IF(AND(ISNUMBER($S667),$S667&gt;0,ISNUMBER($K667),ISNUMBER($J667)),($K667*$J667)/$S667,"")</f>
        <v/>
      </c>
    </row>
    <row r="668" ht="12.75" customHeight="1" s="545">
      <c r="A668" s="388" t="n">
        <v>8</v>
      </c>
      <c r="B668" s="605" t="n">
        <v>660</v>
      </c>
      <c r="C668" s="384" t="inlineStr">
        <is>
          <t>2009Q</t>
        </is>
      </c>
      <c r="D668" s="605" t="inlineStr">
        <is>
          <t xml:space="preserve">01232-04-007-000 </t>
        </is>
      </c>
      <c r="E668" s="407" t="inlineStr">
        <is>
          <t>Actual</t>
        </is>
      </c>
      <c r="F668" s="605" t="inlineStr">
        <is>
          <t>4690   KINGSTON             ST</t>
        </is>
      </c>
      <c r="G668" s="392" t="n">
        <v>44.2</v>
      </c>
      <c r="H668" s="378" t="n">
        <v>9102</v>
      </c>
      <c r="I668" s="403" t="n">
        <v>0</v>
      </c>
      <c r="J668" s="404" t="n">
        <v>1800</v>
      </c>
      <c r="K668" s="408" t="n">
        <v>7.66666666666667</v>
      </c>
      <c r="L668" s="409" t="n">
        <v>0</v>
      </c>
      <c r="M668" s="409" t="n">
        <v>0.163768115942029</v>
      </c>
      <c r="N668" s="378" t="n">
        <v>1968</v>
      </c>
      <c r="O668" s="393" t="n">
        <v>1936</v>
      </c>
      <c r="Q668" s="605" t="n">
        <v>14</v>
      </c>
      <c r="R668" s="605" t="n">
        <v>1</v>
      </c>
      <c r="S668" s="605" t="n">
        <v>2</v>
      </c>
      <c r="T668" s="403" t="inlineStr">
        <is>
          <t xml:space="preserve">I2   </t>
        </is>
      </c>
      <c r="U668" s="403" t="n">
        <v>398</v>
      </c>
      <c r="V668" s="404" t="n">
        <v>14025</v>
      </c>
      <c r="W668" s="404" t="n">
        <v>14000</v>
      </c>
      <c r="X668" s="410" t="inlineStr">
        <is>
          <t>2.8:1</t>
        </is>
      </c>
      <c r="Y668" s="404">
        <f>ROUND(J668,-2)</f>
        <v/>
      </c>
      <c r="Z668" s="403" t="inlineStr">
        <is>
          <t xml:space="preserve">C </t>
        </is>
      </c>
      <c r="AA668" s="605" t="n">
        <v>3</v>
      </c>
      <c r="AB668" s="605" t="n">
        <v>3</v>
      </c>
      <c r="AC668" s="378" t="inlineStr">
        <is>
          <t>33</t>
        </is>
      </c>
      <c r="AD668" s="384" t="n"/>
      <c r="AE668" s="145" t="n"/>
      <c r="AF668" s="145" t="n"/>
      <c r="AG668" s="145" t="n"/>
      <c r="AH668" s="145" t="n"/>
      <c r="AI668" s="145" t="n"/>
      <c r="AJ668" s="145" t="n"/>
      <c r="AK668" s="145" t="inlineStr">
        <is>
          <t xml:space="preserve">S-T WHSE.; REFERENCE TO HOA FEES BUT NOT SHOWN AS CONDO.          </t>
        </is>
      </c>
      <c r="AL668" s="605">
        <f>IF(AND(ISNUMBER($S668),$S668&gt;0,ISNUMBER($K668),ISNUMBER($J668)),($K668*$J668)/$S668,"")</f>
        <v/>
      </c>
    </row>
    <row r="669" ht="12.75" customHeight="1" s="545">
      <c r="A669" s="388" t="n">
        <v>8</v>
      </c>
      <c r="B669" s="605" t="n">
        <v>661</v>
      </c>
      <c r="C669" s="384" t="inlineStr">
        <is>
          <t>2009Q</t>
        </is>
      </c>
      <c r="D669" s="605" t="inlineStr">
        <is>
          <t xml:space="preserve">01232-07-007-000 </t>
        </is>
      </c>
      <c r="E669" s="407" t="inlineStr">
        <is>
          <t>Actual</t>
        </is>
      </c>
      <c r="F669" s="605" t="inlineStr">
        <is>
          <t>4675   JOLIET               ST</t>
        </is>
      </c>
      <c r="G669" s="392" t="n">
        <v>44.1</v>
      </c>
      <c r="H669" s="378" t="n">
        <v>9102</v>
      </c>
      <c r="I669" s="403" t="n">
        <v>0</v>
      </c>
      <c r="J669" s="404" t="n">
        <v>14848</v>
      </c>
      <c r="K669" s="408" t="n">
        <v>5.45070043103448</v>
      </c>
      <c r="L669" s="409" t="n">
        <v>0</v>
      </c>
      <c r="M669" s="409" t="n">
        <v>0</v>
      </c>
      <c r="N669" s="378" t="n">
        <v>1969</v>
      </c>
      <c r="O669" s="393" t="n">
        <v>1239</v>
      </c>
      <c r="P669" s="393" t="n">
        <v>2528</v>
      </c>
      <c r="Q669" s="605" t="n">
        <v>22</v>
      </c>
      <c r="R669" s="605" t="n">
        <v>8</v>
      </c>
      <c r="S669" s="605" t="n">
        <v>1</v>
      </c>
      <c r="T669" s="403" t="inlineStr">
        <is>
          <t xml:space="preserve">I2   </t>
        </is>
      </c>
      <c r="U669" s="403" t="n">
        <v>398</v>
      </c>
      <c r="V669" s="404" t="n">
        <v>44000</v>
      </c>
      <c r="W669" s="404" t="n">
        <v>44000</v>
      </c>
      <c r="X669" s="410" t="inlineStr">
        <is>
          <t>3.0:1</t>
        </is>
      </c>
      <c r="Y669" s="404">
        <f>ROUND(J669,-3)</f>
        <v/>
      </c>
      <c r="Z669" s="403" t="inlineStr">
        <is>
          <t xml:space="preserve">C </t>
        </is>
      </c>
      <c r="AA669" s="605" t="n">
        <v>3</v>
      </c>
      <c r="AB669" s="605" t="n">
        <v>3</v>
      </c>
      <c r="AC669" s="378" t="inlineStr">
        <is>
          <t>33</t>
        </is>
      </c>
      <c r="AD669" s="384" t="inlineStr">
        <is>
          <t xml:space="preserve">RED-D-ARC (AIRGAS)  </t>
        </is>
      </c>
      <c r="AE669" s="145" t="n"/>
      <c r="AF669" s="145" t="n"/>
      <c r="AG669" s="145" t="n"/>
      <c r="AH669" s="145" t="n"/>
      <c r="AI669" s="145" t="n"/>
      <c r="AJ669" s="145" t="n"/>
      <c r="AK669" s="145" t="inlineStr">
        <is>
          <t xml:space="preserve">S-T WHSE.; DATE OF LEASE UNKNOWN.                                 </t>
        </is>
      </c>
      <c r="AL669" s="605">
        <f>IF(AND(ISNUMBER($S669),$S669&gt;0,ISNUMBER($K669),ISNUMBER($J669)),($K669*$J669)/$S669,"")</f>
        <v/>
      </c>
    </row>
    <row r="670" ht="12.75" customHeight="1" s="545">
      <c r="A670" s="388" t="n">
        <v>8</v>
      </c>
      <c r="B670" s="605" t="n">
        <v>662</v>
      </c>
      <c r="C670" s="384" t="inlineStr">
        <is>
          <t>2009Q</t>
        </is>
      </c>
      <c r="D670" s="605" t="inlineStr">
        <is>
          <t xml:space="preserve">01232-07-018-000 </t>
        </is>
      </c>
      <c r="E670" s="407" t="inlineStr">
        <is>
          <t>Actual</t>
        </is>
      </c>
      <c r="F670" s="605" t="inlineStr">
        <is>
          <t>10777 E 45TH                 AV</t>
        </is>
      </c>
      <c r="G670" s="392" t="n">
        <v>47.2</v>
      </c>
      <c r="H670" s="378" t="n">
        <v>9102</v>
      </c>
      <c r="I670" s="403" t="n">
        <v>0</v>
      </c>
      <c r="J670" s="404" t="n">
        <v>56296</v>
      </c>
      <c r="K670" s="408" t="n">
        <v>3.51268296148927</v>
      </c>
      <c r="L670" s="409" t="n">
        <v>0</v>
      </c>
      <c r="M670" s="409" t="n">
        <v>0.0606826801517067</v>
      </c>
      <c r="N670" s="378" t="n">
        <v>1968</v>
      </c>
      <c r="O670" s="393" t="n">
        <v>17654</v>
      </c>
      <c r="Q670" s="605" t="n">
        <v>21</v>
      </c>
      <c r="R670" s="605" t="n">
        <v>3</v>
      </c>
      <c r="S670" s="605" t="n">
        <v>1</v>
      </c>
      <c r="T670" s="403" t="inlineStr">
        <is>
          <t xml:space="preserve">I2   </t>
        </is>
      </c>
      <c r="U670" s="403" t="n">
        <v>401</v>
      </c>
      <c r="V670" s="404" t="n">
        <v>183748</v>
      </c>
      <c r="W670" s="404" t="n">
        <v>180000</v>
      </c>
      <c r="X670" s="410" t="inlineStr">
        <is>
          <t>3.2:1</t>
        </is>
      </c>
      <c r="Y670" s="404">
        <f>ROUND(J670,-4)</f>
        <v/>
      </c>
      <c r="Z670" s="403" t="inlineStr">
        <is>
          <t xml:space="preserve">C </t>
        </is>
      </c>
      <c r="AA670" s="605" t="n">
        <v>3</v>
      </c>
      <c r="AB670" s="605" t="n">
        <v>3</v>
      </c>
      <c r="AC670" s="378" t="inlineStr">
        <is>
          <t>33</t>
        </is>
      </c>
      <c r="AD670" s="384" t="inlineStr">
        <is>
          <t xml:space="preserve">SCOTT SYSTEMS       </t>
        </is>
      </c>
      <c r="AE670" s="145" t="n"/>
      <c r="AF670" s="145" t="n"/>
      <c r="AG670" s="145" t="n"/>
      <c r="AH670" s="145" t="n"/>
      <c r="AI670" s="145" t="n"/>
      <c r="AJ670" s="145" t="n"/>
      <c r="AK670" s="145" t="inlineStr">
        <is>
          <t xml:space="preserve">M-T INDUSTRIAL BLDG.; LEASES 2004-2007; 3 TENANTS.                </t>
        </is>
      </c>
      <c r="AL670" s="605">
        <f>IF(AND(ISNUMBER($S670),$S670&gt;0,ISNUMBER($K670),ISNUMBER($J670)),($K670*$J670)/$S670,"")</f>
        <v/>
      </c>
    </row>
    <row r="671" ht="12.75" customHeight="1" s="545">
      <c r="A671" s="388" t="n">
        <v>8</v>
      </c>
      <c r="B671" s="605" t="n">
        <v>663</v>
      </c>
      <c r="C671" s="384" t="inlineStr">
        <is>
          <t>2009Q</t>
        </is>
      </c>
      <c r="D671" s="605" t="inlineStr">
        <is>
          <t xml:space="preserve">01233-00-016-000 </t>
        </is>
      </c>
      <c r="E671" s="407" t="inlineStr">
        <is>
          <t>Actual</t>
        </is>
      </c>
      <c r="F671" s="605" t="inlineStr">
        <is>
          <t>10700 E 40TH                 AV</t>
        </is>
      </c>
      <c r="G671" s="392" t="n">
        <v>44.2</v>
      </c>
      <c r="H671" s="378" t="n">
        <v>9104</v>
      </c>
      <c r="I671" s="403" t="n">
        <v>0</v>
      </c>
      <c r="J671" s="404" t="n">
        <v>68916</v>
      </c>
      <c r="K671" s="408" t="n">
        <v>4.95683150502061</v>
      </c>
      <c r="L671" s="409" t="n">
        <v>0</v>
      </c>
      <c r="M671" s="409" t="n">
        <v>0.04806721213097</v>
      </c>
      <c r="N671" s="378" t="n">
        <v>1969</v>
      </c>
      <c r="O671" s="393">
        <f>7652+780+226</f>
        <v/>
      </c>
      <c r="Q671" s="605" t="n">
        <v>25</v>
      </c>
      <c r="R671" s="605" t="n">
        <v>3</v>
      </c>
      <c r="S671" s="605" t="n">
        <v>1</v>
      </c>
      <c r="T671" s="403" t="inlineStr">
        <is>
          <t xml:space="preserve">I2   </t>
        </is>
      </c>
      <c r="U671" s="403" t="n">
        <v>398</v>
      </c>
      <c r="V671" s="404" t="n">
        <v>272263</v>
      </c>
      <c r="W671" s="404" t="n">
        <v>270000</v>
      </c>
      <c r="X671" s="410" t="inlineStr">
        <is>
          <t>4.0:1</t>
        </is>
      </c>
      <c r="Y671" s="404">
        <f>ROUND(J671,-4)</f>
        <v/>
      </c>
      <c r="Z671" s="403" t="inlineStr">
        <is>
          <t xml:space="preserve">C </t>
        </is>
      </c>
      <c r="AA671" s="605" t="n">
        <v>3</v>
      </c>
      <c r="AB671" s="605" t="n">
        <v>3</v>
      </c>
      <c r="AC671" s="378" t="inlineStr">
        <is>
          <t>33</t>
        </is>
      </c>
      <c r="AD671" s="384" t="inlineStr">
        <is>
          <t>DENVER INTERMODAL EX</t>
        </is>
      </c>
      <c r="AE671" s="145" t="n"/>
      <c r="AF671" s="145" t="n"/>
      <c r="AG671" s="145" t="n"/>
      <c r="AH671" s="145" t="n"/>
      <c r="AI671" s="145" t="n"/>
      <c r="AJ671" s="145" t="n"/>
      <c r="AK671" s="145" t="inlineStr">
        <is>
          <t xml:space="preserve">S-T WHSE; 2006 LEASE.                                             </t>
        </is>
      </c>
      <c r="AL671" s="605">
        <f>IF(AND(ISNUMBER($S671),$S671&gt;0,ISNUMBER($K671),ISNUMBER($J671)),($K671*$J671)/$S671,"")</f>
        <v/>
      </c>
    </row>
    <row r="672" ht="12.75" customHeight="1" s="545">
      <c r="A672" s="388" t="n">
        <v>8</v>
      </c>
      <c r="B672" s="605" t="n">
        <v>664</v>
      </c>
      <c r="C672" s="384" t="inlineStr">
        <is>
          <t>2009Q</t>
        </is>
      </c>
      <c r="D672" s="605" t="inlineStr">
        <is>
          <t xml:space="preserve">01233-00-026-000 </t>
        </is>
      </c>
      <c r="E672" s="407" t="inlineStr">
        <is>
          <t>Actual</t>
        </is>
      </c>
      <c r="F672" s="605" t="inlineStr">
        <is>
          <t>11200 E 40TH                 AV</t>
        </is>
      </c>
      <c r="G672" s="392" t="n">
        <v>44.2</v>
      </c>
      <c r="H672" s="378" t="n">
        <v>9104</v>
      </c>
      <c r="I672" s="403" t="n">
        <v>0</v>
      </c>
      <c r="J672" s="404" t="n">
        <v>86060</v>
      </c>
      <c r="K672" s="408" t="n">
        <v>4.42669068092029</v>
      </c>
      <c r="L672" s="409" t="n">
        <v>0</v>
      </c>
      <c r="M672" s="409" t="n">
        <v>0</v>
      </c>
      <c r="N672" s="378" t="n">
        <v>1973</v>
      </c>
      <c r="O672" s="393">
        <f>6420+6543</f>
        <v/>
      </c>
      <c r="P672" s="393" t="n">
        <v>15020</v>
      </c>
      <c r="Q672" s="605" t="n">
        <v>20</v>
      </c>
      <c r="R672" s="605" t="n">
        <v>8</v>
      </c>
      <c r="S672" s="605" t="n">
        <v>1</v>
      </c>
      <c r="T672" s="403" t="inlineStr">
        <is>
          <t xml:space="preserve">I2   </t>
        </is>
      </c>
      <c r="U672" s="403" t="n">
        <v>398</v>
      </c>
      <c r="V672" s="404" t="n">
        <v>304924</v>
      </c>
      <c r="W672" s="404" t="n">
        <v>300000</v>
      </c>
      <c r="X672" s="410" t="inlineStr">
        <is>
          <t>3.5:1</t>
        </is>
      </c>
      <c r="Y672" s="404">
        <f>ROUND(J672,-4)</f>
        <v/>
      </c>
      <c r="Z672" s="403" t="inlineStr">
        <is>
          <t xml:space="preserve">C </t>
        </is>
      </c>
      <c r="AA672" s="605" t="n">
        <v>3</v>
      </c>
      <c r="AB672" s="605" t="n">
        <v>3</v>
      </c>
      <c r="AC672" s="378" t="inlineStr">
        <is>
          <t>33</t>
        </is>
      </c>
      <c r="AD672" s="384" t="inlineStr">
        <is>
          <t xml:space="preserve">CENTER RENTAL/SALES </t>
        </is>
      </c>
      <c r="AE672" s="145" t="n"/>
      <c r="AF672" s="145" t="n"/>
      <c r="AG672" s="145" t="n"/>
      <c r="AH672" s="145" t="n"/>
      <c r="AI672" s="145" t="n"/>
      <c r="AJ672" s="145" t="n"/>
      <c r="AK672" s="145" t="inlineStr">
        <is>
          <t xml:space="preserve">S-T WHSE.                                                         </t>
        </is>
      </c>
      <c r="AL672" s="605">
        <f>IF(AND(ISNUMBER($S672),$S672&gt;0,ISNUMBER($K672),ISNUMBER($J672)),($K672*$J672)/$S672,"")</f>
        <v/>
      </c>
    </row>
    <row r="673" ht="12.75" customHeight="1" s="545">
      <c r="A673" s="388" t="n">
        <v>8</v>
      </c>
      <c r="B673" s="605" t="n">
        <v>665</v>
      </c>
      <c r="C673" s="384" t="inlineStr">
        <is>
          <t>2009Q</t>
        </is>
      </c>
      <c r="D673" s="605" t="inlineStr">
        <is>
          <t xml:space="preserve">01233-00-046-000 </t>
        </is>
      </c>
      <c r="E673" s="407" t="inlineStr">
        <is>
          <t>Actual</t>
        </is>
      </c>
      <c r="F673" s="605" t="inlineStr">
        <is>
          <t>3990   HAVANA               ST</t>
        </is>
      </c>
      <c r="G673" s="392" t="n">
        <v>47.1</v>
      </c>
      <c r="H673" s="378" t="n">
        <v>9104</v>
      </c>
      <c r="I673" s="403" t="n">
        <v>0</v>
      </c>
      <c r="J673" s="404" t="n">
        <v>85908</v>
      </c>
      <c r="K673" s="408" t="n">
        <v>4.20525445825767</v>
      </c>
      <c r="L673" s="409" t="n">
        <v>0</v>
      </c>
      <c r="M673" s="409" t="n">
        <v>0</v>
      </c>
      <c r="N673" s="378" t="n">
        <v>1967</v>
      </c>
      <c r="O673" s="393">
        <f>1611+6300</f>
        <v/>
      </c>
      <c r="Q673" s="605" t="n">
        <v>20</v>
      </c>
      <c r="R673" s="605" t="n">
        <v>8</v>
      </c>
      <c r="S673" s="605" t="n">
        <v>1</v>
      </c>
      <c r="T673" s="403" t="inlineStr">
        <is>
          <t xml:space="preserve">I2   </t>
        </is>
      </c>
      <c r="U673" s="403" t="n">
        <v>401</v>
      </c>
      <c r="V673" s="404" t="n">
        <v>191876</v>
      </c>
      <c r="W673" s="404" t="n">
        <v>190000</v>
      </c>
      <c r="X673" s="410" t="inlineStr">
        <is>
          <t>2.2:1</t>
        </is>
      </c>
      <c r="Y673" s="404">
        <f>ROUND(J673,-4)</f>
        <v/>
      </c>
      <c r="Z673" s="403" t="inlineStr">
        <is>
          <t xml:space="preserve">C </t>
        </is>
      </c>
      <c r="AA673" s="605" t="n">
        <v>2</v>
      </c>
      <c r="AB673" s="605" t="n">
        <v>1</v>
      </c>
      <c r="AC673" s="378" t="inlineStr">
        <is>
          <t>21</t>
        </is>
      </c>
      <c r="AD673" s="384" t="inlineStr">
        <is>
          <t xml:space="preserve">RIO GRANDE BLDG MAT </t>
        </is>
      </c>
      <c r="AE673" s="145" t="n"/>
      <c r="AF673" s="145" t="n"/>
      <c r="AG673" s="145" t="n"/>
      <c r="AH673" s="145" t="n"/>
      <c r="AI673" s="145" t="n"/>
      <c r="AJ673" s="145" t="n"/>
      <c r="AK673" s="145" t="inlineStr">
        <is>
          <t xml:space="preserve">S-T INDUSTRIAL BLDG.; LEASE DATES FROM 2003.                      </t>
        </is>
      </c>
      <c r="AL673" s="605">
        <f>IF(AND(ISNUMBER($S673),$S673&gt;0,ISNUMBER($K673),ISNUMBER($J673)),($K673*$J673)/$S673,"")</f>
        <v/>
      </c>
    </row>
    <row r="674" ht="12.75" customHeight="1" s="545">
      <c r="A674" s="388" t="n">
        <v>8</v>
      </c>
      <c r="B674" s="605" t="n">
        <v>666</v>
      </c>
      <c r="C674" s="384" t="inlineStr">
        <is>
          <t>2009Q</t>
        </is>
      </c>
      <c r="D674" s="605" t="inlineStr">
        <is>
          <t xml:space="preserve">01234-01-009-000 </t>
        </is>
      </c>
      <c r="E674" s="407" t="inlineStr">
        <is>
          <t>Actual</t>
        </is>
      </c>
      <c r="F674" s="605" t="inlineStr">
        <is>
          <t>3891   PARIS                ST</t>
        </is>
      </c>
      <c r="G674" s="392" t="n">
        <v>44.2</v>
      </c>
      <c r="H674" s="378" t="n">
        <v>9104</v>
      </c>
      <c r="I674" s="403" t="n">
        <v>0</v>
      </c>
      <c r="J674" s="404" t="n">
        <v>14149</v>
      </c>
      <c r="K674" s="408" t="n">
        <v>7.83292105449148</v>
      </c>
      <c r="L674" s="409" t="n">
        <v>0</v>
      </c>
      <c r="M674" s="409" t="n">
        <v>0.153986357238243</v>
      </c>
      <c r="N674" s="378" t="n">
        <v>2000</v>
      </c>
      <c r="O674" s="393" t="n">
        <v>1629</v>
      </c>
      <c r="Q674" s="605" t="n">
        <v>19</v>
      </c>
      <c r="R674" s="605" t="n">
        <v>14</v>
      </c>
      <c r="S674" s="605" t="n">
        <v>1</v>
      </c>
      <c r="T674" s="403" t="inlineStr">
        <is>
          <t xml:space="preserve">I1   </t>
        </is>
      </c>
      <c r="U674" s="403" t="n">
        <v>398</v>
      </c>
      <c r="V674" s="404" t="n">
        <v>36116</v>
      </c>
      <c r="W674" s="404" t="n">
        <v>36000</v>
      </c>
      <c r="X674" s="410" t="inlineStr">
        <is>
          <t>2.6:1</t>
        </is>
      </c>
      <c r="Y674" s="404">
        <f>ROUND(J674,-3)</f>
        <v/>
      </c>
      <c r="Z674" s="403" t="inlineStr">
        <is>
          <t xml:space="preserve">C </t>
        </is>
      </c>
      <c r="AA674" s="605" t="n">
        <v>3</v>
      </c>
      <c r="AB674" s="605" t="n">
        <v>3</v>
      </c>
      <c r="AC674" s="378" t="inlineStr">
        <is>
          <t>33</t>
        </is>
      </c>
      <c r="AD674" s="384" t="n"/>
      <c r="AE674" s="145" t="n"/>
      <c r="AF674" s="145" t="n"/>
      <c r="AG674" s="145" t="n"/>
      <c r="AH674" s="145" t="n"/>
      <c r="AI674" s="145" t="n"/>
      <c r="AJ674" s="145" t="n"/>
      <c r="AK674" s="145" t="inlineStr">
        <is>
          <t xml:space="preserve">S-T WHSE.; LEASE DATES FROM 2004                                  </t>
        </is>
      </c>
      <c r="AL674" s="605">
        <f>IF(AND(ISNUMBER($S674),$S674&gt;0,ISNUMBER($K674),ISNUMBER($J674)),($K674*$J674)/$S674,"")</f>
        <v/>
      </c>
    </row>
    <row r="675" ht="12.75" customHeight="1" s="545">
      <c r="A675" s="388" t="n">
        <v>8</v>
      </c>
      <c r="B675" s="605" t="n">
        <v>667</v>
      </c>
      <c r="C675" s="384" t="inlineStr">
        <is>
          <t>2009Q</t>
        </is>
      </c>
      <c r="D675" s="605" t="inlineStr">
        <is>
          <t xml:space="preserve">01234-01-014-000 </t>
        </is>
      </c>
      <c r="E675" s="407" t="inlineStr">
        <is>
          <t>Actual</t>
        </is>
      </c>
      <c r="F675" s="605" t="inlineStr">
        <is>
          <t>3841   PARIS                ST</t>
        </is>
      </c>
      <c r="G675" s="392" t="n">
        <v>44.2</v>
      </c>
      <c r="H675" s="378" t="n">
        <v>9104</v>
      </c>
      <c r="I675" s="403" t="n">
        <v>0</v>
      </c>
      <c r="J675" s="404" t="n">
        <v>20046</v>
      </c>
      <c r="K675" s="408" t="n">
        <v>6.31547440885962</v>
      </c>
      <c r="L675" s="409" t="n">
        <v>0</v>
      </c>
      <c r="M675" s="409" t="n">
        <v>0.12501579778831</v>
      </c>
      <c r="N675" s="378" t="n">
        <v>1978</v>
      </c>
      <c r="O675" s="393" t="n">
        <v>2278</v>
      </c>
      <c r="Q675" s="605" t="n">
        <v>20</v>
      </c>
      <c r="R675" s="605" t="n">
        <v>10</v>
      </c>
      <c r="S675" s="605" t="n">
        <v>1</v>
      </c>
      <c r="T675" s="403" t="inlineStr">
        <is>
          <t xml:space="preserve">I2   </t>
        </is>
      </c>
      <c r="U675" s="403" t="n">
        <v>398</v>
      </c>
      <c r="V675" s="404" t="n">
        <v>43000</v>
      </c>
      <c r="W675" s="404" t="n">
        <v>43000</v>
      </c>
      <c r="X675" s="410" t="inlineStr">
        <is>
          <t>2.1:1</t>
        </is>
      </c>
      <c r="Y675" s="404">
        <f>ROUND(J675,-3)</f>
        <v/>
      </c>
      <c r="Z675" s="403" t="inlineStr">
        <is>
          <t xml:space="preserve">C </t>
        </is>
      </c>
      <c r="AA675" s="605" t="n">
        <v>3</v>
      </c>
      <c r="AB675" s="605" t="n">
        <v>3</v>
      </c>
      <c r="AC675" s="378" t="inlineStr">
        <is>
          <t>33</t>
        </is>
      </c>
      <c r="AD675" s="384" t="n"/>
      <c r="AE675" s="145" t="n"/>
      <c r="AF675" s="145" t="n"/>
      <c r="AG675" s="145" t="n"/>
      <c r="AH675" s="145" t="n"/>
      <c r="AI675" s="145" t="n"/>
      <c r="AJ675" s="145" t="n"/>
      <c r="AK675" s="145" t="inlineStr">
        <is>
          <t xml:space="preserve">M-T WHSE.; 3 TENANTS; LEASES 2005 - 2007.                         </t>
        </is>
      </c>
      <c r="AL675" s="605">
        <f>IF(AND(ISNUMBER($S675),$S675&gt;0,ISNUMBER($K675),ISNUMBER($J675)),($K675*$J675)/$S675,"")</f>
        <v/>
      </c>
    </row>
    <row r="676" ht="12.75" customHeight="1" s="545">
      <c r="A676" s="388" t="n">
        <v>8</v>
      </c>
      <c r="B676" s="605" t="n">
        <v>668</v>
      </c>
      <c r="C676" s="384" t="inlineStr">
        <is>
          <t>2009Q</t>
        </is>
      </c>
      <c r="D676" s="605" t="inlineStr">
        <is>
          <t xml:space="preserve">01234-01-015-000 </t>
        </is>
      </c>
      <c r="E676" s="407" t="inlineStr">
        <is>
          <t>Actual</t>
        </is>
      </c>
      <c r="F676" s="605" t="inlineStr">
        <is>
          <t>3835   PARIS                ST</t>
        </is>
      </c>
      <c r="G676" s="392" t="n">
        <v>44.2</v>
      </c>
      <c r="H676" s="378" t="n">
        <v>9104</v>
      </c>
      <c r="I676" s="403" t="n">
        <v>0</v>
      </c>
      <c r="J676" s="404" t="n">
        <v>6214</v>
      </c>
      <c r="K676" s="408" t="n">
        <v>6.03476021886064</v>
      </c>
      <c r="L676" s="409" t="n">
        <v>0</v>
      </c>
      <c r="M676" s="409" t="n">
        <v>0.106666666666667</v>
      </c>
      <c r="N676" s="378" t="n">
        <v>1984</v>
      </c>
      <c r="O676" s="393" t="n">
        <v>1775</v>
      </c>
      <c r="Q676" s="605" t="n">
        <v>20</v>
      </c>
      <c r="R676" s="605" t="n">
        <v>3</v>
      </c>
      <c r="S676" s="605" t="n">
        <v>2</v>
      </c>
      <c r="T676" s="403" t="inlineStr">
        <is>
          <t xml:space="preserve">I2   </t>
        </is>
      </c>
      <c r="U676" s="403" t="n">
        <v>398</v>
      </c>
      <c r="V676" s="404" t="n">
        <v>22683</v>
      </c>
      <c r="W676" s="404" t="n">
        <v>23000</v>
      </c>
      <c r="X676" s="410" t="inlineStr">
        <is>
          <t>1.8:1</t>
        </is>
      </c>
      <c r="Y676" s="404">
        <f>ROUND(J676,-3)</f>
        <v/>
      </c>
      <c r="Z676" s="403" t="inlineStr">
        <is>
          <t xml:space="preserve">C </t>
        </is>
      </c>
      <c r="AA676" s="605" t="n">
        <v>3</v>
      </c>
      <c r="AB676" s="605" t="n">
        <v>3</v>
      </c>
      <c r="AC676" s="378" t="inlineStr">
        <is>
          <t>33</t>
        </is>
      </c>
      <c r="AD676" s="384" t="n"/>
      <c r="AE676" s="145" t="n"/>
      <c r="AF676" s="145" t="n"/>
      <c r="AG676" s="145" t="n"/>
      <c r="AH676" s="145" t="n"/>
      <c r="AI676" s="145" t="n"/>
      <c r="AJ676" s="145" t="n"/>
      <c r="AK676" s="145" t="inlineStr">
        <is>
          <t xml:space="preserve">M-T WHSE; 2 TENANTS; AGE OF LEASE UNKNOWN.                        </t>
        </is>
      </c>
      <c r="AL676" s="605">
        <f>IF(AND(ISNUMBER($S676),$S676&gt;0,ISNUMBER($K676),ISNUMBER($J676)),($K676*$J676)/$S676,"")</f>
        <v/>
      </c>
    </row>
    <row r="677" ht="12.75" customHeight="1" s="545">
      <c r="A677" s="388" t="n">
        <v>8</v>
      </c>
      <c r="B677" s="605" t="n">
        <v>669</v>
      </c>
      <c r="C677" s="384" t="inlineStr">
        <is>
          <t>2009W</t>
        </is>
      </c>
      <c r="D677" s="605" t="inlineStr">
        <is>
          <t>01242-02-001-000</t>
        </is>
      </c>
      <c r="E677" s="403" t="inlineStr">
        <is>
          <t>Actual</t>
        </is>
      </c>
      <c r="F677" s="605" t="inlineStr">
        <is>
          <t>12330-360 E 46TH AV</t>
        </is>
      </c>
      <c r="G677" s="392" t="n">
        <v>44.4</v>
      </c>
      <c r="H677" s="605" t="n">
        <v>9102</v>
      </c>
      <c r="I677" s="403" t="n">
        <v>0</v>
      </c>
      <c r="J677" s="393" t="n">
        <v>587487</v>
      </c>
      <c r="K677" s="154" t="n">
        <v>4.31</v>
      </c>
      <c r="L677" s="153" t="n">
        <v>0.02</v>
      </c>
      <c r="M677" s="153" t="n"/>
      <c r="N677" s="605" t="n">
        <v>1999</v>
      </c>
      <c r="O677" s="605" t="n">
        <v>18645</v>
      </c>
      <c r="P677" s="605" t="n"/>
      <c r="Q677" s="605" t="n">
        <v>30</v>
      </c>
      <c r="R677" s="605" t="n">
        <v>14</v>
      </c>
      <c r="S677" s="605" t="n">
        <v>8</v>
      </c>
      <c r="T677" s="403" t="inlineStr">
        <is>
          <t>B4</t>
        </is>
      </c>
      <c r="U677" s="605" t="n">
        <v>398</v>
      </c>
      <c r="V677" s="393" t="n">
        <v>1400794</v>
      </c>
      <c r="W677" s="393" t="n">
        <v>1500000</v>
      </c>
      <c r="X677" s="378" t="inlineStr">
        <is>
          <t>2.5:1</t>
        </is>
      </c>
      <c r="Y677" s="393" t="n">
        <v>600000</v>
      </c>
      <c r="Z677" s="403" t="inlineStr">
        <is>
          <t>B</t>
        </is>
      </c>
      <c r="AA677" s="605" t="n">
        <v>3</v>
      </c>
      <c r="AB677" s="605" t="n">
        <v>3</v>
      </c>
      <c r="AC677" s="605" t="n">
        <v>33</v>
      </c>
      <c r="AD677" s="605" t="inlineStr">
        <is>
          <t>Peoria Business Park</t>
        </is>
      </c>
      <c r="AE677" s="377" t="n"/>
      <c r="AF677" s="413" t="n"/>
      <c r="AG677" s="413" t="n"/>
      <c r="AH677" s="377" t="n"/>
      <c r="AI677" s="145" t="n"/>
      <c r="AJ677" s="145" t="n"/>
      <c r="AK677" s="605" t="inlineStr">
        <is>
          <t>Includes parcels -002,003</t>
        </is>
      </c>
      <c r="AL677" s="605">
        <f>IF(AND(ISNUMBER($S677),$S677&gt;0,ISNUMBER($K677),ISNUMBER($J677)),($K677*$J677)/$S677,"")</f>
        <v/>
      </c>
    </row>
    <row r="678" ht="12.75" customHeight="1" s="545">
      <c r="A678" s="388" t="n">
        <v>8</v>
      </c>
      <c r="B678" s="605" t="n">
        <v>670</v>
      </c>
      <c r="C678" s="384" t="inlineStr">
        <is>
          <t>2009Q</t>
        </is>
      </c>
      <c r="D678" s="605" t="inlineStr">
        <is>
          <t xml:space="preserve">01242-02-011-000 </t>
        </is>
      </c>
      <c r="E678" s="407" t="inlineStr">
        <is>
          <t>Actual</t>
        </is>
      </c>
      <c r="F678" s="605" t="inlineStr">
        <is>
          <t>12275 E 45TH                 AV</t>
        </is>
      </c>
      <c r="G678" s="392" t="n">
        <v>44.1</v>
      </c>
      <c r="H678" s="378" t="n">
        <v>9102</v>
      </c>
      <c r="I678" s="403" t="n">
        <v>0</v>
      </c>
      <c r="J678" s="404" t="n">
        <v>27584</v>
      </c>
      <c r="K678" s="408" t="n">
        <v>6.49985498839907</v>
      </c>
      <c r="L678" s="409" t="n">
        <v>0</v>
      </c>
      <c r="M678" s="409" t="n">
        <v>0</v>
      </c>
      <c r="N678" s="378" t="n">
        <v>2005</v>
      </c>
      <c r="O678" s="393" t="n">
        <v>6709</v>
      </c>
      <c r="Q678" s="605" t="n">
        <v>24</v>
      </c>
      <c r="R678" s="605" t="n">
        <v>2</v>
      </c>
      <c r="S678" s="605" t="n">
        <v>1</v>
      </c>
      <c r="T678" s="403" t="inlineStr">
        <is>
          <t xml:space="preserve">B4   </t>
        </is>
      </c>
      <c r="U678" s="403" t="n">
        <v>398</v>
      </c>
      <c r="V678" s="404" t="n">
        <v>111372</v>
      </c>
      <c r="W678" s="404" t="n">
        <v>110000</v>
      </c>
      <c r="X678" s="410" t="inlineStr">
        <is>
          <t>4.0:1</t>
        </is>
      </c>
      <c r="Y678" s="404">
        <f>ROUND(J678,-3)</f>
        <v/>
      </c>
      <c r="Z678" s="403" t="inlineStr">
        <is>
          <t xml:space="preserve">C </t>
        </is>
      </c>
      <c r="AA678" s="605" t="n">
        <v>3</v>
      </c>
      <c r="AB678" s="605" t="n">
        <v>3</v>
      </c>
      <c r="AC678" s="378" t="inlineStr">
        <is>
          <t>33</t>
        </is>
      </c>
      <c r="AD678" s="384" t="n"/>
      <c r="AE678" s="145" t="n"/>
      <c r="AF678" s="145" t="n"/>
      <c r="AG678" s="145" t="n"/>
      <c r="AH678" s="145" t="n"/>
      <c r="AI678" s="145" t="n"/>
      <c r="AJ678" s="145" t="n"/>
      <c r="AK678" s="145" t="inlineStr">
        <is>
          <t xml:space="preserve">S-T WHSE.; AGE OF LEASE UNKNOWN.                                  </t>
        </is>
      </c>
      <c r="AL678" s="605">
        <f>IF(AND(ISNUMBER($S678),$S678&gt;0,ISNUMBER($K678),ISNUMBER($J678)),($K678*$J678)/$S678,"")</f>
        <v/>
      </c>
    </row>
    <row r="679" ht="12.75" customHeight="1" s="545">
      <c r="A679" s="388" t="n">
        <v>8</v>
      </c>
      <c r="B679" s="605" t="n">
        <v>671</v>
      </c>
      <c r="C679" s="384" t="inlineStr">
        <is>
          <t>2009W</t>
        </is>
      </c>
      <c r="D679" s="605" t="inlineStr">
        <is>
          <t>01243-00-021-000</t>
        </is>
      </c>
      <c r="E679" s="403" t="inlineStr">
        <is>
          <t>Actual</t>
        </is>
      </c>
      <c r="F679" s="605" t="inlineStr">
        <is>
          <t>12435-875 E. 42ND AV</t>
        </is>
      </c>
      <c r="G679" s="392" t="n">
        <v>44.4</v>
      </c>
      <c r="H679" s="605" t="n">
        <v>9102</v>
      </c>
      <c r="I679" s="403" t="n">
        <v>0</v>
      </c>
      <c r="J679" s="393" t="n">
        <v>400000</v>
      </c>
      <c r="K679" s="154" t="n">
        <v>4.59</v>
      </c>
      <c r="L679" s="153" t="n">
        <v>0.09</v>
      </c>
      <c r="M679" s="153" t="n">
        <v>0.07000000000000001</v>
      </c>
      <c r="N679" s="605" t="n">
        <v>1998</v>
      </c>
      <c r="O679" s="605" t="n">
        <v>59469</v>
      </c>
      <c r="P679" s="605" t="n"/>
      <c r="Q679" s="605" t="n">
        <v>28</v>
      </c>
      <c r="R679" s="605" t="n">
        <v>14</v>
      </c>
      <c r="S679" s="605" t="n">
        <v>16</v>
      </c>
      <c r="T679" s="403" t="inlineStr">
        <is>
          <t>I0</t>
        </is>
      </c>
      <c r="U679" s="605" t="n">
        <v>398</v>
      </c>
      <c r="V679" s="393" t="n">
        <v>998049</v>
      </c>
      <c r="W679" s="393" t="n">
        <v>1000000</v>
      </c>
      <c r="X679" s="378" t="inlineStr">
        <is>
          <t>2.5:1</t>
        </is>
      </c>
      <c r="Y679" s="393" t="n">
        <v>400000</v>
      </c>
      <c r="Z679" s="403" t="inlineStr">
        <is>
          <t>B</t>
        </is>
      </c>
      <c r="AA679" s="605" t="n">
        <v>3</v>
      </c>
      <c r="AB679" s="605" t="n">
        <v>3</v>
      </c>
      <c r="AC679" s="605" t="n">
        <v>33</v>
      </c>
      <c r="AE679" s="377" t="n"/>
      <c r="AF679" s="413" t="n"/>
      <c r="AG679" s="413" t="n"/>
      <c r="AH679" s="377" t="n"/>
      <c r="AI679" s="413" t="n"/>
      <c r="AJ679" s="377" t="n"/>
      <c r="AL679" s="145" t="n"/>
    </row>
    <row r="680" ht="12.75" customHeight="1" s="545">
      <c r="A680" s="388" t="n">
        <v>8</v>
      </c>
      <c r="B680" s="605" t="n">
        <v>672</v>
      </c>
      <c r="C680" s="384" t="inlineStr">
        <is>
          <t>2009Q</t>
        </is>
      </c>
      <c r="D680" s="605" t="inlineStr">
        <is>
          <t xml:space="preserve">01252-00-034-000 </t>
        </is>
      </c>
      <c r="E680" s="407" t="inlineStr">
        <is>
          <t>Actual</t>
        </is>
      </c>
      <c r="F680" s="605" t="inlineStr">
        <is>
          <t>12770 E 39TH                 AV</t>
        </is>
      </c>
      <c r="G680" s="392" t="n">
        <v>44.4</v>
      </c>
      <c r="H680" s="378" t="n">
        <v>9104</v>
      </c>
      <c r="I680" s="403" t="n">
        <v>0</v>
      </c>
      <c r="J680" s="404" t="n">
        <v>121360</v>
      </c>
      <c r="K680" s="408" t="n">
        <v>3.68457481872116</v>
      </c>
      <c r="L680" s="409" t="n">
        <v>0</v>
      </c>
      <c r="M680" s="409" t="n">
        <v>0.216683066463906</v>
      </c>
      <c r="N680" s="378" t="n">
        <v>1971</v>
      </c>
      <c r="O680" s="393" t="n">
        <v>6439</v>
      </c>
      <c r="P680" s="393" t="n">
        <v>1570</v>
      </c>
      <c r="Q680" s="605" t="n">
        <v>14</v>
      </c>
      <c r="R680" s="605" t="n">
        <v>3</v>
      </c>
      <c r="S680" s="605" t="n">
        <v>2</v>
      </c>
      <c r="T680" s="403" t="inlineStr">
        <is>
          <t xml:space="preserve">I2   </t>
        </is>
      </c>
      <c r="U680" s="403" t="n">
        <v>398</v>
      </c>
      <c r="V680" s="404" t="n">
        <v>255000</v>
      </c>
      <c r="W680" s="404" t="n">
        <v>260000</v>
      </c>
      <c r="X680" s="410" t="inlineStr">
        <is>
          <t>2.1:1</t>
        </is>
      </c>
      <c r="Y680" s="404">
        <f>ROUND(J680,-4)</f>
        <v/>
      </c>
      <c r="Z680" s="403" t="inlineStr">
        <is>
          <t xml:space="preserve">C </t>
        </is>
      </c>
      <c r="AA680" s="605" t="n">
        <v>3</v>
      </c>
      <c r="AB680" s="605" t="n">
        <v>3</v>
      </c>
      <c r="AC680" s="378" t="inlineStr">
        <is>
          <t>33</t>
        </is>
      </c>
      <c r="AD680" s="384" t="inlineStr">
        <is>
          <t xml:space="preserve">M-W UNISOURCE       </t>
        </is>
      </c>
      <c r="AE680" s="145" t="n"/>
      <c r="AF680" s="145" t="n"/>
      <c r="AG680" s="145" t="n"/>
      <c r="AH680" s="145" t="n"/>
      <c r="AI680" s="145" t="n"/>
      <c r="AJ680" s="145" t="n"/>
      <c r="AK680" s="145" t="inlineStr">
        <is>
          <t xml:space="preserve">M-T WHSE; 3 TENANTS; LEASES 2005 - 2008.                          </t>
        </is>
      </c>
      <c r="AL680" s="605">
        <f>IF(AND(ISNUMBER($S680),$S680&gt;0,ISNUMBER($K680),ISNUMBER($J680)),($K680*$J680)/$S680,"")</f>
        <v/>
      </c>
    </row>
    <row r="681" ht="12.75" customHeight="1" s="545">
      <c r="A681" s="388" t="n">
        <v>8</v>
      </c>
      <c r="B681" s="605" t="n">
        <v>673</v>
      </c>
      <c r="C681" s="384" t="inlineStr">
        <is>
          <t>2009Q</t>
        </is>
      </c>
      <c r="D681" s="605" t="inlineStr">
        <is>
          <t xml:space="preserve">01252-00-056-000 </t>
        </is>
      </c>
      <c r="E681" s="407" t="inlineStr">
        <is>
          <t>Actual</t>
        </is>
      </c>
      <c r="F681" s="605" t="inlineStr">
        <is>
          <t>3800   QUENTIN              ST</t>
        </is>
      </c>
      <c r="G681" s="392" t="n">
        <v>44.1</v>
      </c>
      <c r="H681" s="378" t="n">
        <v>9104</v>
      </c>
      <c r="I681" s="403" t="n">
        <v>0</v>
      </c>
      <c r="J681" s="404" t="n">
        <v>25095</v>
      </c>
      <c r="K681" s="408" t="n">
        <v>4.30364614465033</v>
      </c>
      <c r="L681" s="409" t="n">
        <v>1</v>
      </c>
      <c r="M681" s="409" t="n">
        <v>0</v>
      </c>
      <c r="N681" s="378" t="n">
        <v>1990</v>
      </c>
      <c r="O681" s="393" t="n">
        <v>3274</v>
      </c>
      <c r="Q681" s="605" t="n">
        <v>24</v>
      </c>
      <c r="R681" s="605" t="n">
        <v>3</v>
      </c>
      <c r="S681" s="605" t="n">
        <v>1</v>
      </c>
      <c r="T681" s="403" t="inlineStr">
        <is>
          <t xml:space="preserve">I2   </t>
        </is>
      </c>
      <c r="U681" s="403" t="n">
        <v>401</v>
      </c>
      <c r="V681" s="404" t="n">
        <v>45240</v>
      </c>
      <c r="W681" s="404" t="n">
        <v>45000</v>
      </c>
      <c r="X681" s="410" t="inlineStr">
        <is>
          <t>1.8:1</t>
        </is>
      </c>
      <c r="Y681" s="404">
        <f>ROUND(J681,-3)</f>
        <v/>
      </c>
      <c r="Z681" s="403" t="inlineStr">
        <is>
          <t xml:space="preserve">C </t>
        </is>
      </c>
      <c r="AA681" s="605" t="n">
        <v>3</v>
      </c>
      <c r="AB681" s="605" t="n">
        <v>3</v>
      </c>
      <c r="AC681" s="378" t="inlineStr">
        <is>
          <t>33</t>
        </is>
      </c>
      <c r="AD681" s="384" t="inlineStr">
        <is>
          <t xml:space="preserve">PRINTING PLANT      </t>
        </is>
      </c>
      <c r="AE681" s="145" t="n"/>
      <c r="AF681" s="145" t="n"/>
      <c r="AG681" s="145" t="n"/>
      <c r="AH681" s="145" t="n"/>
      <c r="AI681" s="145" t="n"/>
      <c r="AJ681" s="145" t="n"/>
      <c r="AK681" s="145" t="n"/>
      <c r="AL681" s="605">
        <f>IF(AND(ISNUMBER($S681),$S681&gt;0,ISNUMBER($K681),ISNUMBER($J681)),($K681*$J681)/$S681,"")</f>
        <v/>
      </c>
    </row>
    <row r="682" ht="12.75" customHeight="1" s="545">
      <c r="A682" s="388" t="n">
        <v>8</v>
      </c>
      <c r="B682" s="605" t="n">
        <v>674</v>
      </c>
      <c r="C682" s="384" t="inlineStr">
        <is>
          <t>2009Q</t>
        </is>
      </c>
      <c r="D682" s="605" t="inlineStr">
        <is>
          <t xml:space="preserve">01252-00-088-000 </t>
        </is>
      </c>
      <c r="E682" s="407" t="inlineStr">
        <is>
          <t>Actual</t>
        </is>
      </c>
      <c r="F682" s="605" t="inlineStr">
        <is>
          <t>3777   QUENTIN              ST</t>
        </is>
      </c>
      <c r="G682" s="392" t="n">
        <v>44.2</v>
      </c>
      <c r="H682" s="378" t="n">
        <v>9104</v>
      </c>
      <c r="I682" s="403" t="n">
        <v>0</v>
      </c>
      <c r="J682" s="404" t="n">
        <v>6000</v>
      </c>
      <c r="K682" s="408" t="n">
        <v>4</v>
      </c>
      <c r="L682" s="409" t="n">
        <v>0</v>
      </c>
      <c r="M682" s="409" t="n">
        <v>0</v>
      </c>
      <c r="N682" s="378" t="n">
        <v>2000</v>
      </c>
      <c r="O682" s="393">
        <f>3823+3055</f>
        <v/>
      </c>
      <c r="Q682" s="605" t="n">
        <v>24</v>
      </c>
      <c r="R682" s="605" t="n">
        <v>3</v>
      </c>
      <c r="S682" s="605" t="n">
        <v>5</v>
      </c>
      <c r="T682" s="403" t="inlineStr">
        <is>
          <t xml:space="preserve">I2   </t>
        </is>
      </c>
      <c r="U682" s="403" t="n">
        <v>398</v>
      </c>
      <c r="V682" s="404" t="n">
        <v>38408</v>
      </c>
      <c r="W682" s="404" t="n">
        <v>38000</v>
      </c>
      <c r="X682" s="410" t="inlineStr">
        <is>
          <t>3.2:1</t>
        </is>
      </c>
      <c r="Y682" s="404">
        <f>ROUND(J682,-3)</f>
        <v/>
      </c>
      <c r="Z682" s="403" t="inlineStr">
        <is>
          <t xml:space="preserve">C </t>
        </is>
      </c>
      <c r="AA682" s="605" t="n">
        <v>3</v>
      </c>
      <c r="AB682" s="605" t="n">
        <v>3</v>
      </c>
      <c r="AC682" s="378" t="inlineStr">
        <is>
          <t>33</t>
        </is>
      </c>
      <c r="AD682" s="384" t="inlineStr">
        <is>
          <t xml:space="preserve">M-W                 </t>
        </is>
      </c>
      <c r="AE682" s="145" t="n"/>
      <c r="AF682" s="145" t="n"/>
      <c r="AG682" s="145" t="n"/>
      <c r="AH682" s="145" t="n"/>
      <c r="AI682" s="145" t="n"/>
      <c r="AJ682" s="145" t="n"/>
      <c r="AK682" s="145" t="inlineStr">
        <is>
          <t xml:space="preserve">M-T WHSE.; 2 TENANTS; LEASES 2006 &amp; 2007.                         </t>
        </is>
      </c>
      <c r="AL682" s="605">
        <f>IF(AND(ISNUMBER($S682),$S682&gt;0,ISNUMBER($K682),ISNUMBER($J682)),($K682*$J682)/$S682,"")</f>
        <v/>
      </c>
    </row>
    <row r="683" ht="12.75" customHeight="1" s="545">
      <c r="A683" s="388" t="n">
        <v>8</v>
      </c>
      <c r="B683" s="605" t="n">
        <v>675</v>
      </c>
      <c r="C683" s="384" t="inlineStr">
        <is>
          <t>2009Q</t>
        </is>
      </c>
      <c r="D683" s="605" t="inlineStr">
        <is>
          <t xml:space="preserve">01252-00-089-000 </t>
        </is>
      </c>
      <c r="E683" s="407" t="inlineStr">
        <is>
          <t>Actual</t>
        </is>
      </c>
      <c r="F683" s="605" t="inlineStr">
        <is>
          <t>12295 E 37TH                 AV</t>
        </is>
      </c>
      <c r="G683" s="392" t="n">
        <v>44.1</v>
      </c>
      <c r="H683" s="378" t="n">
        <v>9104</v>
      </c>
      <c r="I683" s="403" t="n">
        <v>0</v>
      </c>
      <c r="J683" s="404" t="n">
        <v>15000</v>
      </c>
      <c r="K683" s="408" t="n">
        <v>9</v>
      </c>
      <c r="L683" s="409" t="n">
        <v>0</v>
      </c>
      <c r="M683" s="409" t="n">
        <v>0</v>
      </c>
      <c r="N683" s="378" t="n">
        <v>1997</v>
      </c>
      <c r="O683" s="393" t="n">
        <v>1953</v>
      </c>
      <c r="Q683" s="605" t="n">
        <v>20</v>
      </c>
      <c r="R683" s="605" t="n">
        <v>3</v>
      </c>
      <c r="S683" s="605" t="n">
        <v>1</v>
      </c>
      <c r="T683" s="403" t="inlineStr">
        <is>
          <t xml:space="preserve">I2   </t>
        </is>
      </c>
      <c r="U683" s="403" t="n">
        <v>399</v>
      </c>
      <c r="V683" s="404" t="n">
        <v>111770</v>
      </c>
      <c r="W683" s="404" t="n">
        <v>110000</v>
      </c>
      <c r="X683" s="410" t="inlineStr">
        <is>
          <t>7.5:1</t>
        </is>
      </c>
      <c r="Y683" s="404">
        <f>ROUND(J683,-3)</f>
        <v/>
      </c>
      <c r="Z683" s="403" t="inlineStr">
        <is>
          <t xml:space="preserve">C </t>
        </is>
      </c>
      <c r="AA683" s="605" t="n">
        <v>3</v>
      </c>
      <c r="AB683" s="605" t="n">
        <v>3</v>
      </c>
      <c r="AC683" s="378" t="inlineStr">
        <is>
          <t>33</t>
        </is>
      </c>
      <c r="AD683" s="384" t="inlineStr">
        <is>
          <t xml:space="preserve">ARROW STAGE LINES   </t>
        </is>
      </c>
      <c r="AE683" s="145" t="n"/>
      <c r="AF683" s="145" t="n"/>
      <c r="AG683" s="145" t="n"/>
      <c r="AH683" s="145" t="n"/>
      <c r="AI683" s="145" t="n"/>
      <c r="AJ683" s="145" t="n"/>
      <c r="AK683" s="145" t="inlineStr">
        <is>
          <t xml:space="preserve">S-T WHSE.; YR-TO-YR LEASE.                                        </t>
        </is>
      </c>
      <c r="AL683" s="605">
        <f>IF(AND(ISNUMBER($S683),$S683&gt;0,ISNUMBER($K683),ISNUMBER($J683)),($K683*$J683)/$S683,"")</f>
        <v/>
      </c>
    </row>
    <row r="684" ht="12.75" customHeight="1" s="545">
      <c r="A684" s="388" t="n">
        <v>8</v>
      </c>
      <c r="B684" s="605" t="n">
        <v>676</v>
      </c>
      <c r="C684" s="384" t="inlineStr">
        <is>
          <t>2009Q</t>
        </is>
      </c>
      <c r="D684" s="605" t="inlineStr">
        <is>
          <t xml:space="preserve">01252-00-095-000 </t>
        </is>
      </c>
      <c r="E684" s="407" t="inlineStr">
        <is>
          <t>Actual</t>
        </is>
      </c>
      <c r="F684" s="605" t="inlineStr">
        <is>
          <t>3751   REVERE               ST</t>
        </is>
      </c>
      <c r="G684" s="392" t="n">
        <v>44.1</v>
      </c>
      <c r="H684" s="378" t="n">
        <v>9104</v>
      </c>
      <c r="I684" s="403" t="n">
        <v>0</v>
      </c>
      <c r="J684" s="404" t="n">
        <v>54662</v>
      </c>
      <c r="K684" s="408" t="n">
        <v>5.10189894259266</v>
      </c>
      <c r="L684" s="409" t="n">
        <v>0</v>
      </c>
      <c r="M684" s="409" t="n">
        <v>0.13075157773953</v>
      </c>
      <c r="N684" s="378" t="n">
        <v>1980</v>
      </c>
      <c r="O684" s="393" t="n">
        <v>3736</v>
      </c>
      <c r="Q684" s="605" t="n">
        <v>27</v>
      </c>
      <c r="R684" s="605" t="n">
        <v>14</v>
      </c>
      <c r="S684" s="605" t="n">
        <v>1</v>
      </c>
      <c r="T684" s="403" t="inlineStr">
        <is>
          <t xml:space="preserve">I2   </t>
        </is>
      </c>
      <c r="U684" s="403" t="n">
        <v>398</v>
      </c>
      <c r="V684" s="404" t="n">
        <v>99319</v>
      </c>
      <c r="W684" s="404" t="n">
        <v>100000</v>
      </c>
      <c r="X684" s="410" t="inlineStr">
        <is>
          <t>1.8:1</t>
        </is>
      </c>
      <c r="Y684" s="404">
        <f>ROUND(J684,-4)</f>
        <v/>
      </c>
      <c r="Z684" s="403" t="inlineStr">
        <is>
          <t xml:space="preserve">C </t>
        </is>
      </c>
      <c r="AA684" s="605" t="n">
        <v>3</v>
      </c>
      <c r="AB684" s="605" t="n">
        <v>3</v>
      </c>
      <c r="AC684" s="378" t="inlineStr">
        <is>
          <t>33</t>
        </is>
      </c>
      <c r="AD684" s="384" t="inlineStr">
        <is>
          <t xml:space="preserve">CONLEY              </t>
        </is>
      </c>
      <c r="AE684" s="145" t="n"/>
      <c r="AF684" s="145" t="n"/>
      <c r="AG684" s="145" t="n"/>
      <c r="AH684" s="145" t="n"/>
      <c r="AI684" s="145" t="n"/>
      <c r="AJ684" s="145" t="n"/>
      <c r="AK684" s="145" t="inlineStr">
        <is>
          <t xml:space="preserve">M-T WHSE.; 2 TENANTS; LEASES 2006-2007.                           </t>
        </is>
      </c>
      <c r="AL684" s="605">
        <f>IF(AND(ISNUMBER($S684),$S684&gt;0,ISNUMBER($K684),ISNUMBER($J684)),($K684*$J684)/$S684,"")</f>
        <v/>
      </c>
    </row>
    <row r="685" ht="12.75" customHeight="1" s="545">
      <c r="A685" s="388" t="n">
        <v>8</v>
      </c>
      <c r="B685" s="605" t="n">
        <v>677</v>
      </c>
      <c r="C685" s="384" t="inlineStr">
        <is>
          <t>2009W</t>
        </is>
      </c>
      <c r="D685" s="605" t="inlineStr">
        <is>
          <t>01252-03-008-000</t>
        </is>
      </c>
      <c r="E685" s="403" t="inlineStr">
        <is>
          <t>Actual</t>
        </is>
      </c>
      <c r="F685" s="605" t="inlineStr">
        <is>
          <t>12695 E 39th Ave</t>
        </is>
      </c>
      <c r="G685" s="392" t="n">
        <v>44.3</v>
      </c>
      <c r="H685" s="605" t="n">
        <v>9104</v>
      </c>
      <c r="I685" s="403" t="n">
        <v>0</v>
      </c>
      <c r="J685" s="393" t="n">
        <v>153815</v>
      </c>
      <c r="K685" s="154" t="n">
        <v>3.27</v>
      </c>
      <c r="L685" s="153" t="n">
        <v>0</v>
      </c>
      <c r="M685" s="153" t="n">
        <v>0</v>
      </c>
      <c r="N685" s="605" t="n">
        <v>1973</v>
      </c>
      <c r="O685" s="393" t="n">
        <v>6892</v>
      </c>
      <c r="P685" s="605" t="n"/>
      <c r="Q685" s="605" t="n">
        <v>22</v>
      </c>
      <c r="R685" s="605" t="n">
        <v>10</v>
      </c>
      <c r="S685" s="605" t="n">
        <v>3</v>
      </c>
      <c r="T685" s="403" t="inlineStr">
        <is>
          <t>i2</t>
        </is>
      </c>
      <c r="U685" s="605" t="n">
        <v>398</v>
      </c>
      <c r="V685" s="393" t="n">
        <v>270532</v>
      </c>
      <c r="W685" s="393" t="n">
        <v>300000</v>
      </c>
      <c r="X685" s="378" t="inlineStr">
        <is>
          <t>2.0:1</t>
        </is>
      </c>
      <c r="Y685" s="393" t="n">
        <v>150000</v>
      </c>
      <c r="Z685" s="403" t="inlineStr">
        <is>
          <t>C</t>
        </is>
      </c>
      <c r="AA685" s="605" t="n">
        <v>3</v>
      </c>
      <c r="AB685" s="605" t="n">
        <v>3</v>
      </c>
      <c r="AC685" s="605" t="n">
        <v>33</v>
      </c>
      <c r="AD685" s="605" t="inlineStr">
        <is>
          <t>CERTAIN TEED</t>
        </is>
      </c>
      <c r="AE685" s="377" t="n">
        <v>3.27</v>
      </c>
      <c r="AF685" s="413" t="n">
        <v>3.27</v>
      </c>
      <c r="AG685" s="413" t="n">
        <v>3.27</v>
      </c>
      <c r="AH685" s="377" t="n">
        <v>0</v>
      </c>
      <c r="AI685" s="413" t="n">
        <v>0</v>
      </c>
      <c r="AJ685" s="377" t="n"/>
      <c r="AK685" s="605" t="inlineStr">
        <is>
          <t>BASE LEASE ON 54K SQFT AT $3.25</t>
        </is>
      </c>
      <c r="AL685" s="605">
        <f>IF(AND(ISNUMBER($S685),$S685&gt;0,ISNUMBER($K685),ISNUMBER($J685)),($K685*$J685)/$S685,"")</f>
        <v/>
      </c>
    </row>
    <row r="686" ht="12.75" customHeight="1" s="545">
      <c r="A686" s="388" t="n">
        <v>8</v>
      </c>
      <c r="B686" s="605" t="n">
        <v>678</v>
      </c>
      <c r="C686" s="384" t="inlineStr">
        <is>
          <t>2009W</t>
        </is>
      </c>
      <c r="D686" s="605" t="inlineStr">
        <is>
          <t>01252-03-009-000</t>
        </is>
      </c>
      <c r="E686" s="403" t="inlineStr">
        <is>
          <t>Actual</t>
        </is>
      </c>
      <c r="F686" s="605" t="inlineStr">
        <is>
          <t>12850 E. 40th Ave</t>
        </is>
      </c>
      <c r="G686" s="392" t="n">
        <v>44.3</v>
      </c>
      <c r="H686" s="605" t="n">
        <v>9104</v>
      </c>
      <c r="I686" s="403" t="n">
        <v>0</v>
      </c>
      <c r="J686" s="393" t="n">
        <v>200000</v>
      </c>
      <c r="K686" s="154" t="n">
        <v>3.34</v>
      </c>
      <c r="L686" s="153" t="n">
        <v>0.04</v>
      </c>
      <c r="M686" s="153" t="n">
        <v>0</v>
      </c>
      <c r="N686" s="605" t="n">
        <v>1974</v>
      </c>
      <c r="O686" s="393" t="n">
        <v>16178</v>
      </c>
      <c r="P686" s="605" t="n"/>
      <c r="Q686" s="605" t="n">
        <v>22</v>
      </c>
      <c r="R686" s="605" t="n">
        <v>10</v>
      </c>
      <c r="S686" s="605" t="n">
        <v>3</v>
      </c>
      <c r="T686" s="403" t="inlineStr">
        <is>
          <t>I2</t>
        </is>
      </c>
      <c r="U686" s="605" t="n">
        <v>398</v>
      </c>
      <c r="V686" s="393" t="n">
        <v>442561</v>
      </c>
      <c r="W686" s="393" t="n">
        <v>500000</v>
      </c>
      <c r="X686" s="378" t="inlineStr">
        <is>
          <t>2.2:1</t>
        </is>
      </c>
      <c r="Y686" s="393" t="n">
        <v>200000</v>
      </c>
      <c r="Z686" s="403" t="inlineStr">
        <is>
          <t>C</t>
        </is>
      </c>
      <c r="AA686" s="605" t="n">
        <v>2</v>
      </c>
      <c r="AB686" s="605" t="n">
        <v>3</v>
      </c>
      <c r="AC686" s="605" t="n">
        <v>23</v>
      </c>
      <c r="AD686" s="605" t="inlineStr">
        <is>
          <t>Intertech</t>
        </is>
      </c>
      <c r="AE686" s="377" t="n">
        <v>3.34</v>
      </c>
      <c r="AF686" s="413">
        <f>AE686*0.96</f>
        <v/>
      </c>
      <c r="AG686" s="413" t="n">
        <v>3.21</v>
      </c>
      <c r="AH686" s="377" t="n">
        <v>0</v>
      </c>
      <c r="AI686" s="413" t="n">
        <v>0</v>
      </c>
      <c r="AJ686" s="377" t="n">
        <v>0</v>
      </c>
      <c r="AK686" s="605" t="inlineStr">
        <is>
          <t>10 to 15 year old long term leases</t>
        </is>
      </c>
      <c r="AL686" s="605">
        <f>IF(AND(ISNUMBER($S686),$S686&gt;0,ISNUMBER($K686),ISNUMBER($J686)),($K686*$J686)/$S686,"")</f>
        <v/>
      </c>
    </row>
    <row r="687" ht="12.75" customHeight="1" s="545">
      <c r="A687" s="388" t="n">
        <v>8</v>
      </c>
      <c r="B687" s="605" t="n">
        <v>679</v>
      </c>
      <c r="C687" s="384" t="inlineStr">
        <is>
          <t>2009Q</t>
        </is>
      </c>
      <c r="D687" s="605" t="inlineStr">
        <is>
          <t xml:space="preserve">01261-00-013-000 </t>
        </is>
      </c>
      <c r="E687" s="407" t="inlineStr">
        <is>
          <t>Actual</t>
        </is>
      </c>
      <c r="F687" s="605" t="inlineStr">
        <is>
          <t>3737   PEORIA               ST</t>
        </is>
      </c>
      <c r="G687" s="392" t="n">
        <v>44.2</v>
      </c>
      <c r="H687" s="378" t="n">
        <v>9104</v>
      </c>
      <c r="I687" s="403" t="n">
        <v>3</v>
      </c>
      <c r="J687" s="404" t="n">
        <v>16875</v>
      </c>
      <c r="K687" s="408" t="n">
        <v>8.177777777777781</v>
      </c>
      <c r="L687" s="409" t="n">
        <v>0.634074074074074</v>
      </c>
      <c r="M687" s="409" t="n">
        <v>0.07546376811594201</v>
      </c>
      <c r="N687" s="378" t="n">
        <v>1973</v>
      </c>
      <c r="O687" s="393">
        <f>1172*2</f>
        <v/>
      </c>
      <c r="Q687" s="605" t="n">
        <v>20</v>
      </c>
      <c r="R687" s="605" t="n">
        <v>10</v>
      </c>
      <c r="S687" s="605" t="n">
        <v>2</v>
      </c>
      <c r="T687" s="403" t="inlineStr">
        <is>
          <t xml:space="preserve">I2   </t>
        </is>
      </c>
      <c r="U687" s="403" t="n">
        <v>398</v>
      </c>
      <c r="V687" s="404" t="n">
        <v>31803</v>
      </c>
      <c r="W687" s="404" t="n">
        <v>32000</v>
      </c>
      <c r="X687" s="410" t="inlineStr">
        <is>
          <t>1.9:1</t>
        </is>
      </c>
      <c r="Y687" s="404">
        <f>ROUND(J687,-3)</f>
        <v/>
      </c>
      <c r="Z687" s="403" t="inlineStr">
        <is>
          <t xml:space="preserve">C </t>
        </is>
      </c>
      <c r="AA687" s="605" t="n">
        <v>3</v>
      </c>
      <c r="AB687" s="605" t="n">
        <v>3</v>
      </c>
      <c r="AC687" s="378" t="inlineStr">
        <is>
          <t>33</t>
        </is>
      </c>
      <c r="AD687" s="384" t="inlineStr">
        <is>
          <t xml:space="preserve">GOODYEAR            </t>
        </is>
      </c>
      <c r="AE687" s="145" t="n"/>
      <c r="AF687" s="145" t="n"/>
      <c r="AG687" s="145" t="n"/>
      <c r="AH687" s="145" t="n"/>
      <c r="AI687" s="145" t="n"/>
      <c r="AJ687" s="145" t="n"/>
      <c r="AK687" s="145" t="inlineStr">
        <is>
          <t xml:space="preserve">S-T WHSE.                                                         </t>
        </is>
      </c>
      <c r="AL687" s="605">
        <f>IF(AND(ISNUMBER($S687),$S687&gt;0,ISNUMBER($K687),ISNUMBER($J687)),($K687*$J687)/$S687,"")</f>
        <v/>
      </c>
    </row>
    <row r="688" ht="12.75" customHeight="1" s="545">
      <c r="A688" s="388" t="n">
        <v>8</v>
      </c>
      <c r="B688" s="605" t="n">
        <v>680</v>
      </c>
      <c r="C688" s="384" t="inlineStr">
        <is>
          <t>2009Q</t>
        </is>
      </c>
      <c r="D688" s="605" t="inlineStr">
        <is>
          <t xml:space="preserve">01261-00-023-000 </t>
        </is>
      </c>
      <c r="E688" s="407" t="inlineStr">
        <is>
          <t>Actual</t>
        </is>
      </c>
      <c r="F688" s="605" t="inlineStr">
        <is>
          <t>3700   LIMA                 ST</t>
        </is>
      </c>
      <c r="G688" s="392" t="n">
        <v>44.3</v>
      </c>
      <c r="H688" s="378" t="n">
        <v>9104</v>
      </c>
      <c r="I688" s="403" t="n">
        <v>0</v>
      </c>
      <c r="J688" s="404" t="n">
        <v>152503</v>
      </c>
      <c r="K688" s="408" t="n">
        <v>3.25606709376209</v>
      </c>
      <c r="L688" s="409" t="n">
        <v>0</v>
      </c>
      <c r="M688" s="409" t="n">
        <v>0</v>
      </c>
      <c r="N688" s="378" t="n">
        <v>1986</v>
      </c>
      <c r="O688" s="393">
        <f>1428+419</f>
        <v/>
      </c>
      <c r="P688" s="393">
        <f>(2592*2)</f>
        <v/>
      </c>
      <c r="Q688" s="605" t="n">
        <v>22</v>
      </c>
      <c r="R688" s="605" t="n">
        <v>14</v>
      </c>
      <c r="S688" s="605" t="n">
        <v>1</v>
      </c>
      <c r="T688" s="403" t="inlineStr">
        <is>
          <t xml:space="preserve">I2   </t>
        </is>
      </c>
      <c r="U688" s="403" t="n">
        <v>398</v>
      </c>
      <c r="V688" s="404" t="n">
        <v>192587</v>
      </c>
      <c r="W688" s="404" t="n">
        <v>190000</v>
      </c>
      <c r="X688" s="410" t="inlineStr">
        <is>
          <t>1.3:1</t>
        </is>
      </c>
      <c r="Y688" s="404">
        <f>ROUND(J688,-4)</f>
        <v/>
      </c>
      <c r="Z688" s="403" t="inlineStr">
        <is>
          <t xml:space="preserve">C </t>
        </is>
      </c>
      <c r="AA688" s="605" t="n">
        <v>3</v>
      </c>
      <c r="AB688" s="605" t="n">
        <v>3</v>
      </c>
      <c r="AC688" s="378" t="inlineStr">
        <is>
          <t>33</t>
        </is>
      </c>
      <c r="AD688" s="384" t="inlineStr">
        <is>
          <t xml:space="preserve">S-W DELINE BOX      </t>
        </is>
      </c>
      <c r="AE688" s="145" t="n"/>
      <c r="AF688" s="145" t="n"/>
      <c r="AG688" s="145" t="n"/>
      <c r="AH688" s="145" t="n"/>
      <c r="AI688" s="145" t="n"/>
      <c r="AJ688" s="145" t="n"/>
      <c r="AK688" s="145" t="inlineStr">
        <is>
          <t xml:space="preserve">S-T WHSE.; 2006 LEASE.                                            </t>
        </is>
      </c>
      <c r="AL688" s="605">
        <f>IF(AND(ISNUMBER($S688),$S688&gt;0,ISNUMBER($K688),ISNUMBER($J688)),($K688*$J688)/$S688,"")</f>
        <v/>
      </c>
    </row>
    <row r="689" ht="12.75" customHeight="1" s="545">
      <c r="A689" s="388" t="n">
        <v>8</v>
      </c>
      <c r="B689" s="605" t="n">
        <v>681</v>
      </c>
      <c r="C689" s="384" t="inlineStr">
        <is>
          <t>2009Q</t>
        </is>
      </c>
      <c r="D689" s="605" t="inlineStr">
        <is>
          <t xml:space="preserve">01333-27-011-000 </t>
        </is>
      </c>
      <c r="E689" s="407" t="inlineStr">
        <is>
          <t>Actual</t>
        </is>
      </c>
      <c r="F689" s="605" t="inlineStr">
        <is>
          <t>1521   SYRACUSE             ST</t>
        </is>
      </c>
      <c r="G689" s="392" t="n">
        <v>44.1</v>
      </c>
      <c r="H689" s="378" t="n">
        <v>9101</v>
      </c>
      <c r="I689" s="403" t="n">
        <v>0</v>
      </c>
      <c r="J689" s="404" t="n">
        <v>983</v>
      </c>
      <c r="K689" s="408" t="n">
        <v>5.59511698880977</v>
      </c>
      <c r="L689" s="409" t="n">
        <v>0</v>
      </c>
      <c r="M689" s="409" t="n">
        <v>0.147090909090909</v>
      </c>
      <c r="N689" s="378" t="n">
        <v>1990</v>
      </c>
      <c r="Q689" s="605" t="n">
        <v>15</v>
      </c>
      <c r="R689" s="605" t="n">
        <v>3</v>
      </c>
      <c r="S689" s="605" t="n">
        <v>1</v>
      </c>
      <c r="T689" s="403" t="inlineStr">
        <is>
          <t xml:space="preserve">R1   </t>
        </is>
      </c>
      <c r="U689" s="403" t="n">
        <v>398</v>
      </c>
      <c r="V689" s="404" t="n">
        <v>5050</v>
      </c>
      <c r="W689" s="404" t="n">
        <v>5000</v>
      </c>
      <c r="X689" s="410" t="inlineStr">
        <is>
          <t>5.1:1</t>
        </is>
      </c>
      <c r="Y689" s="404">
        <f>ROUND(J689,-2)</f>
        <v/>
      </c>
      <c r="Z689" s="403" t="inlineStr">
        <is>
          <t xml:space="preserve">C </t>
        </is>
      </c>
      <c r="AA689" s="605" t="n">
        <v>3</v>
      </c>
      <c r="AB689" s="605" t="n">
        <v>3</v>
      </c>
      <c r="AC689" s="378" t="inlineStr">
        <is>
          <t>33</t>
        </is>
      </c>
      <c r="AD689" s="384" t="inlineStr">
        <is>
          <t xml:space="preserve">S-D AUTO STORAGE    </t>
        </is>
      </c>
      <c r="AE689" s="145" t="n"/>
      <c r="AF689" s="145" t="n"/>
      <c r="AG689" s="145" t="n"/>
      <c r="AH689" s="145" t="n"/>
      <c r="AI689" s="145" t="n"/>
      <c r="AJ689" s="145" t="n"/>
      <c r="AK689" s="145" t="n"/>
      <c r="AL689" s="605">
        <f>IF(AND(ISNUMBER($S689),$S689&gt;0,ISNUMBER($K689),ISNUMBER($J689)),($K689*$J689)/$S689,"")</f>
        <v/>
      </c>
    </row>
    <row r="690" ht="12.75" customHeight="1" s="545">
      <c r="A690" s="388" t="n">
        <v>8</v>
      </c>
      <c r="B690" s="605" t="n">
        <v>682</v>
      </c>
      <c r="C690" s="384" t="inlineStr">
        <is>
          <t>2009Q</t>
        </is>
      </c>
      <c r="D690" s="605" t="inlineStr">
        <is>
          <t xml:space="preserve">02131-04-003-000 </t>
        </is>
      </c>
      <c r="E690" s="407" t="inlineStr">
        <is>
          <t>Actual</t>
        </is>
      </c>
      <c r="F690" s="605" t="inlineStr">
        <is>
          <t>5300   MONROE               ST</t>
        </is>
      </c>
      <c r="G690" s="392" t="n">
        <v>44.1</v>
      </c>
      <c r="H690" s="378" t="n">
        <v>9201</v>
      </c>
      <c r="I690" s="403" t="n">
        <v>0</v>
      </c>
      <c r="J690" s="404" t="n">
        <v>15699</v>
      </c>
      <c r="K690" s="408" t="n">
        <v>4.35696541180967</v>
      </c>
      <c r="L690" s="409" t="n">
        <v>0</v>
      </c>
      <c r="M690" s="409" t="n">
        <v>0.484137426900585</v>
      </c>
      <c r="N690" s="378" t="n">
        <v>1964</v>
      </c>
      <c r="O690" s="404" t="n">
        <v>778</v>
      </c>
      <c r="P690" s="404" t="n"/>
      <c r="Q690" s="605" t="n">
        <v>17</v>
      </c>
      <c r="R690" s="605" t="n">
        <v>3</v>
      </c>
      <c r="S690" s="605" t="n">
        <v>1</v>
      </c>
      <c r="T690" s="403" t="inlineStr">
        <is>
          <t xml:space="preserve">I1   </t>
        </is>
      </c>
      <c r="U690" s="403" t="n">
        <v>332</v>
      </c>
      <c r="V690" s="404" t="n">
        <v>25000</v>
      </c>
      <c r="W690" s="404" t="n">
        <v>25000</v>
      </c>
      <c r="X690" s="410" t="inlineStr">
        <is>
          <t>1.6:1</t>
        </is>
      </c>
      <c r="Y690" s="404">
        <f>ROUND(J690,-3)</f>
        <v/>
      </c>
      <c r="Z690" s="403" t="inlineStr">
        <is>
          <t xml:space="preserve">C </t>
        </is>
      </c>
      <c r="AA690" s="605" t="n">
        <v>3</v>
      </c>
      <c r="AB690" s="605" t="n">
        <v>3</v>
      </c>
      <c r="AC690" s="378" t="n">
        <v>33</v>
      </c>
      <c r="AD690" s="384" t="n"/>
      <c r="AE690" s="145" t="n"/>
      <c r="AF690" s="145" t="n"/>
      <c r="AG690" s="145" t="n"/>
      <c r="AH690" s="145" t="n"/>
      <c r="AI690" s="145" t="n"/>
      <c r="AJ690" s="145" t="n"/>
      <c r="AK690" s="145" t="n"/>
      <c r="AL690" s="605">
        <f>IF(AND(ISNUMBER($S690),$S690&gt;0,ISNUMBER($K690),ISNUMBER($J690)),($K690*$J690)/$S690,"")</f>
        <v/>
      </c>
    </row>
    <row r="691" ht="12.75" customHeight="1" s="545">
      <c r="A691" s="388" t="n">
        <v>8</v>
      </c>
      <c r="B691" s="605" t="n">
        <v>683</v>
      </c>
      <c r="C691" s="384" t="inlineStr">
        <is>
          <t>2009Q</t>
        </is>
      </c>
      <c r="D691" s="605" t="inlineStr">
        <is>
          <t xml:space="preserve">02131-06-008-000 </t>
        </is>
      </c>
      <c r="E691" s="407" t="inlineStr">
        <is>
          <t>Actual</t>
        </is>
      </c>
      <c r="F691" s="605" t="inlineStr">
        <is>
          <t>5305   ADAMS                ST</t>
        </is>
      </c>
      <c r="G691" s="392" t="n">
        <v>44.1</v>
      </c>
      <c r="H691" s="378" t="n">
        <v>9201</v>
      </c>
      <c r="I691" s="403" t="n">
        <v>0</v>
      </c>
      <c r="J691" s="404" t="n">
        <v>1007</v>
      </c>
      <c r="K691" s="408" t="n">
        <v>13.1082423038729</v>
      </c>
      <c r="L691" s="409" t="n">
        <v>0</v>
      </c>
      <c r="M691" s="409" t="n">
        <v>0.0833333333333333</v>
      </c>
      <c r="N691" s="378" t="n">
        <v>1932</v>
      </c>
      <c r="Q691" s="605" t="n">
        <v>8</v>
      </c>
      <c r="R691" s="605" t="n">
        <v>2</v>
      </c>
      <c r="S691" s="605" t="n">
        <v>1</v>
      </c>
      <c r="T691" s="403" t="inlineStr">
        <is>
          <t xml:space="preserve">I1   </t>
        </is>
      </c>
      <c r="U691" s="403" t="n">
        <v>398</v>
      </c>
      <c r="V691" s="404" t="n">
        <v>31875</v>
      </c>
      <c r="W691" s="404" t="n">
        <v>32000</v>
      </c>
      <c r="X691" s="410" t="inlineStr">
        <is>
          <t>31.7:1</t>
        </is>
      </c>
      <c r="Y691" s="404">
        <f>ROUND(J691,-2)</f>
        <v/>
      </c>
      <c r="Z691" s="403" t="inlineStr">
        <is>
          <t xml:space="preserve">C </t>
        </is>
      </c>
      <c r="AA691" s="605" t="n">
        <v>3</v>
      </c>
      <c r="AB691" s="605" t="n">
        <v>1</v>
      </c>
      <c r="AC691" s="378" t="inlineStr">
        <is>
          <t>31</t>
        </is>
      </c>
      <c r="AD691" s="384" t="inlineStr">
        <is>
          <t xml:space="preserve">DIST/CONVERSION     </t>
        </is>
      </c>
      <c r="AE691" s="145" t="n"/>
      <c r="AF691" s="145" t="n"/>
      <c r="AG691" s="145" t="n"/>
      <c r="AH691" s="145" t="n"/>
      <c r="AI691" s="145" t="n"/>
      <c r="AJ691" s="145" t="n"/>
      <c r="AK691" s="145" t="inlineStr">
        <is>
          <t xml:space="preserve">S-T WHSE.                                                         </t>
        </is>
      </c>
      <c r="AL691" s="605">
        <f>IF(AND(ISNUMBER($S691),$S691&gt;0,ISNUMBER($K691),ISNUMBER($J691)),($K691*$J691)/$S691,"")</f>
        <v/>
      </c>
    </row>
    <row r="692" ht="12.75" customHeight="1" s="545">
      <c r="A692" s="388" t="n">
        <v>8</v>
      </c>
      <c r="B692" s="605" t="n">
        <v>684</v>
      </c>
      <c r="C692" s="384" t="inlineStr">
        <is>
          <t>2009Q</t>
        </is>
      </c>
      <c r="D692" s="605" t="inlineStr">
        <is>
          <t xml:space="preserve">02131-07-019-000 </t>
        </is>
      </c>
      <c r="E692" s="407" t="inlineStr">
        <is>
          <t>Actual</t>
        </is>
      </c>
      <c r="F692" s="605" t="inlineStr">
        <is>
          <t>5270   STEELE               ST</t>
        </is>
      </c>
      <c r="G692" s="392" t="n">
        <v>44.1</v>
      </c>
      <c r="H692" s="378" t="n">
        <v>9201</v>
      </c>
      <c r="I692" s="403" t="n">
        <v>0</v>
      </c>
      <c r="J692" s="404" t="n">
        <v>6400</v>
      </c>
      <c r="K692" s="408" t="n">
        <v>3.46875</v>
      </c>
      <c r="L692" s="409" t="n">
        <v>0</v>
      </c>
      <c r="M692" s="409" t="n">
        <v>0.07229729729729729</v>
      </c>
      <c r="N692" s="378" t="n">
        <v>1972</v>
      </c>
      <c r="O692" s="393" t="n">
        <v>360</v>
      </c>
      <c r="Q692" s="605" t="n">
        <v>15</v>
      </c>
      <c r="R692" s="605" t="n">
        <v>7</v>
      </c>
      <c r="S692" s="605" t="n">
        <v>1</v>
      </c>
      <c r="T692" s="403" t="inlineStr">
        <is>
          <t xml:space="preserve">I1   </t>
        </is>
      </c>
      <c r="U692" s="403" t="n">
        <v>398</v>
      </c>
      <c r="V692" s="404" t="n">
        <v>12750</v>
      </c>
      <c r="W692" s="404" t="n">
        <v>13000</v>
      </c>
      <c r="X692" s="410" t="inlineStr">
        <is>
          <t>2.0:1</t>
        </is>
      </c>
      <c r="Y692" s="404">
        <f>ROUND(J692,-3)</f>
        <v/>
      </c>
      <c r="Z692" s="403" t="inlineStr">
        <is>
          <t xml:space="preserve">C </t>
        </is>
      </c>
      <c r="AA692" s="605" t="n">
        <v>3</v>
      </c>
      <c r="AB692" s="605" t="n">
        <v>3</v>
      </c>
      <c r="AC692" s="378" t="inlineStr">
        <is>
          <t>33</t>
        </is>
      </c>
      <c r="AD692" s="384" t="n"/>
      <c r="AE692" s="145" t="n"/>
      <c r="AF692" s="145" t="n"/>
      <c r="AG692" s="145" t="n"/>
      <c r="AH692" s="145" t="n"/>
      <c r="AI692" s="145" t="n"/>
      <c r="AJ692" s="145" t="n"/>
      <c r="AK692" s="145" t="inlineStr">
        <is>
          <t xml:space="preserve">S-T WHSE.; MO-TO-MO LEASE                                         </t>
        </is>
      </c>
      <c r="AL692" s="605">
        <f>IF(AND(ISNUMBER($S692),$S692&gt;0,ISNUMBER($K692),ISNUMBER($J692)),($K692*$J692)/$S692,"")</f>
        <v/>
      </c>
    </row>
    <row r="693" ht="12.75" customHeight="1" s="545">
      <c r="A693" s="388" t="n">
        <v>8</v>
      </c>
      <c r="B693" s="605" t="n">
        <v>685</v>
      </c>
      <c r="C693" s="384" t="inlineStr">
        <is>
          <t>2009Q</t>
        </is>
      </c>
      <c r="D693" s="605" t="inlineStr">
        <is>
          <t xml:space="preserve">02132-00-039-000 </t>
        </is>
      </c>
      <c r="E693" s="407" t="inlineStr">
        <is>
          <t>Actual</t>
        </is>
      </c>
      <c r="F693" s="605" t="inlineStr">
        <is>
          <t>3055 E 52ND                 AV</t>
        </is>
      </c>
      <c r="G693" s="392" t="n">
        <v>44.2</v>
      </c>
      <c r="H693" s="378" t="n">
        <v>9201</v>
      </c>
      <c r="I693" s="403" t="n">
        <v>0</v>
      </c>
      <c r="J693" s="404" t="n">
        <v>24250</v>
      </c>
      <c r="K693" s="408" t="n">
        <v>4.07257731958763</v>
      </c>
      <c r="L693" s="409" t="n">
        <v>0</v>
      </c>
      <c r="M693" s="409" t="n">
        <v>0.120646010530579</v>
      </c>
      <c r="N693" s="378" t="n">
        <v>1963</v>
      </c>
      <c r="O693" s="393" t="n">
        <v>2784</v>
      </c>
      <c r="Q693" s="605" t="n">
        <v>14</v>
      </c>
      <c r="R693" s="605" t="n">
        <v>3</v>
      </c>
      <c r="S693" s="605" t="n">
        <v>5</v>
      </c>
      <c r="T693" s="403" t="inlineStr">
        <is>
          <t xml:space="preserve">I1   </t>
        </is>
      </c>
      <c r="U693" s="403" t="n">
        <v>398</v>
      </c>
      <c r="V693" s="404" t="n">
        <v>58000</v>
      </c>
      <c r="W693" s="404" t="n">
        <v>60000</v>
      </c>
      <c r="X693" s="410" t="inlineStr">
        <is>
          <t>2.4:1</t>
        </is>
      </c>
      <c r="Y693" s="404">
        <f>ROUND(J693,-3)</f>
        <v/>
      </c>
      <c r="Z693" s="403" t="inlineStr">
        <is>
          <t xml:space="preserve">C </t>
        </is>
      </c>
      <c r="AA693" s="605" t="n">
        <v>3</v>
      </c>
      <c r="AB693" s="605" t="n">
        <v>3</v>
      </c>
      <c r="AC693" s="378" t="inlineStr">
        <is>
          <t>33</t>
        </is>
      </c>
      <c r="AD693" s="384" t="inlineStr">
        <is>
          <t xml:space="preserve">DIST/STRGE WHSE     </t>
        </is>
      </c>
      <c r="AE693" s="145" t="n"/>
      <c r="AF693" s="145" t="n"/>
      <c r="AG693" s="145" t="n"/>
      <c r="AH693" s="145" t="n"/>
      <c r="AI693" s="145" t="n"/>
      <c r="AJ693" s="145" t="n"/>
      <c r="AK693" s="145" t="inlineStr">
        <is>
          <t xml:space="preserve">M-T WHSE; 3 TENANTS; LEASES 2006 &amp; 2007.                          </t>
        </is>
      </c>
      <c r="AL693" s="605">
        <f>IF(AND(ISNUMBER($S693),$S693&gt;0,ISNUMBER($K693),ISNUMBER($J693)),($K693*$J693)/$S693,"")</f>
        <v/>
      </c>
    </row>
    <row r="694" ht="12.75" customHeight="1" s="545">
      <c r="A694" s="388" t="n">
        <v>8</v>
      </c>
      <c r="B694" s="605" t="n">
        <v>686</v>
      </c>
      <c r="C694" s="384" t="inlineStr">
        <is>
          <t>2009Q</t>
        </is>
      </c>
      <c r="D694" s="605" t="inlineStr">
        <is>
          <t xml:space="preserve">02134-00-023-000 </t>
        </is>
      </c>
      <c r="E694" s="407" t="inlineStr">
        <is>
          <t>Actual</t>
        </is>
      </c>
      <c r="F694" s="605" t="inlineStr">
        <is>
          <t>5000   VASQUEZ              BV</t>
        </is>
      </c>
      <c r="G694" s="392" t="n">
        <v>44.2</v>
      </c>
      <c r="H694" s="378" t="n">
        <v>9201</v>
      </c>
      <c r="I694" s="403" t="n">
        <v>0</v>
      </c>
      <c r="J694" s="404" t="n">
        <v>43087</v>
      </c>
      <c r="K694" s="408" t="n">
        <v>7.80569545338501</v>
      </c>
      <c r="L694" s="409" t="n">
        <v>0</v>
      </c>
      <c r="M694" s="409" t="n">
        <v>0</v>
      </c>
      <c r="N694" s="378" t="n">
        <v>1950</v>
      </c>
      <c r="O694" s="393" t="n">
        <v>12200</v>
      </c>
      <c r="Q694" s="605" t="n">
        <v>17</v>
      </c>
      <c r="R694" s="605" t="n">
        <v>1</v>
      </c>
      <c r="S694" s="605" t="n">
        <v>1</v>
      </c>
      <c r="T694" s="403" t="inlineStr">
        <is>
          <t xml:space="preserve">I1   </t>
        </is>
      </c>
      <c r="U694" s="403" t="n">
        <v>398</v>
      </c>
      <c r="V694" s="404" t="n">
        <v>195500</v>
      </c>
      <c r="W694" s="404" t="n">
        <v>200000</v>
      </c>
      <c r="X694" s="410" t="inlineStr">
        <is>
          <t>4.5:1</t>
        </is>
      </c>
      <c r="Y694" s="404">
        <f>ROUND(J694,-3)</f>
        <v/>
      </c>
      <c r="Z694" s="403" t="inlineStr">
        <is>
          <t xml:space="preserve">C </t>
        </is>
      </c>
      <c r="AA694" s="605" t="n">
        <v>3</v>
      </c>
      <c r="AB694" s="605" t="n">
        <v>3</v>
      </c>
      <c r="AC694" s="378" t="inlineStr">
        <is>
          <t>33</t>
        </is>
      </c>
      <c r="AD694" s="384" t="inlineStr">
        <is>
          <t xml:space="preserve">POWER MOTIVE        </t>
        </is>
      </c>
      <c r="AE694" s="145" t="n"/>
      <c r="AF694" s="145" t="n"/>
      <c r="AG694" s="145" t="n"/>
      <c r="AH694" s="145" t="n"/>
      <c r="AI694" s="145" t="n"/>
      <c r="AJ694" s="145" t="n"/>
      <c r="AK694" s="145" t="inlineStr">
        <is>
          <t xml:space="preserve">S-T WHSE.; 2005 LEASE                                             </t>
        </is>
      </c>
      <c r="AL694" s="605">
        <f>IF(AND(ISNUMBER($S694),$S694&gt;0,ISNUMBER($K694),ISNUMBER($J694)),($K694*$J694)/$S694,"")</f>
        <v/>
      </c>
    </row>
    <row r="695" ht="12.75" customHeight="1" s="545">
      <c r="A695" s="388" t="n">
        <v>8</v>
      </c>
      <c r="B695" s="605" t="n">
        <v>687</v>
      </c>
      <c r="C695" s="384" t="inlineStr">
        <is>
          <t>2009Q</t>
        </is>
      </c>
      <c r="D695" s="605" t="inlineStr">
        <is>
          <t xml:space="preserve">02134-00-090-000 </t>
        </is>
      </c>
      <c r="E695" s="407" t="inlineStr">
        <is>
          <t>Actual</t>
        </is>
      </c>
      <c r="F695" s="605" t="inlineStr">
        <is>
          <t>4901   VASQUEZ              BV</t>
        </is>
      </c>
      <c r="G695" s="392" t="n">
        <v>44.2</v>
      </c>
      <c r="H695" s="378" t="n">
        <v>9201</v>
      </c>
      <c r="I695" s="403" t="n">
        <v>0</v>
      </c>
      <c r="J695" s="404" t="n">
        <v>28581</v>
      </c>
      <c r="K695" s="408" t="n">
        <v>3.51978587173297</v>
      </c>
      <c r="L695" s="409" t="n">
        <v>0</v>
      </c>
      <c r="M695" s="409" t="n">
        <v>0.0457261006570642</v>
      </c>
      <c r="N695" s="378" t="n">
        <v>1967</v>
      </c>
      <c r="O695" s="404" t="n">
        <v>4984</v>
      </c>
      <c r="P695" s="404" t="n"/>
      <c r="Q695" s="605" t="n">
        <v>15</v>
      </c>
      <c r="R695" s="605" t="n">
        <v>4</v>
      </c>
      <c r="S695" s="605" t="n">
        <v>2</v>
      </c>
      <c r="T695" s="403" t="inlineStr">
        <is>
          <t xml:space="preserve">I0   </t>
        </is>
      </c>
      <c r="U695" s="403" t="n">
        <v>332</v>
      </c>
      <c r="V695" s="404" t="n">
        <v>104879</v>
      </c>
      <c r="W695" s="404" t="n">
        <v>100000</v>
      </c>
      <c r="X695" s="410" t="inlineStr">
        <is>
          <t>3.7:1</t>
        </is>
      </c>
      <c r="Y695" s="404">
        <f>ROUND(J695,-3)</f>
        <v/>
      </c>
      <c r="Z695" s="403" t="inlineStr">
        <is>
          <t xml:space="preserve">C </t>
        </is>
      </c>
      <c r="AA695" s="605" t="n">
        <v>3</v>
      </c>
      <c r="AB695" s="605" t="n">
        <v>3</v>
      </c>
      <c r="AC695" s="378" t="n">
        <v>33</v>
      </c>
      <c r="AD695" s="384" t="inlineStr">
        <is>
          <t xml:space="preserve">GOODYEAR TRK ALNMT  </t>
        </is>
      </c>
      <c r="AE695" s="145" t="n"/>
      <c r="AF695" s="145" t="n"/>
      <c r="AG695" s="145" t="n"/>
      <c r="AH695" s="145" t="n"/>
      <c r="AI695" s="145" t="n"/>
      <c r="AJ695" s="145" t="n"/>
      <c r="AK695" s="145" t="n"/>
      <c r="AL695" s="605">
        <f>IF(AND(ISNUMBER($S695),$S695&gt;0,ISNUMBER($K695),ISNUMBER($J695)),($K695*$J695)/$S695,"")</f>
        <v/>
      </c>
    </row>
    <row r="696" ht="12.75" customHeight="1" s="545">
      <c r="A696" s="388" t="n">
        <v>8</v>
      </c>
      <c r="B696" s="605" t="n">
        <v>688</v>
      </c>
      <c r="C696" s="384" t="inlineStr">
        <is>
          <t>2009Q</t>
        </is>
      </c>
      <c r="D696" s="605" t="inlineStr">
        <is>
          <t xml:space="preserve">02134-00-158-000 </t>
        </is>
      </c>
      <c r="E696" s="407" t="inlineStr">
        <is>
          <t>Actual</t>
        </is>
      </c>
      <c r="F696" s="605" t="inlineStr">
        <is>
          <t>5105   COOK                 ST</t>
        </is>
      </c>
      <c r="G696" s="392" t="n">
        <v>44.1</v>
      </c>
      <c r="H696" s="378" t="n">
        <v>9201</v>
      </c>
      <c r="I696" s="403" t="n">
        <v>0</v>
      </c>
      <c r="J696" s="404" t="n">
        <v>29787</v>
      </c>
      <c r="K696" s="408" t="n">
        <v>5.23718400644577</v>
      </c>
      <c r="L696" s="409" t="n">
        <v>0</v>
      </c>
      <c r="M696" s="409" t="n">
        <v>0</v>
      </c>
      <c r="N696" s="378" t="n">
        <v>1983</v>
      </c>
      <c r="O696" s="393" t="n">
        <v>1063</v>
      </c>
      <c r="Q696" s="605" t="n">
        <v>18</v>
      </c>
      <c r="R696" s="605" t="n">
        <v>10</v>
      </c>
      <c r="S696" s="605" t="n">
        <v>1</v>
      </c>
      <c r="T696" s="403" t="inlineStr">
        <is>
          <t xml:space="preserve">I1   </t>
        </is>
      </c>
      <c r="U696" s="403" t="n">
        <v>398</v>
      </c>
      <c r="V696" s="404" t="n">
        <v>130639</v>
      </c>
      <c r="W696" s="404" t="n">
        <v>130000</v>
      </c>
      <c r="X696" s="410" t="inlineStr">
        <is>
          <t>4.4:1</t>
        </is>
      </c>
      <c r="Y696" s="404">
        <f>ROUND(J696,-3)</f>
        <v/>
      </c>
      <c r="Z696" s="403" t="inlineStr">
        <is>
          <t xml:space="preserve">C </t>
        </is>
      </c>
      <c r="AA696" s="605" t="n">
        <v>3</v>
      </c>
      <c r="AB696" s="605" t="n">
        <v>3</v>
      </c>
      <c r="AC696" s="378" t="inlineStr">
        <is>
          <t>33</t>
        </is>
      </c>
      <c r="AD696" s="384" t="inlineStr">
        <is>
          <t xml:space="preserve">SAMS PRODUCE        </t>
        </is>
      </c>
      <c r="AE696" s="145" t="n"/>
      <c r="AF696" s="145" t="n"/>
      <c r="AG696" s="145" t="n"/>
      <c r="AH696" s="145" t="n"/>
      <c r="AI696" s="145" t="n"/>
      <c r="AJ696" s="145" t="n"/>
      <c r="AK696" s="145" t="inlineStr">
        <is>
          <t xml:space="preserve">S-T WHSE.; AGE OF LEASE UNKNOWN.                                  </t>
        </is>
      </c>
      <c r="AL696" s="605">
        <f>IF(AND(ISNUMBER($S696),$S696&gt;0,ISNUMBER($K696),ISNUMBER($J696)),($K696*$J696)/$S696,"")</f>
        <v/>
      </c>
    </row>
    <row r="697" ht="12.75" customHeight="1" s="545">
      <c r="A697" s="388" t="n">
        <v>8</v>
      </c>
      <c r="B697" s="605" t="n">
        <v>689</v>
      </c>
      <c r="C697" s="384" t="inlineStr">
        <is>
          <t>2009Q</t>
        </is>
      </c>
      <c r="D697" s="605" t="inlineStr">
        <is>
          <t xml:space="preserve">02134-02-035-000 </t>
        </is>
      </c>
      <c r="E697" s="407" t="inlineStr">
        <is>
          <t>Actual</t>
        </is>
      </c>
      <c r="F697" s="605" t="inlineStr">
        <is>
          <t>3650 E 50TH                 AV</t>
        </is>
      </c>
      <c r="G697" s="392" t="n">
        <v>44.2</v>
      </c>
      <c r="H697" s="378" t="n">
        <v>9201</v>
      </c>
      <c r="I697" s="403" t="n">
        <v>0</v>
      </c>
      <c r="J697" s="404" t="n">
        <v>10014</v>
      </c>
      <c r="K697" s="408" t="n">
        <v>5.75194727381666</v>
      </c>
      <c r="L697" s="409" t="n">
        <v>0</v>
      </c>
      <c r="M697" s="409" t="n">
        <v>0</v>
      </c>
      <c r="N697" s="378" t="n">
        <v>1958</v>
      </c>
      <c r="O697" s="393" t="n">
        <v>1620</v>
      </c>
      <c r="Q697" s="605" t="n">
        <v>15</v>
      </c>
      <c r="R697" s="605" t="n">
        <v>1</v>
      </c>
      <c r="S697" s="605" t="n">
        <v>1</v>
      </c>
      <c r="T697" s="403" t="inlineStr">
        <is>
          <t xml:space="preserve">I1   </t>
        </is>
      </c>
      <c r="U697" s="403" t="n">
        <v>398</v>
      </c>
      <c r="V697" s="404" t="n">
        <v>23865</v>
      </c>
      <c r="W697" s="404" t="n">
        <v>24000</v>
      </c>
      <c r="X697" s="410" t="inlineStr">
        <is>
          <t>2.4:1</t>
        </is>
      </c>
      <c r="Y697" s="404">
        <f>ROUND(J697,-3)</f>
        <v/>
      </c>
      <c r="Z697" s="403" t="inlineStr">
        <is>
          <t xml:space="preserve">C </t>
        </is>
      </c>
      <c r="AA697" s="605" t="n">
        <v>3</v>
      </c>
      <c r="AB697" s="605" t="n">
        <v>3</v>
      </c>
      <c r="AC697" s="378" t="inlineStr">
        <is>
          <t>33</t>
        </is>
      </c>
      <c r="AD697" s="384" t="n"/>
      <c r="AE697" s="145" t="n"/>
      <c r="AF697" s="145" t="n"/>
      <c r="AG697" s="145" t="n"/>
      <c r="AH697" s="145" t="n"/>
      <c r="AI697" s="145" t="n"/>
      <c r="AJ697" s="145" t="n"/>
      <c r="AK697" s="145" t="inlineStr">
        <is>
          <t xml:space="preserve">S-T WHSE; CHECKED OWNER-OCC BUT HAS 2008 LEASE DATA.              </t>
        </is>
      </c>
      <c r="AL697" s="605">
        <f>IF(AND(ISNUMBER($S697),$S697&gt;0,ISNUMBER($K697),ISNUMBER($J697)),($K697*$J697)/$S697,"")</f>
        <v/>
      </c>
    </row>
    <row r="698" ht="12.75" customHeight="1" s="545">
      <c r="A698" s="388" t="n">
        <v>8</v>
      </c>
      <c r="B698" s="605" t="n">
        <v>690</v>
      </c>
      <c r="C698" s="384" t="inlineStr">
        <is>
          <t>2009Q</t>
        </is>
      </c>
      <c r="D698" s="605" t="inlineStr">
        <is>
          <t xml:space="preserve">02134-02-036-000 </t>
        </is>
      </c>
      <c r="E698" s="407" t="inlineStr">
        <is>
          <t>Actual</t>
        </is>
      </c>
      <c r="F698" s="605" t="inlineStr">
        <is>
          <t>3625 E 48TH                 AV</t>
        </is>
      </c>
      <c r="G698" s="392" t="n">
        <v>44.2</v>
      </c>
      <c r="H698" s="378" t="n">
        <v>9201</v>
      </c>
      <c r="I698" s="403" t="n">
        <v>0</v>
      </c>
      <c r="J698" s="404" t="n">
        <v>62114</v>
      </c>
      <c r="K698" s="408" t="n">
        <v>1.73873844865892</v>
      </c>
      <c r="L698" s="409" t="n">
        <v>0</v>
      </c>
      <c r="M698" s="409" t="n">
        <v>0.0166666666666667</v>
      </c>
      <c r="N698" s="378" t="n">
        <v>1968</v>
      </c>
      <c r="O698" s="393" t="n">
        <v>7962</v>
      </c>
      <c r="Q698" s="605" t="n">
        <v>17</v>
      </c>
      <c r="R698" s="605" t="n">
        <v>3</v>
      </c>
      <c r="S698" s="605" t="n">
        <v>1</v>
      </c>
      <c r="T698" s="403" t="inlineStr">
        <is>
          <t xml:space="preserve">I1   </t>
        </is>
      </c>
      <c r="U698" s="403" t="n">
        <v>398</v>
      </c>
      <c r="V698" s="404" t="n">
        <v>141100</v>
      </c>
      <c r="W698" s="404" t="n">
        <v>140000</v>
      </c>
      <c r="X698" s="410" t="inlineStr">
        <is>
          <t>2.3:1</t>
        </is>
      </c>
      <c r="Y698" s="404">
        <f>ROUND(J698,-4)</f>
        <v/>
      </c>
      <c r="Z698" s="403" t="inlineStr">
        <is>
          <t xml:space="preserve">C </t>
        </is>
      </c>
      <c r="AA698" s="605" t="n">
        <v>2</v>
      </c>
      <c r="AB698" s="605" t="n">
        <v>2</v>
      </c>
      <c r="AC698" s="378" t="inlineStr">
        <is>
          <t>22</t>
        </is>
      </c>
      <c r="AD698" s="384" t="n"/>
      <c r="AE698" s="145" t="n"/>
      <c r="AF698" s="145" t="n"/>
      <c r="AG698" s="145" t="n"/>
      <c r="AH698" s="145" t="n"/>
      <c r="AI698" s="145" t="n"/>
      <c r="AJ698" s="145" t="n"/>
      <c r="AK698" s="145" t="inlineStr">
        <is>
          <t xml:space="preserve">S-T WHSE.                                                         </t>
        </is>
      </c>
      <c r="AL698" s="605">
        <f>IF(AND(ISNUMBER($S698),$S698&gt;0,ISNUMBER($K698),ISNUMBER($J698)),($K698*$J698)/$S698,"")</f>
        <v/>
      </c>
    </row>
    <row r="699" ht="12.75" customHeight="1" s="545">
      <c r="A699" s="388" t="n">
        <v>8</v>
      </c>
      <c r="B699" s="605" t="n">
        <v>691</v>
      </c>
      <c r="C699" s="384" t="inlineStr">
        <is>
          <t>2009Q</t>
        </is>
      </c>
      <c r="D699" s="605" t="inlineStr">
        <is>
          <t xml:space="preserve">02143-00-032-000 </t>
        </is>
      </c>
      <c r="E699" s="407" t="inlineStr">
        <is>
          <t>Actual</t>
        </is>
      </c>
      <c r="F699" s="605" t="inlineStr">
        <is>
          <t>707 E 50TH                 AV</t>
        </is>
      </c>
      <c r="G699" s="392" t="n">
        <v>45.6</v>
      </c>
      <c r="H699" s="378" t="n">
        <v>9201</v>
      </c>
      <c r="I699" s="403" t="n">
        <v>0</v>
      </c>
      <c r="J699" s="404" t="n">
        <v>15977</v>
      </c>
      <c r="K699" s="408" t="n">
        <v>10.640295424673</v>
      </c>
      <c r="L699" s="409" t="n">
        <v>0</v>
      </c>
      <c r="M699" s="409" t="n">
        <v>0.0271352941176471</v>
      </c>
      <c r="N699" s="378" t="n">
        <v>1956</v>
      </c>
      <c r="O699" s="393" t="n">
        <v>851</v>
      </c>
      <c r="Q699" s="605" t="n">
        <v>15</v>
      </c>
      <c r="R699" s="605" t="n">
        <v>1</v>
      </c>
      <c r="S699" s="605" t="n">
        <v>1</v>
      </c>
      <c r="T699" s="403" t="inlineStr">
        <is>
          <t xml:space="preserve">I1   </t>
        </is>
      </c>
      <c r="U699" s="403" t="n">
        <v>401</v>
      </c>
      <c r="V699" s="404" t="n">
        <v>31600</v>
      </c>
      <c r="W699" s="404" t="n">
        <v>32000</v>
      </c>
      <c r="X699" s="410" t="inlineStr">
        <is>
          <t>2.0:1</t>
        </is>
      </c>
      <c r="Y699" s="404">
        <f>ROUND(J699,-3)</f>
        <v/>
      </c>
      <c r="Z699" s="403" t="inlineStr">
        <is>
          <t xml:space="preserve">C </t>
        </is>
      </c>
      <c r="AA699" s="605" t="n">
        <v>3</v>
      </c>
      <c r="AB699" s="605" t="n">
        <v>3</v>
      </c>
      <c r="AC699" s="378" t="inlineStr">
        <is>
          <t>33</t>
        </is>
      </c>
      <c r="AD699" s="384" t="inlineStr">
        <is>
          <t xml:space="preserve">CASTLE ROCK MEATS   </t>
        </is>
      </c>
      <c r="AE699" s="145" t="n"/>
      <c r="AF699" s="145" t="n"/>
      <c r="AG699" s="145" t="n"/>
      <c r="AH699" s="145" t="n"/>
      <c r="AI699" s="145" t="n"/>
      <c r="AJ699" s="145" t="n"/>
      <c r="AK699" s="145" t="inlineStr">
        <is>
          <t xml:space="preserve">S-T INDUSTRIAL BLDG; LEASE DATES FROM 2002.                       </t>
        </is>
      </c>
      <c r="AL699" s="605">
        <f>IF(AND(ISNUMBER($S699),$S699&gt;0,ISNUMBER($K699),ISNUMBER($J699)),($K699*$J699)/$S699,"")</f>
        <v/>
      </c>
    </row>
    <row r="700" ht="12.75" customHeight="1" s="545">
      <c r="A700" s="388" t="n">
        <v>8</v>
      </c>
      <c r="B700" s="605" t="n">
        <v>692</v>
      </c>
      <c r="C700" s="384" t="inlineStr">
        <is>
          <t>2009Q</t>
        </is>
      </c>
      <c r="D700" s="605" t="inlineStr">
        <is>
          <t xml:space="preserve">02143-00-149-000 </t>
        </is>
      </c>
      <c r="E700" s="407" t="inlineStr">
        <is>
          <t>Actual</t>
        </is>
      </c>
      <c r="F700" s="605" t="inlineStr">
        <is>
          <t>4950   WASHINGTON           ST</t>
        </is>
      </c>
      <c r="G700" s="392" t="n">
        <v>44.1</v>
      </c>
      <c r="H700" s="378" t="n">
        <v>9201</v>
      </c>
      <c r="I700" s="403" t="n">
        <v>0</v>
      </c>
      <c r="J700" s="404" t="n">
        <v>19989</v>
      </c>
      <c r="K700" s="408" t="n">
        <v>4.32237730751914</v>
      </c>
      <c r="L700" s="409" t="n">
        <v>0</v>
      </c>
      <c r="M700" s="409" t="n">
        <v>0</v>
      </c>
      <c r="N700" s="378" t="n">
        <v>1948</v>
      </c>
      <c r="O700" s="393">
        <f>2865*2</f>
        <v/>
      </c>
      <c r="Q700" s="605" t="n">
        <v>18</v>
      </c>
      <c r="R700" s="605" t="n">
        <v>1</v>
      </c>
      <c r="S700" s="605" t="n">
        <v>1</v>
      </c>
      <c r="T700" s="403" t="inlineStr">
        <is>
          <t xml:space="preserve">I2   </t>
        </is>
      </c>
      <c r="U700" s="403" t="n">
        <v>398</v>
      </c>
      <c r="V700" s="404" t="n">
        <v>100554</v>
      </c>
      <c r="W700" s="404" t="n">
        <v>100000</v>
      </c>
      <c r="X700" s="410" t="inlineStr">
        <is>
          <t>5.0:1</t>
        </is>
      </c>
      <c r="Y700" s="404">
        <f>ROUND(J700,-3)</f>
        <v/>
      </c>
      <c r="Z700" s="403" t="inlineStr">
        <is>
          <t xml:space="preserve">C </t>
        </is>
      </c>
      <c r="AA700" s="605" t="n">
        <v>2</v>
      </c>
      <c r="AB700" s="605" t="n">
        <v>2</v>
      </c>
      <c r="AC700" s="378" t="inlineStr">
        <is>
          <t>22</t>
        </is>
      </c>
      <c r="AD700" s="384" t="n"/>
      <c r="AE700" s="145" t="n"/>
      <c r="AF700" s="145" t="n"/>
      <c r="AG700" s="145" t="n"/>
      <c r="AH700" s="145" t="n"/>
      <c r="AI700" s="145" t="n"/>
      <c r="AJ700" s="145" t="n"/>
      <c r="AK700" s="145" t="inlineStr">
        <is>
          <t xml:space="preserve">PORTION OF OWNER-OCC WHSE; ASSUMED TO BE NET                      </t>
        </is>
      </c>
      <c r="AL700" s="605">
        <f>IF(AND(ISNUMBER($S700),$S700&gt;0,ISNUMBER($K700),ISNUMBER($J700)),($K700*$J700)/$S700,"")</f>
        <v/>
      </c>
    </row>
    <row r="701" ht="12.75" customHeight="1" s="545">
      <c r="A701" s="388" t="n">
        <v>8</v>
      </c>
      <c r="B701" s="605" t="n">
        <v>693</v>
      </c>
      <c r="C701" s="384" t="inlineStr">
        <is>
          <t>2009Q</t>
        </is>
      </c>
      <c r="D701" s="605" t="inlineStr">
        <is>
          <t xml:space="preserve">02143-05-061-000 </t>
        </is>
      </c>
      <c r="E701" s="407" t="inlineStr">
        <is>
          <t>Actual</t>
        </is>
      </c>
      <c r="F701" s="605" t="inlineStr">
        <is>
          <t>5169   CLARKSON             ST</t>
        </is>
      </c>
      <c r="G701" s="392" t="n">
        <v>44.2</v>
      </c>
      <c r="H701" s="378" t="n">
        <v>9201</v>
      </c>
      <c r="I701" s="403" t="n">
        <v>0</v>
      </c>
      <c r="J701" s="404" t="n">
        <v>3247</v>
      </c>
      <c r="K701" s="408" t="n">
        <v>22.1743147520788</v>
      </c>
      <c r="L701" s="409" t="n">
        <v>0</v>
      </c>
      <c r="M701" s="409" t="n">
        <v>0</v>
      </c>
      <c r="N701" s="378" t="n">
        <v>1979</v>
      </c>
      <c r="O701" s="393" t="n">
        <v>1224</v>
      </c>
      <c r="P701" s="393" t="n">
        <v>697</v>
      </c>
      <c r="Q701" s="605" t="n">
        <v>10</v>
      </c>
      <c r="R701" s="605" t="n">
        <v>1</v>
      </c>
      <c r="S701" s="605" t="n">
        <v>1</v>
      </c>
      <c r="T701" s="403" t="inlineStr">
        <is>
          <t xml:space="preserve">I1   </t>
        </is>
      </c>
      <c r="U701" s="403" t="n">
        <v>397</v>
      </c>
      <c r="V701" s="404" t="n">
        <v>9380</v>
      </c>
      <c r="W701" s="404" t="n">
        <v>9000</v>
      </c>
      <c r="X701" s="410" t="inlineStr">
        <is>
          <t>2.9:1</t>
        </is>
      </c>
      <c r="Y701" s="404">
        <f>ROUND(J701,-3)</f>
        <v/>
      </c>
      <c r="Z701" s="403" t="inlineStr">
        <is>
          <t xml:space="preserve">C </t>
        </is>
      </c>
      <c r="AA701" s="605" t="n">
        <v>3</v>
      </c>
      <c r="AB701" s="605" t="n">
        <v>3</v>
      </c>
      <c r="AC701" s="378" t="inlineStr">
        <is>
          <t>33</t>
        </is>
      </c>
      <c r="AD701" s="384" t="inlineStr">
        <is>
          <t xml:space="preserve">MEZA CONSTRUCTION   </t>
        </is>
      </c>
      <c r="AE701" s="145" t="n"/>
      <c r="AF701" s="145" t="n"/>
      <c r="AG701" s="145" t="n"/>
      <c r="AH701" s="145" t="n"/>
      <c r="AI701" s="145" t="n"/>
      <c r="AJ701" s="145" t="n"/>
      <c r="AK701" s="145" t="inlineStr">
        <is>
          <t xml:space="preserve">S-T WHSE.                                                         </t>
        </is>
      </c>
      <c r="AL701" s="605">
        <f>IF(AND(ISNUMBER($S701),$S701&gt;0,ISNUMBER($K701),ISNUMBER($J701)),($K701*$J701)/$S701,"")</f>
        <v/>
      </c>
    </row>
    <row r="702" ht="12.75" customHeight="1" s="545">
      <c r="A702" s="388" t="n">
        <v>8</v>
      </c>
      <c r="B702" s="605" t="n">
        <v>694</v>
      </c>
      <c r="C702" s="384" t="inlineStr">
        <is>
          <t>2009Q</t>
        </is>
      </c>
      <c r="D702" s="605" t="inlineStr">
        <is>
          <t xml:space="preserve">02144-00-098-000 </t>
        </is>
      </c>
      <c r="E702" s="407" t="inlineStr">
        <is>
          <t>Actual</t>
        </is>
      </c>
      <c r="F702" s="605" t="inlineStr">
        <is>
          <t>5150   RACE                 CT</t>
        </is>
      </c>
      <c r="G702" s="392" t="n">
        <v>44.2</v>
      </c>
      <c r="H702" s="378" t="n">
        <v>9201</v>
      </c>
      <c r="I702" s="403" t="n">
        <v>0</v>
      </c>
      <c r="J702" s="404" t="n">
        <v>27624</v>
      </c>
      <c r="K702" s="408" t="n">
        <v>7.62380538662033</v>
      </c>
      <c r="L702" s="409" t="n">
        <v>0</v>
      </c>
      <c r="M702" s="409" t="n">
        <v>0</v>
      </c>
      <c r="N702" s="378" t="n">
        <v>1999</v>
      </c>
      <c r="O702" s="393" t="n">
        <v>4027</v>
      </c>
      <c r="P702" s="393" t="n">
        <v>1052</v>
      </c>
      <c r="Q702" s="605" t="n">
        <v>19</v>
      </c>
      <c r="R702" s="605" t="n">
        <v>3</v>
      </c>
      <c r="S702" s="605" t="n">
        <v>1</v>
      </c>
      <c r="T702" s="403" t="inlineStr">
        <is>
          <t xml:space="preserve">I2   </t>
        </is>
      </c>
      <c r="U702" s="403" t="n">
        <v>398</v>
      </c>
      <c r="V702" s="404" t="n">
        <v>144374</v>
      </c>
      <c r="W702" s="404" t="n">
        <v>140000</v>
      </c>
      <c r="X702" s="410" t="inlineStr">
        <is>
          <t>5.2:1</t>
        </is>
      </c>
      <c r="Y702" s="404">
        <f>ROUND(J702,-3)</f>
        <v/>
      </c>
      <c r="Z702" s="403" t="inlineStr">
        <is>
          <t xml:space="preserve">C </t>
        </is>
      </c>
      <c r="AA702" s="605" t="n">
        <v>3</v>
      </c>
      <c r="AB702" s="605" t="n">
        <v>3</v>
      </c>
      <c r="AC702" s="378" t="inlineStr">
        <is>
          <t>33</t>
        </is>
      </c>
      <c r="AD702" s="384" t="inlineStr">
        <is>
          <t xml:space="preserve">S-W                 </t>
        </is>
      </c>
      <c r="AE702" s="145" t="n"/>
      <c r="AF702" s="145" t="n"/>
      <c r="AG702" s="145" t="n"/>
      <c r="AH702" s="145" t="n"/>
      <c r="AI702" s="145" t="n"/>
      <c r="AJ702" s="145" t="n"/>
      <c r="AK702" s="145" t="inlineStr">
        <is>
          <t xml:space="preserve">S-T WHSE; 2006 LEASE.                                             </t>
        </is>
      </c>
      <c r="AL702" s="605">
        <f>IF(AND(ISNUMBER($S702),$S702&gt;0,ISNUMBER($K702),ISNUMBER($J702)),($K702*$J702)/$S702,"")</f>
        <v/>
      </c>
    </row>
    <row r="703" ht="12.75" customHeight="1" s="545">
      <c r="A703" s="388" t="n">
        <v>8</v>
      </c>
      <c r="B703" s="605" t="n">
        <v>695</v>
      </c>
      <c r="C703" s="384" t="inlineStr">
        <is>
          <t>2009Q</t>
        </is>
      </c>
      <c r="D703" s="605" t="inlineStr">
        <is>
          <t xml:space="preserve">02144-00-110-000 </t>
        </is>
      </c>
      <c r="E703" s="407" t="inlineStr">
        <is>
          <t>Actual</t>
        </is>
      </c>
      <c r="F703" s="605" t="inlineStr">
        <is>
          <t>5130   FRANKLIN             ST</t>
        </is>
      </c>
      <c r="G703" s="392" t="n">
        <v>44.1</v>
      </c>
      <c r="H703" s="378" t="n">
        <v>9201</v>
      </c>
      <c r="I703" s="403" t="n">
        <v>0</v>
      </c>
      <c r="J703" s="404" t="n">
        <v>21422</v>
      </c>
      <c r="K703" s="408" t="n">
        <v>4.1844832415274</v>
      </c>
      <c r="L703" s="409" t="n">
        <v>0</v>
      </c>
      <c r="M703" s="409" t="n">
        <v>0</v>
      </c>
      <c r="N703" s="378" t="n">
        <v>1983</v>
      </c>
      <c r="O703" s="393" t="n">
        <v>2148</v>
      </c>
      <c r="Q703" s="605" t="n">
        <v>20</v>
      </c>
      <c r="R703" s="605" t="n">
        <v>1</v>
      </c>
      <c r="S703" s="605" t="n">
        <v>1</v>
      </c>
      <c r="T703" s="403" t="inlineStr">
        <is>
          <t xml:space="preserve">I2   </t>
        </is>
      </c>
      <c r="U703" s="403" t="n">
        <v>398</v>
      </c>
      <c r="V703" s="404" t="n">
        <v>59113</v>
      </c>
      <c r="W703" s="404" t="n">
        <v>60000</v>
      </c>
      <c r="X703" s="410" t="inlineStr">
        <is>
          <t>2.8:1</t>
        </is>
      </c>
      <c r="Y703" s="404">
        <f>ROUND(J703,-3)</f>
        <v/>
      </c>
      <c r="Z703" s="403" t="inlineStr">
        <is>
          <t xml:space="preserve">C </t>
        </is>
      </c>
      <c r="AA703" s="605" t="n">
        <v>3</v>
      </c>
      <c r="AB703" s="605" t="n">
        <v>3</v>
      </c>
      <c r="AC703" s="378" t="inlineStr">
        <is>
          <t>33</t>
        </is>
      </c>
      <c r="AD703" s="384" t="n"/>
      <c r="AE703" s="145" t="n"/>
      <c r="AF703" s="145" t="n"/>
      <c r="AG703" s="145" t="n"/>
      <c r="AH703" s="145" t="n"/>
      <c r="AI703" s="145" t="n"/>
      <c r="AJ703" s="145" t="n"/>
      <c r="AK703" s="145" t="inlineStr">
        <is>
          <t xml:space="preserve">S-T WHSE; 2006 LEASE.                                             </t>
        </is>
      </c>
      <c r="AL703" s="605">
        <f>IF(AND(ISNUMBER($S703),$S703&gt;0,ISNUMBER($K703),ISNUMBER($J703)),($K703*$J703)/$S703,"")</f>
        <v/>
      </c>
    </row>
    <row r="704" ht="12.75" customHeight="1" s="545">
      <c r="A704" s="388" t="n">
        <v>8</v>
      </c>
      <c r="B704" s="605" t="n">
        <v>696</v>
      </c>
      <c r="C704" s="384" t="inlineStr">
        <is>
          <t>2009W</t>
        </is>
      </c>
      <c r="D704" s="605" t="inlineStr">
        <is>
          <t>02144-04-005-T/B</t>
        </is>
      </c>
      <c r="E704" s="403" t="inlineStr">
        <is>
          <t>Actual</t>
        </is>
      </c>
      <c r="F704" s="605" t="inlineStr">
        <is>
          <t>4800 RACE ST</t>
        </is>
      </c>
      <c r="G704" s="392" t="n">
        <v>44.2</v>
      </c>
      <c r="H704" s="605" t="n">
        <v>9201</v>
      </c>
      <c r="I704" s="403" t="n">
        <v>0</v>
      </c>
      <c r="J704" s="393" t="n">
        <v>56859</v>
      </c>
      <c r="K704" s="154" t="n">
        <v>3.96</v>
      </c>
      <c r="L704" s="153" t="n">
        <v>0</v>
      </c>
      <c r="M704" s="153" t="inlineStr">
        <is>
          <t xml:space="preserve">    NNN</t>
        </is>
      </c>
      <c r="N704" s="605" t="n">
        <v>1962</v>
      </c>
      <c r="O704" s="605" t="n">
        <v>6097</v>
      </c>
      <c r="P704" s="605" t="n">
        <v>8921</v>
      </c>
      <c r="Q704" s="605" t="n">
        <v>20</v>
      </c>
      <c r="R704" s="605" t="n">
        <v>3</v>
      </c>
      <c r="S704" s="605" t="n">
        <v>1</v>
      </c>
      <c r="T704" s="403" t="inlineStr">
        <is>
          <t>I2</t>
        </is>
      </c>
      <c r="U704" s="605" t="n">
        <v>398</v>
      </c>
      <c r="V704" s="393" t="n">
        <v>139000</v>
      </c>
      <c r="W704" s="393" t="n">
        <v>140000</v>
      </c>
      <c r="X704" s="378" t="inlineStr">
        <is>
          <t>2.3:1</t>
        </is>
      </c>
      <c r="Y704" s="393" t="n">
        <v>60000</v>
      </c>
      <c r="Z704" s="403" t="inlineStr">
        <is>
          <t>C</t>
        </is>
      </c>
      <c r="AA704" s="605" t="n">
        <v>3</v>
      </c>
      <c r="AB704" s="605" t="n">
        <v>3</v>
      </c>
      <c r="AC704" s="605" t="n">
        <v>33</v>
      </c>
      <c r="AE704" s="377" t="n"/>
      <c r="AF704" s="413" t="n"/>
      <c r="AG704" s="413" t="n"/>
      <c r="AH704" s="377" t="n"/>
      <c r="AI704" s="413" t="n"/>
      <c r="AJ704" s="377" t="n"/>
      <c r="AL704" s="145" t="n"/>
      <c r="AM704" s="145" t="n"/>
      <c r="AN704" s="145" t="n"/>
    </row>
    <row r="705" ht="12.75" customHeight="1" s="545">
      <c r="A705" s="388" t="n">
        <v>8</v>
      </c>
      <c r="B705" s="605" t="n">
        <v>697</v>
      </c>
      <c r="C705" s="384" t="inlineStr">
        <is>
          <t>2009Q</t>
        </is>
      </c>
      <c r="D705" s="605" t="inlineStr">
        <is>
          <t xml:space="preserve">02153-00-047-000 </t>
        </is>
      </c>
      <c r="E705" s="407" t="inlineStr">
        <is>
          <t>Actual</t>
        </is>
      </c>
      <c r="F705" s="605" t="inlineStr">
        <is>
          <t>601 W 50TH                 AV</t>
        </is>
      </c>
      <c r="G705" s="392" t="n">
        <v>44.1</v>
      </c>
      <c r="H705" s="378" t="n">
        <v>9208</v>
      </c>
      <c r="I705" s="403" t="n">
        <v>0</v>
      </c>
      <c r="J705" s="404" t="n">
        <v>95263</v>
      </c>
      <c r="K705" s="408" t="n">
        <v>4.51225554517494</v>
      </c>
      <c r="L705" s="409" t="n">
        <v>0</v>
      </c>
      <c r="M705" s="409" t="n">
        <v>0.0345654657078848</v>
      </c>
      <c r="N705" s="378" t="n">
        <v>1977</v>
      </c>
      <c r="O705" s="393">
        <f>225+1313+397</f>
        <v/>
      </c>
      <c r="Q705" s="605" t="n">
        <v>24</v>
      </c>
      <c r="R705" s="605" t="n">
        <v>1</v>
      </c>
      <c r="S705" s="605" t="n">
        <v>1</v>
      </c>
      <c r="T705" s="403" t="inlineStr">
        <is>
          <t xml:space="preserve">I2   </t>
        </is>
      </c>
      <c r="U705" s="403" t="n">
        <v>398</v>
      </c>
      <c r="V705" s="404" t="n">
        <v>153950</v>
      </c>
      <c r="W705" s="404" t="n">
        <v>150000</v>
      </c>
      <c r="X705" s="410" t="inlineStr">
        <is>
          <t>1.6:1</t>
        </is>
      </c>
      <c r="Y705" s="404">
        <f>ROUND(J705,-4)</f>
        <v/>
      </c>
      <c r="Z705" s="403" t="inlineStr">
        <is>
          <t xml:space="preserve">C </t>
        </is>
      </c>
      <c r="AA705" s="605" t="n">
        <v>3</v>
      </c>
      <c r="AB705" s="605" t="n">
        <v>3</v>
      </c>
      <c r="AC705" s="378" t="inlineStr">
        <is>
          <t>33</t>
        </is>
      </c>
      <c r="AD705" s="384" t="inlineStr">
        <is>
          <t xml:space="preserve">DIST WAREHOUSE      </t>
        </is>
      </c>
      <c r="AE705" s="145" t="n"/>
      <c r="AF705" s="145" t="n"/>
      <c r="AG705" s="145" t="n"/>
      <c r="AH705" s="145" t="n"/>
      <c r="AI705" s="145" t="n"/>
      <c r="AJ705" s="145" t="n"/>
      <c r="AK705" s="145" t="inlineStr">
        <is>
          <t xml:space="preserve">S-T WHSE.; AGE OF LEASE UNKNOWN.                                  </t>
        </is>
      </c>
      <c r="AL705" s="605">
        <f>IF(AND(ISNUMBER($S705),$S705&gt;0,ISNUMBER($K705),ISNUMBER($J705)),($K705*$J705)/$S705,"")</f>
        <v/>
      </c>
    </row>
    <row r="706" ht="12.75" customHeight="1" s="545">
      <c r="A706" s="388" t="n">
        <v>8</v>
      </c>
      <c r="B706" s="605" t="n">
        <v>698</v>
      </c>
      <c r="C706" s="384" t="inlineStr">
        <is>
          <t>2009Q</t>
        </is>
      </c>
      <c r="D706" s="605" t="inlineStr">
        <is>
          <t xml:space="preserve">02153-09-014-000 </t>
        </is>
      </c>
      <c r="E706" s="407" t="inlineStr">
        <is>
          <t>Actual</t>
        </is>
      </c>
      <c r="F706" s="605" t="inlineStr">
        <is>
          <t>4855   BROADWAY             ST</t>
        </is>
      </c>
      <c r="G706" s="392" t="n">
        <v>44.2</v>
      </c>
      <c r="H706" s="378" t="n">
        <v>9201</v>
      </c>
      <c r="I706" s="403" t="n">
        <v>0</v>
      </c>
      <c r="J706" s="404" t="n">
        <v>14000</v>
      </c>
      <c r="K706" s="408" t="n">
        <v>5.27142857142857</v>
      </c>
      <c r="L706" s="409" t="n">
        <v>0</v>
      </c>
      <c r="M706" s="409" t="n">
        <v>0.115704607046071</v>
      </c>
      <c r="N706" s="378" t="n">
        <v>1968</v>
      </c>
      <c r="O706" s="393" t="n">
        <v>1143</v>
      </c>
      <c r="Q706" s="605" t="n">
        <v>18</v>
      </c>
      <c r="R706" s="605" t="n">
        <v>1</v>
      </c>
      <c r="S706" s="605" t="n">
        <v>2</v>
      </c>
      <c r="T706" s="403" t="inlineStr">
        <is>
          <t xml:space="preserve">I1   </t>
        </is>
      </c>
      <c r="U706" s="403" t="n">
        <v>398</v>
      </c>
      <c r="V706" s="404" t="n">
        <v>24000</v>
      </c>
      <c r="W706" s="404" t="n">
        <v>24000</v>
      </c>
      <c r="X706" s="410" t="inlineStr">
        <is>
          <t>1.7:1</t>
        </is>
      </c>
      <c r="Y706" s="404">
        <f>ROUND(J706,-3)</f>
        <v/>
      </c>
      <c r="Z706" s="403" t="inlineStr">
        <is>
          <t xml:space="preserve">C </t>
        </is>
      </c>
      <c r="AA706" s="605" t="n">
        <v>3</v>
      </c>
      <c r="AB706" s="605" t="n">
        <v>3</v>
      </c>
      <c r="AC706" s="378" t="inlineStr">
        <is>
          <t>33</t>
        </is>
      </c>
      <c r="AD706" s="384" t="n"/>
      <c r="AE706" s="145" t="n"/>
      <c r="AF706" s="145" t="n"/>
      <c r="AG706" s="145" t="n"/>
      <c r="AH706" s="145" t="n"/>
      <c r="AI706" s="145" t="n"/>
      <c r="AJ706" s="145" t="n"/>
      <c r="AK706" s="145" t="inlineStr">
        <is>
          <t xml:space="preserve">S-T WHSE.; 2005 LEASE.                                            </t>
        </is>
      </c>
      <c r="AL706" s="605">
        <f>IF(AND(ISNUMBER($S706),$S706&gt;0,ISNUMBER($K706),ISNUMBER($J706)),($K706*$J706)/$S706,"")</f>
        <v/>
      </c>
    </row>
    <row r="707" ht="12.75" customHeight="1" s="545">
      <c r="A707" s="388" t="n">
        <v>8</v>
      </c>
      <c r="B707" s="605" t="n">
        <v>699</v>
      </c>
      <c r="C707" s="384" t="inlineStr">
        <is>
          <t>2009Q</t>
        </is>
      </c>
      <c r="D707" s="605" t="inlineStr">
        <is>
          <t xml:space="preserve">02154-00-045-000 </t>
        </is>
      </c>
      <c r="E707" s="407" t="inlineStr">
        <is>
          <t>Actual</t>
        </is>
      </c>
      <c r="F707" s="605" t="inlineStr">
        <is>
          <t>5055   WASHINGTON           ST</t>
        </is>
      </c>
      <c r="G707" s="392" t="n">
        <v>44.1</v>
      </c>
      <c r="H707" s="378" t="n">
        <v>9201</v>
      </c>
      <c r="I707" s="403" t="n">
        <v>0</v>
      </c>
      <c r="J707" s="404" t="n">
        <v>16140</v>
      </c>
      <c r="K707" s="408" t="n">
        <v>5.57620817843866</v>
      </c>
      <c r="L707" s="409" t="n">
        <v>0</v>
      </c>
      <c r="M707" s="409" t="n">
        <v>0</v>
      </c>
      <c r="N707" s="378" t="n">
        <v>1951</v>
      </c>
      <c r="Q707" s="605" t="n">
        <v>17</v>
      </c>
      <c r="R707" s="605" t="n">
        <v>2</v>
      </c>
      <c r="S707" s="605" t="n">
        <v>1</v>
      </c>
      <c r="T707" s="403" t="inlineStr">
        <is>
          <t xml:space="preserve">I1   </t>
        </is>
      </c>
      <c r="U707" s="403" t="n">
        <v>398</v>
      </c>
      <c r="V707" s="404" t="n">
        <v>47915</v>
      </c>
      <c r="W707" s="404" t="n">
        <v>48000</v>
      </c>
      <c r="X707" s="410" t="inlineStr">
        <is>
          <t>3.0:1</t>
        </is>
      </c>
      <c r="Y707" s="404">
        <f>ROUND(J707,-3)</f>
        <v/>
      </c>
      <c r="Z707" s="403" t="inlineStr">
        <is>
          <t xml:space="preserve">C </t>
        </is>
      </c>
      <c r="AA707" s="605" t="n">
        <v>1</v>
      </c>
      <c r="AB707" s="605" t="n">
        <v>3</v>
      </c>
      <c r="AC707" s="378" t="inlineStr">
        <is>
          <t>13</t>
        </is>
      </c>
      <c r="AD707" s="384" t="inlineStr">
        <is>
          <t>WESTERN WATERPROOFIN</t>
        </is>
      </c>
      <c r="AE707" s="145" t="n"/>
      <c r="AF707" s="145" t="n"/>
      <c r="AG707" s="145" t="n"/>
      <c r="AH707" s="145" t="n"/>
      <c r="AI707" s="145" t="n"/>
      <c r="AJ707" s="145" t="n"/>
      <c r="AK707" s="145" t="inlineStr">
        <is>
          <t xml:space="preserve">S-T WHSE.; 2005 LEASE; WESTERN WATERPROOFING CO.                  </t>
        </is>
      </c>
      <c r="AL707" s="605">
        <f>IF(AND(ISNUMBER($S707),$S707&gt;0,ISNUMBER($K707),ISNUMBER($J707)),($K707*$J707)/$S707,"")</f>
        <v/>
      </c>
    </row>
    <row r="708" ht="12.75" customHeight="1" s="545">
      <c r="A708" s="388" t="n">
        <v>8</v>
      </c>
      <c r="B708" s="605" t="n">
        <v>700</v>
      </c>
      <c r="C708" s="384" t="inlineStr">
        <is>
          <t>2009Q</t>
        </is>
      </c>
      <c r="D708" s="605" t="inlineStr">
        <is>
          <t xml:space="preserve">02154-17-014-000 </t>
        </is>
      </c>
      <c r="E708" s="407" t="inlineStr">
        <is>
          <t>Actual</t>
        </is>
      </c>
      <c r="F708" s="605" t="inlineStr">
        <is>
          <t>4850   BROADWAY             ST</t>
        </is>
      </c>
      <c r="G708" s="392" t="n">
        <v>46.2</v>
      </c>
      <c r="H708" s="378" t="n">
        <v>9201</v>
      </c>
      <c r="I708" s="403" t="n">
        <v>0</v>
      </c>
      <c r="J708" s="404" t="n">
        <v>10354</v>
      </c>
      <c r="K708" s="408" t="n">
        <v>5.27332431910373</v>
      </c>
      <c r="L708" s="409" t="n">
        <v>0</v>
      </c>
      <c r="M708" s="409" t="n">
        <v>0.135201465201465</v>
      </c>
      <c r="N708" s="378" t="n">
        <v>1967</v>
      </c>
      <c r="O708" s="393">
        <f>3174+200</f>
        <v/>
      </c>
      <c r="Q708" s="605" t="n">
        <v>17</v>
      </c>
      <c r="R708" s="605" t="n">
        <v>14</v>
      </c>
      <c r="S708" s="605" t="n">
        <v>3</v>
      </c>
      <c r="T708" s="403" t="inlineStr">
        <is>
          <t xml:space="preserve">I1   </t>
        </is>
      </c>
      <c r="U708" s="403" t="n">
        <v>401</v>
      </c>
      <c r="V708" s="404" t="n">
        <v>21063</v>
      </c>
      <c r="W708" s="404" t="n">
        <v>21000</v>
      </c>
      <c r="X708" s="410" t="inlineStr">
        <is>
          <t>2.0:1</t>
        </is>
      </c>
      <c r="Y708" s="404">
        <f>ROUND(J708,-3)</f>
        <v/>
      </c>
      <c r="Z708" s="403" t="inlineStr">
        <is>
          <t xml:space="preserve">C </t>
        </is>
      </c>
      <c r="AA708" s="605" t="n">
        <v>3</v>
      </c>
      <c r="AB708" s="605" t="n">
        <v>3</v>
      </c>
      <c r="AC708" s="378" t="inlineStr">
        <is>
          <t>33</t>
        </is>
      </c>
      <c r="AD708" s="384" t="n"/>
      <c r="AE708" s="145" t="n"/>
      <c r="AF708" s="145" t="n"/>
      <c r="AG708" s="145" t="n"/>
      <c r="AH708" s="145" t="n"/>
      <c r="AI708" s="145" t="n"/>
      <c r="AJ708" s="145" t="n"/>
      <c r="AK708" s="145" t="inlineStr">
        <is>
          <t xml:space="preserve">M-T WHSE.; 2 TENANTS; LEASES 2005 &amp; 2008.                         </t>
        </is>
      </c>
      <c r="AL708" s="605">
        <f>IF(AND(ISNUMBER($S708),$S708&gt;0,ISNUMBER($K708),ISNUMBER($J708)),($K708*$J708)/$S708,"")</f>
        <v/>
      </c>
    </row>
    <row r="709" ht="12.75" customHeight="1" s="545">
      <c r="A709" s="388" t="n">
        <v>8</v>
      </c>
      <c r="B709" s="605" t="n">
        <v>701</v>
      </c>
      <c r="C709" s="384" t="inlineStr">
        <is>
          <t>2009Q</t>
        </is>
      </c>
      <c r="D709" s="605" t="inlineStr">
        <is>
          <t xml:space="preserve">02154-18-021-000 </t>
        </is>
      </c>
      <c r="E709" s="407" t="inlineStr">
        <is>
          <t>Actual</t>
        </is>
      </c>
      <c r="F709" s="605" t="inlineStr">
        <is>
          <t>4836   LEAF                 CT</t>
        </is>
      </c>
      <c r="G709" s="392" t="n">
        <v>44.1</v>
      </c>
      <c r="H709" s="378" t="n">
        <v>9201</v>
      </c>
      <c r="I709" s="403" t="n">
        <v>0</v>
      </c>
      <c r="J709" s="404" t="n">
        <v>23874</v>
      </c>
      <c r="K709" s="408" t="n">
        <v>5.30283990952501</v>
      </c>
      <c r="L709" s="409" t="n">
        <v>0</v>
      </c>
      <c r="M709" s="409" t="n">
        <v>0.151777251184834</v>
      </c>
      <c r="N709" s="378" t="n">
        <v>1969</v>
      </c>
      <c r="O709" s="393">
        <f>2173+432</f>
        <v/>
      </c>
      <c r="Q709" s="605" t="n">
        <v>23</v>
      </c>
      <c r="R709" s="605" t="n">
        <v>14</v>
      </c>
      <c r="S709" s="605" t="n">
        <v>2</v>
      </c>
      <c r="T709" s="403" t="inlineStr">
        <is>
          <t xml:space="preserve">I0   </t>
        </is>
      </c>
      <c r="U709" s="403" t="n">
        <v>398</v>
      </c>
      <c r="V709" s="404" t="n">
        <v>47500</v>
      </c>
      <c r="W709" s="404" t="n">
        <v>48000</v>
      </c>
      <c r="X709" s="410" t="inlineStr">
        <is>
          <t>2.0:1</t>
        </is>
      </c>
      <c r="Y709" s="404">
        <f>ROUND(J709,-3)</f>
        <v/>
      </c>
      <c r="Z709" s="403" t="inlineStr">
        <is>
          <t xml:space="preserve">C </t>
        </is>
      </c>
      <c r="AA709" s="605" t="n">
        <v>3</v>
      </c>
      <c r="AB709" s="605" t="n">
        <v>3</v>
      </c>
      <c r="AC709" s="378" t="inlineStr">
        <is>
          <t>33</t>
        </is>
      </c>
      <c r="AD709" s="384" t="inlineStr">
        <is>
          <t xml:space="preserve">WAREHOUSE DIST.     </t>
        </is>
      </c>
      <c r="AE709" s="145" t="n"/>
      <c r="AF709" s="145" t="n"/>
      <c r="AG709" s="145" t="n"/>
      <c r="AH709" s="145" t="n"/>
      <c r="AI709" s="145" t="n"/>
      <c r="AJ709" s="145" t="n"/>
      <c r="AK709" s="145" t="inlineStr">
        <is>
          <t xml:space="preserve">S-T WHSE.; 2005 LEASE.                                            </t>
        </is>
      </c>
      <c r="AL709" s="605">
        <f>IF(AND(ISNUMBER($S709),$S709&gt;0,ISNUMBER($K709),ISNUMBER($J709)),($K709*$J709)/$S709,"")</f>
        <v/>
      </c>
    </row>
    <row r="710" ht="12.75" customHeight="1" s="545">
      <c r="A710" s="388" t="n">
        <v>8</v>
      </c>
      <c r="B710" s="605" t="n">
        <v>702</v>
      </c>
      <c r="C710" s="384" t="inlineStr">
        <is>
          <t>2009Q</t>
        </is>
      </c>
      <c r="D710" s="605" t="inlineStr">
        <is>
          <t xml:space="preserve">02154-23-035-000 </t>
        </is>
      </c>
      <c r="E710" s="407" t="inlineStr">
        <is>
          <t>Actual</t>
        </is>
      </c>
      <c r="F710" s="605" t="inlineStr">
        <is>
          <t>4881   WASHINGTON           ST</t>
        </is>
      </c>
      <c r="G710" s="392" t="n">
        <v>47.1</v>
      </c>
      <c r="H710" s="378" t="n">
        <v>9201</v>
      </c>
      <c r="I710" s="403" t="n">
        <v>0</v>
      </c>
      <c r="J710" s="404" t="n">
        <v>1778</v>
      </c>
      <c r="K710" s="408" t="n">
        <v>7.42407199100113</v>
      </c>
      <c r="L710" s="409" t="n">
        <v>0</v>
      </c>
      <c r="M710" s="409" t="n">
        <v>0.0467424242424243</v>
      </c>
      <c r="N710" s="378" t="n">
        <v>1890</v>
      </c>
      <c r="P710" s="393" t="n">
        <v>893</v>
      </c>
      <c r="Q710" s="605" t="n">
        <v>10</v>
      </c>
      <c r="R710" s="605" t="n">
        <v>7</v>
      </c>
      <c r="S710" s="605" t="n">
        <v>1</v>
      </c>
      <c r="T710" s="403" t="inlineStr">
        <is>
          <t xml:space="preserve">I1   </t>
        </is>
      </c>
      <c r="U710" s="403" t="n">
        <v>401</v>
      </c>
      <c r="V710" s="404" t="n">
        <v>9810</v>
      </c>
      <c r="W710" s="404" t="n">
        <v>10000</v>
      </c>
      <c r="X710" s="410" t="inlineStr">
        <is>
          <t>5.5:1</t>
        </is>
      </c>
      <c r="Y710" s="404">
        <f>ROUND(J710,-2)</f>
        <v/>
      </c>
      <c r="Z710" s="403" t="inlineStr">
        <is>
          <t xml:space="preserve">C </t>
        </is>
      </c>
      <c r="AA710" s="605" t="n">
        <v>3</v>
      </c>
      <c r="AB710" s="605" t="n">
        <v>3</v>
      </c>
      <c r="AC710" s="378" t="inlineStr">
        <is>
          <t>33</t>
        </is>
      </c>
      <c r="AD710" s="384" t="n"/>
      <c r="AE710" s="145" t="n"/>
      <c r="AF710" s="145" t="n"/>
      <c r="AG710" s="145" t="n"/>
      <c r="AH710" s="145" t="n"/>
      <c r="AI710" s="145" t="n"/>
      <c r="AJ710" s="145" t="n"/>
      <c r="AK710" s="145" t="inlineStr">
        <is>
          <t xml:space="preserve">S-T INDUSTRIAL; MO-TO-MO LEASE.                                   </t>
        </is>
      </c>
      <c r="AL710" s="605">
        <f>IF(AND(ISNUMBER($S710),$S710&gt;0,ISNUMBER($K710),ISNUMBER($J710)),($K710*$J710)/$S710,"")</f>
        <v/>
      </c>
    </row>
    <row r="711" ht="12.75" customHeight="1" s="545">
      <c r="A711" s="388" t="n">
        <v>8</v>
      </c>
      <c r="B711" s="605" t="n">
        <v>703</v>
      </c>
      <c r="C711" s="384" t="inlineStr">
        <is>
          <t>2009Q</t>
        </is>
      </c>
      <c r="D711" s="605" t="inlineStr">
        <is>
          <t xml:space="preserve">02154-23-038-000 </t>
        </is>
      </c>
      <c r="E711" s="407" t="inlineStr">
        <is>
          <t>Actual</t>
        </is>
      </c>
      <c r="F711" s="605" t="inlineStr">
        <is>
          <t>650 E 49TH                 AV</t>
        </is>
      </c>
      <c r="G711" s="392" t="n">
        <v>44.1</v>
      </c>
      <c r="H711" s="378" t="n">
        <v>9201</v>
      </c>
      <c r="I711" s="403" t="n">
        <v>0</v>
      </c>
      <c r="J711" s="404" t="n">
        <v>6000</v>
      </c>
      <c r="K711" s="408" t="n">
        <v>6.1475</v>
      </c>
      <c r="L711" s="409" t="n">
        <v>0.5</v>
      </c>
      <c r="M711" s="409" t="n">
        <v>0.0813338755591704</v>
      </c>
      <c r="N711" s="378" t="n">
        <v>1980</v>
      </c>
      <c r="O711" s="393" t="n">
        <v>702</v>
      </c>
      <c r="Q711" s="605" t="n">
        <v>14</v>
      </c>
      <c r="R711" s="605" t="n">
        <v>7</v>
      </c>
      <c r="S711" s="605" t="n">
        <v>1</v>
      </c>
      <c r="T711" s="403" t="inlineStr">
        <is>
          <t xml:space="preserve">I1   </t>
        </is>
      </c>
      <c r="U711" s="403" t="n">
        <v>398</v>
      </c>
      <c r="V711" s="404" t="n">
        <v>19115</v>
      </c>
      <c r="W711" s="404" t="n">
        <v>19000</v>
      </c>
      <c r="X711" s="410" t="inlineStr">
        <is>
          <t>3.2:1</t>
        </is>
      </c>
      <c r="Y711" s="404">
        <f>ROUND(J711,-3)</f>
        <v/>
      </c>
      <c r="Z711" s="403" t="inlineStr">
        <is>
          <t xml:space="preserve">C </t>
        </is>
      </c>
      <c r="AA711" s="605" t="n">
        <v>3</v>
      </c>
      <c r="AB711" s="605" t="n">
        <v>3</v>
      </c>
      <c r="AC711" s="378" t="inlineStr">
        <is>
          <t>33</t>
        </is>
      </c>
      <c r="AD711" s="384" t="n"/>
      <c r="AE711" s="145" t="n"/>
      <c r="AF711" s="145" t="n"/>
      <c r="AG711" s="145" t="n"/>
      <c r="AH711" s="145" t="n"/>
      <c r="AI711" s="145" t="n"/>
      <c r="AJ711" s="145" t="n"/>
      <c r="AK711" s="145" t="inlineStr">
        <is>
          <t xml:space="preserve">S-T WHSE.                                                         </t>
        </is>
      </c>
      <c r="AL711" s="605">
        <f>IF(AND(ISNUMBER($S711),$S711&gt;0,ISNUMBER($K711),ISNUMBER($J711)),($K711*$J711)/$S711,"")</f>
        <v/>
      </c>
    </row>
    <row r="712" ht="12.75" customHeight="1" s="545">
      <c r="A712" s="388" t="n">
        <v>8</v>
      </c>
      <c r="B712" s="605" t="n">
        <v>704</v>
      </c>
      <c r="C712" s="384" t="inlineStr">
        <is>
          <t>2009Q</t>
        </is>
      </c>
      <c r="D712" s="605" t="inlineStr">
        <is>
          <t xml:space="preserve">02164-09-026-000 </t>
        </is>
      </c>
      <c r="E712" s="407" t="inlineStr">
        <is>
          <t>Actual</t>
        </is>
      </c>
      <c r="F712" s="605" t="inlineStr">
        <is>
          <t>1440 W 52ND                 AV</t>
        </is>
      </c>
      <c r="G712" s="392" t="n">
        <v>44.2</v>
      </c>
      <c r="H712" s="378" t="n">
        <v>9208</v>
      </c>
      <c r="I712" s="403" t="n">
        <v>0</v>
      </c>
      <c r="J712" s="404" t="n">
        <v>35940</v>
      </c>
      <c r="K712" s="408" t="n">
        <v>4.67445742904841</v>
      </c>
      <c r="L712" s="409" t="n">
        <v>0</v>
      </c>
      <c r="M712" s="409" t="n">
        <v>0.0183690476190476</v>
      </c>
      <c r="N712" s="378" t="n">
        <v>1975</v>
      </c>
      <c r="O712" s="393">
        <f>4481+2571</f>
        <v/>
      </c>
      <c r="S712" s="605" t="n">
        <v>1</v>
      </c>
      <c r="T712" s="403" t="inlineStr">
        <is>
          <t xml:space="preserve">I0   </t>
        </is>
      </c>
      <c r="U712" s="403" t="n">
        <v>398</v>
      </c>
      <c r="V712" s="404" t="n">
        <v>97490</v>
      </c>
      <c r="W712" s="404" t="n">
        <v>100000</v>
      </c>
      <c r="X712" s="410" t="inlineStr">
        <is>
          <t>2.7:1</t>
        </is>
      </c>
      <c r="Y712" s="404">
        <f>ROUND(J712,-3)</f>
        <v/>
      </c>
      <c r="Z712" s="403" t="inlineStr">
        <is>
          <t xml:space="preserve">C </t>
        </is>
      </c>
      <c r="AA712" s="605" t="n">
        <v>3</v>
      </c>
      <c r="AB712" s="605" t="n">
        <v>3</v>
      </c>
      <c r="AC712" s="378" t="inlineStr">
        <is>
          <t>33</t>
        </is>
      </c>
      <c r="AD712" s="384" t="n"/>
      <c r="AE712" s="145" t="n"/>
      <c r="AF712" s="145" t="n"/>
      <c r="AG712" s="145" t="n"/>
      <c r="AH712" s="145" t="n"/>
      <c r="AI712" s="145" t="n"/>
      <c r="AJ712" s="145" t="n"/>
      <c r="AK712" s="145" t="inlineStr">
        <is>
          <t xml:space="preserve">M-T WHSE.; 2 TENANTS.                                             </t>
        </is>
      </c>
      <c r="AL712" s="605">
        <f>IF(AND(ISNUMBER($S712),$S712&gt;0,ISNUMBER($K712),ISNUMBER($J712)),($K712*$J712)/$S712,"")</f>
        <v/>
      </c>
    </row>
    <row r="713" ht="12.75" customHeight="1" s="545">
      <c r="A713" s="388" t="n">
        <v>8</v>
      </c>
      <c r="B713" s="605" t="n">
        <v>705</v>
      </c>
      <c r="C713" s="384" t="inlineStr">
        <is>
          <t>2009Q</t>
        </is>
      </c>
      <c r="D713" s="605" t="inlineStr">
        <is>
          <t xml:space="preserve">02164-09-027-000 </t>
        </is>
      </c>
      <c r="E713" s="407" t="inlineStr">
        <is>
          <t>Actual</t>
        </is>
      </c>
      <c r="F713" s="605" t="inlineStr">
        <is>
          <t>5120   OSAGE                ST</t>
        </is>
      </c>
      <c r="G713" s="392" t="n">
        <v>44.2</v>
      </c>
      <c r="H713" s="378" t="n">
        <v>9208</v>
      </c>
      <c r="I713" s="403" t="n">
        <v>0</v>
      </c>
      <c r="J713" s="404" t="n">
        <v>25864</v>
      </c>
      <c r="K713" s="408" t="n">
        <v>10.4045777915249</v>
      </c>
      <c r="L713" s="409" t="n">
        <v>0</v>
      </c>
      <c r="M713" s="409" t="n">
        <v>0.0574499078423212</v>
      </c>
      <c r="N713" s="378" t="n">
        <v>2005</v>
      </c>
      <c r="O713" s="393">
        <f>6421+2871</f>
        <v/>
      </c>
      <c r="S713" s="605" t="n">
        <v>4</v>
      </c>
      <c r="T713" s="403" t="inlineStr">
        <is>
          <t xml:space="preserve">I0   </t>
        </is>
      </c>
      <c r="U713" s="403" t="n">
        <v>398</v>
      </c>
      <c r="V713" s="404" t="n">
        <v>87400</v>
      </c>
      <c r="W713" s="404" t="n">
        <v>90000</v>
      </c>
      <c r="X713" s="410" t="inlineStr">
        <is>
          <t>3.4:1</t>
        </is>
      </c>
      <c r="Y713" s="404">
        <f>ROUND(J713,-3)</f>
        <v/>
      </c>
      <c r="Z713" s="403" t="inlineStr">
        <is>
          <t xml:space="preserve">C </t>
        </is>
      </c>
      <c r="AA713" s="605" t="n">
        <v>3</v>
      </c>
      <c r="AB713" s="605" t="n">
        <v>3</v>
      </c>
      <c r="AC713" s="378" t="inlineStr">
        <is>
          <t>33</t>
        </is>
      </c>
      <c r="AD713" s="384" t="inlineStr">
        <is>
          <t xml:space="preserve">4-UNIT WAREHOUSE    </t>
        </is>
      </c>
      <c r="AE713" s="145" t="n"/>
      <c r="AF713" s="145" t="n"/>
      <c r="AG713" s="145" t="n"/>
      <c r="AH713" s="145" t="n"/>
      <c r="AI713" s="145" t="n"/>
      <c r="AJ713" s="145" t="n"/>
      <c r="AK713" s="145" t="inlineStr">
        <is>
          <t xml:space="preserve">M-T WHSE; 2 TENANTS; 2005 LEASES.                                 </t>
        </is>
      </c>
      <c r="AL713" s="605">
        <f>IF(AND(ISNUMBER($S713),$S713&gt;0,ISNUMBER($K713),ISNUMBER($J713)),($K713*$J713)/$S713,"")</f>
        <v/>
      </c>
    </row>
    <row r="714" ht="12.75" customHeight="1" s="545">
      <c r="A714" s="388" t="n">
        <v>8</v>
      </c>
      <c r="B714" s="605" t="n">
        <v>706</v>
      </c>
      <c r="C714" s="384" t="inlineStr">
        <is>
          <t>2009Q</t>
        </is>
      </c>
      <c r="D714" s="605" t="inlineStr">
        <is>
          <t xml:space="preserve">02184-17-033-000 </t>
        </is>
      </c>
      <c r="E714" s="407" t="inlineStr">
        <is>
          <t>Actual</t>
        </is>
      </c>
      <c r="F714" s="605" t="inlineStr">
        <is>
          <t>4955   LOWELL               BV</t>
        </is>
      </c>
      <c r="G714" s="392" t="inlineStr">
        <is>
          <t>44.M</t>
        </is>
      </c>
      <c r="H714" s="378" t="n">
        <v>9208</v>
      </c>
      <c r="I714" s="403" t="n">
        <v>0</v>
      </c>
      <c r="J714" s="404" t="n">
        <v>5029</v>
      </c>
      <c r="K714" s="408" t="n">
        <v>7.15848081129449</v>
      </c>
      <c r="L714" s="409" t="n">
        <v>0.21</v>
      </c>
      <c r="M714" s="409" t="n">
        <v>0.248916666666667</v>
      </c>
      <c r="N714" s="378" t="n">
        <v>1936</v>
      </c>
      <c r="P714" s="393" t="n">
        <v>515</v>
      </c>
      <c r="Q714" s="605" t="n">
        <v>12</v>
      </c>
      <c r="R714" s="605" t="n">
        <v>1</v>
      </c>
      <c r="S714" s="605" t="n">
        <v>1</v>
      </c>
      <c r="T714" s="403" t="inlineStr">
        <is>
          <t xml:space="preserve">B2   </t>
        </is>
      </c>
      <c r="U714" s="403" t="n">
        <v>398</v>
      </c>
      <c r="V714" s="404" t="n">
        <v>12500</v>
      </c>
      <c r="W714" s="404" t="n">
        <v>13000</v>
      </c>
      <c r="X714" s="410" t="inlineStr">
        <is>
          <t>3.8:1</t>
        </is>
      </c>
      <c r="Y714" s="404">
        <f>ROUND(J714,-3)</f>
        <v/>
      </c>
      <c r="Z714" s="403" t="inlineStr">
        <is>
          <t xml:space="preserve">C </t>
        </is>
      </c>
      <c r="AA714" s="605" t="n">
        <v>3</v>
      </c>
      <c r="AB714" s="605" t="n">
        <v>3</v>
      </c>
      <c r="AC714" s="378" t="inlineStr">
        <is>
          <t>33</t>
        </is>
      </c>
      <c r="AD714" s="384" t="inlineStr">
        <is>
          <t>S-W SHAWN'S SQUEEGEE</t>
        </is>
      </c>
      <c r="AE714" s="145" t="n"/>
      <c r="AF714" s="145" t="n"/>
      <c r="AG714" s="145" t="n"/>
      <c r="AH714" s="145" t="n"/>
      <c r="AI714" s="145" t="n"/>
      <c r="AJ714" s="145" t="n"/>
      <c r="AK714" s="145" t="inlineStr">
        <is>
          <t xml:space="preserve">M-T WHSE.; 3 TENANTS; AGE OF LEASES UNKNOWN.                      </t>
        </is>
      </c>
      <c r="AL714" s="605">
        <f>IF(AND(ISNUMBER($S714),$S714&gt;0,ISNUMBER($K714),ISNUMBER($J714)),($K714*$J714)/$S714,"")</f>
        <v/>
      </c>
    </row>
    <row r="715" ht="12.75" customHeight="1" s="545">
      <c r="A715" s="388" t="n">
        <v>8</v>
      </c>
      <c r="B715" s="605" t="n">
        <v>707</v>
      </c>
      <c r="C715" s="384" t="inlineStr">
        <is>
          <t>2009Q</t>
        </is>
      </c>
      <c r="D715" s="605" t="inlineStr">
        <is>
          <t xml:space="preserve">02211-00-059-059 </t>
        </is>
      </c>
      <c r="E715" s="407" t="inlineStr">
        <is>
          <t>Actual</t>
        </is>
      </c>
      <c r="F715" s="605" t="inlineStr">
        <is>
          <t>4640   PECOS                ST</t>
        </is>
      </c>
      <c r="G715" s="392" t="n">
        <v>44.8</v>
      </c>
      <c r="H715" s="378" t="n">
        <v>9208</v>
      </c>
      <c r="I715" s="403" t="n">
        <v>0</v>
      </c>
      <c r="J715" s="404" t="n">
        <v>1449</v>
      </c>
      <c r="K715" s="408" t="n">
        <v>7.45341614906832</v>
      </c>
      <c r="L715" s="409" t="n">
        <v>0</v>
      </c>
      <c r="M715" s="409" t="n">
        <v>0</v>
      </c>
      <c r="N715" s="378" t="n">
        <v>2005</v>
      </c>
      <c r="Q715" s="605" t="n">
        <v>9</v>
      </c>
      <c r="R715" s="605" t="n">
        <v>1</v>
      </c>
      <c r="S715" s="605" t="n">
        <v>1</v>
      </c>
      <c r="T715" s="403" t="inlineStr">
        <is>
          <t xml:space="preserve">I0   </t>
        </is>
      </c>
      <c r="U715" s="403" t="n">
        <v>356</v>
      </c>
      <c r="V715" s="404" t="n">
        <v>3521</v>
      </c>
      <c r="W715" s="404" t="n">
        <v>4000</v>
      </c>
      <c r="X715" s="410" t="inlineStr">
        <is>
          <t>2.4:1</t>
        </is>
      </c>
      <c r="Y715" s="404">
        <f>ROUND(J715,-2)</f>
        <v/>
      </c>
      <c r="Z715" s="403" t="inlineStr">
        <is>
          <t xml:space="preserve">C </t>
        </is>
      </c>
      <c r="AA715" s="605" t="n">
        <v>3</v>
      </c>
      <c r="AB715" s="605" t="n">
        <v>3</v>
      </c>
      <c r="AC715" s="378" t="inlineStr">
        <is>
          <t>33</t>
        </is>
      </c>
      <c r="AD715" s="384" t="inlineStr">
        <is>
          <t>PECOS BUSINESS PLAZA</t>
        </is>
      </c>
      <c r="AE715" s="145" t="n"/>
      <c r="AF715" s="145" t="n"/>
      <c r="AG715" s="145" t="n"/>
      <c r="AH715" s="145" t="n"/>
      <c r="AI715" s="145" t="n"/>
      <c r="AJ715" s="145" t="n"/>
      <c r="AK715" s="145" t="inlineStr">
        <is>
          <t xml:space="preserve">WHS CONDO UNIT - S.T.; LEASE 2005?                                </t>
        </is>
      </c>
      <c r="AL715" s="605">
        <f>IF(AND(ISNUMBER($S715),$S715&gt;0,ISNUMBER($K715),ISNUMBER($J715)),($K715*$J715)/$S715,"")</f>
        <v/>
      </c>
    </row>
    <row r="716" ht="12.75" customHeight="1" s="545">
      <c r="A716" s="388" t="n">
        <v>8</v>
      </c>
      <c r="B716" s="605" t="n">
        <v>708</v>
      </c>
      <c r="C716" s="384" t="inlineStr">
        <is>
          <t>2009Q</t>
        </is>
      </c>
      <c r="D716" s="605" t="inlineStr">
        <is>
          <t xml:space="preserve">02211-13-016-000 </t>
        </is>
      </c>
      <c r="E716" s="407" t="inlineStr">
        <is>
          <t>Actual</t>
        </is>
      </c>
      <c r="F716" s="605" t="inlineStr">
        <is>
          <t>4640   LIPAN                ST</t>
        </is>
      </c>
      <c r="G716" s="392" t="n">
        <v>47.1</v>
      </c>
      <c r="H716" s="378" t="n">
        <v>9208</v>
      </c>
      <c r="I716" s="403" t="n">
        <v>0</v>
      </c>
      <c r="J716" s="404" t="n">
        <v>12000</v>
      </c>
      <c r="K716" s="408" t="n">
        <v>10</v>
      </c>
      <c r="L716" s="409" t="n">
        <v>0</v>
      </c>
      <c r="M716" s="409" t="n">
        <v>0.0756333333333333</v>
      </c>
      <c r="N716" s="378" t="n">
        <v>1971</v>
      </c>
      <c r="P716" s="393" t="n">
        <v>2470</v>
      </c>
      <c r="Q716" s="605" t="n">
        <v>16</v>
      </c>
      <c r="R716" s="605" t="n">
        <v>1</v>
      </c>
      <c r="S716" s="605" t="n">
        <v>1</v>
      </c>
      <c r="T716" s="403" t="inlineStr">
        <is>
          <t xml:space="preserve">I1   </t>
        </is>
      </c>
      <c r="U716" s="403" t="n">
        <v>401</v>
      </c>
      <c r="V716" s="404" t="n">
        <v>42630</v>
      </c>
      <c r="W716" s="404" t="n">
        <v>43000</v>
      </c>
      <c r="X716" s="410" t="inlineStr">
        <is>
          <t>3.6:1</t>
        </is>
      </c>
      <c r="Y716" s="404">
        <f>ROUND(J716,-3)</f>
        <v/>
      </c>
      <c r="Z716" s="403" t="inlineStr">
        <is>
          <t xml:space="preserve">C </t>
        </is>
      </c>
      <c r="AA716" s="605" t="n">
        <v>3</v>
      </c>
      <c r="AB716" s="605" t="n">
        <v>3</v>
      </c>
      <c r="AC716" s="378" t="inlineStr">
        <is>
          <t>33</t>
        </is>
      </c>
      <c r="AD716" s="384" t="n"/>
      <c r="AE716" s="145" t="n"/>
      <c r="AF716" s="145" t="n"/>
      <c r="AG716" s="145" t="n"/>
      <c r="AH716" s="145" t="n"/>
      <c r="AI716" s="145" t="n"/>
      <c r="AJ716" s="145" t="n"/>
      <c r="AK716" s="145" t="inlineStr">
        <is>
          <t xml:space="preserve">S-T WHSE; 2006 LEASE.                                             </t>
        </is>
      </c>
      <c r="AL716" s="605">
        <f>IF(AND(ISNUMBER($S716),$S716&gt;0,ISNUMBER($K716),ISNUMBER($J716)),($K716*$J716)/$S716,"")</f>
        <v/>
      </c>
    </row>
    <row r="717" ht="12.75" customHeight="1" s="545">
      <c r="A717" s="388" t="n">
        <v>8</v>
      </c>
      <c r="B717" s="605" t="n">
        <v>709</v>
      </c>
      <c r="C717" s="384" t="inlineStr">
        <is>
          <t>2009Q</t>
        </is>
      </c>
      <c r="D717" s="605" t="inlineStr">
        <is>
          <t xml:space="preserve">02211-13-022-000 </t>
        </is>
      </c>
      <c r="E717" s="407" t="inlineStr">
        <is>
          <t>Actual</t>
        </is>
      </c>
      <c r="F717" s="605" t="inlineStr">
        <is>
          <t>1051 W 46TH                 AV</t>
        </is>
      </c>
      <c r="G717" s="392" t="n">
        <v>44.1</v>
      </c>
      <c r="H717" s="378" t="n">
        <v>9208</v>
      </c>
      <c r="I717" s="403" t="n">
        <v>0</v>
      </c>
      <c r="J717" s="404" t="n">
        <v>4008</v>
      </c>
      <c r="K717" s="408" t="n">
        <v>6.73652694610779</v>
      </c>
      <c r="L717" s="409" t="n">
        <v>0.42</v>
      </c>
      <c r="M717" s="409" t="n">
        <v>0</v>
      </c>
      <c r="N717" s="378" t="n">
        <v>1980</v>
      </c>
      <c r="O717" s="393" t="n">
        <v>484</v>
      </c>
      <c r="Q717" s="605" t="n">
        <v>17</v>
      </c>
      <c r="R717" s="605" t="n">
        <v>3</v>
      </c>
      <c r="S717" s="605" t="n">
        <v>1</v>
      </c>
      <c r="T717" s="403" t="inlineStr">
        <is>
          <t xml:space="preserve">I1   </t>
        </is>
      </c>
      <c r="U717" s="403" t="n">
        <v>398</v>
      </c>
      <c r="V717" s="404" t="n">
        <v>6625</v>
      </c>
      <c r="W717" s="404" t="n">
        <v>7000</v>
      </c>
      <c r="X717" s="410" t="inlineStr">
        <is>
          <t>1.7:1</t>
        </is>
      </c>
      <c r="Y717" s="404">
        <f>ROUND(J717,-3)</f>
        <v/>
      </c>
      <c r="Z717" s="403" t="inlineStr">
        <is>
          <t xml:space="preserve">C </t>
        </is>
      </c>
      <c r="AA717" s="605" t="n">
        <v>3</v>
      </c>
      <c r="AB717" s="605" t="n">
        <v>3</v>
      </c>
      <c r="AC717" s="378" t="inlineStr">
        <is>
          <t>33</t>
        </is>
      </c>
      <c r="AD717" s="384" t="inlineStr">
        <is>
          <t xml:space="preserve">MILE HIGH DOOR SEAL </t>
        </is>
      </c>
      <c r="AE717" s="145" t="n"/>
      <c r="AF717" s="145" t="n"/>
      <c r="AG717" s="145" t="n"/>
      <c r="AH717" s="145" t="n"/>
      <c r="AI717" s="145" t="n"/>
      <c r="AJ717" s="145" t="n"/>
      <c r="AK717" s="145" t="inlineStr">
        <is>
          <t xml:space="preserve">S-T WHSE.; MO-TO-MO LEASE.                                        </t>
        </is>
      </c>
      <c r="AL717" s="605">
        <f>IF(AND(ISNUMBER($S717),$S717&gt;0,ISNUMBER($K717),ISNUMBER($J717)),($K717*$J717)/$S717,"")</f>
        <v/>
      </c>
    </row>
    <row r="718" ht="12.75" customHeight="1" s="545">
      <c r="A718" s="388" t="n">
        <v>8</v>
      </c>
      <c r="B718" s="605" t="n">
        <v>710</v>
      </c>
      <c r="C718" s="384" t="inlineStr">
        <is>
          <t>2009Q</t>
        </is>
      </c>
      <c r="D718" s="605" t="inlineStr">
        <is>
          <t xml:space="preserve">02211-16-021-000 </t>
        </is>
      </c>
      <c r="E718" s="407" t="inlineStr">
        <is>
          <t>Actual</t>
        </is>
      </c>
      <c r="F718" s="605" t="inlineStr">
        <is>
          <t>4535   JASON                ST</t>
        </is>
      </c>
      <c r="G718" s="392" t="n">
        <v>44.1</v>
      </c>
      <c r="H718" s="378" t="n">
        <v>9208</v>
      </c>
      <c r="I718" s="403" t="n">
        <v>0</v>
      </c>
      <c r="J718" s="404" t="n">
        <v>15319</v>
      </c>
      <c r="K718" s="408" t="n">
        <v>3.13336379659247</v>
      </c>
      <c r="L718" s="409" t="n">
        <v>0</v>
      </c>
      <c r="M718" s="409" t="n">
        <v>0.247229166666667</v>
      </c>
      <c r="N718" s="378" t="n">
        <v>1955</v>
      </c>
      <c r="P718" s="393" t="n">
        <v>903</v>
      </c>
      <c r="Q718" s="605" t="n">
        <v>15</v>
      </c>
      <c r="R718" s="605" t="n">
        <v>1</v>
      </c>
      <c r="S718" s="605" t="n">
        <v>1</v>
      </c>
      <c r="T718" s="403" t="inlineStr">
        <is>
          <t xml:space="preserve">I1   </t>
        </is>
      </c>
      <c r="U718" s="403" t="n">
        <v>398</v>
      </c>
      <c r="V718" s="404" t="n">
        <v>42100</v>
      </c>
      <c r="W718" s="404" t="n">
        <v>42000</v>
      </c>
      <c r="X718" s="410" t="inlineStr">
        <is>
          <t>2.7:1</t>
        </is>
      </c>
      <c r="Y718" s="404">
        <f>ROUND(J718,-3)</f>
        <v/>
      </c>
      <c r="Z718" s="403" t="inlineStr">
        <is>
          <t xml:space="preserve">C </t>
        </is>
      </c>
      <c r="AA718" s="605" t="n">
        <v>3</v>
      </c>
      <c r="AB718" s="605" t="n">
        <v>3</v>
      </c>
      <c r="AC718" s="378" t="inlineStr">
        <is>
          <t>33</t>
        </is>
      </c>
      <c r="AD718" s="384" t="inlineStr">
        <is>
          <t>FRONTRANGE REST.SUPP</t>
        </is>
      </c>
      <c r="AE718" s="145" t="n"/>
      <c r="AF718" s="145" t="n"/>
      <c r="AG718" s="145" t="n"/>
      <c r="AH718" s="145" t="n"/>
      <c r="AI718" s="145" t="n"/>
      <c r="AJ718" s="145" t="n"/>
      <c r="AK718" s="145" t="inlineStr">
        <is>
          <t xml:space="preserve">S-T WHSE; AGE OF LEASE UNKNOWN.                                   </t>
        </is>
      </c>
      <c r="AL718" s="605">
        <f>IF(AND(ISNUMBER($S718),$S718&gt;0,ISNUMBER($K718),ISNUMBER($J718)),($K718*$J718)/$S718,"")</f>
        <v/>
      </c>
    </row>
    <row r="719" ht="12.75" customHeight="1" s="545">
      <c r="A719" s="388" t="n">
        <v>8</v>
      </c>
      <c r="B719" s="605" t="n">
        <v>711</v>
      </c>
      <c r="C719" s="384" t="inlineStr">
        <is>
          <t>2009Q</t>
        </is>
      </c>
      <c r="D719" s="605" t="inlineStr">
        <is>
          <t xml:space="preserve">02211-21-014-000 </t>
        </is>
      </c>
      <c r="E719" s="407" t="inlineStr">
        <is>
          <t>Actual</t>
        </is>
      </c>
      <c r="F719" s="605" t="inlineStr">
        <is>
          <t>4455   JASON                ST</t>
        </is>
      </c>
      <c r="G719" s="392" t="n">
        <v>44.1</v>
      </c>
      <c r="H719" s="378" t="n">
        <v>9208</v>
      </c>
      <c r="I719" s="403" t="n">
        <v>0</v>
      </c>
      <c r="J719" s="404" t="n">
        <v>10000</v>
      </c>
      <c r="K719" s="408" t="n">
        <v>5.1716</v>
      </c>
      <c r="L719" s="409" t="n">
        <v>0</v>
      </c>
      <c r="M719" s="409" t="n">
        <v>0</v>
      </c>
      <c r="N719" s="378" t="n">
        <v>1980</v>
      </c>
      <c r="O719" s="393">
        <f>926*2</f>
        <v/>
      </c>
      <c r="Q719" s="605" t="n">
        <v>34</v>
      </c>
      <c r="R719" s="605" t="n">
        <v>1</v>
      </c>
      <c r="S719" s="605" t="n">
        <v>2</v>
      </c>
      <c r="T719" s="403" t="inlineStr">
        <is>
          <t xml:space="preserve">I1   </t>
        </is>
      </c>
      <c r="U719" s="403" t="n">
        <v>398</v>
      </c>
      <c r="V719" s="404" t="n">
        <v>128774</v>
      </c>
      <c r="W719" s="404" t="n">
        <v>130000</v>
      </c>
      <c r="X719" s="410" t="inlineStr">
        <is>
          <t>2.8:1</t>
        </is>
      </c>
      <c r="Y719" s="404">
        <f>ROUND(J719,-3)</f>
        <v/>
      </c>
      <c r="Z719" s="403" t="inlineStr">
        <is>
          <t xml:space="preserve">C </t>
        </is>
      </c>
      <c r="AA719" s="605" t="n">
        <v>3</v>
      </c>
      <c r="AB719" s="605" t="n">
        <v>3</v>
      </c>
      <c r="AC719" s="378" t="inlineStr">
        <is>
          <t>33</t>
        </is>
      </c>
      <c r="AD719" s="384" t="inlineStr">
        <is>
          <t xml:space="preserve">IMAGO GLOBAL COMM   </t>
        </is>
      </c>
      <c r="AE719" s="145" t="n"/>
      <c r="AF719" s="145" t="n"/>
      <c r="AG719" s="145" t="n"/>
      <c r="AH719" s="145" t="n"/>
      <c r="AI719" s="145" t="n"/>
      <c r="AJ719" s="145" t="n"/>
      <c r="AK719" s="145" t="inlineStr">
        <is>
          <t xml:space="preserve">M-T RETAIL; 2 TENANTS; YR-TO-YR LEASE.                            </t>
        </is>
      </c>
      <c r="AL719" s="605">
        <f>IF(AND(ISNUMBER($S719),$S719&gt;0,ISNUMBER($K719),ISNUMBER($J719)),($K719*$J719)/$S719,"")</f>
        <v/>
      </c>
    </row>
    <row r="720" ht="12.75" customHeight="1" s="545">
      <c r="A720" s="388" t="n">
        <v>8</v>
      </c>
      <c r="B720" s="605" t="n">
        <v>712</v>
      </c>
      <c r="C720" s="384" t="inlineStr">
        <is>
          <t>2009Q</t>
        </is>
      </c>
      <c r="D720" s="605" t="inlineStr">
        <is>
          <t xml:space="preserve">02211-22-014-000 </t>
        </is>
      </c>
      <c r="E720" s="407" t="inlineStr">
        <is>
          <t>Actual</t>
        </is>
      </c>
      <c r="F720" s="605" t="inlineStr">
        <is>
          <t>4414   JASON                ST</t>
        </is>
      </c>
      <c r="G720" s="392" t="n">
        <v>44.1</v>
      </c>
      <c r="H720" s="378" t="n">
        <v>9208</v>
      </c>
      <c r="I720" s="403" t="n">
        <v>0</v>
      </c>
      <c r="J720" s="404" t="n">
        <v>4130</v>
      </c>
      <c r="K720" s="408" t="n">
        <v>11.6222760290557</v>
      </c>
      <c r="L720" s="409" t="n">
        <v>0</v>
      </c>
      <c r="M720" s="409" t="n">
        <v>0</v>
      </c>
      <c r="N720" s="378" t="n">
        <v>1973</v>
      </c>
      <c r="O720" s="393">
        <f>590+885</f>
        <v/>
      </c>
      <c r="Q720" s="605" t="n">
        <v>14</v>
      </c>
      <c r="R720" s="605" t="n">
        <v>3</v>
      </c>
      <c r="S720" s="605" t="n">
        <v>1</v>
      </c>
      <c r="T720" s="403" t="inlineStr">
        <is>
          <t xml:space="preserve">I1   </t>
        </is>
      </c>
      <c r="U720" s="403" t="n">
        <v>401</v>
      </c>
      <c r="V720" s="404" t="n">
        <v>6250</v>
      </c>
      <c r="W720" s="404" t="n">
        <v>6000</v>
      </c>
      <c r="X720" s="410" t="inlineStr">
        <is>
          <t>1.5:1</t>
        </is>
      </c>
      <c r="Y720" s="404">
        <f>ROUND(J720,-3)</f>
        <v/>
      </c>
      <c r="Z720" s="403" t="inlineStr">
        <is>
          <t xml:space="preserve">C </t>
        </is>
      </c>
      <c r="AA720" s="605" t="n">
        <v>3</v>
      </c>
      <c r="AB720" s="605" t="n">
        <v>3</v>
      </c>
      <c r="AC720" s="378" t="inlineStr">
        <is>
          <t>33</t>
        </is>
      </c>
      <c r="AD720" s="384" t="inlineStr">
        <is>
          <t xml:space="preserve">S-W                 </t>
        </is>
      </c>
      <c r="AE720" s="145" t="n"/>
      <c r="AF720" s="145" t="n"/>
      <c r="AG720" s="145" t="n"/>
      <c r="AH720" s="145" t="n"/>
      <c r="AI720" s="145" t="n"/>
      <c r="AJ720" s="145" t="n"/>
      <c r="AK720" s="145" t="inlineStr">
        <is>
          <t xml:space="preserve">S-T WHSE.                                                         </t>
        </is>
      </c>
      <c r="AL720" s="605">
        <f>IF(AND(ISNUMBER($S720),$S720&gt;0,ISNUMBER($K720),ISNUMBER($J720)),($K720*$J720)/$S720,"")</f>
        <v/>
      </c>
    </row>
    <row r="721" ht="12.75" customHeight="1" s="545">
      <c r="A721" s="388" t="n">
        <v>8</v>
      </c>
      <c r="B721" s="605" t="n">
        <v>713</v>
      </c>
      <c r="C721" s="384" t="inlineStr">
        <is>
          <t>2009Q</t>
        </is>
      </c>
      <c r="D721" s="605" t="inlineStr">
        <is>
          <t xml:space="preserve">02214-18-011-000 </t>
        </is>
      </c>
      <c r="E721" s="407" t="inlineStr">
        <is>
          <t>Actual</t>
        </is>
      </c>
      <c r="F721" s="605" t="inlineStr">
        <is>
          <t>4101   INCA                 ST</t>
        </is>
      </c>
      <c r="G721" s="392" t="n">
        <v>44.1</v>
      </c>
      <c r="H721" s="378" t="n">
        <v>9208</v>
      </c>
      <c r="I721" s="403" t="n">
        <v>0</v>
      </c>
      <c r="J721" s="404" t="n">
        <v>2320</v>
      </c>
      <c r="K721" s="408" t="n">
        <v>7.75862068965517</v>
      </c>
      <c r="L721" s="409" t="n">
        <v>0</v>
      </c>
      <c r="M721" s="409" t="n">
        <v>0</v>
      </c>
      <c r="N721" s="378" t="n">
        <v>1935</v>
      </c>
      <c r="O721" s="393" t="n">
        <v>1021</v>
      </c>
      <c r="Q721" s="605" t="n">
        <v>17</v>
      </c>
      <c r="R721" s="605" t="n">
        <v>1</v>
      </c>
      <c r="S721" s="605" t="n">
        <v>1</v>
      </c>
      <c r="T721" s="403" t="inlineStr">
        <is>
          <t xml:space="preserve">I1   </t>
        </is>
      </c>
      <c r="U721" s="403" t="n">
        <v>398</v>
      </c>
      <c r="V721" s="404" t="n">
        <v>12500</v>
      </c>
      <c r="W721" s="404" t="n">
        <v>13000</v>
      </c>
      <c r="X721" s="410" t="inlineStr">
        <is>
          <t>5.4:1</t>
        </is>
      </c>
      <c r="Y721" s="404">
        <f>ROUND(J721,-3)</f>
        <v/>
      </c>
      <c r="Z721" s="403" t="inlineStr">
        <is>
          <t xml:space="preserve">C </t>
        </is>
      </c>
      <c r="AA721" s="605" t="n">
        <v>3</v>
      </c>
      <c r="AB721" s="605" t="n">
        <v>3</v>
      </c>
      <c r="AC721" s="378" t="inlineStr">
        <is>
          <t>33</t>
        </is>
      </c>
      <c r="AD721" s="384" t="inlineStr">
        <is>
          <t>S-W COM CITY ELECTRC</t>
        </is>
      </c>
      <c r="AE721" s="145" t="n"/>
      <c r="AF721" s="145" t="n"/>
      <c r="AG721" s="145" t="n"/>
      <c r="AH721" s="145" t="n"/>
      <c r="AI721" s="145" t="n"/>
      <c r="AJ721" s="145" t="n"/>
      <c r="AK721" s="145" t="inlineStr">
        <is>
          <t xml:space="preserve">S-T WHSE.; AGE OF LEASE UNKNOWN.                                  </t>
        </is>
      </c>
      <c r="AL721" s="605">
        <f>IF(AND(ISNUMBER($S721),$S721&gt;0,ISNUMBER($K721),ISNUMBER($J721)),($K721*$J721)/$S721,"")</f>
        <v/>
      </c>
    </row>
    <row r="722" ht="12.75" customHeight="1" s="545">
      <c r="A722" s="388" t="n">
        <v>8</v>
      </c>
      <c r="B722" s="605" t="n">
        <v>714</v>
      </c>
      <c r="C722" s="384" t="inlineStr">
        <is>
          <t>2009Q</t>
        </is>
      </c>
      <c r="D722" s="605" t="inlineStr">
        <is>
          <t xml:space="preserve">02214-41-006-000 </t>
        </is>
      </c>
      <c r="E722" s="407" t="inlineStr">
        <is>
          <t>Actual</t>
        </is>
      </c>
      <c r="F722" s="605" t="inlineStr">
        <is>
          <t>1627 W 38TH                 AV</t>
        </is>
      </c>
      <c r="G722" s="392" t="n">
        <v>44.1</v>
      </c>
      <c r="H722" s="378" t="n">
        <v>9208</v>
      </c>
      <c r="I722" s="403" t="n">
        <v>9</v>
      </c>
      <c r="J722" s="404" t="n">
        <v>6599</v>
      </c>
      <c r="K722" s="408" t="n">
        <v>7.31171389604486</v>
      </c>
      <c r="L722" s="409" t="n">
        <v>0</v>
      </c>
      <c r="M722" s="409" t="n">
        <v>0.0705077720207254</v>
      </c>
      <c r="N722" s="378" t="n">
        <v>1952</v>
      </c>
      <c r="Q722" s="605" t="n">
        <v>12</v>
      </c>
      <c r="R722" s="605" t="n">
        <v>3</v>
      </c>
      <c r="S722" s="605" t="n">
        <v>1</v>
      </c>
      <c r="T722" s="403" t="inlineStr">
        <is>
          <t xml:space="preserve">R2   </t>
        </is>
      </c>
      <c r="U722" s="403" t="n">
        <v>401</v>
      </c>
      <c r="V722" s="404" t="n">
        <v>9440</v>
      </c>
      <c r="W722" s="404" t="n">
        <v>9000</v>
      </c>
      <c r="X722" s="410" t="inlineStr">
        <is>
          <t>1.4:1</t>
        </is>
      </c>
      <c r="Y722" s="404">
        <f>ROUND(J722,-3)</f>
        <v/>
      </c>
      <c r="Z722" s="403" t="inlineStr">
        <is>
          <t xml:space="preserve">C </t>
        </is>
      </c>
      <c r="AA722" s="605" t="n">
        <v>3</v>
      </c>
      <c r="AB722" s="605" t="n">
        <v>3</v>
      </c>
      <c r="AC722" s="378" t="inlineStr">
        <is>
          <t>33</t>
        </is>
      </c>
      <c r="AD722" s="384" t="n"/>
      <c r="AE722" s="145" t="n"/>
      <c r="AF722" s="145" t="n"/>
      <c r="AG722" s="145" t="n"/>
      <c r="AH722" s="145" t="n"/>
      <c r="AI722" s="145" t="n"/>
      <c r="AJ722" s="145" t="n"/>
      <c r="AK722" s="145" t="inlineStr">
        <is>
          <t xml:space="preserve">M-T WHSE; 3 TENANTS; YR-TO-YR LEASES.                             </t>
        </is>
      </c>
      <c r="AL722" s="605">
        <f>IF(AND(ISNUMBER($S722),$S722&gt;0,ISNUMBER($K722),ISNUMBER($J722)),($K722*$J722)/$S722,"")</f>
        <v/>
      </c>
    </row>
    <row r="723" ht="12.75" customHeight="1" s="545">
      <c r="A723" s="388" t="n">
        <v>8</v>
      </c>
      <c r="B723" s="605" t="n">
        <v>715</v>
      </c>
      <c r="C723" s="384" t="inlineStr">
        <is>
          <t>2009Q</t>
        </is>
      </c>
      <c r="D723" s="605" t="inlineStr">
        <is>
          <t xml:space="preserve">02214-44-001-000 </t>
        </is>
      </c>
      <c r="E723" s="407" t="inlineStr">
        <is>
          <t>Actual</t>
        </is>
      </c>
      <c r="F723" s="605" t="inlineStr">
        <is>
          <t>3850   MARIPOSA             ST</t>
        </is>
      </c>
      <c r="G723" s="392" t="n">
        <v>44.1</v>
      </c>
      <c r="H723" s="378" t="n">
        <v>9208</v>
      </c>
      <c r="I723" s="403" t="n">
        <v>0</v>
      </c>
      <c r="J723" s="404" t="n">
        <v>5980</v>
      </c>
      <c r="K723" s="408" t="n">
        <v>8.695652173913039</v>
      </c>
      <c r="L723" s="409" t="n">
        <v>0</v>
      </c>
      <c r="M723" s="409" t="n">
        <v>0.0316538461538462</v>
      </c>
      <c r="N723" s="378" t="n">
        <v>1955</v>
      </c>
      <c r="O723" s="393" t="n">
        <v>1552</v>
      </c>
      <c r="Q723" s="605" t="n">
        <v>13</v>
      </c>
      <c r="R723" s="605" t="n">
        <v>1</v>
      </c>
      <c r="S723" s="605" t="n">
        <v>1</v>
      </c>
      <c r="T723" s="403" t="inlineStr">
        <is>
          <t xml:space="preserve">B4   </t>
        </is>
      </c>
      <c r="U723" s="403" t="n">
        <v>398</v>
      </c>
      <c r="V723" s="404" t="n">
        <v>12535</v>
      </c>
      <c r="W723" s="404" t="n">
        <v>13000</v>
      </c>
      <c r="X723" s="410" t="inlineStr">
        <is>
          <t>2.1:1</t>
        </is>
      </c>
      <c r="Y723" s="404">
        <f>ROUND(J723,-3)</f>
        <v/>
      </c>
      <c r="Z723" s="403" t="inlineStr">
        <is>
          <t xml:space="preserve">C </t>
        </is>
      </c>
      <c r="AA723" s="605" t="n">
        <v>3</v>
      </c>
      <c r="AB723" s="605" t="n">
        <v>3</v>
      </c>
      <c r="AC723" s="378" t="inlineStr">
        <is>
          <t>33</t>
        </is>
      </c>
      <c r="AD723" s="384" t="n"/>
      <c r="AE723" s="145" t="n"/>
      <c r="AF723" s="145" t="n"/>
      <c r="AG723" s="145" t="n"/>
      <c r="AH723" s="145" t="n"/>
      <c r="AI723" s="145" t="n"/>
      <c r="AJ723" s="145" t="n"/>
      <c r="AK723" s="145" t="inlineStr">
        <is>
          <t xml:space="preserve">M-T WHSE. 3 TENANTS; LEASES 2004 - 2008.                          </t>
        </is>
      </c>
      <c r="AL723" s="605">
        <f>IF(AND(ISNUMBER($S723),$S723&gt;0,ISNUMBER($K723),ISNUMBER($J723)),($K723*$J723)/$S723,"")</f>
        <v/>
      </c>
    </row>
    <row r="724" ht="12.75" customHeight="1" s="545">
      <c r="A724" s="388" t="n">
        <v>8</v>
      </c>
      <c r="B724" s="605" t="n">
        <v>716</v>
      </c>
      <c r="C724" s="384" t="inlineStr">
        <is>
          <t>2009Q</t>
        </is>
      </c>
      <c r="D724" s="605" t="inlineStr">
        <is>
          <t xml:space="preserve">02214-47-016-000 </t>
        </is>
      </c>
      <c r="E724" s="407" t="inlineStr">
        <is>
          <t>Actual</t>
        </is>
      </c>
      <c r="F724" s="605" t="inlineStr">
        <is>
          <t>3819   INCA                 ST</t>
        </is>
      </c>
      <c r="G724" s="392" t="n">
        <v>44.1</v>
      </c>
      <c r="H724" s="378" t="n">
        <v>9208</v>
      </c>
      <c r="I724" s="403" t="n">
        <v>0</v>
      </c>
      <c r="J724" s="404" t="n">
        <v>7360</v>
      </c>
      <c r="K724" s="408" t="n">
        <v>5.29891304347826</v>
      </c>
      <c r="L724" s="409" t="n">
        <v>0</v>
      </c>
      <c r="M724" s="409" t="n">
        <v>0.0543589743589744</v>
      </c>
      <c r="N724" s="378" t="n">
        <v>1972</v>
      </c>
      <c r="O724" s="393" t="n">
        <v>430</v>
      </c>
      <c r="Q724" s="605" t="n">
        <v>23</v>
      </c>
      <c r="R724" s="605" t="n">
        <v>3</v>
      </c>
      <c r="S724" s="605" t="n">
        <v>1</v>
      </c>
      <c r="T724" s="403" t="inlineStr">
        <is>
          <t xml:space="preserve">I0   </t>
        </is>
      </c>
      <c r="U724" s="403" t="n">
        <v>398</v>
      </c>
      <c r="V724" s="404" t="n">
        <v>18750</v>
      </c>
      <c r="W724" s="404" t="n">
        <v>19000</v>
      </c>
      <c r="X724" s="410" t="inlineStr">
        <is>
          <t>2.5:1</t>
        </is>
      </c>
      <c r="Y724" s="404">
        <f>ROUND(J724,-3)</f>
        <v/>
      </c>
      <c r="Z724" s="403" t="inlineStr">
        <is>
          <t xml:space="preserve">C </t>
        </is>
      </c>
      <c r="AA724" s="605" t="n">
        <v>3</v>
      </c>
      <c r="AB724" s="605" t="n">
        <v>3</v>
      </c>
      <c r="AC724" s="378" t="inlineStr">
        <is>
          <t>33</t>
        </is>
      </c>
      <c r="AD724" s="384" t="n"/>
      <c r="AE724" s="145" t="n"/>
      <c r="AF724" s="145" t="n"/>
      <c r="AG724" s="145" t="n"/>
      <c r="AH724" s="145" t="n"/>
      <c r="AI724" s="145" t="n"/>
      <c r="AJ724" s="145" t="n"/>
      <c r="AK724" s="145" t="inlineStr">
        <is>
          <t xml:space="preserve">M-T WHSE; 2 TENANTS; LEASES 2000,2004.                            </t>
        </is>
      </c>
      <c r="AL724" s="605">
        <f>IF(AND(ISNUMBER($S724),$S724&gt;0,ISNUMBER($K724),ISNUMBER($J724)),($K724*$J724)/$S724,"")</f>
        <v/>
      </c>
    </row>
    <row r="725" ht="12.75" customHeight="1" s="545">
      <c r="A725" s="388" t="n">
        <v>8</v>
      </c>
      <c r="B725" s="605" t="n">
        <v>717</v>
      </c>
      <c r="C725" s="384" t="inlineStr">
        <is>
          <t>2009Q</t>
        </is>
      </c>
      <c r="D725" s="605" t="inlineStr">
        <is>
          <t xml:space="preserve">02221-01-012-000 </t>
        </is>
      </c>
      <c r="E725" s="407" t="inlineStr">
        <is>
          <t>Actual</t>
        </is>
      </c>
      <c r="F725" s="605" t="inlineStr">
        <is>
          <t>4801   WASHINGTON           ST</t>
        </is>
      </c>
      <c r="G725" s="392" t="n">
        <v>44.1</v>
      </c>
      <c r="H725" s="378" t="n">
        <v>9201</v>
      </c>
      <c r="I725" s="403" t="n">
        <v>0</v>
      </c>
      <c r="J725" s="404" t="n">
        <v>1497</v>
      </c>
      <c r="K725" s="408" t="n">
        <v>24.0480961923848</v>
      </c>
      <c r="L725" s="409" t="n">
        <v>0</v>
      </c>
      <c r="M725" s="409" t="n">
        <v>0</v>
      </c>
      <c r="N725" s="378" t="n">
        <v>1886</v>
      </c>
      <c r="O725" s="393" t="n">
        <v>600</v>
      </c>
      <c r="Q725" s="605" t="n">
        <v>12</v>
      </c>
      <c r="R725" s="605" t="n">
        <v>7</v>
      </c>
      <c r="S725" s="605" t="n">
        <v>1</v>
      </c>
      <c r="T725" s="403" t="inlineStr">
        <is>
          <t xml:space="preserve">I1   </t>
        </is>
      </c>
      <c r="U725" s="403" t="n">
        <v>398</v>
      </c>
      <c r="V725" s="404" t="n">
        <v>6834</v>
      </c>
      <c r="W725" s="404" t="n">
        <v>7000</v>
      </c>
      <c r="X725" s="410" t="inlineStr">
        <is>
          <t>4.6:1</t>
        </is>
      </c>
      <c r="Y725" s="404">
        <f>ROUND(J725,-2)</f>
        <v/>
      </c>
      <c r="Z725" s="403" t="inlineStr">
        <is>
          <t xml:space="preserve">C </t>
        </is>
      </c>
      <c r="AA725" s="605" t="n">
        <v>3</v>
      </c>
      <c r="AB725" s="605" t="n">
        <v>3</v>
      </c>
      <c r="AC725" s="378" t="inlineStr">
        <is>
          <t>33</t>
        </is>
      </c>
      <c r="AD725" s="384" t="inlineStr">
        <is>
          <t xml:space="preserve">S-W POOR BOY AUTO   </t>
        </is>
      </c>
      <c r="AE725" s="145" t="n"/>
      <c r="AF725" s="145" t="n"/>
      <c r="AG725" s="145" t="n"/>
      <c r="AH725" s="145" t="n"/>
      <c r="AI725" s="145" t="n"/>
      <c r="AJ725" s="145" t="n"/>
      <c r="AK725" s="145" t="inlineStr">
        <is>
          <t xml:space="preserve">S-T WHSE.                                                         </t>
        </is>
      </c>
      <c r="AL725" s="605">
        <f>IF(AND(ISNUMBER($S725),$S725&gt;0,ISNUMBER($K725),ISNUMBER($J725)),($K725*$J725)/$S725,"")</f>
        <v/>
      </c>
    </row>
    <row r="726" ht="12.75" customHeight="1" s="545">
      <c r="A726" s="388" t="n">
        <v>8</v>
      </c>
      <c r="B726" s="605" t="n">
        <v>718</v>
      </c>
      <c r="C726" s="384" t="inlineStr">
        <is>
          <t>2009Q</t>
        </is>
      </c>
      <c r="D726" s="605" t="inlineStr">
        <is>
          <t xml:space="preserve">02222-00-048-000 </t>
        </is>
      </c>
      <c r="E726" s="407" t="inlineStr">
        <is>
          <t>Actual</t>
        </is>
      </c>
      <c r="F726" s="605" t="inlineStr">
        <is>
          <t>301 W 45TH                 AV</t>
        </is>
      </c>
      <c r="G726" s="392" t="n">
        <v>44.1</v>
      </c>
      <c r="H726" s="378" t="n">
        <v>9208</v>
      </c>
      <c r="I726" s="403" t="n">
        <v>0</v>
      </c>
      <c r="J726" s="404" t="n">
        <v>13678</v>
      </c>
      <c r="K726" s="408" t="n">
        <v>15.353121801433</v>
      </c>
      <c r="L726" s="409" t="n">
        <v>0</v>
      </c>
      <c r="M726" s="409" t="n">
        <v>0.0193571428571429</v>
      </c>
      <c r="N726" s="378" t="n">
        <v>1963</v>
      </c>
      <c r="O726" s="393" t="n">
        <v>3272</v>
      </c>
      <c r="Q726" s="605" t="n">
        <v>13</v>
      </c>
      <c r="R726" s="605" t="n">
        <v>1</v>
      </c>
      <c r="S726" s="605" t="n">
        <v>1</v>
      </c>
      <c r="T726" s="403" t="inlineStr">
        <is>
          <t xml:space="preserve">I2   </t>
        </is>
      </c>
      <c r="U726" s="403" t="n">
        <v>398</v>
      </c>
      <c r="V726" s="404" t="n">
        <v>29006</v>
      </c>
      <c r="W726" s="404" t="n">
        <v>29000</v>
      </c>
      <c r="X726" s="410" t="inlineStr">
        <is>
          <t>2.1:1</t>
        </is>
      </c>
      <c r="Y726" s="404">
        <f>ROUND(J726,-3)</f>
        <v/>
      </c>
      <c r="Z726" s="403" t="inlineStr">
        <is>
          <t xml:space="preserve">C </t>
        </is>
      </c>
      <c r="AA726" s="605" t="n">
        <v>3</v>
      </c>
      <c r="AB726" s="605" t="n">
        <v>3</v>
      </c>
      <c r="AC726" s="378" t="inlineStr">
        <is>
          <t>33</t>
        </is>
      </c>
      <c r="AD726" s="384" t="inlineStr">
        <is>
          <t>ENV'RNMNTAL DEMO'LTN</t>
        </is>
      </c>
      <c r="AE726" s="145" t="n"/>
      <c r="AF726" s="145" t="n"/>
      <c r="AG726" s="145" t="n"/>
      <c r="AH726" s="145" t="n"/>
      <c r="AI726" s="145" t="n"/>
      <c r="AJ726" s="145" t="n"/>
      <c r="AK726" s="145" t="inlineStr">
        <is>
          <t xml:space="preserve">S-T WHSE.; 2006 LEASE.                                            </t>
        </is>
      </c>
      <c r="AL726" s="605">
        <f>IF(AND(ISNUMBER($S726),$S726&gt;0,ISNUMBER($K726),ISNUMBER($J726)),($K726*$J726)/$S726,"")</f>
        <v/>
      </c>
    </row>
    <row r="727" ht="12.75" customHeight="1" s="545">
      <c r="A727" s="388" t="n">
        <v>8</v>
      </c>
      <c r="B727" s="605" t="n">
        <v>719</v>
      </c>
      <c r="C727" s="384" t="inlineStr">
        <is>
          <t>2009Q</t>
        </is>
      </c>
      <c r="D727" s="605" t="inlineStr">
        <is>
          <t xml:space="preserve">02222-00-063-000 </t>
        </is>
      </c>
      <c r="E727" s="407" t="inlineStr">
        <is>
          <t>Actual</t>
        </is>
      </c>
      <c r="F727" s="605" t="inlineStr">
        <is>
          <t>750 W 48TH                 AV</t>
        </is>
      </c>
      <c r="G727" s="392" t="n">
        <v>44.2</v>
      </c>
      <c r="H727" s="378" t="n">
        <v>9208</v>
      </c>
      <c r="I727" s="403" t="n">
        <v>0</v>
      </c>
      <c r="J727" s="404" t="n">
        <v>11507</v>
      </c>
      <c r="K727" s="408" t="n">
        <v>9.40123403145911</v>
      </c>
      <c r="L727" s="409" t="n">
        <v>0</v>
      </c>
      <c r="M727" s="409" t="n">
        <v>0</v>
      </c>
      <c r="N727" s="378" t="n">
        <v>1967</v>
      </c>
      <c r="O727" s="393" t="n">
        <v>4376</v>
      </c>
      <c r="Q727" s="605" t="n">
        <v>13</v>
      </c>
      <c r="R727" s="605" t="n">
        <v>3</v>
      </c>
      <c r="S727" s="605" t="n">
        <v>1</v>
      </c>
      <c r="T727" s="403" t="inlineStr">
        <is>
          <t xml:space="preserve">I2   </t>
        </is>
      </c>
      <c r="U727" s="403" t="n">
        <v>398</v>
      </c>
      <c r="V727" s="404" t="n">
        <v>72660</v>
      </c>
      <c r="W727" s="404" t="n">
        <v>70000</v>
      </c>
      <c r="X727" s="410" t="inlineStr">
        <is>
          <t>6.3:1</t>
        </is>
      </c>
      <c r="Y727" s="404">
        <f>ROUND(J727,-3)</f>
        <v/>
      </c>
      <c r="Z727" s="403" t="inlineStr">
        <is>
          <t xml:space="preserve">C </t>
        </is>
      </c>
      <c r="AA727" s="605" t="n">
        <v>3</v>
      </c>
      <c r="AB727" s="605" t="n">
        <v>3</v>
      </c>
      <c r="AC727" s="378" t="inlineStr">
        <is>
          <t>33</t>
        </is>
      </c>
      <c r="AD727" s="384" t="inlineStr">
        <is>
          <t>S-D AAA WATERPROOFNG</t>
        </is>
      </c>
      <c r="AE727" s="145" t="n"/>
      <c r="AF727" s="145" t="n"/>
      <c r="AG727" s="145" t="n"/>
      <c r="AH727" s="145" t="n"/>
      <c r="AI727" s="145" t="n"/>
      <c r="AJ727" s="145" t="n"/>
      <c r="AK727" s="145" t="inlineStr">
        <is>
          <t xml:space="preserve">S-T WHSE.                                                         </t>
        </is>
      </c>
      <c r="AL727" s="605">
        <f>IF(AND(ISNUMBER($S727),$S727&gt;0,ISNUMBER($K727),ISNUMBER($J727)),($K727*$J727)/$S727,"")</f>
        <v/>
      </c>
    </row>
    <row r="728" ht="12.75" customHeight="1" s="545">
      <c r="A728" s="388" t="n">
        <v>8</v>
      </c>
      <c r="B728" s="605" t="n">
        <v>720</v>
      </c>
      <c r="C728" s="384" t="inlineStr">
        <is>
          <t>2009Q</t>
        </is>
      </c>
      <c r="D728" s="605" t="inlineStr">
        <is>
          <t xml:space="preserve">02223-12-018-000 </t>
        </is>
      </c>
      <c r="E728" s="407" t="inlineStr">
        <is>
          <t>Actual</t>
        </is>
      </c>
      <c r="F728" s="605" t="inlineStr">
        <is>
          <t>4200   FOX                  ST</t>
        </is>
      </c>
      <c r="G728" s="392" t="n">
        <v>44.1</v>
      </c>
      <c r="H728" s="378" t="n">
        <v>9208</v>
      </c>
      <c r="I728" s="403" t="n">
        <v>0</v>
      </c>
      <c r="J728" s="404" t="n">
        <v>1305</v>
      </c>
      <c r="K728" s="408" t="n">
        <v>5.51724137931035</v>
      </c>
      <c r="L728" s="409" t="n">
        <v>0</v>
      </c>
      <c r="M728" s="409" t="n">
        <v>0.169305555555556</v>
      </c>
      <c r="N728" s="378" t="n">
        <v>1953</v>
      </c>
      <c r="O728" s="393" t="n">
        <v>392</v>
      </c>
      <c r="Q728" s="605" t="n">
        <v>11</v>
      </c>
      <c r="R728" s="605" t="n">
        <v>3</v>
      </c>
      <c r="S728" s="605" t="n">
        <v>1</v>
      </c>
      <c r="T728" s="403" t="inlineStr">
        <is>
          <t xml:space="preserve">I1   </t>
        </is>
      </c>
      <c r="U728" s="403" t="n">
        <v>398</v>
      </c>
      <c r="V728" s="404" t="n">
        <v>7519</v>
      </c>
      <c r="W728" s="404" t="n">
        <v>8000</v>
      </c>
      <c r="X728" s="410" t="inlineStr">
        <is>
          <t>2.4:1</t>
        </is>
      </c>
      <c r="Y728" s="404">
        <f>ROUND(J728,-2)</f>
        <v/>
      </c>
      <c r="Z728" s="403" t="inlineStr">
        <is>
          <t xml:space="preserve">C </t>
        </is>
      </c>
      <c r="AA728" s="605" t="n">
        <v>3</v>
      </c>
      <c r="AB728" s="605" t="n">
        <v>3</v>
      </c>
      <c r="AC728" s="378" t="inlineStr">
        <is>
          <t>33</t>
        </is>
      </c>
      <c r="AD728" s="384" t="inlineStr">
        <is>
          <t xml:space="preserve">S-W                 </t>
        </is>
      </c>
      <c r="AE728" s="145" t="n"/>
      <c r="AF728" s="145" t="n"/>
      <c r="AG728" s="145" t="n"/>
      <c r="AH728" s="145" t="n"/>
      <c r="AI728" s="145" t="n"/>
      <c r="AJ728" s="145" t="n"/>
      <c r="AK728" s="145" t="inlineStr">
        <is>
          <t xml:space="preserve">M-T WHSE.; 2 TENANTS; 2006 LEASE.                                 </t>
        </is>
      </c>
      <c r="AL728" s="605">
        <f>IF(AND(ISNUMBER($S728),$S728&gt;0,ISNUMBER($K728),ISNUMBER($J728)),($K728*$J728)/$S728,"")</f>
        <v/>
      </c>
    </row>
    <row r="729" ht="12.75" customHeight="1" s="545">
      <c r="A729" s="388" t="n">
        <v>8</v>
      </c>
      <c r="B729" s="605" t="n">
        <v>721</v>
      </c>
      <c r="C729" s="384" t="inlineStr">
        <is>
          <t>2009Q</t>
        </is>
      </c>
      <c r="D729" s="605" t="inlineStr">
        <is>
          <t xml:space="preserve">02223-13-024-000 </t>
        </is>
      </c>
      <c r="E729" s="407" t="inlineStr">
        <is>
          <t>Actual</t>
        </is>
      </c>
      <c r="F729" s="605" t="inlineStr">
        <is>
          <t>4256   ELATI                ST</t>
        </is>
      </c>
      <c r="G729" s="392" t="inlineStr">
        <is>
          <t>44.M</t>
        </is>
      </c>
      <c r="H729" s="378" t="n">
        <v>9208</v>
      </c>
      <c r="I729" s="403" t="n">
        <v>0</v>
      </c>
      <c r="J729" s="404" t="n">
        <v>2000</v>
      </c>
      <c r="K729" s="408" t="n">
        <v>4.2</v>
      </c>
      <c r="L729" s="409" t="n">
        <v>1</v>
      </c>
      <c r="M729" s="409" t="n">
        <v>0.10452380952381</v>
      </c>
      <c r="N729" s="378" t="n">
        <v>1978</v>
      </c>
      <c r="O729" s="393" t="n">
        <v>150</v>
      </c>
      <c r="Q729" s="605" t="n">
        <v>10</v>
      </c>
      <c r="R729" s="605" t="n">
        <v>7</v>
      </c>
      <c r="S729" s="605" t="n">
        <v>1</v>
      </c>
      <c r="T729" s="403" t="inlineStr">
        <is>
          <t xml:space="preserve">I1   </t>
        </is>
      </c>
      <c r="U729" s="403" t="n">
        <v>398</v>
      </c>
      <c r="V729" s="404" t="n">
        <v>7175</v>
      </c>
      <c r="W729" s="404" t="n">
        <v>7000</v>
      </c>
      <c r="X729" s="410" t="inlineStr">
        <is>
          <t>3.6:1</t>
        </is>
      </c>
      <c r="Y729" s="404">
        <f>ROUND(J729,-3)</f>
        <v/>
      </c>
      <c r="Z729" s="403" t="inlineStr">
        <is>
          <t xml:space="preserve">C </t>
        </is>
      </c>
      <c r="AA729" s="605" t="n">
        <v>3</v>
      </c>
      <c r="AB729" s="605" t="n">
        <v>3</v>
      </c>
      <c r="AC729" s="378" t="inlineStr">
        <is>
          <t>33</t>
        </is>
      </c>
      <c r="AD729" s="384" t="inlineStr">
        <is>
          <t>S-W ALEX MANUFACTURG</t>
        </is>
      </c>
      <c r="AE729" s="145" t="n"/>
      <c r="AF729" s="145" t="n"/>
      <c r="AG729" s="145" t="n"/>
      <c r="AH729" s="145" t="n"/>
      <c r="AI729" s="145" t="n"/>
      <c r="AJ729" s="145" t="n"/>
      <c r="AK729" s="145" t="inlineStr">
        <is>
          <t xml:space="preserve">S-T WHSE.; AGE OF LEASE UNKNOWN.                                  </t>
        </is>
      </c>
      <c r="AL729" s="605">
        <f>IF(AND(ISNUMBER($S729),$S729&gt;0,ISNUMBER($K729),ISNUMBER($J729)),($K729*$J729)/$S729,"")</f>
        <v/>
      </c>
    </row>
    <row r="730" ht="12.75" customHeight="1" s="545">
      <c r="A730" s="388" t="n">
        <v>8</v>
      </c>
      <c r="B730" s="605" t="n">
        <v>722</v>
      </c>
      <c r="C730" s="384" t="inlineStr">
        <is>
          <t>2009Q</t>
        </is>
      </c>
      <c r="D730" s="605" t="inlineStr">
        <is>
          <t xml:space="preserve">02223-19-009-000 </t>
        </is>
      </c>
      <c r="E730" s="407" t="inlineStr">
        <is>
          <t>Actual</t>
        </is>
      </c>
      <c r="F730" s="605" t="inlineStr">
        <is>
          <t>450 W 42ND                 AV</t>
        </is>
      </c>
      <c r="G730" s="392" t="n">
        <v>44.1</v>
      </c>
      <c r="H730" s="378" t="n">
        <v>9208</v>
      </c>
      <c r="I730" s="403" t="n">
        <v>0</v>
      </c>
      <c r="J730" s="404" t="n">
        <v>6144</v>
      </c>
      <c r="K730" s="408" t="n">
        <v>6.42903645833333</v>
      </c>
      <c r="L730" s="409" t="n">
        <v>0</v>
      </c>
      <c r="M730" s="409" t="n">
        <v>0.0481012658227848</v>
      </c>
      <c r="N730" s="378" t="n">
        <v>1973</v>
      </c>
      <c r="O730" s="393" t="n">
        <v>1593</v>
      </c>
      <c r="Q730" s="605" t="n">
        <v>14</v>
      </c>
      <c r="R730" s="605" t="n">
        <v>14</v>
      </c>
      <c r="S730" s="605" t="n">
        <v>1</v>
      </c>
      <c r="T730" s="403" t="inlineStr">
        <is>
          <t xml:space="preserve">I1   </t>
        </is>
      </c>
      <c r="U730" s="403" t="n">
        <v>398</v>
      </c>
      <c r="V730" s="404" t="n">
        <v>30805</v>
      </c>
      <c r="W730" s="404" t="n">
        <v>31000</v>
      </c>
      <c r="X730" s="410" t="inlineStr">
        <is>
          <t>5.0:1</t>
        </is>
      </c>
      <c r="Y730" s="404">
        <f>ROUND(J730,-3)</f>
        <v/>
      </c>
      <c r="Z730" s="403" t="inlineStr">
        <is>
          <t xml:space="preserve">C </t>
        </is>
      </c>
      <c r="AA730" s="605" t="n">
        <v>3</v>
      </c>
      <c r="AB730" s="605" t="n">
        <v>3</v>
      </c>
      <c r="AC730" s="378" t="inlineStr">
        <is>
          <t>33</t>
        </is>
      </c>
      <c r="AD730" s="384" t="inlineStr">
        <is>
          <t xml:space="preserve">SHERMAN WILLIAMS    </t>
        </is>
      </c>
      <c r="AE730" s="145" t="n"/>
      <c r="AF730" s="145" t="n"/>
      <c r="AG730" s="145" t="n"/>
      <c r="AH730" s="145" t="n"/>
      <c r="AI730" s="145" t="n"/>
      <c r="AJ730" s="145" t="n"/>
      <c r="AK730" s="145" t="inlineStr">
        <is>
          <t xml:space="preserve">S-T WHSE.; 2005 LEASE.                                            </t>
        </is>
      </c>
      <c r="AL730" s="605">
        <f>IF(AND(ISNUMBER($S730),$S730&gt;0,ISNUMBER($K730),ISNUMBER($J730)),($K730*$J730)/$S730,"")</f>
        <v/>
      </c>
    </row>
    <row r="731" ht="12.75" customHeight="1" s="545">
      <c r="A731" s="388" t="n">
        <v>8</v>
      </c>
      <c r="B731" s="605" t="n">
        <v>723</v>
      </c>
      <c r="C731" s="384" t="inlineStr">
        <is>
          <t>2009Q</t>
        </is>
      </c>
      <c r="D731" s="605" t="inlineStr">
        <is>
          <t xml:space="preserve">02223-25-012-012 </t>
        </is>
      </c>
      <c r="E731" s="407" t="inlineStr">
        <is>
          <t>Actual</t>
        </is>
      </c>
      <c r="F731" s="605" t="inlineStr">
        <is>
          <t>4001   ELATI                ST</t>
        </is>
      </c>
      <c r="G731" s="392" t="n">
        <v>44.8</v>
      </c>
      <c r="H731" s="378" t="n">
        <v>9208</v>
      </c>
      <c r="I731" s="403" t="n">
        <v>0</v>
      </c>
      <c r="J731" s="404" t="n">
        <v>2406</v>
      </c>
      <c r="K731" s="408" t="n">
        <v>12.4239401496259</v>
      </c>
      <c r="L731" s="409" t="n">
        <v>0</v>
      </c>
      <c r="M731" s="409" t="n">
        <v>0</v>
      </c>
      <c r="N731" s="378" t="n">
        <v>1962</v>
      </c>
      <c r="O731" s="393" t="n">
        <v>2149</v>
      </c>
      <c r="Q731" s="605" t="n">
        <v>13</v>
      </c>
      <c r="R731" s="605" t="n">
        <v>1</v>
      </c>
      <c r="S731" s="605" t="n">
        <v>1</v>
      </c>
      <c r="T731" s="403" t="inlineStr">
        <is>
          <t xml:space="preserve">I1   </t>
        </is>
      </c>
      <c r="U731" s="403" t="n">
        <v>398</v>
      </c>
      <c r="V731" s="404" t="n">
        <v>4537</v>
      </c>
      <c r="W731" s="404" t="n">
        <v>5000</v>
      </c>
      <c r="X731" s="410" t="inlineStr">
        <is>
          <t>1.9:1</t>
        </is>
      </c>
      <c r="Y731" s="404">
        <f>ROUND(J731,-3)</f>
        <v/>
      </c>
      <c r="Z731" s="403" t="inlineStr">
        <is>
          <t xml:space="preserve">C </t>
        </is>
      </c>
      <c r="AA731" s="605" t="n">
        <v>3</v>
      </c>
      <c r="AB731" s="605" t="n">
        <v>3</v>
      </c>
      <c r="AC731" s="378" t="inlineStr">
        <is>
          <t>33</t>
        </is>
      </c>
      <c r="AD731" s="384" t="inlineStr">
        <is>
          <t xml:space="preserve">CLINICA TEPEYAC     </t>
        </is>
      </c>
      <c r="AE731" s="145" t="n"/>
      <c r="AF731" s="145" t="n"/>
      <c r="AG731" s="145" t="n"/>
      <c r="AH731" s="145" t="n"/>
      <c r="AI731" s="145" t="n"/>
      <c r="AJ731" s="145" t="n"/>
      <c r="AK731" s="145" t="inlineStr">
        <is>
          <t xml:space="preserve">S-T WHSE CONDO UNIT.                                              </t>
        </is>
      </c>
      <c r="AL731" s="605">
        <f>IF(AND(ISNUMBER($S731),$S731&gt;0,ISNUMBER($K731),ISNUMBER($J731)),($K731*$J731)/$S731,"")</f>
        <v/>
      </c>
    </row>
    <row r="732" ht="12.75" customHeight="1" s="545">
      <c r="A732" s="388" t="n">
        <v>8</v>
      </c>
      <c r="B732" s="605" t="n">
        <v>724</v>
      </c>
      <c r="C732" s="384" t="inlineStr">
        <is>
          <t>2009Q</t>
        </is>
      </c>
      <c r="D732" s="605" t="inlineStr">
        <is>
          <t xml:space="preserve">02223-26-019-000 </t>
        </is>
      </c>
      <c r="E732" s="407" t="inlineStr">
        <is>
          <t>Actual</t>
        </is>
      </c>
      <c r="F732" s="605" t="inlineStr">
        <is>
          <t>3990   FOX                  ST</t>
        </is>
      </c>
      <c r="G732" s="392" t="n">
        <v>44.1</v>
      </c>
      <c r="H732" s="378" t="n">
        <v>9208</v>
      </c>
      <c r="I732" s="403" t="n">
        <v>0</v>
      </c>
      <c r="J732" s="404" t="n">
        <v>4608</v>
      </c>
      <c r="K732" s="408" t="n">
        <v>9.11458333333333</v>
      </c>
      <c r="L732" s="409" t="n">
        <v>0</v>
      </c>
      <c r="M732" s="409" t="n">
        <v>0</v>
      </c>
      <c r="N732" s="378" t="n">
        <v>1973</v>
      </c>
      <c r="O732" s="393" t="n">
        <v>960</v>
      </c>
      <c r="Q732" s="605" t="n">
        <v>14</v>
      </c>
      <c r="R732" s="605" t="n">
        <v>14</v>
      </c>
      <c r="S732" s="605" t="n">
        <v>1</v>
      </c>
      <c r="T732" s="403" t="inlineStr">
        <is>
          <t xml:space="preserve">I1   </t>
        </is>
      </c>
      <c r="U732" s="403" t="n">
        <v>398</v>
      </c>
      <c r="V732" s="404" t="n">
        <v>6250</v>
      </c>
      <c r="W732" s="404" t="n">
        <v>6000</v>
      </c>
      <c r="X732" s="410" t="inlineStr">
        <is>
          <t>1.4:1</t>
        </is>
      </c>
      <c r="Y732" s="404">
        <f>ROUND(J732,-3)</f>
        <v/>
      </c>
      <c r="Z732" s="403" t="inlineStr">
        <is>
          <t xml:space="preserve">C </t>
        </is>
      </c>
      <c r="AA732" s="605" t="n">
        <v>3</v>
      </c>
      <c r="AB732" s="605" t="n">
        <v>3</v>
      </c>
      <c r="AC732" s="378" t="inlineStr">
        <is>
          <t>33</t>
        </is>
      </c>
      <c r="AD732" s="384" t="inlineStr">
        <is>
          <t>S-W HUWA SALES &amp; SER</t>
        </is>
      </c>
      <c r="AE732" s="145" t="n"/>
      <c r="AF732" s="145" t="n"/>
      <c r="AG732" s="145" t="n"/>
      <c r="AH732" s="145" t="n"/>
      <c r="AI732" s="145" t="n"/>
      <c r="AJ732" s="145" t="n"/>
      <c r="AK732" s="145" t="inlineStr">
        <is>
          <t xml:space="preserve">S-T WHSE; ONE YEAR LEASE FOR 2007, APPARENTLY OWNER-OCC 2008.     </t>
        </is>
      </c>
      <c r="AL732" s="605">
        <f>IF(AND(ISNUMBER($S732),$S732&gt;0,ISNUMBER($K732),ISNUMBER($J732)),($K732*$J732)/$S732,"")</f>
        <v/>
      </c>
    </row>
    <row r="733" ht="12.75" customHeight="1" s="545">
      <c r="A733" s="388" t="n">
        <v>8</v>
      </c>
      <c r="B733" s="605" t="n">
        <v>725</v>
      </c>
      <c r="C733" s="384" t="inlineStr">
        <is>
          <t>2009Q</t>
        </is>
      </c>
      <c r="D733" s="605" t="inlineStr">
        <is>
          <t xml:space="preserve">02224-03-017-000 </t>
        </is>
      </c>
      <c r="E733" s="407" t="inlineStr">
        <is>
          <t>Actual</t>
        </is>
      </c>
      <c r="F733" s="605" t="inlineStr">
        <is>
          <t>4398   BROADWAY             ST</t>
        </is>
      </c>
      <c r="G733" s="392" t="n">
        <v>44.1</v>
      </c>
      <c r="H733" s="378" t="n">
        <v>9201</v>
      </c>
      <c r="I733" s="403" t="n">
        <v>0</v>
      </c>
      <c r="J733" s="404" t="n">
        <v>10464</v>
      </c>
      <c r="K733" s="408" t="n">
        <v>5.8970756880734</v>
      </c>
      <c r="L733" s="409" t="n">
        <v>0</v>
      </c>
      <c r="M733" s="409" t="n">
        <v>0</v>
      </c>
      <c r="N733" s="378" t="n">
        <v>1983</v>
      </c>
      <c r="Q733" s="605" t="n">
        <v>20</v>
      </c>
      <c r="R733" s="605" t="n">
        <v>3</v>
      </c>
      <c r="S733" s="605" t="n">
        <v>1</v>
      </c>
      <c r="T733" s="403" t="inlineStr">
        <is>
          <t xml:space="preserve">I1   </t>
        </is>
      </c>
      <c r="U733" s="403" t="n">
        <v>398</v>
      </c>
      <c r="V733" s="404" t="n">
        <v>12750</v>
      </c>
      <c r="W733" s="404" t="n">
        <v>13000</v>
      </c>
      <c r="X733" s="410" t="inlineStr">
        <is>
          <t>1.2:1</t>
        </is>
      </c>
      <c r="Y733" s="404">
        <f>ROUND(J733,-3)</f>
        <v/>
      </c>
      <c r="Z733" s="403" t="inlineStr">
        <is>
          <t xml:space="preserve">C </t>
        </is>
      </c>
      <c r="AA733" s="605" t="n">
        <v>3</v>
      </c>
      <c r="AB733" s="605" t="n">
        <v>3</v>
      </c>
      <c r="AC733" s="378" t="inlineStr">
        <is>
          <t>33</t>
        </is>
      </c>
      <c r="AD733" s="384" t="inlineStr">
        <is>
          <t>DAN'S W'LDNG &amp;REPAIR</t>
        </is>
      </c>
      <c r="AE733" s="145" t="n"/>
      <c r="AF733" s="145" t="n"/>
      <c r="AG733" s="145" t="n"/>
      <c r="AH733" s="145" t="n"/>
      <c r="AI733" s="145" t="n"/>
      <c r="AJ733" s="145" t="n"/>
      <c r="AK733" s="145" t="n"/>
      <c r="AL733" s="605">
        <f>IF(AND(ISNUMBER($S733),$S733&gt;0,ISNUMBER($K733),ISNUMBER($J733)),($K733*$J733)/$S733,"")</f>
        <v/>
      </c>
    </row>
    <row r="734" ht="12.75" customHeight="1" s="545">
      <c r="A734" s="388" t="n">
        <v>8</v>
      </c>
      <c r="B734" s="605" t="n">
        <v>726</v>
      </c>
      <c r="C734" s="384" t="inlineStr">
        <is>
          <t>2009Q</t>
        </is>
      </c>
      <c r="D734" s="605" t="inlineStr">
        <is>
          <t xml:space="preserve">02224-03-026-000 </t>
        </is>
      </c>
      <c r="E734" s="407" t="inlineStr">
        <is>
          <t>Actual</t>
        </is>
      </c>
      <c r="F734" s="605" t="inlineStr">
        <is>
          <t>4330   BROADWAY             ST</t>
        </is>
      </c>
      <c r="G734" s="392" t="n">
        <v>44.1</v>
      </c>
      <c r="H734" s="378" t="n">
        <v>9201</v>
      </c>
      <c r="I734" s="403" t="n">
        <v>0</v>
      </c>
      <c r="J734" s="404" t="n">
        <v>10009</v>
      </c>
      <c r="K734" s="408" t="n">
        <v>7.62313917474273</v>
      </c>
      <c r="L734" s="409" t="n">
        <v>0</v>
      </c>
      <c r="M734" s="409" t="n">
        <v>0.0458715596330275</v>
      </c>
      <c r="N734" s="378" t="n">
        <v>1985</v>
      </c>
      <c r="O734" s="393" t="n">
        <v>976</v>
      </c>
      <c r="Q734" s="605" t="n">
        <v>19</v>
      </c>
      <c r="R734" s="605" t="n">
        <v>3</v>
      </c>
      <c r="S734" s="605" t="n">
        <v>1</v>
      </c>
      <c r="T734" s="403" t="inlineStr">
        <is>
          <t xml:space="preserve">I1   </t>
        </is>
      </c>
      <c r="U734" s="403" t="n">
        <v>398</v>
      </c>
      <c r="V734" s="404" t="n">
        <v>25628</v>
      </c>
      <c r="W734" s="404" t="n">
        <v>26000</v>
      </c>
      <c r="X734" s="410" t="inlineStr">
        <is>
          <t>2.6:1</t>
        </is>
      </c>
      <c r="Y734" s="404">
        <f>ROUND(J734,-3)</f>
        <v/>
      </c>
      <c r="Z734" s="403" t="inlineStr">
        <is>
          <t xml:space="preserve">C </t>
        </is>
      </c>
      <c r="AA734" s="605" t="n">
        <v>3</v>
      </c>
      <c r="AB734" s="605" t="n">
        <v>3</v>
      </c>
      <c r="AC734" s="378" t="inlineStr">
        <is>
          <t>33</t>
        </is>
      </c>
      <c r="AD734" s="384" t="inlineStr">
        <is>
          <t xml:space="preserve">ROCKY MTN. BATTERY  </t>
        </is>
      </c>
      <c r="AE734" s="145" t="n"/>
      <c r="AF734" s="145" t="n"/>
      <c r="AG734" s="145" t="n"/>
      <c r="AH734" s="145" t="n"/>
      <c r="AI734" s="145" t="n"/>
      <c r="AJ734" s="145" t="n"/>
      <c r="AK734" s="145" t="inlineStr">
        <is>
          <t xml:space="preserve">S.T.WHSE; AGE OF LEASE UNKNOWN                                    </t>
        </is>
      </c>
      <c r="AL734" s="605">
        <f>IF(AND(ISNUMBER($S734),$S734&gt;0,ISNUMBER($K734),ISNUMBER($J734)),($K734*$J734)/$S734,"")</f>
        <v/>
      </c>
    </row>
    <row r="735" ht="12.75" customHeight="1" s="545">
      <c r="A735" s="388" t="n">
        <v>8</v>
      </c>
      <c r="B735" s="605" t="n">
        <v>727</v>
      </c>
      <c r="C735" s="384" t="inlineStr">
        <is>
          <t>2009Q</t>
        </is>
      </c>
      <c r="D735" s="605" t="inlineStr">
        <is>
          <t xml:space="preserve">02231-07-011-000 </t>
        </is>
      </c>
      <c r="E735" s="407" t="inlineStr">
        <is>
          <t>Actual</t>
        </is>
      </c>
      <c r="F735" s="605" t="inlineStr">
        <is>
          <t>1717 E 47TH                 AV</t>
        </is>
      </c>
      <c r="G735" s="392" t="n">
        <v>44.1</v>
      </c>
      <c r="H735" s="378" t="n">
        <v>9201</v>
      </c>
      <c r="I735" s="403" t="n">
        <v>0</v>
      </c>
      <c r="J735" s="404" t="n">
        <v>3500</v>
      </c>
      <c r="K735" s="408" t="n">
        <v>12</v>
      </c>
      <c r="L735" s="409" t="n">
        <v>0</v>
      </c>
      <c r="M735" s="409" t="n">
        <v>0.0378095238095238</v>
      </c>
      <c r="N735" s="378" t="n">
        <v>1953</v>
      </c>
      <c r="O735" s="393" t="n">
        <v>469</v>
      </c>
      <c r="Q735" s="605" t="n">
        <v>14</v>
      </c>
      <c r="R735" s="605" t="n">
        <v>1</v>
      </c>
      <c r="S735" s="605" t="n">
        <v>1</v>
      </c>
      <c r="T735" s="403" t="inlineStr">
        <is>
          <t xml:space="preserve">I1   </t>
        </is>
      </c>
      <c r="U735" s="403" t="n">
        <v>398</v>
      </c>
      <c r="V735" s="404" t="n">
        <v>7192</v>
      </c>
      <c r="W735" s="404" t="n">
        <v>7000</v>
      </c>
      <c r="X735" s="410" t="inlineStr">
        <is>
          <t>2.1:1</t>
        </is>
      </c>
      <c r="Y735" s="404">
        <f>ROUND(J735,-3)</f>
        <v/>
      </c>
      <c r="Z735" s="403" t="inlineStr">
        <is>
          <t xml:space="preserve">C </t>
        </is>
      </c>
      <c r="AA735" s="605" t="n">
        <v>3</v>
      </c>
      <c r="AB735" s="605" t="n">
        <v>3</v>
      </c>
      <c r="AC735" s="378" t="inlineStr">
        <is>
          <t>33</t>
        </is>
      </c>
      <c r="AD735" s="384" t="inlineStr">
        <is>
          <t xml:space="preserve">PEAK COACH WORKS    </t>
        </is>
      </c>
      <c r="AE735" s="145" t="n"/>
      <c r="AF735" s="145" t="n"/>
      <c r="AG735" s="145" t="n"/>
      <c r="AH735" s="145" t="n"/>
      <c r="AI735" s="145" t="n"/>
      <c r="AJ735" s="145" t="n"/>
      <c r="AK735" s="145" t="inlineStr">
        <is>
          <t xml:space="preserve">S.T WHSE                                                          </t>
        </is>
      </c>
      <c r="AL735" s="605">
        <f>IF(AND(ISNUMBER($S735),$S735&gt;0,ISNUMBER($K735),ISNUMBER($J735)),($K735*$J735)/$S735,"")</f>
        <v/>
      </c>
    </row>
    <row r="736" ht="12.75" customHeight="1" s="545">
      <c r="A736" s="388" t="n">
        <v>8</v>
      </c>
      <c r="B736" s="605" t="n">
        <v>728</v>
      </c>
      <c r="C736" s="384" t="inlineStr">
        <is>
          <t>2009Q</t>
        </is>
      </c>
      <c r="D736" s="605" t="inlineStr">
        <is>
          <t xml:space="preserve">02232-00-219-000 </t>
        </is>
      </c>
      <c r="E736" s="407" t="inlineStr">
        <is>
          <t>Actual</t>
        </is>
      </c>
      <c r="F736" s="605" t="inlineStr">
        <is>
          <t>4303   BRIGHTON             BV</t>
        </is>
      </c>
      <c r="G736" s="392" t="n">
        <v>44.4</v>
      </c>
      <c r="H736" s="378" t="n">
        <v>9201</v>
      </c>
      <c r="I736" s="403" t="n">
        <v>0</v>
      </c>
      <c r="J736" s="404" t="n">
        <v>5600</v>
      </c>
      <c r="K736" s="408" t="n">
        <v>6.98964285714286</v>
      </c>
      <c r="L736" s="409" t="n">
        <v>0</v>
      </c>
      <c r="M736" s="409" t="n">
        <v>0.0932246691533391</v>
      </c>
      <c r="N736" s="378" t="n">
        <v>1952</v>
      </c>
      <c r="O736" s="393" t="n">
        <v>8274</v>
      </c>
      <c r="Q736" s="605" t="n">
        <v>18</v>
      </c>
      <c r="R736" s="605" t="n">
        <v>10</v>
      </c>
      <c r="S736" s="605" t="n">
        <v>1</v>
      </c>
      <c r="T736" s="403" t="inlineStr">
        <is>
          <t xml:space="preserve">I1   </t>
        </is>
      </c>
      <c r="U736" s="403" t="n">
        <v>398</v>
      </c>
      <c r="V736" s="404" t="n">
        <v>208740</v>
      </c>
      <c r="W736" s="404" t="n">
        <v>210000</v>
      </c>
      <c r="X736" s="410" t="inlineStr">
        <is>
          <t>1.4:1</t>
        </is>
      </c>
      <c r="Y736" s="404">
        <f>ROUND(J736,-3)</f>
        <v/>
      </c>
      <c r="Z736" s="403" t="inlineStr">
        <is>
          <t xml:space="preserve">C </t>
        </is>
      </c>
      <c r="AA736" s="605" t="n">
        <v>3</v>
      </c>
      <c r="AB736" s="605" t="n">
        <v>3</v>
      </c>
      <c r="AC736" s="378" t="inlineStr">
        <is>
          <t>33</t>
        </is>
      </c>
      <c r="AD736" s="384" t="inlineStr">
        <is>
          <t xml:space="preserve">FORNEY MUSEUM       </t>
        </is>
      </c>
      <c r="AE736" s="145" t="n"/>
      <c r="AF736" s="145" t="n"/>
      <c r="AG736" s="145" t="n"/>
      <c r="AH736" s="145" t="n"/>
      <c r="AI736" s="145" t="n"/>
      <c r="AJ736" s="145" t="n"/>
      <c r="AK736" s="145" t="inlineStr">
        <is>
          <t xml:space="preserve">M-T WHSE; 3 TENANTS; AGE OF LEASES UNKNOWN.                       </t>
        </is>
      </c>
      <c r="AL736" s="605">
        <f>IF(AND(ISNUMBER($S736),$S736&gt;0,ISNUMBER($K736),ISNUMBER($J736)),($K736*$J736)/$S736,"")</f>
        <v/>
      </c>
    </row>
    <row r="737" ht="12.75" customHeight="1" s="545">
      <c r="A737" s="388" t="n">
        <v>8</v>
      </c>
      <c r="B737" s="605" t="n">
        <v>729</v>
      </c>
      <c r="C737" s="384" t="inlineStr">
        <is>
          <t>2009Q</t>
        </is>
      </c>
      <c r="D737" s="605" t="inlineStr">
        <is>
          <t xml:space="preserve">02234-00-047-000 </t>
        </is>
      </c>
      <c r="E737" s="407" t="inlineStr">
        <is>
          <t>Actual</t>
        </is>
      </c>
      <c r="F737" s="605" t="inlineStr">
        <is>
          <t>3801   RACE                 ST</t>
        </is>
      </c>
      <c r="G737" s="392" t="n">
        <v>44.1</v>
      </c>
      <c r="H737" s="378" t="n">
        <v>9201</v>
      </c>
      <c r="I737" s="403" t="n">
        <v>0</v>
      </c>
      <c r="J737" s="404" t="n">
        <v>34608</v>
      </c>
      <c r="K737" s="408" t="n">
        <v>4.30825242718447</v>
      </c>
      <c r="L737" s="409" t="n">
        <v>0</v>
      </c>
      <c r="M737" s="409" t="n">
        <v>0</v>
      </c>
      <c r="N737" s="378" t="n">
        <v>1955</v>
      </c>
      <c r="P737" s="393" t="n">
        <v>3270</v>
      </c>
      <c r="Q737" s="605" t="n">
        <v>16</v>
      </c>
      <c r="R737" s="605" t="n">
        <v>3</v>
      </c>
      <c r="S737" s="605" t="n">
        <v>1</v>
      </c>
      <c r="T737" s="403" t="inlineStr">
        <is>
          <t xml:space="preserve">I1   </t>
        </is>
      </c>
      <c r="U737" s="403" t="n">
        <v>398</v>
      </c>
      <c r="V737" s="404" t="n">
        <v>44471</v>
      </c>
      <c r="W737" s="404" t="n">
        <v>44000</v>
      </c>
      <c r="X737" s="410" t="inlineStr">
        <is>
          <t>1.3:1</t>
        </is>
      </c>
      <c r="Y737" s="404">
        <f>ROUND(J737,-3)</f>
        <v/>
      </c>
      <c r="Z737" s="403" t="inlineStr">
        <is>
          <t xml:space="preserve">C </t>
        </is>
      </c>
      <c r="AA737" s="605" t="n">
        <v>3</v>
      </c>
      <c r="AB737" s="605" t="n">
        <v>3</v>
      </c>
      <c r="AC737" s="378" t="inlineStr">
        <is>
          <t>33</t>
        </is>
      </c>
      <c r="AD737" s="384" t="inlineStr">
        <is>
          <t xml:space="preserve">S-W                 </t>
        </is>
      </c>
      <c r="AE737" s="145" t="n"/>
      <c r="AF737" s="145" t="n"/>
      <c r="AG737" s="145" t="n"/>
      <c r="AH737" s="145" t="n"/>
      <c r="AI737" s="145" t="n"/>
      <c r="AJ737" s="145" t="n"/>
      <c r="AK737" s="145" t="inlineStr">
        <is>
          <t xml:space="preserve">ST WHSE; 2003 LEASE                                               </t>
        </is>
      </c>
      <c r="AL737" s="605">
        <f>IF(AND(ISNUMBER($S737),$S737&gt;0,ISNUMBER($K737),ISNUMBER($J737)),($K737*$J737)/$S737,"")</f>
        <v/>
      </c>
    </row>
    <row r="738" ht="12.75" customHeight="1" s="545">
      <c r="A738" s="388" t="n">
        <v>8</v>
      </c>
      <c r="B738" s="605" t="n">
        <v>730</v>
      </c>
      <c r="C738" s="384" t="inlineStr">
        <is>
          <t>2009Q</t>
        </is>
      </c>
      <c r="D738" s="605" t="inlineStr">
        <is>
          <t xml:space="preserve">02234-03-001-000 </t>
        </is>
      </c>
      <c r="E738" s="407" t="inlineStr">
        <is>
          <t>Actual</t>
        </is>
      </c>
      <c r="F738" s="605" t="inlineStr">
        <is>
          <t>1806 E 40TH                 AV</t>
        </is>
      </c>
      <c r="G738" s="392" t="n">
        <v>47.1</v>
      </c>
      <c r="H738" s="378" t="n">
        <v>9201</v>
      </c>
      <c r="I738" s="403" t="n">
        <v>0</v>
      </c>
      <c r="J738" s="404" t="n">
        <v>8754</v>
      </c>
      <c r="K738" s="408" t="n">
        <v>3.42700479780672</v>
      </c>
      <c r="L738" s="409" t="n">
        <v>0</v>
      </c>
      <c r="M738" s="409" t="n">
        <v>0</v>
      </c>
      <c r="N738" s="378" t="n">
        <v>1986</v>
      </c>
      <c r="O738" s="393" t="n">
        <v>1400</v>
      </c>
      <c r="Q738" s="605" t="n">
        <v>18</v>
      </c>
      <c r="R738" s="605" t="n">
        <v>8</v>
      </c>
      <c r="S738" s="605" t="n">
        <v>1</v>
      </c>
      <c r="T738" s="403" t="inlineStr">
        <is>
          <t xml:space="preserve">I2   </t>
        </is>
      </c>
      <c r="U738" s="403" t="n">
        <v>401</v>
      </c>
      <c r="V738" s="404" t="n">
        <v>14062</v>
      </c>
      <c r="W738" s="404" t="n">
        <v>14000</v>
      </c>
      <c r="X738" s="410" t="inlineStr">
        <is>
          <t>1.6:1</t>
        </is>
      </c>
      <c r="Y738" s="404">
        <f>ROUND(J738,-3)</f>
        <v/>
      </c>
      <c r="Z738" s="403" t="inlineStr">
        <is>
          <t xml:space="preserve">C </t>
        </is>
      </c>
      <c r="AA738" s="605" t="n">
        <v>3</v>
      </c>
      <c r="AB738" s="605" t="n">
        <v>3</v>
      </c>
      <c r="AC738" s="378" t="inlineStr">
        <is>
          <t>33</t>
        </is>
      </c>
      <c r="AD738" s="384" t="n"/>
      <c r="AE738" s="145" t="n"/>
      <c r="AF738" s="145" t="n"/>
      <c r="AG738" s="145" t="n"/>
      <c r="AH738" s="145" t="n"/>
      <c r="AI738" s="145" t="n"/>
      <c r="AJ738" s="145" t="n"/>
      <c r="AK738" s="145" t="inlineStr">
        <is>
          <t xml:space="preserve">ST INDUSTRIAL BLDG; DATE OF LEASE UNKNOWN.                        </t>
        </is>
      </c>
      <c r="AL738" s="605">
        <f>IF(AND(ISNUMBER($S738),$S738&gt;0,ISNUMBER($K738),ISNUMBER($J738)),($K738*$J738)/$S738,"")</f>
        <v/>
      </c>
    </row>
    <row r="739" ht="12.75" customHeight="1" s="545">
      <c r="A739" s="388" t="n">
        <v>8</v>
      </c>
      <c r="B739" s="605" t="n">
        <v>731</v>
      </c>
      <c r="C739" s="384" t="inlineStr">
        <is>
          <t>2009Q</t>
        </is>
      </c>
      <c r="D739" s="605" t="inlineStr">
        <is>
          <t xml:space="preserve">02234-05-003-000 </t>
        </is>
      </c>
      <c r="E739" s="407" t="inlineStr">
        <is>
          <t>Actual</t>
        </is>
      </c>
      <c r="F739" s="605" t="inlineStr">
        <is>
          <t>3939   WILLIAMS             ST</t>
        </is>
      </c>
      <c r="G739" s="392" t="n">
        <v>44.3</v>
      </c>
      <c r="H739" s="378" t="n">
        <v>9201</v>
      </c>
      <c r="I739" s="403" t="n">
        <v>0</v>
      </c>
      <c r="J739" s="404" t="n">
        <v>12000</v>
      </c>
      <c r="K739" s="408" t="n">
        <v>8.5</v>
      </c>
      <c r="L739" s="409" t="n">
        <v>0</v>
      </c>
      <c r="M739" s="409" t="n">
        <v>0.0399705882352941</v>
      </c>
      <c r="N739" s="378" t="n">
        <v>1928</v>
      </c>
      <c r="P739" s="393" t="n">
        <v>3625</v>
      </c>
      <c r="Q739" s="605" t="n">
        <v>17</v>
      </c>
      <c r="R739" s="605" t="n">
        <v>3</v>
      </c>
      <c r="S739" s="605" t="n">
        <v>10</v>
      </c>
      <c r="T739" s="403" t="inlineStr">
        <is>
          <t xml:space="preserve">I2   </t>
        </is>
      </c>
      <c r="U739" s="403" t="n">
        <v>398</v>
      </c>
      <c r="V739" s="404" t="n">
        <v>291789</v>
      </c>
      <c r="W739" s="404" t="n">
        <v>290000</v>
      </c>
      <c r="X739" s="410" t="inlineStr">
        <is>
          <t>1.4:1</t>
        </is>
      </c>
      <c r="Y739" s="404">
        <f>ROUND(J739,-3)</f>
        <v/>
      </c>
      <c r="Z739" s="403" t="inlineStr">
        <is>
          <t xml:space="preserve">C </t>
        </is>
      </c>
      <c r="AA739" s="605" t="n">
        <v>3</v>
      </c>
      <c r="AB739" s="605" t="n">
        <v>3</v>
      </c>
      <c r="AC739" s="378" t="inlineStr">
        <is>
          <t>33</t>
        </is>
      </c>
      <c r="AD739" s="384" t="n"/>
      <c r="AE739" s="145" t="n"/>
      <c r="AF739" s="145" t="n"/>
      <c r="AG739" s="145" t="n"/>
      <c r="AH739" s="145" t="n"/>
      <c r="AI739" s="145" t="n"/>
      <c r="AJ739" s="145" t="n"/>
      <c r="AK739" s="145" t="inlineStr">
        <is>
          <t xml:space="preserve">M-T WHSE.; 2 TENANTS; 2006 LEASE.                                 </t>
        </is>
      </c>
      <c r="AL739" s="605">
        <f>IF(AND(ISNUMBER($S739),$S739&gt;0,ISNUMBER($K739),ISNUMBER($J739)),($K739*$J739)/$S739,"")</f>
        <v/>
      </c>
    </row>
    <row r="740" ht="12.75" customHeight="1" s="545">
      <c r="A740" s="388" t="n">
        <v>8</v>
      </c>
      <c r="B740" s="605" t="n">
        <v>732</v>
      </c>
      <c r="C740" s="384" t="inlineStr">
        <is>
          <t>2009Q</t>
        </is>
      </c>
      <c r="D740" s="605" t="inlineStr">
        <is>
          <t xml:space="preserve">02241-05-014-000 </t>
        </is>
      </c>
      <c r="E740" s="407" t="inlineStr">
        <is>
          <t>Actual</t>
        </is>
      </c>
      <c r="F740" s="605" t="inlineStr">
        <is>
          <t>3538 E 46TH                 AV</t>
        </is>
      </c>
      <c r="G740" s="392" t="n">
        <v>44.2</v>
      </c>
      <c r="H740" s="378" t="n">
        <v>9201</v>
      </c>
      <c r="I740" s="403" t="n">
        <v>0</v>
      </c>
      <c r="J740" s="404" t="n">
        <v>3850</v>
      </c>
      <c r="K740" s="408" t="n">
        <v>6.34571428571429</v>
      </c>
      <c r="L740" s="409" t="n">
        <v>0</v>
      </c>
      <c r="M740" s="409" t="n">
        <v>0</v>
      </c>
      <c r="N740" s="378" t="n">
        <v>1981</v>
      </c>
      <c r="P740" s="393" t="n">
        <v>486</v>
      </c>
      <c r="Q740" s="605" t="n">
        <v>16</v>
      </c>
      <c r="R740" s="605" t="n">
        <v>7</v>
      </c>
      <c r="S740" s="605" t="n">
        <v>1</v>
      </c>
      <c r="T740" s="403" t="inlineStr">
        <is>
          <t xml:space="preserve">I2   </t>
        </is>
      </c>
      <c r="U740" s="403" t="n">
        <v>398</v>
      </c>
      <c r="V740" s="404" t="n">
        <v>26453</v>
      </c>
      <c r="W740" s="404" t="n">
        <v>26000</v>
      </c>
      <c r="X740" s="410" t="inlineStr">
        <is>
          <t>11.2:1</t>
        </is>
      </c>
      <c r="Y740" s="404">
        <f>ROUND(J740,-3)</f>
        <v/>
      </c>
      <c r="Z740" s="403" t="inlineStr">
        <is>
          <t xml:space="preserve">C </t>
        </is>
      </c>
      <c r="AA740" s="605" t="n">
        <v>3</v>
      </c>
      <c r="AB740" s="605" t="n">
        <v>3</v>
      </c>
      <c r="AC740" s="378" t="inlineStr">
        <is>
          <t>33</t>
        </is>
      </c>
      <c r="AD740" s="384" t="inlineStr">
        <is>
          <t xml:space="preserve">S-W                 </t>
        </is>
      </c>
      <c r="AE740" s="145" t="n"/>
      <c r="AF740" s="145" t="n"/>
      <c r="AG740" s="145" t="n"/>
      <c r="AH740" s="145" t="n"/>
      <c r="AI740" s="145" t="n"/>
      <c r="AJ740" s="145" t="n"/>
      <c r="AK740" s="145" t="inlineStr">
        <is>
          <t xml:space="preserve">ST WHSE; 2003 LEASE                                               </t>
        </is>
      </c>
      <c r="AL740" s="605">
        <f>IF(AND(ISNUMBER($S740),$S740&gt;0,ISNUMBER($K740),ISNUMBER($J740)),($K740*$J740)/$S740,"")</f>
        <v/>
      </c>
    </row>
    <row r="741" ht="12.75" customHeight="1" s="545">
      <c r="A741" s="388" t="n">
        <v>8</v>
      </c>
      <c r="B741" s="605" t="n">
        <v>733</v>
      </c>
      <c r="C741" s="384" t="inlineStr">
        <is>
          <t>2009Q</t>
        </is>
      </c>
      <c r="D741" s="605" t="inlineStr">
        <is>
          <t xml:space="preserve">02241-25-018-000 </t>
        </is>
      </c>
      <c r="E741" s="407" t="inlineStr">
        <is>
          <t>Actual</t>
        </is>
      </c>
      <c r="F741" s="605" t="inlineStr">
        <is>
          <t>4625   COLORADO             BL</t>
        </is>
      </c>
      <c r="G741" s="392" t="n">
        <v>44.1</v>
      </c>
      <c r="H741" s="378" t="n">
        <v>9201</v>
      </c>
      <c r="I741" s="403" t="n">
        <v>0</v>
      </c>
      <c r="J741" s="404" t="n">
        <v>18000</v>
      </c>
      <c r="K741" s="408" t="n">
        <v>5</v>
      </c>
      <c r="L741" s="409" t="n">
        <v>0</v>
      </c>
      <c r="M741" s="409" t="n">
        <v>0</v>
      </c>
      <c r="N741" s="378" t="n">
        <v>1969</v>
      </c>
      <c r="O741" s="393" t="n">
        <v>3944</v>
      </c>
      <c r="Q741" s="605" t="n">
        <v>15</v>
      </c>
      <c r="R741" s="605" t="n">
        <v>1</v>
      </c>
      <c r="S741" s="605" t="n">
        <v>1</v>
      </c>
      <c r="T741" s="403" t="inlineStr">
        <is>
          <t xml:space="preserve">I1   </t>
        </is>
      </c>
      <c r="U741" s="403" t="n">
        <v>398</v>
      </c>
      <c r="V741" s="404" t="n">
        <v>29936</v>
      </c>
      <c r="W741" s="404" t="n">
        <v>30000</v>
      </c>
      <c r="X741" s="410" t="inlineStr">
        <is>
          <t>1.6:1</t>
        </is>
      </c>
      <c r="Y741" s="404">
        <f>ROUND(J741,-3)</f>
        <v/>
      </c>
      <c r="Z741" s="403" t="inlineStr">
        <is>
          <t xml:space="preserve">C </t>
        </is>
      </c>
      <c r="AA741" s="605" t="n">
        <v>3</v>
      </c>
      <c r="AB741" s="605" t="n">
        <v>3</v>
      </c>
      <c r="AC741" s="378" t="inlineStr">
        <is>
          <t>33</t>
        </is>
      </c>
      <c r="AD741" s="384" t="n"/>
      <c r="AE741" s="145" t="n"/>
      <c r="AF741" s="145" t="n"/>
      <c r="AG741" s="145" t="n"/>
      <c r="AH741" s="145" t="n"/>
      <c r="AI741" s="145" t="n"/>
      <c r="AJ741" s="145" t="n"/>
      <c r="AK741" s="145" t="inlineStr">
        <is>
          <t xml:space="preserve">M-T WHSE; 2 TENANTS; LEASES 2005 &amp; 2007.                          </t>
        </is>
      </c>
      <c r="AL741" s="605">
        <f>IF(AND(ISNUMBER($S741),$S741&gt;0,ISNUMBER($K741),ISNUMBER($J741)),($K741*$J741)/$S741,"")</f>
        <v/>
      </c>
    </row>
    <row r="742" ht="12.75" customHeight="1" s="545">
      <c r="A742" s="388" t="n">
        <v>8</v>
      </c>
      <c r="B742" s="605" t="n">
        <v>734</v>
      </c>
      <c r="C742" s="384" t="inlineStr">
        <is>
          <t>2009Q</t>
        </is>
      </c>
      <c r="D742" s="605" t="inlineStr">
        <is>
          <t xml:space="preserve">02243-02-014-000 </t>
        </is>
      </c>
      <c r="E742" s="407" t="inlineStr">
        <is>
          <t>Actual</t>
        </is>
      </c>
      <c r="F742" s="605" t="inlineStr">
        <is>
          <t>3029 E 42ND                 AV</t>
        </is>
      </c>
      <c r="G742" s="392" t="n">
        <v>43.1</v>
      </c>
      <c r="H742" s="378" t="n">
        <v>9201</v>
      </c>
      <c r="I742" s="403" t="n">
        <v>0</v>
      </c>
      <c r="J742" s="404" t="n">
        <v>13201</v>
      </c>
      <c r="K742" s="408" t="n">
        <v>5.77228997803197</v>
      </c>
      <c r="L742" s="409" t="n">
        <v>0</v>
      </c>
      <c r="M742" s="409" t="n">
        <v>0</v>
      </c>
      <c r="N742" s="378" t="n">
        <v>1954</v>
      </c>
      <c r="O742" s="393" t="n">
        <v>3100</v>
      </c>
      <c r="Q742" s="605" t="n">
        <v>13</v>
      </c>
      <c r="R742" s="605" t="n">
        <v>3</v>
      </c>
      <c r="S742" s="605" t="n">
        <v>1</v>
      </c>
      <c r="T742" s="403" t="inlineStr">
        <is>
          <t xml:space="preserve">I1   </t>
        </is>
      </c>
      <c r="U742" s="403" t="n">
        <v>401</v>
      </c>
      <c r="V742" s="404" t="n">
        <v>20801</v>
      </c>
      <c r="W742" s="404" t="n">
        <v>21000</v>
      </c>
      <c r="X742" s="410" t="inlineStr">
        <is>
          <t>1.6:1</t>
        </is>
      </c>
      <c r="Y742" s="404">
        <f>ROUND(J742,-3)</f>
        <v/>
      </c>
      <c r="Z742" s="403" t="inlineStr">
        <is>
          <t xml:space="preserve">C </t>
        </is>
      </c>
      <c r="AA742" s="605" t="n">
        <v>3</v>
      </c>
      <c r="AB742" s="605" t="n">
        <v>3</v>
      </c>
      <c r="AC742" s="378" t="inlineStr">
        <is>
          <t>33</t>
        </is>
      </c>
      <c r="AD742" s="384" t="inlineStr">
        <is>
          <t xml:space="preserve">WESTERN BELTING CO  </t>
        </is>
      </c>
      <c r="AE742" s="145" t="n"/>
      <c r="AF742" s="145" t="n"/>
      <c r="AG742" s="145" t="n"/>
      <c r="AH742" s="145" t="n"/>
      <c r="AI742" s="145" t="n"/>
      <c r="AJ742" s="145" t="n"/>
      <c r="AK742" s="145" t="inlineStr">
        <is>
          <t xml:space="preserve">S-T WHSE; CHECK OWNER-OCC BUT STATES 3 YR LEASE BEGINNING IN 2007 </t>
        </is>
      </c>
      <c r="AL742" s="605">
        <f>IF(AND(ISNUMBER($S742),$S742&gt;0,ISNUMBER($K742),ISNUMBER($J742)),($K742*$J742)/$S742,"")</f>
        <v/>
      </c>
    </row>
    <row r="743" ht="12.75" customHeight="1" s="545">
      <c r="A743" s="388" t="n">
        <v>8</v>
      </c>
      <c r="B743" s="605" t="n">
        <v>735</v>
      </c>
      <c r="C743" s="384" t="inlineStr">
        <is>
          <t>2009Q</t>
        </is>
      </c>
      <c r="D743" s="605" t="inlineStr">
        <is>
          <t xml:space="preserve">02243-02-020-000 </t>
        </is>
      </c>
      <c r="E743" s="407" t="inlineStr">
        <is>
          <t>Actual</t>
        </is>
      </c>
      <c r="F743" s="605" t="inlineStr">
        <is>
          <t>3020 E 43RD                 AV</t>
        </is>
      </c>
      <c r="G743" s="392" t="n">
        <v>44.1</v>
      </c>
      <c r="H743" s="378" t="n">
        <v>9201</v>
      </c>
      <c r="I743" s="403" t="n">
        <v>0</v>
      </c>
      <c r="J743" s="404" t="n">
        <v>3800</v>
      </c>
      <c r="K743" s="408" t="n">
        <v>6.94736842105263</v>
      </c>
      <c r="L743" s="409" t="n">
        <v>0.32</v>
      </c>
      <c r="M743" s="409" t="n">
        <v>0.0964772727272727</v>
      </c>
      <c r="N743" s="378" t="n">
        <v>1946</v>
      </c>
      <c r="O743" s="393" t="n">
        <v>1650</v>
      </c>
      <c r="Q743" s="605" t="n">
        <v>12</v>
      </c>
      <c r="R743" s="605" t="n">
        <v>3</v>
      </c>
      <c r="S743" s="605" t="n">
        <v>1</v>
      </c>
      <c r="T743" s="403" t="inlineStr">
        <is>
          <t xml:space="preserve">I1   </t>
        </is>
      </c>
      <c r="U743" s="403" t="n">
        <v>398</v>
      </c>
      <c r="V743" s="404" t="n">
        <v>24533</v>
      </c>
      <c r="W743" s="404" t="n">
        <v>25000</v>
      </c>
      <c r="X743" s="410" t="inlineStr">
        <is>
          <t>1.8:1</t>
        </is>
      </c>
      <c r="Y743" s="404">
        <f>ROUND(J743,-3)</f>
        <v/>
      </c>
      <c r="Z743" s="403" t="inlineStr">
        <is>
          <t xml:space="preserve">C </t>
        </is>
      </c>
      <c r="AA743" s="605" t="n">
        <v>2</v>
      </c>
      <c r="AB743" s="605" t="n">
        <v>3</v>
      </c>
      <c r="AC743" s="378" t="inlineStr">
        <is>
          <t>23</t>
        </is>
      </c>
      <c r="AD743" s="384" t="inlineStr">
        <is>
          <t xml:space="preserve">MW-GOSPEL CHURCH    </t>
        </is>
      </c>
      <c r="AE743" s="145" t="n"/>
      <c r="AF743" s="145" t="n"/>
      <c r="AG743" s="145" t="n"/>
      <c r="AH743" s="145" t="n"/>
      <c r="AI743" s="145" t="n"/>
      <c r="AJ743" s="145" t="n"/>
      <c r="AK743" s="145" t="inlineStr">
        <is>
          <t xml:space="preserve">M-T WHSE; 3 TENANTS; ONLY 2008 LEASE ENCODED.                     </t>
        </is>
      </c>
      <c r="AL743" s="605">
        <f>IF(AND(ISNUMBER($S743),$S743&gt;0,ISNUMBER($K743),ISNUMBER($J743)),($K743*$J743)/$S743,"")</f>
        <v/>
      </c>
    </row>
    <row r="744" ht="12.75" customHeight="1" s="545">
      <c r="A744" s="388" t="n">
        <v>8</v>
      </c>
      <c r="B744" s="605" t="n">
        <v>736</v>
      </c>
      <c r="C744" s="384" t="inlineStr">
        <is>
          <t>2009Q</t>
        </is>
      </c>
      <c r="D744" s="605" t="inlineStr">
        <is>
          <t xml:space="preserve">02243-06-001-000 </t>
        </is>
      </c>
      <c r="E744" s="407" t="inlineStr">
        <is>
          <t>Actual</t>
        </is>
      </c>
      <c r="F744" s="605" t="inlineStr">
        <is>
          <t>4242   ELIZABETH            ST</t>
        </is>
      </c>
      <c r="G744" s="392" t="n">
        <v>47.2</v>
      </c>
      <c r="H744" s="378" t="n">
        <v>9201</v>
      </c>
      <c r="I744" s="403" t="n">
        <v>0</v>
      </c>
      <c r="J744" s="404" t="n">
        <v>18566</v>
      </c>
      <c r="K744" s="408" t="n">
        <v>3.19293331897016</v>
      </c>
      <c r="L744" s="409" t="n">
        <v>0</v>
      </c>
      <c r="M744" s="409" t="n">
        <v>0</v>
      </c>
      <c r="N744" s="378" t="n">
        <v>1950</v>
      </c>
      <c r="O744" s="393" t="n">
        <v>1000</v>
      </c>
      <c r="Q744" s="605" t="n">
        <v>18</v>
      </c>
      <c r="R744" s="605" t="n">
        <v>10</v>
      </c>
      <c r="S744" s="605" t="n">
        <v>1</v>
      </c>
      <c r="T744" s="403" t="inlineStr">
        <is>
          <t xml:space="preserve">I1   </t>
        </is>
      </c>
      <c r="U744" s="403" t="n">
        <v>401</v>
      </c>
      <c r="V744" s="404" t="n">
        <v>32937</v>
      </c>
      <c r="W744" s="404" t="n">
        <v>33000</v>
      </c>
      <c r="X744" s="410" t="inlineStr">
        <is>
          <t>1.8:1</t>
        </is>
      </c>
      <c r="Y744" s="404">
        <f>ROUND(J744,-3)</f>
        <v/>
      </c>
      <c r="Z744" s="403" t="inlineStr">
        <is>
          <t xml:space="preserve">C </t>
        </is>
      </c>
      <c r="AA744" s="605" t="n">
        <v>2</v>
      </c>
      <c r="AB744" s="605" t="n">
        <v>3</v>
      </c>
      <c r="AC744" s="378" t="inlineStr">
        <is>
          <t>23</t>
        </is>
      </c>
      <c r="AD744" s="384" t="n"/>
      <c r="AE744" s="145" t="n"/>
      <c r="AF744" s="145" t="n"/>
      <c r="AG744" s="145" t="n"/>
      <c r="AH744" s="145" t="n"/>
      <c r="AI744" s="145" t="n"/>
      <c r="AJ744" s="145" t="n"/>
      <c r="AK744" s="145" t="inlineStr">
        <is>
          <t xml:space="preserve">S-T INDUSTRIAL BLDG; AGE OF LEASE UNKNOWN.                        </t>
        </is>
      </c>
      <c r="AL744" s="605">
        <f>IF(AND(ISNUMBER($S744),$S744&gt;0,ISNUMBER($K744),ISNUMBER($J744)),($K744*$J744)/$S744,"")</f>
        <v/>
      </c>
    </row>
    <row r="745" ht="12.75" customHeight="1" s="545">
      <c r="A745" s="388" t="n">
        <v>8</v>
      </c>
      <c r="B745" s="605" t="n">
        <v>737</v>
      </c>
      <c r="C745" s="384" t="inlineStr">
        <is>
          <t>2009Q</t>
        </is>
      </c>
      <c r="D745" s="605" t="inlineStr">
        <is>
          <t xml:space="preserve">02243-06-012-000 </t>
        </is>
      </c>
      <c r="E745" s="407" t="inlineStr">
        <is>
          <t>Actual</t>
        </is>
      </c>
      <c r="F745" s="605" t="inlineStr">
        <is>
          <t>2640 E 43RD                 AV</t>
        </is>
      </c>
      <c r="G745" s="392" t="n">
        <v>44.2</v>
      </c>
      <c r="H745" s="378" t="n">
        <v>9201</v>
      </c>
      <c r="I745" s="403" t="n">
        <v>0</v>
      </c>
      <c r="J745" s="404" t="n">
        <v>10164</v>
      </c>
      <c r="K745" s="408" t="n">
        <v>6.47727272727273</v>
      </c>
      <c r="L745" s="409" t="n">
        <v>0</v>
      </c>
      <c r="M745" s="409" t="n">
        <v>0.18090681248576</v>
      </c>
      <c r="N745" s="378" t="n">
        <v>1982</v>
      </c>
      <c r="O745" s="393" t="n">
        <v>2216</v>
      </c>
      <c r="Q745" s="605" t="n">
        <v>12</v>
      </c>
      <c r="R745" s="605" t="n">
        <v>3</v>
      </c>
      <c r="S745" s="605" t="n">
        <v>1</v>
      </c>
      <c r="T745" s="403" t="inlineStr">
        <is>
          <t xml:space="preserve">I1   </t>
        </is>
      </c>
      <c r="U745" s="403" t="n">
        <v>398</v>
      </c>
      <c r="V745" s="404" t="n">
        <v>9375</v>
      </c>
      <c r="W745" s="404" t="n">
        <v>9000</v>
      </c>
      <c r="X745" s="410" t="inlineStr">
        <is>
          <t>0.9:1</t>
        </is>
      </c>
      <c r="Y745" s="404">
        <f>ROUND(J745,-3)</f>
        <v/>
      </c>
      <c r="Z745" s="403" t="inlineStr">
        <is>
          <t xml:space="preserve">C </t>
        </is>
      </c>
      <c r="AA745" s="605" t="n">
        <v>3</v>
      </c>
      <c r="AB745" s="605" t="n">
        <v>1</v>
      </c>
      <c r="AC745" s="378" t="inlineStr">
        <is>
          <t>31</t>
        </is>
      </c>
      <c r="AD745" s="384" t="inlineStr">
        <is>
          <t xml:space="preserve">S-D COLO REFACING &amp; </t>
        </is>
      </c>
      <c r="AE745" s="145" t="n"/>
      <c r="AF745" s="145" t="n"/>
      <c r="AG745" s="145" t="n"/>
      <c r="AH745" s="145" t="n"/>
      <c r="AI745" s="145" t="n"/>
      <c r="AJ745" s="145" t="n"/>
      <c r="AK745" s="145" t="inlineStr">
        <is>
          <t xml:space="preserve">S-T WHSE.                                                         </t>
        </is>
      </c>
      <c r="AL745" s="605">
        <f>IF(AND(ISNUMBER($S745),$S745&gt;0,ISNUMBER($K745),ISNUMBER($J745)),($K745*$J745)/$S745,"")</f>
        <v/>
      </c>
    </row>
    <row r="746" ht="12.75" customHeight="1" s="545">
      <c r="A746" s="388" t="n">
        <v>8</v>
      </c>
      <c r="B746" s="605" t="n">
        <v>738</v>
      </c>
      <c r="C746" s="384" t="inlineStr">
        <is>
          <t>2009Q</t>
        </is>
      </c>
      <c r="D746" s="605" t="inlineStr">
        <is>
          <t xml:space="preserve">02244-12-014-000 </t>
        </is>
      </c>
      <c r="E746" s="407" t="inlineStr">
        <is>
          <t>Actual</t>
        </is>
      </c>
      <c r="F746" s="605" t="inlineStr">
        <is>
          <t>4190   MADISON              ST</t>
        </is>
      </c>
      <c r="G746" s="392" t="n">
        <v>44.2</v>
      </c>
      <c r="H746" s="378" t="n">
        <v>9201</v>
      </c>
      <c r="I746" s="403" t="n">
        <v>0</v>
      </c>
      <c r="J746" s="404" t="n">
        <v>10591</v>
      </c>
      <c r="K746" s="408" t="n">
        <v>4.70210556132565</v>
      </c>
      <c r="L746" s="409" t="n">
        <v>0</v>
      </c>
      <c r="M746" s="409" t="n">
        <v>0</v>
      </c>
      <c r="N746" s="378" t="n">
        <v>1970</v>
      </c>
      <c r="O746" s="393" t="n">
        <v>760</v>
      </c>
      <c r="Q746" s="605" t="n">
        <v>13</v>
      </c>
      <c r="R746" s="605" t="n">
        <v>3</v>
      </c>
      <c r="S746" s="605" t="n">
        <v>1</v>
      </c>
      <c r="T746" s="403" t="inlineStr">
        <is>
          <t xml:space="preserve">I0   </t>
        </is>
      </c>
      <c r="U746" s="403" t="n">
        <v>398</v>
      </c>
      <c r="V746" s="404" t="n">
        <v>19013</v>
      </c>
      <c r="W746" s="404" t="n">
        <v>19000</v>
      </c>
      <c r="X746" s="410" t="inlineStr">
        <is>
          <t>1.8:1</t>
        </is>
      </c>
      <c r="Y746" s="404">
        <f>ROUND(J746,-3)</f>
        <v/>
      </c>
      <c r="Z746" s="403" t="inlineStr">
        <is>
          <t xml:space="preserve">C </t>
        </is>
      </c>
      <c r="AA746" s="605" t="n">
        <v>3</v>
      </c>
      <c r="AB746" s="605" t="n">
        <v>3</v>
      </c>
      <c r="AC746" s="378" t="inlineStr">
        <is>
          <t>33</t>
        </is>
      </c>
      <c r="AD746" s="384" t="inlineStr">
        <is>
          <t xml:space="preserve">SW-WODEN WOODS      </t>
        </is>
      </c>
      <c r="AE746" s="145" t="n"/>
      <c r="AF746" s="145" t="n"/>
      <c r="AG746" s="145" t="n"/>
      <c r="AH746" s="145" t="n"/>
      <c r="AI746" s="145" t="n"/>
      <c r="AJ746" s="145" t="n"/>
      <c r="AK746" s="145" t="inlineStr">
        <is>
          <t xml:space="preserve">S-T WHSE.                                                         </t>
        </is>
      </c>
      <c r="AL746" s="605">
        <f>IF(AND(ISNUMBER($S746),$S746&gt;0,ISNUMBER($K746),ISNUMBER($J746)),($K746*$J746)/$S746,"")</f>
        <v/>
      </c>
    </row>
    <row r="747" ht="12.75" customHeight="1" s="545">
      <c r="A747" s="388" t="n">
        <v>8</v>
      </c>
      <c r="B747" s="605" t="n">
        <v>739</v>
      </c>
      <c r="C747" s="384" t="inlineStr">
        <is>
          <t>2009Q</t>
        </is>
      </c>
      <c r="D747" s="605" t="inlineStr">
        <is>
          <t xml:space="preserve">02244-16-019-000 </t>
        </is>
      </c>
      <c r="E747" s="407" t="inlineStr">
        <is>
          <t>Actual</t>
        </is>
      </c>
      <c r="F747" s="605" t="inlineStr">
        <is>
          <t>4100   JACKSON              ST</t>
        </is>
      </c>
      <c r="G747" s="392" t="n">
        <v>44.2</v>
      </c>
      <c r="H747" s="378" t="n">
        <v>9201</v>
      </c>
      <c r="I747" s="403" t="n">
        <v>0</v>
      </c>
      <c r="J747" s="404" t="n">
        <v>11135</v>
      </c>
      <c r="K747" s="408" t="n">
        <v>11.813560844185</v>
      </c>
      <c r="L747" s="409" t="n">
        <v>0</v>
      </c>
      <c r="M747" s="409" t="n">
        <v>0</v>
      </c>
      <c r="N747" s="378" t="n">
        <v>1977</v>
      </c>
      <c r="O747" s="393" t="n">
        <v>2178</v>
      </c>
      <c r="Q747" s="605" t="n">
        <v>14</v>
      </c>
      <c r="R747" s="605" t="n">
        <v>3</v>
      </c>
      <c r="S747" s="605" t="n">
        <v>1</v>
      </c>
      <c r="T747" s="403" t="inlineStr">
        <is>
          <t xml:space="preserve">I1   </t>
        </is>
      </c>
      <c r="U747" s="403" t="n">
        <v>398</v>
      </c>
      <c r="V747" s="404" t="n">
        <v>26090</v>
      </c>
      <c r="W747" s="404" t="n">
        <v>26000</v>
      </c>
      <c r="X747" s="410" t="inlineStr">
        <is>
          <t>2.7:1</t>
        </is>
      </c>
      <c r="Y747" s="404">
        <f>ROUND(J747,-3)</f>
        <v/>
      </c>
      <c r="Z747" s="403" t="inlineStr">
        <is>
          <t xml:space="preserve">C </t>
        </is>
      </c>
      <c r="AA747" s="605" t="n">
        <v>3</v>
      </c>
      <c r="AB747" s="605" t="n">
        <v>3</v>
      </c>
      <c r="AC747" s="378" t="inlineStr">
        <is>
          <t>33</t>
        </is>
      </c>
      <c r="AD747" s="384" t="inlineStr">
        <is>
          <t>UNITED PRINTING EQUI</t>
        </is>
      </c>
      <c r="AE747" s="145" t="n"/>
      <c r="AF747" s="145" t="n"/>
      <c r="AG747" s="145" t="n"/>
      <c r="AH747" s="145" t="n"/>
      <c r="AI747" s="145" t="n"/>
      <c r="AJ747" s="145" t="n"/>
      <c r="AK747" s="145" t="inlineStr">
        <is>
          <t xml:space="preserve">S-T WHSE; 2005 LEASE.                                             </t>
        </is>
      </c>
      <c r="AL747" s="605">
        <f>IF(AND(ISNUMBER($S747),$S747&gt;0,ISNUMBER($K747),ISNUMBER($J747)),($K747*$J747)/$S747,"")</f>
        <v/>
      </c>
    </row>
    <row r="748" ht="12.75" customHeight="1" s="545">
      <c r="A748" s="388" t="n">
        <v>8</v>
      </c>
      <c r="B748" s="605" t="n">
        <v>740</v>
      </c>
      <c r="C748" s="384" t="inlineStr">
        <is>
          <t>2009Q</t>
        </is>
      </c>
      <c r="D748" s="605" t="inlineStr">
        <is>
          <t xml:space="preserve">02244-16-021-000 </t>
        </is>
      </c>
      <c r="E748" s="407" t="inlineStr">
        <is>
          <t>Actual</t>
        </is>
      </c>
      <c r="F748" s="605" t="inlineStr">
        <is>
          <t>4140   JACKSON              ST</t>
        </is>
      </c>
      <c r="G748" s="392" t="n">
        <v>44.2</v>
      </c>
      <c r="H748" s="378" t="n">
        <v>9201</v>
      </c>
      <c r="I748" s="403" t="n">
        <v>0</v>
      </c>
      <c r="J748" s="404" t="n">
        <v>9658</v>
      </c>
      <c r="K748" s="408" t="n">
        <v>7.41406088217022</v>
      </c>
      <c r="L748" s="409" t="n">
        <v>0</v>
      </c>
      <c r="M748" s="409" t="n">
        <v>0.234187556734865</v>
      </c>
      <c r="N748" s="378" t="n">
        <v>1977</v>
      </c>
      <c r="O748" s="393">
        <f>4893+2308</f>
        <v/>
      </c>
      <c r="Q748" s="605" t="n">
        <v>14</v>
      </c>
      <c r="R748" s="605" t="n">
        <v>3</v>
      </c>
      <c r="S748" s="605" t="n">
        <v>1</v>
      </c>
      <c r="T748" s="403" t="inlineStr">
        <is>
          <t xml:space="preserve">I1   </t>
        </is>
      </c>
      <c r="U748" s="403" t="n">
        <v>398</v>
      </c>
      <c r="V748" s="404" t="n">
        <v>32800</v>
      </c>
      <c r="W748" s="404" t="n">
        <v>33000</v>
      </c>
      <c r="X748" s="410" t="inlineStr">
        <is>
          <t>3.4:1</t>
        </is>
      </c>
      <c r="Y748" s="404">
        <f>ROUND(J748,-3)</f>
        <v/>
      </c>
      <c r="Z748" s="403" t="inlineStr">
        <is>
          <t xml:space="preserve">C </t>
        </is>
      </c>
      <c r="AA748" s="605" t="n">
        <v>3</v>
      </c>
      <c r="AB748" s="605" t="n">
        <v>3</v>
      </c>
      <c r="AC748" s="378" t="inlineStr">
        <is>
          <t>33</t>
        </is>
      </c>
      <c r="AD748" s="384" t="inlineStr">
        <is>
          <t xml:space="preserve">CAP AIRFREIGHT      </t>
        </is>
      </c>
      <c r="AE748" s="145" t="n"/>
      <c r="AF748" s="145" t="n"/>
      <c r="AG748" s="145" t="n"/>
      <c r="AH748" s="145" t="n"/>
      <c r="AI748" s="145" t="n"/>
      <c r="AJ748" s="145" t="n"/>
      <c r="AK748" s="145" t="inlineStr">
        <is>
          <t xml:space="preserve">S-T WHSE; 2006 LEASE                                              </t>
        </is>
      </c>
      <c r="AL748" s="605">
        <f>IF(AND(ISNUMBER($S748),$S748&gt;0,ISNUMBER($K748),ISNUMBER($J748)),($K748*$J748)/$S748,"")</f>
        <v/>
      </c>
    </row>
    <row r="749" ht="12.75" customHeight="1" s="545">
      <c r="A749" s="388" t="n">
        <v>8</v>
      </c>
      <c r="B749" s="605" t="n">
        <v>741</v>
      </c>
      <c r="C749" s="384" t="inlineStr">
        <is>
          <t>2009Q</t>
        </is>
      </c>
      <c r="D749" s="605" t="inlineStr">
        <is>
          <t xml:space="preserve">02244-16-024-000 </t>
        </is>
      </c>
      <c r="E749" s="407" t="inlineStr">
        <is>
          <t>Actual</t>
        </is>
      </c>
      <c r="F749" s="605" t="inlineStr">
        <is>
          <t>4120   JACKSON              ST</t>
        </is>
      </c>
      <c r="G749" s="392" t="n">
        <v>44.2</v>
      </c>
      <c r="H749" s="378" t="n">
        <v>9201</v>
      </c>
      <c r="I749" s="403" t="n">
        <v>0</v>
      </c>
      <c r="J749" s="404" t="n">
        <v>9594</v>
      </c>
      <c r="K749" s="408" t="n">
        <v>9.02824682092975</v>
      </c>
      <c r="L749" s="409" t="n">
        <v>0</v>
      </c>
      <c r="M749" s="409" t="n">
        <v>0</v>
      </c>
      <c r="N749" s="378" t="n">
        <v>1977</v>
      </c>
      <c r="O749" s="393" t="n">
        <v>4239</v>
      </c>
      <c r="Q749" s="605" t="n">
        <v>21</v>
      </c>
      <c r="R749" s="605" t="n">
        <v>14</v>
      </c>
      <c r="S749" s="605" t="n">
        <v>1</v>
      </c>
      <c r="T749" s="403" t="inlineStr">
        <is>
          <t xml:space="preserve">I1   </t>
        </is>
      </c>
      <c r="U749" s="403" t="n">
        <v>398</v>
      </c>
      <c r="V749" s="404" t="n">
        <v>24615</v>
      </c>
      <c r="W749" s="404" t="n">
        <v>25000</v>
      </c>
      <c r="X749" s="410" t="inlineStr">
        <is>
          <t>2.6:1</t>
        </is>
      </c>
      <c r="Y749" s="404">
        <f>ROUND(J749,-3)</f>
        <v/>
      </c>
      <c r="Z749" s="403" t="inlineStr">
        <is>
          <t xml:space="preserve">C </t>
        </is>
      </c>
      <c r="AA749" s="605" t="n">
        <v>3</v>
      </c>
      <c r="AB749" s="605" t="n">
        <v>3</v>
      </c>
      <c r="AC749" s="378" t="inlineStr">
        <is>
          <t>33</t>
        </is>
      </c>
      <c r="AD749" s="384" t="n"/>
      <c r="AE749" s="145" t="n"/>
      <c r="AF749" s="145" t="n"/>
      <c r="AG749" s="145" t="n"/>
      <c r="AH749" s="145" t="n"/>
      <c r="AI749" s="145" t="n"/>
      <c r="AJ749" s="145" t="n"/>
      <c r="AK749" s="145" t="inlineStr">
        <is>
          <t xml:space="preserve">S-T WHSE; 2006 LEASE.                                             </t>
        </is>
      </c>
      <c r="AL749" s="605">
        <f>IF(AND(ISNUMBER($S749),$S749&gt;0,ISNUMBER($K749),ISNUMBER($J749)),($K749*$J749)/$S749,"")</f>
        <v/>
      </c>
    </row>
    <row r="750" ht="12.75" customHeight="1" s="545">
      <c r="A750" s="388" t="n">
        <v>8</v>
      </c>
      <c r="B750" s="605" t="n">
        <v>742</v>
      </c>
      <c r="C750" s="384" t="inlineStr">
        <is>
          <t>2009Q</t>
        </is>
      </c>
      <c r="D750" s="605" t="inlineStr">
        <is>
          <t xml:space="preserve">02263-04-016-000 </t>
        </is>
      </c>
      <c r="E750" s="407" t="inlineStr">
        <is>
          <t>Actual</t>
        </is>
      </c>
      <c r="F750" s="605" t="inlineStr">
        <is>
          <t>3518   LARIMER              ST</t>
        </is>
      </c>
      <c r="G750" s="392" t="n">
        <v>44.1</v>
      </c>
      <c r="H750" s="378" t="n">
        <v>9210</v>
      </c>
      <c r="I750" s="403" t="n">
        <v>0</v>
      </c>
      <c r="J750" s="404" t="n">
        <v>8312</v>
      </c>
      <c r="K750" s="408" t="n">
        <v>4.33108758421559</v>
      </c>
      <c r="L750" s="409" t="n">
        <v>0</v>
      </c>
      <c r="M750" s="409" t="n">
        <v>0</v>
      </c>
      <c r="N750" s="378" t="n">
        <v>1958</v>
      </c>
      <c r="O750" s="393" t="n">
        <v>1137</v>
      </c>
      <c r="Q750" s="605" t="n">
        <v>14</v>
      </c>
      <c r="R750" s="605" t="n">
        <v>3</v>
      </c>
      <c r="S750" s="605" t="n">
        <v>1</v>
      </c>
      <c r="T750" s="403" t="inlineStr">
        <is>
          <t xml:space="preserve">I1   </t>
        </is>
      </c>
      <c r="U750" s="403" t="n">
        <v>398</v>
      </c>
      <c r="V750" s="404" t="n">
        <v>12488</v>
      </c>
      <c r="W750" s="404" t="n">
        <v>12000</v>
      </c>
      <c r="X750" s="410" t="inlineStr">
        <is>
          <t>1.5:1</t>
        </is>
      </c>
      <c r="Y750" s="404">
        <f>ROUND(J750,-3)</f>
        <v/>
      </c>
      <c r="Z750" s="403" t="inlineStr">
        <is>
          <t xml:space="preserve">C </t>
        </is>
      </c>
      <c r="AA750" s="605" t="n">
        <v>2</v>
      </c>
      <c r="AB750" s="605" t="n">
        <v>2</v>
      </c>
      <c r="AC750" s="378" t="inlineStr">
        <is>
          <t>22</t>
        </is>
      </c>
      <c r="AD750" s="384" t="inlineStr">
        <is>
          <t xml:space="preserve">SCHERER METALS, INC </t>
        </is>
      </c>
      <c r="AE750" s="145" t="n"/>
      <c r="AF750" s="145" t="n"/>
      <c r="AG750" s="145" t="n"/>
      <c r="AH750" s="145" t="n"/>
      <c r="AI750" s="145" t="n"/>
      <c r="AJ750" s="145" t="n"/>
      <c r="AK750" s="145" t="inlineStr">
        <is>
          <t xml:space="preserve">S-T WHSE.                                                         </t>
        </is>
      </c>
      <c r="AL750" s="605">
        <f>IF(AND(ISNUMBER($S750),$S750&gt;0,ISNUMBER($K750),ISNUMBER($J750)),($K750*$J750)/$S750,"")</f>
        <v/>
      </c>
    </row>
    <row r="751" ht="12.75" customHeight="1" s="545">
      <c r="A751" s="388" t="n">
        <v>8</v>
      </c>
      <c r="B751" s="605" t="n">
        <v>743</v>
      </c>
      <c r="C751" s="384" t="inlineStr">
        <is>
          <t>2009Q</t>
        </is>
      </c>
      <c r="D751" s="605" t="inlineStr">
        <is>
          <t xml:space="preserve">02271-00-019-000 </t>
        </is>
      </c>
      <c r="E751" s="407" t="inlineStr">
        <is>
          <t>Actual</t>
        </is>
      </c>
      <c r="F751" s="605" t="inlineStr">
        <is>
          <t>3325   BRIGHTON             BV</t>
        </is>
      </c>
      <c r="G751" s="392" t="n">
        <v>44.1</v>
      </c>
      <c r="H751" s="378" t="n">
        <v>9210</v>
      </c>
      <c r="I751" s="403" t="n">
        <v>0</v>
      </c>
      <c r="J751" s="404" t="n">
        <v>7668</v>
      </c>
      <c r="K751" s="408" t="n">
        <v>5.94679186228482</v>
      </c>
      <c r="L751" s="409" t="n">
        <v>0</v>
      </c>
      <c r="M751" s="409" t="n">
        <v>0.128070175438597</v>
      </c>
      <c r="N751" s="378" t="n">
        <v>1948</v>
      </c>
      <c r="O751" s="393">
        <f>850*2</f>
        <v/>
      </c>
      <c r="Q751" s="605" t="n">
        <v>15</v>
      </c>
      <c r="R751" s="605" t="n">
        <v>1</v>
      </c>
      <c r="S751" s="605" t="n">
        <v>1</v>
      </c>
      <c r="T751" s="403" t="inlineStr">
        <is>
          <t xml:space="preserve">I2   </t>
        </is>
      </c>
      <c r="U751" s="403" t="n">
        <v>398</v>
      </c>
      <c r="V751" s="404" t="n">
        <v>18830</v>
      </c>
      <c r="W751" s="404" t="n">
        <v>19000</v>
      </c>
      <c r="X751" s="410" t="inlineStr">
        <is>
          <t>2.5:1</t>
        </is>
      </c>
      <c r="Y751" s="404">
        <f>ROUND(J751,-3)</f>
        <v/>
      </c>
      <c r="Z751" s="403" t="inlineStr">
        <is>
          <t xml:space="preserve">C </t>
        </is>
      </c>
      <c r="AA751" s="605" t="n">
        <v>3</v>
      </c>
      <c r="AB751" s="605" t="n">
        <v>3</v>
      </c>
      <c r="AC751" s="378" t="inlineStr">
        <is>
          <t>33</t>
        </is>
      </c>
      <c r="AD751" s="384" t="inlineStr">
        <is>
          <t>PYRAMID PRINT&amp;GRPHCS</t>
        </is>
      </c>
      <c r="AE751" s="145" t="n"/>
      <c r="AF751" s="145" t="n"/>
      <c r="AG751" s="145" t="n"/>
      <c r="AH751" s="145" t="n"/>
      <c r="AI751" s="145" t="n"/>
      <c r="AJ751" s="145" t="n"/>
      <c r="AK751" s="145" t="inlineStr">
        <is>
          <t xml:space="preserve">M-T WHSE.; 2 TENANTS; 2005 LEASES.                                </t>
        </is>
      </c>
      <c r="AL751" s="605">
        <f>IF(AND(ISNUMBER($S751),$S751&gt;0,ISNUMBER($K751),ISNUMBER($J751)),($K751*$J751)/$S751,"")</f>
        <v/>
      </c>
    </row>
    <row r="752" ht="12.75" customHeight="1" s="545">
      <c r="A752" s="388" t="n">
        <v>8</v>
      </c>
      <c r="B752" s="605" t="n">
        <v>744</v>
      </c>
      <c r="C752" s="384" t="inlineStr">
        <is>
          <t>2009Q</t>
        </is>
      </c>
      <c r="D752" s="605" t="inlineStr">
        <is>
          <t xml:space="preserve">02271-06-006-000 </t>
        </is>
      </c>
      <c r="E752" s="407" t="inlineStr">
        <is>
          <t>Actual</t>
        </is>
      </c>
      <c r="F752" s="605" t="inlineStr">
        <is>
          <t>3726   BRIGHTON             BV</t>
        </is>
      </c>
      <c r="G752" s="392" t="n">
        <v>44.1</v>
      </c>
      <c r="H752" s="378" t="n">
        <v>9210</v>
      </c>
      <c r="I752" s="403" t="n">
        <v>0</v>
      </c>
      <c r="J752" s="404" t="n">
        <v>7232</v>
      </c>
      <c r="K752" s="408" t="n">
        <v>6.05641592920354</v>
      </c>
      <c r="L752" s="409" t="n">
        <v>0</v>
      </c>
      <c r="M752" s="409" t="n">
        <v>0</v>
      </c>
      <c r="N752" s="378" t="n">
        <v>1975</v>
      </c>
      <c r="Q752" s="605" t="n">
        <v>13</v>
      </c>
      <c r="R752" s="605" t="n">
        <v>3</v>
      </c>
      <c r="S752" s="605" t="n">
        <v>1</v>
      </c>
      <c r="T752" s="403" t="inlineStr">
        <is>
          <t xml:space="preserve">I1   </t>
        </is>
      </c>
      <c r="U752" s="403" t="n">
        <v>398</v>
      </c>
      <c r="V752" s="404" t="n">
        <v>9375</v>
      </c>
      <c r="W752" s="404" t="n">
        <v>9000</v>
      </c>
      <c r="X752" s="410" t="inlineStr">
        <is>
          <t>1.3:1</t>
        </is>
      </c>
      <c r="Y752" s="404">
        <f>ROUND(J752,-3)</f>
        <v/>
      </c>
      <c r="Z752" s="403" t="inlineStr">
        <is>
          <t xml:space="preserve">C </t>
        </is>
      </c>
      <c r="AA752" s="605" t="n">
        <v>3</v>
      </c>
      <c r="AB752" s="605" t="n">
        <v>3</v>
      </c>
      <c r="AC752" s="378" t="inlineStr">
        <is>
          <t>33</t>
        </is>
      </c>
      <c r="AD752" s="384" t="inlineStr">
        <is>
          <t xml:space="preserve">BIG DOG/IRON HORSE  </t>
        </is>
      </c>
      <c r="AE752" s="145" t="n"/>
      <c r="AF752" s="145" t="n"/>
      <c r="AG752" s="145" t="n"/>
      <c r="AH752" s="145" t="n"/>
      <c r="AI752" s="145" t="n"/>
      <c r="AJ752" s="145" t="n"/>
      <c r="AK752" s="145" t="inlineStr">
        <is>
          <t xml:space="preserve">S-T WHSE.                                                         </t>
        </is>
      </c>
      <c r="AL752" s="605">
        <f>IF(AND(ISNUMBER($S752),$S752&gt;0,ISNUMBER($K752),ISNUMBER($J752)),($K752*$J752)/$S752,"")</f>
        <v/>
      </c>
    </row>
    <row r="753" ht="12.75" customHeight="1" s="545">
      <c r="A753" s="388" t="n">
        <v>8</v>
      </c>
      <c r="B753" s="605" t="n">
        <v>745</v>
      </c>
      <c r="C753" s="384" t="inlineStr">
        <is>
          <t>2009Q</t>
        </is>
      </c>
      <c r="D753" s="605" t="inlineStr">
        <is>
          <t xml:space="preserve">02271-06-039-000 </t>
        </is>
      </c>
      <c r="E753" s="407" t="inlineStr">
        <is>
          <t>Actual</t>
        </is>
      </c>
      <c r="F753" s="605" t="inlineStr">
        <is>
          <t>3610   BRIGHTON             BV</t>
        </is>
      </c>
      <c r="G753" s="392" t="n">
        <v>47.1</v>
      </c>
      <c r="H753" s="378" t="n">
        <v>9210</v>
      </c>
      <c r="I753" s="403" t="n">
        <v>0</v>
      </c>
      <c r="J753" s="404" t="n">
        <v>7331</v>
      </c>
      <c r="K753" s="408" t="n">
        <v>4.99249761287682</v>
      </c>
      <c r="L753" s="409" t="n">
        <v>0</v>
      </c>
      <c r="M753" s="409" t="n">
        <v>0</v>
      </c>
      <c r="N753" s="378" t="n">
        <v>1954</v>
      </c>
      <c r="O753" s="393" t="n">
        <v>672</v>
      </c>
      <c r="Q753" s="605" t="n">
        <v>20</v>
      </c>
      <c r="R753" s="605" t="n">
        <v>3</v>
      </c>
      <c r="S753" s="605" t="n">
        <v>1</v>
      </c>
      <c r="T753" s="403" t="inlineStr">
        <is>
          <t xml:space="preserve">I1   </t>
        </is>
      </c>
      <c r="U753" s="403" t="n">
        <v>401</v>
      </c>
      <c r="V753" s="404" t="n">
        <v>21875</v>
      </c>
      <c r="W753" s="404" t="n">
        <v>22000</v>
      </c>
      <c r="X753" s="410" t="inlineStr">
        <is>
          <t>3.0:1</t>
        </is>
      </c>
      <c r="Y753" s="404">
        <f>ROUND(J753,-3)</f>
        <v/>
      </c>
      <c r="Z753" s="403" t="inlineStr">
        <is>
          <t xml:space="preserve">A </t>
        </is>
      </c>
      <c r="AA753" s="605" t="n">
        <v>3</v>
      </c>
      <c r="AB753" s="605" t="n">
        <v>3</v>
      </c>
      <c r="AC753" s="378" t="inlineStr">
        <is>
          <t>33</t>
        </is>
      </c>
      <c r="AD753" s="384" t="n"/>
      <c r="AE753" s="145" t="n"/>
      <c r="AF753" s="145" t="n"/>
      <c r="AG753" s="145" t="n"/>
      <c r="AH753" s="145" t="n"/>
      <c r="AI753" s="145" t="n"/>
      <c r="AJ753" s="145" t="n"/>
      <c r="AK753" s="145" t="inlineStr">
        <is>
          <t xml:space="preserve">S-T INDUSTRIAL; -017,021 INCLUDED=+15625SF LAND;AGE OF LEASE UNK. </t>
        </is>
      </c>
      <c r="AL753" s="605">
        <f>IF(AND(ISNUMBER($S753),$S753&gt;0,ISNUMBER($K753),ISNUMBER($J753)),($K753*$J753)/$S753,"")</f>
        <v/>
      </c>
    </row>
    <row r="754" ht="12.75" customHeight="1" s="545">
      <c r="A754" s="388" t="n">
        <v>8</v>
      </c>
      <c r="B754" s="605" t="n">
        <v>746</v>
      </c>
      <c r="C754" s="384" t="inlineStr">
        <is>
          <t>2009Q</t>
        </is>
      </c>
      <c r="D754" s="605" t="inlineStr">
        <is>
          <t xml:space="preserve">02271-07-021-000 </t>
        </is>
      </c>
      <c r="E754" s="407" t="inlineStr">
        <is>
          <t>Actual</t>
        </is>
      </c>
      <c r="F754" s="605" t="inlineStr">
        <is>
          <t>3606   DELGANY              ST</t>
        </is>
      </c>
      <c r="G754" s="392" t="n">
        <v>44.1</v>
      </c>
      <c r="H754" s="378" t="n">
        <v>9210</v>
      </c>
      <c r="I754" s="403" t="n">
        <v>0</v>
      </c>
      <c r="J754" s="404" t="n">
        <v>7200</v>
      </c>
      <c r="K754" s="408" t="n">
        <v>7</v>
      </c>
      <c r="L754" s="409" t="n">
        <v>0</v>
      </c>
      <c r="M754" s="409" t="n">
        <v>0</v>
      </c>
      <c r="N754" s="378" t="n">
        <v>1972</v>
      </c>
      <c r="O754" s="393" t="n">
        <v>1037</v>
      </c>
      <c r="Q754" s="605" t="n">
        <v>16</v>
      </c>
      <c r="R754" s="605" t="n">
        <v>7</v>
      </c>
      <c r="S754" s="605" t="n">
        <v>1</v>
      </c>
      <c r="T754" s="403" t="inlineStr">
        <is>
          <t xml:space="preserve">I1   </t>
        </is>
      </c>
      <c r="U754" s="403" t="n">
        <v>398</v>
      </c>
      <c r="V754" s="404" t="n">
        <v>18750</v>
      </c>
      <c r="W754" s="404" t="n">
        <v>19000</v>
      </c>
      <c r="X754" s="410" t="inlineStr">
        <is>
          <t>2.6:1</t>
        </is>
      </c>
      <c r="Y754" s="404">
        <f>ROUND(J754,-3)</f>
        <v/>
      </c>
      <c r="Z754" s="403" t="inlineStr">
        <is>
          <t xml:space="preserve">C </t>
        </is>
      </c>
      <c r="AA754" s="605" t="n">
        <v>3</v>
      </c>
      <c r="AB754" s="605" t="n">
        <v>3</v>
      </c>
      <c r="AC754" s="378" t="inlineStr">
        <is>
          <t>33</t>
        </is>
      </c>
      <c r="AD754" s="384" t="inlineStr">
        <is>
          <t>S-W AMERICAN BARRICA</t>
        </is>
      </c>
      <c r="AE754" s="145" t="n"/>
      <c r="AF754" s="145" t="n"/>
      <c r="AG754" s="145" t="n"/>
      <c r="AH754" s="145" t="n"/>
      <c r="AI754" s="145" t="n"/>
      <c r="AJ754" s="145" t="n"/>
      <c r="AK754" s="145" t="inlineStr">
        <is>
          <t xml:space="preserve">S-T WHSE; DATE OF LEASE UNKNOWN.                                  </t>
        </is>
      </c>
      <c r="AL754" s="605">
        <f>IF(AND(ISNUMBER($S754),$S754&gt;0,ISNUMBER($K754),ISNUMBER($J754)),($K754*$J754)/$S754,"")</f>
        <v/>
      </c>
    </row>
    <row r="755" ht="12.75" customHeight="1" s="545">
      <c r="A755" s="388" t="n">
        <v>8</v>
      </c>
      <c r="B755" s="605" t="n">
        <v>747</v>
      </c>
      <c r="C755" s="384" t="inlineStr">
        <is>
          <t>2009Q</t>
        </is>
      </c>
      <c r="D755" s="605" t="inlineStr">
        <is>
          <t xml:space="preserve">02271-08-038-000 </t>
        </is>
      </c>
      <c r="E755" s="407" t="inlineStr">
        <is>
          <t>Actual</t>
        </is>
      </c>
      <c r="F755" s="605" t="inlineStr">
        <is>
          <t>3615   DELGANY              ST</t>
        </is>
      </c>
      <c r="G755" s="392" t="n">
        <v>44.1</v>
      </c>
      <c r="H755" s="378" t="n">
        <v>9210</v>
      </c>
      <c r="I755" s="403" t="n">
        <v>0</v>
      </c>
      <c r="J755" s="404" t="n">
        <v>4400</v>
      </c>
      <c r="K755" s="408" t="n">
        <v>4.63636363636364</v>
      </c>
      <c r="L755" s="409" t="n">
        <v>0</v>
      </c>
      <c r="M755" s="409" t="n">
        <v>0.131862745098039</v>
      </c>
      <c r="N755" s="378" t="n">
        <v>1954</v>
      </c>
      <c r="O755" s="393" t="n">
        <v>247</v>
      </c>
      <c r="Q755" s="605" t="n">
        <v>13</v>
      </c>
      <c r="R755" s="605" t="n">
        <v>3</v>
      </c>
      <c r="S755" s="605" t="n">
        <v>1</v>
      </c>
      <c r="T755" s="403" t="inlineStr">
        <is>
          <t xml:space="preserve">I1   </t>
        </is>
      </c>
      <c r="U755" s="403" t="n">
        <v>398</v>
      </c>
      <c r="V755" s="404" t="n">
        <v>17625</v>
      </c>
      <c r="W755" s="404" t="n">
        <v>18000</v>
      </c>
      <c r="X755" s="410" t="inlineStr">
        <is>
          <t>4.0:1</t>
        </is>
      </c>
      <c r="Y755" s="404">
        <f>ROUND(J755,-3)</f>
        <v/>
      </c>
      <c r="Z755" s="403" t="inlineStr">
        <is>
          <t xml:space="preserve">C </t>
        </is>
      </c>
      <c r="AA755" s="605" t="n">
        <v>3</v>
      </c>
      <c r="AB755" s="605" t="n">
        <v>3</v>
      </c>
      <c r="AC755" s="378" t="inlineStr">
        <is>
          <t>33</t>
        </is>
      </c>
      <c r="AD755" s="384" t="inlineStr">
        <is>
          <t>S-W LIGHT BLUB SERVC</t>
        </is>
      </c>
      <c r="AE755" s="145" t="n"/>
      <c r="AF755" s="145" t="n"/>
      <c r="AG755" s="145" t="n"/>
      <c r="AH755" s="145" t="n"/>
      <c r="AI755" s="145" t="n"/>
      <c r="AJ755" s="145" t="n"/>
      <c r="AK755" s="145" t="inlineStr">
        <is>
          <t xml:space="preserve">S-T WHSE.                                                         </t>
        </is>
      </c>
      <c r="AL755" s="605">
        <f>IF(AND(ISNUMBER($S755),$S755&gt;0,ISNUMBER($K755),ISNUMBER($J755)),($K755*$J755)/$S755,"")</f>
        <v/>
      </c>
    </row>
    <row r="756" ht="12.75" customHeight="1" s="545">
      <c r="A756" s="388" t="n">
        <v>8</v>
      </c>
      <c r="B756" s="605" t="n">
        <v>748</v>
      </c>
      <c r="C756" s="384" t="inlineStr">
        <is>
          <t>2009Q</t>
        </is>
      </c>
      <c r="D756" s="605" t="inlineStr">
        <is>
          <t xml:space="preserve">02271-11-021-000 </t>
        </is>
      </c>
      <c r="E756" s="407" t="inlineStr">
        <is>
          <t>Actual</t>
        </is>
      </c>
      <c r="F756" s="605" t="inlineStr">
        <is>
          <t>3537   DELGANY              ST</t>
        </is>
      </c>
      <c r="G756" s="392" t="n">
        <v>44.1</v>
      </c>
      <c r="H756" s="378" t="n">
        <v>9210</v>
      </c>
      <c r="I756" s="403" t="n">
        <v>0</v>
      </c>
      <c r="J756" s="404" t="n">
        <v>8500</v>
      </c>
      <c r="K756" s="408" t="n">
        <v>7.05882352941176</v>
      </c>
      <c r="L756" s="409" t="n">
        <v>0</v>
      </c>
      <c r="M756" s="409" t="n">
        <v>0</v>
      </c>
      <c r="N756" s="378" t="n">
        <v>1976</v>
      </c>
      <c r="O756" s="393" t="n">
        <v>1200</v>
      </c>
      <c r="Q756" s="605" t="n">
        <v>13</v>
      </c>
      <c r="R756" s="605" t="n">
        <v>3</v>
      </c>
      <c r="S756" s="605" t="n">
        <v>1</v>
      </c>
      <c r="T756" s="403" t="inlineStr">
        <is>
          <t xml:space="preserve">I1   </t>
        </is>
      </c>
      <c r="U756" s="403" t="n">
        <v>398</v>
      </c>
      <c r="V756" s="404" t="n">
        <v>9375</v>
      </c>
      <c r="W756" s="404" t="n">
        <v>9000</v>
      </c>
      <c r="X756" s="410" t="inlineStr">
        <is>
          <t>1.6:1</t>
        </is>
      </c>
      <c r="Y756" s="404">
        <f>ROUND(J756,-3)</f>
        <v/>
      </c>
      <c r="Z756" s="403" t="inlineStr">
        <is>
          <t xml:space="preserve">C </t>
        </is>
      </c>
      <c r="AA756" s="605" t="n">
        <v>3</v>
      </c>
      <c r="AB756" s="605" t="n">
        <v>3</v>
      </c>
      <c r="AC756" s="378" t="inlineStr">
        <is>
          <t>33</t>
        </is>
      </c>
      <c r="AD756" s="384" t="inlineStr">
        <is>
          <t xml:space="preserve">WHSE STORAGE        </t>
        </is>
      </c>
      <c r="AE756" s="145" t="n"/>
      <c r="AF756" s="145" t="n"/>
      <c r="AG756" s="145" t="n"/>
      <c r="AH756" s="145" t="n"/>
      <c r="AI756" s="145" t="n"/>
      <c r="AJ756" s="145" t="n"/>
      <c r="AK756" s="145" t="inlineStr">
        <is>
          <t xml:space="preserve">S-T WHSE.; DATE OF LEASE UNKNOWN.                                 </t>
        </is>
      </c>
      <c r="AL756" s="605">
        <f>IF(AND(ISNUMBER($S756),$S756&gt;0,ISNUMBER($K756),ISNUMBER($J756)),($K756*$J756)/$S756,"")</f>
        <v/>
      </c>
    </row>
    <row r="757" ht="12.75" customHeight="1" s="545">
      <c r="A757" s="388" t="n">
        <v>8</v>
      </c>
      <c r="B757" s="605" t="n">
        <v>749</v>
      </c>
      <c r="C757" s="384" t="inlineStr">
        <is>
          <t>2009Q</t>
        </is>
      </c>
      <c r="D757" s="605" t="inlineStr">
        <is>
          <t xml:space="preserve">02271-12-020-000 </t>
        </is>
      </c>
      <c r="E757" s="407" t="inlineStr">
        <is>
          <t>Actual</t>
        </is>
      </c>
      <c r="F757" s="605" t="inlineStr">
        <is>
          <t>3551   BRIGHTON             BV</t>
        </is>
      </c>
      <c r="G757" s="392" t="n">
        <v>44.2</v>
      </c>
      <c r="H757" s="378" t="n">
        <v>9210</v>
      </c>
      <c r="I757" s="403" t="n">
        <v>0</v>
      </c>
      <c r="J757" s="404" t="n">
        <v>5340</v>
      </c>
      <c r="K757" s="408" t="n">
        <v>4.9438202247191</v>
      </c>
      <c r="L757" s="409" t="n">
        <v>0</v>
      </c>
      <c r="M757" s="409" t="n">
        <v>0.201022727272727</v>
      </c>
      <c r="N757" s="378" t="n">
        <v>1955</v>
      </c>
      <c r="O757" s="393">
        <f>980+1000+980</f>
        <v/>
      </c>
      <c r="Q757" s="605" t="n">
        <v>16</v>
      </c>
      <c r="R757" s="605" t="n">
        <v>3</v>
      </c>
      <c r="S757" s="605" t="n">
        <v>1</v>
      </c>
      <c r="T757" s="403" t="inlineStr">
        <is>
          <t xml:space="preserve">I1   </t>
        </is>
      </c>
      <c r="U757" s="403" t="n">
        <v>398</v>
      </c>
      <c r="V757" s="404" t="n">
        <v>6250</v>
      </c>
      <c r="W757" s="404" t="n">
        <v>6000</v>
      </c>
      <c r="X757" s="410" t="inlineStr">
        <is>
          <t>1.2:1</t>
        </is>
      </c>
      <c r="Y757" s="404">
        <f>ROUND(J757,-3)</f>
        <v/>
      </c>
      <c r="Z757" s="403" t="inlineStr">
        <is>
          <t xml:space="preserve">C </t>
        </is>
      </c>
      <c r="AA757" s="605" t="n">
        <v>2</v>
      </c>
      <c r="AB757" s="605" t="n">
        <v>1</v>
      </c>
      <c r="AC757" s="378" t="inlineStr">
        <is>
          <t>21</t>
        </is>
      </c>
      <c r="AD757" s="384" t="n"/>
      <c r="AE757" s="145" t="n"/>
      <c r="AF757" s="145" t="n"/>
      <c r="AG757" s="145" t="n"/>
      <c r="AH757" s="145" t="n"/>
      <c r="AI757" s="145" t="n"/>
      <c r="AJ757" s="145" t="n"/>
      <c r="AK757" s="145" t="inlineStr">
        <is>
          <t xml:space="preserve">S-T WHSE.; 2006 LEASE.                                            </t>
        </is>
      </c>
      <c r="AL757" s="605">
        <f>IF(AND(ISNUMBER($S757),$S757&gt;0,ISNUMBER($K757),ISNUMBER($J757)),($K757*$J757)/$S757,"")</f>
        <v/>
      </c>
    </row>
    <row r="758" ht="12.75" customHeight="1" s="545">
      <c r="A758" s="388" t="n">
        <v>8</v>
      </c>
      <c r="B758" s="605" t="n">
        <v>750</v>
      </c>
      <c r="C758" s="384" t="inlineStr">
        <is>
          <t>2009Q</t>
        </is>
      </c>
      <c r="D758" s="605" t="inlineStr">
        <is>
          <t xml:space="preserve">02271-12-028-000 </t>
        </is>
      </c>
      <c r="E758" s="407" t="inlineStr">
        <is>
          <t>Actual</t>
        </is>
      </c>
      <c r="F758" s="605" t="inlineStr">
        <is>
          <t>3515   BRIGHTON             BV</t>
        </is>
      </c>
      <c r="G758" s="392" t="n">
        <v>46.1</v>
      </c>
      <c r="H758" s="378" t="n">
        <v>9210</v>
      </c>
      <c r="I758" s="403" t="n">
        <v>0</v>
      </c>
      <c r="J758" s="404" t="n">
        <v>4752</v>
      </c>
      <c r="K758" s="408" t="n">
        <v>7.57575757575758</v>
      </c>
      <c r="L758" s="409" t="n">
        <v>0</v>
      </c>
      <c r="M758" s="409" t="n">
        <v>0.16625</v>
      </c>
      <c r="N758" s="378" t="n">
        <v>1971</v>
      </c>
      <c r="O758" s="393">
        <f>920+720</f>
        <v/>
      </c>
      <c r="Q758" s="605" t="n">
        <v>15</v>
      </c>
      <c r="R758" s="605" t="n">
        <v>3</v>
      </c>
      <c r="S758" s="605" t="n">
        <v>1</v>
      </c>
      <c r="T758" s="403" t="inlineStr">
        <is>
          <t xml:space="preserve">I1   </t>
        </is>
      </c>
      <c r="U758" s="403" t="n">
        <v>391</v>
      </c>
      <c r="V758" s="404" t="n">
        <v>8560</v>
      </c>
      <c r="W758" s="404" t="n">
        <v>9000</v>
      </c>
      <c r="X758" s="410" t="inlineStr">
        <is>
          <t>1.8:1</t>
        </is>
      </c>
      <c r="Y758" s="404">
        <f>ROUND(J758,-3)</f>
        <v/>
      </c>
      <c r="Z758" s="403" t="inlineStr">
        <is>
          <t xml:space="preserve">C </t>
        </is>
      </c>
      <c r="AA758" s="605" t="n">
        <v>3</v>
      </c>
      <c r="AB758" s="605" t="n">
        <v>3</v>
      </c>
      <c r="AC758" s="378" t="inlineStr">
        <is>
          <t>33</t>
        </is>
      </c>
      <c r="AD758" s="384" t="n"/>
      <c r="AE758" s="145" t="n"/>
      <c r="AF758" s="145" t="n"/>
      <c r="AG758" s="145" t="n"/>
      <c r="AH758" s="145" t="n"/>
      <c r="AI758" s="145" t="n"/>
      <c r="AJ758" s="145" t="n"/>
      <c r="AK758" s="145" t="inlineStr">
        <is>
          <t xml:space="preserve">S-T INDUSTRIAL BLDG.; 2004 LEASE.                                 </t>
        </is>
      </c>
      <c r="AL758" s="605">
        <f>IF(AND(ISNUMBER($S758),$S758&gt;0,ISNUMBER($K758),ISNUMBER($J758)),($K758*$J758)/$S758,"")</f>
        <v/>
      </c>
    </row>
    <row r="759" ht="12.75" customHeight="1" s="545">
      <c r="A759" s="388" t="n">
        <v>8</v>
      </c>
      <c r="B759" s="605" t="n">
        <v>751</v>
      </c>
      <c r="C759" s="384" t="inlineStr">
        <is>
          <t>2009Q</t>
        </is>
      </c>
      <c r="D759" s="605" t="inlineStr">
        <is>
          <t xml:space="preserve">02271-12-031-000 </t>
        </is>
      </c>
      <c r="E759" s="407" t="inlineStr">
        <is>
          <t>Actual</t>
        </is>
      </c>
      <c r="F759" s="605" t="inlineStr">
        <is>
          <t>3535   BRIGHTON             BL</t>
        </is>
      </c>
      <c r="G759" s="392" t="n">
        <v>44.1</v>
      </c>
      <c r="H759" s="378" t="n">
        <v>9210</v>
      </c>
      <c r="I759" s="403" t="n">
        <v>0</v>
      </c>
      <c r="J759" s="404" t="n">
        <v>9000</v>
      </c>
      <c r="K759" s="408" t="n">
        <v>10.8888888888889</v>
      </c>
      <c r="L759" s="409" t="n">
        <v>0</v>
      </c>
      <c r="M759" s="409" t="n">
        <v>0.286734693877551</v>
      </c>
      <c r="N759" s="378" t="n">
        <v>1973</v>
      </c>
      <c r="O759" s="393" t="n">
        <v>384</v>
      </c>
      <c r="Q759" s="605" t="n">
        <v>15</v>
      </c>
      <c r="R759" s="605" t="n">
        <v>3</v>
      </c>
      <c r="S759" s="605" t="n">
        <v>1</v>
      </c>
      <c r="T759" s="403" t="inlineStr">
        <is>
          <t xml:space="preserve">I1   </t>
        </is>
      </c>
      <c r="U759" s="403" t="n">
        <v>398</v>
      </c>
      <c r="V759" s="404" t="n">
        <v>12500</v>
      </c>
      <c r="W759" s="404" t="n">
        <v>13000</v>
      </c>
      <c r="X759" s="410" t="inlineStr">
        <is>
          <t>1.3:1</t>
        </is>
      </c>
      <c r="Y759" s="404">
        <f>ROUND(J759,-3)</f>
        <v/>
      </c>
      <c r="Z759" s="403" t="inlineStr">
        <is>
          <t xml:space="preserve">C </t>
        </is>
      </c>
      <c r="AA759" s="605" t="n">
        <v>3</v>
      </c>
      <c r="AB759" s="605" t="n">
        <v>3</v>
      </c>
      <c r="AC759" s="378" t="inlineStr">
        <is>
          <t>33</t>
        </is>
      </c>
      <c r="AD759" s="384" t="n"/>
      <c r="AE759" s="145" t="n"/>
      <c r="AF759" s="145" t="n"/>
      <c r="AG759" s="145" t="n"/>
      <c r="AH759" s="145" t="n"/>
      <c r="AI759" s="145" t="n"/>
      <c r="AJ759" s="145" t="n"/>
      <c r="AK759" s="145" t="inlineStr">
        <is>
          <t xml:space="preserve">M-T WHSE.; EST. 7 TENANTS; MAY INCLUDE PCL -030.                  </t>
        </is>
      </c>
      <c r="AL759" s="605">
        <f>IF(AND(ISNUMBER($S759),$S759&gt;0,ISNUMBER($K759),ISNUMBER($J759)),($K759*$J759)/$S759,"")</f>
        <v/>
      </c>
    </row>
    <row r="760" ht="12.75" customHeight="1" s="545">
      <c r="A760" s="388" t="n">
        <v>8</v>
      </c>
      <c r="B760" s="605" t="n">
        <v>752</v>
      </c>
      <c r="C760" s="384" t="inlineStr">
        <is>
          <t>2009Q</t>
        </is>
      </c>
      <c r="D760" s="605" t="inlineStr">
        <is>
          <t xml:space="preserve">02271-13-027-000 </t>
        </is>
      </c>
      <c r="E760" s="407" t="inlineStr">
        <is>
          <t>Actual</t>
        </is>
      </c>
      <c r="F760" s="605" t="inlineStr">
        <is>
          <t>3554   BRIGHTON             BV</t>
        </is>
      </c>
      <c r="G760" s="392" t="n">
        <v>44.1</v>
      </c>
      <c r="H760" s="378" t="n">
        <v>9210</v>
      </c>
      <c r="I760" s="403" t="n">
        <v>0</v>
      </c>
      <c r="J760" s="404" t="n">
        <v>3999</v>
      </c>
      <c r="K760" s="408" t="n">
        <v>6.30157539384846</v>
      </c>
      <c r="L760" s="409" t="n">
        <v>0</v>
      </c>
      <c r="M760" s="409" t="n">
        <v>0.131944444444444</v>
      </c>
      <c r="N760" s="378" t="n">
        <v>1920</v>
      </c>
      <c r="O760" s="393" t="n">
        <v>1215</v>
      </c>
      <c r="Q760" s="605" t="n">
        <v>14</v>
      </c>
      <c r="R760" s="605" t="n">
        <v>1</v>
      </c>
      <c r="S760" s="605" t="n">
        <v>1</v>
      </c>
      <c r="T760" s="403" t="inlineStr">
        <is>
          <t xml:space="preserve">I1   </t>
        </is>
      </c>
      <c r="U760" s="403" t="n">
        <v>398</v>
      </c>
      <c r="V760" s="404" t="n">
        <v>18750</v>
      </c>
      <c r="W760" s="404" t="n">
        <v>19000</v>
      </c>
      <c r="X760" s="410" t="inlineStr">
        <is>
          <t>4.7:1</t>
        </is>
      </c>
      <c r="Y760" s="404">
        <f>ROUND(J760,-3)</f>
        <v/>
      </c>
      <c r="Z760" s="403" t="inlineStr">
        <is>
          <t xml:space="preserve">C </t>
        </is>
      </c>
      <c r="AA760" s="605" t="n">
        <v>3</v>
      </c>
      <c r="AB760" s="605" t="n">
        <v>3</v>
      </c>
      <c r="AC760" s="378" t="inlineStr">
        <is>
          <t>33</t>
        </is>
      </c>
      <c r="AD760" s="384" t="inlineStr">
        <is>
          <t xml:space="preserve">S-W  DLM STG YARD   </t>
        </is>
      </c>
      <c r="AE760" s="145" t="n"/>
      <c r="AF760" s="145" t="n"/>
      <c r="AG760" s="145" t="n"/>
      <c r="AH760" s="145" t="n"/>
      <c r="AI760" s="145" t="n"/>
      <c r="AJ760" s="145" t="n"/>
      <c r="AK760" s="145" t="inlineStr">
        <is>
          <t xml:space="preserve">S-T WHSE.                                                         </t>
        </is>
      </c>
      <c r="AL760" s="605">
        <f>IF(AND(ISNUMBER($S760),$S760&gt;0,ISNUMBER($K760),ISNUMBER($J760)),($K760*$J760)/$S760,"")</f>
        <v/>
      </c>
    </row>
    <row r="761" ht="12.75" customHeight="1" s="545">
      <c r="A761" s="388" t="n">
        <v>8</v>
      </c>
      <c r="B761" s="605" t="n">
        <v>753</v>
      </c>
      <c r="C761" s="384" t="inlineStr">
        <is>
          <t>2009Q</t>
        </is>
      </c>
      <c r="D761" s="605" t="inlineStr">
        <is>
          <t xml:space="preserve">02271-18-022-000 </t>
        </is>
      </c>
      <c r="E761" s="407" t="inlineStr">
        <is>
          <t>Actual</t>
        </is>
      </c>
      <c r="F761" s="605" t="inlineStr">
        <is>
          <t>3400   WALNUT               ST</t>
        </is>
      </c>
      <c r="G761" s="392" t="n">
        <v>44.5</v>
      </c>
      <c r="H761" s="378" t="n">
        <v>9210</v>
      </c>
      <c r="I761" s="403" t="n">
        <v>0</v>
      </c>
      <c r="J761" s="404" t="n">
        <v>22640</v>
      </c>
      <c r="K761" s="408" t="n">
        <v>7.74191696113074</v>
      </c>
      <c r="L761" s="409" t="n">
        <v>0.06</v>
      </c>
      <c r="M761" s="409" t="n">
        <v>0.240773176172573</v>
      </c>
      <c r="N761" s="378" t="n">
        <v>1950</v>
      </c>
      <c r="Q761" s="605" t="n">
        <v>11</v>
      </c>
      <c r="R761" s="605" t="n">
        <v>1</v>
      </c>
      <c r="S761" s="605" t="n">
        <v>85</v>
      </c>
      <c r="T761" s="403" t="inlineStr">
        <is>
          <t xml:space="preserve">I2   </t>
        </is>
      </c>
      <c r="U761" s="403" t="n">
        <v>396</v>
      </c>
      <c r="V761" s="404" t="n">
        <v>31250</v>
      </c>
      <c r="W761" s="404" t="n">
        <v>31000</v>
      </c>
      <c r="X761" s="410" t="inlineStr">
        <is>
          <t>1.4:1</t>
        </is>
      </c>
      <c r="Y761" s="404">
        <f>ROUND(J761,-3)</f>
        <v/>
      </c>
      <c r="Z761" s="403" t="inlineStr">
        <is>
          <t xml:space="preserve">C </t>
        </is>
      </c>
      <c r="AA761" s="605" t="n">
        <v>3</v>
      </c>
      <c r="AB761" s="605" t="n">
        <v>3</v>
      </c>
      <c r="AC761" s="378" t="inlineStr">
        <is>
          <t>33</t>
        </is>
      </c>
      <c r="AD761" s="384" t="inlineStr">
        <is>
          <t xml:space="preserve">DOWNTOWN SELF STRG  </t>
        </is>
      </c>
      <c r="AE761" s="145" t="n"/>
      <c r="AF761" s="145" t="n"/>
      <c r="AG761" s="145" t="n"/>
      <c r="AH761" s="145" t="n"/>
      <c r="AI761" s="145" t="n"/>
      <c r="AJ761" s="145" t="n"/>
      <c r="AK761" s="145" t="inlineStr">
        <is>
          <t xml:space="preserve">SELF-STORAGE FACILITY.                                            </t>
        </is>
      </c>
      <c r="AL761" s="605">
        <f>IF(AND(ISNUMBER($S761),$S761&gt;0,ISNUMBER($K761),ISNUMBER($J761)),($K761*$J761)/$S761,"")</f>
        <v/>
      </c>
    </row>
    <row r="762" ht="12.75" customHeight="1" s="545">
      <c r="A762" s="388" t="n">
        <v>8</v>
      </c>
      <c r="B762" s="605" t="n">
        <v>754</v>
      </c>
      <c r="C762" s="384" t="inlineStr">
        <is>
          <t>2009Q</t>
        </is>
      </c>
      <c r="D762" s="605" t="inlineStr">
        <is>
          <t xml:space="preserve">02271-20-021-000 </t>
        </is>
      </c>
      <c r="E762" s="407" t="inlineStr">
        <is>
          <t>Actual</t>
        </is>
      </c>
      <c r="F762" s="605" t="inlineStr">
        <is>
          <t>3401   BLAKE                ST</t>
        </is>
      </c>
      <c r="G762" s="392" t="n">
        <v>47.1</v>
      </c>
      <c r="H762" s="378" t="n">
        <v>9210</v>
      </c>
      <c r="I762" s="403" t="n">
        <v>0</v>
      </c>
      <c r="J762" s="404" t="n">
        <v>14065</v>
      </c>
      <c r="K762" s="408" t="n">
        <v>10.0551724137931</v>
      </c>
      <c r="L762" s="409" t="n">
        <v>0</v>
      </c>
      <c r="M762" s="409" t="n">
        <v>0</v>
      </c>
      <c r="N762" s="378" t="n">
        <v>2000</v>
      </c>
      <c r="O762" s="393" t="n">
        <v>2410</v>
      </c>
      <c r="Q762" s="605" t="n">
        <v>16</v>
      </c>
      <c r="R762" s="605" t="n">
        <v>3</v>
      </c>
      <c r="S762" s="605" t="n">
        <v>1</v>
      </c>
      <c r="T762" s="403" t="inlineStr">
        <is>
          <t xml:space="preserve">I2   </t>
        </is>
      </c>
      <c r="U762" s="403" t="n">
        <v>401</v>
      </c>
      <c r="V762" s="404" t="n">
        <v>6875</v>
      </c>
      <c r="W762" s="404" t="n">
        <v>7000</v>
      </c>
      <c r="X762" s="410" t="inlineStr">
        <is>
          <t>0.5:1</t>
        </is>
      </c>
      <c r="Y762" s="404">
        <f>ROUND(J762,-3)</f>
        <v/>
      </c>
      <c r="Z762" s="403" t="inlineStr">
        <is>
          <t xml:space="preserve">C </t>
        </is>
      </c>
      <c r="AA762" s="605" t="n">
        <v>3</v>
      </c>
      <c r="AB762" s="605" t="n">
        <v>3</v>
      </c>
      <c r="AC762" s="378" t="inlineStr">
        <is>
          <t>33</t>
        </is>
      </c>
      <c r="AD762" s="384" t="inlineStr">
        <is>
          <t xml:space="preserve">NEOSOURCE           </t>
        </is>
      </c>
      <c r="AE762" s="145" t="n"/>
      <c r="AF762" s="145" t="n"/>
      <c r="AG762" s="145" t="n"/>
      <c r="AH762" s="145" t="n"/>
      <c r="AI762" s="145" t="n"/>
      <c r="AJ762" s="145" t="n"/>
      <c r="AK762" s="145" t="inlineStr">
        <is>
          <t xml:space="preserve">S-T INDUSTRIAL BLDG.; LEASE DATES FROM 2004.                      </t>
        </is>
      </c>
      <c r="AL762" s="605">
        <f>IF(AND(ISNUMBER($S762),$S762&gt;0,ISNUMBER($K762),ISNUMBER($J762)),($K762*$J762)/$S762,"")</f>
        <v/>
      </c>
    </row>
    <row r="763" ht="12.75" customHeight="1" s="545">
      <c r="A763" s="388" t="n">
        <v>8</v>
      </c>
      <c r="B763" s="605" t="n">
        <v>755</v>
      </c>
      <c r="C763" s="384" t="inlineStr">
        <is>
          <t>2009Q</t>
        </is>
      </c>
      <c r="D763" s="605" t="inlineStr">
        <is>
          <t xml:space="preserve">02271-22-005-000 </t>
        </is>
      </c>
      <c r="E763" s="407" t="inlineStr">
        <is>
          <t>Actual</t>
        </is>
      </c>
      <c r="F763" s="605" t="inlineStr">
        <is>
          <t>3430   BRIGHTON             BV</t>
        </is>
      </c>
      <c r="G763" s="392" t="n">
        <v>44.1</v>
      </c>
      <c r="H763" s="378" t="n">
        <v>9210</v>
      </c>
      <c r="I763" s="403" t="n">
        <v>0</v>
      </c>
      <c r="J763" s="404" t="n">
        <v>7464</v>
      </c>
      <c r="K763" s="408" t="n">
        <v>4.82315112540193</v>
      </c>
      <c r="L763" s="409" t="n">
        <v>0</v>
      </c>
      <c r="M763" s="409" t="n">
        <v>0.111944444444444</v>
      </c>
      <c r="N763" s="378" t="n">
        <v>1931</v>
      </c>
      <c r="O763" s="393" t="n">
        <v>180</v>
      </c>
      <c r="Q763" s="605" t="n">
        <v>14</v>
      </c>
      <c r="R763" s="605" t="n">
        <v>7</v>
      </c>
      <c r="S763" s="605" t="n">
        <v>1</v>
      </c>
      <c r="T763" s="403" t="inlineStr">
        <is>
          <t xml:space="preserve">I2   </t>
        </is>
      </c>
      <c r="U763" s="403" t="n">
        <v>398</v>
      </c>
      <c r="V763" s="404" t="n">
        <v>12500</v>
      </c>
      <c r="W763" s="404" t="n">
        <v>13000</v>
      </c>
      <c r="X763" s="410" t="inlineStr">
        <is>
          <t>1.7:1</t>
        </is>
      </c>
      <c r="Y763" s="404">
        <f>ROUND(J763,-3)</f>
        <v/>
      </c>
      <c r="Z763" s="403" t="inlineStr">
        <is>
          <t xml:space="preserve">C </t>
        </is>
      </c>
      <c r="AA763" s="605" t="n">
        <v>1</v>
      </c>
      <c r="AB763" s="605" t="n">
        <v>3</v>
      </c>
      <c r="AC763" s="378" t="inlineStr">
        <is>
          <t>13</t>
        </is>
      </c>
      <c r="AD763" s="384" t="inlineStr">
        <is>
          <t xml:space="preserve">SANTA FE HTG &amp; AC   </t>
        </is>
      </c>
      <c r="AE763" s="145" t="n"/>
      <c r="AF763" s="145" t="n"/>
      <c r="AG763" s="145" t="n"/>
      <c r="AH763" s="145" t="n"/>
      <c r="AI763" s="145" t="n"/>
      <c r="AJ763" s="145" t="n"/>
      <c r="AK763" s="145" t="inlineStr">
        <is>
          <t xml:space="preserve">S-T WHSE.                                                         </t>
        </is>
      </c>
      <c r="AL763" s="605">
        <f>IF(AND(ISNUMBER($S763),$S763&gt;0,ISNUMBER($K763),ISNUMBER($J763)),($K763*$J763)/$S763,"")</f>
        <v/>
      </c>
    </row>
    <row r="764" ht="12.75" customHeight="1" s="545">
      <c r="A764" s="388" t="n">
        <v>8</v>
      </c>
      <c r="B764" s="605" t="n">
        <v>756</v>
      </c>
      <c r="C764" s="384" t="inlineStr">
        <is>
          <t>2009Q</t>
        </is>
      </c>
      <c r="D764" s="605" t="inlineStr">
        <is>
          <t xml:space="preserve">02271-22-011-000 </t>
        </is>
      </c>
      <c r="E764" s="407" t="inlineStr">
        <is>
          <t>Actual</t>
        </is>
      </c>
      <c r="F764" s="605" t="inlineStr">
        <is>
          <t>3435   WYNKOOP              ST</t>
        </is>
      </c>
      <c r="G764" s="392" t="n">
        <v>44.2</v>
      </c>
      <c r="H764" s="378" t="n">
        <v>9210</v>
      </c>
      <c r="I764" s="403" t="n">
        <v>0</v>
      </c>
      <c r="J764" s="404" t="n">
        <v>600</v>
      </c>
      <c r="K764" s="408" t="n">
        <v>13.2</v>
      </c>
      <c r="L764" s="409" t="n">
        <v>0</v>
      </c>
      <c r="M764" s="409" t="n">
        <v>0</v>
      </c>
      <c r="N764" s="378" t="n">
        <v>1942</v>
      </c>
      <c r="P764" s="393">
        <f>2531+246</f>
        <v/>
      </c>
      <c r="Q764" s="605" t="n">
        <v>16</v>
      </c>
      <c r="R764" s="605" t="n">
        <v>1</v>
      </c>
      <c r="S764" s="605" t="n">
        <v>1</v>
      </c>
      <c r="T764" s="403" t="inlineStr">
        <is>
          <t xml:space="preserve">I2   </t>
        </is>
      </c>
      <c r="U764" s="403" t="n">
        <v>398</v>
      </c>
      <c r="V764" s="404" t="n">
        <v>12402</v>
      </c>
      <c r="W764" s="404" t="n">
        <v>12000</v>
      </c>
      <c r="X764" s="410" t="inlineStr">
        <is>
          <t>2.3:1</t>
        </is>
      </c>
      <c r="Y764" s="404">
        <f>ROUND(J764,-2)</f>
        <v/>
      </c>
      <c r="Z764" s="403" t="inlineStr">
        <is>
          <t xml:space="preserve">C </t>
        </is>
      </c>
      <c r="AA764" s="605" t="n">
        <v>3</v>
      </c>
      <c r="AB764" s="605" t="n">
        <v>1</v>
      </c>
      <c r="AC764" s="378" t="inlineStr">
        <is>
          <t>31</t>
        </is>
      </c>
      <c r="AD764" s="384" t="inlineStr">
        <is>
          <t xml:space="preserve">M-W                 </t>
        </is>
      </c>
      <c r="AE764" s="145" t="n"/>
      <c r="AF764" s="145" t="n"/>
      <c r="AG764" s="145" t="n"/>
      <c r="AH764" s="145" t="n"/>
      <c r="AI764" s="145" t="n"/>
      <c r="AJ764" s="145" t="n"/>
      <c r="AK764" s="145" t="inlineStr">
        <is>
          <t xml:space="preserve">M-T WHSE; 2 TENANTS INCLUDING OWNER.                              </t>
        </is>
      </c>
      <c r="AL764" s="605">
        <f>IF(AND(ISNUMBER($S764),$S764&gt;0,ISNUMBER($K764),ISNUMBER($J764)),($K764*$J764)/$S764,"")</f>
        <v/>
      </c>
    </row>
    <row r="765" ht="12.75" customHeight="1" s="545">
      <c r="A765" s="388" t="n">
        <v>8</v>
      </c>
      <c r="B765" s="605" t="n">
        <v>757</v>
      </c>
      <c r="C765" s="384" t="inlineStr">
        <is>
          <t>2009Q</t>
        </is>
      </c>
      <c r="D765" s="605" t="inlineStr">
        <is>
          <t xml:space="preserve">02271-22-014-000 </t>
        </is>
      </c>
      <c r="E765" s="407" t="inlineStr">
        <is>
          <t>Actual</t>
        </is>
      </c>
      <c r="F765" s="605" t="inlineStr">
        <is>
          <t>3400   BRIGHTON             BV</t>
        </is>
      </c>
      <c r="G765" s="392" t="n">
        <v>47.1</v>
      </c>
      <c r="H765" s="378" t="n">
        <v>9210</v>
      </c>
      <c r="I765" s="403" t="n">
        <v>0</v>
      </c>
      <c r="J765" s="404" t="n">
        <v>6832</v>
      </c>
      <c r="K765" s="408" t="n">
        <v>5.62060889929742</v>
      </c>
      <c r="L765" s="409" t="n">
        <v>0</v>
      </c>
      <c r="M765" s="409" t="n">
        <v>0.175520833333333</v>
      </c>
      <c r="N765" s="378" t="n">
        <v>1957</v>
      </c>
      <c r="Q765" s="605" t="n">
        <v>22</v>
      </c>
      <c r="R765" s="605" t="n">
        <v>3</v>
      </c>
      <c r="S765" s="605" t="n">
        <v>1</v>
      </c>
      <c r="T765" s="403" t="inlineStr">
        <is>
          <t xml:space="preserve">I2   </t>
        </is>
      </c>
      <c r="U765" s="403" t="n">
        <v>401</v>
      </c>
      <c r="V765" s="404" t="n">
        <v>27680</v>
      </c>
      <c r="W765" s="404" t="n">
        <v>28000</v>
      </c>
      <c r="X765" s="410" t="inlineStr">
        <is>
          <t>4.1:1</t>
        </is>
      </c>
      <c r="Y765" s="404">
        <f>ROUND(J765,-3)</f>
        <v/>
      </c>
      <c r="Z765" s="403" t="inlineStr">
        <is>
          <t xml:space="preserve">C </t>
        </is>
      </c>
      <c r="AA765" s="605" t="n">
        <v>1</v>
      </c>
      <c r="AB765" s="605" t="n">
        <v>3</v>
      </c>
      <c r="AC765" s="378" t="inlineStr">
        <is>
          <t>13</t>
        </is>
      </c>
      <c r="AD765" s="384" t="inlineStr">
        <is>
          <t>QUINN PROCESS EQPMNT</t>
        </is>
      </c>
      <c r="AE765" s="145" t="n"/>
      <c r="AF765" s="145" t="n"/>
      <c r="AG765" s="145" t="n"/>
      <c r="AH765" s="145" t="n"/>
      <c r="AI765" s="145" t="n"/>
      <c r="AJ765" s="145" t="n"/>
      <c r="AK765" s="145" t="inlineStr">
        <is>
          <t xml:space="preserve">S-T INDUSTRIAL BLDG.; 2005 LEASE.                                 </t>
        </is>
      </c>
      <c r="AL765" s="605">
        <f>IF(AND(ISNUMBER($S765),$S765&gt;0,ISNUMBER($K765),ISNUMBER($J765)),($K765*$J765)/$S765,"")</f>
        <v/>
      </c>
    </row>
    <row r="766" ht="12.75" customHeight="1" s="545">
      <c r="A766" s="388" t="n">
        <v>8</v>
      </c>
      <c r="B766" s="605" t="n">
        <v>758</v>
      </c>
      <c r="C766" s="384" t="inlineStr">
        <is>
          <t>2009Q</t>
        </is>
      </c>
      <c r="D766" s="605" t="inlineStr">
        <is>
          <t xml:space="preserve">02271-23-013-000 </t>
        </is>
      </c>
      <c r="E766" s="407" t="inlineStr">
        <is>
          <t>Actual</t>
        </is>
      </c>
      <c r="F766" s="605" t="inlineStr">
        <is>
          <t>3403   BRIGHTON             BV</t>
        </is>
      </c>
      <c r="G766" s="392" t="n">
        <v>44.1</v>
      </c>
      <c r="H766" s="378" t="n">
        <v>9210</v>
      </c>
      <c r="I766" s="403" t="n">
        <v>0</v>
      </c>
      <c r="J766" s="404" t="n">
        <v>9530</v>
      </c>
      <c r="K766" s="408" t="n">
        <v>12.591815320042</v>
      </c>
      <c r="L766" s="409" t="n">
        <v>0</v>
      </c>
      <c r="M766" s="409" t="n">
        <v>0</v>
      </c>
      <c r="N766" s="378" t="n">
        <v>1941</v>
      </c>
      <c r="P766" s="393" t="n">
        <v>1758</v>
      </c>
      <c r="Q766" s="605" t="n">
        <v>20</v>
      </c>
      <c r="R766" s="605" t="n">
        <v>1</v>
      </c>
      <c r="S766" s="605" t="n">
        <v>1</v>
      </c>
      <c r="T766" s="403" t="inlineStr">
        <is>
          <t xml:space="preserve">I2   </t>
        </is>
      </c>
      <c r="U766" s="403" t="n">
        <v>398</v>
      </c>
      <c r="V766" s="404" t="n">
        <v>190539</v>
      </c>
      <c r="W766" s="404" t="n">
        <v>190000</v>
      </c>
      <c r="X766" s="410" t="inlineStr">
        <is>
          <t>20.0:1</t>
        </is>
      </c>
      <c r="Y766" s="404">
        <f>ROUND(J766,-3)</f>
        <v/>
      </c>
      <c r="Z766" s="403" t="inlineStr">
        <is>
          <t xml:space="preserve">C </t>
        </is>
      </c>
      <c r="AA766" s="605" t="n">
        <v>3</v>
      </c>
      <c r="AB766" s="605" t="n">
        <v>3</v>
      </c>
      <c r="AC766" s="378" t="inlineStr">
        <is>
          <t>33</t>
        </is>
      </c>
      <c r="AD766" s="384" t="inlineStr">
        <is>
          <t>CENTRAL FOREIGN AUTO</t>
        </is>
      </c>
      <c r="AE766" s="145" t="n"/>
      <c r="AF766" s="145" t="n"/>
      <c r="AG766" s="145" t="n"/>
      <c r="AH766" s="145" t="n"/>
      <c r="AI766" s="145" t="n"/>
      <c r="AJ766" s="145" t="n"/>
      <c r="AK766" s="145" t="inlineStr">
        <is>
          <t xml:space="preserve">S-T WHSE.; CENTRAL FOREIGN AUTO PARTS; AGE OF LEASE UNKNOWN.      </t>
        </is>
      </c>
      <c r="AL766" s="605">
        <f>IF(AND(ISNUMBER($S766),$S766&gt;0,ISNUMBER($K766),ISNUMBER($J766)),($K766*$J766)/$S766,"")</f>
        <v/>
      </c>
    </row>
    <row r="767" ht="12.75" customHeight="1" s="545">
      <c r="A767" s="388" t="n">
        <v>8</v>
      </c>
      <c r="B767" s="605" t="n">
        <v>759</v>
      </c>
      <c r="C767" s="384" t="inlineStr">
        <is>
          <t>2009Q</t>
        </is>
      </c>
      <c r="D767" s="605" t="inlineStr">
        <is>
          <t xml:space="preserve">02271-28-008-000 </t>
        </is>
      </c>
      <c r="E767" s="407" t="inlineStr">
        <is>
          <t>Actual</t>
        </is>
      </c>
      <c r="F767" s="605" t="inlineStr">
        <is>
          <t>3305   LARIMER              ST</t>
        </is>
      </c>
      <c r="G767" s="392" t="n">
        <v>44.1</v>
      </c>
      <c r="H767" s="378" t="n">
        <v>9210</v>
      </c>
      <c r="I767" s="403" t="n">
        <v>0</v>
      </c>
      <c r="J767" s="404" t="n">
        <v>7000</v>
      </c>
      <c r="K767" s="408" t="n">
        <v>2.91428571428571</v>
      </c>
      <c r="L767" s="409" t="n">
        <v>0</v>
      </c>
      <c r="M767" s="409" t="n">
        <v>0</v>
      </c>
      <c r="N767" s="378" t="n">
        <v>1973</v>
      </c>
      <c r="O767" s="393" t="n">
        <v>312</v>
      </c>
      <c r="Q767" s="605" t="n">
        <v>15</v>
      </c>
      <c r="R767" s="605" t="n">
        <v>3</v>
      </c>
      <c r="S767" s="605" t="n">
        <v>1</v>
      </c>
      <c r="T767" s="403" t="inlineStr">
        <is>
          <t xml:space="preserve">I1   </t>
        </is>
      </c>
      <c r="U767" s="403" t="n">
        <v>398</v>
      </c>
      <c r="V767" s="404" t="n">
        <v>12500</v>
      </c>
      <c r="W767" s="404" t="n">
        <v>13000</v>
      </c>
      <c r="X767" s="410" t="inlineStr">
        <is>
          <t>1.3:1</t>
        </is>
      </c>
      <c r="Y767" s="404">
        <f>ROUND(J767,-3)</f>
        <v/>
      </c>
      <c r="Z767" s="403" t="inlineStr">
        <is>
          <t xml:space="preserve">C </t>
        </is>
      </c>
      <c r="AA767" s="605" t="n">
        <v>3</v>
      </c>
      <c r="AB767" s="605" t="n">
        <v>3</v>
      </c>
      <c r="AC767" s="378" t="inlineStr">
        <is>
          <t>33</t>
        </is>
      </c>
      <c r="AD767" s="384" t="n"/>
      <c r="AE767" s="145" t="n"/>
      <c r="AF767" s="145" t="n"/>
      <c r="AG767" s="145" t="n"/>
      <c r="AH767" s="145" t="n"/>
      <c r="AI767" s="145" t="n"/>
      <c r="AJ767" s="145" t="n"/>
      <c r="AK767" s="145" t="inlineStr">
        <is>
          <t xml:space="preserve">S-T WHSE.; MO-TO-MO LEASE.                                        </t>
        </is>
      </c>
      <c r="AL767" s="605">
        <f>IF(AND(ISNUMBER($S767),$S767&gt;0,ISNUMBER($K767),ISNUMBER($J767)),($K767*$J767)/$S767,"")</f>
        <v/>
      </c>
    </row>
    <row r="768" ht="12.75" customHeight="1" s="545">
      <c r="A768" s="388" t="n">
        <v>8</v>
      </c>
      <c r="B768" s="605" t="n">
        <v>760</v>
      </c>
      <c r="C768" s="384" t="inlineStr">
        <is>
          <t>2009Q</t>
        </is>
      </c>
      <c r="D768" s="605" t="inlineStr">
        <is>
          <t xml:space="preserve">02273-00-088-000 </t>
        </is>
      </c>
      <c r="E768" s="407" t="inlineStr">
        <is>
          <t>Actual</t>
        </is>
      </c>
      <c r="F768" s="605" t="inlineStr">
        <is>
          <t>2100   31ST                 ST</t>
        </is>
      </c>
      <c r="G768" s="392" t="n">
        <v>44.1</v>
      </c>
      <c r="H768" s="378" t="n">
        <v>9210</v>
      </c>
      <c r="I768" s="403" t="n">
        <v>0</v>
      </c>
      <c r="J768" s="404" t="n">
        <v>68924</v>
      </c>
      <c r="K768" s="408" t="n">
        <v>6.68562474609715</v>
      </c>
      <c r="L768" s="409" t="n">
        <v>0</v>
      </c>
      <c r="M768" s="409" t="n">
        <v>0</v>
      </c>
      <c r="N768" s="378" t="n">
        <v>1994</v>
      </c>
      <c r="P768" s="393" t="n">
        <v>7548</v>
      </c>
      <c r="Q768" s="605" t="n">
        <v>24</v>
      </c>
      <c r="R768" s="605" t="n">
        <v>9</v>
      </c>
      <c r="S768" s="605" t="n">
        <v>1</v>
      </c>
      <c r="T768" s="403" t="inlineStr">
        <is>
          <t xml:space="preserve">I1   </t>
        </is>
      </c>
      <c r="U768" s="403" t="n">
        <v>398</v>
      </c>
      <c r="V768" s="404" t="n">
        <v>162548</v>
      </c>
      <c r="W768" s="404" t="n">
        <v>160000</v>
      </c>
      <c r="X768" s="410" t="inlineStr">
        <is>
          <t>2.4:1</t>
        </is>
      </c>
      <c r="Y768" s="404">
        <f>ROUND(J768,-4)</f>
        <v/>
      </c>
      <c r="Z768" s="403" t="inlineStr">
        <is>
          <t xml:space="preserve">C </t>
        </is>
      </c>
      <c r="AA768" s="605" t="n">
        <v>3</v>
      </c>
      <c r="AB768" s="605" t="n">
        <v>3</v>
      </c>
      <c r="AC768" s="378" t="inlineStr">
        <is>
          <t>33</t>
        </is>
      </c>
      <c r="AD768" s="384" t="inlineStr">
        <is>
          <t xml:space="preserve">DIST. FED EX BLDG   </t>
        </is>
      </c>
      <c r="AE768" s="145" t="n"/>
      <c r="AF768" s="145" t="n"/>
      <c r="AG768" s="145" t="n"/>
      <c r="AH768" s="145" t="n"/>
      <c r="AI768" s="145" t="n"/>
      <c r="AJ768" s="145" t="n"/>
      <c r="AK768" s="145" t="inlineStr">
        <is>
          <t xml:space="preserve">S-T WHSE.; FEDERAL EXPRESS; LEASES DATES FROM 2004.               </t>
        </is>
      </c>
      <c r="AL768" s="605">
        <f>IF(AND(ISNUMBER($S768),$S768&gt;0,ISNUMBER($K768),ISNUMBER($J768)),($K768*$J768)/$S768,"")</f>
        <v/>
      </c>
    </row>
    <row r="769" ht="12.75" customHeight="1" s="545">
      <c r="A769" s="388" t="n">
        <v>8</v>
      </c>
      <c r="B769" s="605" t="n">
        <v>761</v>
      </c>
      <c r="C769" s="384" t="inlineStr">
        <is>
          <t>2009Q</t>
        </is>
      </c>
      <c r="D769" s="605" t="inlineStr">
        <is>
          <t xml:space="preserve">02275-00-023-000 </t>
        </is>
      </c>
      <c r="E769" s="407" t="inlineStr">
        <is>
          <t>Actual</t>
        </is>
      </c>
      <c r="F769" s="605" t="inlineStr">
        <is>
          <t>3150   BRIGHTON             BV</t>
        </is>
      </c>
      <c r="G769" s="392" t="n">
        <v>44.2</v>
      </c>
      <c r="H769" s="378" t="n">
        <v>9210</v>
      </c>
      <c r="I769" s="403" t="n">
        <v>0</v>
      </c>
      <c r="J769" s="404" t="n">
        <v>7500</v>
      </c>
      <c r="K769" s="408" t="n">
        <v>4.8</v>
      </c>
      <c r="L769" s="409" t="n">
        <v>0</v>
      </c>
      <c r="M769" s="409" t="n">
        <v>0.172416666666667</v>
      </c>
      <c r="N769" s="378" t="n">
        <v>1968</v>
      </c>
      <c r="O769" s="393" t="n">
        <v>2908</v>
      </c>
      <c r="Q769" s="605" t="n">
        <v>15</v>
      </c>
      <c r="R769" s="605" t="n">
        <v>1</v>
      </c>
      <c r="S769" s="605" t="n">
        <v>1</v>
      </c>
      <c r="T769" s="403" t="inlineStr">
        <is>
          <t xml:space="preserve">I2   </t>
        </is>
      </c>
      <c r="U769" s="403" t="n">
        <v>398</v>
      </c>
      <c r="V769" s="404" t="n">
        <v>21452</v>
      </c>
      <c r="W769" s="404" t="n">
        <v>21000</v>
      </c>
      <c r="X769" s="410" t="inlineStr">
        <is>
          <t>2.9:1</t>
        </is>
      </c>
      <c r="Y769" s="404">
        <f>ROUND(J769,-3)</f>
        <v/>
      </c>
      <c r="Z769" s="403" t="inlineStr">
        <is>
          <t xml:space="preserve">C </t>
        </is>
      </c>
      <c r="AA769" s="605" t="n">
        <v>3</v>
      </c>
      <c r="AB769" s="605" t="n">
        <v>3</v>
      </c>
      <c r="AC769" s="378" t="inlineStr">
        <is>
          <t>33</t>
        </is>
      </c>
      <c r="AD769" s="384" t="inlineStr">
        <is>
          <t xml:space="preserve">DOGGIE DAY CARE     </t>
        </is>
      </c>
      <c r="AE769" s="145" t="n"/>
      <c r="AF769" s="145" t="n"/>
      <c r="AG769" s="145" t="n"/>
      <c r="AH769" s="145" t="n"/>
      <c r="AI769" s="145" t="n"/>
      <c r="AJ769" s="145" t="n"/>
      <c r="AK769" s="145" t="inlineStr">
        <is>
          <t xml:space="preserve">S-T WHSE.; LEASE DATES FROM 2004.                                 </t>
        </is>
      </c>
      <c r="AL769" s="605">
        <f>IF(AND(ISNUMBER($S769),$S769&gt;0,ISNUMBER($K769),ISNUMBER($J769)),($K769*$J769)/$S769,"")</f>
        <v/>
      </c>
    </row>
    <row r="770" ht="12.75" customHeight="1" s="545">
      <c r="A770" s="388" t="n">
        <v>8</v>
      </c>
      <c r="B770" s="605" t="n">
        <v>762</v>
      </c>
      <c r="C770" s="384" t="inlineStr">
        <is>
          <t>2009Q</t>
        </is>
      </c>
      <c r="D770" s="605" t="inlineStr">
        <is>
          <t xml:space="preserve">02275-00-032-000 </t>
        </is>
      </c>
      <c r="E770" s="407" t="inlineStr">
        <is>
          <t>Actual</t>
        </is>
      </c>
      <c r="F770" s="605" t="inlineStr">
        <is>
          <t>2950   ARKINS               CT</t>
        </is>
      </c>
      <c r="G770" s="392" t="n">
        <v>47.1</v>
      </c>
      <c r="H770" s="378" t="n">
        <v>9210</v>
      </c>
      <c r="I770" s="403" t="n">
        <v>0</v>
      </c>
      <c r="J770" s="404" t="n">
        <v>31638</v>
      </c>
      <c r="K770" s="408" t="n">
        <v>2.57917693912384</v>
      </c>
      <c r="L770" s="409" t="n">
        <v>0</v>
      </c>
      <c r="M770" s="409" t="n">
        <v>0.0680882352941176</v>
      </c>
      <c r="N770" s="378" t="n">
        <v>1953</v>
      </c>
      <c r="O770" s="393">
        <f>700+1034</f>
        <v/>
      </c>
      <c r="Q770" s="605" t="n">
        <v>17</v>
      </c>
      <c r="R770" s="605" t="n">
        <v>1</v>
      </c>
      <c r="S770" s="605" t="n">
        <v>1</v>
      </c>
      <c r="T770" s="403" t="inlineStr">
        <is>
          <t xml:space="preserve">I2   </t>
        </is>
      </c>
      <c r="U770" s="403" t="n">
        <v>401</v>
      </c>
      <c r="V770" s="404" t="n">
        <v>77000</v>
      </c>
      <c r="W770" s="404" t="n">
        <v>80000</v>
      </c>
      <c r="X770" s="410" t="inlineStr">
        <is>
          <t>2.4:1</t>
        </is>
      </c>
      <c r="Y770" s="404">
        <f>ROUND(J770,-3)</f>
        <v/>
      </c>
      <c r="Z770" s="403" t="inlineStr">
        <is>
          <t xml:space="preserve">C </t>
        </is>
      </c>
      <c r="AA770" s="605" t="n">
        <v>3</v>
      </c>
      <c r="AB770" s="605" t="n">
        <v>3</v>
      </c>
      <c r="AC770" s="378" t="inlineStr">
        <is>
          <t>33</t>
        </is>
      </c>
      <c r="AD770" s="384" t="inlineStr">
        <is>
          <t xml:space="preserve">S-M MANUFACTURING   </t>
        </is>
      </c>
      <c r="AE770" s="145" t="n"/>
      <c r="AF770" s="145" t="n"/>
      <c r="AG770" s="145" t="n"/>
      <c r="AH770" s="145" t="n"/>
      <c r="AI770" s="145" t="n"/>
      <c r="AJ770" s="145" t="n"/>
      <c r="AK770" s="145" t="inlineStr">
        <is>
          <t xml:space="preserve">S-T INDUSTRIAL BLDG.; AGE OF LEASE UNKNOWN.                       </t>
        </is>
      </c>
      <c r="AL770" s="605">
        <f>IF(AND(ISNUMBER($S770),$S770&gt;0,ISNUMBER($K770),ISNUMBER($J770)),($K770*$J770)/$S770,"")</f>
        <v/>
      </c>
    </row>
    <row r="771" ht="12.75" customHeight="1" s="545">
      <c r="A771" s="388" t="n">
        <v>8</v>
      </c>
      <c r="B771" s="605" t="n">
        <v>763</v>
      </c>
      <c r="C771" s="384" t="inlineStr">
        <is>
          <t>2009Q</t>
        </is>
      </c>
      <c r="D771" s="605" t="inlineStr">
        <is>
          <t xml:space="preserve">02275-00-053-000 </t>
        </is>
      </c>
      <c r="E771" s="407" t="inlineStr">
        <is>
          <t>Actual</t>
        </is>
      </c>
      <c r="F771" s="605" t="inlineStr">
        <is>
          <t>1855   29TH                 ST</t>
        </is>
      </c>
      <c r="G771" s="392" t="n">
        <v>44.1</v>
      </c>
      <c r="H771" s="378" t="n">
        <v>9210</v>
      </c>
      <c r="I771" s="403" t="n">
        <v>0</v>
      </c>
      <c r="J771" s="404" t="n">
        <v>42845</v>
      </c>
      <c r="K771" s="408" t="n">
        <v>3.82775119617225</v>
      </c>
      <c r="L771" s="409" t="n">
        <v>0</v>
      </c>
      <c r="M771" s="409" t="n">
        <v>0</v>
      </c>
      <c r="N771" s="378" t="n">
        <v>1956</v>
      </c>
      <c r="O771" s="393" t="n">
        <v>2042</v>
      </c>
      <c r="Q771" s="605" t="n">
        <v>18</v>
      </c>
      <c r="R771" s="605" t="n">
        <v>5</v>
      </c>
      <c r="S771" s="605" t="n">
        <v>1</v>
      </c>
      <c r="T771" s="403" t="inlineStr">
        <is>
          <t xml:space="preserve">I2   </t>
        </is>
      </c>
      <c r="U771" s="403" t="n">
        <v>398</v>
      </c>
      <c r="V771" s="404" t="n">
        <v>61325</v>
      </c>
      <c r="W771" s="404" t="n">
        <v>60000</v>
      </c>
      <c r="X771" s="410" t="inlineStr">
        <is>
          <t>1.4:1</t>
        </is>
      </c>
      <c r="Y771" s="404">
        <f>ROUND(J771,-3)</f>
        <v/>
      </c>
      <c r="Z771" s="403" t="inlineStr">
        <is>
          <t xml:space="preserve">C </t>
        </is>
      </c>
      <c r="AA771" s="605" t="n">
        <v>3</v>
      </c>
      <c r="AB771" s="605" t="n">
        <v>3</v>
      </c>
      <c r="AC771" s="378" t="inlineStr">
        <is>
          <t>33</t>
        </is>
      </c>
      <c r="AD771" s="384" t="n"/>
      <c r="AE771" s="145" t="n"/>
      <c r="AF771" s="145" t="n"/>
      <c r="AG771" s="145" t="n"/>
      <c r="AH771" s="145" t="n"/>
      <c r="AI771" s="145" t="n"/>
      <c r="AJ771" s="145" t="n"/>
      <c r="AK771" s="145" t="inlineStr">
        <is>
          <t xml:space="preserve">S-T WHSE.; 2006 LEASE.                                            </t>
        </is>
      </c>
      <c r="AL771" s="605">
        <f>IF(AND(ISNUMBER($S771),$S771&gt;0,ISNUMBER($K771),ISNUMBER($J771)),($K771*$J771)/$S771,"")</f>
        <v/>
      </c>
    </row>
    <row r="772" ht="12.75" customHeight="1" s="545">
      <c r="A772" s="388" t="n">
        <v>8</v>
      </c>
      <c r="B772" s="605" t="n">
        <v>764</v>
      </c>
      <c r="C772" s="384" t="inlineStr">
        <is>
          <t>2009Q</t>
        </is>
      </c>
      <c r="D772" s="605" t="inlineStr">
        <is>
          <t xml:space="preserve">02275-07-026-000 </t>
        </is>
      </c>
      <c r="E772" s="407" t="inlineStr">
        <is>
          <t>Actual</t>
        </is>
      </c>
      <c r="F772" s="605" t="inlineStr">
        <is>
          <t>3060   WALNUT               ST</t>
        </is>
      </c>
      <c r="G772" s="392" t="n">
        <v>47.1</v>
      </c>
      <c r="H772" s="378" t="n">
        <v>9210</v>
      </c>
      <c r="I772" s="403" t="n">
        <v>0</v>
      </c>
      <c r="J772" s="404" t="n">
        <v>1400</v>
      </c>
      <c r="K772" s="408" t="n">
        <v>12.8571428571429</v>
      </c>
      <c r="L772" s="409" t="n">
        <v>0</v>
      </c>
      <c r="M772" s="409" t="n">
        <v>0.263222222222222</v>
      </c>
      <c r="N772" s="378" t="n">
        <v>1942</v>
      </c>
      <c r="Q772" s="605" t="n">
        <v>23</v>
      </c>
      <c r="R772" s="605" t="n">
        <v>6</v>
      </c>
      <c r="S772" s="605" t="n">
        <v>1</v>
      </c>
      <c r="T772" s="403" t="inlineStr">
        <is>
          <t xml:space="preserve">I2   </t>
        </is>
      </c>
      <c r="U772" s="403" t="n">
        <v>401</v>
      </c>
      <c r="V772" s="404" t="n">
        <v>23990</v>
      </c>
      <c r="W772" s="404" t="n">
        <v>24000</v>
      </c>
      <c r="X772" s="410" t="inlineStr">
        <is>
          <t>4.3:1</t>
        </is>
      </c>
      <c r="Y772" s="404">
        <f>ROUND(J772,-2)</f>
        <v/>
      </c>
      <c r="Z772" s="403" t="inlineStr">
        <is>
          <t xml:space="preserve">C </t>
        </is>
      </c>
      <c r="AA772" s="605" t="n">
        <v>1</v>
      </c>
      <c r="AB772" s="605" t="n">
        <v>2</v>
      </c>
      <c r="AC772" s="378" t="inlineStr">
        <is>
          <t>12</t>
        </is>
      </c>
      <c r="AD772" s="384" t="n"/>
      <c r="AE772" s="145" t="n"/>
      <c r="AF772" s="145" t="n"/>
      <c r="AG772" s="145" t="n"/>
      <c r="AH772" s="145" t="n"/>
      <c r="AI772" s="145" t="n"/>
      <c r="AJ772" s="145" t="n"/>
      <c r="AK772" s="145" t="inlineStr">
        <is>
          <t xml:space="preserve">M-T WHSE.; 2 TENANTS                                              </t>
        </is>
      </c>
      <c r="AL772" s="605">
        <f>IF(AND(ISNUMBER($S772),$S772&gt;0,ISNUMBER($K772),ISNUMBER($J772)),($K772*$J772)/$S772,"")</f>
        <v/>
      </c>
    </row>
    <row r="773" ht="12.75" customHeight="1" s="545">
      <c r="A773" s="388" t="n">
        <v>8</v>
      </c>
      <c r="B773" s="605" t="n">
        <v>765</v>
      </c>
      <c r="C773" s="384" t="inlineStr">
        <is>
          <t>2009Q</t>
        </is>
      </c>
      <c r="D773" s="605" t="inlineStr">
        <is>
          <t xml:space="preserve">02275-07-027-000 </t>
        </is>
      </c>
      <c r="E773" s="407" t="inlineStr">
        <is>
          <t>Actual</t>
        </is>
      </c>
      <c r="F773" s="605" t="inlineStr">
        <is>
          <t>3033   LARIMER              ST</t>
        </is>
      </c>
      <c r="G773" s="392" t="n">
        <v>44.1</v>
      </c>
      <c r="H773" s="378" t="n">
        <v>9210</v>
      </c>
      <c r="I773" s="403" t="n">
        <v>0</v>
      </c>
      <c r="J773" s="404" t="n">
        <v>8806</v>
      </c>
      <c r="K773" s="408" t="n">
        <v>8.17624347036112</v>
      </c>
      <c r="L773" s="409" t="n">
        <v>0</v>
      </c>
      <c r="M773" s="409" t="n">
        <v>0.187125</v>
      </c>
      <c r="N773" s="378" t="n">
        <v>1952</v>
      </c>
      <c r="Q773" s="605" t="n">
        <v>23</v>
      </c>
      <c r="R773" s="605" t="n">
        <v>7</v>
      </c>
      <c r="S773" s="605" t="n">
        <v>1</v>
      </c>
      <c r="T773" s="403" t="inlineStr">
        <is>
          <t xml:space="preserve">I2   </t>
        </is>
      </c>
      <c r="U773" s="403" t="n">
        <v>398</v>
      </c>
      <c r="V773" s="404" t="n">
        <v>23626</v>
      </c>
      <c r="W773" s="404" t="n">
        <v>24000</v>
      </c>
      <c r="X773" s="410" t="inlineStr">
        <is>
          <t>2.7:1</t>
        </is>
      </c>
      <c r="Y773" s="404">
        <f>ROUND(J773,-3)</f>
        <v/>
      </c>
      <c r="Z773" s="403" t="inlineStr">
        <is>
          <t xml:space="preserve">C </t>
        </is>
      </c>
      <c r="AA773" s="605" t="n">
        <v>1</v>
      </c>
      <c r="AB773" s="605" t="n">
        <v>3</v>
      </c>
      <c r="AC773" s="378" t="inlineStr">
        <is>
          <t>13</t>
        </is>
      </c>
      <c r="AD773" s="384" t="n"/>
      <c r="AE773" s="145" t="n"/>
      <c r="AF773" s="145" t="n"/>
      <c r="AG773" s="145" t="n"/>
      <c r="AH773" s="145" t="n"/>
      <c r="AI773" s="145" t="n"/>
      <c r="AJ773" s="145" t="n"/>
      <c r="AK773" s="145" t="inlineStr">
        <is>
          <t>EXPENSES DERIVED FROM THE COMBINED EXPENSE W/ADJ OFFICE AND ARE HI</t>
        </is>
      </c>
      <c r="AL773" s="605">
        <f>IF(AND(ISNUMBER($S773),$S773&gt;0,ISNUMBER($K773),ISNUMBER($J773)),($K773*$J773)/$S773,"")</f>
        <v/>
      </c>
    </row>
    <row r="774" ht="12.75" customHeight="1" s="545">
      <c r="A774" s="388" t="n">
        <v>8</v>
      </c>
      <c r="B774" s="605" t="n">
        <v>766</v>
      </c>
      <c r="C774" s="384" t="inlineStr">
        <is>
          <t>2009Q</t>
        </is>
      </c>
      <c r="D774" s="605" t="inlineStr">
        <is>
          <t xml:space="preserve">02275-15-017-000 </t>
        </is>
      </c>
      <c r="E774" s="407" t="inlineStr">
        <is>
          <t>Actual</t>
        </is>
      </c>
      <c r="F774" s="605" t="inlineStr">
        <is>
          <t>2851   WALNUT               ST</t>
        </is>
      </c>
      <c r="G774" s="392" t="n">
        <v>47.1</v>
      </c>
      <c r="H774" s="378" t="n">
        <v>9210</v>
      </c>
      <c r="I774" s="403" t="n">
        <v>0</v>
      </c>
      <c r="J774" s="404" t="n">
        <v>10463</v>
      </c>
      <c r="K774" s="408" t="n">
        <v>6.61129695116124</v>
      </c>
      <c r="L774" s="409" t="n">
        <v>0</v>
      </c>
      <c r="M774" s="409" t="n">
        <v>0</v>
      </c>
      <c r="N774" s="378" t="n">
        <v>1940</v>
      </c>
      <c r="O774" s="393" t="n">
        <v>1901</v>
      </c>
      <c r="Q774" s="605" t="n">
        <v>13</v>
      </c>
      <c r="R774" s="605" t="n">
        <v>1</v>
      </c>
      <c r="S774" s="605" t="n">
        <v>1</v>
      </c>
      <c r="T774" s="403" t="inlineStr">
        <is>
          <t xml:space="preserve">I2   </t>
        </is>
      </c>
      <c r="U774" s="403" t="n">
        <v>401</v>
      </c>
      <c r="V774" s="404" t="n">
        <v>12530</v>
      </c>
      <c r="W774" s="404" t="n">
        <v>13000</v>
      </c>
      <c r="X774" s="410" t="inlineStr">
        <is>
          <t>1.2:1</t>
        </is>
      </c>
      <c r="Y774" s="404">
        <f>ROUND(J774,-3)</f>
        <v/>
      </c>
      <c r="Z774" s="403" t="inlineStr">
        <is>
          <t xml:space="preserve">C </t>
        </is>
      </c>
      <c r="AA774" s="605" t="n">
        <v>3</v>
      </c>
      <c r="AB774" s="605" t="n">
        <v>3</v>
      </c>
      <c r="AC774" s="378" t="inlineStr">
        <is>
          <t>33</t>
        </is>
      </c>
      <c r="AD774" s="384" t="inlineStr">
        <is>
          <t xml:space="preserve">MANUF-ALLYN-HOWARD  </t>
        </is>
      </c>
      <c r="AE774" s="145" t="n"/>
      <c r="AF774" s="145" t="n"/>
      <c r="AG774" s="145" t="n"/>
      <c r="AH774" s="145" t="n"/>
      <c r="AI774" s="145" t="n"/>
      <c r="AJ774" s="145" t="n"/>
      <c r="AK774" s="145" t="inlineStr">
        <is>
          <t xml:space="preserve">S-T INDUSTRIAL BLDG.; LEASE DATES FROM 2003.                      </t>
        </is>
      </c>
      <c r="AL774" s="605">
        <f>IF(AND(ISNUMBER($S774),$S774&gt;0,ISNUMBER($K774),ISNUMBER($J774)),($K774*$J774)/$S774,"")</f>
        <v/>
      </c>
    </row>
    <row r="775" ht="12.75" customHeight="1" s="545">
      <c r="A775" s="388" t="n">
        <v>8</v>
      </c>
      <c r="B775" s="605" t="n">
        <v>767</v>
      </c>
      <c r="C775" s="384" t="inlineStr">
        <is>
          <t>2009Q</t>
        </is>
      </c>
      <c r="D775" s="605" t="inlineStr">
        <is>
          <t xml:space="preserve">02275-15-018-000 </t>
        </is>
      </c>
      <c r="E775" s="407" t="inlineStr">
        <is>
          <t>Actual</t>
        </is>
      </c>
      <c r="F775" s="605" t="inlineStr">
        <is>
          <t>2861   WALNUT               ST</t>
        </is>
      </c>
      <c r="G775" s="392" t="n">
        <v>44.1</v>
      </c>
      <c r="H775" s="378" t="n">
        <v>9210</v>
      </c>
      <c r="I775" s="403" t="n">
        <v>0</v>
      </c>
      <c r="J775" s="404" t="n">
        <v>6250</v>
      </c>
      <c r="K775" s="408" t="n">
        <v>7.6512</v>
      </c>
      <c r="L775" s="409" t="n">
        <v>0</v>
      </c>
      <c r="M775" s="409" t="n">
        <v>0</v>
      </c>
      <c r="N775" s="378" t="n">
        <v>1945</v>
      </c>
      <c r="O775" s="393" t="n">
        <v>1350</v>
      </c>
      <c r="Q775" s="605" t="n">
        <v>14</v>
      </c>
      <c r="R775" s="605" t="n">
        <v>3</v>
      </c>
      <c r="S775" s="605" t="n">
        <v>1</v>
      </c>
      <c r="T775" s="403" t="inlineStr">
        <is>
          <t xml:space="preserve">I2   </t>
        </is>
      </c>
      <c r="U775" s="403" t="n">
        <v>398</v>
      </c>
      <c r="V775" s="404" t="n">
        <v>6265</v>
      </c>
      <c r="W775" s="404" t="n">
        <v>6000</v>
      </c>
      <c r="X775" s="410" t="inlineStr">
        <is>
          <t>1.0:1</t>
        </is>
      </c>
      <c r="Y775" s="404">
        <f>ROUND(J775,-3)</f>
        <v/>
      </c>
      <c r="Z775" s="403" t="inlineStr">
        <is>
          <t xml:space="preserve">C </t>
        </is>
      </c>
      <c r="AA775" s="605" t="n">
        <v>3</v>
      </c>
      <c r="AB775" s="605" t="n">
        <v>3</v>
      </c>
      <c r="AC775" s="378" t="inlineStr">
        <is>
          <t>33</t>
        </is>
      </c>
      <c r="AD775" s="384" t="inlineStr">
        <is>
          <t xml:space="preserve">S-W                 </t>
        </is>
      </c>
      <c r="AE775" s="145" t="n"/>
      <c r="AF775" s="145" t="n"/>
      <c r="AG775" s="145" t="n"/>
      <c r="AH775" s="145" t="n"/>
      <c r="AI775" s="145" t="n"/>
      <c r="AJ775" s="145" t="n"/>
      <c r="AK775" s="145" t="inlineStr">
        <is>
          <t xml:space="preserve">S-T WHSE.; LEASE DATES FROM 2003.                                 </t>
        </is>
      </c>
      <c r="AL775" s="605">
        <f>IF(AND(ISNUMBER($S775),$S775&gt;0,ISNUMBER($K775),ISNUMBER($J775)),($K775*$J775)/$S775,"")</f>
        <v/>
      </c>
    </row>
    <row r="776" ht="12.75" customHeight="1" s="545">
      <c r="A776" s="388" t="n">
        <v>8</v>
      </c>
      <c r="B776" s="605" t="n">
        <v>768</v>
      </c>
      <c r="C776" s="384" t="inlineStr">
        <is>
          <t>2009Q</t>
        </is>
      </c>
      <c r="D776" s="605" t="inlineStr">
        <is>
          <t xml:space="preserve">02277-00-010-000 </t>
        </is>
      </c>
      <c r="E776" s="407" t="inlineStr">
        <is>
          <t>Actual</t>
        </is>
      </c>
      <c r="F776" s="605" t="inlineStr">
        <is>
          <t>2501   BLAKE                ST</t>
        </is>
      </c>
      <c r="G776" s="392" t="n">
        <v>44.1</v>
      </c>
      <c r="H776" s="378" t="n">
        <v>9202</v>
      </c>
      <c r="I776" s="403" t="n">
        <v>0</v>
      </c>
      <c r="J776" s="404" t="n">
        <v>28647</v>
      </c>
      <c r="K776" s="408" t="n">
        <v>14.5180996264879</v>
      </c>
      <c r="L776" s="409" t="n">
        <v>0</v>
      </c>
      <c r="M776" s="409" t="n">
        <v>0.037436883866314</v>
      </c>
      <c r="N776" s="378" t="n">
        <v>1956</v>
      </c>
      <c r="P776" s="393" t="n">
        <v>14952</v>
      </c>
      <c r="Q776" s="605" t="n">
        <v>22</v>
      </c>
      <c r="R776" s="605" t="n">
        <v>1</v>
      </c>
      <c r="S776" s="605" t="n">
        <v>1</v>
      </c>
      <c r="T776" s="403" t="inlineStr">
        <is>
          <t xml:space="preserve">I2   </t>
        </is>
      </c>
      <c r="U776" s="403" t="n">
        <v>398</v>
      </c>
      <c r="V776" s="404" t="n">
        <v>42092</v>
      </c>
      <c r="W776" s="404" t="n">
        <v>42000</v>
      </c>
      <c r="X776" s="410" t="inlineStr">
        <is>
          <t>1.5:1</t>
        </is>
      </c>
      <c r="Y776" s="404">
        <f>ROUND(J776,-3)</f>
        <v/>
      </c>
      <c r="Z776" s="403" t="inlineStr">
        <is>
          <t xml:space="preserve">C </t>
        </is>
      </c>
      <c r="AA776" s="605" t="n">
        <v>3</v>
      </c>
      <c r="AB776" s="605" t="n">
        <v>3</v>
      </c>
      <c r="AC776" s="378" t="inlineStr">
        <is>
          <t>33</t>
        </is>
      </c>
      <c r="AD776" s="384" t="inlineStr">
        <is>
          <t xml:space="preserve">SPACES THAT WORK    </t>
        </is>
      </c>
      <c r="AE776" s="145" t="n"/>
      <c r="AF776" s="145" t="n"/>
      <c r="AG776" s="145" t="n"/>
      <c r="AH776" s="145" t="n"/>
      <c r="AI776" s="145" t="n"/>
      <c r="AJ776" s="145" t="n"/>
      <c r="AK776" s="145" t="inlineStr">
        <is>
          <t xml:space="preserve">M-T WHSE.; 2 TENANTS                                              </t>
        </is>
      </c>
      <c r="AL776" s="605">
        <f>IF(AND(ISNUMBER($S776),$S776&gt;0,ISNUMBER($K776),ISNUMBER($J776)),($K776*$J776)/$S776,"")</f>
        <v/>
      </c>
    </row>
    <row r="777" ht="12.75" customHeight="1" s="545">
      <c r="A777" s="388" t="n">
        <v>8</v>
      </c>
      <c r="B777" s="605" t="n">
        <v>769</v>
      </c>
      <c r="C777" s="384" t="inlineStr">
        <is>
          <t>2009Q</t>
        </is>
      </c>
      <c r="D777" s="605" t="inlineStr">
        <is>
          <t xml:space="preserve">02277-03-008-000 </t>
        </is>
      </c>
      <c r="E777" s="407" t="inlineStr">
        <is>
          <t>Actual</t>
        </is>
      </c>
      <c r="F777" s="605" t="inlineStr">
        <is>
          <t>2763   BLAKE                ST</t>
        </is>
      </c>
      <c r="G777" s="392" t="n">
        <v>47.1</v>
      </c>
      <c r="H777" s="378" t="n">
        <v>9210</v>
      </c>
      <c r="I777" s="403" t="n">
        <v>0</v>
      </c>
      <c r="J777" s="404" t="n">
        <v>42227</v>
      </c>
      <c r="K777" s="408" t="n">
        <v>5.20046415800317</v>
      </c>
      <c r="L777" s="409" t="n">
        <v>0</v>
      </c>
      <c r="M777" s="409" t="n">
        <v>0</v>
      </c>
      <c r="N777" s="378" t="n">
        <v>1932</v>
      </c>
      <c r="O777" s="393">
        <f>885+726</f>
        <v/>
      </c>
      <c r="P777" s="393" t="n">
        <v>885</v>
      </c>
      <c r="Q777" s="605" t="n">
        <v>18</v>
      </c>
      <c r="R777" s="605" t="n">
        <v>1</v>
      </c>
      <c r="S777" s="605" t="n">
        <v>1</v>
      </c>
      <c r="T777" s="403" t="inlineStr">
        <is>
          <t xml:space="preserve">I2   </t>
        </is>
      </c>
      <c r="U777" s="403" t="n">
        <v>401</v>
      </c>
      <c r="V777" s="404" t="n">
        <v>71334</v>
      </c>
      <c r="W777" s="404" t="n">
        <v>70000</v>
      </c>
      <c r="X777" s="410" t="inlineStr">
        <is>
          <t>1.7:1</t>
        </is>
      </c>
      <c r="Y777" s="404">
        <f>ROUND(J777,-3)</f>
        <v/>
      </c>
      <c r="Z777" s="403" t="inlineStr">
        <is>
          <t xml:space="preserve">C </t>
        </is>
      </c>
      <c r="AA777" s="605" t="n">
        <v>2</v>
      </c>
      <c r="AB777" s="605" t="n">
        <v>3</v>
      </c>
      <c r="AC777" s="378" t="inlineStr">
        <is>
          <t>23</t>
        </is>
      </c>
      <c r="AD777" s="384" t="inlineStr">
        <is>
          <t xml:space="preserve">WILFLEY &amp; SONS, INC </t>
        </is>
      </c>
      <c r="AE777" s="145" t="n"/>
      <c r="AF777" s="145" t="n"/>
      <c r="AG777" s="145" t="n"/>
      <c r="AH777" s="145" t="n"/>
      <c r="AI777" s="145" t="n"/>
      <c r="AJ777" s="145" t="n"/>
      <c r="AK777" s="145" t="inlineStr">
        <is>
          <t xml:space="preserve">S-T INDUSTRIAL BLDG.                                              </t>
        </is>
      </c>
      <c r="AL777" s="605">
        <f>IF(AND(ISNUMBER($S777),$S777&gt;0,ISNUMBER($K777),ISNUMBER($J777)),($K777*$J777)/$S777,"")</f>
        <v/>
      </c>
    </row>
    <row r="778" ht="12.75" customHeight="1" s="545">
      <c r="A778" s="388" t="n">
        <v>8</v>
      </c>
      <c r="B778" s="605" t="n">
        <v>770</v>
      </c>
      <c r="C778" s="384" t="inlineStr">
        <is>
          <t>2009Q</t>
        </is>
      </c>
      <c r="D778" s="605" t="inlineStr">
        <is>
          <t xml:space="preserve">02277-06-008-000 </t>
        </is>
      </c>
      <c r="E778" s="407" t="inlineStr">
        <is>
          <t>Actual</t>
        </is>
      </c>
      <c r="F778" s="605" t="inlineStr">
        <is>
          <t>2600   WALNUT               ST</t>
        </is>
      </c>
      <c r="G778" s="392" t="n">
        <v>44.1</v>
      </c>
      <c r="H778" s="378" t="n">
        <v>9210</v>
      </c>
      <c r="I778" s="403" t="n">
        <v>0</v>
      </c>
      <c r="J778" s="404" t="n">
        <v>11780</v>
      </c>
      <c r="K778" s="408" t="n">
        <v>4.07470288624788</v>
      </c>
      <c r="L778" s="409" t="n">
        <v>0</v>
      </c>
      <c r="M778" s="409" t="n">
        <v>0</v>
      </c>
      <c r="N778" s="378" t="n">
        <v>1936</v>
      </c>
      <c r="O778" s="393" t="n">
        <v>240</v>
      </c>
      <c r="Q778" s="605" t="n">
        <v>13</v>
      </c>
      <c r="R778" s="605" t="n">
        <v>1</v>
      </c>
      <c r="S778" s="605" t="n">
        <v>1</v>
      </c>
      <c r="T778" s="403" t="inlineStr">
        <is>
          <t xml:space="preserve">I2   </t>
        </is>
      </c>
      <c r="U778" s="403" t="n">
        <v>398</v>
      </c>
      <c r="V778" s="404" t="n">
        <v>12515</v>
      </c>
      <c r="W778" s="404" t="n">
        <v>13000</v>
      </c>
      <c r="X778" s="410" t="inlineStr">
        <is>
          <t>1.1:1</t>
        </is>
      </c>
      <c r="Y778" s="404">
        <f>ROUND(J778,-3)</f>
        <v/>
      </c>
      <c r="Z778" s="403" t="inlineStr">
        <is>
          <t xml:space="preserve">C </t>
        </is>
      </c>
      <c r="AA778" s="605" t="n">
        <v>3</v>
      </c>
      <c r="AB778" s="605" t="n">
        <v>3</v>
      </c>
      <c r="AC778" s="378" t="inlineStr">
        <is>
          <t>33</t>
        </is>
      </c>
      <c r="AD778" s="384" t="inlineStr">
        <is>
          <t xml:space="preserve">CUSTOM CORNED BEEF  </t>
        </is>
      </c>
      <c r="AE778" s="145" t="n"/>
      <c r="AF778" s="145" t="n"/>
      <c r="AG778" s="145" t="n"/>
      <c r="AH778" s="145" t="n"/>
      <c r="AI778" s="145" t="n"/>
      <c r="AJ778" s="145" t="n"/>
      <c r="AK778" s="145" t="inlineStr">
        <is>
          <t xml:space="preserve">S-T WHSE.                                                         </t>
        </is>
      </c>
      <c r="AL778" s="605">
        <f>IF(AND(ISNUMBER($S778),$S778&gt;0,ISNUMBER($K778),ISNUMBER($J778)),($K778*$J778)/$S778,"")</f>
        <v/>
      </c>
    </row>
    <row r="779" ht="12.75" customHeight="1" s="545">
      <c r="A779" s="388" t="n">
        <v>8</v>
      </c>
      <c r="B779" s="605" t="n">
        <v>771</v>
      </c>
      <c r="C779" s="384" t="inlineStr">
        <is>
          <t>2009Q</t>
        </is>
      </c>
      <c r="D779" s="605" t="inlineStr">
        <is>
          <t xml:space="preserve">02277-07-017-000 </t>
        </is>
      </c>
      <c r="E779" s="407" t="inlineStr">
        <is>
          <t>Actual</t>
        </is>
      </c>
      <c r="F779" s="605" t="inlineStr">
        <is>
          <t>2590   WALNUT               ST</t>
        </is>
      </c>
      <c r="G779" s="392" t="n">
        <v>44.2</v>
      </c>
      <c r="H779" s="378" t="n">
        <v>9210</v>
      </c>
      <c r="I779" s="403" t="n">
        <v>0</v>
      </c>
      <c r="J779" s="404" t="n">
        <v>12500</v>
      </c>
      <c r="K779" s="408" t="n">
        <v>5.6</v>
      </c>
      <c r="L779" s="409" t="n">
        <v>0</v>
      </c>
      <c r="M779" s="409" t="n">
        <v>0.108828571428571</v>
      </c>
      <c r="N779" s="378" t="n">
        <v>1926</v>
      </c>
      <c r="O779" s="393" t="n">
        <v>1512</v>
      </c>
      <c r="Q779" s="605" t="n">
        <v>16</v>
      </c>
      <c r="R779" s="605" t="n">
        <v>1</v>
      </c>
      <c r="S779" s="605" t="n">
        <v>3</v>
      </c>
      <c r="T779" s="403" t="inlineStr">
        <is>
          <t xml:space="preserve">I2   </t>
        </is>
      </c>
      <c r="U779" s="403" t="n">
        <v>398</v>
      </c>
      <c r="V779" s="404" t="n">
        <v>12525</v>
      </c>
      <c r="W779" s="404" t="n">
        <v>13000</v>
      </c>
      <c r="X779" s="410" t="inlineStr">
        <is>
          <t>1.0:1</t>
        </is>
      </c>
      <c r="Y779" s="404">
        <f>ROUND(J779,-3)</f>
        <v/>
      </c>
      <c r="Z779" s="403" t="inlineStr">
        <is>
          <t xml:space="preserve">C </t>
        </is>
      </c>
      <c r="AA779" s="605" t="n">
        <v>3</v>
      </c>
      <c r="AB779" s="605" t="n">
        <v>3</v>
      </c>
      <c r="AC779" s="378" t="inlineStr">
        <is>
          <t>33</t>
        </is>
      </c>
      <c r="AD779" s="384" t="inlineStr">
        <is>
          <t xml:space="preserve">M-WHS/OFC/SHOWROOM  </t>
        </is>
      </c>
      <c r="AE779" s="145" t="n"/>
      <c r="AF779" s="145" t="n"/>
      <c r="AG779" s="145" t="n"/>
      <c r="AH779" s="145" t="n"/>
      <c r="AI779" s="145" t="n"/>
      <c r="AJ779" s="145" t="n"/>
      <c r="AK779" s="145" t="inlineStr">
        <is>
          <t xml:space="preserve">S-T WHSE.; DATE OF LEASE UNKNOWN.                                 </t>
        </is>
      </c>
      <c r="AL779" s="605">
        <f>IF(AND(ISNUMBER($S779),$S779&gt;0,ISNUMBER($K779),ISNUMBER($J779)),($K779*$J779)/$S779,"")</f>
        <v/>
      </c>
    </row>
    <row r="780" ht="12.75" customHeight="1" s="545">
      <c r="A780" s="388" t="n">
        <v>8</v>
      </c>
      <c r="B780" s="605" t="n">
        <v>772</v>
      </c>
      <c r="C780" s="384" t="inlineStr">
        <is>
          <t>2009Q</t>
        </is>
      </c>
      <c r="D780" s="605" t="inlineStr">
        <is>
          <t xml:space="preserve">02277-07-020-000 </t>
        </is>
      </c>
      <c r="E780" s="407" t="inlineStr">
        <is>
          <t>Actual</t>
        </is>
      </c>
      <c r="F780" s="605" t="inlineStr">
        <is>
          <t>2536   WALNUT               ST</t>
        </is>
      </c>
      <c r="G780" s="392" t="n">
        <v>44.1</v>
      </c>
      <c r="H780" s="378" t="n">
        <v>9210</v>
      </c>
      <c r="I780" s="403" t="n">
        <v>0</v>
      </c>
      <c r="J780" s="404" t="n">
        <v>9300</v>
      </c>
      <c r="K780" s="408" t="n">
        <v>6.51075268817204</v>
      </c>
      <c r="L780" s="409" t="n">
        <v>0</v>
      </c>
      <c r="M780" s="409" t="n">
        <v>0</v>
      </c>
      <c r="N780" s="378" t="n">
        <v>1937</v>
      </c>
      <c r="Q780" s="605" t="n">
        <v>14</v>
      </c>
      <c r="R780" s="605" t="n">
        <v>1</v>
      </c>
      <c r="S780" s="605" t="n">
        <v>1</v>
      </c>
      <c r="T780" s="403" t="inlineStr">
        <is>
          <t xml:space="preserve">I2   </t>
        </is>
      </c>
      <c r="U780" s="403" t="n">
        <v>398</v>
      </c>
      <c r="V780" s="404" t="n">
        <v>9390</v>
      </c>
      <c r="W780" s="404" t="n">
        <v>9000</v>
      </c>
      <c r="X780" s="410" t="inlineStr">
        <is>
          <t>1.0:1</t>
        </is>
      </c>
      <c r="Y780" s="404">
        <f>ROUND(J780,-3)</f>
        <v/>
      </c>
      <c r="Z780" s="403" t="inlineStr">
        <is>
          <t xml:space="preserve">C </t>
        </is>
      </c>
      <c r="AA780" s="605" t="n">
        <v>2</v>
      </c>
      <c r="AB780" s="605" t="n">
        <v>3</v>
      </c>
      <c r="AC780" s="378" t="inlineStr">
        <is>
          <t>23</t>
        </is>
      </c>
      <c r="AD780" s="384" t="inlineStr">
        <is>
          <t xml:space="preserve">MANN ORIENTAL RUGS  </t>
        </is>
      </c>
      <c r="AE780" s="145" t="n"/>
      <c r="AF780" s="145" t="n"/>
      <c r="AG780" s="145" t="n"/>
      <c r="AH780" s="145" t="n"/>
      <c r="AI780" s="145" t="n"/>
      <c r="AJ780" s="145" t="n"/>
      <c r="AK780" s="145" t="inlineStr">
        <is>
          <t xml:space="preserve">S-T WHSE.                                                         </t>
        </is>
      </c>
      <c r="AL780" s="605">
        <f>IF(AND(ISNUMBER($S780),$S780&gt;0,ISNUMBER($K780),ISNUMBER($J780)),($K780*$J780)/$S780,"")</f>
        <v/>
      </c>
    </row>
    <row r="781" ht="12.75" customHeight="1" s="545">
      <c r="A781" s="388" t="n">
        <v>8</v>
      </c>
      <c r="B781" s="605" t="n">
        <v>773</v>
      </c>
      <c r="C781" s="384" t="inlineStr">
        <is>
          <t>2009Q</t>
        </is>
      </c>
      <c r="D781" s="605" t="inlineStr">
        <is>
          <t xml:space="preserve">02278-17-022-000 </t>
        </is>
      </c>
      <c r="E781" s="407" t="inlineStr">
        <is>
          <t>Actual</t>
        </is>
      </c>
      <c r="F781" s="605" t="inlineStr">
        <is>
          <t>2010   DELGANY              ST</t>
        </is>
      </c>
      <c r="G781" s="392" t="n">
        <v>44.1</v>
      </c>
      <c r="H781" s="378" t="n">
        <v>9209</v>
      </c>
      <c r="I781" s="403" t="n">
        <v>0</v>
      </c>
      <c r="J781" s="404" t="n">
        <v>9550</v>
      </c>
      <c r="K781" s="408" t="n">
        <v>8.167539267015711</v>
      </c>
      <c r="L781" s="409" t="n">
        <v>0</v>
      </c>
      <c r="M781" s="409" t="n">
        <v>0.0043974358974359</v>
      </c>
      <c r="N781" s="378" t="n">
        <v>1945</v>
      </c>
      <c r="Q781" s="605" t="n">
        <v>20</v>
      </c>
      <c r="R781" s="605" t="n">
        <v>3</v>
      </c>
      <c r="S781" s="605" t="n">
        <v>1</v>
      </c>
      <c r="T781" s="403" t="inlineStr">
        <is>
          <t xml:space="preserve">PRV  </t>
        </is>
      </c>
      <c r="U781" s="403" t="n">
        <v>398</v>
      </c>
      <c r="V781" s="404" t="n">
        <v>25186</v>
      </c>
      <c r="W781" s="404" t="n">
        <v>25000</v>
      </c>
      <c r="X781" s="410" t="inlineStr">
        <is>
          <t>2.6:1</t>
        </is>
      </c>
      <c r="Y781" s="404">
        <f>ROUND(J781,-3)</f>
        <v/>
      </c>
      <c r="Z781" s="403" t="inlineStr">
        <is>
          <t xml:space="preserve">C </t>
        </is>
      </c>
      <c r="AA781" s="605" t="n">
        <v>3</v>
      </c>
      <c r="AB781" s="605" t="n">
        <v>3</v>
      </c>
      <c r="AC781" s="378" t="inlineStr">
        <is>
          <t>33</t>
        </is>
      </c>
      <c r="AD781" s="384" t="inlineStr">
        <is>
          <t>LIGHT BULB SUPPLY CO</t>
        </is>
      </c>
      <c r="AE781" s="145" t="n"/>
      <c r="AF781" s="145" t="n"/>
      <c r="AG781" s="145" t="n"/>
      <c r="AH781" s="145" t="n"/>
      <c r="AI781" s="145" t="n"/>
      <c r="AJ781" s="145" t="n"/>
      <c r="AK781" s="145" t="inlineStr">
        <is>
          <t xml:space="preserve">S-T WHSE.                                                         </t>
        </is>
      </c>
      <c r="AL781" s="605">
        <f>IF(AND(ISNUMBER($S781),$S781&gt;0,ISNUMBER($K781),ISNUMBER($J781)),($K781*$J781)/$S781,"")</f>
        <v/>
      </c>
    </row>
    <row r="782" ht="12.75" customHeight="1" s="545">
      <c r="A782" s="388" t="n">
        <v>8</v>
      </c>
      <c r="B782" s="605" t="n">
        <v>774</v>
      </c>
      <c r="C782" s="384" t="inlineStr">
        <is>
          <t>2009Q</t>
        </is>
      </c>
      <c r="D782" s="605" t="inlineStr">
        <is>
          <t xml:space="preserve">02281-00-057-000 </t>
        </is>
      </c>
      <c r="E782" s="407" t="inlineStr">
        <is>
          <t>Actual</t>
        </is>
      </c>
      <c r="F782" s="605" t="inlineStr">
        <is>
          <t>3500   ROCKMONT             DR</t>
        </is>
      </c>
      <c r="G782" s="392" t="n">
        <v>44.3</v>
      </c>
      <c r="H782" s="378" t="n">
        <v>9209</v>
      </c>
      <c r="I782" s="403" t="n">
        <v>0</v>
      </c>
      <c r="J782" s="404" t="n">
        <v>253115</v>
      </c>
      <c r="K782" s="408" t="n">
        <v>3.25938802520593</v>
      </c>
      <c r="L782" s="409" t="n">
        <v>0</v>
      </c>
      <c r="M782" s="409" t="n">
        <v>0.0242424242424242</v>
      </c>
      <c r="N782" s="378" t="n">
        <v>1966</v>
      </c>
      <c r="O782" s="393" t="n">
        <v>104234</v>
      </c>
      <c r="Q782" s="605" t="n">
        <v>18</v>
      </c>
      <c r="R782" s="605" t="n">
        <v>1</v>
      </c>
      <c r="S782" s="605" t="n">
        <v>1</v>
      </c>
      <c r="T782" s="403" t="inlineStr">
        <is>
          <t xml:space="preserve">PRV  </t>
        </is>
      </c>
      <c r="U782" s="403" t="n">
        <v>398</v>
      </c>
      <c r="V782" s="404" t="n">
        <v>500067</v>
      </c>
      <c r="W782" s="404" t="n">
        <v>500000</v>
      </c>
      <c r="X782" s="410" t="inlineStr">
        <is>
          <t>2.0:1</t>
        </is>
      </c>
      <c r="Y782" s="404">
        <f>ROUND(J782,-4)</f>
        <v/>
      </c>
      <c r="Z782" s="403" t="inlineStr">
        <is>
          <t xml:space="preserve">C </t>
        </is>
      </c>
      <c r="AA782" s="605" t="n">
        <v>3</v>
      </c>
      <c r="AB782" s="605" t="n">
        <v>3</v>
      </c>
      <c r="AC782" s="378" t="inlineStr">
        <is>
          <t>33</t>
        </is>
      </c>
      <c r="AD782" s="384" t="inlineStr">
        <is>
          <t>S-W MAIL-WELL ENVPLE</t>
        </is>
      </c>
      <c r="AE782" s="145" t="n"/>
      <c r="AF782" s="145" t="n"/>
      <c r="AG782" s="145" t="n"/>
      <c r="AH782" s="145" t="n"/>
      <c r="AI782" s="145" t="n"/>
      <c r="AJ782" s="145" t="n"/>
      <c r="AK782" s="145" t="inlineStr">
        <is>
          <t xml:space="preserve">S-T WHSE.; AGE OF LEASE UNKNOWN.                                  </t>
        </is>
      </c>
      <c r="AL782" s="605">
        <f>IF(AND(ISNUMBER($S782),$S782&gt;0,ISNUMBER($K782),ISNUMBER($J782)),($K782*$J782)/$S782,"")</f>
        <v/>
      </c>
    </row>
    <row r="783" ht="12.75" customHeight="1" s="545">
      <c r="A783" s="388" t="n">
        <v>8</v>
      </c>
      <c r="B783" s="605" t="n">
        <v>775</v>
      </c>
      <c r="C783" s="384" t="inlineStr">
        <is>
          <t>2009Q</t>
        </is>
      </c>
      <c r="D783" s="605" t="inlineStr">
        <is>
          <t xml:space="preserve">02281-04-011-000 </t>
        </is>
      </c>
      <c r="E783" s="407" t="inlineStr">
        <is>
          <t>Actual</t>
        </is>
      </c>
      <c r="F783" s="605" t="inlineStr">
        <is>
          <t>1200 W 38TH                 AV</t>
        </is>
      </c>
      <c r="G783" s="392" t="n">
        <v>47.1</v>
      </c>
      <c r="H783" s="378" t="n">
        <v>9208</v>
      </c>
      <c r="I783" s="403" t="n">
        <v>9</v>
      </c>
      <c r="J783" s="404" t="n">
        <v>3028</v>
      </c>
      <c r="K783" s="408" t="n">
        <v>3.17040951122853</v>
      </c>
      <c r="L783" s="409" t="n">
        <v>0</v>
      </c>
      <c r="M783" s="409" t="n">
        <v>0.1853125</v>
      </c>
      <c r="N783" s="378" t="n">
        <v>1948</v>
      </c>
      <c r="O783" s="393" t="n">
        <v>383</v>
      </c>
      <c r="Q783" s="605" t="n">
        <v>12</v>
      </c>
      <c r="R783" s="605" t="n">
        <v>3</v>
      </c>
      <c r="S783" s="605" t="n">
        <v>1</v>
      </c>
      <c r="T783" s="403" t="inlineStr">
        <is>
          <t xml:space="preserve">B4   </t>
        </is>
      </c>
      <c r="U783" s="403" t="n">
        <v>401</v>
      </c>
      <c r="V783" s="404" t="n">
        <v>12500</v>
      </c>
      <c r="W783" s="404" t="n">
        <v>13000</v>
      </c>
      <c r="X783" s="410" t="inlineStr">
        <is>
          <t>4.1:1</t>
        </is>
      </c>
      <c r="Y783" s="404">
        <f>ROUND(J783,-3)</f>
        <v/>
      </c>
      <c r="Z783" s="403" t="inlineStr">
        <is>
          <t xml:space="preserve">C </t>
        </is>
      </c>
      <c r="AA783" s="605" t="n">
        <v>3</v>
      </c>
      <c r="AB783" s="605" t="n">
        <v>3</v>
      </c>
      <c r="AC783" s="378" t="inlineStr">
        <is>
          <t>33</t>
        </is>
      </c>
      <c r="AD783" s="384" t="inlineStr">
        <is>
          <t xml:space="preserve">S-F FANTASY IN IRON </t>
        </is>
      </c>
      <c r="AE783" s="145" t="n"/>
      <c r="AF783" s="145" t="n"/>
      <c r="AG783" s="145" t="n"/>
      <c r="AH783" s="145" t="n"/>
      <c r="AI783" s="145" t="n"/>
      <c r="AJ783" s="145" t="n"/>
      <c r="AK783" s="145" t="inlineStr">
        <is>
          <t xml:space="preserve">S-T WHSE.; RENTED MO-TO-MO.                                       </t>
        </is>
      </c>
      <c r="AL783" s="605">
        <f>IF(AND(ISNUMBER($S783),$S783&gt;0,ISNUMBER($K783),ISNUMBER($J783)),($K783*$J783)/$S783,"")</f>
        <v/>
      </c>
    </row>
    <row r="784" ht="12.75" customHeight="1" s="545">
      <c r="A784" s="388" t="n">
        <v>8</v>
      </c>
      <c r="B784" s="605" t="n">
        <v>776</v>
      </c>
      <c r="C784" s="384" t="inlineStr">
        <is>
          <t>2009Q</t>
        </is>
      </c>
      <c r="D784" s="605" t="inlineStr">
        <is>
          <t xml:space="preserve">02281-14-029-000 </t>
        </is>
      </c>
      <c r="E784" s="407" t="inlineStr">
        <is>
          <t>Actual</t>
        </is>
      </c>
      <c r="F784" s="605" t="inlineStr">
        <is>
          <t>1101 W 36TH                 AV</t>
        </is>
      </c>
      <c r="G784" s="392" t="n">
        <v>44.1</v>
      </c>
      <c r="H784" s="378" t="n">
        <v>9208</v>
      </c>
      <c r="I784" s="403" t="n">
        <v>0</v>
      </c>
      <c r="J784" s="404" t="n">
        <v>9374</v>
      </c>
      <c r="K784" s="408" t="n">
        <v>4.48047791764455</v>
      </c>
      <c r="L784" s="409" t="n">
        <v>0</v>
      </c>
      <c r="M784" s="409" t="n">
        <v>0.108190476190476</v>
      </c>
      <c r="N784" s="378" t="n">
        <v>1976</v>
      </c>
      <c r="O784" s="393" t="n">
        <v>279</v>
      </c>
      <c r="P784" s="393" t="n">
        <v>1999</v>
      </c>
      <c r="Q784" s="605" t="n">
        <v>14</v>
      </c>
      <c r="R784" s="605" t="n">
        <v>7</v>
      </c>
      <c r="S784" s="605" t="n">
        <v>1</v>
      </c>
      <c r="T784" s="403" t="inlineStr">
        <is>
          <t xml:space="preserve">PRV  </t>
        </is>
      </c>
      <c r="U784" s="403" t="n">
        <v>398</v>
      </c>
      <c r="V784" s="404" t="n">
        <v>21875</v>
      </c>
      <c r="W784" s="404" t="n">
        <v>22000</v>
      </c>
      <c r="X784" s="410" t="inlineStr">
        <is>
          <t>2.3:1</t>
        </is>
      </c>
      <c r="Y784" s="404">
        <f>ROUND(J784,-3)</f>
        <v/>
      </c>
      <c r="Z784" s="403" t="inlineStr">
        <is>
          <t xml:space="preserve">C </t>
        </is>
      </c>
      <c r="AA784" s="605" t="n">
        <v>3</v>
      </c>
      <c r="AB784" s="605" t="n">
        <v>3</v>
      </c>
      <c r="AC784" s="378" t="inlineStr">
        <is>
          <t>33</t>
        </is>
      </c>
      <c r="AD784" s="384" t="inlineStr">
        <is>
          <t xml:space="preserve">GROUNDS SERVICE CO  </t>
        </is>
      </c>
      <c r="AE784" s="145" t="n"/>
      <c r="AF784" s="145" t="n"/>
      <c r="AG784" s="145" t="n"/>
      <c r="AH784" s="145" t="n"/>
      <c r="AI784" s="145" t="n"/>
      <c r="AJ784" s="145" t="n"/>
      <c r="AK784" s="145" t="inlineStr">
        <is>
          <t xml:space="preserve">S-T WHSE.; AGE OF LEASE UNKNOWN.                                  </t>
        </is>
      </c>
      <c r="AL784" s="605">
        <f>IF(AND(ISNUMBER($S784),$S784&gt;0,ISNUMBER($K784),ISNUMBER($J784)),($K784*$J784)/$S784,"")</f>
        <v/>
      </c>
    </row>
    <row r="785" ht="12.75" customHeight="1" s="545">
      <c r="A785" s="388" t="n">
        <v>8</v>
      </c>
      <c r="B785" s="605" t="n">
        <v>777</v>
      </c>
      <c r="C785" s="384" t="inlineStr">
        <is>
          <t>2009Q</t>
        </is>
      </c>
      <c r="D785" s="605" t="inlineStr">
        <is>
          <t xml:space="preserve">02281-27-022-000 </t>
        </is>
      </c>
      <c r="E785" s="407" t="inlineStr">
        <is>
          <t>Actual</t>
        </is>
      </c>
      <c r="F785" s="605" t="inlineStr">
        <is>
          <t>3445   LIPAN                ST</t>
        </is>
      </c>
      <c r="G785" s="392" t="n">
        <v>44.1</v>
      </c>
      <c r="H785" s="378" t="n">
        <v>9208</v>
      </c>
      <c r="I785" s="403" t="n">
        <v>0</v>
      </c>
      <c r="J785" s="404" t="n">
        <v>8829</v>
      </c>
      <c r="K785" s="408" t="n">
        <v>9.62736436742553</v>
      </c>
      <c r="L785" s="409" t="n">
        <v>0</v>
      </c>
      <c r="M785" s="409" t="n">
        <v>0.0224588235294118</v>
      </c>
      <c r="N785" s="378" t="n">
        <v>1965</v>
      </c>
      <c r="O785" s="393" t="n">
        <v>2604</v>
      </c>
      <c r="Q785" s="605" t="n">
        <v>18</v>
      </c>
      <c r="R785" s="605" t="n">
        <v>3</v>
      </c>
      <c r="S785" s="605" t="n">
        <v>1</v>
      </c>
      <c r="T785" s="403" t="inlineStr">
        <is>
          <t xml:space="preserve">PRV  </t>
        </is>
      </c>
      <c r="U785" s="403" t="n">
        <v>398</v>
      </c>
      <c r="V785" s="404" t="n">
        <v>9375</v>
      </c>
      <c r="W785" s="404" t="n">
        <v>9000</v>
      </c>
      <c r="X785" s="410" t="inlineStr">
        <is>
          <t>1.1:1</t>
        </is>
      </c>
      <c r="Y785" s="404">
        <f>ROUND(J785,-3)</f>
        <v/>
      </c>
      <c r="Z785" s="403" t="inlineStr">
        <is>
          <t xml:space="preserve">C </t>
        </is>
      </c>
      <c r="AA785" s="605" t="n">
        <v>3</v>
      </c>
      <c r="AB785" s="605" t="n">
        <v>3</v>
      </c>
      <c r="AC785" s="378" t="inlineStr">
        <is>
          <t>33</t>
        </is>
      </c>
      <c r="AD785" s="384" t="inlineStr">
        <is>
          <t xml:space="preserve">RKY MTN BLUEPRINT   </t>
        </is>
      </c>
      <c r="AE785" s="145" t="n"/>
      <c r="AF785" s="145" t="n"/>
      <c r="AG785" s="145" t="n"/>
      <c r="AH785" s="145" t="n"/>
      <c r="AI785" s="145" t="n"/>
      <c r="AJ785" s="145" t="n"/>
      <c r="AK785" s="145" t="inlineStr">
        <is>
          <t xml:space="preserve">S-T WHSE.; AGE OF LEASE UNKNOWN.                                  </t>
        </is>
      </c>
      <c r="AL785" s="605">
        <f>IF(AND(ISNUMBER($S785),$S785&gt;0,ISNUMBER($K785),ISNUMBER($J785)),($K785*$J785)/$S785,"")</f>
        <v/>
      </c>
    </row>
    <row r="786" ht="12.75" customHeight="1" s="545">
      <c r="A786" s="388" t="n">
        <v>8</v>
      </c>
      <c r="B786" s="605" t="n">
        <v>778</v>
      </c>
      <c r="C786" s="384" t="inlineStr">
        <is>
          <t>2009Q</t>
        </is>
      </c>
      <c r="D786" s="605" t="inlineStr">
        <is>
          <t xml:space="preserve">02281-31-031-000 </t>
        </is>
      </c>
      <c r="E786" s="407" t="inlineStr">
        <is>
          <t>Actual</t>
        </is>
      </c>
      <c r="F786" s="605" t="inlineStr">
        <is>
          <t>3333   MARIPOSA             ST</t>
        </is>
      </c>
      <c r="G786" s="392" t="n">
        <v>44.1</v>
      </c>
      <c r="H786" s="378" t="n">
        <v>9208</v>
      </c>
      <c r="I786" s="403" t="n">
        <v>0</v>
      </c>
      <c r="J786" s="404" t="n">
        <v>5775</v>
      </c>
      <c r="K786" s="408" t="n">
        <v>7.68831168831169</v>
      </c>
      <c r="L786" s="409" t="n">
        <v>0</v>
      </c>
      <c r="M786" s="409" t="n">
        <v>0.0608108108108108</v>
      </c>
      <c r="N786" s="378" t="n">
        <v>1973</v>
      </c>
      <c r="Q786" s="605" t="n">
        <v>14</v>
      </c>
      <c r="R786" s="605" t="n">
        <v>3</v>
      </c>
      <c r="S786" s="605" t="n">
        <v>1</v>
      </c>
      <c r="T786" s="403" t="inlineStr">
        <is>
          <t xml:space="preserve">PRV  </t>
        </is>
      </c>
      <c r="U786" s="403" t="n">
        <v>398</v>
      </c>
      <c r="V786" s="404" t="n">
        <v>9142</v>
      </c>
      <c r="W786" s="404" t="n">
        <v>9000</v>
      </c>
      <c r="X786" s="410" t="inlineStr">
        <is>
          <t>1.6:1</t>
        </is>
      </c>
      <c r="Y786" s="404">
        <f>ROUND(J786,-3)</f>
        <v/>
      </c>
      <c r="Z786" s="403" t="inlineStr">
        <is>
          <t xml:space="preserve">C </t>
        </is>
      </c>
      <c r="AA786" s="605" t="n">
        <v>3</v>
      </c>
      <c r="AB786" s="605" t="n">
        <v>3</v>
      </c>
      <c r="AC786" s="378" t="inlineStr">
        <is>
          <t>33</t>
        </is>
      </c>
      <c r="AD786" s="384" t="n"/>
      <c r="AE786" s="145" t="n"/>
      <c r="AF786" s="145" t="n"/>
      <c r="AG786" s="145" t="n"/>
      <c r="AH786" s="145" t="n"/>
      <c r="AI786" s="145" t="n"/>
      <c r="AJ786" s="145" t="n"/>
      <c r="AK786" s="145" t="inlineStr">
        <is>
          <t xml:space="preserve">S-T WHSE.                                                         </t>
        </is>
      </c>
      <c r="AL786" s="605">
        <f>IF(AND(ISNUMBER($S786),$S786&gt;0,ISNUMBER($K786),ISNUMBER($J786)),($K786*$J786)/$S786,"")</f>
        <v/>
      </c>
    </row>
    <row r="787" ht="12.75" customHeight="1" s="545">
      <c r="A787" s="388" t="n">
        <v>8</v>
      </c>
      <c r="B787" s="605" t="n">
        <v>779</v>
      </c>
      <c r="C787" s="384" t="inlineStr">
        <is>
          <t>2009Q</t>
        </is>
      </c>
      <c r="D787" s="605" t="inlineStr">
        <is>
          <t xml:space="preserve">02294-23-026-000 </t>
        </is>
      </c>
      <c r="E787" s="407" t="inlineStr">
        <is>
          <t>Actual</t>
        </is>
      </c>
      <c r="F787" s="605" t="inlineStr">
        <is>
          <t>2727 W 27TH                 AV</t>
        </is>
      </c>
      <c r="G787" s="392" t="n">
        <v>44.2</v>
      </c>
      <c r="H787" s="378" t="n">
        <v>9208</v>
      </c>
      <c r="I787" s="403" t="n">
        <v>0</v>
      </c>
      <c r="J787" s="404" t="n">
        <v>36032</v>
      </c>
      <c r="K787" s="408" t="n">
        <v>4.64911745115453</v>
      </c>
      <c r="L787" s="409" t="n">
        <v>0.22</v>
      </c>
      <c r="M787" s="409" t="n">
        <v>0.287343971059654</v>
      </c>
      <c r="N787" s="378" t="n">
        <v>1921</v>
      </c>
      <c r="O787" s="393" t="n">
        <v>1815</v>
      </c>
      <c r="Q787" s="605" t="n">
        <v>14</v>
      </c>
      <c r="R787" s="605" t="n">
        <v>1</v>
      </c>
      <c r="S787" s="605" t="n">
        <v>2</v>
      </c>
      <c r="T787" s="403" t="inlineStr">
        <is>
          <t xml:space="preserve">B4   </t>
        </is>
      </c>
      <c r="U787" s="403" t="n">
        <v>398</v>
      </c>
      <c r="V787" s="404" t="n">
        <v>35708</v>
      </c>
      <c r="W787" s="404" t="n">
        <v>36000</v>
      </c>
      <c r="X787" s="410" t="inlineStr">
        <is>
          <t>1.0:1</t>
        </is>
      </c>
      <c r="Y787" s="404">
        <f>ROUND(J787,-3)</f>
        <v/>
      </c>
      <c r="Z787" s="403" t="inlineStr">
        <is>
          <t xml:space="preserve">C </t>
        </is>
      </c>
      <c r="AA787" s="605" t="n">
        <v>3</v>
      </c>
      <c r="AB787" s="605" t="n">
        <v>3</v>
      </c>
      <c r="AC787" s="378" t="inlineStr">
        <is>
          <t>33</t>
        </is>
      </c>
      <c r="AD787" s="384" t="n"/>
      <c r="AE787" s="145" t="n"/>
      <c r="AF787" s="145" t="n"/>
      <c r="AG787" s="145" t="n"/>
      <c r="AH787" s="145" t="n"/>
      <c r="AI787" s="145" t="n"/>
      <c r="AJ787" s="145" t="n"/>
      <c r="AK787" s="145" t="inlineStr">
        <is>
          <t xml:space="preserve">M-T WHSE; 2-TENANTS; LEASES 2005 &amp; 2008.                          </t>
        </is>
      </c>
      <c r="AL787" s="605">
        <f>IF(AND(ISNUMBER($S787),$S787&gt;0,ISNUMBER($K787),ISNUMBER($J787)),($K787*$J787)/$S787,"")</f>
        <v/>
      </c>
    </row>
    <row r="788" ht="12.75" customHeight="1" s="545">
      <c r="A788" s="388" t="n">
        <v>8</v>
      </c>
      <c r="B788" s="605" t="n">
        <v>780</v>
      </c>
      <c r="C788" s="384" t="inlineStr">
        <is>
          <t>2009Q</t>
        </is>
      </c>
      <c r="D788" s="605" t="inlineStr">
        <is>
          <t xml:space="preserve">02294-25-002-000 </t>
        </is>
      </c>
      <c r="E788" s="407" t="inlineStr">
        <is>
          <t>Actual</t>
        </is>
      </c>
      <c r="F788" s="605" t="inlineStr">
        <is>
          <t>2536 W 28TH                 AV</t>
        </is>
      </c>
      <c r="G788" s="392" t="n">
        <v>44.1</v>
      </c>
      <c r="H788" s="378" t="n">
        <v>9208</v>
      </c>
      <c r="I788" s="403" t="n">
        <v>0</v>
      </c>
      <c r="J788" s="404" t="n">
        <v>1950</v>
      </c>
      <c r="K788" s="408" t="n">
        <v>6.10461538461539</v>
      </c>
      <c r="L788" s="409" t="n">
        <v>0</v>
      </c>
      <c r="M788" s="409" t="n">
        <v>0</v>
      </c>
      <c r="N788" s="378" t="n">
        <v>1954</v>
      </c>
      <c r="O788" s="393" t="n">
        <v>120</v>
      </c>
      <c r="Q788" s="605" t="n">
        <v>13</v>
      </c>
      <c r="R788" s="605" t="n">
        <v>3</v>
      </c>
      <c r="S788" s="605" t="n">
        <v>1</v>
      </c>
      <c r="T788" s="403" t="inlineStr">
        <is>
          <t xml:space="preserve">PRV  </t>
        </is>
      </c>
      <c r="U788" s="403" t="n">
        <v>398</v>
      </c>
      <c r="V788" s="404" t="n">
        <v>2250</v>
      </c>
      <c r="W788" s="404" t="n">
        <v>2000</v>
      </c>
      <c r="X788" s="410" t="inlineStr">
        <is>
          <t>1.2:1</t>
        </is>
      </c>
      <c r="Y788" s="404">
        <f>ROUND(J788,-2)</f>
        <v/>
      </c>
      <c r="Z788" s="403" t="inlineStr">
        <is>
          <t xml:space="preserve">C </t>
        </is>
      </c>
      <c r="AA788" s="605" t="n">
        <v>3</v>
      </c>
      <c r="AB788" s="605" t="n">
        <v>3</v>
      </c>
      <c r="AC788" s="378" t="inlineStr">
        <is>
          <t>33</t>
        </is>
      </c>
      <c r="AD788" s="384" t="inlineStr">
        <is>
          <t xml:space="preserve">S-W DVH COMPANY     </t>
        </is>
      </c>
      <c r="AE788" s="145" t="n"/>
      <c r="AF788" s="145" t="n"/>
      <c r="AG788" s="145" t="n"/>
      <c r="AH788" s="145" t="n"/>
      <c r="AI788" s="145" t="n"/>
      <c r="AJ788" s="145" t="n"/>
      <c r="AK788" s="145" t="inlineStr">
        <is>
          <t xml:space="preserve">S-T WHSE.; 2006 LEASE.                                            </t>
        </is>
      </c>
      <c r="AL788" s="605">
        <f>IF(AND(ISNUMBER($S788),$S788&gt;0,ISNUMBER($K788),ISNUMBER($J788)),($K788*$J788)/$S788,"")</f>
        <v/>
      </c>
    </row>
    <row r="789" ht="12.75" customHeight="1" s="545">
      <c r="A789" s="388" t="n">
        <v>8</v>
      </c>
      <c r="B789" s="605" t="n">
        <v>781</v>
      </c>
      <c r="C789" s="384" t="inlineStr">
        <is>
          <t>2009Q</t>
        </is>
      </c>
      <c r="D789" s="605" t="inlineStr">
        <is>
          <t xml:space="preserve">02313-11-037-000 </t>
        </is>
      </c>
      <c r="E789" s="407" t="inlineStr">
        <is>
          <t>Actual</t>
        </is>
      </c>
      <c r="F789" s="605" t="inlineStr">
        <is>
          <t>1517   TENNYSON             ST</t>
        </is>
      </c>
      <c r="G789" s="392" t="n">
        <v>44.1</v>
      </c>
      <c r="H789" s="378" t="n">
        <v>9208</v>
      </c>
      <c r="I789" s="403" t="n">
        <v>0</v>
      </c>
      <c r="J789" s="404" t="n">
        <v>1608</v>
      </c>
      <c r="K789" s="408" t="n">
        <v>6.34328358208955</v>
      </c>
      <c r="L789" s="409" t="n">
        <v>0.42</v>
      </c>
      <c r="M789" s="409" t="n">
        <v>0</v>
      </c>
      <c r="N789" s="378" t="n">
        <v>1977</v>
      </c>
      <c r="Q789" s="605" t="n">
        <v>11</v>
      </c>
      <c r="R789" s="605" t="n">
        <v>7</v>
      </c>
      <c r="S789" s="605" t="n">
        <v>1</v>
      </c>
      <c r="T789" s="403" t="inlineStr">
        <is>
          <t xml:space="preserve">B4   </t>
        </is>
      </c>
      <c r="U789" s="403" t="n">
        <v>398</v>
      </c>
      <c r="V789" s="404" t="n">
        <v>2868</v>
      </c>
      <c r="W789" s="404" t="n">
        <v>3000</v>
      </c>
      <c r="X789" s="410" t="inlineStr">
        <is>
          <t>1.8:1</t>
        </is>
      </c>
      <c r="Y789" s="404">
        <f>ROUND(J789,-2)</f>
        <v/>
      </c>
      <c r="Z789" s="403" t="inlineStr">
        <is>
          <t xml:space="preserve">C </t>
        </is>
      </c>
      <c r="AA789" s="605" t="n">
        <v>3</v>
      </c>
      <c r="AB789" s="605" t="n">
        <v>2</v>
      </c>
      <c r="AC789" s="378" t="inlineStr">
        <is>
          <t>32</t>
        </is>
      </c>
      <c r="AD789" s="384" t="inlineStr">
        <is>
          <t xml:space="preserve">S-W                 </t>
        </is>
      </c>
      <c r="AE789" s="145" t="n"/>
      <c r="AF789" s="145" t="n"/>
      <c r="AG789" s="145" t="n"/>
      <c r="AH789" s="145" t="n"/>
      <c r="AI789" s="145" t="n"/>
      <c r="AJ789" s="145" t="n"/>
      <c r="AK789" s="145" t="inlineStr">
        <is>
          <t xml:space="preserve">S-T WHSE.; LEASE DETAILS UNKNOWN.                                 </t>
        </is>
      </c>
      <c r="AL789" s="605">
        <f>IF(AND(ISNUMBER($S789),$S789&gt;0,ISNUMBER($K789),ISNUMBER($J789)),($K789*$J789)/$S789,"")</f>
        <v/>
      </c>
    </row>
    <row r="790" ht="12.75" customHeight="1" s="545">
      <c r="A790" s="388" t="n">
        <v>8</v>
      </c>
      <c r="B790" s="605" t="n">
        <v>782</v>
      </c>
      <c r="C790" s="384" t="inlineStr">
        <is>
          <t>2009Q</t>
        </is>
      </c>
      <c r="D790" s="605" t="inlineStr">
        <is>
          <t xml:space="preserve">02321-33-022-000 </t>
        </is>
      </c>
      <c r="E790" s="407" t="inlineStr">
        <is>
          <t>Actual</t>
        </is>
      </c>
      <c r="F790" s="605" t="inlineStr">
        <is>
          <t>2021   BRYANT               ST</t>
        </is>
      </c>
      <c r="G790" s="392" t="n">
        <v>47.1</v>
      </c>
      <c r="H790" s="378" t="n">
        <v>9208</v>
      </c>
      <c r="I790" s="403" t="n">
        <v>0</v>
      </c>
      <c r="J790" s="404" t="n">
        <v>20782</v>
      </c>
      <c r="K790" s="408" t="n">
        <v>3.46453661822731</v>
      </c>
      <c r="L790" s="409" t="n">
        <v>0</v>
      </c>
      <c r="M790" s="409" t="n">
        <v>0</v>
      </c>
      <c r="N790" s="378" t="n">
        <v>1964</v>
      </c>
      <c r="O790" s="393" t="n">
        <v>581</v>
      </c>
      <c r="P790" s="393" t="n">
        <v>2205</v>
      </c>
      <c r="Q790" s="605" t="n">
        <v>13</v>
      </c>
      <c r="R790" s="605" t="n">
        <v>1</v>
      </c>
      <c r="S790" s="605" t="n">
        <v>1</v>
      </c>
      <c r="T790" s="403" t="inlineStr">
        <is>
          <t xml:space="preserve">PRV  </t>
        </is>
      </c>
      <c r="U790" s="403" t="n">
        <v>401</v>
      </c>
      <c r="V790" s="404" t="n">
        <v>41850</v>
      </c>
      <c r="W790" s="404" t="n">
        <v>42000</v>
      </c>
      <c r="X790" s="410" t="inlineStr">
        <is>
          <t>2.0:1</t>
        </is>
      </c>
      <c r="Y790" s="404">
        <f>ROUND(J790,-3)</f>
        <v/>
      </c>
      <c r="Z790" s="403" t="inlineStr">
        <is>
          <t xml:space="preserve">C </t>
        </is>
      </c>
      <c r="AA790" s="605" t="n">
        <v>3</v>
      </c>
      <c r="AB790" s="605" t="n">
        <v>3</v>
      </c>
      <c r="AC790" s="378" t="inlineStr">
        <is>
          <t>33</t>
        </is>
      </c>
      <c r="AD790" s="384" t="n"/>
      <c r="AE790" s="145" t="n"/>
      <c r="AF790" s="145" t="n"/>
      <c r="AG790" s="145" t="n"/>
      <c r="AH790" s="145" t="n"/>
      <c r="AI790" s="145" t="n"/>
      <c r="AJ790" s="145" t="n"/>
      <c r="AK790" s="145" t="inlineStr">
        <is>
          <t xml:space="preserve">S-T WHSE.                                                         </t>
        </is>
      </c>
      <c r="AL790" s="605">
        <f>IF(AND(ISNUMBER($S790),$S790&gt;0,ISNUMBER($K790),ISNUMBER($J790)),($K790*$J790)/$S790,"")</f>
        <v/>
      </c>
    </row>
    <row r="791" ht="12.75" customHeight="1" s="545">
      <c r="A791" s="388" t="n">
        <v>8</v>
      </c>
      <c r="B791" s="605" t="n">
        <v>783</v>
      </c>
      <c r="C791" s="384" t="inlineStr">
        <is>
          <t>2009Q</t>
        </is>
      </c>
      <c r="D791" s="605" t="inlineStr">
        <is>
          <t xml:space="preserve">02321-33-039-000 </t>
        </is>
      </c>
      <c r="E791" s="407" t="inlineStr">
        <is>
          <t>Actual</t>
        </is>
      </c>
      <c r="F791" s="605" t="inlineStr">
        <is>
          <t>2030   CLAY                 ST</t>
        </is>
      </c>
      <c r="G791" s="392" t="n">
        <v>44.1</v>
      </c>
      <c r="H791" s="378" t="n">
        <v>9208</v>
      </c>
      <c r="I791" s="403" t="n">
        <v>0</v>
      </c>
      <c r="J791" s="404" t="n">
        <v>15798</v>
      </c>
      <c r="K791" s="408" t="n">
        <v>3.49132801620458</v>
      </c>
      <c r="L791" s="409" t="n">
        <v>0</v>
      </c>
      <c r="M791" s="409" t="n">
        <v>0.0288635869171078</v>
      </c>
      <c r="N791" s="378" t="n">
        <v>1962</v>
      </c>
      <c r="O791" s="393" t="n">
        <v>675</v>
      </c>
      <c r="Q791" s="605" t="n">
        <v>15</v>
      </c>
      <c r="R791" s="605" t="n">
        <v>3</v>
      </c>
      <c r="S791" s="605" t="n">
        <v>1</v>
      </c>
      <c r="T791" s="403" t="inlineStr">
        <is>
          <t xml:space="preserve">PRV  </t>
        </is>
      </c>
      <c r="U791" s="403" t="n">
        <v>398</v>
      </c>
      <c r="V791" s="404" t="n">
        <v>37190</v>
      </c>
      <c r="W791" s="404" t="n">
        <v>37000</v>
      </c>
      <c r="X791" s="410" t="inlineStr">
        <is>
          <t>2.4:1</t>
        </is>
      </c>
      <c r="Y791" s="404">
        <f>ROUND(J791,-3)</f>
        <v/>
      </c>
      <c r="Z791" s="403" t="inlineStr">
        <is>
          <t xml:space="preserve">C </t>
        </is>
      </c>
      <c r="AA791" s="605" t="n">
        <v>3</v>
      </c>
      <c r="AB791" s="605" t="n">
        <v>3</v>
      </c>
      <c r="AC791" s="378" t="inlineStr">
        <is>
          <t>33</t>
        </is>
      </c>
      <c r="AD791" s="384" t="n"/>
      <c r="AE791" s="145" t="n"/>
      <c r="AF791" s="145" t="n"/>
      <c r="AG791" s="145" t="n"/>
      <c r="AH791" s="145" t="n"/>
      <c r="AI791" s="145" t="n"/>
      <c r="AJ791" s="145" t="n"/>
      <c r="AK791" s="145" t="inlineStr">
        <is>
          <t xml:space="preserve">S-T WHSE.; 2005 LEASE.                                            </t>
        </is>
      </c>
      <c r="AL791" s="605">
        <f>IF(AND(ISNUMBER($S791),$S791&gt;0,ISNUMBER($K791),ISNUMBER($J791)),($K791*$J791)/$S791,"")</f>
        <v/>
      </c>
    </row>
    <row r="792" ht="12.75" customHeight="1" s="545">
      <c r="A792" s="388" t="n">
        <v>8</v>
      </c>
      <c r="B792" s="605" t="n">
        <v>784</v>
      </c>
      <c r="C792" s="384" t="inlineStr">
        <is>
          <t>2009Q</t>
        </is>
      </c>
      <c r="D792" s="605" t="inlineStr">
        <is>
          <t xml:space="preserve">02322-13-012-000 </t>
        </is>
      </c>
      <c r="E792" s="407" t="inlineStr">
        <is>
          <t>Actual</t>
        </is>
      </c>
      <c r="F792" s="605" t="inlineStr">
        <is>
          <t>3021 W 23RD                 AV</t>
        </is>
      </c>
      <c r="G792" s="392" t="n">
        <v>44.1</v>
      </c>
      <c r="H792" s="378" t="n">
        <v>9208</v>
      </c>
      <c r="I792" s="403" t="n">
        <v>0</v>
      </c>
      <c r="J792" s="404" t="n">
        <v>700</v>
      </c>
      <c r="K792" s="408" t="n">
        <v>7.38142857142857</v>
      </c>
      <c r="L792" s="409" t="n">
        <v>0</v>
      </c>
      <c r="M792" s="409" t="n">
        <v>0.419392297271144</v>
      </c>
      <c r="N792" s="378" t="n">
        <v>1926</v>
      </c>
      <c r="O792" s="393" t="n">
        <v>827</v>
      </c>
      <c r="Q792" s="605" t="n">
        <v>8</v>
      </c>
      <c r="R792" s="605" t="n">
        <v>4</v>
      </c>
      <c r="S792" s="605" t="n">
        <v>1</v>
      </c>
      <c r="T792" s="403" t="inlineStr">
        <is>
          <t xml:space="preserve">B2   </t>
        </is>
      </c>
      <c r="U792" s="403" t="n">
        <v>398</v>
      </c>
      <c r="V792" s="404" t="n">
        <v>6950</v>
      </c>
      <c r="W792" s="404" t="n">
        <v>7000</v>
      </c>
      <c r="X792" s="410" t="inlineStr">
        <is>
          <t>2.9:1</t>
        </is>
      </c>
      <c r="Y792" s="404">
        <f>ROUND(J792,-2)</f>
        <v/>
      </c>
      <c r="Z792" s="403" t="inlineStr">
        <is>
          <t xml:space="preserve">C </t>
        </is>
      </c>
      <c r="AA792" s="605" t="n">
        <v>3</v>
      </c>
      <c r="AB792" s="605" t="n">
        <v>3</v>
      </c>
      <c r="AC792" s="378" t="inlineStr">
        <is>
          <t>33</t>
        </is>
      </c>
      <c r="AD792" s="384" t="inlineStr">
        <is>
          <t xml:space="preserve">S-W                 </t>
        </is>
      </c>
      <c r="AE792" s="145" t="n"/>
      <c r="AF792" s="145" t="n"/>
      <c r="AG792" s="145" t="n"/>
      <c r="AH792" s="145" t="n"/>
      <c r="AI792" s="145" t="n"/>
      <c r="AJ792" s="145" t="n"/>
      <c r="AK792" s="145" t="inlineStr">
        <is>
          <t xml:space="preserve">M-T WHSE; 2 UNITS; APPARENTLY NO LEASE, JUST RENT PAYMENTS.       </t>
        </is>
      </c>
      <c r="AL792" s="605">
        <f>IF(AND(ISNUMBER($S792),$S792&gt;0,ISNUMBER($K792),ISNUMBER($J792)),($K792*$J792)/$S792,"")</f>
        <v/>
      </c>
    </row>
    <row r="793" ht="12.75" customHeight="1" s="545">
      <c r="A793" s="388" t="n">
        <v>8</v>
      </c>
      <c r="B793" s="605" t="n">
        <v>785</v>
      </c>
      <c r="C793" s="384" t="inlineStr">
        <is>
          <t>2009Q</t>
        </is>
      </c>
      <c r="D793" s="605" t="inlineStr">
        <is>
          <t xml:space="preserve">02323-13-015-000 </t>
        </is>
      </c>
      <c r="E793" s="407" t="inlineStr">
        <is>
          <t>Actual</t>
        </is>
      </c>
      <c r="F793" s="605" t="inlineStr">
        <is>
          <t>1729   FEDERAL              BV</t>
        </is>
      </c>
      <c r="G793" s="392" t="n">
        <v>44.2</v>
      </c>
      <c r="H793" s="378" t="n">
        <v>9208</v>
      </c>
      <c r="I793" s="403" t="n">
        <v>6</v>
      </c>
      <c r="J793" s="404" t="n">
        <v>6200</v>
      </c>
      <c r="K793" s="408" t="n">
        <v>5.00806451612903</v>
      </c>
      <c r="L793" s="409" t="n">
        <v>0.483870967741936</v>
      </c>
      <c r="M793" s="409" t="n">
        <v>0.110305958132045</v>
      </c>
      <c r="N793" s="378" t="n">
        <v>1962</v>
      </c>
      <c r="O793" s="393" t="n">
        <v>780</v>
      </c>
      <c r="Q793" s="605" t="n">
        <v>10</v>
      </c>
      <c r="R793" s="605" t="n">
        <v>1</v>
      </c>
      <c r="S793" s="605" t="n">
        <v>3</v>
      </c>
      <c r="T793" s="403" t="inlineStr">
        <is>
          <t xml:space="preserve">B4   </t>
        </is>
      </c>
      <c r="U793" s="403" t="n">
        <v>398</v>
      </c>
      <c r="V793" s="404" t="n">
        <v>14360</v>
      </c>
      <c r="W793" s="404" t="n">
        <v>14000</v>
      </c>
      <c r="X793" s="410" t="inlineStr">
        <is>
          <t>2.3:1</t>
        </is>
      </c>
      <c r="Y793" s="404">
        <f>ROUND(J793,-3)</f>
        <v/>
      </c>
      <c r="Z793" s="403" t="inlineStr">
        <is>
          <t xml:space="preserve">C </t>
        </is>
      </c>
      <c r="AA793" s="605" t="n">
        <v>3</v>
      </c>
      <c r="AB793" s="605" t="n">
        <v>3</v>
      </c>
      <c r="AC793" s="378" t="inlineStr">
        <is>
          <t>33</t>
        </is>
      </c>
      <c r="AD793" s="384" t="inlineStr">
        <is>
          <t xml:space="preserve">FLOYD'Z             </t>
        </is>
      </c>
      <c r="AE793" s="145" t="n"/>
      <c r="AF793" s="145" t="n"/>
      <c r="AG793" s="145" t="n"/>
      <c r="AH793" s="145" t="n"/>
      <c r="AI793" s="145" t="n"/>
      <c r="AJ793" s="145" t="n"/>
      <c r="AK793" s="145" t="inlineStr">
        <is>
          <t xml:space="preserve">S-T WHSE.; NO DETAIL KNOWN ABOUT LEASE.                           </t>
        </is>
      </c>
      <c r="AL793" s="605">
        <f>IF(AND(ISNUMBER($S793),$S793&gt;0,ISNUMBER($K793),ISNUMBER($J793)),($K793*$J793)/$S793,"")</f>
        <v/>
      </c>
    </row>
    <row r="794" ht="12.75" customHeight="1" s="545">
      <c r="A794" s="388" t="n">
        <v>8</v>
      </c>
      <c r="B794" s="605" t="n">
        <v>786</v>
      </c>
      <c r="C794" s="384" t="inlineStr">
        <is>
          <t>2009Q</t>
        </is>
      </c>
      <c r="D794" s="605" t="inlineStr">
        <is>
          <t xml:space="preserve">02342-22-019-000 </t>
        </is>
      </c>
      <c r="E794" s="407" t="inlineStr">
        <is>
          <t>Actual</t>
        </is>
      </c>
      <c r="F794" s="605" t="inlineStr">
        <is>
          <t>2265   LAWRENCE             ST</t>
        </is>
      </c>
      <c r="G794" s="392" t="n">
        <v>44.1</v>
      </c>
      <c r="H794" s="378" t="n">
        <v>9202</v>
      </c>
      <c r="I794" s="403" t="n">
        <v>4</v>
      </c>
      <c r="J794" s="404" t="n">
        <v>1865</v>
      </c>
      <c r="K794" s="408" t="n">
        <v>12.8686327077748</v>
      </c>
      <c r="L794" s="409" t="n">
        <v>0.25</v>
      </c>
      <c r="M794" s="409" t="n">
        <v>0</v>
      </c>
      <c r="N794" s="378" t="n">
        <v>1942</v>
      </c>
      <c r="O794" s="393">
        <f>390+130</f>
        <v/>
      </c>
      <c r="Q794" s="605" t="n">
        <v>14</v>
      </c>
      <c r="R794" s="605" t="n">
        <v>3</v>
      </c>
      <c r="S794" s="605" t="n">
        <v>1</v>
      </c>
      <c r="T794" s="403" t="inlineStr">
        <is>
          <t xml:space="preserve">B8A  </t>
        </is>
      </c>
      <c r="U794" s="403" t="n">
        <v>398</v>
      </c>
      <c r="V794" s="404" t="n">
        <v>6278</v>
      </c>
      <c r="W794" s="404" t="n">
        <v>6000</v>
      </c>
      <c r="X794" s="410" t="inlineStr">
        <is>
          <t>3.4:1</t>
        </is>
      </c>
      <c r="Y794" s="404">
        <f>ROUND(J794,-2)</f>
        <v/>
      </c>
      <c r="Z794" s="403" t="inlineStr">
        <is>
          <t xml:space="preserve">C </t>
        </is>
      </c>
      <c r="AA794" s="605" t="n">
        <v>3</v>
      </c>
      <c r="AB794" s="605" t="n">
        <v>3</v>
      </c>
      <c r="AC794" s="378" t="inlineStr">
        <is>
          <t>33</t>
        </is>
      </c>
      <c r="AD794" s="384" t="inlineStr">
        <is>
          <t>IRELAND'S FINEST, IN</t>
        </is>
      </c>
      <c r="AE794" s="145" t="n"/>
      <c r="AF794" s="145" t="n"/>
      <c r="AG794" s="145" t="n"/>
      <c r="AH794" s="145" t="n"/>
      <c r="AI794" s="145" t="n"/>
      <c r="AJ794" s="145" t="n"/>
      <c r="AK794" s="145" t="inlineStr">
        <is>
          <t xml:space="preserve">S-T WHSE; LEASE DETAILS UNKNOWN.                                  </t>
        </is>
      </c>
      <c r="AL794" s="605">
        <f>IF(AND(ISNUMBER($S794),$S794&gt;0,ISNUMBER($K794),ISNUMBER($J794)),($K794*$J794)/$S794,"")</f>
        <v/>
      </c>
    </row>
    <row r="795" ht="12.75" customHeight="1" s="545">
      <c r="A795" s="388" t="n">
        <v>8</v>
      </c>
      <c r="B795" s="605" t="n">
        <v>787</v>
      </c>
      <c r="C795" s="384" t="inlineStr">
        <is>
          <t>2009Q</t>
        </is>
      </c>
      <c r="D795" s="605" t="inlineStr">
        <is>
          <t xml:space="preserve">02342-32-037-037 </t>
        </is>
      </c>
      <c r="E795" s="407" t="inlineStr">
        <is>
          <t>Actual</t>
        </is>
      </c>
      <c r="F795" s="605" t="inlineStr">
        <is>
          <t>2134   CURTIS               ST</t>
        </is>
      </c>
      <c r="G795" s="392" t="n">
        <v>44.5</v>
      </c>
      <c r="H795" s="378" t="n">
        <v>9202</v>
      </c>
      <c r="I795" s="403" t="n">
        <v>1</v>
      </c>
      <c r="J795" s="404" t="n">
        <v>12556</v>
      </c>
      <c r="K795" s="408" t="n">
        <v>7.18222363810131</v>
      </c>
      <c r="L795" s="409" t="n">
        <v>0</v>
      </c>
      <c r="M795" s="409" t="n">
        <v>0.136294078509647</v>
      </c>
      <c r="N795" s="378" t="n">
        <v>1977</v>
      </c>
      <c r="Q795" s="605" t="n">
        <v>22</v>
      </c>
      <c r="R795" s="605" t="n">
        <v>3</v>
      </c>
      <c r="S795" s="605" t="n">
        <v>103</v>
      </c>
      <c r="T795" s="403" t="inlineStr">
        <is>
          <t xml:space="preserve">B8A  </t>
        </is>
      </c>
      <c r="U795" s="403" t="n">
        <v>396</v>
      </c>
      <c r="V795" s="404" t="n">
        <v>12639</v>
      </c>
      <c r="W795" s="404" t="n">
        <v>13000</v>
      </c>
      <c r="X795" s="410" t="inlineStr">
        <is>
          <t>1.0:1</t>
        </is>
      </c>
      <c r="Y795" s="404">
        <f>ROUND(J795,-3)</f>
        <v/>
      </c>
      <c r="Z795" s="403" t="inlineStr">
        <is>
          <t xml:space="preserve">C </t>
        </is>
      </c>
      <c r="AA795" s="605" t="n">
        <v>3</v>
      </c>
      <c r="AB795" s="605" t="n">
        <v>3</v>
      </c>
      <c r="AC795" s="378" t="inlineStr">
        <is>
          <t>33</t>
        </is>
      </c>
      <c r="AD795" s="384" t="inlineStr">
        <is>
          <t xml:space="preserve">DWNTWN DNVR STORAGE </t>
        </is>
      </c>
      <c r="AE795" s="145" t="n"/>
      <c r="AF795" s="145" t="n"/>
      <c r="AG795" s="145" t="n"/>
      <c r="AH795" s="145" t="n"/>
      <c r="AI795" s="145" t="n"/>
      <c r="AJ795" s="145" t="n"/>
      <c r="AK795" s="145" t="inlineStr">
        <is>
          <t xml:space="preserve">M-T WHSE; 2 TENANTS; LEASES 2003 &amp; 2006.                          </t>
        </is>
      </c>
      <c r="AL795" s="605">
        <f>IF(AND(ISNUMBER($S795),$S795&gt;0,ISNUMBER($K795),ISNUMBER($J795)),($K795*$J795)/$S795,"")</f>
        <v/>
      </c>
    </row>
    <row r="796" ht="12.75" customHeight="1" s="545">
      <c r="A796" s="388" t="n">
        <v>8</v>
      </c>
      <c r="B796" s="605" t="n">
        <v>788</v>
      </c>
      <c r="C796" s="384" t="inlineStr">
        <is>
          <t>2009Q</t>
        </is>
      </c>
      <c r="D796" s="605" t="inlineStr">
        <is>
          <t xml:space="preserve">02342-36-013-000 </t>
        </is>
      </c>
      <c r="E796" s="407" t="inlineStr">
        <is>
          <t>Actual</t>
        </is>
      </c>
      <c r="F796" s="605" t="inlineStr">
        <is>
          <t>2017   LAWRENCE             ST</t>
        </is>
      </c>
      <c r="G796" s="392" t="n">
        <v>44.1</v>
      </c>
      <c r="H796" s="378" t="n">
        <v>9202</v>
      </c>
      <c r="I796" s="403" t="n">
        <v>7</v>
      </c>
      <c r="J796" s="404" t="n">
        <v>4400</v>
      </c>
      <c r="K796" s="408" t="n">
        <v>8.18181818181818</v>
      </c>
      <c r="L796" s="409" t="n">
        <v>0</v>
      </c>
      <c r="M796" s="409" t="n">
        <v>0.162333333333333</v>
      </c>
      <c r="N796" s="378" t="n">
        <v>1920</v>
      </c>
      <c r="O796" s="393" t="n">
        <v>800</v>
      </c>
      <c r="Q796" s="605" t="n">
        <v>13</v>
      </c>
      <c r="R796" s="605" t="n">
        <v>1</v>
      </c>
      <c r="S796" s="605" t="n">
        <v>1</v>
      </c>
      <c r="T796" s="403" t="inlineStr">
        <is>
          <t xml:space="preserve">B8A  </t>
        </is>
      </c>
      <c r="U796" s="403" t="n">
        <v>398</v>
      </c>
      <c r="V796" s="404" t="n">
        <v>5028</v>
      </c>
      <c r="W796" s="404" t="n">
        <v>5000</v>
      </c>
      <c r="X796" s="410" t="inlineStr">
        <is>
          <t>1.1:1</t>
        </is>
      </c>
      <c r="Y796" s="404">
        <f>ROUND(J796,-3)</f>
        <v/>
      </c>
      <c r="Z796" s="403" t="inlineStr">
        <is>
          <t xml:space="preserve">C </t>
        </is>
      </c>
      <c r="AA796" s="605" t="n">
        <v>3</v>
      </c>
      <c r="AB796" s="605" t="n">
        <v>3</v>
      </c>
      <c r="AC796" s="378" t="inlineStr">
        <is>
          <t>33</t>
        </is>
      </c>
      <c r="AD796" s="384" t="inlineStr">
        <is>
          <t xml:space="preserve">S-W                 </t>
        </is>
      </c>
      <c r="AE796" s="145" t="n"/>
      <c r="AF796" s="145" t="n"/>
      <c r="AG796" s="145" t="n"/>
      <c r="AH796" s="145" t="n"/>
      <c r="AI796" s="145" t="n"/>
      <c r="AJ796" s="145" t="n"/>
      <c r="AK796" s="145" t="inlineStr">
        <is>
          <t xml:space="preserve">S-T WHSE.; LEASE BEGAN IN 2001.                                   </t>
        </is>
      </c>
      <c r="AL796" s="605">
        <f>IF(AND(ISNUMBER($S796),$S796&gt;0,ISNUMBER($K796),ISNUMBER($J796)),($K796*$J796)/$S796,"")</f>
        <v/>
      </c>
    </row>
    <row r="797" ht="12.75" customHeight="1" s="545">
      <c r="A797" s="388" t="n">
        <v>8</v>
      </c>
      <c r="B797" s="605" t="n">
        <v>789</v>
      </c>
      <c r="C797" s="384" t="inlineStr">
        <is>
          <t>2009Q</t>
        </is>
      </c>
      <c r="D797" s="605" t="inlineStr">
        <is>
          <t xml:space="preserve">02342-38-003-000 </t>
        </is>
      </c>
      <c r="E797" s="407" t="inlineStr">
        <is>
          <t>Actual</t>
        </is>
      </c>
      <c r="F797" s="605" t="inlineStr">
        <is>
          <t>2042   ARAPAHOE             ST</t>
        </is>
      </c>
      <c r="G797" s="392" t="n">
        <v>44.2</v>
      </c>
      <c r="H797" s="378" t="n">
        <v>9202</v>
      </c>
      <c r="I797" s="403" t="n">
        <v>7</v>
      </c>
      <c r="J797" s="404" t="n">
        <v>8896</v>
      </c>
      <c r="K797" s="408" t="n">
        <v>7.41906474820144</v>
      </c>
      <c r="L797" s="409" t="n">
        <v>0</v>
      </c>
      <c r="M797" s="409" t="n">
        <v>0.0712121212121212</v>
      </c>
      <c r="N797" s="378" t="n">
        <v>1947</v>
      </c>
      <c r="O797" s="393" t="n">
        <v>3986</v>
      </c>
      <c r="Q797" s="605" t="n">
        <v>16</v>
      </c>
      <c r="R797" s="605" t="n">
        <v>3</v>
      </c>
      <c r="S797" s="605" t="n">
        <v>1</v>
      </c>
      <c r="T797" s="403" t="inlineStr">
        <is>
          <t xml:space="preserve">B8A  </t>
        </is>
      </c>
      <c r="U797" s="403" t="n">
        <v>398</v>
      </c>
      <c r="V797" s="404" t="n">
        <v>9396</v>
      </c>
      <c r="W797" s="404" t="n">
        <v>9000</v>
      </c>
      <c r="X797" s="410" t="inlineStr">
        <is>
          <t>1.1:1</t>
        </is>
      </c>
      <c r="Y797" s="404">
        <f>ROUND(J797,-3)</f>
        <v/>
      </c>
      <c r="Z797" s="403" t="inlineStr">
        <is>
          <t xml:space="preserve">C </t>
        </is>
      </c>
      <c r="AA797" s="605" t="n">
        <v>3</v>
      </c>
      <c r="AB797" s="605" t="n">
        <v>3</v>
      </c>
      <c r="AC797" s="378" t="inlineStr">
        <is>
          <t>33</t>
        </is>
      </c>
      <c r="AD797" s="384" t="n"/>
      <c r="AE797" s="145" t="n"/>
      <c r="AF797" s="145" t="n"/>
      <c r="AG797" s="145" t="n"/>
      <c r="AH797" s="145" t="n"/>
      <c r="AI797" s="145" t="n"/>
      <c r="AJ797" s="145" t="n"/>
      <c r="AK797" s="145" t="inlineStr">
        <is>
          <t xml:space="preserve">M-T WHSE.; 2 TENANTS; LEASES 2005 &amp; 2007.                         </t>
        </is>
      </c>
      <c r="AL797" s="605">
        <f>IF(AND(ISNUMBER($S797),$S797&gt;0,ISNUMBER($K797),ISNUMBER($J797)),($K797*$J797)/$S797,"")</f>
        <v/>
      </c>
    </row>
    <row r="798" ht="12.75" customHeight="1" s="545">
      <c r="A798" s="388" t="n">
        <v>8</v>
      </c>
      <c r="B798" s="605" t="n">
        <v>790</v>
      </c>
      <c r="C798" s="384" t="inlineStr">
        <is>
          <t>2009Q</t>
        </is>
      </c>
      <c r="D798" s="605" t="inlineStr">
        <is>
          <t xml:space="preserve">05022-02-023-000 </t>
        </is>
      </c>
      <c r="E798" s="407" t="inlineStr">
        <is>
          <t>Actual</t>
        </is>
      </c>
      <c r="F798" s="605" t="inlineStr">
        <is>
          <t>1415   HUMBOLDT             ST</t>
        </is>
      </c>
      <c r="G798" s="392" t="n">
        <v>44.1</v>
      </c>
      <c r="H798" s="378" t="n">
        <v>9502</v>
      </c>
      <c r="I798" s="403" t="n">
        <v>0</v>
      </c>
      <c r="J798" s="404" t="n">
        <v>1300</v>
      </c>
      <c r="K798" s="408" t="n">
        <v>9.23076923076923</v>
      </c>
      <c r="L798" s="409" t="n">
        <v>0.63</v>
      </c>
      <c r="M798" s="409" t="n">
        <v>0.07575</v>
      </c>
      <c r="N798" s="378" t="n">
        <v>1901</v>
      </c>
      <c r="Q798" s="605" t="n">
        <v>11</v>
      </c>
      <c r="R798" s="605" t="n">
        <v>1</v>
      </c>
      <c r="S798" s="605" t="n">
        <v>1</v>
      </c>
      <c r="T798" s="403" t="inlineStr">
        <is>
          <t xml:space="preserve">R3   </t>
        </is>
      </c>
      <c r="U798" s="403" t="n">
        <v>398</v>
      </c>
      <c r="V798" s="404" t="n">
        <v>3527</v>
      </c>
      <c r="W798" s="404" t="n">
        <v>4000</v>
      </c>
      <c r="X798" s="410" t="inlineStr">
        <is>
          <t>1.4:1</t>
        </is>
      </c>
      <c r="Y798" s="404">
        <f>ROUND(J798,-2)</f>
        <v/>
      </c>
      <c r="Z798" s="403" t="inlineStr">
        <is>
          <t xml:space="preserve">C </t>
        </is>
      </c>
      <c r="AA798" s="605" t="n">
        <v>3</v>
      </c>
      <c r="AB798" s="605" t="n">
        <v>3</v>
      </c>
      <c r="AC798" s="378" t="inlineStr">
        <is>
          <t>33</t>
        </is>
      </c>
      <c r="AD798" s="384" t="inlineStr">
        <is>
          <t xml:space="preserve">S-W                 </t>
        </is>
      </c>
      <c r="AE798" s="145" t="n"/>
      <c r="AF798" s="145" t="n"/>
      <c r="AG798" s="145" t="n"/>
      <c r="AH798" s="145" t="n"/>
      <c r="AI798" s="145" t="n"/>
      <c r="AJ798" s="145" t="n"/>
      <c r="AK798" s="145" t="inlineStr">
        <is>
          <t>M-T WHSE.; EST. 8 163 SF UNITS; YR-TO-YR RENTS;MAKESHIFT MINI-STG.</t>
        </is>
      </c>
      <c r="AL798" s="605">
        <f>IF(AND(ISNUMBER($S798),$S798&gt;0,ISNUMBER($K798),ISNUMBER($J798)),($K798*$J798)/$S798,"")</f>
        <v/>
      </c>
    </row>
    <row r="799" ht="12.75" customHeight="1" s="545">
      <c r="A799" s="388" t="n">
        <v>8</v>
      </c>
      <c r="B799" s="605" t="n">
        <v>791</v>
      </c>
      <c r="C799" s="384" t="inlineStr">
        <is>
          <t>2009Q</t>
        </is>
      </c>
      <c r="D799" s="605" t="inlineStr">
        <is>
          <t xml:space="preserve">05035-14-025-000 </t>
        </is>
      </c>
      <c r="E799" s="407" t="inlineStr">
        <is>
          <t>Actual</t>
        </is>
      </c>
      <c r="F799" s="605" t="inlineStr">
        <is>
          <t>1039   INCA                 ST</t>
        </is>
      </c>
      <c r="G799" s="392" t="n">
        <v>44.1</v>
      </c>
      <c r="H799" s="378" t="n">
        <v>9505</v>
      </c>
      <c r="I799" s="403" t="n">
        <v>0</v>
      </c>
      <c r="J799" s="404" t="n">
        <v>10866</v>
      </c>
      <c r="K799" s="408" t="n">
        <v>7.84097183876312</v>
      </c>
      <c r="L799" s="409" t="n">
        <v>0</v>
      </c>
      <c r="M799" s="409" t="n">
        <v>0</v>
      </c>
      <c r="N799" s="378" t="n">
        <v>1964</v>
      </c>
      <c r="O799" s="393" t="n">
        <v>5985</v>
      </c>
      <c r="Q799" s="605" t="n">
        <v>12</v>
      </c>
      <c r="R799" s="605" t="n">
        <v>3</v>
      </c>
      <c r="S799" s="605" t="n">
        <v>1</v>
      </c>
      <c r="T799" s="403" t="inlineStr">
        <is>
          <t xml:space="preserve">B4   </t>
        </is>
      </c>
      <c r="U799" s="403" t="n">
        <v>398</v>
      </c>
      <c r="V799" s="404" t="n">
        <v>14800</v>
      </c>
      <c r="W799" s="404" t="n">
        <v>15000</v>
      </c>
      <c r="X799" s="410" t="inlineStr">
        <is>
          <t>1.4:1</t>
        </is>
      </c>
      <c r="Y799" s="404">
        <f>ROUND(J799,-3)</f>
        <v/>
      </c>
      <c r="Z799" s="403" t="inlineStr">
        <is>
          <t xml:space="preserve">C </t>
        </is>
      </c>
      <c r="AA799" s="605" t="n">
        <v>3</v>
      </c>
      <c r="AB799" s="605" t="n">
        <v>3</v>
      </c>
      <c r="AC799" s="378" t="inlineStr">
        <is>
          <t>33</t>
        </is>
      </c>
      <c r="AD799" s="384" t="inlineStr">
        <is>
          <t xml:space="preserve">S-F TEAM A.T.E.     </t>
        </is>
      </c>
      <c r="AE799" s="145" t="n"/>
      <c r="AF799" s="145" t="n"/>
      <c r="AG799" s="145" t="n"/>
      <c r="AH799" s="145" t="n"/>
      <c r="AI799" s="145" t="n"/>
      <c r="AJ799" s="145" t="n"/>
      <c r="AK799" s="145" t="inlineStr">
        <is>
          <t xml:space="preserve">S-T WHSE; INTRA-CORPORATE LEASE BUT APPEARS TO BE MARKET LEVEL.   </t>
        </is>
      </c>
      <c r="AL799" s="605">
        <f>IF(AND(ISNUMBER($S799),$S799&gt;0,ISNUMBER($K799),ISNUMBER($J799)),($K799*$J799)/$S799,"")</f>
        <v/>
      </c>
    </row>
    <row r="800" ht="12.75" customHeight="1" s="545">
      <c r="A800" s="388" t="n">
        <v>8</v>
      </c>
      <c r="B800" s="605" t="n">
        <v>792</v>
      </c>
      <c r="C800" s="384" t="inlineStr">
        <is>
          <t>2009Q</t>
        </is>
      </c>
      <c r="D800" s="605" t="inlineStr">
        <is>
          <t xml:space="preserve">05036-30-007-000 </t>
        </is>
      </c>
      <c r="E800" s="407" t="inlineStr">
        <is>
          <t>Actual</t>
        </is>
      </c>
      <c r="F800" s="605" t="inlineStr">
        <is>
          <t>652   SANTA FE             DR</t>
        </is>
      </c>
      <c r="G800" s="392" t="n">
        <v>47.2</v>
      </c>
      <c r="H800" s="378" t="n">
        <v>9505</v>
      </c>
      <c r="I800" s="403" t="n">
        <v>3</v>
      </c>
      <c r="J800" s="404" t="n">
        <v>2000</v>
      </c>
      <c r="K800" s="408" t="n">
        <v>7.8</v>
      </c>
      <c r="L800" s="409" t="n">
        <v>0</v>
      </c>
      <c r="M800" s="409" t="n">
        <v>0.0672435897435897</v>
      </c>
      <c r="N800" s="378" t="n">
        <v>1938</v>
      </c>
      <c r="Q800" s="605" t="n">
        <v>14</v>
      </c>
      <c r="R800" s="605" t="n">
        <v>3</v>
      </c>
      <c r="S800" s="605" t="n">
        <v>1</v>
      </c>
      <c r="T800" s="403" t="inlineStr">
        <is>
          <t xml:space="preserve">B4   </t>
        </is>
      </c>
      <c r="U800" s="403" t="n">
        <v>401</v>
      </c>
      <c r="V800" s="404" t="n">
        <v>2625</v>
      </c>
      <c r="W800" s="404" t="n">
        <v>3000</v>
      </c>
      <c r="X800" s="410" t="inlineStr">
        <is>
          <t>1.3:1</t>
        </is>
      </c>
      <c r="Y800" s="404">
        <f>ROUND(J800,-3)</f>
        <v/>
      </c>
      <c r="Z800" s="403" t="inlineStr">
        <is>
          <t xml:space="preserve">C </t>
        </is>
      </c>
      <c r="AA800" s="605" t="n">
        <v>3</v>
      </c>
      <c r="AB800" s="605" t="n">
        <v>3</v>
      </c>
      <c r="AC800" s="378" t="inlineStr">
        <is>
          <t>33</t>
        </is>
      </c>
      <c r="AD800" s="384" t="inlineStr">
        <is>
          <t xml:space="preserve">S-M                 </t>
        </is>
      </c>
      <c r="AE800" s="145" t="n"/>
      <c r="AF800" s="145" t="n"/>
      <c r="AG800" s="145" t="n"/>
      <c r="AH800" s="145" t="n"/>
      <c r="AI800" s="145" t="n"/>
      <c r="AJ800" s="145" t="n"/>
      <c r="AK800" s="145" t="inlineStr">
        <is>
          <t xml:space="preserve">S-T WHSE.; MO-TO-MO LEASE.                                        </t>
        </is>
      </c>
      <c r="AL800" s="605">
        <f>IF(AND(ISNUMBER($S800),$S800&gt;0,ISNUMBER($K800),ISNUMBER($J800)),($K800*$J800)/$S800,"")</f>
        <v/>
      </c>
    </row>
    <row r="801" ht="12.75" customHeight="1" s="545">
      <c r="A801" s="388" t="n">
        <v>8</v>
      </c>
      <c r="B801" s="605" t="n">
        <v>793</v>
      </c>
      <c r="C801" s="384" t="inlineStr">
        <is>
          <t>2009Q</t>
        </is>
      </c>
      <c r="D801" s="605" t="inlineStr">
        <is>
          <t xml:space="preserve">05039-08-002-000 </t>
        </is>
      </c>
      <c r="E801" s="407" t="inlineStr">
        <is>
          <t>Actual</t>
        </is>
      </c>
      <c r="F801" s="605" t="inlineStr">
        <is>
          <t>200 E 7TH                  AV</t>
        </is>
      </c>
      <c r="G801" s="392" t="n">
        <v>43.1</v>
      </c>
      <c r="H801" s="378" t="n">
        <v>9503</v>
      </c>
      <c r="I801" s="403" t="n">
        <v>0</v>
      </c>
      <c r="J801" s="404" t="n">
        <v>5288</v>
      </c>
      <c r="K801" s="408" t="n">
        <v>9.833585476550679</v>
      </c>
      <c r="L801" s="409" t="n">
        <v>0</v>
      </c>
      <c r="M801" s="409" t="n">
        <v>0</v>
      </c>
      <c r="N801" s="378" t="n">
        <v>1927</v>
      </c>
      <c r="O801" s="393" t="n">
        <v>3284</v>
      </c>
      <c r="Q801" s="605" t="n">
        <v>13</v>
      </c>
      <c r="R801" s="605" t="n">
        <v>1</v>
      </c>
      <c r="S801" s="605" t="n">
        <v>1</v>
      </c>
      <c r="T801" s="403" t="inlineStr">
        <is>
          <t xml:space="preserve">B8G  </t>
        </is>
      </c>
      <c r="U801" s="403" t="n">
        <v>401</v>
      </c>
      <c r="V801" s="404" t="n">
        <v>9370</v>
      </c>
      <c r="W801" s="404" t="n">
        <v>9000</v>
      </c>
      <c r="X801" s="410" t="inlineStr">
        <is>
          <t>1.8:1</t>
        </is>
      </c>
      <c r="Y801" s="404">
        <f>ROUND(J801,-3)</f>
        <v/>
      </c>
      <c r="Z801" s="403" t="inlineStr">
        <is>
          <t xml:space="preserve">C </t>
        </is>
      </c>
      <c r="AA801" s="605" t="n">
        <v>3</v>
      </c>
      <c r="AB801" s="605" t="n">
        <v>3</v>
      </c>
      <c r="AC801" s="378" t="inlineStr">
        <is>
          <t>33</t>
        </is>
      </c>
      <c r="AD801" s="384" t="n"/>
      <c r="AE801" s="145" t="n"/>
      <c r="AF801" s="145" t="n"/>
      <c r="AG801" s="145" t="n"/>
      <c r="AH801" s="145" t="n"/>
      <c r="AI801" s="145" t="n"/>
      <c r="AJ801" s="145" t="n"/>
      <c r="AK801" s="145" t="inlineStr">
        <is>
          <t xml:space="preserve">S-T INDUSTRIAL BLDG.; INTRA-CORP LEASE BUT APPEARS TO BE MARKET.  </t>
        </is>
      </c>
      <c r="AL801" s="605">
        <f>IF(AND(ISNUMBER($S801),$S801&gt;0,ISNUMBER($K801),ISNUMBER($J801)),($K801*$J801)/$S801,"")</f>
        <v/>
      </c>
    </row>
    <row r="802" ht="12.75" customHeight="1" s="545">
      <c r="A802" s="388" t="n">
        <v>8</v>
      </c>
      <c r="B802" s="605" t="n">
        <v>794</v>
      </c>
      <c r="C802" s="384" t="inlineStr">
        <is>
          <t>2009Q</t>
        </is>
      </c>
      <c r="D802" s="605" t="inlineStr">
        <is>
          <t xml:space="preserve">05041-07-020-000 </t>
        </is>
      </c>
      <c r="E802" s="407" t="inlineStr">
        <is>
          <t>Actual</t>
        </is>
      </c>
      <c r="F802" s="605" t="inlineStr">
        <is>
          <t>1305   OSAGE                ST</t>
        </is>
      </c>
      <c r="G802" s="392" t="n">
        <v>44.1</v>
      </c>
      <c r="H802" s="378" t="n">
        <v>9505</v>
      </c>
      <c r="I802" s="403" t="n">
        <v>0</v>
      </c>
      <c r="J802" s="404" t="n">
        <v>10600</v>
      </c>
      <c r="K802" s="408" t="n">
        <v>7.14150943396226</v>
      </c>
      <c r="L802" s="409" t="n">
        <v>0</v>
      </c>
      <c r="M802" s="409" t="n">
        <v>0</v>
      </c>
      <c r="N802" s="378" t="n">
        <v>1966</v>
      </c>
      <c r="O802" s="393" t="n">
        <v>3480</v>
      </c>
      <c r="Q802" s="605" t="n">
        <v>13</v>
      </c>
      <c r="R802" s="605" t="n">
        <v>8</v>
      </c>
      <c r="S802" s="605" t="n">
        <v>1</v>
      </c>
      <c r="T802" s="403" t="inlineStr">
        <is>
          <t xml:space="preserve">I1   </t>
        </is>
      </c>
      <c r="U802" s="403" t="n">
        <v>397</v>
      </c>
      <c r="V802" s="404" t="n">
        <v>25019</v>
      </c>
      <c r="W802" s="404" t="n">
        <v>25000</v>
      </c>
      <c r="X802" s="410" t="inlineStr">
        <is>
          <t>2.4:1</t>
        </is>
      </c>
      <c r="Y802" s="404">
        <f>ROUND(J802,-3)</f>
        <v/>
      </c>
      <c r="Z802" s="403" t="inlineStr">
        <is>
          <t xml:space="preserve">C </t>
        </is>
      </c>
      <c r="AA802" s="605" t="n">
        <v>3</v>
      </c>
      <c r="AB802" s="605" t="n">
        <v>3</v>
      </c>
      <c r="AC802" s="378" t="inlineStr">
        <is>
          <t>33</t>
        </is>
      </c>
      <c r="AD802" s="384" t="inlineStr">
        <is>
          <t xml:space="preserve">DIST-J-8 EQUIPMENT  </t>
        </is>
      </c>
      <c r="AE802" s="145" t="n"/>
      <c r="AF802" s="145" t="n"/>
      <c r="AG802" s="145" t="n"/>
      <c r="AH802" s="145" t="n"/>
      <c r="AI802" s="145" t="n"/>
      <c r="AJ802" s="145" t="n"/>
      <c r="AK802" s="145" t="inlineStr">
        <is>
          <t xml:space="preserve">S-T WHSE.                                                         </t>
        </is>
      </c>
      <c r="AL802" s="605">
        <f>IF(AND(ISNUMBER($S802),$S802&gt;0,ISNUMBER($K802),ISNUMBER($J802)),($K802*$J802)/$S802,"")</f>
        <v/>
      </c>
    </row>
    <row r="803" ht="12.75" customHeight="1" s="545">
      <c r="A803" s="388" t="n">
        <v>8</v>
      </c>
      <c r="B803" s="605" t="n">
        <v>795</v>
      </c>
      <c r="C803" s="384" t="inlineStr">
        <is>
          <t>2009Q</t>
        </is>
      </c>
      <c r="D803" s="605" t="inlineStr">
        <is>
          <t xml:space="preserve">05042-00-040-000 </t>
        </is>
      </c>
      <c r="E803" s="407" t="inlineStr">
        <is>
          <t>Actual</t>
        </is>
      </c>
      <c r="F803" s="605" t="inlineStr">
        <is>
          <t>1600 W COLFAX               AV</t>
        </is>
      </c>
      <c r="G803" s="392" t="n">
        <v>44.6</v>
      </c>
      <c r="H803" s="378" t="n">
        <v>9505</v>
      </c>
      <c r="I803" s="403" t="n">
        <v>0</v>
      </c>
      <c r="J803" s="404" t="n">
        <v>39999</v>
      </c>
      <c r="K803" s="408" t="n">
        <v>7.71019275481887</v>
      </c>
      <c r="L803" s="409" t="n">
        <v>0</v>
      </c>
      <c r="M803" s="409" t="n">
        <v>0</v>
      </c>
      <c r="N803" s="378" t="n">
        <v>1963</v>
      </c>
      <c r="O803" s="393" t="n">
        <v>1344</v>
      </c>
      <c r="Q803" s="605" t="n">
        <v>20</v>
      </c>
      <c r="R803" s="605" t="n">
        <v>10</v>
      </c>
      <c r="S803" s="605" t="n">
        <v>1</v>
      </c>
      <c r="T803" s="403" t="inlineStr">
        <is>
          <t xml:space="preserve">I2   </t>
        </is>
      </c>
      <c r="U803" s="403" t="n">
        <v>398</v>
      </c>
      <c r="V803" s="404" t="n">
        <v>73800</v>
      </c>
      <c r="W803" s="404" t="n">
        <v>70000</v>
      </c>
      <c r="X803" s="410" t="inlineStr">
        <is>
          <t>1.8:1</t>
        </is>
      </c>
      <c r="Y803" s="404">
        <f>ROUND(J803,-3)</f>
        <v/>
      </c>
      <c r="Z803" s="403" t="inlineStr">
        <is>
          <t xml:space="preserve">C </t>
        </is>
      </c>
      <c r="AA803" s="605" t="n">
        <v>3</v>
      </c>
      <c r="AB803" s="605" t="n">
        <v>3</v>
      </c>
      <c r="AC803" s="378" t="inlineStr">
        <is>
          <t>33</t>
        </is>
      </c>
      <c r="AD803" s="384" t="n"/>
      <c r="AE803" s="145" t="n"/>
      <c r="AF803" s="145" t="n"/>
      <c r="AG803" s="145" t="n"/>
      <c r="AH803" s="145" t="n"/>
      <c r="AI803" s="145" t="n"/>
      <c r="AJ803" s="145" t="n"/>
      <c r="AK803" s="145" t="inlineStr">
        <is>
          <t xml:space="preserve">S-T WHSE; 2004 LEASE.                                             </t>
        </is>
      </c>
      <c r="AL803" s="605">
        <f>IF(AND(ISNUMBER($S803),$S803&gt;0,ISNUMBER($K803),ISNUMBER($J803)),($K803*$J803)/$S803,"")</f>
        <v/>
      </c>
    </row>
    <row r="804" ht="12.75" customHeight="1" s="545">
      <c r="A804" s="388" t="n">
        <v>8</v>
      </c>
      <c r="B804" s="605" t="n">
        <v>796</v>
      </c>
      <c r="C804" s="384" t="inlineStr">
        <is>
          <t>2009Q</t>
        </is>
      </c>
      <c r="D804" s="605" t="inlineStr">
        <is>
          <t xml:space="preserve">05042-01-047-000 </t>
        </is>
      </c>
      <c r="E804" s="407" t="inlineStr">
        <is>
          <t>Actual</t>
        </is>
      </c>
      <c r="F804" s="605" t="inlineStr">
        <is>
          <t>1801 W COLFAX               AV</t>
        </is>
      </c>
      <c r="G804" s="392" t="n">
        <v>44.1</v>
      </c>
      <c r="H804" s="378" t="n">
        <v>9505</v>
      </c>
      <c r="I804" s="403" t="n">
        <v>0</v>
      </c>
      <c r="J804" s="404" t="n">
        <v>5038</v>
      </c>
      <c r="K804" s="408" t="n">
        <v>3.57284636760619</v>
      </c>
      <c r="L804" s="409" t="n">
        <v>0</v>
      </c>
      <c r="M804" s="409" t="n">
        <v>0.212222222222222</v>
      </c>
      <c r="N804" s="378" t="n">
        <v>1953</v>
      </c>
      <c r="O804" s="393" t="n">
        <v>325</v>
      </c>
      <c r="Q804" s="605" t="n">
        <v>13</v>
      </c>
      <c r="R804" s="605" t="n">
        <v>6</v>
      </c>
      <c r="S804" s="605" t="n">
        <v>1</v>
      </c>
      <c r="T804" s="403" t="inlineStr">
        <is>
          <t xml:space="preserve">I2   </t>
        </is>
      </c>
      <c r="U804" s="403" t="n">
        <v>398</v>
      </c>
      <c r="V804" s="404" t="n">
        <v>25929</v>
      </c>
      <c r="W804" s="404" t="n">
        <v>26000</v>
      </c>
      <c r="X804" s="410" t="inlineStr">
        <is>
          <t>5.1:1</t>
        </is>
      </c>
      <c r="Y804" s="404">
        <f>ROUND(J804,-3)</f>
        <v/>
      </c>
      <c r="Z804" s="403" t="inlineStr">
        <is>
          <t xml:space="preserve">C </t>
        </is>
      </c>
      <c r="AA804" s="605" t="n">
        <v>1</v>
      </c>
      <c r="AB804" s="605" t="n">
        <v>2</v>
      </c>
      <c r="AC804" s="378" t="inlineStr">
        <is>
          <t>12</t>
        </is>
      </c>
      <c r="AD804" s="384" t="n"/>
      <c r="AE804" s="145" t="n"/>
      <c r="AF804" s="145" t="n"/>
      <c r="AG804" s="145" t="n"/>
      <c r="AH804" s="145" t="n"/>
      <c r="AI804" s="145" t="n"/>
      <c r="AJ804" s="145" t="n"/>
      <c r="AK804" s="145" t="inlineStr">
        <is>
          <t xml:space="preserve">S-T WHSE.                                                         </t>
        </is>
      </c>
      <c r="AL804" s="605">
        <f>IF(AND(ISNUMBER($S804),$S804&gt;0,ISNUMBER($K804),ISNUMBER($J804)),($K804*$J804)/$S804,"")</f>
        <v/>
      </c>
    </row>
    <row r="805" ht="12.75" customHeight="1" s="545">
      <c r="A805" s="388" t="n">
        <v>8</v>
      </c>
      <c r="B805" s="605" t="n">
        <v>797</v>
      </c>
      <c r="C805" s="384" t="inlineStr">
        <is>
          <t>2009Q</t>
        </is>
      </c>
      <c r="D805" s="605" t="inlineStr">
        <is>
          <t xml:space="preserve">05042-01-049-000 </t>
        </is>
      </c>
      <c r="E805" s="407" t="inlineStr">
        <is>
          <t>Actual</t>
        </is>
      </c>
      <c r="F805" s="605" t="inlineStr">
        <is>
          <t>1835 W COLFAX               AV</t>
        </is>
      </c>
      <c r="G805" s="392" t="n">
        <v>44.1</v>
      </c>
      <c r="H805" s="378" t="n">
        <v>9505</v>
      </c>
      <c r="I805" s="403" t="n">
        <v>0</v>
      </c>
      <c r="J805" s="404" t="n">
        <v>6022</v>
      </c>
      <c r="K805" s="408" t="n">
        <v>5.97808037196945</v>
      </c>
      <c r="L805" s="409" t="n">
        <v>0</v>
      </c>
      <c r="M805" s="409" t="n">
        <v>0.191833333333333</v>
      </c>
      <c r="N805" s="378" t="n">
        <v>1981</v>
      </c>
      <c r="O805" s="393" t="n">
        <v>1470</v>
      </c>
      <c r="Q805" s="605" t="n">
        <v>15</v>
      </c>
      <c r="R805" s="605" t="n">
        <v>3</v>
      </c>
      <c r="S805" s="605" t="n">
        <v>1</v>
      </c>
      <c r="T805" s="403" t="inlineStr">
        <is>
          <t xml:space="preserve">I2   </t>
        </is>
      </c>
      <c r="U805" s="403" t="n">
        <v>398</v>
      </c>
      <c r="V805" s="404" t="n">
        <v>13115</v>
      </c>
      <c r="W805" s="404" t="n">
        <v>13000</v>
      </c>
      <c r="X805" s="410" t="inlineStr">
        <is>
          <t>2.2:1</t>
        </is>
      </c>
      <c r="Y805" s="404">
        <f>ROUND(J805,-3)</f>
        <v/>
      </c>
      <c r="Z805" s="403" t="inlineStr">
        <is>
          <t xml:space="preserve">C </t>
        </is>
      </c>
      <c r="AA805" s="605" t="n">
        <v>3</v>
      </c>
      <c r="AB805" s="605" t="n">
        <v>3</v>
      </c>
      <c r="AC805" s="378" t="inlineStr">
        <is>
          <t>33</t>
        </is>
      </c>
      <c r="AD805" s="384" t="n"/>
      <c r="AE805" s="145" t="n"/>
      <c r="AF805" s="145" t="n"/>
      <c r="AG805" s="145" t="n"/>
      <c r="AH805" s="145" t="n"/>
      <c r="AI805" s="145" t="n"/>
      <c r="AJ805" s="145" t="n"/>
      <c r="AK805" s="145" t="inlineStr">
        <is>
          <t xml:space="preserve">S-T WHSE.                                                         </t>
        </is>
      </c>
      <c r="AL805" s="605">
        <f>IF(AND(ISNUMBER($S805),$S805&gt;0,ISNUMBER($K805),ISNUMBER($J805)),($K805*$J805)/$S805,"")</f>
        <v/>
      </c>
    </row>
    <row r="806" ht="12.75" customHeight="1" s="545">
      <c r="A806" s="388" t="n">
        <v>8</v>
      </c>
      <c r="B806" s="605" t="n">
        <v>798</v>
      </c>
      <c r="C806" s="384" t="inlineStr">
        <is>
          <t>2009Q</t>
        </is>
      </c>
      <c r="D806" s="605" t="inlineStr">
        <is>
          <t xml:space="preserve">05042-03-004-000 </t>
        </is>
      </c>
      <c r="E806" s="407" t="inlineStr">
        <is>
          <t>Actual</t>
        </is>
      </c>
      <c r="F806" s="605" t="inlineStr">
        <is>
          <t>2000 W COLFAX               AV</t>
        </is>
      </c>
      <c r="G806" s="392" t="n">
        <v>44.5</v>
      </c>
      <c r="H806" s="378" t="n">
        <v>9505</v>
      </c>
      <c r="I806" s="403" t="n">
        <v>0</v>
      </c>
      <c r="J806" s="404" t="n">
        <v>38952</v>
      </c>
      <c r="K806" s="408" t="n">
        <v>5.2956202505648</v>
      </c>
      <c r="L806" s="409" t="n">
        <v>0</v>
      </c>
      <c r="M806" s="409" t="n">
        <v>0</v>
      </c>
      <c r="N806" s="378" t="n">
        <v>1928</v>
      </c>
      <c r="O806" s="393" t="n">
        <v>1833</v>
      </c>
      <c r="Q806" s="605" t="n">
        <v>15</v>
      </c>
      <c r="R806" s="605" t="n">
        <v>1</v>
      </c>
      <c r="S806" s="605" t="n">
        <v>1</v>
      </c>
      <c r="T806" s="403" t="inlineStr">
        <is>
          <t xml:space="preserve">PRV  </t>
        </is>
      </c>
      <c r="U806" s="403" t="n">
        <v>396</v>
      </c>
      <c r="V806" s="404" t="n">
        <v>18750</v>
      </c>
      <c r="W806" s="404" t="n">
        <v>19000</v>
      </c>
      <c r="X806" s="410" t="inlineStr">
        <is>
          <t>0.5:1</t>
        </is>
      </c>
      <c r="Y806" s="404">
        <f>ROUND(J806,-3)</f>
        <v/>
      </c>
      <c r="Z806" s="403" t="inlineStr">
        <is>
          <t xml:space="preserve">B </t>
        </is>
      </c>
      <c r="AA806" s="605" t="n">
        <v>3</v>
      </c>
      <c r="AB806" s="605" t="n">
        <v>2</v>
      </c>
      <c r="AC806" s="378" t="inlineStr">
        <is>
          <t>32</t>
        </is>
      </c>
      <c r="AD806" s="384" t="inlineStr">
        <is>
          <t xml:space="preserve">UHAUL               </t>
        </is>
      </c>
      <c r="AE806" s="145" t="n"/>
      <c r="AF806" s="145" t="n"/>
      <c r="AG806" s="145" t="n"/>
      <c r="AH806" s="145" t="n"/>
      <c r="AI806" s="145" t="n"/>
      <c r="AJ806" s="145" t="n"/>
      <c r="AK806" s="145" t="n"/>
      <c r="AL806" s="605">
        <f>IF(AND(ISNUMBER($S806),$S806&gt;0,ISNUMBER($K806),ISNUMBER($J806)),($K806*$J806)/$S806,"")</f>
        <v/>
      </c>
    </row>
    <row r="807" ht="12.75" customHeight="1" s="545">
      <c r="A807" s="388" t="n">
        <v>8</v>
      </c>
      <c r="B807" s="605" t="n">
        <v>799</v>
      </c>
      <c r="C807" s="384" t="inlineStr">
        <is>
          <t>2009Q</t>
        </is>
      </c>
      <c r="D807" s="605" t="inlineStr">
        <is>
          <t xml:space="preserve">05042-04-063-000 </t>
        </is>
      </c>
      <c r="E807" s="407" t="inlineStr">
        <is>
          <t>Actual</t>
        </is>
      </c>
      <c r="F807" s="605" t="inlineStr">
        <is>
          <t>1957 W 14TH                 AV</t>
        </is>
      </c>
      <c r="G807" s="392" t="n">
        <v>44.1</v>
      </c>
      <c r="H807" s="378" t="n">
        <v>9505</v>
      </c>
      <c r="I807" s="403" t="n">
        <v>0</v>
      </c>
      <c r="J807" s="404" t="n">
        <v>7700</v>
      </c>
      <c r="K807" s="408" t="n">
        <v>8.72727272727273</v>
      </c>
      <c r="L807" s="409" t="n">
        <v>0</v>
      </c>
      <c r="M807" s="409" t="n">
        <v>0.266324404761905</v>
      </c>
      <c r="N807" s="378" t="n">
        <v>1966</v>
      </c>
      <c r="P807" s="393" t="n">
        <v>4000</v>
      </c>
      <c r="Q807" s="605" t="n">
        <v>15</v>
      </c>
      <c r="R807" s="605" t="n">
        <v>3</v>
      </c>
      <c r="S807" s="605" t="n">
        <v>1</v>
      </c>
      <c r="T807" s="403" t="inlineStr">
        <is>
          <t xml:space="preserve">PRV  </t>
        </is>
      </c>
      <c r="U807" s="403" t="n">
        <v>398</v>
      </c>
      <c r="V807" s="404" t="n">
        <v>19240</v>
      </c>
      <c r="W807" s="404" t="n">
        <v>19000</v>
      </c>
      <c r="X807" s="410" t="inlineStr">
        <is>
          <t>2.5:1</t>
        </is>
      </c>
      <c r="Y807" s="404">
        <f>ROUND(J807,-3)</f>
        <v/>
      </c>
      <c r="Z807" s="403" t="inlineStr">
        <is>
          <t xml:space="preserve">C </t>
        </is>
      </c>
      <c r="AA807" s="605" t="n">
        <v>3</v>
      </c>
      <c r="AB807" s="605" t="n">
        <v>3</v>
      </c>
      <c r="AC807" s="378" t="inlineStr">
        <is>
          <t>33</t>
        </is>
      </c>
      <c r="AD807" s="384" t="n"/>
      <c r="AE807" s="145" t="n"/>
      <c r="AF807" s="145" t="n"/>
      <c r="AG807" s="145" t="n"/>
      <c r="AH807" s="145" t="n"/>
      <c r="AI807" s="145" t="n"/>
      <c r="AJ807" s="145" t="n"/>
      <c r="AK807" s="145" t="inlineStr">
        <is>
          <t xml:space="preserve">S-T WHSE.; YR-TO-YR LEASE BEGUN IN 1997.                          </t>
        </is>
      </c>
      <c r="AL807" s="605">
        <f>IF(AND(ISNUMBER($S807),$S807&gt;0,ISNUMBER($K807),ISNUMBER($J807)),($K807*$J807)/$S807,"")</f>
        <v/>
      </c>
    </row>
    <row r="808" ht="12.75" customHeight="1" s="545">
      <c r="A808" s="388" t="n">
        <v>8</v>
      </c>
      <c r="B808" s="605" t="n">
        <v>800</v>
      </c>
      <c r="C808" s="384" t="inlineStr">
        <is>
          <t>2009Q</t>
        </is>
      </c>
      <c r="D808" s="605" t="inlineStr">
        <is>
          <t xml:space="preserve">05042-09-008-000 </t>
        </is>
      </c>
      <c r="E808" s="407" t="inlineStr">
        <is>
          <t>Actual</t>
        </is>
      </c>
      <c r="F808" s="605" t="inlineStr">
        <is>
          <t>1340   UMATILLA             ST</t>
        </is>
      </c>
      <c r="G808" s="392" t="n">
        <v>44.1</v>
      </c>
      <c r="H808" s="378" t="n">
        <v>9505</v>
      </c>
      <c r="I808" s="403" t="n">
        <v>0</v>
      </c>
      <c r="J808" s="404" t="n">
        <v>5057</v>
      </c>
      <c r="K808" s="408" t="n">
        <v>10.3333992485663</v>
      </c>
      <c r="L808" s="409" t="n">
        <v>0</v>
      </c>
      <c r="M808" s="409" t="n">
        <v>0.216951163502756</v>
      </c>
      <c r="N808" s="378" t="n">
        <v>1910</v>
      </c>
      <c r="Q808" s="605" t="n">
        <v>15</v>
      </c>
      <c r="R808" s="605" t="n">
        <v>3</v>
      </c>
      <c r="S808" s="605" t="n">
        <v>1</v>
      </c>
      <c r="T808" s="403" t="inlineStr">
        <is>
          <t xml:space="preserve">I2   </t>
        </is>
      </c>
      <c r="U808" s="403" t="n">
        <v>398</v>
      </c>
      <c r="V808" s="404" t="n">
        <v>36943</v>
      </c>
      <c r="W808" s="404" t="n">
        <v>37000</v>
      </c>
      <c r="X808" s="410" t="inlineStr">
        <is>
          <t>7.3:1</t>
        </is>
      </c>
      <c r="Y808" s="404">
        <f>ROUND(J808,-3)</f>
        <v/>
      </c>
      <c r="Z808" s="403" t="inlineStr">
        <is>
          <t xml:space="preserve">C </t>
        </is>
      </c>
      <c r="AA808" s="605" t="n">
        <v>3</v>
      </c>
      <c r="AB808" s="605" t="n">
        <v>3</v>
      </c>
      <c r="AC808" s="378" t="inlineStr">
        <is>
          <t>33</t>
        </is>
      </c>
      <c r="AD808" s="384" t="inlineStr">
        <is>
          <t xml:space="preserve">CEI ROOFING(STG)    </t>
        </is>
      </c>
      <c r="AE808" s="145" t="n"/>
      <c r="AF808" s="145" t="n"/>
      <c r="AG808" s="145" t="n"/>
      <c r="AH808" s="145" t="n"/>
      <c r="AI808" s="145" t="n"/>
      <c r="AJ808" s="145" t="n"/>
      <c r="AK808" s="145" t="inlineStr">
        <is>
          <t xml:space="preserve">S-T WHSE.; 2005 LEASE.                                            </t>
        </is>
      </c>
      <c r="AL808" s="605">
        <f>IF(AND(ISNUMBER($S808),$S808&gt;0,ISNUMBER($K808),ISNUMBER($J808)),($K808*$J808)/$S808,"")</f>
        <v/>
      </c>
    </row>
    <row r="809" ht="12.75" customHeight="1" s="545">
      <c r="A809" s="388" t="n">
        <v>8</v>
      </c>
      <c r="B809" s="605" t="n">
        <v>801</v>
      </c>
      <c r="C809" s="384" t="inlineStr">
        <is>
          <t>2009Q</t>
        </is>
      </c>
      <c r="D809" s="605" t="inlineStr">
        <is>
          <t xml:space="preserve">05042-10-047-000 </t>
        </is>
      </c>
      <c r="E809" s="407" t="inlineStr">
        <is>
          <t>Actual</t>
        </is>
      </c>
      <c r="F809" s="605" t="inlineStr">
        <is>
          <t>1950 W 14TH                 AV</t>
        </is>
      </c>
      <c r="G809" s="392" t="n">
        <v>47.1</v>
      </c>
      <c r="H809" s="378" t="n">
        <v>9505</v>
      </c>
      <c r="I809" s="403" t="n">
        <v>0</v>
      </c>
      <c r="J809" s="404" t="n">
        <v>4848</v>
      </c>
      <c r="K809" s="408" t="n">
        <v>9.900990099009899</v>
      </c>
      <c r="L809" s="409" t="n">
        <v>0</v>
      </c>
      <c r="M809" s="409" t="n">
        <v>0</v>
      </c>
      <c r="N809" s="378" t="n">
        <v>1960</v>
      </c>
      <c r="O809" s="393">
        <f>798+798</f>
        <v/>
      </c>
      <c r="Q809" s="605" t="n">
        <v>15</v>
      </c>
      <c r="R809" s="605" t="n">
        <v>3</v>
      </c>
      <c r="S809" s="605" t="n">
        <v>1</v>
      </c>
      <c r="T809" s="403" t="inlineStr">
        <is>
          <t xml:space="preserve">PRV  </t>
        </is>
      </c>
      <c r="U809" s="403" t="n">
        <v>401</v>
      </c>
      <c r="V809" s="404" t="n">
        <v>9940</v>
      </c>
      <c r="W809" s="404" t="n">
        <v>10000</v>
      </c>
      <c r="X809" s="410" t="inlineStr">
        <is>
          <t>2.1:1</t>
        </is>
      </c>
      <c r="Y809" s="404">
        <f>ROUND(J809,-3)</f>
        <v/>
      </c>
      <c r="Z809" s="403" t="inlineStr">
        <is>
          <t xml:space="preserve">C </t>
        </is>
      </c>
      <c r="AA809" s="605" t="n">
        <v>3</v>
      </c>
      <c r="AB809" s="605" t="n">
        <v>3</v>
      </c>
      <c r="AC809" s="378" t="inlineStr">
        <is>
          <t>33</t>
        </is>
      </c>
      <c r="AD809" s="384" t="inlineStr">
        <is>
          <t xml:space="preserve">SIEGEL OIL          </t>
        </is>
      </c>
      <c r="AE809" s="145" t="n"/>
      <c r="AF809" s="145" t="n"/>
      <c r="AG809" s="145" t="n"/>
      <c r="AH809" s="145" t="n"/>
      <c r="AI809" s="145" t="n"/>
      <c r="AJ809" s="145" t="n"/>
      <c r="AK809" s="145" t="inlineStr">
        <is>
          <t xml:space="preserve">S-T WHSE.                                                         </t>
        </is>
      </c>
      <c r="AL809" s="605">
        <f>IF(AND(ISNUMBER($S809),$S809&gt;0,ISNUMBER($K809),ISNUMBER($J809)),($K809*$J809)/$S809,"")</f>
        <v/>
      </c>
    </row>
    <row r="810" ht="12.75" customHeight="1" s="545">
      <c r="A810" s="388" t="n">
        <v>8</v>
      </c>
      <c r="B810" s="605" t="n">
        <v>802</v>
      </c>
      <c r="C810" s="384" t="inlineStr">
        <is>
          <t>2009Q</t>
        </is>
      </c>
      <c r="D810" s="605" t="inlineStr">
        <is>
          <t xml:space="preserve">05042-10-051-000 </t>
        </is>
      </c>
      <c r="E810" s="407" t="inlineStr">
        <is>
          <t>Actual</t>
        </is>
      </c>
      <c r="F810" s="605" t="inlineStr">
        <is>
          <t>1380   ZUNI                 ST</t>
        </is>
      </c>
      <c r="G810" s="392" t="n">
        <v>44.1</v>
      </c>
      <c r="H810" s="378" t="n">
        <v>9505</v>
      </c>
      <c r="I810" s="403" t="n">
        <v>0</v>
      </c>
      <c r="J810" s="404" t="n">
        <v>9920</v>
      </c>
      <c r="K810" s="408" t="n">
        <v>9.07258064516129</v>
      </c>
      <c r="L810" s="409" t="n">
        <v>0</v>
      </c>
      <c r="M810" s="409" t="n">
        <v>0</v>
      </c>
      <c r="N810" s="378" t="n">
        <v>1972</v>
      </c>
      <c r="O810" s="393">
        <f>3960+960</f>
        <v/>
      </c>
      <c r="Q810" s="605" t="n">
        <v>18</v>
      </c>
      <c r="R810" s="605" t="n">
        <v>10</v>
      </c>
      <c r="S810" s="605" t="n">
        <v>1</v>
      </c>
      <c r="T810" s="403" t="inlineStr">
        <is>
          <t xml:space="preserve">I2   </t>
        </is>
      </c>
      <c r="U810" s="403" t="n">
        <v>398</v>
      </c>
      <c r="V810" s="404" t="n">
        <v>45472</v>
      </c>
      <c r="W810" s="404" t="n">
        <v>45000</v>
      </c>
      <c r="X810" s="410" t="inlineStr">
        <is>
          <t>4.6:1</t>
        </is>
      </c>
      <c r="Y810" s="404">
        <f>ROUND(J810,-3)</f>
        <v/>
      </c>
      <c r="Z810" s="403" t="inlineStr">
        <is>
          <t xml:space="preserve">C </t>
        </is>
      </c>
      <c r="AA810" s="605" t="n">
        <v>3</v>
      </c>
      <c r="AB810" s="605" t="n">
        <v>3</v>
      </c>
      <c r="AC810" s="378" t="inlineStr">
        <is>
          <t>33</t>
        </is>
      </c>
      <c r="AD810" s="384" t="inlineStr">
        <is>
          <t xml:space="preserve">WAREHOUSE           </t>
        </is>
      </c>
      <c r="AE810" s="145" t="n"/>
      <c r="AF810" s="145" t="n"/>
      <c r="AG810" s="145" t="n"/>
      <c r="AH810" s="145" t="n"/>
      <c r="AI810" s="145" t="n"/>
      <c r="AJ810" s="145" t="n"/>
      <c r="AK810" s="145" t="inlineStr">
        <is>
          <t xml:space="preserve">S-T WHSE.                                                         </t>
        </is>
      </c>
      <c r="AL810" s="605">
        <f>IF(AND(ISNUMBER($S810),$S810&gt;0,ISNUMBER($K810),ISNUMBER($J810)),($K810*$J810)/$S810,"")</f>
        <v/>
      </c>
    </row>
    <row r="811" ht="12.75" customHeight="1" s="545">
      <c r="A811" s="388" t="n">
        <v>8</v>
      </c>
      <c r="B811" s="605" t="n">
        <v>803</v>
      </c>
      <c r="C811" s="384" t="inlineStr">
        <is>
          <t>2009Q</t>
        </is>
      </c>
      <c r="D811" s="605" t="inlineStr">
        <is>
          <t xml:space="preserve">05042-18-015-000 </t>
        </is>
      </c>
      <c r="E811" s="407" t="inlineStr">
        <is>
          <t>Actual</t>
        </is>
      </c>
      <c r="F811" s="605" t="inlineStr">
        <is>
          <t>1221   PECOS                ST</t>
        </is>
      </c>
      <c r="G811" s="392" t="n">
        <v>44.1</v>
      </c>
      <c r="H811" s="378" t="n">
        <v>9505</v>
      </c>
      <c r="I811" s="403" t="n">
        <v>0</v>
      </c>
      <c r="J811" s="404" t="n">
        <v>9000</v>
      </c>
      <c r="K811" s="408" t="n">
        <v>7.55555555555556</v>
      </c>
      <c r="L811" s="409" t="n">
        <v>0</v>
      </c>
      <c r="M811" s="409" t="n">
        <v>0.0656176470588235</v>
      </c>
      <c r="N811" s="378" t="n">
        <v>1964</v>
      </c>
      <c r="O811" s="393" t="n">
        <v>1957</v>
      </c>
      <c r="Q811" s="605" t="n">
        <v>13</v>
      </c>
      <c r="R811" s="605" t="n">
        <v>7</v>
      </c>
      <c r="S811" s="605" t="n">
        <v>1</v>
      </c>
      <c r="T811" s="403" t="inlineStr">
        <is>
          <t xml:space="preserve">I2   </t>
        </is>
      </c>
      <c r="U811" s="403" t="n">
        <v>398</v>
      </c>
      <c r="V811" s="404" t="n">
        <v>15062</v>
      </c>
      <c r="W811" s="404" t="n">
        <v>15000</v>
      </c>
      <c r="X811" s="410" t="inlineStr">
        <is>
          <t>1.7:1</t>
        </is>
      </c>
      <c r="Y811" s="404">
        <f>ROUND(J811,-3)</f>
        <v/>
      </c>
      <c r="Z811" s="403" t="inlineStr">
        <is>
          <t xml:space="preserve">C </t>
        </is>
      </c>
      <c r="AA811" s="605" t="n">
        <v>3</v>
      </c>
      <c r="AB811" s="605" t="n">
        <v>3</v>
      </c>
      <c r="AC811" s="378" t="inlineStr">
        <is>
          <t>33</t>
        </is>
      </c>
      <c r="AD811" s="384" t="n"/>
      <c r="AE811" s="145" t="n"/>
      <c r="AF811" s="145" t="n"/>
      <c r="AG811" s="145" t="n"/>
      <c r="AH811" s="145" t="n"/>
      <c r="AI811" s="145" t="n"/>
      <c r="AJ811" s="145" t="n"/>
      <c r="AK811" s="145" t="inlineStr">
        <is>
          <t xml:space="preserve">S-T WHSE.; 2005 LEASE.                                            </t>
        </is>
      </c>
      <c r="AL811" s="605">
        <f>IF(AND(ISNUMBER($S811),$S811&gt;0,ISNUMBER($K811),ISNUMBER($J811)),($K811*$J811)/$S811,"")</f>
        <v/>
      </c>
    </row>
    <row r="812" ht="12.75" customHeight="1" s="545">
      <c r="A812" s="388" t="n">
        <v>8</v>
      </c>
      <c r="B812" s="605" t="n">
        <v>804</v>
      </c>
      <c r="C812" s="384" t="inlineStr">
        <is>
          <t>2009Q</t>
        </is>
      </c>
      <c r="D812" s="605" t="inlineStr">
        <is>
          <t xml:space="preserve">05042-19-007-000 </t>
        </is>
      </c>
      <c r="E812" s="407" t="inlineStr">
        <is>
          <t>Actual</t>
        </is>
      </c>
      <c r="F812" s="605" t="inlineStr">
        <is>
          <t>1245   QUIVAS               ST</t>
        </is>
      </c>
      <c r="G812" s="392" t="n">
        <v>47.1</v>
      </c>
      <c r="H812" s="378" t="n">
        <v>9505</v>
      </c>
      <c r="I812" s="403" t="n">
        <v>0</v>
      </c>
      <c r="J812" s="404" t="n">
        <v>4006</v>
      </c>
      <c r="K812" s="408" t="n">
        <v>7.48876684972541</v>
      </c>
      <c r="L812" s="409" t="n">
        <v>0</v>
      </c>
      <c r="M812" s="409" t="n">
        <v>0.0333333333333333</v>
      </c>
      <c r="N812" s="378" t="n">
        <v>1962</v>
      </c>
      <c r="O812" s="393" t="n">
        <v>1483</v>
      </c>
      <c r="Q812" s="605" t="n">
        <v>14</v>
      </c>
      <c r="R812" s="605" t="n">
        <v>7</v>
      </c>
      <c r="S812" s="605" t="n">
        <v>1</v>
      </c>
      <c r="T812" s="403" t="inlineStr">
        <is>
          <t xml:space="preserve">I2   </t>
        </is>
      </c>
      <c r="U812" s="403" t="n">
        <v>401</v>
      </c>
      <c r="V812" s="404" t="n">
        <v>28900</v>
      </c>
      <c r="W812" s="404" t="n">
        <v>29000</v>
      </c>
      <c r="X812" s="410" t="inlineStr">
        <is>
          <t>7.2:1</t>
        </is>
      </c>
      <c r="Y812" s="404">
        <f>ROUND(J812,-3)</f>
        <v/>
      </c>
      <c r="Z812" s="403" t="inlineStr">
        <is>
          <t xml:space="preserve">C </t>
        </is>
      </c>
      <c r="AA812" s="605" t="n">
        <v>2</v>
      </c>
      <c r="AB812" s="605" t="n">
        <v>2</v>
      </c>
      <c r="AC812" s="378" t="inlineStr">
        <is>
          <t>22</t>
        </is>
      </c>
      <c r="AD812" s="384" t="inlineStr">
        <is>
          <t>S-F ERICKSON MONUMEN</t>
        </is>
      </c>
      <c r="AE812" s="145" t="n"/>
      <c r="AF812" s="145" t="n"/>
      <c r="AG812" s="145" t="n"/>
      <c r="AH812" s="145" t="n"/>
      <c r="AI812" s="145" t="n"/>
      <c r="AJ812" s="145" t="n"/>
      <c r="AK812" s="145" t="inlineStr">
        <is>
          <t xml:space="preserve">S-T INDUSTRIAL BLDG.; 2006 LEASE.                                 </t>
        </is>
      </c>
      <c r="AL812" s="605">
        <f>IF(AND(ISNUMBER($S812),$S812&gt;0,ISNUMBER($K812),ISNUMBER($J812)),($K812*$J812)/$S812,"")</f>
        <v/>
      </c>
    </row>
    <row r="813" ht="12.75" customHeight="1" s="545">
      <c r="A813" s="388" t="n">
        <v>8</v>
      </c>
      <c r="B813" s="605" t="n">
        <v>805</v>
      </c>
      <c r="C813" s="384" t="inlineStr">
        <is>
          <t>2009Q</t>
        </is>
      </c>
      <c r="D813" s="605" t="inlineStr">
        <is>
          <t xml:space="preserve">05042-23-008-000 </t>
        </is>
      </c>
      <c r="E813" s="407" t="inlineStr">
        <is>
          <t>Actual</t>
        </is>
      </c>
      <c r="F813" s="605" t="inlineStr">
        <is>
          <t>1250   ZUNI                 ST</t>
        </is>
      </c>
      <c r="G813" s="392" t="n">
        <v>44.1</v>
      </c>
      <c r="H813" s="378" t="n">
        <v>9505</v>
      </c>
      <c r="I813" s="403" t="n">
        <v>0</v>
      </c>
      <c r="J813" s="404" t="n">
        <v>20724</v>
      </c>
      <c r="K813" s="408" t="n">
        <v>5.98147075854082</v>
      </c>
      <c r="L813" s="409" t="n">
        <v>0</v>
      </c>
      <c r="M813" s="409" t="n">
        <v>0</v>
      </c>
      <c r="N813" s="378" t="n">
        <v>1984</v>
      </c>
      <c r="O813" s="393" t="n">
        <v>582</v>
      </c>
      <c r="P813" s="393" t="n">
        <v>6060</v>
      </c>
      <c r="Q813" s="605" t="n">
        <v>13</v>
      </c>
      <c r="R813" s="605" t="n">
        <v>3</v>
      </c>
      <c r="S813" s="605" t="n">
        <v>1</v>
      </c>
      <c r="T813" s="403" t="inlineStr">
        <is>
          <t xml:space="preserve">I2   </t>
        </is>
      </c>
      <c r="U813" s="403" t="n">
        <v>398</v>
      </c>
      <c r="V813" s="404" t="n">
        <v>122458</v>
      </c>
      <c r="W813" s="404" t="n">
        <v>120000</v>
      </c>
      <c r="X813" s="410" t="inlineStr">
        <is>
          <t>5.9:1</t>
        </is>
      </c>
      <c r="Y813" s="404">
        <f>ROUND(J813,-3)</f>
        <v/>
      </c>
      <c r="Z813" s="403" t="inlineStr">
        <is>
          <t xml:space="preserve">C </t>
        </is>
      </c>
      <c r="AA813" s="605" t="n">
        <v>3</v>
      </c>
      <c r="AB813" s="605" t="n">
        <v>3</v>
      </c>
      <c r="AC813" s="378" t="inlineStr">
        <is>
          <t>33</t>
        </is>
      </c>
      <c r="AD813" s="384" t="inlineStr">
        <is>
          <t>CENTER RENTAL &amp;SALES</t>
        </is>
      </c>
      <c r="AE813" s="145" t="n"/>
      <c r="AF813" s="145" t="n"/>
      <c r="AG813" s="145" t="n"/>
      <c r="AH813" s="145" t="n"/>
      <c r="AI813" s="145" t="n"/>
      <c r="AJ813" s="145" t="n"/>
      <c r="AK813" s="145" t="inlineStr">
        <is>
          <t xml:space="preserve">S-T WHSE.                                                         </t>
        </is>
      </c>
      <c r="AL813" s="605">
        <f>IF(AND(ISNUMBER($S813),$S813&gt;0,ISNUMBER($K813),ISNUMBER($J813)),($K813*$J813)/$S813,"")</f>
        <v/>
      </c>
    </row>
    <row r="814" ht="12.75" customHeight="1" s="545">
      <c r="A814" s="388" t="n">
        <v>8</v>
      </c>
      <c r="B814" s="605" t="n">
        <v>806</v>
      </c>
      <c r="C814" s="384" t="inlineStr">
        <is>
          <t>2009Q</t>
        </is>
      </c>
      <c r="D814" s="605" t="inlineStr">
        <is>
          <t xml:space="preserve">05043-22-044-000 </t>
        </is>
      </c>
      <c r="E814" s="407" t="inlineStr">
        <is>
          <t>Actual</t>
        </is>
      </c>
      <c r="F814" s="605" t="inlineStr">
        <is>
          <t>955   ZUNI                 ST</t>
        </is>
      </c>
      <c r="G814" s="392" t="n">
        <v>44.2</v>
      </c>
      <c r="H814" s="378" t="n">
        <v>9505</v>
      </c>
      <c r="I814" s="403" t="n">
        <v>0</v>
      </c>
      <c r="J814" s="404" t="n">
        <v>6000</v>
      </c>
      <c r="K814" s="408" t="n">
        <v>10</v>
      </c>
      <c r="L814" s="409" t="n">
        <v>0</v>
      </c>
      <c r="M814" s="409" t="n">
        <v>0</v>
      </c>
      <c r="N814" s="378" t="n">
        <v>1965</v>
      </c>
      <c r="P814" s="393" t="n">
        <v>2000</v>
      </c>
      <c r="Q814" s="605" t="n">
        <v>13</v>
      </c>
      <c r="R814" s="605" t="n">
        <v>3</v>
      </c>
      <c r="S814" s="605" t="n">
        <v>1</v>
      </c>
      <c r="T814" s="403" t="inlineStr">
        <is>
          <t xml:space="preserve">I2   </t>
        </is>
      </c>
      <c r="U814" s="403" t="n">
        <v>398</v>
      </c>
      <c r="V814" s="404" t="n">
        <v>25117</v>
      </c>
      <c r="W814" s="404" t="n">
        <v>25000</v>
      </c>
      <c r="X814" s="410" t="inlineStr">
        <is>
          <t>4.2:1</t>
        </is>
      </c>
      <c r="Y814" s="404">
        <f>ROUND(J814,-3)</f>
        <v/>
      </c>
      <c r="Z814" s="403" t="inlineStr">
        <is>
          <t xml:space="preserve">C </t>
        </is>
      </c>
      <c r="AA814" s="605" t="n">
        <v>3</v>
      </c>
      <c r="AB814" s="605" t="n">
        <v>3</v>
      </c>
      <c r="AC814" s="378" t="inlineStr">
        <is>
          <t>33</t>
        </is>
      </c>
      <c r="AD814" s="384" t="n"/>
      <c r="AE814" s="145" t="n"/>
      <c r="AF814" s="145" t="n"/>
      <c r="AG814" s="145" t="n"/>
      <c r="AH814" s="145" t="n"/>
      <c r="AI814" s="145" t="n"/>
      <c r="AJ814" s="145" t="n"/>
      <c r="AK814" s="145" t="inlineStr">
        <is>
          <t xml:space="preserve">S-T WHSE; MO-TO-MO LEASE.                                         </t>
        </is>
      </c>
      <c r="AL814" s="605">
        <f>IF(AND(ISNUMBER($S814),$S814&gt;0,ISNUMBER($K814),ISNUMBER($J814)),($K814*$J814)/$S814,"")</f>
        <v/>
      </c>
    </row>
    <row r="815" ht="12.75" customHeight="1" s="545">
      <c r="A815" s="388" t="n">
        <v>8</v>
      </c>
      <c r="B815" s="605" t="n">
        <v>807</v>
      </c>
      <c r="C815" s="384" t="inlineStr">
        <is>
          <t>2009Q</t>
        </is>
      </c>
      <c r="D815" s="605" t="inlineStr">
        <is>
          <t xml:space="preserve">05044-12-026-000 </t>
        </is>
      </c>
      <c r="E815" s="407" t="inlineStr">
        <is>
          <t>Actual</t>
        </is>
      </c>
      <c r="F815" s="605" t="inlineStr">
        <is>
          <t>937   SANTA FE             DR</t>
        </is>
      </c>
      <c r="G815" s="392" t="n">
        <v>44.1</v>
      </c>
      <c r="H815" s="378" t="n">
        <v>9505</v>
      </c>
      <c r="I815" s="403" t="n">
        <v>3</v>
      </c>
      <c r="J815" s="404" t="n">
        <v>10657</v>
      </c>
      <c r="K815" s="408" t="n">
        <v>7.73200713146289</v>
      </c>
      <c r="L815" s="409" t="n">
        <v>0.77</v>
      </c>
      <c r="M815" s="409" t="n">
        <v>0.132233009708738</v>
      </c>
      <c r="N815" s="378" t="n">
        <v>1939</v>
      </c>
      <c r="O815" s="393" t="n">
        <v>1725</v>
      </c>
      <c r="Q815" s="605" t="n">
        <v>13</v>
      </c>
      <c r="R815" s="605" t="n">
        <v>1</v>
      </c>
      <c r="S815" s="605" t="n">
        <v>1</v>
      </c>
      <c r="T815" s="403" t="inlineStr">
        <is>
          <t xml:space="preserve">B4   </t>
        </is>
      </c>
      <c r="U815" s="403" t="n">
        <v>398</v>
      </c>
      <c r="V815" s="404" t="n">
        <v>18330</v>
      </c>
      <c r="W815" s="404" t="n">
        <v>18000</v>
      </c>
      <c r="X815" s="410" t="inlineStr">
        <is>
          <t>1.7:1</t>
        </is>
      </c>
      <c r="Y815" s="404">
        <f>ROUND(J815,-3)</f>
        <v/>
      </c>
      <c r="Z815" s="403" t="inlineStr">
        <is>
          <t xml:space="preserve">C </t>
        </is>
      </c>
      <c r="AA815" s="605" t="n">
        <v>3</v>
      </c>
      <c r="AB815" s="605" t="n">
        <v>3</v>
      </c>
      <c r="AC815" s="378" t="inlineStr">
        <is>
          <t>33</t>
        </is>
      </c>
      <c r="AD815" s="384" t="inlineStr">
        <is>
          <t xml:space="preserve">WHSE FURNITURE SHOP </t>
        </is>
      </c>
      <c r="AE815" s="145" t="n"/>
      <c r="AF815" s="145" t="n"/>
      <c r="AG815" s="145" t="n"/>
      <c r="AH815" s="145" t="n"/>
      <c r="AI815" s="145" t="n"/>
      <c r="AJ815" s="145" t="n"/>
      <c r="AK815" s="145" t="inlineStr">
        <is>
          <t xml:space="preserve">S-T WHSE.; MO-TO-MO LEASE.                                        </t>
        </is>
      </c>
      <c r="AL815" s="605">
        <f>IF(AND(ISNUMBER($S815),$S815&gt;0,ISNUMBER($K815),ISNUMBER($J815)),($K815*$J815)/$S815,"")</f>
        <v/>
      </c>
    </row>
    <row r="816" ht="12.75" customHeight="1" s="545">
      <c r="A816" s="388" t="n">
        <v>8</v>
      </c>
      <c r="B816" s="605" t="n">
        <v>808</v>
      </c>
      <c r="C816" s="384" t="inlineStr">
        <is>
          <t>2009Q</t>
        </is>
      </c>
      <c r="D816" s="605" t="inlineStr">
        <is>
          <t xml:space="preserve">05044-18-043-000 </t>
        </is>
      </c>
      <c r="E816" s="407" t="inlineStr">
        <is>
          <t>Actual</t>
        </is>
      </c>
      <c r="F816" s="605" t="inlineStr">
        <is>
          <t>719   MARIPOSA             ST</t>
        </is>
      </c>
      <c r="G816" s="392" t="n">
        <v>44.1</v>
      </c>
      <c r="H816" s="378" t="n">
        <v>9505</v>
      </c>
      <c r="I816" s="403" t="n">
        <v>0</v>
      </c>
      <c r="J816" s="404" t="n">
        <v>3106</v>
      </c>
      <c r="K816" s="408" t="n">
        <v>11.9961365099807</v>
      </c>
      <c r="L816" s="409" t="n">
        <v>0</v>
      </c>
      <c r="M816" s="409" t="n">
        <v>0</v>
      </c>
      <c r="N816" s="378" t="n">
        <v>1983</v>
      </c>
      <c r="O816" s="393" t="n">
        <v>696</v>
      </c>
      <c r="P816" s="393" t="n">
        <v>722</v>
      </c>
      <c r="Q816" s="605" t="n">
        <v>16</v>
      </c>
      <c r="R816" s="605" t="n">
        <v>3</v>
      </c>
      <c r="S816" s="605" t="n">
        <v>1</v>
      </c>
      <c r="T816" s="403" t="inlineStr">
        <is>
          <t xml:space="preserve">I1   </t>
        </is>
      </c>
      <c r="U816" s="403" t="n">
        <v>397</v>
      </c>
      <c r="V816" s="404" t="n">
        <v>3126</v>
      </c>
      <c r="W816" s="404" t="n">
        <v>3000</v>
      </c>
      <c r="X816" s="410" t="inlineStr">
        <is>
          <t>1.0:1</t>
        </is>
      </c>
      <c r="Y816" s="404">
        <f>ROUND(J816,-3)</f>
        <v/>
      </c>
      <c r="Z816" s="403" t="inlineStr">
        <is>
          <t xml:space="preserve">C </t>
        </is>
      </c>
      <c r="AA816" s="605" t="n">
        <v>3</v>
      </c>
      <c r="AB816" s="605" t="n">
        <v>3</v>
      </c>
      <c r="AC816" s="378" t="inlineStr">
        <is>
          <t>33</t>
        </is>
      </c>
      <c r="AD816" s="384" t="inlineStr">
        <is>
          <t>DENVER DOJO SELF DEF</t>
        </is>
      </c>
      <c r="AE816" s="145" t="n"/>
      <c r="AF816" s="145" t="n"/>
      <c r="AG816" s="145" t="n"/>
      <c r="AH816" s="145" t="n"/>
      <c r="AI816" s="145" t="n"/>
      <c r="AJ816" s="145" t="n"/>
      <c r="AK816" s="145" t="inlineStr">
        <is>
          <t xml:space="preserve">M-T WHSE.; 2 TENANTS; LEASES 2005 &amp; 2006.                         </t>
        </is>
      </c>
      <c r="AL816" s="605">
        <f>IF(AND(ISNUMBER($S816),$S816&gt;0,ISNUMBER($K816),ISNUMBER($J816)),($K816*$J816)/$S816,"")</f>
        <v/>
      </c>
    </row>
    <row r="817" ht="12.75" customHeight="1" s="545">
      <c r="A817" s="388" t="n">
        <v>8</v>
      </c>
      <c r="B817" s="605" t="n">
        <v>809</v>
      </c>
      <c r="C817" s="384" t="inlineStr">
        <is>
          <t>2009Q</t>
        </is>
      </c>
      <c r="D817" s="605" t="inlineStr">
        <is>
          <t xml:space="preserve">05044-18-044-000 </t>
        </is>
      </c>
      <c r="E817" s="407" t="inlineStr">
        <is>
          <t>Actual</t>
        </is>
      </c>
      <c r="F817" s="605" t="inlineStr">
        <is>
          <t>717   MARIPOSA             ST</t>
        </is>
      </c>
      <c r="G817" s="392" t="n">
        <v>44.2</v>
      </c>
      <c r="H817" s="378" t="n">
        <v>9505</v>
      </c>
      <c r="I817" s="403" t="n">
        <v>0</v>
      </c>
      <c r="J817" s="404" t="n">
        <v>1250</v>
      </c>
      <c r="K817" s="408" t="n">
        <v>9.6</v>
      </c>
      <c r="L817" s="409" t="n">
        <v>0</v>
      </c>
      <c r="M817" s="409" t="n">
        <v>0.36925</v>
      </c>
      <c r="N817" s="378" t="n">
        <v>1983</v>
      </c>
      <c r="O817" s="393" t="n">
        <v>1609</v>
      </c>
      <c r="P817" s="393" t="n">
        <v>696</v>
      </c>
      <c r="Q817" s="605" t="n">
        <v>16</v>
      </c>
      <c r="R817" s="605" t="n">
        <v>3</v>
      </c>
      <c r="S817" s="605" t="n">
        <v>1</v>
      </c>
      <c r="T817" s="403" t="inlineStr">
        <is>
          <t xml:space="preserve">I1   </t>
        </is>
      </c>
      <c r="U817" s="403" t="n">
        <v>397</v>
      </c>
      <c r="V817" s="404" t="n">
        <v>3183</v>
      </c>
      <c r="W817" s="404" t="n">
        <v>3000</v>
      </c>
      <c r="X817" s="410" t="inlineStr">
        <is>
          <t>1.0:1</t>
        </is>
      </c>
      <c r="Y817" s="404">
        <f>ROUND(J817,-2)</f>
        <v/>
      </c>
      <c r="Z817" s="403" t="inlineStr">
        <is>
          <t xml:space="preserve">C </t>
        </is>
      </c>
      <c r="AA817" s="605" t="n">
        <v>3</v>
      </c>
      <c r="AB817" s="605" t="n">
        <v>3</v>
      </c>
      <c r="AC817" s="378" t="inlineStr">
        <is>
          <t>33</t>
        </is>
      </c>
      <c r="AD817" s="384" t="inlineStr">
        <is>
          <t xml:space="preserve">S-W COLO INTERIORS  </t>
        </is>
      </c>
      <c r="AE817" s="145" t="n"/>
      <c r="AF817" s="145" t="n"/>
      <c r="AG817" s="145" t="n"/>
      <c r="AH817" s="145" t="n"/>
      <c r="AI817" s="145" t="n"/>
      <c r="AJ817" s="145" t="n"/>
      <c r="AK817" s="145" t="inlineStr">
        <is>
          <t xml:space="preserve">M-T WHSE; 2 TENANTS; LEASE DATES UNKNOWN.                         </t>
        </is>
      </c>
      <c r="AL817" s="605">
        <f>IF(AND(ISNUMBER($S817),$S817&gt;0,ISNUMBER($K817),ISNUMBER($J817)),($K817*$J817)/$S817,"")</f>
        <v/>
      </c>
    </row>
    <row r="818" ht="12.75" customHeight="1" s="545">
      <c r="A818" s="388" t="n">
        <v>8</v>
      </c>
      <c r="B818" s="605" t="n">
        <v>810</v>
      </c>
      <c r="C818" s="384" t="inlineStr">
        <is>
          <t>2009Q</t>
        </is>
      </c>
      <c r="D818" s="605" t="inlineStr">
        <is>
          <t xml:space="preserve">05044-19-040-000 </t>
        </is>
      </c>
      <c r="E818" s="407" t="inlineStr">
        <is>
          <t>Actual</t>
        </is>
      </c>
      <c r="F818" s="605" t="inlineStr">
        <is>
          <t>717   LIPAN                ST</t>
        </is>
      </c>
      <c r="G818" s="392" t="n">
        <v>44.1</v>
      </c>
      <c r="H818" s="378" t="n">
        <v>9505</v>
      </c>
      <c r="I818" s="403" t="n">
        <v>0</v>
      </c>
      <c r="J818" s="404" t="n">
        <v>3240</v>
      </c>
      <c r="K818" s="408" t="n">
        <v>6.75</v>
      </c>
      <c r="L818" s="409" t="n">
        <v>0</v>
      </c>
      <c r="M818" s="409" t="n">
        <v>0.289437585733882</v>
      </c>
      <c r="N818" s="378" t="n">
        <v>2000</v>
      </c>
      <c r="O818" s="393" t="n">
        <v>743</v>
      </c>
      <c r="Q818" s="605" t="n">
        <v>17</v>
      </c>
      <c r="R818" s="605" t="n">
        <v>14</v>
      </c>
      <c r="S818" s="605" t="n">
        <v>1</v>
      </c>
      <c r="T818" s="403" t="inlineStr">
        <is>
          <t xml:space="preserve">I1   </t>
        </is>
      </c>
      <c r="U818" s="403" t="n">
        <v>398</v>
      </c>
      <c r="V818" s="404" t="n">
        <v>18754</v>
      </c>
      <c r="W818" s="404" t="n">
        <v>19000</v>
      </c>
      <c r="X818" s="410" t="inlineStr">
        <is>
          <t>2.1:1</t>
        </is>
      </c>
      <c r="Y818" s="404">
        <f>ROUND(J818,-3)</f>
        <v/>
      </c>
      <c r="Z818" s="403" t="inlineStr">
        <is>
          <t xml:space="preserve">C </t>
        </is>
      </c>
      <c r="AA818" s="605" t="n">
        <v>3</v>
      </c>
      <c r="AB818" s="605" t="n">
        <v>3</v>
      </c>
      <c r="AC818" s="378" t="inlineStr">
        <is>
          <t>33</t>
        </is>
      </c>
      <c r="AD818" s="384" t="n"/>
      <c r="AE818" s="145" t="n"/>
      <c r="AF818" s="145" t="n"/>
      <c r="AG818" s="145" t="n"/>
      <c r="AH818" s="145" t="n"/>
      <c r="AI818" s="145" t="n"/>
      <c r="AJ818" s="145" t="n"/>
      <c r="AK818" s="145" t="inlineStr">
        <is>
          <t xml:space="preserve">M-T WHSE; 2 TENANTS; 2006 LEASE.                                  </t>
        </is>
      </c>
      <c r="AL818" s="605">
        <f>IF(AND(ISNUMBER($S818),$S818&gt;0,ISNUMBER($K818),ISNUMBER($J818)),($K818*$J818)/$S818,"")</f>
        <v/>
      </c>
    </row>
    <row r="819" ht="12.75" customHeight="1" s="545">
      <c r="A819" s="388" t="n">
        <v>8</v>
      </c>
      <c r="B819" s="605" t="n">
        <v>811</v>
      </c>
      <c r="C819" s="384" t="inlineStr">
        <is>
          <t>2009Q</t>
        </is>
      </c>
      <c r="D819" s="605" t="inlineStr">
        <is>
          <t xml:space="preserve">05044-23-035-000 </t>
        </is>
      </c>
      <c r="E819" s="407" t="inlineStr">
        <is>
          <t>Actual</t>
        </is>
      </c>
      <c r="F819" s="605" t="inlineStr">
        <is>
          <t>680   LIPAN                ST</t>
        </is>
      </c>
      <c r="G819" s="392" t="n">
        <v>44.2</v>
      </c>
      <c r="H819" s="378" t="n">
        <v>9505</v>
      </c>
      <c r="I819" s="403" t="n">
        <v>0</v>
      </c>
      <c r="J819" s="404" t="n">
        <v>14906</v>
      </c>
      <c r="K819" s="408" t="n">
        <v>7.50221387360794</v>
      </c>
      <c r="L819" s="409" t="n">
        <v>0</v>
      </c>
      <c r="M819" s="409" t="n">
        <v>0.115132167256859</v>
      </c>
      <c r="N819" s="378" t="n">
        <v>1963</v>
      </c>
      <c r="O819" s="393">
        <f>3187+1812</f>
        <v/>
      </c>
      <c r="Q819" s="605" t="n">
        <v>19</v>
      </c>
      <c r="R819" s="605" t="n">
        <v>3</v>
      </c>
      <c r="S819" s="605" t="n">
        <v>1</v>
      </c>
      <c r="T819" s="403" t="inlineStr">
        <is>
          <t xml:space="preserve">I1   </t>
        </is>
      </c>
      <c r="U819" s="403" t="n">
        <v>398</v>
      </c>
      <c r="V819" s="404" t="n">
        <v>31900</v>
      </c>
      <c r="W819" s="404" t="n">
        <v>32000</v>
      </c>
      <c r="X819" s="410" t="inlineStr">
        <is>
          <t>2.1:1</t>
        </is>
      </c>
      <c r="Y819" s="404">
        <f>ROUND(J819,-3)</f>
        <v/>
      </c>
      <c r="Z819" s="403" t="inlineStr">
        <is>
          <t xml:space="preserve">C </t>
        </is>
      </c>
      <c r="AA819" s="605" t="n">
        <v>3</v>
      </c>
      <c r="AB819" s="605" t="n">
        <v>3</v>
      </c>
      <c r="AC819" s="378" t="inlineStr">
        <is>
          <t>33</t>
        </is>
      </c>
      <c r="AD819" s="384" t="inlineStr">
        <is>
          <t xml:space="preserve">JEBCO HTG &amp; AC      </t>
        </is>
      </c>
      <c r="AE819" s="145" t="n"/>
      <c r="AF819" s="145" t="n"/>
      <c r="AG819" s="145" t="n"/>
      <c r="AH819" s="145" t="n"/>
      <c r="AI819" s="145" t="n"/>
      <c r="AJ819" s="145" t="n"/>
      <c r="AK819" s="145" t="inlineStr">
        <is>
          <t xml:space="preserve">S-T WHSE.; 2004 LEASE.                                            </t>
        </is>
      </c>
      <c r="AL819" s="605">
        <f>IF(AND(ISNUMBER($S819),$S819&gt;0,ISNUMBER($K819),ISNUMBER($J819)),($K819*$J819)/$S819,"")</f>
        <v/>
      </c>
    </row>
    <row r="820" ht="12.75" customHeight="1" s="545">
      <c r="A820" s="388" t="n">
        <v>8</v>
      </c>
      <c r="B820" s="605" t="n">
        <v>812</v>
      </c>
      <c r="C820" s="384" t="inlineStr">
        <is>
          <t>2009Q</t>
        </is>
      </c>
      <c r="D820" s="605" t="inlineStr">
        <is>
          <t xml:space="preserve">05053-17-023-000 </t>
        </is>
      </c>
      <c r="E820" s="407" t="inlineStr">
        <is>
          <t>Actual</t>
        </is>
      </c>
      <c r="F820" s="605" t="inlineStr">
        <is>
          <t>969   FEDERAL              BV</t>
        </is>
      </c>
      <c r="G820" s="392" t="n">
        <v>44.1</v>
      </c>
      <c r="H820" s="378" t="n">
        <v>9508</v>
      </c>
      <c r="I820" s="403" t="n">
        <v>6</v>
      </c>
      <c r="J820" s="404" t="n">
        <v>7983</v>
      </c>
      <c r="K820" s="408" t="n">
        <v>9.01916572717024</v>
      </c>
      <c r="L820" s="409" t="n">
        <v>0</v>
      </c>
      <c r="M820" s="409" t="n">
        <v>0.119097222222222</v>
      </c>
      <c r="N820" s="378" t="n">
        <v>1962</v>
      </c>
      <c r="Q820" s="605" t="n">
        <v>13</v>
      </c>
      <c r="R820" s="605" t="n">
        <v>3</v>
      </c>
      <c r="S820" s="605" t="n">
        <v>1</v>
      </c>
      <c r="T820" s="403" t="inlineStr">
        <is>
          <t xml:space="preserve">B4   </t>
        </is>
      </c>
      <c r="U820" s="403" t="n">
        <v>398</v>
      </c>
      <c r="V820" s="404" t="n">
        <v>17187</v>
      </c>
      <c r="W820" s="404" t="n">
        <v>17000</v>
      </c>
      <c r="X820" s="410" t="inlineStr">
        <is>
          <t>2.2:1</t>
        </is>
      </c>
      <c r="Y820" s="404">
        <f>ROUND(J820,-3)</f>
        <v/>
      </c>
      <c r="Z820" s="403" t="inlineStr">
        <is>
          <t xml:space="preserve">C </t>
        </is>
      </c>
      <c r="AA820" s="605" t="n">
        <v>2</v>
      </c>
      <c r="AB820" s="605" t="n">
        <v>3</v>
      </c>
      <c r="AC820" s="378" t="inlineStr">
        <is>
          <t>23</t>
        </is>
      </c>
      <c r="AD820" s="384" t="inlineStr">
        <is>
          <t xml:space="preserve">DIST.               </t>
        </is>
      </c>
      <c r="AE820" s="145" t="n"/>
      <c r="AF820" s="145" t="n"/>
      <c r="AG820" s="145" t="n"/>
      <c r="AH820" s="145" t="n"/>
      <c r="AI820" s="145" t="n"/>
      <c r="AJ820" s="145" t="n"/>
      <c r="AK820" s="145" t="inlineStr">
        <is>
          <t xml:space="preserve">M-T WHSE; 2 TENANTS; 2005 &amp; 2006 LEASES.                          </t>
        </is>
      </c>
      <c r="AL820" s="605">
        <f>IF(AND(ISNUMBER($S820),$S820&gt;0,ISNUMBER($K820),ISNUMBER($J820)),($K820*$J820)/$S820,"")</f>
        <v/>
      </c>
    </row>
    <row r="821" ht="12.75" customHeight="1" s="545">
      <c r="A821" s="388" t="n">
        <v>8</v>
      </c>
      <c r="B821" s="605" t="n">
        <v>813</v>
      </c>
      <c r="C821" s="384" t="inlineStr">
        <is>
          <t>2009Q</t>
        </is>
      </c>
      <c r="D821" s="605" t="inlineStr">
        <is>
          <t xml:space="preserve">05054-01-032-000 </t>
        </is>
      </c>
      <c r="E821" s="407" t="inlineStr">
        <is>
          <t>Actual</t>
        </is>
      </c>
      <c r="F821" s="605" t="inlineStr">
        <is>
          <t>2715 W HOLDEN               PL</t>
        </is>
      </c>
      <c r="G821" s="392" t="n">
        <v>44.1</v>
      </c>
      <c r="H821" s="378" t="n">
        <v>9508</v>
      </c>
      <c r="I821" s="403" t="n">
        <v>0</v>
      </c>
      <c r="J821" s="404" t="n">
        <v>1208</v>
      </c>
      <c r="K821" s="408" t="n">
        <v>9.93377483443709</v>
      </c>
      <c r="L821" s="409" t="n">
        <v>0</v>
      </c>
      <c r="M821" s="409" t="n">
        <v>0.16975</v>
      </c>
      <c r="N821" s="378" t="n">
        <v>1987</v>
      </c>
      <c r="O821" s="393" t="n">
        <v>600</v>
      </c>
      <c r="Q821" s="605" t="n">
        <v>18</v>
      </c>
      <c r="R821" s="605" t="n">
        <v>3</v>
      </c>
      <c r="S821" s="605" t="n">
        <v>1</v>
      </c>
      <c r="T821" s="403" t="inlineStr">
        <is>
          <t xml:space="preserve">I1   </t>
        </is>
      </c>
      <c r="U821" s="403" t="n">
        <v>398</v>
      </c>
      <c r="V821" s="404" t="n">
        <v>4690</v>
      </c>
      <c r="W821" s="404" t="n">
        <v>5000</v>
      </c>
      <c r="X821" s="410" t="inlineStr">
        <is>
          <t>3.9:1</t>
        </is>
      </c>
      <c r="Y821" s="404">
        <f>ROUND(J821,-2)</f>
        <v/>
      </c>
      <c r="Z821" s="403" t="inlineStr">
        <is>
          <t xml:space="preserve">C </t>
        </is>
      </c>
      <c r="AA821" s="605" t="n">
        <v>3</v>
      </c>
      <c r="AB821" s="605" t="n">
        <v>3</v>
      </c>
      <c r="AC821" s="378" t="inlineStr">
        <is>
          <t>33</t>
        </is>
      </c>
      <c r="AD821" s="384" t="n"/>
      <c r="AE821" s="145" t="n"/>
      <c r="AF821" s="145" t="n"/>
      <c r="AG821" s="145" t="n"/>
      <c r="AH821" s="145" t="n"/>
      <c r="AI821" s="145" t="n"/>
      <c r="AJ821" s="145" t="n"/>
      <c r="AK821" s="145" t="inlineStr">
        <is>
          <t xml:space="preserve">S-T WHSE.                                                         </t>
        </is>
      </c>
      <c r="AL821" s="605">
        <f>IF(AND(ISNUMBER($S821),$S821&gt;0,ISNUMBER($K821),ISNUMBER($J821)),($K821*$J821)/$S821,"")</f>
        <v/>
      </c>
    </row>
    <row r="822" ht="12.75" customHeight="1" s="545">
      <c r="A822" s="388" t="n">
        <v>8</v>
      </c>
      <c r="B822" s="605" t="n">
        <v>814</v>
      </c>
      <c r="C822" s="384" t="inlineStr">
        <is>
          <t>2009Q</t>
        </is>
      </c>
      <c r="D822" s="605" t="inlineStr">
        <is>
          <t xml:space="preserve">05054-20-019-000 </t>
        </is>
      </c>
      <c r="E822" s="407" t="inlineStr">
        <is>
          <t>Actual</t>
        </is>
      </c>
      <c r="F822" s="605" t="inlineStr">
        <is>
          <t>860   BRYANT               ST</t>
        </is>
      </c>
      <c r="G822" s="392" t="n">
        <v>44.2</v>
      </c>
      <c r="H822" s="378" t="n">
        <v>9508</v>
      </c>
      <c r="I822" s="403" t="n">
        <v>0</v>
      </c>
      <c r="J822" s="404" t="n">
        <v>19832</v>
      </c>
      <c r="K822" s="408" t="n">
        <v>5.26542960871319</v>
      </c>
      <c r="L822" s="409" t="n">
        <v>0.09</v>
      </c>
      <c r="M822" s="409" t="n">
        <v>0.0681261012793994</v>
      </c>
      <c r="N822" s="378" t="n">
        <v>1952</v>
      </c>
      <c r="O822" s="393" t="n">
        <v>1144</v>
      </c>
      <c r="Q822" s="605" t="n">
        <v>14</v>
      </c>
      <c r="R822" s="605" t="n">
        <v>1</v>
      </c>
      <c r="S822" s="605" t="n">
        <v>1</v>
      </c>
      <c r="T822" s="403" t="inlineStr">
        <is>
          <t xml:space="preserve">I1   </t>
        </is>
      </c>
      <c r="U822" s="403" t="n">
        <v>398</v>
      </c>
      <c r="V822" s="404" t="n">
        <v>28235</v>
      </c>
      <c r="W822" s="404" t="n">
        <v>28000</v>
      </c>
      <c r="X822" s="410" t="inlineStr">
        <is>
          <t>1.4:1</t>
        </is>
      </c>
      <c r="Y822" s="404">
        <f>ROUND(J822,-3)</f>
        <v/>
      </c>
      <c r="Z822" s="403" t="inlineStr">
        <is>
          <t xml:space="preserve">C </t>
        </is>
      </c>
      <c r="AA822" s="605" t="n">
        <v>3</v>
      </c>
      <c r="AB822" s="605" t="n">
        <v>3</v>
      </c>
      <c r="AC822" s="378" t="inlineStr">
        <is>
          <t>33</t>
        </is>
      </c>
      <c r="AD822" s="384" t="n"/>
      <c r="AE822" s="145" t="n"/>
      <c r="AF822" s="145" t="n"/>
      <c r="AG822" s="145" t="n"/>
      <c r="AH822" s="145" t="n"/>
      <c r="AI822" s="145" t="n"/>
      <c r="AJ822" s="145" t="n"/>
      <c r="AK822" s="145" t="inlineStr">
        <is>
          <t xml:space="preserve">M-T WHSE.; 3 TENANTS; LEASES 2006 - 2008.                         </t>
        </is>
      </c>
      <c r="AL822" s="605">
        <f>IF(AND(ISNUMBER($S822),$S822&gt;0,ISNUMBER($K822),ISNUMBER($J822)),($K822*$J822)/$S822,"")</f>
        <v/>
      </c>
    </row>
    <row r="823" ht="12.75" customHeight="1" s="545">
      <c r="A823" s="388" t="n">
        <v>8</v>
      </c>
      <c r="B823" s="605" t="n">
        <v>815</v>
      </c>
      <c r="C823" s="384" t="inlineStr">
        <is>
          <t>2009Q</t>
        </is>
      </c>
      <c r="D823" s="605" t="inlineStr">
        <is>
          <t xml:space="preserve">05054-21-031-000 </t>
        </is>
      </c>
      <c r="E823" s="407" t="inlineStr">
        <is>
          <t>Actual</t>
        </is>
      </c>
      <c r="F823" s="605" t="inlineStr">
        <is>
          <t>2740 W 9TH                  AV</t>
        </is>
      </c>
      <c r="G823" s="392" t="n">
        <v>47.1</v>
      </c>
      <c r="H823" s="378" t="n">
        <v>9508</v>
      </c>
      <c r="I823" s="403" t="n">
        <v>0</v>
      </c>
      <c r="J823" s="404" t="n">
        <v>8371</v>
      </c>
      <c r="K823" s="408" t="n">
        <v>4.53159718074304</v>
      </c>
      <c r="L823" s="409" t="n">
        <v>0</v>
      </c>
      <c r="M823" s="409" t="n">
        <v>0.376522380977487</v>
      </c>
      <c r="N823" s="378" t="n">
        <v>1964</v>
      </c>
      <c r="O823" s="393" t="n">
        <v>225</v>
      </c>
      <c r="Q823" s="605" t="n">
        <v>12</v>
      </c>
      <c r="R823" s="605" t="n">
        <v>1</v>
      </c>
      <c r="S823" s="605" t="n">
        <v>1</v>
      </c>
      <c r="T823" s="403" t="inlineStr">
        <is>
          <t xml:space="preserve">I0   </t>
        </is>
      </c>
      <c r="U823" s="403" t="n">
        <v>401</v>
      </c>
      <c r="V823" s="404" t="n">
        <v>22050</v>
      </c>
      <c r="W823" s="404" t="n">
        <v>22000</v>
      </c>
      <c r="X823" s="410" t="inlineStr">
        <is>
          <t>2.6:1</t>
        </is>
      </c>
      <c r="Y823" s="404">
        <f>ROUND(J823,-3)</f>
        <v/>
      </c>
      <c r="Z823" s="403" t="inlineStr">
        <is>
          <t xml:space="preserve">C </t>
        </is>
      </c>
      <c r="AA823" s="605" t="n">
        <v>1</v>
      </c>
      <c r="AB823" s="605" t="n">
        <v>2</v>
      </c>
      <c r="AC823" s="378" t="inlineStr">
        <is>
          <t>12</t>
        </is>
      </c>
      <c r="AD823" s="384" t="n"/>
      <c r="AE823" s="145" t="n"/>
      <c r="AF823" s="145" t="n"/>
      <c r="AG823" s="145" t="n"/>
      <c r="AH823" s="145" t="n"/>
      <c r="AI823" s="145" t="n"/>
      <c r="AJ823" s="145" t="n"/>
      <c r="AK823" s="145" t="inlineStr">
        <is>
          <t xml:space="preserve">TENANCY &amp; LEASE DATES UNKNOWN; OP STATEMENT ONLY.                 </t>
        </is>
      </c>
      <c r="AL823" s="605">
        <f>IF(AND(ISNUMBER($S823),$S823&gt;0,ISNUMBER($K823),ISNUMBER($J823)),($K823*$J823)/$S823,"")</f>
        <v/>
      </c>
    </row>
    <row r="824" ht="12.75" customHeight="1" s="545">
      <c r="A824" s="388" t="n">
        <v>8</v>
      </c>
      <c r="B824" s="605" t="n">
        <v>816</v>
      </c>
      <c r="C824" s="384" t="inlineStr">
        <is>
          <t>2009Q</t>
        </is>
      </c>
      <c r="D824" s="605" t="inlineStr">
        <is>
          <t xml:space="preserve">05054-24-008-000 </t>
        </is>
      </c>
      <c r="E824" s="407" t="inlineStr">
        <is>
          <t>Actual</t>
        </is>
      </c>
      <c r="F824" s="605" t="inlineStr">
        <is>
          <t>2600 W BARBERRY             PL</t>
        </is>
      </c>
      <c r="G824" s="392" t="n">
        <v>44.2</v>
      </c>
      <c r="H824" s="378" t="n">
        <v>9508</v>
      </c>
      <c r="I824" s="403" t="n">
        <v>0</v>
      </c>
      <c r="J824" s="404" t="n">
        <v>7697</v>
      </c>
      <c r="K824" s="408" t="n">
        <v>7.30804209432246</v>
      </c>
      <c r="L824" s="409" t="n">
        <v>0.5</v>
      </c>
      <c r="M824" s="409" t="n">
        <v>0.0971377777777778</v>
      </c>
      <c r="N824" s="378" t="n">
        <v>1971</v>
      </c>
      <c r="O824" s="393">
        <f>4399+2180</f>
        <v/>
      </c>
      <c r="Q824" s="605" t="n">
        <v>16</v>
      </c>
      <c r="R824" s="605" t="n">
        <v>3</v>
      </c>
      <c r="S824" s="605" t="n">
        <v>1</v>
      </c>
      <c r="T824" s="403" t="inlineStr">
        <is>
          <t xml:space="preserve">I1   </t>
        </is>
      </c>
      <c r="U824" s="403" t="n">
        <v>397</v>
      </c>
      <c r="V824" s="404" t="n">
        <v>14000</v>
      </c>
      <c r="W824" s="404" t="n">
        <v>14000</v>
      </c>
      <c r="X824" s="410" t="inlineStr">
        <is>
          <t>1.8:1</t>
        </is>
      </c>
      <c r="Y824" s="404">
        <f>ROUND(J824,-3)</f>
        <v/>
      </c>
      <c r="Z824" s="403" t="inlineStr">
        <is>
          <t xml:space="preserve">C </t>
        </is>
      </c>
      <c r="AA824" s="605" t="n">
        <v>3</v>
      </c>
      <c r="AB824" s="605" t="n">
        <v>3</v>
      </c>
      <c r="AC824" s="378" t="inlineStr">
        <is>
          <t>33</t>
        </is>
      </c>
      <c r="AD824" s="384" t="inlineStr">
        <is>
          <t>S-W MILE HIGH SUPPLY</t>
        </is>
      </c>
      <c r="AE824" s="145" t="n"/>
      <c r="AF824" s="145" t="n"/>
      <c r="AG824" s="145" t="n"/>
      <c r="AH824" s="145" t="n"/>
      <c r="AI824" s="145" t="n"/>
      <c r="AJ824" s="145" t="n"/>
      <c r="AK824" s="145" t="inlineStr">
        <is>
          <t xml:space="preserve">S-T WHSE.; 2006 LEASE.                                            </t>
        </is>
      </c>
      <c r="AL824" s="605">
        <f>IF(AND(ISNUMBER($S824),$S824&gt;0,ISNUMBER($K824),ISNUMBER($J824)),($K824*$J824)/$S824,"")</f>
        <v/>
      </c>
    </row>
    <row r="825" ht="12.75" customHeight="1" s="545">
      <c r="A825" s="388" t="n">
        <v>8</v>
      </c>
      <c r="B825" s="605" t="n">
        <v>817</v>
      </c>
      <c r="C825" s="384" t="inlineStr">
        <is>
          <t>2009Q</t>
        </is>
      </c>
      <c r="D825" s="605" t="inlineStr">
        <is>
          <t xml:space="preserve">05054-24-026-000 </t>
        </is>
      </c>
      <c r="E825" s="407" t="inlineStr">
        <is>
          <t>Actual</t>
        </is>
      </c>
      <c r="F825" s="605" t="inlineStr">
        <is>
          <t>2605 W 8TH                  AV</t>
        </is>
      </c>
      <c r="G825" s="392" t="n">
        <v>44.1</v>
      </c>
      <c r="H825" s="378" t="n">
        <v>9508</v>
      </c>
      <c r="I825" s="403" t="n">
        <v>0</v>
      </c>
      <c r="J825" s="404" t="n">
        <v>13500</v>
      </c>
      <c r="K825" s="408" t="n">
        <v>18.5185185185185</v>
      </c>
      <c r="L825" s="409" t="n">
        <v>1</v>
      </c>
      <c r="M825" s="409" t="n">
        <v>0</v>
      </c>
      <c r="N825" s="378" t="n">
        <v>1973</v>
      </c>
      <c r="O825" s="393" t="n">
        <v>6657</v>
      </c>
      <c r="Q825" s="605" t="n">
        <v>21</v>
      </c>
      <c r="R825" s="605" t="n">
        <v>14</v>
      </c>
      <c r="S825" s="605" t="n">
        <v>1</v>
      </c>
      <c r="T825" s="403" t="inlineStr">
        <is>
          <t xml:space="preserve">I1   </t>
        </is>
      </c>
      <c r="U825" s="403" t="n">
        <v>398</v>
      </c>
      <c r="V825" s="404" t="n">
        <v>21000</v>
      </c>
      <c r="W825" s="404" t="n">
        <v>21000</v>
      </c>
      <c r="X825" s="410" t="inlineStr">
        <is>
          <t>1.6:1</t>
        </is>
      </c>
      <c r="Y825" s="404">
        <f>ROUND(J825,-3)</f>
        <v/>
      </c>
      <c r="Z825" s="403" t="inlineStr">
        <is>
          <t xml:space="preserve">C </t>
        </is>
      </c>
      <c r="AA825" s="605" t="n">
        <v>3</v>
      </c>
      <c r="AB825" s="605" t="n">
        <v>3</v>
      </c>
      <c r="AC825" s="378" t="inlineStr">
        <is>
          <t>33</t>
        </is>
      </c>
      <c r="AD825" s="384" t="inlineStr">
        <is>
          <t xml:space="preserve">COMCABLE            </t>
        </is>
      </c>
      <c r="AE825" s="145" t="n"/>
      <c r="AF825" s="145" t="n"/>
      <c r="AG825" s="145" t="n"/>
      <c r="AH825" s="145" t="n"/>
      <c r="AI825" s="145" t="n"/>
      <c r="AJ825" s="145" t="n"/>
      <c r="AK825" s="145" t="inlineStr">
        <is>
          <t xml:space="preserve">S-T WHSE.; 2005 LEASE - 20 YR LEASE; VACATED BY 2008.             </t>
        </is>
      </c>
      <c r="AL825" s="605">
        <f>IF(AND(ISNUMBER($S825),$S825&gt;0,ISNUMBER($K825),ISNUMBER($J825)),($K825*$J825)/$S825,"")</f>
        <v/>
      </c>
    </row>
    <row r="826" ht="12.75" customHeight="1" s="545">
      <c r="A826" s="388" t="n">
        <v>8</v>
      </c>
      <c r="B826" s="605" t="n">
        <v>818</v>
      </c>
      <c r="C826" s="384" t="inlineStr">
        <is>
          <t>2009Q</t>
        </is>
      </c>
      <c r="D826" s="605" t="inlineStr">
        <is>
          <t xml:space="preserve">05054-24-030-000 </t>
        </is>
      </c>
      <c r="E826" s="407" t="inlineStr">
        <is>
          <t>Actual</t>
        </is>
      </c>
      <c r="F826" s="605" t="inlineStr">
        <is>
          <t>2625 W 8TH                  AV</t>
        </is>
      </c>
      <c r="G826" s="392" t="n">
        <v>44.1</v>
      </c>
      <c r="H826" s="378" t="n">
        <v>9508</v>
      </c>
      <c r="I826" s="403" t="n">
        <v>0</v>
      </c>
      <c r="J826" s="404" t="n">
        <v>5450</v>
      </c>
      <c r="K826" s="408" t="n">
        <v>5.06422018348624</v>
      </c>
      <c r="L826" s="409" t="n">
        <v>1</v>
      </c>
      <c r="M826" s="409" t="n">
        <v>0</v>
      </c>
      <c r="N826" s="378" t="n">
        <v>1987</v>
      </c>
      <c r="O826" s="393" t="n">
        <v>296</v>
      </c>
      <c r="Q826" s="605" t="n">
        <v>115</v>
      </c>
      <c r="R826" s="605" t="n">
        <v>3</v>
      </c>
      <c r="S826" s="605" t="n">
        <v>1</v>
      </c>
      <c r="T826" s="403" t="inlineStr">
        <is>
          <t xml:space="preserve">I1   </t>
        </is>
      </c>
      <c r="U826" s="403" t="n">
        <v>398</v>
      </c>
      <c r="V826" s="404" t="n">
        <v>7000</v>
      </c>
      <c r="W826" s="404" t="n">
        <v>7000</v>
      </c>
      <c r="X826" s="410" t="inlineStr">
        <is>
          <t>1.3:1</t>
        </is>
      </c>
      <c r="Y826" s="404">
        <f>ROUND(J826,-3)</f>
        <v/>
      </c>
      <c r="Z826" s="403" t="inlineStr">
        <is>
          <t xml:space="preserve">C </t>
        </is>
      </c>
      <c r="AA826" s="605" t="n">
        <v>3</v>
      </c>
      <c r="AB826" s="605" t="n">
        <v>3</v>
      </c>
      <c r="AC826" s="378" t="inlineStr">
        <is>
          <t>33</t>
        </is>
      </c>
      <c r="AD826" s="384" t="inlineStr">
        <is>
          <t xml:space="preserve">FASTER MOTORCYCLE   </t>
        </is>
      </c>
      <c r="AE826" s="145" t="n"/>
      <c r="AF826" s="145" t="n"/>
      <c r="AG826" s="145" t="n"/>
      <c r="AH826" s="145" t="n"/>
      <c r="AI826" s="145" t="n"/>
      <c r="AJ826" s="145" t="n"/>
      <c r="AK826" s="145" t="inlineStr">
        <is>
          <t xml:space="preserve">S-T WHSE.; 01/08 LEASE; VACATED BY 06/08.                         </t>
        </is>
      </c>
      <c r="AL826" s="605">
        <f>IF(AND(ISNUMBER($S826),$S826&gt;0,ISNUMBER($K826),ISNUMBER($J826)),($K826*$J826)/$S826,"")</f>
        <v/>
      </c>
    </row>
    <row r="827" ht="12.75" customHeight="1" s="545">
      <c r="A827" s="388" t="n">
        <v>8</v>
      </c>
      <c r="B827" s="605" t="n">
        <v>819</v>
      </c>
      <c r="C827" s="384" t="inlineStr">
        <is>
          <t>2009W</t>
        </is>
      </c>
      <c r="D827" s="605" t="inlineStr">
        <is>
          <t>05066-00-128-000</t>
        </is>
      </c>
      <c r="E827" s="403" t="inlineStr">
        <is>
          <t>Actual</t>
        </is>
      </c>
      <c r="F827" s="605" t="inlineStr">
        <is>
          <t>680 Sheridan Blvd.</t>
        </is>
      </c>
      <c r="G827" s="392" t="n">
        <v>44.5</v>
      </c>
      <c r="H827" s="605" t="n">
        <v>9506</v>
      </c>
      <c r="I827" s="403" t="n">
        <v>8</v>
      </c>
      <c r="J827" s="393" t="n">
        <v>103200</v>
      </c>
      <c r="K827" s="154" t="n">
        <v>10.07</v>
      </c>
      <c r="L827" s="153" t="n">
        <v>0</v>
      </c>
      <c r="M827" s="153" t="n">
        <v>0.33</v>
      </c>
      <c r="N827" s="605" t="n">
        <v>1978</v>
      </c>
      <c r="O827" s="404" t="n">
        <v>0</v>
      </c>
      <c r="P827" s="404" t="n">
        <v>0</v>
      </c>
      <c r="Q827" s="605" t="n">
        <v>11</v>
      </c>
      <c r="R827" s="605" t="n">
        <v>1</v>
      </c>
      <c r="S827" s="605" t="n">
        <v>1</v>
      </c>
      <c r="T827" s="403" t="inlineStr">
        <is>
          <t>I1</t>
        </is>
      </c>
      <c r="U827" s="605" t="n">
        <v>396</v>
      </c>
      <c r="V827" s="393" t="n">
        <v>306575</v>
      </c>
      <c r="W827" s="393" t="n">
        <v>300000</v>
      </c>
      <c r="X827" s="378" t="inlineStr">
        <is>
          <t>3.0:1</t>
        </is>
      </c>
      <c r="Y827" s="393" t="n">
        <v>100000</v>
      </c>
      <c r="Z827" s="403" t="inlineStr">
        <is>
          <t>C</t>
        </is>
      </c>
      <c r="AA827" s="605" t="n">
        <v>3</v>
      </c>
      <c r="AB827" s="605" t="n">
        <v>3</v>
      </c>
      <c r="AC827" s="605" t="n">
        <v>33</v>
      </c>
      <c r="AD827" s="605" t="inlineStr">
        <is>
          <t>Public Storage</t>
        </is>
      </c>
      <c r="AE827" s="377" t="n">
        <v>10.07</v>
      </c>
      <c r="AF827" s="413" t="n">
        <v>10.07</v>
      </c>
      <c r="AG827" s="413" t="n">
        <v>6.9</v>
      </c>
      <c r="AH827" s="413" t="n">
        <v>3.17</v>
      </c>
      <c r="AI827" s="413" t="inlineStr">
        <is>
          <t>-</t>
        </is>
      </c>
      <c r="AJ827" s="377" t="inlineStr">
        <is>
          <t>-</t>
        </is>
      </c>
      <c r="AN827" s="145" t="n"/>
      <c r="AO827" s="145" t="n"/>
      <c r="AP827" s="145" t="n"/>
    </row>
    <row r="828" ht="12.75" customHeight="1" s="545">
      <c r="A828" s="388" t="n">
        <v>8</v>
      </c>
      <c r="B828" s="605" t="n">
        <v>820</v>
      </c>
      <c r="C828" s="384" t="inlineStr">
        <is>
          <t>2009Q</t>
        </is>
      </c>
      <c r="D828" s="605" t="inlineStr">
        <is>
          <t xml:space="preserve">05081-03-017-000 </t>
        </is>
      </c>
      <c r="E828" s="407" t="inlineStr">
        <is>
          <t>Actual</t>
        </is>
      </c>
      <c r="F828" s="605" t="inlineStr">
        <is>
          <t>2943 W 7TH                  AV</t>
        </is>
      </c>
      <c r="G828" s="392" t="n">
        <v>44.2</v>
      </c>
      <c r="H828" s="378" t="n">
        <v>9508</v>
      </c>
      <c r="I828" s="403" t="n">
        <v>0</v>
      </c>
      <c r="J828" s="404" t="n">
        <v>3873</v>
      </c>
      <c r="K828" s="408" t="n">
        <v>6.19674670797831</v>
      </c>
      <c r="L828" s="409" t="n">
        <v>1</v>
      </c>
      <c r="M828" s="409" t="n">
        <v>0.39175</v>
      </c>
      <c r="N828" s="378" t="n">
        <v>1964</v>
      </c>
      <c r="O828" s="393" t="n">
        <v>1350</v>
      </c>
      <c r="Q828" s="605" t="n">
        <v>12</v>
      </c>
      <c r="R828" s="605" t="n">
        <v>3</v>
      </c>
      <c r="S828" s="605" t="n">
        <v>1</v>
      </c>
      <c r="T828" s="403" t="inlineStr">
        <is>
          <t xml:space="preserve">I1   </t>
        </is>
      </c>
      <c r="U828" s="403" t="n">
        <v>398</v>
      </c>
      <c r="V828" s="404" t="n">
        <v>6250</v>
      </c>
      <c r="W828" s="404" t="n">
        <v>6000</v>
      </c>
      <c r="X828" s="410" t="inlineStr">
        <is>
          <t>1.6:1</t>
        </is>
      </c>
      <c r="Y828" s="404">
        <f>ROUND(J828,-3)</f>
        <v/>
      </c>
      <c r="Z828" s="403" t="inlineStr">
        <is>
          <t xml:space="preserve">C </t>
        </is>
      </c>
      <c r="AA828" s="605" t="n">
        <v>3</v>
      </c>
      <c r="AB828" s="605" t="n">
        <v>3</v>
      </c>
      <c r="AC828" s="378" t="inlineStr">
        <is>
          <t>33</t>
        </is>
      </c>
      <c r="AD828" s="384" t="inlineStr">
        <is>
          <t xml:space="preserve">S-W SHELLS PRINTING </t>
        </is>
      </c>
      <c r="AE828" s="145" t="n"/>
      <c r="AF828" s="145" t="n"/>
      <c r="AG828" s="145" t="n"/>
      <c r="AH828" s="145" t="n"/>
      <c r="AI828" s="145" t="n"/>
      <c r="AJ828" s="145" t="n"/>
      <c r="AK828" s="145" t="inlineStr">
        <is>
          <t xml:space="preserve">S-T WHSE.                                                         </t>
        </is>
      </c>
      <c r="AL828" s="605">
        <f>IF(AND(ISNUMBER($S828),$S828&gt;0,ISNUMBER($K828),ISNUMBER($J828)),($K828*$J828)/$S828,"")</f>
        <v/>
      </c>
    </row>
    <row r="829" ht="12.75" customHeight="1" s="545">
      <c r="A829" s="388" t="n">
        <v>8</v>
      </c>
      <c r="B829" s="605" t="n">
        <v>821</v>
      </c>
      <c r="C829" s="384" t="inlineStr">
        <is>
          <t>2009Q</t>
        </is>
      </c>
      <c r="D829" s="605" t="inlineStr">
        <is>
          <t xml:space="preserve">05081-04-016-000 </t>
        </is>
      </c>
      <c r="E829" s="407" t="inlineStr">
        <is>
          <t>Actual</t>
        </is>
      </c>
      <c r="F829" s="605" t="inlineStr">
        <is>
          <t>695   CANOSA               CT</t>
        </is>
      </c>
      <c r="G829" s="392" t="n">
        <v>44.2</v>
      </c>
      <c r="H829" s="378" t="n">
        <v>9508</v>
      </c>
      <c r="I829" s="403" t="n">
        <v>0</v>
      </c>
      <c r="J829" s="404" t="n">
        <v>18000</v>
      </c>
      <c r="K829" s="408" t="n">
        <v>6.01155555555556</v>
      </c>
      <c r="L829" s="409" t="n">
        <v>0</v>
      </c>
      <c r="M829" s="409" t="n">
        <v>0.063572009463256</v>
      </c>
      <c r="N829" s="378" t="n">
        <v>1954</v>
      </c>
      <c r="O829" s="393" t="n">
        <v>4000</v>
      </c>
      <c r="Q829" s="605" t="n">
        <v>14</v>
      </c>
      <c r="R829" s="605" t="n">
        <v>1</v>
      </c>
      <c r="S829" s="605" t="n">
        <v>2</v>
      </c>
      <c r="T829" s="403" t="inlineStr">
        <is>
          <t xml:space="preserve">I1   </t>
        </is>
      </c>
      <c r="U829" s="403" t="n">
        <v>398</v>
      </c>
      <c r="V829" s="404" t="n">
        <v>34375</v>
      </c>
      <c r="W829" s="404" t="n">
        <v>34000</v>
      </c>
      <c r="X829" s="410" t="inlineStr">
        <is>
          <t>1.9:1</t>
        </is>
      </c>
      <c r="Y829" s="404">
        <f>ROUND(J829,-3)</f>
        <v/>
      </c>
      <c r="Z829" s="403" t="inlineStr">
        <is>
          <t xml:space="preserve">C </t>
        </is>
      </c>
      <c r="AA829" s="605" t="n">
        <v>3</v>
      </c>
      <c r="AB829" s="605" t="n">
        <v>3</v>
      </c>
      <c r="AC829" s="378" t="inlineStr">
        <is>
          <t>33</t>
        </is>
      </c>
      <c r="AD829" s="384" t="inlineStr">
        <is>
          <t xml:space="preserve">M-W GREAT INDOORS   </t>
        </is>
      </c>
      <c r="AE829" s="145" t="n"/>
      <c r="AF829" s="145" t="n"/>
      <c r="AG829" s="145" t="n"/>
      <c r="AH829" s="145" t="n"/>
      <c r="AI829" s="145" t="n"/>
      <c r="AJ829" s="145" t="n"/>
      <c r="AK829" s="145" t="inlineStr">
        <is>
          <t xml:space="preserve">S-T WHSE; 2004 LEASE.                                             </t>
        </is>
      </c>
      <c r="AL829" s="605">
        <f>IF(AND(ISNUMBER($S829),$S829&gt;0,ISNUMBER($K829),ISNUMBER($J829)),($K829*$J829)/$S829,"")</f>
        <v/>
      </c>
    </row>
    <row r="830" ht="12.75" customHeight="1" s="545">
      <c r="A830" s="388" t="n">
        <v>8</v>
      </c>
      <c r="B830" s="605" t="n">
        <v>822</v>
      </c>
      <c r="C830" s="384" t="inlineStr">
        <is>
          <t>2009Q</t>
        </is>
      </c>
      <c r="D830" s="605" t="inlineStr">
        <is>
          <t xml:space="preserve">05081-06-019-000 </t>
        </is>
      </c>
      <c r="E830" s="407" t="inlineStr">
        <is>
          <t>Actual</t>
        </is>
      </c>
      <c r="F830" s="605" t="inlineStr">
        <is>
          <t>670   BRYANT               ST</t>
        </is>
      </c>
      <c r="G830" s="392" t="n">
        <v>44.1</v>
      </c>
      <c r="H830" s="378" t="n">
        <v>9508</v>
      </c>
      <c r="I830" s="403" t="n">
        <v>0</v>
      </c>
      <c r="J830" s="404" t="n">
        <v>3704</v>
      </c>
      <c r="K830" s="408" t="n">
        <v>5.83153347732181</v>
      </c>
      <c r="L830" s="409" t="n">
        <v>0</v>
      </c>
      <c r="M830" s="409" t="n">
        <v>0.101851851851852</v>
      </c>
      <c r="N830" s="378" t="n">
        <v>1963</v>
      </c>
      <c r="O830" s="393" t="n">
        <v>644</v>
      </c>
      <c r="Q830" s="605" t="n">
        <v>13</v>
      </c>
      <c r="R830" s="605" t="n">
        <v>3</v>
      </c>
      <c r="S830" s="605" t="n">
        <v>1</v>
      </c>
      <c r="T830" s="403" t="inlineStr">
        <is>
          <t xml:space="preserve">I1   </t>
        </is>
      </c>
      <c r="U830" s="403" t="n">
        <v>398</v>
      </c>
      <c r="V830" s="404" t="n">
        <v>6000</v>
      </c>
      <c r="W830" s="404" t="n">
        <v>6000</v>
      </c>
      <c r="X830" s="410" t="inlineStr">
        <is>
          <t>1.6:1</t>
        </is>
      </c>
      <c r="Y830" s="404">
        <f>ROUND(J830,-3)</f>
        <v/>
      </c>
      <c r="Z830" s="403" t="inlineStr">
        <is>
          <t xml:space="preserve">C </t>
        </is>
      </c>
      <c r="AA830" s="605" t="n">
        <v>3</v>
      </c>
      <c r="AB830" s="605" t="n">
        <v>3</v>
      </c>
      <c r="AC830" s="378" t="inlineStr">
        <is>
          <t>33</t>
        </is>
      </c>
      <c r="AD830" s="384" t="inlineStr">
        <is>
          <t xml:space="preserve">S-W LIQUID COFFEE   </t>
        </is>
      </c>
      <c r="AE830" s="145" t="n"/>
      <c r="AF830" s="145" t="n"/>
      <c r="AG830" s="145" t="n"/>
      <c r="AH830" s="145" t="n"/>
      <c r="AI830" s="145" t="n"/>
      <c r="AJ830" s="145" t="n"/>
      <c r="AK830" s="145" t="inlineStr">
        <is>
          <t xml:space="preserve">S-T WHSE.; AGE OF LEASE UNKNOWN.                                  </t>
        </is>
      </c>
      <c r="AL830" s="605">
        <f>IF(AND(ISNUMBER($S830),$S830&gt;0,ISNUMBER($K830),ISNUMBER($J830)),($K830*$J830)/$S830,"")</f>
        <v/>
      </c>
    </row>
    <row r="831" ht="12.75" customHeight="1" s="545">
      <c r="A831" s="388" t="n">
        <v>8</v>
      </c>
      <c r="B831" s="605" t="n">
        <v>823</v>
      </c>
      <c r="C831" s="384" t="inlineStr">
        <is>
          <t>2009Q</t>
        </is>
      </c>
      <c r="D831" s="605" t="inlineStr">
        <is>
          <t xml:space="preserve">05081-13-002-000 </t>
        </is>
      </c>
      <c r="E831" s="407" t="inlineStr">
        <is>
          <t>Actual</t>
        </is>
      </c>
      <c r="F831" s="605" t="inlineStr">
        <is>
          <t>2650 W 6TH                  AV</t>
        </is>
      </c>
      <c r="G831" s="392" t="n">
        <v>44.2</v>
      </c>
      <c r="H831" s="378" t="n">
        <v>9508</v>
      </c>
      <c r="I831" s="403" t="n">
        <v>0</v>
      </c>
      <c r="J831" s="404" t="n">
        <v>30000</v>
      </c>
      <c r="K831" s="408" t="n">
        <v>4</v>
      </c>
      <c r="L831" s="409" t="n">
        <v>0</v>
      </c>
      <c r="M831" s="409" t="n">
        <v>0</v>
      </c>
      <c r="N831" s="378" t="n">
        <v>1965</v>
      </c>
      <c r="O831" s="393">
        <f>20258+12347</f>
        <v/>
      </c>
      <c r="Q831" s="605" t="n">
        <v>13</v>
      </c>
      <c r="R831" s="605" t="n">
        <v>3</v>
      </c>
      <c r="S831" s="605" t="n">
        <v>1</v>
      </c>
      <c r="T831" s="403" t="inlineStr">
        <is>
          <t xml:space="preserve">I1   </t>
        </is>
      </c>
      <c r="U831" s="403" t="n">
        <v>398</v>
      </c>
      <c r="V831" s="404" t="n">
        <v>93000</v>
      </c>
      <c r="W831" s="404" t="n">
        <v>90000</v>
      </c>
      <c r="X831" s="410" t="inlineStr">
        <is>
          <t>1.4:1</t>
        </is>
      </c>
      <c r="Y831" s="404">
        <f>ROUND(J831,-3)</f>
        <v/>
      </c>
      <c r="Z831" s="403" t="inlineStr">
        <is>
          <t xml:space="preserve">C </t>
        </is>
      </c>
      <c r="AA831" s="605" t="n">
        <v>3</v>
      </c>
      <c r="AB831" s="605" t="n">
        <v>3</v>
      </c>
      <c r="AC831" s="378" t="inlineStr">
        <is>
          <t>33</t>
        </is>
      </c>
      <c r="AD831" s="384" t="inlineStr">
        <is>
          <t>GAME EXCHNGE OF COLO</t>
        </is>
      </c>
      <c r="AE831" s="145" t="n"/>
      <c r="AF831" s="145" t="n"/>
      <c r="AG831" s="145" t="n"/>
      <c r="AH831" s="145" t="n"/>
      <c r="AI831" s="145" t="n"/>
      <c r="AJ831" s="145" t="n"/>
      <c r="AK831" s="145" t="inlineStr">
        <is>
          <t xml:space="preserve">M-T WHSE.; 4 TENANTS INCL OWNER; AGE OF LEASES UNKNOWN.           </t>
        </is>
      </c>
      <c r="AL831" s="605">
        <f>IF(AND(ISNUMBER($S831),$S831&gt;0,ISNUMBER($K831),ISNUMBER($J831)),($K831*$J831)/$S831,"")</f>
        <v/>
      </c>
    </row>
    <row r="832" ht="12.75" customHeight="1" s="545">
      <c r="A832" s="388" t="n">
        <v>8</v>
      </c>
      <c r="B832" s="605" t="n">
        <v>824</v>
      </c>
      <c r="C832" s="384" t="inlineStr">
        <is>
          <t>2009Q</t>
        </is>
      </c>
      <c r="D832" s="605" t="inlineStr">
        <is>
          <t xml:space="preserve">05081-13-009-000 </t>
        </is>
      </c>
      <c r="E832" s="407" t="inlineStr">
        <is>
          <t>Actual</t>
        </is>
      </c>
      <c r="F832" s="605" t="inlineStr">
        <is>
          <t>2700 W 6TH                  AV</t>
        </is>
      </c>
      <c r="G832" s="392" t="n">
        <v>44.1</v>
      </c>
      <c r="H832" s="378" t="n">
        <v>9508</v>
      </c>
      <c r="I832" s="403" t="n">
        <v>0</v>
      </c>
      <c r="J832" s="404" t="n">
        <v>16096</v>
      </c>
      <c r="K832" s="408" t="n">
        <v>5.93961232604374</v>
      </c>
      <c r="L832" s="409" t="n">
        <v>0</v>
      </c>
      <c r="M832" s="409" t="n">
        <v>0</v>
      </c>
      <c r="N832" s="378" t="n">
        <v>1960</v>
      </c>
      <c r="O832" s="393" t="n">
        <v>4848</v>
      </c>
      <c r="Q832" s="605" t="n">
        <v>15</v>
      </c>
      <c r="R832" s="605" t="n">
        <v>3</v>
      </c>
      <c r="S832" s="605" t="n">
        <v>1</v>
      </c>
      <c r="T832" s="403" t="inlineStr">
        <is>
          <t xml:space="preserve">I1   </t>
        </is>
      </c>
      <c r="U832" s="403" t="n">
        <v>398</v>
      </c>
      <c r="V832" s="404" t="n">
        <v>30000</v>
      </c>
      <c r="W832" s="404" t="n">
        <v>30000</v>
      </c>
      <c r="X832" s="410" t="inlineStr">
        <is>
          <t>1.9:1</t>
        </is>
      </c>
      <c r="Y832" s="404">
        <f>ROUND(J832,-3)</f>
        <v/>
      </c>
      <c r="Z832" s="403" t="inlineStr">
        <is>
          <t xml:space="preserve">C </t>
        </is>
      </c>
      <c r="AA832" s="605" t="n">
        <v>3</v>
      </c>
      <c r="AB832" s="605" t="n">
        <v>3</v>
      </c>
      <c r="AC832" s="378" t="inlineStr">
        <is>
          <t>33</t>
        </is>
      </c>
      <c r="AD832" s="384" t="inlineStr">
        <is>
          <t xml:space="preserve">S-W SID HARVEY'S    </t>
        </is>
      </c>
      <c r="AE832" s="145" t="n"/>
      <c r="AF832" s="145" t="n"/>
      <c r="AG832" s="145" t="n"/>
      <c r="AH832" s="145" t="n"/>
      <c r="AI832" s="145" t="n"/>
      <c r="AJ832" s="145" t="n"/>
      <c r="AK832" s="145" t="inlineStr">
        <is>
          <t xml:space="preserve">S-T WHSE.; MO-TO-MO LEASE.                                        </t>
        </is>
      </c>
      <c r="AL832" s="605">
        <f>IF(AND(ISNUMBER($S832),$S832&gt;0,ISNUMBER($K832),ISNUMBER($J832)),($K832*$J832)/$S832,"")</f>
        <v/>
      </c>
    </row>
    <row r="833" ht="12.75" customHeight="1" s="545">
      <c r="A833" s="388" t="n">
        <v>8</v>
      </c>
      <c r="B833" s="605" t="n">
        <v>825</v>
      </c>
      <c r="C833" s="384" t="inlineStr">
        <is>
          <t>2009Q</t>
        </is>
      </c>
      <c r="D833" s="605" t="inlineStr">
        <is>
          <t xml:space="preserve">05081-18-011-000 </t>
        </is>
      </c>
      <c r="E833" s="407" t="inlineStr">
        <is>
          <t>Actual</t>
        </is>
      </c>
      <c r="F833" s="605" t="inlineStr">
        <is>
          <t>2750 W 5TH                  AV</t>
        </is>
      </c>
      <c r="G833" s="392" t="n">
        <v>44.1</v>
      </c>
      <c r="H833" s="378" t="n">
        <v>9508</v>
      </c>
      <c r="I833" s="403" t="n">
        <v>0</v>
      </c>
      <c r="J833" s="404" t="n">
        <v>14000</v>
      </c>
      <c r="K833" s="408" t="n">
        <v>8.571428571428569</v>
      </c>
      <c r="L833" s="409" t="n">
        <v>0</v>
      </c>
      <c r="M833" s="409" t="n">
        <v>0.0116333333333333</v>
      </c>
      <c r="N833" s="378" t="n">
        <v>1972</v>
      </c>
      <c r="O833" s="393">
        <f>6213+2500</f>
        <v/>
      </c>
      <c r="Q833" s="605" t="n">
        <v>18</v>
      </c>
      <c r="R833" s="605" t="n">
        <v>3</v>
      </c>
      <c r="S833" s="605" t="n">
        <v>1</v>
      </c>
      <c r="T833" s="403" t="inlineStr">
        <is>
          <t xml:space="preserve">I0   </t>
        </is>
      </c>
      <c r="U833" s="403" t="n">
        <v>398</v>
      </c>
      <c r="V833" s="404" t="n">
        <v>27787</v>
      </c>
      <c r="W833" s="404" t="n">
        <v>28000</v>
      </c>
      <c r="X833" s="410" t="inlineStr">
        <is>
          <t>2.0:1</t>
        </is>
      </c>
      <c r="Y833" s="404">
        <f>ROUND(J833,-3)</f>
        <v/>
      </c>
      <c r="Z833" s="403" t="inlineStr">
        <is>
          <t xml:space="preserve">C </t>
        </is>
      </c>
      <c r="AA833" s="605" t="n">
        <v>3</v>
      </c>
      <c r="AB833" s="605" t="n">
        <v>3</v>
      </c>
      <c r="AC833" s="378" t="inlineStr">
        <is>
          <t>33</t>
        </is>
      </c>
      <c r="AD833" s="384" t="inlineStr">
        <is>
          <t xml:space="preserve">PEAK RESOURCES      </t>
        </is>
      </c>
      <c r="AE833" s="145" t="n"/>
      <c r="AF833" s="145" t="n"/>
      <c r="AG833" s="145" t="n"/>
      <c r="AH833" s="145" t="n"/>
      <c r="AI833" s="145" t="n"/>
      <c r="AJ833" s="145" t="n"/>
      <c r="AK833" s="145" t="inlineStr">
        <is>
          <t xml:space="preserve">S-T WHSE.; 2005 LEASE.                                            </t>
        </is>
      </c>
      <c r="AL833" s="605">
        <f>IF(AND(ISNUMBER($S833),$S833&gt;0,ISNUMBER($K833),ISNUMBER($J833)),($K833*$J833)/$S833,"")</f>
        <v/>
      </c>
    </row>
    <row r="834" ht="12.75" customHeight="1" s="545">
      <c r="A834" s="388" t="n">
        <v>8</v>
      </c>
      <c r="B834" s="605" t="n">
        <v>826</v>
      </c>
      <c r="C834" s="384" t="inlineStr">
        <is>
          <t>2009Q</t>
        </is>
      </c>
      <c r="D834" s="605" t="inlineStr">
        <is>
          <t xml:space="preserve">05083-33-010-000 </t>
        </is>
      </c>
      <c r="E834" s="407" t="inlineStr">
        <is>
          <t>Actual</t>
        </is>
      </c>
      <c r="F834" s="605" t="inlineStr">
        <is>
          <t>105   FEDERAL              BV</t>
        </is>
      </c>
      <c r="G834" s="392" t="n">
        <v>44.1</v>
      </c>
      <c r="H834" s="378" t="n">
        <v>9508</v>
      </c>
      <c r="I834" s="403" t="n">
        <v>6</v>
      </c>
      <c r="J834" s="404" t="n">
        <v>3800</v>
      </c>
      <c r="K834" s="408" t="n">
        <v>9.47368421052632</v>
      </c>
      <c r="L834" s="409" t="n">
        <v>0</v>
      </c>
      <c r="M834" s="409" t="n">
        <v>0.16825</v>
      </c>
      <c r="N834" s="378" t="n">
        <v>1974</v>
      </c>
      <c r="P834" s="393" t="n">
        <v>1750</v>
      </c>
      <c r="Q834" s="605" t="n">
        <v>14</v>
      </c>
      <c r="R834" s="605" t="n">
        <v>1</v>
      </c>
      <c r="S834" s="605" t="n">
        <v>1</v>
      </c>
      <c r="T834" s="403" t="inlineStr">
        <is>
          <t xml:space="preserve">B4   </t>
        </is>
      </c>
      <c r="U834" s="403" t="n">
        <v>398</v>
      </c>
      <c r="V834" s="404" t="n">
        <v>6250</v>
      </c>
      <c r="W834" s="404" t="n">
        <v>6000</v>
      </c>
      <c r="X834" s="410" t="inlineStr">
        <is>
          <t>1.6:1</t>
        </is>
      </c>
      <c r="Y834" s="404">
        <f>ROUND(J834,-3)</f>
        <v/>
      </c>
      <c r="Z834" s="403" t="inlineStr">
        <is>
          <t xml:space="preserve">C </t>
        </is>
      </c>
      <c r="AA834" s="605" t="n">
        <v>3</v>
      </c>
      <c r="AB834" s="605" t="n">
        <v>3</v>
      </c>
      <c r="AC834" s="378" t="inlineStr">
        <is>
          <t>33</t>
        </is>
      </c>
      <c r="AD834" s="384" t="inlineStr">
        <is>
          <t xml:space="preserve">S-W VACANT          </t>
        </is>
      </c>
      <c r="AE834" s="145" t="n"/>
      <c r="AF834" s="145" t="n"/>
      <c r="AG834" s="145" t="n"/>
      <c r="AH834" s="145" t="n"/>
      <c r="AI834" s="145" t="n"/>
      <c r="AJ834" s="145" t="n"/>
      <c r="AK834" s="145" t="inlineStr">
        <is>
          <t xml:space="preserve">S-T WHSE.; 2006 LEASE.                                            </t>
        </is>
      </c>
      <c r="AL834" s="605">
        <f>IF(AND(ISNUMBER($S834),$S834&gt;0,ISNUMBER($K834),ISNUMBER($J834)),($K834*$J834)/$S834,"")</f>
        <v/>
      </c>
    </row>
    <row r="835" ht="12.75" customHeight="1" s="545">
      <c r="A835" s="388" t="n">
        <v>8</v>
      </c>
      <c r="B835" s="605" t="n">
        <v>827</v>
      </c>
      <c r="C835" s="384" t="inlineStr">
        <is>
          <t>2009Q</t>
        </is>
      </c>
      <c r="D835" s="605" t="inlineStr">
        <is>
          <t xml:space="preserve">05084-00-025-000 </t>
        </is>
      </c>
      <c r="E835" s="407" t="inlineStr">
        <is>
          <t>Actual</t>
        </is>
      </c>
      <c r="F835" s="605" t="inlineStr">
        <is>
          <t>2395 W 2ND                  AV</t>
        </is>
      </c>
      <c r="G835" s="392" t="n">
        <v>44.2</v>
      </c>
      <c r="H835" s="378" t="n">
        <v>9508</v>
      </c>
      <c r="I835" s="403" t="n">
        <v>0</v>
      </c>
      <c r="J835" s="404" t="n">
        <v>16640</v>
      </c>
      <c r="K835" s="408" t="n">
        <v>7.28581730769231</v>
      </c>
      <c r="L835" s="409" t="n">
        <v>0</v>
      </c>
      <c r="M835" s="409" t="n">
        <v>0.0822527961991488</v>
      </c>
      <c r="N835" s="378" t="n">
        <v>1969</v>
      </c>
      <c r="O835" s="393">
        <f>2867+2451</f>
        <v/>
      </c>
      <c r="Q835" s="605" t="n">
        <v>20</v>
      </c>
      <c r="R835" s="605" t="n">
        <v>14</v>
      </c>
      <c r="S835" s="605" t="n">
        <v>1</v>
      </c>
      <c r="T835" s="403" t="inlineStr">
        <is>
          <t xml:space="preserve">I1   </t>
        </is>
      </c>
      <c r="U835" s="403" t="n">
        <v>398</v>
      </c>
      <c r="V835" s="404" t="n">
        <v>38742</v>
      </c>
      <c r="W835" s="404" t="n">
        <v>39000</v>
      </c>
      <c r="X835" s="410" t="inlineStr">
        <is>
          <t>2.3:1</t>
        </is>
      </c>
      <c r="Y835" s="404">
        <f>ROUND(J835,-3)</f>
        <v/>
      </c>
      <c r="Z835" s="403" t="inlineStr">
        <is>
          <t xml:space="preserve">C </t>
        </is>
      </c>
      <c r="AA835" s="605" t="n">
        <v>3</v>
      </c>
      <c r="AB835" s="605" t="n">
        <v>3</v>
      </c>
      <c r="AC835" s="378" t="inlineStr">
        <is>
          <t>33</t>
        </is>
      </c>
      <c r="AD835" s="384" t="inlineStr">
        <is>
          <t xml:space="preserve">BARNONESS WINES     </t>
        </is>
      </c>
      <c r="AE835" s="145" t="n"/>
      <c r="AF835" s="145" t="n"/>
      <c r="AG835" s="145" t="n"/>
      <c r="AH835" s="145" t="n"/>
      <c r="AI835" s="145" t="n"/>
      <c r="AJ835" s="145" t="n"/>
      <c r="AK835" s="145" t="inlineStr">
        <is>
          <t xml:space="preserve">S-T WHSE.; AGE OF LEASE UNKNOWN.                                  </t>
        </is>
      </c>
      <c r="AL835" s="605">
        <f>IF(AND(ISNUMBER($S835),$S835&gt;0,ISNUMBER($K835),ISNUMBER($J835)),($K835*$J835)/$S835,"")</f>
        <v/>
      </c>
    </row>
    <row r="836" ht="12.75" customHeight="1" s="545">
      <c r="A836" s="388" t="n">
        <v>8</v>
      </c>
      <c r="B836" s="605" t="n">
        <v>828</v>
      </c>
      <c r="C836" s="384" t="inlineStr">
        <is>
          <t>2009Q</t>
        </is>
      </c>
      <c r="D836" s="605" t="inlineStr">
        <is>
          <t xml:space="preserve">05084-00-044-000 </t>
        </is>
      </c>
      <c r="E836" s="407" t="inlineStr">
        <is>
          <t>Actual</t>
        </is>
      </c>
      <c r="F836" s="605" t="inlineStr">
        <is>
          <t>2505 W 2ND                  AV</t>
        </is>
      </c>
      <c r="G836" s="392" t="n">
        <v>44.2</v>
      </c>
      <c r="H836" s="378" t="n">
        <v>9508</v>
      </c>
      <c r="I836" s="403" t="n">
        <v>0</v>
      </c>
      <c r="J836" s="404" t="n">
        <v>34866</v>
      </c>
      <c r="K836" s="408" t="n">
        <v>8.36201457006826</v>
      </c>
      <c r="L836" s="409" t="n">
        <v>0.2</v>
      </c>
      <c r="M836" s="409" t="n">
        <v>0.0410632824558395</v>
      </c>
      <c r="N836" s="378" t="n">
        <v>1984</v>
      </c>
      <c r="O836" s="393" t="n">
        <v>5654</v>
      </c>
      <c r="Q836" s="605" t="n">
        <v>18</v>
      </c>
      <c r="R836" s="605" t="n">
        <v>3</v>
      </c>
      <c r="S836" s="605" t="n">
        <v>1</v>
      </c>
      <c r="T836" s="403" t="inlineStr">
        <is>
          <t xml:space="preserve">I1   </t>
        </is>
      </c>
      <c r="U836" s="403" t="n">
        <v>398</v>
      </c>
      <c r="V836" s="404" t="n">
        <v>60428</v>
      </c>
      <c r="W836" s="404" t="n">
        <v>60000</v>
      </c>
      <c r="X836" s="410" t="inlineStr">
        <is>
          <t>1.6:1</t>
        </is>
      </c>
      <c r="Y836" s="404">
        <f>ROUND(J836,-3)</f>
        <v/>
      </c>
      <c r="Z836" s="403" t="inlineStr">
        <is>
          <t xml:space="preserve">C </t>
        </is>
      </c>
      <c r="AA836" s="605" t="n">
        <v>3</v>
      </c>
      <c r="AB836" s="605" t="n">
        <v>3</v>
      </c>
      <c r="AC836" s="378" t="inlineStr">
        <is>
          <t>33</t>
        </is>
      </c>
      <c r="AD836" s="384" t="inlineStr">
        <is>
          <t xml:space="preserve">MW 16 UNITS         </t>
        </is>
      </c>
      <c r="AE836" s="145" t="n"/>
      <c r="AF836" s="145" t="n"/>
      <c r="AG836" s="145" t="n"/>
      <c r="AH836" s="145" t="n"/>
      <c r="AI836" s="145" t="n"/>
      <c r="AJ836" s="145" t="n"/>
      <c r="AK836" s="145" t="inlineStr">
        <is>
          <t xml:space="preserve">DATE OF LEASE &amp; # OF TENANTS UNKNOWN.                             </t>
        </is>
      </c>
      <c r="AL836" s="605">
        <f>IF(AND(ISNUMBER($S836),$S836&gt;0,ISNUMBER($K836),ISNUMBER($J836)),($K836*$J836)/$S836,"")</f>
        <v/>
      </c>
    </row>
    <row r="837" ht="12.75" customHeight="1" s="545">
      <c r="A837" s="388" t="n">
        <v>8</v>
      </c>
      <c r="B837" s="605" t="n">
        <v>829</v>
      </c>
      <c r="C837" s="384" t="inlineStr">
        <is>
          <t>2009Q</t>
        </is>
      </c>
      <c r="D837" s="605" t="inlineStr">
        <is>
          <t xml:space="preserve">05084-00-052-000 </t>
        </is>
      </c>
      <c r="E837" s="407" t="inlineStr">
        <is>
          <t>Actual</t>
        </is>
      </c>
      <c r="F837" s="605" t="inlineStr">
        <is>
          <t>210   BRYANT               ST</t>
        </is>
      </c>
      <c r="G837" s="392" t="n">
        <v>44.1</v>
      </c>
      <c r="H837" s="378" t="n">
        <v>9508</v>
      </c>
      <c r="I837" s="403" t="n">
        <v>0</v>
      </c>
      <c r="J837" s="404" t="n">
        <v>4800</v>
      </c>
      <c r="K837" s="408" t="n">
        <v>7.5</v>
      </c>
      <c r="L837" s="409" t="n">
        <v>0</v>
      </c>
      <c r="M837" s="409" t="n">
        <v>0.105555555555556</v>
      </c>
      <c r="N837" s="378" t="n">
        <v>1972</v>
      </c>
      <c r="O837" s="393" t="n">
        <v>1458</v>
      </c>
      <c r="P837" s="393" t="n">
        <v>1020</v>
      </c>
      <c r="Q837" s="605" t="n">
        <v>15</v>
      </c>
      <c r="R837" s="605" t="n">
        <v>3</v>
      </c>
      <c r="S837" s="605" t="n">
        <v>1</v>
      </c>
      <c r="T837" s="403" t="inlineStr">
        <is>
          <t xml:space="preserve">I1   </t>
        </is>
      </c>
      <c r="U837" s="403" t="n">
        <v>398</v>
      </c>
      <c r="V837" s="404" t="n">
        <v>15330</v>
      </c>
      <c r="W837" s="404" t="n">
        <v>15000</v>
      </c>
      <c r="X837" s="410" t="inlineStr">
        <is>
          <t>3.2:1</t>
        </is>
      </c>
      <c r="Y837" s="404">
        <f>ROUND(J837,-3)</f>
        <v/>
      </c>
      <c r="Z837" s="403" t="inlineStr">
        <is>
          <t xml:space="preserve">C </t>
        </is>
      </c>
      <c r="AA837" s="605" t="n">
        <v>3</v>
      </c>
      <c r="AB837" s="605" t="n">
        <v>3</v>
      </c>
      <c r="AC837" s="378" t="inlineStr">
        <is>
          <t>33</t>
        </is>
      </c>
      <c r="AD837" s="384" t="inlineStr">
        <is>
          <t xml:space="preserve">S-W                 </t>
        </is>
      </c>
      <c r="AE837" s="145" t="n"/>
      <c r="AF837" s="145" t="n"/>
      <c r="AG837" s="145" t="n"/>
      <c r="AH837" s="145" t="n"/>
      <c r="AI837" s="145" t="n"/>
      <c r="AJ837" s="145" t="n"/>
      <c r="AK837" s="145" t="inlineStr">
        <is>
          <t xml:space="preserve">S-T WHSE.                                                         </t>
        </is>
      </c>
      <c r="AL837" s="605">
        <f>IF(AND(ISNUMBER($S837),$S837&gt;0,ISNUMBER($K837),ISNUMBER($J837)),($K837*$J837)/$S837,"")</f>
        <v/>
      </c>
    </row>
    <row r="838" ht="12.75" customHeight="1" s="545">
      <c r="A838" s="388" t="n">
        <v>8</v>
      </c>
      <c r="B838" s="605" t="n">
        <v>830</v>
      </c>
      <c r="C838" s="384" t="inlineStr">
        <is>
          <t>2009Q</t>
        </is>
      </c>
      <c r="D838" s="605" t="inlineStr">
        <is>
          <t xml:space="preserve">05084-00-053-000 </t>
        </is>
      </c>
      <c r="E838" s="407" t="inlineStr">
        <is>
          <t>Actual</t>
        </is>
      </c>
      <c r="F838" s="605" t="inlineStr">
        <is>
          <t>2695 W 3RD                  AV</t>
        </is>
      </c>
      <c r="G838" s="392" t="n">
        <v>44.1</v>
      </c>
      <c r="H838" s="378" t="n">
        <v>9508</v>
      </c>
      <c r="I838" s="403" t="n">
        <v>0</v>
      </c>
      <c r="J838" s="404" t="n">
        <v>10000</v>
      </c>
      <c r="K838" s="408" t="n">
        <v>8.206200000000001</v>
      </c>
      <c r="L838" s="409" t="n">
        <v>0</v>
      </c>
      <c r="M838" s="409" t="n">
        <v>0.09994881918549391</v>
      </c>
      <c r="N838" s="378" t="n">
        <v>1963</v>
      </c>
      <c r="O838" s="393" t="n">
        <v>4291</v>
      </c>
      <c r="Q838" s="605" t="n">
        <v>15</v>
      </c>
      <c r="R838" s="605" t="n">
        <v>3</v>
      </c>
      <c r="S838" s="605" t="n">
        <v>1</v>
      </c>
      <c r="T838" s="403" t="inlineStr">
        <is>
          <t xml:space="preserve">I0   </t>
        </is>
      </c>
      <c r="U838" s="403" t="n">
        <v>398</v>
      </c>
      <c r="V838" s="404" t="n">
        <v>18722</v>
      </c>
      <c r="W838" s="404" t="n">
        <v>19000</v>
      </c>
      <c r="X838" s="410" t="inlineStr">
        <is>
          <t>1.9:1</t>
        </is>
      </c>
      <c r="Y838" s="404">
        <f>ROUND(J838,-3)</f>
        <v/>
      </c>
      <c r="Z838" s="403" t="inlineStr">
        <is>
          <t xml:space="preserve">C </t>
        </is>
      </c>
      <c r="AA838" s="605" t="n">
        <v>3</v>
      </c>
      <c r="AB838" s="605" t="n">
        <v>3</v>
      </c>
      <c r="AC838" s="378" t="inlineStr">
        <is>
          <t>33</t>
        </is>
      </c>
      <c r="AD838" s="384" t="n"/>
      <c r="AE838" s="145" t="n"/>
      <c r="AF838" s="145" t="n"/>
      <c r="AG838" s="145" t="n"/>
      <c r="AH838" s="145" t="n"/>
      <c r="AI838" s="145" t="n"/>
      <c r="AJ838" s="145" t="n"/>
      <c r="AK838" s="145" t="inlineStr">
        <is>
          <t xml:space="preserve">S-T WHSE.; 2003 LEASE.                                            </t>
        </is>
      </c>
      <c r="AL838" s="605">
        <f>IF(AND(ISNUMBER($S838),$S838&gt;0,ISNUMBER($K838),ISNUMBER($J838)),($K838*$J838)/$S838,"")</f>
        <v/>
      </c>
    </row>
    <row r="839" ht="12.75" customHeight="1" s="545">
      <c r="A839" s="388" t="n">
        <v>8</v>
      </c>
      <c r="B839" s="605" t="n">
        <v>831</v>
      </c>
      <c r="C839" s="384" t="inlineStr">
        <is>
          <t>2009Q</t>
        </is>
      </c>
      <c r="D839" s="605" t="inlineStr">
        <is>
          <t xml:space="preserve">05084-01-008-000 </t>
        </is>
      </c>
      <c r="E839" s="407" t="inlineStr">
        <is>
          <t>Actual</t>
        </is>
      </c>
      <c r="F839" s="605" t="inlineStr">
        <is>
          <t>2744 W 4TH                  AV</t>
        </is>
      </c>
      <c r="G839" s="392" t="n">
        <v>44.1</v>
      </c>
      <c r="H839" s="378" t="n">
        <v>9508</v>
      </c>
      <c r="I839" s="403" t="n">
        <v>0</v>
      </c>
      <c r="J839" s="404" t="n">
        <v>7692</v>
      </c>
      <c r="K839" s="408" t="n">
        <v>15.600624024961</v>
      </c>
      <c r="L839" s="409" t="n">
        <v>0</v>
      </c>
      <c r="M839" s="409" t="n">
        <v>0</v>
      </c>
      <c r="N839" s="378" t="n">
        <v>1974</v>
      </c>
      <c r="P839" s="393" t="n">
        <v>3161</v>
      </c>
      <c r="Q839" s="605" t="n">
        <v>18</v>
      </c>
      <c r="R839" s="605" t="n">
        <v>14</v>
      </c>
      <c r="S839" s="605" t="n">
        <v>1</v>
      </c>
      <c r="T839" s="403" t="inlineStr">
        <is>
          <t xml:space="preserve">I0   </t>
        </is>
      </c>
      <c r="U839" s="403" t="n">
        <v>398</v>
      </c>
      <c r="V839" s="404" t="n">
        <v>16250</v>
      </c>
      <c r="W839" s="404" t="n">
        <v>16000</v>
      </c>
      <c r="X839" s="410" t="inlineStr">
        <is>
          <t>2.1:1</t>
        </is>
      </c>
      <c r="Y839" s="404">
        <f>ROUND(J839,-3)</f>
        <v/>
      </c>
      <c r="Z839" s="403" t="inlineStr">
        <is>
          <t xml:space="preserve">C </t>
        </is>
      </c>
      <c r="AA839" s="605" t="n">
        <v>3</v>
      </c>
      <c r="AB839" s="605" t="n">
        <v>3</v>
      </c>
      <c r="AC839" s="378" t="inlineStr">
        <is>
          <t>33</t>
        </is>
      </c>
      <c r="AD839" s="384" t="n"/>
      <c r="AE839" s="145" t="n"/>
      <c r="AF839" s="145" t="n"/>
      <c r="AG839" s="145" t="n"/>
      <c r="AH839" s="145" t="n"/>
      <c r="AI839" s="145" t="n"/>
      <c r="AJ839" s="145" t="n"/>
      <c r="AK839" s="145" t="inlineStr">
        <is>
          <t xml:space="preserve">S-T WHSE.; 2005 LEASE.                                            </t>
        </is>
      </c>
      <c r="AL839" s="605">
        <f>IF(AND(ISNUMBER($S839),$S839&gt;0,ISNUMBER($K839),ISNUMBER($J839)),($K839*$J839)/$S839,"")</f>
        <v/>
      </c>
    </row>
    <row r="840" ht="12.75" customHeight="1" s="545">
      <c r="A840" s="388" t="n">
        <v>8</v>
      </c>
      <c r="B840" s="605" t="n">
        <v>832</v>
      </c>
      <c r="C840" s="384" t="inlineStr">
        <is>
          <t>2009Q</t>
        </is>
      </c>
      <c r="D840" s="605" t="inlineStr">
        <is>
          <t xml:space="preserve">05084-04-017-000 </t>
        </is>
      </c>
      <c r="E840" s="407" t="inlineStr">
        <is>
          <t>Actual</t>
        </is>
      </c>
      <c r="F840" s="605" t="inlineStr">
        <is>
          <t>2737 W 2ND                  AV</t>
        </is>
      </c>
      <c r="G840" s="392" t="n">
        <v>44.2</v>
      </c>
      <c r="H840" s="378" t="n">
        <v>9508</v>
      </c>
      <c r="I840" s="403" t="n">
        <v>0</v>
      </c>
      <c r="J840" s="404" t="n">
        <v>6448</v>
      </c>
      <c r="K840" s="408" t="n">
        <v>7.11150744416873</v>
      </c>
      <c r="L840" s="409" t="n">
        <v>0</v>
      </c>
      <c r="M840" s="409" t="n">
        <v>0.0363755315668957</v>
      </c>
      <c r="N840" s="378" t="n">
        <v>1982</v>
      </c>
      <c r="O840" s="393" t="n">
        <v>1805</v>
      </c>
      <c r="Q840" s="605" t="n">
        <v>16</v>
      </c>
      <c r="R840" s="605" t="n">
        <v>3</v>
      </c>
      <c r="S840" s="605" t="n">
        <v>1</v>
      </c>
      <c r="T840" s="403" t="inlineStr">
        <is>
          <t xml:space="preserve">I0   </t>
        </is>
      </c>
      <c r="U840" s="403" t="n">
        <v>398</v>
      </c>
      <c r="V840" s="404" t="n">
        <v>17875</v>
      </c>
      <c r="W840" s="404" t="n">
        <v>18000</v>
      </c>
      <c r="X840" s="410" t="inlineStr">
        <is>
          <t>2.8:1</t>
        </is>
      </c>
      <c r="Y840" s="404">
        <f>ROUND(J840,-3)</f>
        <v/>
      </c>
      <c r="Z840" s="403" t="inlineStr">
        <is>
          <t xml:space="preserve">C </t>
        </is>
      </c>
      <c r="AA840" s="605" t="n">
        <v>3</v>
      </c>
      <c r="AB840" s="605" t="n">
        <v>3</v>
      </c>
      <c r="AC840" s="378" t="inlineStr">
        <is>
          <t>33</t>
        </is>
      </c>
      <c r="AD840" s="384" t="n"/>
      <c r="AE840" s="145" t="n"/>
      <c r="AF840" s="145" t="n"/>
      <c r="AG840" s="145" t="n"/>
      <c r="AH840" s="145" t="n"/>
      <c r="AI840" s="145" t="n"/>
      <c r="AJ840" s="145" t="n"/>
      <c r="AK840" s="145" t="inlineStr">
        <is>
          <t xml:space="preserve">S-T WHSE.; 2006 LEASE.                                            </t>
        </is>
      </c>
      <c r="AL840" s="605">
        <f>IF(AND(ISNUMBER($S840),$S840&gt;0,ISNUMBER($K840),ISNUMBER($J840)),($K840*$J840)/$S840,"")</f>
        <v/>
      </c>
    </row>
    <row r="841" ht="12.75" customHeight="1" s="545">
      <c r="A841" s="388" t="n">
        <v>8</v>
      </c>
      <c r="B841" s="605" t="n">
        <v>833</v>
      </c>
      <c r="C841" s="384" t="inlineStr">
        <is>
          <t>2009Q</t>
        </is>
      </c>
      <c r="D841" s="605" t="inlineStr">
        <is>
          <t xml:space="preserve">05084-09-037-037 </t>
        </is>
      </c>
      <c r="E841" s="407" t="inlineStr">
        <is>
          <t>Actual</t>
        </is>
      </c>
      <c r="F841" s="605" t="inlineStr">
        <is>
          <t>2550 W 2ND                  AV</t>
        </is>
      </c>
      <c r="G841" s="392" t="n">
        <v>44.8</v>
      </c>
      <c r="H841" s="378" t="n">
        <v>9508</v>
      </c>
      <c r="I841" s="403" t="n">
        <v>0</v>
      </c>
      <c r="J841" s="404" t="n">
        <v>8586</v>
      </c>
      <c r="K841" s="408" t="n">
        <v>10.4821802935011</v>
      </c>
      <c r="L841" s="409" t="n">
        <v>0</v>
      </c>
      <c r="M841" s="409" t="n">
        <v>0</v>
      </c>
      <c r="N841" s="378" t="n">
        <v>1968</v>
      </c>
      <c r="Q841" s="605" t="n">
        <v>20</v>
      </c>
      <c r="R841" s="605" t="n">
        <v>14</v>
      </c>
      <c r="S841" s="605" t="n">
        <v>1</v>
      </c>
      <c r="T841" s="403" t="inlineStr">
        <is>
          <t xml:space="preserve">I1   </t>
        </is>
      </c>
      <c r="U841" s="403" t="n">
        <v>398</v>
      </c>
      <c r="V841" s="404" t="n">
        <v>17648</v>
      </c>
      <c r="W841" s="404" t="n">
        <v>18000</v>
      </c>
      <c r="X841" s="410" t="inlineStr">
        <is>
          <t>2.1:1</t>
        </is>
      </c>
      <c r="Y841" s="404">
        <f>ROUND(J841,-3)</f>
        <v/>
      </c>
      <c r="Z841" s="403" t="inlineStr">
        <is>
          <t xml:space="preserve">C </t>
        </is>
      </c>
      <c r="AA841" s="605" t="n">
        <v>3</v>
      </c>
      <c r="AB841" s="605" t="n">
        <v>3</v>
      </c>
      <c r="AC841" s="378" t="inlineStr">
        <is>
          <t>33</t>
        </is>
      </c>
      <c r="AD841" s="384" t="inlineStr">
        <is>
          <t>BRYANT ST CONDO #102</t>
        </is>
      </c>
      <c r="AE841" s="145" t="n"/>
      <c r="AF841" s="145" t="n"/>
      <c r="AG841" s="145" t="n"/>
      <c r="AH841" s="145" t="n"/>
      <c r="AI841" s="145" t="n"/>
      <c r="AJ841" s="145" t="n"/>
      <c r="AK841" s="145" t="inlineStr">
        <is>
          <t xml:space="preserve">S-T WHSE. CONDO.                                                  </t>
        </is>
      </c>
      <c r="AL841" s="605">
        <f>IF(AND(ISNUMBER($S841),$S841&gt;0,ISNUMBER($K841),ISNUMBER($J841)),($K841*$J841)/$S841,"")</f>
        <v/>
      </c>
    </row>
    <row r="842" ht="12.75" customHeight="1" s="545">
      <c r="A842" s="388" t="n">
        <v>8</v>
      </c>
      <c r="B842" s="605" t="n">
        <v>834</v>
      </c>
      <c r="C842" s="384" t="inlineStr">
        <is>
          <t>2009Q</t>
        </is>
      </c>
      <c r="D842" s="605" t="inlineStr">
        <is>
          <t xml:space="preserve">05091-00-003-000 </t>
        </is>
      </c>
      <c r="E842" s="407" t="inlineStr">
        <is>
          <t>Actual</t>
        </is>
      </c>
      <c r="F842" s="605" t="inlineStr">
        <is>
          <t>577   OSAGE                ST</t>
        </is>
      </c>
      <c r="G842" s="392" t="n">
        <v>44.2</v>
      </c>
      <c r="H842" s="378" t="n">
        <v>9505</v>
      </c>
      <c r="I842" s="403" t="n">
        <v>0</v>
      </c>
      <c r="J842" s="404" t="n">
        <v>51985</v>
      </c>
      <c r="K842" s="408" t="n">
        <v>5.4</v>
      </c>
      <c r="L842" s="409" t="n">
        <v>0</v>
      </c>
      <c r="M842" s="409" t="n">
        <v>0</v>
      </c>
      <c r="N842" s="378" t="n">
        <v>1973</v>
      </c>
      <c r="O842" s="393" t="n">
        <v>2478</v>
      </c>
      <c r="Q842" s="605" t="n">
        <v>22</v>
      </c>
      <c r="R842" s="605" t="n">
        <v>14</v>
      </c>
      <c r="S842" s="605" t="n">
        <v>1</v>
      </c>
      <c r="T842" s="403" t="inlineStr">
        <is>
          <t xml:space="preserve">I1   </t>
        </is>
      </c>
      <c r="U842" s="403" t="n">
        <v>398</v>
      </c>
      <c r="V842" s="404" t="n">
        <v>54671</v>
      </c>
      <c r="W842" s="404" t="n">
        <v>50000</v>
      </c>
      <c r="X842" s="410" t="inlineStr">
        <is>
          <t>1.1:1</t>
        </is>
      </c>
      <c r="Y842" s="404">
        <f>ROUND(J842,-4)</f>
        <v/>
      </c>
      <c r="Z842" s="403" t="inlineStr">
        <is>
          <t xml:space="preserve">C </t>
        </is>
      </c>
      <c r="AA842" s="605" t="n">
        <v>2</v>
      </c>
      <c r="AB842" s="605" t="n">
        <v>1</v>
      </c>
      <c r="AC842" s="378" t="inlineStr">
        <is>
          <t>21</t>
        </is>
      </c>
      <c r="AD842" s="384" t="n"/>
      <c r="AE842" s="145" t="n"/>
      <c r="AF842" s="145" t="n"/>
      <c r="AG842" s="145" t="n"/>
      <c r="AH842" s="145" t="n"/>
      <c r="AI842" s="145" t="n"/>
      <c r="AJ842" s="145" t="n"/>
      <c r="AK842" s="145" t="inlineStr">
        <is>
          <t xml:space="preserve">S-T WHSE.                                                         </t>
        </is>
      </c>
      <c r="AL842" s="605">
        <f>IF(AND(ISNUMBER($S842),$S842&gt;0,ISNUMBER($K842),ISNUMBER($J842)),($K842*$J842)/$S842,"")</f>
        <v/>
      </c>
    </row>
    <row r="843" ht="12.75" customHeight="1" s="545">
      <c r="A843" s="388" t="n">
        <v>8</v>
      </c>
      <c r="B843" s="605" t="n">
        <v>835</v>
      </c>
      <c r="C843" s="384" t="inlineStr">
        <is>
          <t>2009Q</t>
        </is>
      </c>
      <c r="D843" s="605" t="inlineStr">
        <is>
          <t xml:space="preserve">05091-00-049-000 </t>
        </is>
      </c>
      <c r="E843" s="407" t="inlineStr">
        <is>
          <t>Actual</t>
        </is>
      </c>
      <c r="F843" s="605" t="inlineStr">
        <is>
          <t>123   RIO GRANDE           BV</t>
        </is>
      </c>
      <c r="G843" s="392" t="n">
        <v>44.2</v>
      </c>
      <c r="H843" s="378" t="n">
        <v>9505</v>
      </c>
      <c r="I843" s="403" t="n">
        <v>0</v>
      </c>
      <c r="J843" s="404" t="n">
        <v>12994</v>
      </c>
      <c r="K843" s="408" t="n">
        <v>7.10728028320763</v>
      </c>
      <c r="L843" s="409" t="n">
        <v>0</v>
      </c>
      <c r="M843" s="409" t="n">
        <v>0.137463184338184</v>
      </c>
      <c r="N843" s="378" t="n">
        <v>1959</v>
      </c>
      <c r="O843" s="393" t="n">
        <v>2548</v>
      </c>
      <c r="Q843" s="605" t="n">
        <v>16</v>
      </c>
      <c r="R843" s="605" t="n">
        <v>1</v>
      </c>
      <c r="S843" s="605" t="n">
        <v>1</v>
      </c>
      <c r="T843" s="403" t="inlineStr">
        <is>
          <t xml:space="preserve">I1   </t>
        </is>
      </c>
      <c r="U843" s="403" t="n">
        <v>398</v>
      </c>
      <c r="V843" s="404" t="n">
        <v>20500</v>
      </c>
      <c r="W843" s="404" t="n">
        <v>21000</v>
      </c>
      <c r="X843" s="410" t="inlineStr">
        <is>
          <t>1.6:1</t>
        </is>
      </c>
      <c r="Y843" s="404">
        <f>ROUND(J843,-3)</f>
        <v/>
      </c>
      <c r="Z843" s="403" t="inlineStr">
        <is>
          <t xml:space="preserve">C </t>
        </is>
      </c>
      <c r="AA843" s="605" t="n">
        <v>3</v>
      </c>
      <c r="AB843" s="605" t="n">
        <v>3</v>
      </c>
      <c r="AC843" s="378" t="inlineStr">
        <is>
          <t>33</t>
        </is>
      </c>
      <c r="AD843" s="384" t="inlineStr">
        <is>
          <t xml:space="preserve">DIST                </t>
        </is>
      </c>
      <c r="AE843" s="145" t="n"/>
      <c r="AF843" s="145" t="n"/>
      <c r="AG843" s="145" t="n"/>
      <c r="AH843" s="145" t="n"/>
      <c r="AI843" s="145" t="n"/>
      <c r="AJ843" s="145" t="n"/>
      <c r="AK843" s="145" t="inlineStr">
        <is>
          <t xml:space="preserve">S-T WHSE.; 2005 LEASE.                                            </t>
        </is>
      </c>
      <c r="AL843" s="605">
        <f>IF(AND(ISNUMBER($S843),$S843&gt;0,ISNUMBER($K843),ISNUMBER($J843)),($K843*$J843)/$S843,"")</f>
        <v/>
      </c>
    </row>
    <row r="844" ht="12.75" customHeight="1" s="545">
      <c r="A844" s="388" t="n">
        <v>8</v>
      </c>
      <c r="B844" s="605" t="n">
        <v>836</v>
      </c>
      <c r="C844" s="384" t="inlineStr">
        <is>
          <t>2009Q</t>
        </is>
      </c>
      <c r="D844" s="605" t="inlineStr">
        <is>
          <t xml:space="preserve">05091-00-050-000 </t>
        </is>
      </c>
      <c r="E844" s="407" t="inlineStr">
        <is>
          <t>Actual</t>
        </is>
      </c>
      <c r="F844" s="605" t="inlineStr">
        <is>
          <t>1490 W 3RD                  AV</t>
        </is>
      </c>
      <c r="G844" s="392" t="n">
        <v>44.2</v>
      </c>
      <c r="H844" s="378" t="n">
        <v>9505</v>
      </c>
      <c r="I844" s="403" t="n">
        <v>0</v>
      </c>
      <c r="J844" s="404" t="n">
        <v>8502</v>
      </c>
      <c r="K844" s="408" t="n">
        <v>7.3394495412844</v>
      </c>
      <c r="L844" s="409" t="n">
        <v>0</v>
      </c>
      <c r="M844" s="409" t="n">
        <v>0</v>
      </c>
      <c r="N844" s="378" t="n">
        <v>1968</v>
      </c>
      <c r="O844" s="393">
        <f>7467+1642</f>
        <v/>
      </c>
      <c r="Q844" s="605" t="n">
        <v>16</v>
      </c>
      <c r="R844" s="605" t="n">
        <v>1</v>
      </c>
      <c r="S844" s="605" t="n">
        <v>1</v>
      </c>
      <c r="T844" s="403" t="inlineStr">
        <is>
          <t xml:space="preserve">I1   </t>
        </is>
      </c>
      <c r="U844" s="403" t="n">
        <v>398</v>
      </c>
      <c r="V844" s="404" t="n">
        <v>12400</v>
      </c>
      <c r="W844" s="404" t="n">
        <v>12000</v>
      </c>
      <c r="X844" s="410" t="inlineStr">
        <is>
          <t>1.5:1</t>
        </is>
      </c>
      <c r="Y844" s="404">
        <f>ROUND(J844,-3)</f>
        <v/>
      </c>
      <c r="Z844" s="403" t="inlineStr">
        <is>
          <t xml:space="preserve">C </t>
        </is>
      </c>
      <c r="AA844" s="605" t="n">
        <v>3</v>
      </c>
      <c r="AB844" s="605" t="n">
        <v>3</v>
      </c>
      <c r="AC844" s="378" t="inlineStr">
        <is>
          <t>33</t>
        </is>
      </c>
      <c r="AD844" s="384" t="n"/>
      <c r="AE844" s="145" t="n"/>
      <c r="AF844" s="145" t="n"/>
      <c r="AG844" s="145" t="n"/>
      <c r="AH844" s="145" t="n"/>
      <c r="AI844" s="145" t="n"/>
      <c r="AJ844" s="145" t="n"/>
      <c r="AK844" s="145" t="inlineStr">
        <is>
          <t xml:space="preserve">S-T WHSE.; 2005 LEASE.                                            </t>
        </is>
      </c>
      <c r="AL844" s="605">
        <f>IF(AND(ISNUMBER($S844),$S844&gt;0,ISNUMBER($K844),ISNUMBER($J844)),($K844*$J844)/$S844,"")</f>
        <v/>
      </c>
    </row>
    <row r="845" ht="12.75" customHeight="1" s="545">
      <c r="A845" s="388" t="n">
        <v>8</v>
      </c>
      <c r="B845" s="605" t="n">
        <v>837</v>
      </c>
      <c r="C845" s="384" t="inlineStr">
        <is>
          <t>2009Q</t>
        </is>
      </c>
      <c r="D845" s="605" t="inlineStr">
        <is>
          <t xml:space="preserve">05091-00-067-000 </t>
        </is>
      </c>
      <c r="E845" s="407" t="inlineStr">
        <is>
          <t>Actual</t>
        </is>
      </c>
      <c r="F845" s="605" t="inlineStr">
        <is>
          <t>1480 W 3RD                  AV</t>
        </is>
      </c>
      <c r="G845" s="392" t="n">
        <v>44.1</v>
      </c>
      <c r="H845" s="378" t="n">
        <v>9505</v>
      </c>
      <c r="I845" s="403" t="n">
        <v>0</v>
      </c>
      <c r="J845" s="404" t="n">
        <v>7200</v>
      </c>
      <c r="K845" s="408" t="n">
        <v>6.66666666666667</v>
      </c>
      <c r="L845" s="409" t="n">
        <v>0</v>
      </c>
      <c r="M845" s="409" t="n">
        <v>0</v>
      </c>
      <c r="N845" s="378" t="n">
        <v>1966</v>
      </c>
      <c r="O845" s="393" t="n">
        <v>4200</v>
      </c>
      <c r="Q845" s="605" t="n">
        <v>14</v>
      </c>
      <c r="R845" s="605" t="n">
        <v>3</v>
      </c>
      <c r="S845" s="605" t="n">
        <v>1</v>
      </c>
      <c r="T845" s="403" t="inlineStr">
        <is>
          <t xml:space="preserve">I1   </t>
        </is>
      </c>
      <c r="U845" s="403" t="n">
        <v>398</v>
      </c>
      <c r="V845" s="404" t="n">
        <v>11917</v>
      </c>
      <c r="W845" s="404" t="n">
        <v>12000</v>
      </c>
      <c r="X845" s="410" t="inlineStr">
        <is>
          <t>1.7:1</t>
        </is>
      </c>
      <c r="Y845" s="404">
        <f>ROUND(J845,-3)</f>
        <v/>
      </c>
      <c r="Z845" s="403" t="inlineStr">
        <is>
          <t xml:space="preserve">C </t>
        </is>
      </c>
      <c r="AA845" s="605" t="n">
        <v>3</v>
      </c>
      <c r="AB845" s="605" t="n">
        <v>3</v>
      </c>
      <c r="AC845" s="378" t="inlineStr">
        <is>
          <t>33</t>
        </is>
      </c>
      <c r="AD845" s="384" t="n"/>
      <c r="AE845" s="145" t="n"/>
      <c r="AF845" s="145" t="n"/>
      <c r="AG845" s="145" t="n"/>
      <c r="AH845" s="145" t="n"/>
      <c r="AI845" s="145" t="n"/>
      <c r="AJ845" s="145" t="n"/>
      <c r="AK845" s="145" t="inlineStr">
        <is>
          <t xml:space="preserve">S-T WHSE.; 2004 LEASE.                                            </t>
        </is>
      </c>
      <c r="AL845" s="605">
        <f>IF(AND(ISNUMBER($S845),$S845&gt;0,ISNUMBER($K845),ISNUMBER($J845)),($K845*$J845)/$S845,"")</f>
        <v/>
      </c>
    </row>
    <row r="846" ht="12.75" customHeight="1" s="545">
      <c r="A846" s="388" t="n">
        <v>8</v>
      </c>
      <c r="B846" s="605" t="n">
        <v>838</v>
      </c>
      <c r="C846" s="384" t="inlineStr">
        <is>
          <t>2009Q</t>
        </is>
      </c>
      <c r="D846" s="605" t="inlineStr">
        <is>
          <t xml:space="preserve">05091-00-082-000 </t>
        </is>
      </c>
      <c r="E846" s="407" t="inlineStr">
        <is>
          <t>Actual</t>
        </is>
      </c>
      <c r="F846" s="605" t="inlineStr">
        <is>
          <t>485   OSAGE                ST</t>
        </is>
      </c>
      <c r="G846" s="392" t="n">
        <v>44.1</v>
      </c>
      <c r="H846" s="378" t="n">
        <v>9505</v>
      </c>
      <c r="I846" s="403" t="n">
        <v>0</v>
      </c>
      <c r="J846" s="404" t="n">
        <v>19565</v>
      </c>
      <c r="K846" s="408" t="n">
        <v>6.13340148223869</v>
      </c>
      <c r="L846" s="409" t="n">
        <v>0</v>
      </c>
      <c r="M846" s="409" t="n">
        <v>0.001125</v>
      </c>
      <c r="N846" s="378" t="n">
        <v>1960</v>
      </c>
      <c r="O846" s="393" t="n">
        <v>2015</v>
      </c>
      <c r="Q846" s="605" t="n">
        <v>17</v>
      </c>
      <c r="R846" s="605" t="n">
        <v>3</v>
      </c>
      <c r="S846" s="605" t="n">
        <v>1</v>
      </c>
      <c r="T846" s="403" t="inlineStr">
        <is>
          <t xml:space="preserve">I1   </t>
        </is>
      </c>
      <c r="U846" s="403" t="n">
        <v>398</v>
      </c>
      <c r="V846" s="404" t="n">
        <v>43372</v>
      </c>
      <c r="W846" s="404" t="n">
        <v>43000</v>
      </c>
      <c r="X846" s="410" t="inlineStr">
        <is>
          <t>2.2:1</t>
        </is>
      </c>
      <c r="Y846" s="404">
        <f>ROUND(J846,-3)</f>
        <v/>
      </c>
      <c r="Z846" s="403" t="inlineStr">
        <is>
          <t xml:space="preserve">C </t>
        </is>
      </c>
      <c r="AA846" s="605" t="n">
        <v>3</v>
      </c>
      <c r="AB846" s="605" t="n">
        <v>3</v>
      </c>
      <c r="AC846" s="378" t="inlineStr">
        <is>
          <t>33</t>
        </is>
      </c>
      <c r="AD846" s="384" t="inlineStr">
        <is>
          <t xml:space="preserve">COLO WIRE &amp; CABLE   </t>
        </is>
      </c>
      <c r="AE846" s="145" t="n"/>
      <c r="AF846" s="145" t="n"/>
      <c r="AG846" s="145" t="n"/>
      <c r="AH846" s="145" t="n"/>
      <c r="AI846" s="145" t="n"/>
      <c r="AJ846" s="145" t="n"/>
      <c r="AK846" s="145" t="inlineStr">
        <is>
          <t xml:space="preserve">S-T WHSE.; AGE OF LEASE UNKNOWN.                                  </t>
        </is>
      </c>
      <c r="AL846" s="605">
        <f>IF(AND(ISNUMBER($S846),$S846&gt;0,ISNUMBER($K846),ISNUMBER($J846)),($K846*$J846)/$S846,"")</f>
        <v/>
      </c>
    </row>
    <row r="847" ht="12.75" customHeight="1" s="545">
      <c r="A847" s="388" t="n">
        <v>8</v>
      </c>
      <c r="B847" s="605" t="n">
        <v>839</v>
      </c>
      <c r="C847" s="384" t="inlineStr">
        <is>
          <t>2009Q</t>
        </is>
      </c>
      <c r="D847" s="605" t="inlineStr">
        <is>
          <t xml:space="preserve">05091-00-133-000 </t>
        </is>
      </c>
      <c r="E847" s="407" t="inlineStr">
        <is>
          <t>Actual</t>
        </is>
      </c>
      <c r="F847" s="605" t="inlineStr">
        <is>
          <t>275   RIO GRANDE           BV</t>
        </is>
      </c>
      <c r="G847" s="392" t="n">
        <v>44.1</v>
      </c>
      <c r="H847" s="378" t="n">
        <v>9505</v>
      </c>
      <c r="I847" s="403" t="n">
        <v>0</v>
      </c>
      <c r="J847" s="404" t="n">
        <v>51633</v>
      </c>
      <c r="K847" s="408" t="n">
        <v>4.06999399608777</v>
      </c>
      <c r="L847" s="409" t="n">
        <v>0</v>
      </c>
      <c r="M847" s="409" t="n">
        <v>0</v>
      </c>
      <c r="N847" s="378" t="n">
        <v>1957</v>
      </c>
      <c r="O847" s="393" t="n">
        <v>6565</v>
      </c>
      <c r="Q847" s="605" t="n">
        <v>14</v>
      </c>
      <c r="R847" s="605" t="n">
        <v>3</v>
      </c>
      <c r="S847" s="605" t="n">
        <v>1</v>
      </c>
      <c r="T847" s="403" t="inlineStr">
        <is>
          <t xml:space="preserve">I1   </t>
        </is>
      </c>
      <c r="U847" s="403" t="n">
        <v>398</v>
      </c>
      <c r="V847" s="404" t="n">
        <v>74400</v>
      </c>
      <c r="W847" s="404" t="n">
        <v>70000</v>
      </c>
      <c r="X847" s="410" t="inlineStr">
        <is>
          <t>1.4:1</t>
        </is>
      </c>
      <c r="Y847" s="404">
        <f>ROUND(J847,-4)</f>
        <v/>
      </c>
      <c r="Z847" s="403" t="inlineStr">
        <is>
          <t xml:space="preserve">A </t>
        </is>
      </c>
      <c r="AA847" s="605" t="n">
        <v>3</v>
      </c>
      <c r="AB847" s="605" t="n">
        <v>3</v>
      </c>
      <c r="AC847" s="378" t="inlineStr">
        <is>
          <t>33</t>
        </is>
      </c>
      <c r="AD847" s="384" t="inlineStr">
        <is>
          <t xml:space="preserve">DIST/WATER SYSTEMS  </t>
        </is>
      </c>
      <c r="AE847" s="145" t="n"/>
      <c r="AF847" s="145" t="n"/>
      <c r="AG847" s="145" t="n"/>
      <c r="AH847" s="145" t="n"/>
      <c r="AI847" s="145" t="n"/>
      <c r="AJ847" s="145" t="n"/>
      <c r="AK847" s="145" t="inlineStr">
        <is>
          <t xml:space="preserve">S-T WHSE.; 2005 LEASE.                                            </t>
        </is>
      </c>
      <c r="AL847" s="605">
        <f>IF(AND(ISNUMBER($S847),$S847&gt;0,ISNUMBER($K847),ISNUMBER($J847)),($K847*$J847)/$S847,"")</f>
        <v/>
      </c>
    </row>
    <row r="848" ht="12.75" customHeight="1" s="545">
      <c r="A848" s="388" t="n">
        <v>8</v>
      </c>
      <c r="B848" s="605" t="n">
        <v>840</v>
      </c>
      <c r="C848" s="384" t="inlineStr">
        <is>
          <t>2009Q</t>
        </is>
      </c>
      <c r="D848" s="605" t="inlineStr">
        <is>
          <t xml:space="preserve">05091-00-147-000 </t>
        </is>
      </c>
      <c r="E848" s="407" t="inlineStr">
        <is>
          <t>Actual</t>
        </is>
      </c>
      <c r="F848" s="605" t="inlineStr">
        <is>
          <t>480   OSAGE                ST</t>
        </is>
      </c>
      <c r="G848" s="392" t="n">
        <v>44.2</v>
      </c>
      <c r="H848" s="378" t="n">
        <v>9505</v>
      </c>
      <c r="I848" s="403" t="n">
        <v>0</v>
      </c>
      <c r="J848" s="404" t="n">
        <v>37478</v>
      </c>
      <c r="K848" s="408" t="n">
        <v>5.94460750306847</v>
      </c>
      <c r="L848" s="409" t="n">
        <v>0</v>
      </c>
      <c r="M848" s="409" t="n">
        <v>0</v>
      </c>
      <c r="N848" s="378" t="n">
        <v>1962</v>
      </c>
      <c r="Q848" s="605" t="n">
        <v>21</v>
      </c>
      <c r="R848" s="605" t="n">
        <v>3</v>
      </c>
      <c r="S848" s="605" t="n">
        <v>1</v>
      </c>
      <c r="T848" s="403" t="inlineStr">
        <is>
          <t xml:space="preserve">I2   </t>
        </is>
      </c>
      <c r="U848" s="403" t="n">
        <v>398</v>
      </c>
      <c r="V848" s="404" t="n">
        <v>117467</v>
      </c>
      <c r="W848" s="404" t="n">
        <v>120000</v>
      </c>
      <c r="X848" s="410" t="inlineStr">
        <is>
          <t>3.1:1</t>
        </is>
      </c>
      <c r="Y848" s="404">
        <f>ROUND(J848,-3)</f>
        <v/>
      </c>
      <c r="Z848" s="403" t="inlineStr">
        <is>
          <t xml:space="preserve">C </t>
        </is>
      </c>
      <c r="AA848" s="605" t="n">
        <v>2</v>
      </c>
      <c r="AB848" s="605" t="n">
        <v>3</v>
      </c>
      <c r="AC848" s="378" t="inlineStr">
        <is>
          <t>23</t>
        </is>
      </c>
      <c r="AD848" s="384" t="inlineStr">
        <is>
          <t xml:space="preserve">CAL EXPNDED METAL   </t>
        </is>
      </c>
      <c r="AE848" s="145" t="n"/>
      <c r="AF848" s="145" t="n"/>
      <c r="AG848" s="145" t="n"/>
      <c r="AH848" s="145" t="n"/>
      <c r="AI848" s="145" t="n"/>
      <c r="AJ848" s="145" t="n"/>
      <c r="AK848" s="145" t="inlineStr">
        <is>
          <t xml:space="preserve">S-T WHSE.                                                         </t>
        </is>
      </c>
      <c r="AL848" s="605">
        <f>IF(AND(ISNUMBER($S848),$S848&gt;0,ISNUMBER($K848),ISNUMBER($J848)),($K848*$J848)/$S848,"")</f>
        <v/>
      </c>
    </row>
    <row r="849" ht="12.75" customHeight="1" s="545">
      <c r="A849" s="388" t="n">
        <v>8</v>
      </c>
      <c r="B849" s="605" t="n">
        <v>841</v>
      </c>
      <c r="C849" s="384" t="inlineStr">
        <is>
          <t>2009Q</t>
        </is>
      </c>
      <c r="D849" s="605" t="inlineStr">
        <is>
          <t xml:space="preserve">05091-00-150-000 </t>
        </is>
      </c>
      <c r="E849" s="407" t="inlineStr">
        <is>
          <t>Actual</t>
        </is>
      </c>
      <c r="F849" s="605" t="inlineStr">
        <is>
          <t>1440 W 3RD                  AV</t>
        </is>
      </c>
      <c r="G849" s="392" t="n">
        <v>44.1</v>
      </c>
      <c r="H849" s="378" t="n">
        <v>9505</v>
      </c>
      <c r="I849" s="403" t="n">
        <v>0</v>
      </c>
      <c r="J849" s="404" t="n">
        <v>13440</v>
      </c>
      <c r="K849" s="408" t="n">
        <v>4.06994047619048</v>
      </c>
      <c r="L849" s="409" t="n">
        <v>0</v>
      </c>
      <c r="M849" s="409" t="n">
        <v>0</v>
      </c>
      <c r="N849" s="378" t="n">
        <v>1952</v>
      </c>
      <c r="O849" s="393" t="n">
        <v>2360</v>
      </c>
      <c r="Q849" s="605" t="n">
        <v>17</v>
      </c>
      <c r="R849" s="605" t="n">
        <v>1</v>
      </c>
      <c r="S849" s="605" t="n">
        <v>1</v>
      </c>
      <c r="T849" s="403" t="inlineStr">
        <is>
          <t xml:space="preserve">I1   </t>
        </is>
      </c>
      <c r="U849" s="403" t="n">
        <v>398</v>
      </c>
      <c r="V849" s="404" t="n">
        <v>34439</v>
      </c>
      <c r="W849" s="404" t="n">
        <v>34000</v>
      </c>
      <c r="X849" s="410" t="inlineStr">
        <is>
          <t>2.6:1</t>
        </is>
      </c>
      <c r="Y849" s="404">
        <f>ROUND(J849,-3)</f>
        <v/>
      </c>
      <c r="Z849" s="403" t="inlineStr">
        <is>
          <t xml:space="preserve">C </t>
        </is>
      </c>
      <c r="AA849" s="605" t="n">
        <v>3</v>
      </c>
      <c r="AB849" s="605" t="n">
        <v>3</v>
      </c>
      <c r="AC849" s="378" t="inlineStr">
        <is>
          <t>33</t>
        </is>
      </c>
      <c r="AD849" s="384" t="inlineStr">
        <is>
          <t xml:space="preserve">S-W WATER SYSTEMS   </t>
        </is>
      </c>
      <c r="AE849" s="145" t="n"/>
      <c r="AF849" s="145" t="n"/>
      <c r="AG849" s="145" t="n"/>
      <c r="AH849" s="145" t="n"/>
      <c r="AI849" s="145" t="n"/>
      <c r="AJ849" s="145" t="n"/>
      <c r="AK849" s="145" t="inlineStr">
        <is>
          <t xml:space="preserve">S-T WHSE.; 2005 LEASE.                                            </t>
        </is>
      </c>
      <c r="AL849" s="605">
        <f>IF(AND(ISNUMBER($S849),$S849&gt;0,ISNUMBER($K849),ISNUMBER($J849)),($K849*$J849)/$S849,"")</f>
        <v/>
      </c>
    </row>
    <row r="850" ht="12.75" customHeight="1" s="545">
      <c r="A850" s="388" t="n">
        <v>8</v>
      </c>
      <c r="B850" s="605" t="n">
        <v>842</v>
      </c>
      <c r="C850" s="384" t="inlineStr">
        <is>
          <t>2009Q</t>
        </is>
      </c>
      <c r="D850" s="605" t="inlineStr">
        <is>
          <t xml:space="preserve">05091-02-008-000 </t>
        </is>
      </c>
      <c r="E850" s="407" t="inlineStr">
        <is>
          <t>Actual</t>
        </is>
      </c>
      <c r="F850" s="605" t="inlineStr">
        <is>
          <t>530   SANTA FE             DR</t>
        </is>
      </c>
      <c r="G850" s="392" t="n">
        <v>43.1</v>
      </c>
      <c r="H850" s="378" t="n">
        <v>9505</v>
      </c>
      <c r="I850" s="403" t="n">
        <v>3</v>
      </c>
      <c r="J850" s="404" t="n">
        <v>2380</v>
      </c>
      <c r="K850" s="408" t="n">
        <v>6.05042016806723</v>
      </c>
      <c r="L850" s="409" t="n">
        <v>0.5</v>
      </c>
      <c r="M850" s="409" t="n">
        <v>0</v>
      </c>
      <c r="N850" s="378" t="n">
        <v>1942</v>
      </c>
      <c r="Q850" s="605" t="n">
        <v>10</v>
      </c>
      <c r="R850" s="605" t="n">
        <v>3</v>
      </c>
      <c r="S850" s="605" t="n">
        <v>1</v>
      </c>
      <c r="T850" s="403" t="inlineStr">
        <is>
          <t xml:space="preserve">B4   </t>
        </is>
      </c>
      <c r="U850" s="403" t="n">
        <v>401</v>
      </c>
      <c r="V850" s="404" t="n">
        <v>2624</v>
      </c>
      <c r="W850" s="404" t="n">
        <v>3000</v>
      </c>
      <c r="X850" s="410" t="inlineStr">
        <is>
          <t>1.1:1</t>
        </is>
      </c>
      <c r="Y850" s="404">
        <f>ROUND(J850,-3)</f>
        <v/>
      </c>
      <c r="Z850" s="403" t="inlineStr">
        <is>
          <t xml:space="preserve">C </t>
        </is>
      </c>
      <c r="AA850" s="605" t="n">
        <v>3</v>
      </c>
      <c r="AB850" s="605" t="n">
        <v>3</v>
      </c>
      <c r="AC850" s="378" t="inlineStr">
        <is>
          <t>33</t>
        </is>
      </c>
      <c r="AD850" s="384" t="inlineStr">
        <is>
          <t>S-F TOM MEYER SHEETM</t>
        </is>
      </c>
      <c r="AE850" s="145" t="n"/>
      <c r="AF850" s="145" t="n"/>
      <c r="AG850" s="145" t="n"/>
      <c r="AH850" s="145" t="n"/>
      <c r="AI850" s="145" t="n"/>
      <c r="AJ850" s="145" t="n"/>
      <c r="AK850" s="145" t="inlineStr">
        <is>
          <t xml:space="preserve">S-T WHSE.                                                         </t>
        </is>
      </c>
      <c r="AL850" s="605">
        <f>IF(AND(ISNUMBER($S850),$S850&gt;0,ISNUMBER($K850),ISNUMBER($J850)),($K850*$J850)/$S850,"")</f>
        <v/>
      </c>
    </row>
    <row r="851" ht="12.75" customHeight="1" s="545">
      <c r="A851" s="388" t="n">
        <v>8</v>
      </c>
      <c r="B851" s="605" t="n">
        <v>843</v>
      </c>
      <c r="C851" s="384" t="inlineStr">
        <is>
          <t>2009Q</t>
        </is>
      </c>
      <c r="D851" s="605" t="inlineStr">
        <is>
          <t xml:space="preserve">05091-03-046-000 </t>
        </is>
      </c>
      <c r="E851" s="407" t="inlineStr">
        <is>
          <t>Actual</t>
        </is>
      </c>
      <c r="F851" s="605" t="inlineStr">
        <is>
          <t>525   SANTA FE             DR</t>
        </is>
      </c>
      <c r="G851" s="392" t="n">
        <v>44.1</v>
      </c>
      <c r="H851" s="378" t="n">
        <v>9505</v>
      </c>
      <c r="I851" s="403" t="n">
        <v>3</v>
      </c>
      <c r="J851" s="404" t="n">
        <v>21594</v>
      </c>
      <c r="K851" s="408" t="n">
        <v>7.21969065481152</v>
      </c>
      <c r="L851" s="409" t="n">
        <v>0</v>
      </c>
      <c r="M851" s="409" t="n">
        <v>0</v>
      </c>
      <c r="N851" s="378" t="n">
        <v>1975</v>
      </c>
      <c r="O851" s="393" t="n">
        <v>5148</v>
      </c>
      <c r="P851" s="393" t="n">
        <v>8100</v>
      </c>
      <c r="Q851" s="605" t="n">
        <v>17</v>
      </c>
      <c r="R851" s="605" t="n">
        <v>3</v>
      </c>
      <c r="S851" s="605" t="n">
        <v>3</v>
      </c>
      <c r="T851" s="403" t="inlineStr">
        <is>
          <t xml:space="preserve">B4   </t>
        </is>
      </c>
      <c r="U851" s="403" t="n">
        <v>398</v>
      </c>
      <c r="V851" s="404" t="n">
        <v>26775</v>
      </c>
      <c r="W851" s="404" t="n">
        <v>27000</v>
      </c>
      <c r="X851" s="410" t="inlineStr">
        <is>
          <t>1.2:1</t>
        </is>
      </c>
      <c r="Y851" s="404">
        <f>ROUND(J851,-3)</f>
        <v/>
      </c>
      <c r="Z851" s="403" t="inlineStr">
        <is>
          <t xml:space="preserve">C </t>
        </is>
      </c>
      <c r="AA851" s="605" t="n">
        <v>3</v>
      </c>
      <c r="AB851" s="605" t="n">
        <v>3</v>
      </c>
      <c r="AC851" s="378" t="inlineStr">
        <is>
          <t>33</t>
        </is>
      </c>
      <c r="AD851" s="384" t="inlineStr">
        <is>
          <t>MULTI/DISTRIB/OFFICE</t>
        </is>
      </c>
      <c r="AE851" s="145" t="n"/>
      <c r="AF851" s="145" t="n"/>
      <c r="AG851" s="145" t="n"/>
      <c r="AH851" s="145" t="n"/>
      <c r="AI851" s="145" t="n"/>
      <c r="AJ851" s="145" t="n"/>
      <c r="AK851" s="145" t="inlineStr">
        <is>
          <t xml:space="preserve">TRIPLE NET-2 STORY 8,100 SF OF OFFICE ON 2ND-TWO TENANTS          </t>
        </is>
      </c>
      <c r="AL851" s="605">
        <f>IF(AND(ISNUMBER($S851),$S851&gt;0,ISNUMBER($K851),ISNUMBER($J851)),($K851*$J851)/$S851,"")</f>
        <v/>
      </c>
    </row>
    <row r="852" ht="12.75" customHeight="1" s="545">
      <c r="A852" s="388" t="n">
        <v>8</v>
      </c>
      <c r="B852" s="605" t="n">
        <v>844</v>
      </c>
      <c r="C852" s="384" t="inlineStr">
        <is>
          <t>2009Q</t>
        </is>
      </c>
      <c r="D852" s="605" t="inlineStr">
        <is>
          <t xml:space="preserve">05091-03-047-000 </t>
        </is>
      </c>
      <c r="E852" s="407" t="inlineStr">
        <is>
          <t>Actual</t>
        </is>
      </c>
      <c r="F852" s="605" t="inlineStr">
        <is>
          <t>925 W 5TH                  AV</t>
        </is>
      </c>
      <c r="G852" s="392" t="n">
        <v>44.1</v>
      </c>
      <c r="H852" s="378" t="n">
        <v>9505</v>
      </c>
      <c r="I852" s="403" t="n">
        <v>3</v>
      </c>
      <c r="J852" s="404" t="n">
        <v>1995</v>
      </c>
      <c r="K852" s="408" t="n">
        <v>3.00751879699248</v>
      </c>
      <c r="L852" s="409" t="n">
        <v>0</v>
      </c>
      <c r="M852" s="409" t="n">
        <v>0</v>
      </c>
      <c r="N852" s="378" t="n">
        <v>1929</v>
      </c>
      <c r="Q852" s="605" t="n">
        <v>14</v>
      </c>
      <c r="R852" s="605" t="n">
        <v>1</v>
      </c>
      <c r="S852" s="605" t="n">
        <v>1</v>
      </c>
      <c r="T852" s="403" t="inlineStr">
        <is>
          <t xml:space="preserve">B4   </t>
        </is>
      </c>
      <c r="U852" s="403" t="n">
        <v>398</v>
      </c>
      <c r="V852" s="404" t="n">
        <v>17850</v>
      </c>
      <c r="W852" s="404" t="n">
        <v>18000</v>
      </c>
      <c r="X852" s="410" t="inlineStr">
        <is>
          <t>8.9:1</t>
        </is>
      </c>
      <c r="Y852" s="404">
        <f>ROUND(J852,-2)</f>
        <v/>
      </c>
      <c r="Z852" s="403" t="inlineStr">
        <is>
          <t xml:space="preserve">C </t>
        </is>
      </c>
      <c r="AA852" s="605" t="n">
        <v>3</v>
      </c>
      <c r="AB852" s="605" t="n">
        <v>3</v>
      </c>
      <c r="AC852" s="378" t="inlineStr">
        <is>
          <t>33</t>
        </is>
      </c>
      <c r="AD852" s="384" t="inlineStr">
        <is>
          <t xml:space="preserve">WAREHOUSE           </t>
        </is>
      </c>
      <c r="AE852" s="145" t="n"/>
      <c r="AF852" s="145" t="n"/>
      <c r="AG852" s="145" t="n"/>
      <c r="AH852" s="145" t="n"/>
      <c r="AI852" s="145" t="n"/>
      <c r="AJ852" s="145" t="n"/>
      <c r="AK852" s="145" t="n"/>
      <c r="AL852" s="605">
        <f>IF(AND(ISNUMBER($S852),$S852&gt;0,ISNUMBER($K852),ISNUMBER($J852)),($K852*$J852)/$S852,"")</f>
        <v/>
      </c>
    </row>
    <row r="853" ht="12.75" customHeight="1" s="545">
      <c r="A853" s="388" t="n">
        <v>8</v>
      </c>
      <c r="B853" s="605" t="n">
        <v>845</v>
      </c>
      <c r="C853" s="384" t="inlineStr">
        <is>
          <t>2009Q</t>
        </is>
      </c>
      <c r="D853" s="605" t="inlineStr">
        <is>
          <t xml:space="preserve">05091-03-048-000 </t>
        </is>
      </c>
      <c r="E853" s="407" t="inlineStr">
        <is>
          <t>Actual</t>
        </is>
      </c>
      <c r="F853" s="605" t="inlineStr">
        <is>
          <t>525   SANTA FE             DR</t>
        </is>
      </c>
      <c r="G853" s="392" t="n">
        <v>44.1</v>
      </c>
      <c r="H853" s="378" t="n">
        <v>9505</v>
      </c>
      <c r="I853" s="403" t="n">
        <v>3</v>
      </c>
      <c r="J853" s="404" t="n">
        <v>7555</v>
      </c>
      <c r="K853" s="408" t="n">
        <v>11.5679682329583</v>
      </c>
      <c r="L853" s="409" t="n">
        <v>0</v>
      </c>
      <c r="M853" s="409" t="n">
        <v>0</v>
      </c>
      <c r="N853" s="378" t="n">
        <v>1975</v>
      </c>
      <c r="O853" s="393" t="n">
        <v>287</v>
      </c>
      <c r="Q853" s="605" t="n">
        <v>17</v>
      </c>
      <c r="R853" s="605" t="n">
        <v>3</v>
      </c>
      <c r="S853" s="605" t="n">
        <v>1</v>
      </c>
      <c r="T853" s="403" t="inlineStr">
        <is>
          <t xml:space="preserve">B4   </t>
        </is>
      </c>
      <c r="U853" s="403" t="n">
        <v>398</v>
      </c>
      <c r="V853" s="404" t="n">
        <v>8925</v>
      </c>
      <c r="W853" s="404" t="n">
        <v>9000</v>
      </c>
      <c r="X853" s="410" t="inlineStr">
        <is>
          <t>1.2:1</t>
        </is>
      </c>
      <c r="Y853" s="404">
        <f>ROUND(J853,-3)</f>
        <v/>
      </c>
      <c r="Z853" s="403" t="inlineStr">
        <is>
          <t xml:space="preserve">C </t>
        </is>
      </c>
      <c r="AA853" s="605" t="n">
        <v>3</v>
      </c>
      <c r="AB853" s="605" t="n">
        <v>3</v>
      </c>
      <c r="AC853" s="378" t="inlineStr">
        <is>
          <t>33</t>
        </is>
      </c>
      <c r="AD853" s="384" t="inlineStr">
        <is>
          <t xml:space="preserve">WAREHOUSE           </t>
        </is>
      </c>
      <c r="AE853" s="145" t="n"/>
      <c r="AF853" s="145" t="n"/>
      <c r="AG853" s="145" t="n"/>
      <c r="AH853" s="145" t="n"/>
      <c r="AI853" s="145" t="n"/>
      <c r="AJ853" s="145" t="n"/>
      <c r="AK853" s="145" t="n"/>
      <c r="AL853" s="605">
        <f>IF(AND(ISNUMBER($S853),$S853&gt;0,ISNUMBER($K853),ISNUMBER($J853)),($K853*$J853)/$S853,"")</f>
        <v/>
      </c>
    </row>
    <row r="854" ht="12.75" customHeight="1" s="545">
      <c r="A854" s="388" t="n">
        <v>8</v>
      </c>
      <c r="B854" s="605" t="n">
        <v>846</v>
      </c>
      <c r="C854" s="384" t="inlineStr">
        <is>
          <t>2009Q</t>
        </is>
      </c>
      <c r="D854" s="605" t="inlineStr">
        <is>
          <t xml:space="preserve">05091-04-018-000 </t>
        </is>
      </c>
      <c r="E854" s="407" t="inlineStr">
        <is>
          <t>Actual</t>
        </is>
      </c>
      <c r="F854" s="605" t="inlineStr">
        <is>
          <t>527   KALAMATH             ST</t>
        </is>
      </c>
      <c r="G854" s="392" t="n">
        <v>44.1</v>
      </c>
      <c r="H854" s="378" t="n">
        <v>9505</v>
      </c>
      <c r="I854" s="403" t="n">
        <v>0</v>
      </c>
      <c r="J854" s="404" t="n">
        <v>2500</v>
      </c>
      <c r="K854" s="408" t="n">
        <v>4.8</v>
      </c>
      <c r="L854" s="409" t="n">
        <v>0</v>
      </c>
      <c r="M854" s="409" t="n">
        <v>0.10025</v>
      </c>
      <c r="N854" s="378" t="n">
        <v>1973</v>
      </c>
      <c r="O854" s="393" t="n">
        <v>336</v>
      </c>
      <c r="Q854" s="605" t="n">
        <v>13</v>
      </c>
      <c r="R854" s="605" t="n">
        <v>3</v>
      </c>
      <c r="S854" s="605" t="n">
        <v>1</v>
      </c>
      <c r="T854" s="403" t="inlineStr">
        <is>
          <t xml:space="preserve">I1   </t>
        </is>
      </c>
      <c r="U854" s="403" t="n">
        <v>398</v>
      </c>
      <c r="V854" s="404" t="n">
        <v>3900</v>
      </c>
      <c r="W854" s="404" t="n">
        <v>4000</v>
      </c>
      <c r="X854" s="410" t="inlineStr">
        <is>
          <t>1.6:1</t>
        </is>
      </c>
      <c r="Y854" s="404">
        <f>ROUND(J854,-3)</f>
        <v/>
      </c>
      <c r="Z854" s="403" t="inlineStr">
        <is>
          <t xml:space="preserve">C </t>
        </is>
      </c>
      <c r="AA854" s="605" t="n">
        <v>3</v>
      </c>
      <c r="AB854" s="605" t="n">
        <v>3</v>
      </c>
      <c r="AC854" s="378" t="inlineStr">
        <is>
          <t>33</t>
        </is>
      </c>
      <c r="AD854" s="384" t="inlineStr">
        <is>
          <t>S-W COLO MOLD SUPPLY</t>
        </is>
      </c>
      <c r="AE854" s="145" t="n"/>
      <c r="AF854" s="145" t="n"/>
      <c r="AG854" s="145" t="n"/>
      <c r="AH854" s="145" t="n"/>
      <c r="AI854" s="145" t="n"/>
      <c r="AJ854" s="145" t="n"/>
      <c r="AK854" s="145" t="n"/>
      <c r="AL854" s="605">
        <f>IF(AND(ISNUMBER($S854),$S854&gt;0,ISNUMBER($K854),ISNUMBER($J854)),($K854*$J854)/$S854,"")</f>
        <v/>
      </c>
    </row>
    <row r="855" ht="12.75" customHeight="1" s="545">
      <c r="A855" s="388" t="n">
        <v>8</v>
      </c>
      <c r="B855" s="605" t="n">
        <v>847</v>
      </c>
      <c r="C855" s="384" t="inlineStr">
        <is>
          <t>2009Q</t>
        </is>
      </c>
      <c r="D855" s="605" t="inlineStr">
        <is>
          <t xml:space="preserve">05091-04-037-000 </t>
        </is>
      </c>
      <c r="E855" s="407" t="inlineStr">
        <is>
          <t>Actual</t>
        </is>
      </c>
      <c r="F855" s="605" t="inlineStr">
        <is>
          <t>550   LIPAN                ST</t>
        </is>
      </c>
      <c r="G855" s="392" t="n">
        <v>44.1</v>
      </c>
      <c r="H855" s="378" t="n">
        <v>9505</v>
      </c>
      <c r="I855" s="403" t="n">
        <v>0</v>
      </c>
      <c r="J855" s="404" t="n">
        <v>16340</v>
      </c>
      <c r="K855" s="408" t="n">
        <v>6.53610771113831</v>
      </c>
      <c r="L855" s="409" t="n">
        <v>0</v>
      </c>
      <c r="M855" s="409" t="n">
        <v>0</v>
      </c>
      <c r="N855" s="378" t="n">
        <v>1958</v>
      </c>
      <c r="O855" s="393">
        <f>980+1118+658</f>
        <v/>
      </c>
      <c r="P855" s="393">
        <f>1466*2</f>
        <v/>
      </c>
      <c r="Q855" s="605" t="n">
        <v>16</v>
      </c>
      <c r="R855" s="605" t="n">
        <v>7</v>
      </c>
      <c r="S855" s="605" t="n">
        <v>1</v>
      </c>
      <c r="T855" s="403" t="inlineStr">
        <is>
          <t xml:space="preserve">I1   </t>
        </is>
      </c>
      <c r="U855" s="403" t="n">
        <v>398</v>
      </c>
      <c r="V855" s="404" t="n">
        <v>35625</v>
      </c>
      <c r="W855" s="404" t="n">
        <v>36000</v>
      </c>
      <c r="X855" s="410" t="inlineStr">
        <is>
          <t>2.2:1</t>
        </is>
      </c>
      <c r="Y855" s="404">
        <f>ROUND(J855,-3)</f>
        <v/>
      </c>
      <c r="Z855" s="403" t="inlineStr">
        <is>
          <t xml:space="preserve">C </t>
        </is>
      </c>
      <c r="AA855" s="605" t="n">
        <v>3</v>
      </c>
      <c r="AB855" s="605" t="n">
        <v>1</v>
      </c>
      <c r="AC855" s="378" t="inlineStr">
        <is>
          <t>31</t>
        </is>
      </c>
      <c r="AD855" s="384" t="inlineStr">
        <is>
          <t xml:space="preserve">HOWELL CONSTRUCTION </t>
        </is>
      </c>
      <c r="AE855" s="145" t="n"/>
      <c r="AF855" s="145" t="n"/>
      <c r="AG855" s="145" t="n"/>
      <c r="AH855" s="145" t="n"/>
      <c r="AI855" s="145" t="n"/>
      <c r="AJ855" s="145" t="n"/>
      <c r="AK855" s="145" t="n"/>
      <c r="AL855" s="605">
        <f>IF(AND(ISNUMBER($S855),$S855&gt;0,ISNUMBER($K855),ISNUMBER($J855)),($K855*$J855)/$S855,"")</f>
        <v/>
      </c>
    </row>
    <row r="856" ht="12.75" customHeight="1" s="545">
      <c r="A856" s="388" t="n">
        <v>8</v>
      </c>
      <c r="B856" s="605" t="n">
        <v>848</v>
      </c>
      <c r="C856" s="384" t="inlineStr">
        <is>
          <t>2009Q</t>
        </is>
      </c>
      <c r="D856" s="605" t="inlineStr">
        <is>
          <t xml:space="preserve">05091-07-022-000 </t>
        </is>
      </c>
      <c r="E856" s="407" t="inlineStr">
        <is>
          <t>Actual</t>
        </is>
      </c>
      <c r="F856" s="605" t="inlineStr">
        <is>
          <t>425   SANTA FE             DR</t>
        </is>
      </c>
      <c r="G856" s="392" t="n">
        <v>44.2</v>
      </c>
      <c r="H856" s="378" t="n">
        <v>9505</v>
      </c>
      <c r="I856" s="403" t="n">
        <v>3</v>
      </c>
      <c r="J856" s="404" t="n">
        <v>8925</v>
      </c>
      <c r="K856" s="408" t="n">
        <v>5.3781512605042</v>
      </c>
      <c r="L856" s="409" t="n">
        <v>0</v>
      </c>
      <c r="M856" s="409" t="n">
        <v>0</v>
      </c>
      <c r="N856" s="378" t="n">
        <v>1959</v>
      </c>
      <c r="O856" s="393" t="n">
        <v>2775</v>
      </c>
      <c r="Q856" s="605" t="n">
        <v>11</v>
      </c>
      <c r="R856" s="605" t="n">
        <v>1</v>
      </c>
      <c r="S856" s="605" t="n">
        <v>1</v>
      </c>
      <c r="T856" s="403" t="inlineStr">
        <is>
          <t xml:space="preserve">B4   </t>
        </is>
      </c>
      <c r="U856" s="403" t="n">
        <v>398</v>
      </c>
      <c r="V856" s="404" t="n">
        <v>8925</v>
      </c>
      <c r="W856" s="404" t="n">
        <v>9000</v>
      </c>
      <c r="X856" s="410" t="inlineStr">
        <is>
          <t>1.0:1</t>
        </is>
      </c>
      <c r="Y856" s="404">
        <f>ROUND(J856,-3)</f>
        <v/>
      </c>
      <c r="Z856" s="403" t="inlineStr">
        <is>
          <t xml:space="preserve">C </t>
        </is>
      </c>
      <c r="AA856" s="605" t="n">
        <v>3</v>
      </c>
      <c r="AB856" s="605" t="n">
        <v>3</v>
      </c>
      <c r="AC856" s="378" t="inlineStr">
        <is>
          <t>33</t>
        </is>
      </c>
      <c r="AD856" s="384" t="inlineStr">
        <is>
          <t xml:space="preserve">S-W                 </t>
        </is>
      </c>
      <c r="AE856" s="145" t="n"/>
      <c r="AF856" s="145" t="n"/>
      <c r="AG856" s="145" t="n"/>
      <c r="AH856" s="145" t="n"/>
      <c r="AI856" s="145" t="n"/>
      <c r="AJ856" s="145" t="n"/>
      <c r="AK856" s="145" t="n"/>
      <c r="AL856" s="605">
        <f>IF(AND(ISNUMBER($S856),$S856&gt;0,ISNUMBER($K856),ISNUMBER($J856)),($K856*$J856)/$S856,"")</f>
        <v/>
      </c>
    </row>
    <row r="857" ht="12.75" customHeight="1" s="545">
      <c r="A857" s="388" t="n">
        <v>8</v>
      </c>
      <c r="B857" s="605" t="n">
        <v>849</v>
      </c>
      <c r="C857" s="384" t="inlineStr">
        <is>
          <t>2009Q</t>
        </is>
      </c>
      <c r="D857" s="605" t="inlineStr">
        <is>
          <t xml:space="preserve">05091-08-001-000 </t>
        </is>
      </c>
      <c r="E857" s="407" t="inlineStr">
        <is>
          <t>Actual</t>
        </is>
      </c>
      <c r="F857" s="605" t="inlineStr">
        <is>
          <t>490   SANTA FE             DR</t>
        </is>
      </c>
      <c r="G857" s="392" t="n">
        <v>42.1</v>
      </c>
      <c r="H857" s="378" t="n">
        <v>9505</v>
      </c>
      <c r="I857" s="403" t="n">
        <v>3</v>
      </c>
      <c r="J857" s="404" t="n">
        <v>4020</v>
      </c>
      <c r="K857" s="408" t="n">
        <v>5.97014925373134</v>
      </c>
      <c r="L857" s="409" t="n">
        <v>0</v>
      </c>
      <c r="M857" s="409" t="n">
        <v>0.0416666666666667</v>
      </c>
      <c r="N857" s="378" t="n">
        <v>1975</v>
      </c>
      <c r="O857" s="393" t="n">
        <v>705</v>
      </c>
      <c r="Q857" s="605" t="n">
        <v>17</v>
      </c>
      <c r="R857" s="605" t="n">
        <v>1</v>
      </c>
      <c r="S857" s="605" t="n">
        <v>1</v>
      </c>
      <c r="T857" s="403" t="inlineStr">
        <is>
          <t xml:space="preserve">B4   </t>
        </is>
      </c>
      <c r="U857" s="403" t="n">
        <v>401</v>
      </c>
      <c r="V857" s="404" t="n">
        <v>5247</v>
      </c>
      <c r="W857" s="404" t="n">
        <v>5000</v>
      </c>
      <c r="X857" s="410" t="inlineStr">
        <is>
          <t>1.3:1</t>
        </is>
      </c>
      <c r="Y857" s="404">
        <f>ROUND(J857,-3)</f>
        <v/>
      </c>
      <c r="Z857" s="403" t="inlineStr">
        <is>
          <t xml:space="preserve">C </t>
        </is>
      </c>
      <c r="AA857" s="605" t="n">
        <v>3</v>
      </c>
      <c r="AB857" s="605" t="n">
        <v>3</v>
      </c>
      <c r="AC857" s="378" t="inlineStr">
        <is>
          <t>33</t>
        </is>
      </c>
      <c r="AD857" s="384" t="inlineStr">
        <is>
          <t xml:space="preserve">S-W                 </t>
        </is>
      </c>
      <c r="AE857" s="145" t="n"/>
      <c r="AF857" s="145" t="n"/>
      <c r="AG857" s="145" t="n"/>
      <c r="AH857" s="145" t="n"/>
      <c r="AI857" s="145" t="n"/>
      <c r="AJ857" s="145" t="n"/>
      <c r="AK857" s="145" t="n"/>
      <c r="AL857" s="605">
        <f>IF(AND(ISNUMBER($S857),$S857&gt;0,ISNUMBER($K857),ISNUMBER($J857)),($K857*$J857)/$S857,"")</f>
        <v/>
      </c>
    </row>
    <row r="858" ht="12.75" customHeight="1" s="545">
      <c r="A858" s="388" t="n">
        <v>8</v>
      </c>
      <c r="B858" s="605" t="n">
        <v>850</v>
      </c>
      <c r="C858" s="384" t="inlineStr">
        <is>
          <t>2009Q</t>
        </is>
      </c>
      <c r="D858" s="605" t="inlineStr">
        <is>
          <t xml:space="preserve">05091-11-011-000 </t>
        </is>
      </c>
      <c r="E858" s="407" t="inlineStr">
        <is>
          <t>Actual</t>
        </is>
      </c>
      <c r="F858" s="605" t="inlineStr">
        <is>
          <t>320   SANTA FE             DR</t>
        </is>
      </c>
      <c r="G858" s="392" t="n">
        <v>44.2</v>
      </c>
      <c r="H858" s="378" t="n">
        <v>9505</v>
      </c>
      <c r="I858" s="403" t="n">
        <v>3</v>
      </c>
      <c r="J858" s="404" t="n">
        <v>1615</v>
      </c>
      <c r="K858" s="408" t="n">
        <v>6.31578947368421</v>
      </c>
      <c r="L858" s="409" t="n">
        <v>0</v>
      </c>
      <c r="M858" s="409" t="n">
        <v>0.0509803921568627</v>
      </c>
      <c r="N858" s="378" t="n">
        <v>1983</v>
      </c>
      <c r="O858" s="393" t="n">
        <v>324</v>
      </c>
      <c r="Q858" s="605" t="n">
        <v>14</v>
      </c>
      <c r="R858" s="605" t="n">
        <v>1</v>
      </c>
      <c r="S858" s="605" t="n">
        <v>1</v>
      </c>
      <c r="T858" s="403" t="inlineStr">
        <is>
          <t xml:space="preserve">B4   </t>
        </is>
      </c>
      <c r="U858" s="403" t="n">
        <v>398</v>
      </c>
      <c r="V858" s="404" t="n">
        <v>2698</v>
      </c>
      <c r="W858" s="404" t="n">
        <v>3000</v>
      </c>
      <c r="X858" s="410" t="inlineStr">
        <is>
          <t>1.7:1</t>
        </is>
      </c>
      <c r="Y858" s="404">
        <f>ROUND(J858,-2)</f>
        <v/>
      </c>
      <c r="Z858" s="403" t="inlineStr">
        <is>
          <t xml:space="preserve">C </t>
        </is>
      </c>
      <c r="AA858" s="605" t="n">
        <v>3</v>
      </c>
      <c r="AB858" s="605" t="n">
        <v>3</v>
      </c>
      <c r="AC858" s="378" t="inlineStr">
        <is>
          <t>33</t>
        </is>
      </c>
      <c r="AD858" s="384" t="inlineStr">
        <is>
          <t>S-W MNT PRKING EQUIP</t>
        </is>
      </c>
      <c r="AE858" s="145" t="n"/>
      <c r="AF858" s="145" t="n"/>
      <c r="AG858" s="145" t="n"/>
      <c r="AH858" s="145" t="n"/>
      <c r="AI858" s="145" t="n"/>
      <c r="AJ858" s="145" t="n"/>
      <c r="AK858" s="145" t="n"/>
      <c r="AL858" s="605">
        <f>IF(AND(ISNUMBER($S858),$S858&gt;0,ISNUMBER($K858),ISNUMBER($J858)),($K858*$J858)/$S858,"")</f>
        <v/>
      </c>
    </row>
    <row r="859" ht="12.75" customHeight="1" s="545">
      <c r="A859" s="388" t="n">
        <v>8</v>
      </c>
      <c r="B859" s="605" t="n">
        <v>851</v>
      </c>
      <c r="C859" s="384" t="inlineStr">
        <is>
          <t>2009Q</t>
        </is>
      </c>
      <c r="D859" s="605" t="inlineStr">
        <is>
          <t xml:space="preserve">05091-12-026-000 </t>
        </is>
      </c>
      <c r="E859" s="407" t="inlineStr">
        <is>
          <t>Actual</t>
        </is>
      </c>
      <c r="F859" s="605" t="inlineStr">
        <is>
          <t>357   SANTA FE             DR</t>
        </is>
      </c>
      <c r="G859" s="392" t="n">
        <v>47.2</v>
      </c>
      <c r="H859" s="378" t="n">
        <v>9505</v>
      </c>
      <c r="I859" s="403" t="n">
        <v>3</v>
      </c>
      <c r="J859" s="404" t="n">
        <v>8271</v>
      </c>
      <c r="K859" s="408" t="n">
        <v>4.3525571273123</v>
      </c>
      <c r="L859" s="409" t="n">
        <v>0</v>
      </c>
      <c r="M859" s="409" t="n">
        <v>0.05</v>
      </c>
      <c r="N859" s="378" t="n">
        <v>1957</v>
      </c>
      <c r="O859" s="393" t="n">
        <v>945</v>
      </c>
      <c r="Q859" s="605" t="n">
        <v>11</v>
      </c>
      <c r="R859" s="605" t="n">
        <v>3</v>
      </c>
      <c r="S859" s="605" t="n">
        <v>1</v>
      </c>
      <c r="T859" s="403" t="inlineStr">
        <is>
          <t xml:space="preserve">B4   </t>
        </is>
      </c>
      <c r="U859" s="403" t="n">
        <v>401</v>
      </c>
      <c r="V859" s="404" t="n">
        <v>11591</v>
      </c>
      <c r="W859" s="404" t="n">
        <v>12000</v>
      </c>
      <c r="X859" s="410" t="inlineStr">
        <is>
          <t>1.4:1</t>
        </is>
      </c>
      <c r="Y859" s="404">
        <f>ROUND(J859,-3)</f>
        <v/>
      </c>
      <c r="Z859" s="403" t="inlineStr">
        <is>
          <t xml:space="preserve">C </t>
        </is>
      </c>
      <c r="AA859" s="605" t="n">
        <v>3</v>
      </c>
      <c r="AB859" s="605" t="n">
        <v>2</v>
      </c>
      <c r="AC859" s="378" t="inlineStr">
        <is>
          <t>32</t>
        </is>
      </c>
      <c r="AD859" s="384" t="n"/>
      <c r="AE859" s="145" t="n"/>
      <c r="AF859" s="145" t="n"/>
      <c r="AG859" s="145" t="n"/>
      <c r="AH859" s="145" t="n"/>
      <c r="AI859" s="145" t="n"/>
      <c r="AJ859" s="145" t="n"/>
      <c r="AK859" s="145" t="inlineStr">
        <is>
          <t xml:space="preserve">OWNER PAYS TAXES                                                  </t>
        </is>
      </c>
      <c r="AL859" s="605">
        <f>IF(AND(ISNUMBER($S859),$S859&gt;0,ISNUMBER($K859),ISNUMBER($J859)),($K859*$J859)/$S859,"")</f>
        <v/>
      </c>
    </row>
    <row r="860" ht="12.75" customHeight="1" s="545">
      <c r="A860" s="388" t="n">
        <v>8</v>
      </c>
      <c r="B860" s="605" t="n">
        <v>852</v>
      </c>
      <c r="C860" s="384" t="inlineStr">
        <is>
          <t>2009Q</t>
        </is>
      </c>
      <c r="D860" s="605" t="inlineStr">
        <is>
          <t xml:space="preserve">05091-20-016-000 </t>
        </is>
      </c>
      <c r="E860" s="407" t="inlineStr">
        <is>
          <t>Actual</t>
        </is>
      </c>
      <c r="F860" s="605" t="inlineStr">
        <is>
          <t>275   KALAMATH             ST</t>
        </is>
      </c>
      <c r="G860" s="392" t="n">
        <v>44.2</v>
      </c>
      <c r="H860" s="378" t="n">
        <v>9505</v>
      </c>
      <c r="I860" s="403" t="n">
        <v>0</v>
      </c>
      <c r="J860" s="404" t="n">
        <v>17286</v>
      </c>
      <c r="K860" s="408" t="n">
        <v>3.36237417563346</v>
      </c>
      <c r="L860" s="409" t="n">
        <v>0</v>
      </c>
      <c r="M860" s="409" t="n">
        <v>0.0458518289115997</v>
      </c>
      <c r="N860" s="378" t="n">
        <v>1959</v>
      </c>
      <c r="O860" s="393" t="n">
        <v>2902</v>
      </c>
      <c r="Q860" s="605" t="n">
        <v>15</v>
      </c>
      <c r="R860" s="605" t="n">
        <v>3</v>
      </c>
      <c r="S860" s="605" t="n">
        <v>1</v>
      </c>
      <c r="T860" s="403" t="inlineStr">
        <is>
          <t xml:space="preserve">I1   </t>
        </is>
      </c>
      <c r="U860" s="403" t="n">
        <v>398</v>
      </c>
      <c r="V860" s="404" t="n">
        <v>36500</v>
      </c>
      <c r="W860" s="404" t="n">
        <v>37000</v>
      </c>
      <c r="X860" s="410" t="inlineStr">
        <is>
          <t>2.1:1</t>
        </is>
      </c>
      <c r="Y860" s="404">
        <f>ROUND(J860,-3)</f>
        <v/>
      </c>
      <c r="Z860" s="403" t="inlineStr">
        <is>
          <t xml:space="preserve">C </t>
        </is>
      </c>
      <c r="AA860" s="605" t="n">
        <v>3</v>
      </c>
      <c r="AB860" s="605" t="n">
        <v>3</v>
      </c>
      <c r="AC860" s="378" t="inlineStr">
        <is>
          <t>33</t>
        </is>
      </c>
      <c r="AD860" s="384" t="inlineStr">
        <is>
          <t xml:space="preserve">WHSE DIST.          </t>
        </is>
      </c>
      <c r="AE860" s="145" t="n"/>
      <c r="AF860" s="145" t="n"/>
      <c r="AG860" s="145" t="n"/>
      <c r="AH860" s="145" t="n"/>
      <c r="AI860" s="145" t="n"/>
      <c r="AJ860" s="145" t="n"/>
      <c r="AK860" s="145" t="inlineStr">
        <is>
          <t xml:space="preserve">OWNER PAYS TAXES                                                  </t>
        </is>
      </c>
      <c r="AL860" s="605">
        <f>IF(AND(ISNUMBER($S860),$S860&gt;0,ISNUMBER($K860),ISNUMBER($J860)),($K860*$J860)/$S860,"")</f>
        <v/>
      </c>
    </row>
    <row r="861" ht="12.75" customHeight="1" s="545">
      <c r="A861" s="388" t="n">
        <v>8</v>
      </c>
      <c r="B861" s="605" t="n">
        <v>853</v>
      </c>
      <c r="C861" s="384" t="inlineStr">
        <is>
          <t>2009Q</t>
        </is>
      </c>
      <c r="D861" s="605" t="inlineStr">
        <is>
          <t xml:space="preserve">05091-20-029-000 </t>
        </is>
      </c>
      <c r="E861" s="407" t="inlineStr">
        <is>
          <t>Actual</t>
        </is>
      </c>
      <c r="F861" s="605" t="inlineStr">
        <is>
          <t>200   LIPAN                ST</t>
        </is>
      </c>
      <c r="G861" s="392" t="n">
        <v>44.2</v>
      </c>
      <c r="H861" s="378" t="n">
        <v>9505</v>
      </c>
      <c r="I861" s="403" t="n">
        <v>0</v>
      </c>
      <c r="J861" s="404" t="n">
        <v>17945</v>
      </c>
      <c r="K861" s="408" t="n">
        <v>4.46330454165506</v>
      </c>
      <c r="L861" s="409" t="n">
        <v>0</v>
      </c>
      <c r="M861" s="409" t="n">
        <v>0.01498239568507</v>
      </c>
      <c r="N861" s="378" t="n">
        <v>1952</v>
      </c>
      <c r="O861" s="393" t="n">
        <v>3083</v>
      </c>
      <c r="Q861" s="605" t="n">
        <v>14</v>
      </c>
      <c r="R861" s="605" t="n">
        <v>1</v>
      </c>
      <c r="S861" s="605" t="n">
        <v>1</v>
      </c>
      <c r="T861" s="403" t="inlineStr">
        <is>
          <t xml:space="preserve">I1   </t>
        </is>
      </c>
      <c r="U861" s="403" t="n">
        <v>398</v>
      </c>
      <c r="V861" s="404" t="n">
        <v>34960</v>
      </c>
      <c r="W861" s="404" t="n">
        <v>35000</v>
      </c>
      <c r="X861" s="410" t="inlineStr">
        <is>
          <t>1.9:1</t>
        </is>
      </c>
      <c r="Y861" s="404">
        <f>ROUND(J861,-3)</f>
        <v/>
      </c>
      <c r="Z861" s="403" t="inlineStr">
        <is>
          <t xml:space="preserve">C </t>
        </is>
      </c>
      <c r="AA861" s="605" t="n">
        <v>3</v>
      </c>
      <c r="AB861" s="605" t="n">
        <v>3</v>
      </c>
      <c r="AC861" s="378" t="inlineStr">
        <is>
          <t>33</t>
        </is>
      </c>
      <c r="AD861" s="384" t="inlineStr">
        <is>
          <t xml:space="preserve">S-W J.K. CONCEPTS   </t>
        </is>
      </c>
      <c r="AE861" s="145" t="n"/>
      <c r="AF861" s="145" t="n"/>
      <c r="AG861" s="145" t="n"/>
      <c r="AH861" s="145" t="n"/>
      <c r="AI861" s="145" t="n"/>
      <c r="AJ861" s="145" t="n"/>
      <c r="AK861" s="145" t="inlineStr">
        <is>
          <t xml:space="preserve">RELATED LEASE                                                     </t>
        </is>
      </c>
      <c r="AL861" s="605">
        <f>IF(AND(ISNUMBER($S861),$S861&gt;0,ISNUMBER($K861),ISNUMBER($J861)),($K861*$J861)/$S861,"")</f>
        <v/>
      </c>
    </row>
    <row r="862" ht="12.75" customHeight="1" s="545">
      <c r="A862" s="388" t="n">
        <v>8</v>
      </c>
      <c r="B862" s="605" t="n">
        <v>854</v>
      </c>
      <c r="C862" s="384" t="inlineStr">
        <is>
          <t>2009Q</t>
        </is>
      </c>
      <c r="D862" s="605" t="inlineStr">
        <is>
          <t xml:space="preserve">05091-26-009-000 </t>
        </is>
      </c>
      <c r="E862" s="407" t="inlineStr">
        <is>
          <t>Actual</t>
        </is>
      </c>
      <c r="F862" s="605" t="inlineStr">
        <is>
          <t>100   LIPAN                ST</t>
        </is>
      </c>
      <c r="G862" s="392" t="n">
        <v>44.2</v>
      </c>
      <c r="H862" s="378" t="n">
        <v>9505</v>
      </c>
      <c r="I862" s="403" t="n">
        <v>0</v>
      </c>
      <c r="J862" s="404" t="n">
        <v>11626</v>
      </c>
      <c r="K862" s="408" t="n">
        <v>3.57130569413384</v>
      </c>
      <c r="L862" s="409" t="n">
        <v>0</v>
      </c>
      <c r="M862" s="409" t="n">
        <v>0.09470134874759149</v>
      </c>
      <c r="N862" s="378" t="n">
        <v>1957</v>
      </c>
      <c r="O862" s="393" t="n">
        <v>3018</v>
      </c>
      <c r="Q862" s="605" t="n">
        <v>14</v>
      </c>
      <c r="R862" s="605" t="n">
        <v>1</v>
      </c>
      <c r="S862" s="605" t="n">
        <v>1</v>
      </c>
      <c r="T862" s="403" t="inlineStr">
        <is>
          <t xml:space="preserve">I1   </t>
        </is>
      </c>
      <c r="U862" s="403" t="n">
        <v>398</v>
      </c>
      <c r="V862" s="404" t="n">
        <v>17625</v>
      </c>
      <c r="W862" s="404" t="n">
        <v>18000</v>
      </c>
      <c r="X862" s="410" t="inlineStr">
        <is>
          <t>1.5:1</t>
        </is>
      </c>
      <c r="Y862" s="404">
        <f>ROUND(J862,-3)</f>
        <v/>
      </c>
      <c r="Z862" s="403" t="inlineStr">
        <is>
          <t xml:space="preserve">C </t>
        </is>
      </c>
      <c r="AA862" s="605" t="n">
        <v>3</v>
      </c>
      <c r="AB862" s="605" t="n">
        <v>3</v>
      </c>
      <c r="AC862" s="378" t="inlineStr">
        <is>
          <t>33</t>
        </is>
      </c>
      <c r="AD862" s="384" t="inlineStr">
        <is>
          <t xml:space="preserve">TURBO PRESS         </t>
        </is>
      </c>
      <c r="AE862" s="145" t="n"/>
      <c r="AF862" s="145" t="n"/>
      <c r="AG862" s="145" t="n"/>
      <c r="AH862" s="145" t="n"/>
      <c r="AI862" s="145" t="n"/>
      <c r="AJ862" s="145" t="n"/>
      <c r="AK862" s="145" t="inlineStr">
        <is>
          <t xml:space="preserve">OWNER PAYS PROPERTY TAXES                                         </t>
        </is>
      </c>
      <c r="AL862" s="605">
        <f>IF(AND(ISNUMBER($S862),$S862&gt;0,ISNUMBER($K862),ISNUMBER($J862)),($K862*$J862)/$S862,"")</f>
        <v/>
      </c>
    </row>
    <row r="863" ht="12.75" customHeight="1" s="545">
      <c r="A863" s="388" t="n">
        <v>8</v>
      </c>
      <c r="B863" s="605" t="n">
        <v>855</v>
      </c>
      <c r="C863" s="384" t="inlineStr">
        <is>
          <t>2009Q</t>
        </is>
      </c>
      <c r="D863" s="605" t="inlineStr">
        <is>
          <t xml:space="preserve">05092-00-035-000 </t>
        </is>
      </c>
      <c r="E863" s="407" t="inlineStr">
        <is>
          <t>Actual</t>
        </is>
      </c>
      <c r="F863" s="605" t="inlineStr">
        <is>
          <t>555   QUIVAS               ST</t>
        </is>
      </c>
      <c r="G863" s="392" t="n">
        <v>44.1</v>
      </c>
      <c r="H863" s="378" t="n">
        <v>9505</v>
      </c>
      <c r="I863" s="403" t="n">
        <v>0</v>
      </c>
      <c r="J863" s="404" t="n">
        <v>22750</v>
      </c>
      <c r="K863" s="408" t="n">
        <v>6.15384615384615</v>
      </c>
      <c r="L863" s="409" t="n">
        <v>0.63010989010989</v>
      </c>
      <c r="M863" s="409" t="n">
        <v>0</v>
      </c>
      <c r="N863" s="378" t="n">
        <v>1956</v>
      </c>
      <c r="O863" s="393" t="n">
        <v>6221</v>
      </c>
      <c r="Q863" s="605" t="n">
        <v>14</v>
      </c>
      <c r="R863" s="605" t="n">
        <v>1</v>
      </c>
      <c r="S863" s="605" t="n">
        <v>1</v>
      </c>
      <c r="T863" s="403" t="inlineStr">
        <is>
          <t xml:space="preserve">I1   </t>
        </is>
      </c>
      <c r="U863" s="403" t="n">
        <v>398</v>
      </c>
      <c r="V863" s="404" t="n">
        <v>50000</v>
      </c>
      <c r="W863" s="404" t="n">
        <v>50000</v>
      </c>
      <c r="X863" s="410" t="inlineStr">
        <is>
          <t>2.2:1</t>
        </is>
      </c>
      <c r="Y863" s="404">
        <f>ROUND(J863,-3)</f>
        <v/>
      </c>
      <c r="Z863" s="403" t="inlineStr">
        <is>
          <t xml:space="preserve">C </t>
        </is>
      </c>
      <c r="AA863" s="605" t="n">
        <v>3</v>
      </c>
      <c r="AB863" s="605" t="n">
        <v>3</v>
      </c>
      <c r="AC863" s="378" t="inlineStr">
        <is>
          <t>33</t>
        </is>
      </c>
      <c r="AD863" s="384" t="n"/>
      <c r="AE863" s="145" t="n"/>
      <c r="AF863" s="145" t="n"/>
      <c r="AG863" s="145" t="n"/>
      <c r="AH863" s="145" t="n"/>
      <c r="AI863" s="145" t="n"/>
      <c r="AJ863" s="145" t="n"/>
      <c r="AK863" s="145" t="n"/>
      <c r="AL863" s="605">
        <f>IF(AND(ISNUMBER($S863),$S863&gt;0,ISNUMBER($K863),ISNUMBER($J863)),($K863*$J863)/$S863,"")</f>
        <v/>
      </c>
    </row>
    <row r="864" ht="12.75" customHeight="1" s="545">
      <c r="A864" s="388" t="n">
        <v>8</v>
      </c>
      <c r="B864" s="605" t="n">
        <v>856</v>
      </c>
      <c r="C864" s="384" t="inlineStr">
        <is>
          <t>2009Q</t>
        </is>
      </c>
      <c r="D864" s="605" t="inlineStr">
        <is>
          <t xml:space="preserve">05092-00-076-000 </t>
        </is>
      </c>
      <c r="E864" s="407" t="inlineStr">
        <is>
          <t>Actual</t>
        </is>
      </c>
      <c r="F864" s="605" t="inlineStr">
        <is>
          <t>657   OSAGE                ST</t>
        </is>
      </c>
      <c r="G864" s="392" t="n">
        <v>44.1</v>
      </c>
      <c r="H864" s="378" t="n">
        <v>9505</v>
      </c>
      <c r="I864" s="403" t="n">
        <v>0</v>
      </c>
      <c r="J864" s="404" t="n">
        <v>9361</v>
      </c>
      <c r="K864" s="408" t="n">
        <v>6.70302318128405</v>
      </c>
      <c r="L864" s="409" t="n">
        <v>0</v>
      </c>
      <c r="M864" s="409" t="n">
        <v>0.00111559118364225</v>
      </c>
      <c r="N864" s="378" t="n">
        <v>1965</v>
      </c>
      <c r="O864" s="393" t="n">
        <v>1260</v>
      </c>
      <c r="Q864" s="605" t="n">
        <v>14</v>
      </c>
      <c r="R864" s="605" t="n">
        <v>1</v>
      </c>
      <c r="S864" s="605" t="n">
        <v>1</v>
      </c>
      <c r="T864" s="403" t="inlineStr">
        <is>
          <t xml:space="preserve">I1   </t>
        </is>
      </c>
      <c r="U864" s="403" t="n">
        <v>398</v>
      </c>
      <c r="V864" s="404" t="n">
        <v>17908</v>
      </c>
      <c r="W864" s="404" t="n">
        <v>18000</v>
      </c>
      <c r="X864" s="410" t="inlineStr">
        <is>
          <t>1.9:1</t>
        </is>
      </c>
      <c r="Y864" s="404">
        <f>ROUND(J864,-3)</f>
        <v/>
      </c>
      <c r="Z864" s="403" t="inlineStr">
        <is>
          <t xml:space="preserve">C </t>
        </is>
      </c>
      <c r="AA864" s="605" t="n">
        <v>3</v>
      </c>
      <c r="AB864" s="605" t="n">
        <v>3</v>
      </c>
      <c r="AC864" s="378" t="inlineStr">
        <is>
          <t>33</t>
        </is>
      </c>
      <c r="AD864" s="384" t="n"/>
      <c r="AE864" s="145" t="n"/>
      <c r="AF864" s="145" t="n"/>
      <c r="AG864" s="145" t="n"/>
      <c r="AH864" s="145" t="n"/>
      <c r="AI864" s="145" t="n"/>
      <c r="AJ864" s="145" t="n"/>
      <c r="AK864" s="145" t="n"/>
      <c r="AL864" s="605">
        <f>IF(AND(ISNUMBER($S864),$S864&gt;0,ISNUMBER($K864),ISNUMBER($J864)),($K864*$J864)/$S864,"")</f>
        <v/>
      </c>
    </row>
    <row r="865" ht="12.75" customHeight="1" s="545">
      <c r="A865" s="388" t="n">
        <v>8</v>
      </c>
      <c r="B865" s="605" t="n">
        <v>857</v>
      </c>
      <c r="C865" s="384" t="inlineStr">
        <is>
          <t>2009Q</t>
        </is>
      </c>
      <c r="D865" s="605" t="inlineStr">
        <is>
          <t xml:space="preserve">05092-05-017-000 </t>
        </is>
      </c>
      <c r="E865" s="407" t="inlineStr">
        <is>
          <t>Actual</t>
        </is>
      </c>
      <c r="F865" s="605" t="inlineStr">
        <is>
          <t>2000 W 8TH                  AV</t>
        </is>
      </c>
      <c r="G865" s="392" t="n">
        <v>44.1</v>
      </c>
      <c r="H865" s="378" t="n">
        <v>9505</v>
      </c>
      <c r="I865" s="403" t="n">
        <v>0</v>
      </c>
      <c r="J865" s="404" t="n">
        <v>10702</v>
      </c>
      <c r="K865" s="408" t="n">
        <v>5.60642870491497</v>
      </c>
      <c r="L865" s="409" t="n">
        <v>0</v>
      </c>
      <c r="M865" s="409" t="n">
        <v>0</v>
      </c>
      <c r="N865" s="378" t="n">
        <v>1933</v>
      </c>
      <c r="O865" s="393">
        <f>1200+384+4384</f>
        <v/>
      </c>
      <c r="Q865" s="605" t="n">
        <v>12</v>
      </c>
      <c r="R865" s="605" t="n">
        <v>1</v>
      </c>
      <c r="S865" s="605" t="n">
        <v>1</v>
      </c>
      <c r="T865" s="403" t="inlineStr">
        <is>
          <t xml:space="preserve">I1   </t>
        </is>
      </c>
      <c r="U865" s="403" t="n">
        <v>398</v>
      </c>
      <c r="V865" s="404" t="n">
        <v>28801</v>
      </c>
      <c r="W865" s="404" t="n">
        <v>29000</v>
      </c>
      <c r="X865" s="410" t="inlineStr">
        <is>
          <t>2.7:1</t>
        </is>
      </c>
      <c r="Y865" s="404">
        <f>ROUND(J865,-3)</f>
        <v/>
      </c>
      <c r="Z865" s="403" t="inlineStr">
        <is>
          <t xml:space="preserve">C </t>
        </is>
      </c>
      <c r="AA865" s="605" t="n">
        <v>3</v>
      </c>
      <c r="AB865" s="605" t="n">
        <v>3</v>
      </c>
      <c r="AC865" s="378" t="inlineStr">
        <is>
          <t>33</t>
        </is>
      </c>
      <c r="AD865" s="384" t="inlineStr">
        <is>
          <t>CITY BARK DOGDAYCARE</t>
        </is>
      </c>
      <c r="AE865" s="145" t="n"/>
      <c r="AF865" s="145" t="n"/>
      <c r="AG865" s="145" t="n"/>
      <c r="AH865" s="145" t="n"/>
      <c r="AI865" s="145" t="n"/>
      <c r="AJ865" s="145" t="n"/>
      <c r="AK865" s="145" t="inlineStr">
        <is>
          <t xml:space="preserve">PROPERTY RENOVATED-OWNER PAID MORE EXPENSES                       </t>
        </is>
      </c>
      <c r="AL865" s="605">
        <f>IF(AND(ISNUMBER($S865),$S865&gt;0,ISNUMBER($K865),ISNUMBER($J865)),($K865*$J865)/$S865,"")</f>
        <v/>
      </c>
    </row>
    <row r="866" ht="12.75" customHeight="1" s="545">
      <c r="A866" s="388" t="n">
        <v>8</v>
      </c>
      <c r="B866" s="605" t="n">
        <v>858</v>
      </c>
      <c r="C866" s="384" t="inlineStr">
        <is>
          <t>2009Q</t>
        </is>
      </c>
      <c r="D866" s="605" t="inlineStr">
        <is>
          <t xml:space="preserve">05092-05-021-000 </t>
        </is>
      </c>
      <c r="E866" s="407" t="inlineStr">
        <is>
          <t>Actual</t>
        </is>
      </c>
      <c r="F866" s="605" t="inlineStr">
        <is>
          <t>730   UMATILLA             ST</t>
        </is>
      </c>
      <c r="G866" s="392" t="n">
        <v>47.1</v>
      </c>
      <c r="H866" s="378" t="n">
        <v>9505</v>
      </c>
      <c r="I866" s="403" t="n">
        <v>0</v>
      </c>
      <c r="J866" s="404" t="n">
        <v>12791</v>
      </c>
      <c r="K866" s="408" t="n">
        <v>7.11687905558596</v>
      </c>
      <c r="L866" s="409" t="n">
        <v>0</v>
      </c>
      <c r="M866" s="409" t="n">
        <v>0.0998220406011073</v>
      </c>
      <c r="N866" s="378" t="n">
        <v>1959</v>
      </c>
      <c r="O866" s="393">
        <f>1431+150</f>
        <v/>
      </c>
      <c r="Q866" s="605" t="n">
        <v>24</v>
      </c>
      <c r="R866" s="605" t="n">
        <v>3</v>
      </c>
      <c r="S866" s="605" t="n">
        <v>1</v>
      </c>
      <c r="T866" s="403" t="inlineStr">
        <is>
          <t xml:space="preserve">I1   </t>
        </is>
      </c>
      <c r="U866" s="403" t="n">
        <v>401</v>
      </c>
      <c r="V866" s="404" t="n">
        <v>51701</v>
      </c>
      <c r="W866" s="404" t="n">
        <v>50000</v>
      </c>
      <c r="X866" s="410" t="inlineStr">
        <is>
          <t>4.0:1</t>
        </is>
      </c>
      <c r="Y866" s="404">
        <f>ROUND(J866,-3)</f>
        <v/>
      </c>
      <c r="Z866" s="403" t="inlineStr">
        <is>
          <t xml:space="preserve">C </t>
        </is>
      </c>
      <c r="AA866" s="605" t="n">
        <v>3</v>
      </c>
      <c r="AB866" s="605" t="n">
        <v>3</v>
      </c>
      <c r="AC866" s="378" t="inlineStr">
        <is>
          <t>33</t>
        </is>
      </c>
      <c r="AD866" s="384" t="n"/>
      <c r="AE866" s="145" t="n"/>
      <c r="AF866" s="145" t="n"/>
      <c r="AG866" s="145" t="n"/>
      <c r="AH866" s="145" t="n"/>
      <c r="AI866" s="145" t="n"/>
      <c r="AJ866" s="145" t="n"/>
      <c r="AK866" s="145" t="inlineStr">
        <is>
          <t xml:space="preserve">OWNER PAID TAXES IN 2007-LEASE 1/01/08 AT $139,596                </t>
        </is>
      </c>
      <c r="AL866" s="605">
        <f>IF(AND(ISNUMBER($S866),$S866&gt;0,ISNUMBER($K866),ISNUMBER($J866)),($K866*$J866)/$S866,"")</f>
        <v/>
      </c>
    </row>
    <row r="867" ht="12.75" customHeight="1" s="545">
      <c r="A867" s="388" t="n">
        <v>8</v>
      </c>
      <c r="B867" s="605" t="n">
        <v>859</v>
      </c>
      <c r="C867" s="384" t="inlineStr">
        <is>
          <t>2009Q</t>
        </is>
      </c>
      <c r="D867" s="605" t="inlineStr">
        <is>
          <t xml:space="preserve">05092-06-015-000 </t>
        </is>
      </c>
      <c r="E867" s="407" t="inlineStr">
        <is>
          <t>Actual</t>
        </is>
      </c>
      <c r="F867" s="605" t="inlineStr">
        <is>
          <t>707   UMATILLA             ST</t>
        </is>
      </c>
      <c r="G867" s="392" t="n">
        <v>44.1</v>
      </c>
      <c r="H867" s="378" t="n">
        <v>9505</v>
      </c>
      <c r="I867" s="403" t="n">
        <v>0</v>
      </c>
      <c r="J867" s="404" t="n">
        <v>18270</v>
      </c>
      <c r="K867" s="408" t="n">
        <v>5.28938149972633</v>
      </c>
      <c r="L867" s="409" t="n">
        <v>0</v>
      </c>
      <c r="M867" s="409" t="n">
        <v>0.00413920134110123</v>
      </c>
      <c r="N867" s="378" t="n">
        <v>1982</v>
      </c>
      <c r="O867" s="393" t="n">
        <v>1128</v>
      </c>
      <c r="P867" s="393" t="n">
        <v>1293</v>
      </c>
      <c r="Q867" s="605" t="n">
        <v>17</v>
      </c>
      <c r="R867" s="605" t="n">
        <v>7</v>
      </c>
      <c r="S867" s="605" t="n">
        <v>1</v>
      </c>
      <c r="T867" s="403" t="inlineStr">
        <is>
          <t xml:space="preserve">I1   </t>
        </is>
      </c>
      <c r="U867" s="403" t="n">
        <v>398</v>
      </c>
      <c r="V867" s="404" t="n">
        <v>29950</v>
      </c>
      <c r="W867" s="404" t="n">
        <v>30000</v>
      </c>
      <c r="X867" s="410" t="inlineStr">
        <is>
          <t>1.6:1</t>
        </is>
      </c>
      <c r="Y867" s="404">
        <f>ROUND(J867,-3)</f>
        <v/>
      </c>
      <c r="Z867" s="403" t="inlineStr">
        <is>
          <t xml:space="preserve">C </t>
        </is>
      </c>
      <c r="AA867" s="605" t="n">
        <v>3</v>
      </c>
      <c r="AB867" s="605" t="n">
        <v>3</v>
      </c>
      <c r="AC867" s="378" t="inlineStr">
        <is>
          <t>33</t>
        </is>
      </c>
      <c r="AD867" s="384" t="n"/>
      <c r="AE867" s="145" t="n"/>
      <c r="AF867" s="145" t="n"/>
      <c r="AG867" s="145" t="n"/>
      <c r="AH867" s="145" t="n"/>
      <c r="AI867" s="145" t="n"/>
      <c r="AJ867" s="145" t="n"/>
      <c r="AK867" s="145" t="n"/>
      <c r="AL867" s="605">
        <f>IF(AND(ISNUMBER($S867),$S867&gt;0,ISNUMBER($K867),ISNUMBER($J867)),($K867*$J867)/$S867,"")</f>
        <v/>
      </c>
    </row>
    <row r="868" ht="12.75" customHeight="1" s="545">
      <c r="A868" s="388" t="n">
        <v>8</v>
      </c>
      <c r="B868" s="605" t="n">
        <v>860</v>
      </c>
      <c r="C868" s="384" t="inlineStr">
        <is>
          <t>2009Q</t>
        </is>
      </c>
      <c r="D868" s="605" t="inlineStr">
        <is>
          <t xml:space="preserve">05092-06-019-000 </t>
        </is>
      </c>
      <c r="E868" s="407" t="inlineStr">
        <is>
          <t>Actual</t>
        </is>
      </c>
      <c r="F868" s="605" t="inlineStr">
        <is>
          <t>2177 W 7TH                  AV</t>
        </is>
      </c>
      <c r="G868" s="392" t="n">
        <v>47.1</v>
      </c>
      <c r="H868" s="378" t="n">
        <v>9505</v>
      </c>
      <c r="I868" s="403" t="n">
        <v>0</v>
      </c>
      <c r="J868" s="404" t="n">
        <v>9000</v>
      </c>
      <c r="K868" s="408" t="n">
        <v>4</v>
      </c>
      <c r="L868" s="409" t="n">
        <v>0.114656613160247</v>
      </c>
      <c r="M868" s="409" t="n">
        <v>0.236111111111111</v>
      </c>
      <c r="N868" s="378" t="n">
        <v>1969</v>
      </c>
      <c r="O868" s="393" t="n">
        <v>668</v>
      </c>
      <c r="P868" s="393">
        <f>2942*2</f>
        <v/>
      </c>
      <c r="Q868" s="605" t="n">
        <v>12</v>
      </c>
      <c r="R868" s="605" t="n">
        <v>14</v>
      </c>
      <c r="S868" s="605" t="n">
        <v>1</v>
      </c>
      <c r="T868" s="403" t="inlineStr">
        <is>
          <t xml:space="preserve">I1   </t>
        </is>
      </c>
      <c r="U868" s="403" t="n">
        <v>401</v>
      </c>
      <c r="V868" s="404" t="n">
        <v>50950</v>
      </c>
      <c r="W868" s="404" t="n">
        <v>50000</v>
      </c>
      <c r="X868" s="410" t="inlineStr">
        <is>
          <t>2.0:1</t>
        </is>
      </c>
      <c r="Y868" s="404">
        <f>ROUND(J868,-3)</f>
        <v/>
      </c>
      <c r="Z868" s="403" t="inlineStr">
        <is>
          <t xml:space="preserve">C </t>
        </is>
      </c>
      <c r="AA868" s="605" t="n">
        <v>3</v>
      </c>
      <c r="AB868" s="605" t="n">
        <v>3</v>
      </c>
      <c r="AC868" s="378" t="inlineStr">
        <is>
          <t>33</t>
        </is>
      </c>
      <c r="AD868" s="384" t="n"/>
      <c r="AE868" s="145" t="n"/>
      <c r="AF868" s="145" t="n"/>
      <c r="AG868" s="145" t="n"/>
      <c r="AH868" s="145" t="n"/>
      <c r="AI868" s="145" t="n"/>
      <c r="AJ868" s="145" t="n"/>
      <c r="AK868" s="145" t="inlineStr">
        <is>
          <t xml:space="preserve">ACTUAL INCOME FOR 1 UNIT 6,050 SF-$4.12/SF                        </t>
        </is>
      </c>
      <c r="AL868" s="605">
        <f>IF(AND(ISNUMBER($S868),$S868&gt;0,ISNUMBER($K868),ISNUMBER($J868)),($K868*$J868)/$S868,"")</f>
        <v/>
      </c>
    </row>
    <row r="869" ht="12.75" customHeight="1" s="545">
      <c r="A869" s="388" t="n">
        <v>8</v>
      </c>
      <c r="B869" s="605" t="n">
        <v>861</v>
      </c>
      <c r="C869" s="384" t="inlineStr">
        <is>
          <t>2009Q</t>
        </is>
      </c>
      <c r="D869" s="605" t="inlineStr">
        <is>
          <t xml:space="preserve">05092-07-013-000 </t>
        </is>
      </c>
      <c r="E869" s="407" t="inlineStr">
        <is>
          <t>Actual</t>
        </is>
      </c>
      <c r="F869" s="605" t="inlineStr">
        <is>
          <t>745   VALLEJO              ST</t>
        </is>
      </c>
      <c r="G869" s="392" t="n">
        <v>44.1</v>
      </c>
      <c r="H869" s="378" t="n">
        <v>9505</v>
      </c>
      <c r="I869" s="403" t="n">
        <v>0</v>
      </c>
      <c r="J869" s="404" t="n">
        <v>2800</v>
      </c>
      <c r="K869" s="408" t="n">
        <v>8.207142857142861</v>
      </c>
      <c r="L869" s="409" t="n">
        <v>0</v>
      </c>
      <c r="M869" s="409" t="n">
        <v>0</v>
      </c>
      <c r="N869" s="378" t="n">
        <v>1964</v>
      </c>
      <c r="O869" s="393" t="n">
        <v>198</v>
      </c>
      <c r="Q869" s="605" t="n">
        <v>14</v>
      </c>
      <c r="R869" s="605" t="n">
        <v>3</v>
      </c>
      <c r="S869" s="605" t="n">
        <v>1</v>
      </c>
      <c r="T869" s="403" t="inlineStr">
        <is>
          <t xml:space="preserve">I1   </t>
        </is>
      </c>
      <c r="U869" s="403" t="n">
        <v>398</v>
      </c>
      <c r="V869" s="404" t="n">
        <v>6000</v>
      </c>
      <c r="W869" s="404" t="n">
        <v>6000</v>
      </c>
      <c r="X869" s="410" t="inlineStr">
        <is>
          <t>2.1:1</t>
        </is>
      </c>
      <c r="Y869" s="404">
        <f>ROUND(J869,-3)</f>
        <v/>
      </c>
      <c r="Z869" s="403" t="inlineStr">
        <is>
          <t xml:space="preserve">C </t>
        </is>
      </c>
      <c r="AA869" s="605" t="n">
        <v>3</v>
      </c>
      <c r="AB869" s="605" t="n">
        <v>3</v>
      </c>
      <c r="AC869" s="378" t="inlineStr">
        <is>
          <t>33</t>
        </is>
      </c>
      <c r="AD869" s="384" t="inlineStr">
        <is>
          <t>S-W DENVER WIRE WORK</t>
        </is>
      </c>
      <c r="AE869" s="145" t="n"/>
      <c r="AF869" s="145" t="n"/>
      <c r="AG869" s="145" t="n"/>
      <c r="AH869" s="145" t="n"/>
      <c r="AI869" s="145" t="n"/>
      <c r="AJ869" s="145" t="n"/>
      <c r="AK869" s="145" t="inlineStr">
        <is>
          <t xml:space="preserve">VACANT FOR 2007-LEASED ON 03/2008-ASSUME NNN                      </t>
        </is>
      </c>
      <c r="AL869" s="605">
        <f>IF(AND(ISNUMBER($S869),$S869&gt;0,ISNUMBER($K869),ISNUMBER($J869)),($K869*$J869)/$S869,"")</f>
        <v/>
      </c>
    </row>
    <row r="870" ht="12.75" customHeight="1" s="545">
      <c r="A870" s="388" t="n">
        <v>8</v>
      </c>
      <c r="B870" s="605" t="n">
        <v>862</v>
      </c>
      <c r="C870" s="384" t="inlineStr">
        <is>
          <t>2009Q</t>
        </is>
      </c>
      <c r="D870" s="605" t="inlineStr">
        <is>
          <t xml:space="preserve">05092-07-032-000 </t>
        </is>
      </c>
      <c r="E870" s="407" t="inlineStr">
        <is>
          <t>Actual</t>
        </is>
      </c>
      <c r="F870" s="605" t="inlineStr">
        <is>
          <t>755   VALLEJO              ST</t>
        </is>
      </c>
      <c r="G870" s="392" t="n">
        <v>44.2</v>
      </c>
      <c r="H870" s="378" t="n">
        <v>9505</v>
      </c>
      <c r="I870" s="403" t="n">
        <v>0</v>
      </c>
      <c r="J870" s="404" t="n">
        <v>11867</v>
      </c>
      <c r="K870" s="408" t="n">
        <v>6.28119996629308</v>
      </c>
      <c r="L870" s="409" t="n">
        <v>0.405409960394371</v>
      </c>
      <c r="M870" s="409" t="n">
        <v>0.138222943693905</v>
      </c>
      <c r="N870" s="378" t="n">
        <v>1970</v>
      </c>
      <c r="O870" s="393" t="n">
        <v>5575</v>
      </c>
      <c r="Q870" s="605" t="n">
        <v>18</v>
      </c>
      <c r="R870" s="605" t="n">
        <v>1</v>
      </c>
      <c r="S870" s="605" t="n">
        <v>1</v>
      </c>
      <c r="T870" s="403" t="inlineStr">
        <is>
          <t xml:space="preserve">I1   </t>
        </is>
      </c>
      <c r="U870" s="403" t="n">
        <v>398</v>
      </c>
      <c r="V870" s="404" t="n">
        <v>18000</v>
      </c>
      <c r="W870" s="404" t="n">
        <v>18000</v>
      </c>
      <c r="X870" s="410" t="inlineStr">
        <is>
          <t>1.5:1</t>
        </is>
      </c>
      <c r="Y870" s="404">
        <f>ROUND(J870,-3)</f>
        <v/>
      </c>
      <c r="Z870" s="403" t="inlineStr">
        <is>
          <t xml:space="preserve">C </t>
        </is>
      </c>
      <c r="AA870" s="605" t="n">
        <v>3</v>
      </c>
      <c r="AB870" s="605" t="n">
        <v>3</v>
      </c>
      <c r="AC870" s="378" t="inlineStr">
        <is>
          <t>33</t>
        </is>
      </c>
      <c r="AD870" s="384" t="inlineStr">
        <is>
          <t xml:space="preserve">M-W                 </t>
        </is>
      </c>
      <c r="AE870" s="145" t="n"/>
      <c r="AF870" s="145" t="n"/>
      <c r="AG870" s="145" t="n"/>
      <c r="AH870" s="145" t="n"/>
      <c r="AI870" s="145" t="n"/>
      <c r="AJ870" s="145" t="n"/>
      <c r="AK870" s="145" t="inlineStr">
        <is>
          <t xml:space="preserve">OWNER PAYS TAXES                                                  </t>
        </is>
      </c>
      <c r="AL870" s="605">
        <f>IF(AND(ISNUMBER($S870),$S870&gt;0,ISNUMBER($K870),ISNUMBER($J870)),($K870*$J870)/$S870,"")</f>
        <v/>
      </c>
    </row>
    <row r="871" ht="12.75" customHeight="1" s="545">
      <c r="A871" s="388" t="n">
        <v>8</v>
      </c>
      <c r="B871" s="605" t="n">
        <v>863</v>
      </c>
      <c r="C871" s="384" t="inlineStr">
        <is>
          <t>2009Q</t>
        </is>
      </c>
      <c r="D871" s="605" t="inlineStr">
        <is>
          <t xml:space="preserve">05093-00-052-000 </t>
        </is>
      </c>
      <c r="E871" s="407" t="inlineStr">
        <is>
          <t>Actual</t>
        </is>
      </c>
      <c r="F871" s="605" t="inlineStr">
        <is>
          <t>163   VALLEJO              ST</t>
        </is>
      </c>
      <c r="G871" s="392" t="n">
        <v>44.1</v>
      </c>
      <c r="H871" s="378" t="n">
        <v>9508</v>
      </c>
      <c r="I871" s="403" t="n">
        <v>0</v>
      </c>
      <c r="J871" s="404" t="n">
        <v>4681</v>
      </c>
      <c r="K871" s="408" t="n">
        <v>9.67741935483871</v>
      </c>
      <c r="L871" s="409" t="n">
        <v>0</v>
      </c>
      <c r="M871" s="409" t="n">
        <v>0.0418763796909492</v>
      </c>
      <c r="N871" s="378" t="n">
        <v>1937</v>
      </c>
      <c r="O871" s="393">
        <f>1100+1922</f>
        <v/>
      </c>
      <c r="Q871" s="605" t="n">
        <v>18</v>
      </c>
      <c r="R871" s="605" t="n">
        <v>3</v>
      </c>
      <c r="S871" s="605" t="n">
        <v>1</v>
      </c>
      <c r="T871" s="403" t="inlineStr">
        <is>
          <t xml:space="preserve">I1   </t>
        </is>
      </c>
      <c r="U871" s="403" t="n">
        <v>398</v>
      </c>
      <c r="V871" s="404" t="n">
        <v>14136</v>
      </c>
      <c r="W871" s="404" t="n">
        <v>14000</v>
      </c>
      <c r="X871" s="410" t="inlineStr">
        <is>
          <t>3.0:1</t>
        </is>
      </c>
      <c r="Y871" s="404">
        <f>ROUND(J871,-3)</f>
        <v/>
      </c>
      <c r="Z871" s="403" t="inlineStr">
        <is>
          <t xml:space="preserve">C </t>
        </is>
      </c>
      <c r="AA871" s="605" t="n">
        <v>3</v>
      </c>
      <c r="AB871" s="605" t="n">
        <v>3</v>
      </c>
      <c r="AC871" s="378" t="inlineStr">
        <is>
          <t>33</t>
        </is>
      </c>
      <c r="AD871" s="384" t="inlineStr">
        <is>
          <t>IAI CONSTRUCTION CO.</t>
        </is>
      </c>
      <c r="AE871" s="145" t="n"/>
      <c r="AF871" s="145" t="n"/>
      <c r="AG871" s="145" t="n"/>
      <c r="AH871" s="145" t="n"/>
      <c r="AI871" s="145" t="n"/>
      <c r="AJ871" s="145" t="n"/>
      <c r="AK871" s="145" t="inlineStr">
        <is>
          <t xml:space="preserve">TWO TENANTS                                                       </t>
        </is>
      </c>
      <c r="AL871" s="605">
        <f>IF(AND(ISNUMBER($S871),$S871&gt;0,ISNUMBER($K871),ISNUMBER($J871)),($K871*$J871)/$S871,"")</f>
        <v/>
      </c>
    </row>
    <row r="872" ht="12.75" customHeight="1" s="545">
      <c r="A872" s="388" t="n">
        <v>8</v>
      </c>
      <c r="B872" s="605" t="n">
        <v>864</v>
      </c>
      <c r="C872" s="384" t="inlineStr">
        <is>
          <t>2009Q</t>
        </is>
      </c>
      <c r="D872" s="605" t="inlineStr">
        <is>
          <t xml:space="preserve">05093-00-054-000 </t>
        </is>
      </c>
      <c r="E872" s="407" t="inlineStr">
        <is>
          <t>Actual</t>
        </is>
      </c>
      <c r="F872" s="605" t="inlineStr">
        <is>
          <t>148   VALLEJO              ST</t>
        </is>
      </c>
      <c r="G872" s="392" t="n">
        <v>47.1</v>
      </c>
      <c r="H872" s="378" t="n">
        <v>9508</v>
      </c>
      <c r="I872" s="403" t="n">
        <v>0</v>
      </c>
      <c r="J872" s="404" t="n">
        <v>7203</v>
      </c>
      <c r="K872" s="408" t="n">
        <v>3.66513952519783</v>
      </c>
      <c r="L872" s="409" t="n">
        <v>0</v>
      </c>
      <c r="M872" s="409" t="n">
        <v>0</v>
      </c>
      <c r="N872" s="378" t="n">
        <v>1965</v>
      </c>
      <c r="O872" s="393" t="n">
        <v>640</v>
      </c>
      <c r="Q872" s="605" t="n">
        <v>13</v>
      </c>
      <c r="R872" s="605" t="n">
        <v>3</v>
      </c>
      <c r="S872" s="605" t="n">
        <v>1</v>
      </c>
      <c r="T872" s="403" t="inlineStr">
        <is>
          <t xml:space="preserve">I2   </t>
        </is>
      </c>
      <c r="U872" s="403" t="n">
        <v>401</v>
      </c>
      <c r="V872" s="404" t="n">
        <v>14230</v>
      </c>
      <c r="W872" s="404" t="n">
        <v>14000</v>
      </c>
      <c r="X872" s="410" t="inlineStr">
        <is>
          <t>2.0:1</t>
        </is>
      </c>
      <c r="Y872" s="404">
        <f>ROUND(J872,-3)</f>
        <v/>
      </c>
      <c r="Z872" s="403" t="inlineStr">
        <is>
          <t xml:space="preserve">C </t>
        </is>
      </c>
      <c r="AA872" s="605" t="n">
        <v>3</v>
      </c>
      <c r="AB872" s="605" t="n">
        <v>3</v>
      </c>
      <c r="AC872" s="378" t="inlineStr">
        <is>
          <t>33</t>
        </is>
      </c>
      <c r="AD872" s="384" t="n"/>
      <c r="AE872" s="145" t="n"/>
      <c r="AF872" s="145" t="n"/>
      <c r="AG872" s="145" t="n"/>
      <c r="AH872" s="145" t="n"/>
      <c r="AI872" s="145" t="n"/>
      <c r="AJ872" s="145" t="n"/>
      <c r="AK872" s="145" t="inlineStr">
        <is>
          <t xml:space="preserve">OWNER PAY PROPERTY TAXES                                          </t>
        </is>
      </c>
      <c r="AL872" s="605">
        <f>IF(AND(ISNUMBER($S872),$S872&gt;0,ISNUMBER($K872),ISNUMBER($J872)),($K872*$J872)/$S872,"")</f>
        <v/>
      </c>
    </row>
    <row r="873" ht="12.75" customHeight="1" s="545">
      <c r="A873" s="388" t="n">
        <v>8</v>
      </c>
      <c r="B873" s="605" t="n">
        <v>865</v>
      </c>
      <c r="C873" s="384" t="inlineStr">
        <is>
          <t>2009Q</t>
        </is>
      </c>
      <c r="D873" s="605" t="inlineStr">
        <is>
          <t xml:space="preserve">05093-04-023-000 </t>
        </is>
      </c>
      <c r="E873" s="407" t="inlineStr">
        <is>
          <t>Actual</t>
        </is>
      </c>
      <c r="F873" s="605" t="inlineStr">
        <is>
          <t>415   YUMA                 ST</t>
        </is>
      </c>
      <c r="G873" s="392" t="n">
        <v>45.7</v>
      </c>
      <c r="H873" s="378" t="n">
        <v>9508</v>
      </c>
      <c r="I873" s="403" t="n">
        <v>0</v>
      </c>
      <c r="J873" s="404" t="n">
        <v>15659</v>
      </c>
      <c r="K873" s="408" t="n">
        <v>3.92496327990293</v>
      </c>
      <c r="L873" s="409" t="n">
        <v>0</v>
      </c>
      <c r="M873" s="409" t="n">
        <v>0.0246497779079416</v>
      </c>
      <c r="N873" s="378" t="n">
        <v>1977</v>
      </c>
      <c r="O873" s="393" t="n">
        <v>2787</v>
      </c>
      <c r="Q873" s="605" t="n">
        <v>14</v>
      </c>
      <c r="R873" s="605" t="n">
        <v>3</v>
      </c>
      <c r="S873" s="605" t="n">
        <v>1</v>
      </c>
      <c r="T873" s="403" t="inlineStr">
        <is>
          <t xml:space="preserve">I1   </t>
        </is>
      </c>
      <c r="U873" s="403" t="n">
        <v>391</v>
      </c>
      <c r="V873" s="404" t="n">
        <v>35054</v>
      </c>
      <c r="W873" s="404" t="n">
        <v>35000</v>
      </c>
      <c r="X873" s="410" t="inlineStr">
        <is>
          <t>2.2:1</t>
        </is>
      </c>
      <c r="Y873" s="404">
        <f>ROUND(J873,-3)</f>
        <v/>
      </c>
      <c r="Z873" s="403" t="inlineStr">
        <is>
          <t xml:space="preserve">C </t>
        </is>
      </c>
      <c r="AA873" s="605" t="n">
        <v>5</v>
      </c>
      <c r="AB873" s="605" t="n">
        <v>3</v>
      </c>
      <c r="AC873" s="378" t="inlineStr">
        <is>
          <t>53</t>
        </is>
      </c>
      <c r="AD873" s="384" t="inlineStr">
        <is>
          <t xml:space="preserve">S-W CONAGRA BEEF CO </t>
        </is>
      </c>
      <c r="AE873" s="145" t="n"/>
      <c r="AF873" s="145" t="n"/>
      <c r="AG873" s="145" t="n"/>
      <c r="AH873" s="145" t="n"/>
      <c r="AI873" s="145" t="n"/>
      <c r="AJ873" s="145" t="n"/>
      <c r="AK873" s="145" t="n"/>
      <c r="AL873" s="605">
        <f>IF(AND(ISNUMBER($S873),$S873&gt;0,ISNUMBER($K873),ISNUMBER($J873)),($K873*$J873)/$S873,"")</f>
        <v/>
      </c>
    </row>
    <row r="874" ht="12.75" customHeight="1" s="545">
      <c r="A874" s="388" t="n">
        <v>8</v>
      </c>
      <c r="B874" s="605" t="n">
        <v>866</v>
      </c>
      <c r="C874" s="384" t="inlineStr">
        <is>
          <t>2009Q</t>
        </is>
      </c>
      <c r="D874" s="605" t="inlineStr">
        <is>
          <t xml:space="preserve">05093-05-008-000 </t>
        </is>
      </c>
      <c r="E874" s="407" t="inlineStr">
        <is>
          <t>Actual</t>
        </is>
      </c>
      <c r="F874" s="605" t="inlineStr">
        <is>
          <t>355   YUMA                 ST</t>
        </is>
      </c>
      <c r="G874" s="392" t="n">
        <v>44.1</v>
      </c>
      <c r="H874" s="378" t="n">
        <v>9508</v>
      </c>
      <c r="I874" s="403" t="n">
        <v>0</v>
      </c>
      <c r="J874" s="404" t="n">
        <v>5500</v>
      </c>
      <c r="K874" s="408" t="n">
        <v>8.62454545454546</v>
      </c>
      <c r="L874" s="409" t="n">
        <v>0</v>
      </c>
      <c r="M874" s="409" t="n">
        <v>0.0207230947612522</v>
      </c>
      <c r="N874" s="378" t="n">
        <v>1964</v>
      </c>
      <c r="O874" s="393" t="n">
        <v>1150</v>
      </c>
      <c r="Q874" s="605" t="n">
        <v>13</v>
      </c>
      <c r="R874" s="605" t="n">
        <v>1</v>
      </c>
      <c r="S874" s="605" t="n">
        <v>1</v>
      </c>
      <c r="T874" s="403" t="inlineStr">
        <is>
          <t xml:space="preserve">I1   </t>
        </is>
      </c>
      <c r="U874" s="403" t="n">
        <v>398</v>
      </c>
      <c r="V874" s="404" t="n">
        <v>17250</v>
      </c>
      <c r="W874" s="404" t="n">
        <v>17000</v>
      </c>
      <c r="X874" s="410" t="inlineStr">
        <is>
          <t>3.1:1</t>
        </is>
      </c>
      <c r="Y874" s="404">
        <f>ROUND(J874,-3)</f>
        <v/>
      </c>
      <c r="Z874" s="403" t="inlineStr">
        <is>
          <t xml:space="preserve">C </t>
        </is>
      </c>
      <c r="AA874" s="605" t="n">
        <v>3</v>
      </c>
      <c r="AB874" s="605" t="n">
        <v>3</v>
      </c>
      <c r="AC874" s="378" t="inlineStr">
        <is>
          <t>33</t>
        </is>
      </c>
      <c r="AD874" s="384" t="inlineStr">
        <is>
          <t xml:space="preserve">PARASOL             </t>
        </is>
      </c>
      <c r="AE874" s="145" t="n"/>
      <c r="AF874" s="145" t="n"/>
      <c r="AG874" s="145" t="n"/>
      <c r="AH874" s="145" t="n"/>
      <c r="AI874" s="145" t="n"/>
      <c r="AJ874" s="145" t="n"/>
      <c r="AK874" s="145" t="n"/>
      <c r="AL874" s="605">
        <f>IF(AND(ISNUMBER($S874),$S874&gt;0,ISNUMBER($K874),ISNUMBER($J874)),($K874*$J874)/$S874,"")</f>
        <v/>
      </c>
    </row>
    <row r="875" ht="12.75" customHeight="1" s="545">
      <c r="A875" s="388" t="n">
        <v>8</v>
      </c>
      <c r="B875" s="605" t="n">
        <v>867</v>
      </c>
      <c r="C875" s="384" t="inlineStr">
        <is>
          <t>2009Q</t>
        </is>
      </c>
      <c r="D875" s="605" t="inlineStr">
        <is>
          <t xml:space="preserve">05093-11-008-000 </t>
        </is>
      </c>
      <c r="E875" s="407" t="inlineStr">
        <is>
          <t>Actual</t>
        </is>
      </c>
      <c r="F875" s="605" t="inlineStr">
        <is>
          <t>145   YUMA                 ST</t>
        </is>
      </c>
      <c r="G875" s="392" t="n">
        <v>44.1</v>
      </c>
      <c r="H875" s="378" t="n">
        <v>9508</v>
      </c>
      <c r="I875" s="403" t="n">
        <v>0</v>
      </c>
      <c r="J875" s="404" t="n">
        <v>6930</v>
      </c>
      <c r="K875" s="408" t="n">
        <v>5.96969696969697</v>
      </c>
      <c r="L875" s="409" t="n">
        <v>0</v>
      </c>
      <c r="M875" s="409" t="n">
        <v>0.122673434856176</v>
      </c>
      <c r="N875" s="378" t="n">
        <v>1965</v>
      </c>
      <c r="O875" s="393" t="n">
        <v>1260</v>
      </c>
      <c r="Q875" s="605" t="n">
        <v>13</v>
      </c>
      <c r="R875" s="605" t="n">
        <v>1</v>
      </c>
      <c r="S875" s="605" t="n">
        <v>1</v>
      </c>
      <c r="T875" s="403" t="inlineStr">
        <is>
          <t xml:space="preserve">I1   </t>
        </is>
      </c>
      <c r="U875" s="403" t="n">
        <v>398</v>
      </c>
      <c r="V875" s="404" t="n">
        <v>18900</v>
      </c>
      <c r="W875" s="404" t="n">
        <v>19000</v>
      </c>
      <c r="X875" s="410" t="inlineStr">
        <is>
          <t>2.7:1</t>
        </is>
      </c>
      <c r="Y875" s="404">
        <f>ROUND(J875,-3)</f>
        <v/>
      </c>
      <c r="Z875" s="403" t="inlineStr">
        <is>
          <t xml:space="preserve">C </t>
        </is>
      </c>
      <c r="AA875" s="605" t="n">
        <v>3</v>
      </c>
      <c r="AB875" s="605" t="n">
        <v>3</v>
      </c>
      <c r="AC875" s="378" t="inlineStr">
        <is>
          <t>33</t>
        </is>
      </c>
      <c r="AD875" s="384" t="n"/>
      <c r="AE875" s="145" t="n"/>
      <c r="AF875" s="145" t="n"/>
      <c r="AG875" s="145" t="n"/>
      <c r="AH875" s="145" t="n"/>
      <c r="AI875" s="145" t="n"/>
      <c r="AJ875" s="145" t="n"/>
      <c r="AK875" s="145" t="inlineStr">
        <is>
          <t xml:space="preserve">100% VACANT AS OF 6/30/2008                                       </t>
        </is>
      </c>
      <c r="AL875" s="605">
        <f>IF(AND(ISNUMBER($S875),$S875&gt;0,ISNUMBER($K875),ISNUMBER($J875)),($K875*$J875)/$S875,"")</f>
        <v/>
      </c>
    </row>
    <row r="876" ht="12.75" customHeight="1" s="545">
      <c r="A876" s="388" t="n">
        <v>8</v>
      </c>
      <c r="B876" s="605" t="n">
        <v>868</v>
      </c>
      <c r="C876" s="384" t="inlineStr">
        <is>
          <t>2009Q</t>
        </is>
      </c>
      <c r="D876" s="605" t="inlineStr">
        <is>
          <t xml:space="preserve">05094-04-016-000 </t>
        </is>
      </c>
      <c r="E876" s="407" t="inlineStr">
        <is>
          <t>Actual</t>
        </is>
      </c>
      <c r="F876" s="605" t="inlineStr">
        <is>
          <t>1455 W CEDAR                AV</t>
        </is>
      </c>
      <c r="G876" s="392" t="n">
        <v>44.1</v>
      </c>
      <c r="H876" s="378" t="n">
        <v>9508</v>
      </c>
      <c r="I876" s="403" t="n">
        <v>0</v>
      </c>
      <c r="J876" s="404" t="n">
        <v>2400</v>
      </c>
      <c r="K876" s="408" t="n">
        <v>9</v>
      </c>
      <c r="L876" s="409" t="n">
        <v>0</v>
      </c>
      <c r="M876" s="409" t="n">
        <v>0.143611111111111</v>
      </c>
      <c r="N876" s="378" t="n">
        <v>1982</v>
      </c>
      <c r="O876" s="393" t="n">
        <v>678</v>
      </c>
      <c r="Q876" s="605" t="n">
        <v>15</v>
      </c>
      <c r="R876" s="605" t="n">
        <v>7</v>
      </c>
      <c r="S876" s="605" t="n">
        <v>1</v>
      </c>
      <c r="T876" s="403" t="inlineStr">
        <is>
          <t xml:space="preserve">I0   </t>
        </is>
      </c>
      <c r="U876" s="403" t="n">
        <v>398</v>
      </c>
      <c r="V876" s="404" t="n">
        <v>9375</v>
      </c>
      <c r="W876" s="404" t="n">
        <v>9000</v>
      </c>
      <c r="X876" s="410" t="inlineStr">
        <is>
          <t>3.9:1</t>
        </is>
      </c>
      <c r="Y876" s="404">
        <f>ROUND(J876,-3)</f>
        <v/>
      </c>
      <c r="Z876" s="403" t="inlineStr">
        <is>
          <t xml:space="preserve">C </t>
        </is>
      </c>
      <c r="AA876" s="605" t="n">
        <v>3</v>
      </c>
      <c r="AB876" s="605" t="n">
        <v>3</v>
      </c>
      <c r="AC876" s="378" t="inlineStr">
        <is>
          <t>33</t>
        </is>
      </c>
      <c r="AD876" s="384" t="inlineStr">
        <is>
          <t>S-W COMM COMMUNCATNS</t>
        </is>
      </c>
      <c r="AE876" s="145" t="n"/>
      <c r="AF876" s="145" t="n"/>
      <c r="AG876" s="145" t="n"/>
      <c r="AH876" s="145" t="n"/>
      <c r="AI876" s="145" t="n"/>
      <c r="AJ876" s="145" t="n"/>
      <c r="AK876" s="145" t="n"/>
      <c r="AL876" s="605">
        <f>IF(AND(ISNUMBER($S876),$S876&gt;0,ISNUMBER($K876),ISNUMBER($J876)),($K876*$J876)/$S876,"")</f>
        <v/>
      </c>
    </row>
    <row r="877" ht="12.75" customHeight="1" s="545">
      <c r="A877" s="388" t="n">
        <v>8</v>
      </c>
      <c r="B877" s="605" t="n">
        <v>869</v>
      </c>
      <c r="C877" s="384" t="inlineStr">
        <is>
          <t>2009Q</t>
        </is>
      </c>
      <c r="D877" s="605" t="inlineStr">
        <is>
          <t xml:space="preserve">05094-04-021-000 </t>
        </is>
      </c>
      <c r="E877" s="407" t="inlineStr">
        <is>
          <t>Actual</t>
        </is>
      </c>
      <c r="F877" s="605" t="inlineStr">
        <is>
          <t>1415 W CEDAR                AV</t>
        </is>
      </c>
      <c r="G877" s="392" t="n">
        <v>44.1</v>
      </c>
      <c r="H877" s="378" t="n">
        <v>9508</v>
      </c>
      <c r="I877" s="403" t="n">
        <v>0</v>
      </c>
      <c r="J877" s="404" t="n">
        <v>3531</v>
      </c>
      <c r="K877" s="408" t="n">
        <v>11.4698385726423</v>
      </c>
      <c r="L877" s="409" t="n">
        <v>0</v>
      </c>
      <c r="M877" s="409" t="n">
        <v>0.323530864197531</v>
      </c>
      <c r="N877" s="378" t="n">
        <v>1983</v>
      </c>
      <c r="O877" s="393">
        <f>1983+1194</f>
        <v/>
      </c>
      <c r="Q877" s="605" t="n">
        <v>17</v>
      </c>
      <c r="R877" s="605" t="n">
        <v>1</v>
      </c>
      <c r="S877" s="605" t="n">
        <v>1</v>
      </c>
      <c r="T877" s="403" t="inlineStr">
        <is>
          <t xml:space="preserve">I0   </t>
        </is>
      </c>
      <c r="U877" s="403" t="n">
        <v>398</v>
      </c>
      <c r="V877" s="404" t="n">
        <v>6875</v>
      </c>
      <c r="W877" s="404" t="n">
        <v>7000</v>
      </c>
      <c r="X877" s="410" t="inlineStr">
        <is>
          <t>1.9:1</t>
        </is>
      </c>
      <c r="Y877" s="404">
        <f>ROUND(J877,-3)</f>
        <v/>
      </c>
      <c r="Z877" s="403" t="inlineStr">
        <is>
          <t xml:space="preserve">C </t>
        </is>
      </c>
      <c r="AA877" s="605" t="n">
        <v>3</v>
      </c>
      <c r="AB877" s="605" t="n">
        <v>3</v>
      </c>
      <c r="AC877" s="378" t="inlineStr">
        <is>
          <t>33</t>
        </is>
      </c>
      <c r="AD877" s="384" t="inlineStr">
        <is>
          <t xml:space="preserve">S-W SASCO           </t>
        </is>
      </c>
      <c r="AE877" s="145" t="n"/>
      <c r="AF877" s="145" t="n"/>
      <c r="AG877" s="145" t="n"/>
      <c r="AH877" s="145" t="n"/>
      <c r="AI877" s="145" t="n"/>
      <c r="AJ877" s="145" t="n"/>
      <c r="AK877" s="145" t="n"/>
      <c r="AL877" s="605">
        <f>IF(AND(ISNUMBER($S877),$S877&gt;0,ISNUMBER($K877),ISNUMBER($J877)),($K877*$J877)/$S877,"")</f>
        <v/>
      </c>
    </row>
    <row r="878" ht="12.75" customHeight="1" s="545">
      <c r="A878" s="388" t="n">
        <v>8</v>
      </c>
      <c r="B878" s="605" t="n">
        <v>870</v>
      </c>
      <c r="C878" s="384" t="inlineStr">
        <is>
          <t>2009Q</t>
        </is>
      </c>
      <c r="D878" s="605" t="inlineStr">
        <is>
          <t xml:space="preserve">05094-04-024-000 </t>
        </is>
      </c>
      <c r="E878" s="407" t="inlineStr">
        <is>
          <t>Actual</t>
        </is>
      </c>
      <c r="F878" s="605" t="inlineStr">
        <is>
          <t>175 S PECOS                ST</t>
        </is>
      </c>
      <c r="G878" s="392" t="n">
        <v>44.2</v>
      </c>
      <c r="H878" s="378" t="n">
        <v>9508</v>
      </c>
      <c r="I878" s="403" t="n">
        <v>0</v>
      </c>
      <c r="J878" s="404" t="n">
        <v>2550</v>
      </c>
      <c r="K878" s="408" t="n">
        <v>6.58823529411765</v>
      </c>
      <c r="L878" s="409" t="n">
        <v>0</v>
      </c>
      <c r="M878" s="409" t="n">
        <v>0</v>
      </c>
      <c r="N878" s="378" t="n">
        <v>1977</v>
      </c>
      <c r="O878" s="393" t="n">
        <v>648</v>
      </c>
      <c r="Q878" s="605" t="n">
        <v>14</v>
      </c>
      <c r="R878" s="605" t="n">
        <v>1</v>
      </c>
      <c r="S878" s="605" t="n">
        <v>2</v>
      </c>
      <c r="T878" s="403" t="inlineStr">
        <is>
          <t xml:space="preserve">I0   </t>
        </is>
      </c>
      <c r="U878" s="403" t="n">
        <v>398</v>
      </c>
      <c r="V878" s="404" t="n">
        <v>6250</v>
      </c>
      <c r="W878" s="404" t="n">
        <v>6000</v>
      </c>
      <c r="X878" s="410" t="inlineStr">
        <is>
          <t>2.5:1</t>
        </is>
      </c>
      <c r="Y878" s="404">
        <f>ROUND(J878,-3)</f>
        <v/>
      </c>
      <c r="Z878" s="403" t="inlineStr">
        <is>
          <t xml:space="preserve">C </t>
        </is>
      </c>
      <c r="AA878" s="605" t="n">
        <v>3</v>
      </c>
      <c r="AB878" s="605" t="n">
        <v>3</v>
      </c>
      <c r="AC878" s="378" t="inlineStr">
        <is>
          <t>33</t>
        </is>
      </c>
      <c r="AD878" s="384" t="inlineStr">
        <is>
          <t xml:space="preserve">M-W                 </t>
        </is>
      </c>
      <c r="AE878" s="145" t="n"/>
      <c r="AF878" s="145" t="n"/>
      <c r="AG878" s="145" t="n"/>
      <c r="AH878" s="145" t="n"/>
      <c r="AI878" s="145" t="n"/>
      <c r="AJ878" s="145" t="n"/>
      <c r="AK878" s="145" t="inlineStr">
        <is>
          <t xml:space="preserve">1/2008 LEASE                                                      </t>
        </is>
      </c>
      <c r="AL878" s="605">
        <f>IF(AND(ISNUMBER($S878),$S878&gt;0,ISNUMBER($K878),ISNUMBER($J878)),($K878*$J878)/$S878,"")</f>
        <v/>
      </c>
    </row>
    <row r="879" ht="12.75" customHeight="1" s="545">
      <c r="A879" s="388" t="n">
        <v>8</v>
      </c>
      <c r="B879" s="605" t="n">
        <v>871</v>
      </c>
      <c r="C879" s="384" t="inlineStr">
        <is>
          <t>2009Q</t>
        </is>
      </c>
      <c r="D879" s="605" t="inlineStr">
        <is>
          <t xml:space="preserve">05094-04-028-000 </t>
        </is>
      </c>
      <c r="E879" s="407" t="inlineStr">
        <is>
          <t>Actual</t>
        </is>
      </c>
      <c r="F879" s="605" t="inlineStr">
        <is>
          <t>1441 W CEDAR                AV</t>
        </is>
      </c>
      <c r="G879" s="392" t="n">
        <v>44.1</v>
      </c>
      <c r="H879" s="378" t="n">
        <v>9508</v>
      </c>
      <c r="I879" s="403" t="n">
        <v>0</v>
      </c>
      <c r="J879" s="404" t="n">
        <v>6200</v>
      </c>
      <c r="K879" s="408" t="n">
        <v>7.58064516129032</v>
      </c>
      <c r="L879" s="409" t="n">
        <v>0</v>
      </c>
      <c r="M879" s="409" t="n">
        <v>0.0197234042553192</v>
      </c>
      <c r="N879" s="378" t="n">
        <v>1983</v>
      </c>
      <c r="O879" s="393" t="n">
        <v>962</v>
      </c>
      <c r="Q879" s="605" t="n">
        <v>13</v>
      </c>
      <c r="R879" s="605" t="n">
        <v>3</v>
      </c>
      <c r="S879" s="605" t="n">
        <v>1</v>
      </c>
      <c r="T879" s="403" t="inlineStr">
        <is>
          <t xml:space="preserve">I0   </t>
        </is>
      </c>
      <c r="U879" s="403" t="n">
        <v>398</v>
      </c>
      <c r="V879" s="404" t="n">
        <v>12500</v>
      </c>
      <c r="W879" s="404" t="n">
        <v>13000</v>
      </c>
      <c r="X879" s="410" t="inlineStr">
        <is>
          <t>2.0:1</t>
        </is>
      </c>
      <c r="Y879" s="404">
        <f>ROUND(J879,-3)</f>
        <v/>
      </c>
      <c r="Z879" s="403" t="inlineStr">
        <is>
          <t xml:space="preserve">C </t>
        </is>
      </c>
      <c r="AA879" s="605" t="n">
        <v>3</v>
      </c>
      <c r="AB879" s="605" t="n">
        <v>3</v>
      </c>
      <c r="AC879" s="378" t="inlineStr">
        <is>
          <t>33</t>
        </is>
      </c>
      <c r="AD879" s="384" t="n"/>
      <c r="AE879" s="145" t="n"/>
      <c r="AF879" s="145" t="n"/>
      <c r="AG879" s="145" t="n"/>
      <c r="AH879" s="145" t="n"/>
      <c r="AI879" s="145" t="n"/>
      <c r="AJ879" s="145" t="n"/>
      <c r="AK879" s="145" t="inlineStr">
        <is>
          <t xml:space="preserve">LEASES IN 2007-$7.60 TO $8.20 PER SF-FOUR UNITS                   </t>
        </is>
      </c>
      <c r="AL879" s="605">
        <f>IF(AND(ISNUMBER($S879),$S879&gt;0,ISNUMBER($K879),ISNUMBER($J879)),($K879*$J879)/$S879,"")</f>
        <v/>
      </c>
    </row>
    <row r="880" ht="12.75" customHeight="1" s="545">
      <c r="A880" s="388" t="n">
        <v>8</v>
      </c>
      <c r="B880" s="605" t="n">
        <v>872</v>
      </c>
      <c r="C880" s="384" t="inlineStr">
        <is>
          <t>2009Q</t>
        </is>
      </c>
      <c r="D880" s="605" t="inlineStr">
        <is>
          <t xml:space="preserve">05094-04-029-000 </t>
        </is>
      </c>
      <c r="E880" s="407" t="inlineStr">
        <is>
          <t>Actual</t>
        </is>
      </c>
      <c r="F880" s="605" t="inlineStr">
        <is>
          <t>1472 W MAPLE                AV</t>
        </is>
      </c>
      <c r="G880" s="392" t="n">
        <v>44.2</v>
      </c>
      <c r="H880" s="378" t="n">
        <v>9508</v>
      </c>
      <c r="I880" s="403" t="n">
        <v>0</v>
      </c>
      <c r="J880" s="404" t="n">
        <v>19008</v>
      </c>
      <c r="K880" s="408" t="n">
        <v>5.90004208754209</v>
      </c>
      <c r="L880" s="409" t="n">
        <v>0</v>
      </c>
      <c r="M880" s="409" t="n">
        <v>0.300272853729001</v>
      </c>
      <c r="N880" s="378" t="n">
        <v>1998</v>
      </c>
      <c r="O880" s="393" t="n">
        <v>2117</v>
      </c>
      <c r="Q880" s="605" t="n">
        <v>19</v>
      </c>
      <c r="R880" s="605" t="n">
        <v>14</v>
      </c>
      <c r="S880" s="605" t="n">
        <v>1</v>
      </c>
      <c r="T880" s="403" t="inlineStr">
        <is>
          <t xml:space="preserve">I0   </t>
        </is>
      </c>
      <c r="U880" s="403" t="n">
        <v>398</v>
      </c>
      <c r="V880" s="404" t="n">
        <v>25000</v>
      </c>
      <c r="W880" s="404" t="n">
        <v>25000</v>
      </c>
      <c r="X880" s="410" t="inlineStr">
        <is>
          <t>1.3:1</t>
        </is>
      </c>
      <c r="Y880" s="404">
        <f>ROUND(J880,-3)</f>
        <v/>
      </c>
      <c r="Z880" s="403" t="inlineStr">
        <is>
          <t xml:space="preserve">C </t>
        </is>
      </c>
      <c r="AA880" s="605" t="n">
        <v>3</v>
      </c>
      <c r="AB880" s="605" t="n">
        <v>3</v>
      </c>
      <c r="AC880" s="378" t="inlineStr">
        <is>
          <t>33</t>
        </is>
      </c>
      <c r="AD880" s="384" t="inlineStr">
        <is>
          <t xml:space="preserve">M-D DIST WHSE       </t>
        </is>
      </c>
      <c r="AE880" s="145" t="n"/>
      <c r="AF880" s="145" t="n"/>
      <c r="AG880" s="145" t="n"/>
      <c r="AH880" s="145" t="n"/>
      <c r="AI880" s="145" t="n"/>
      <c r="AJ880" s="145" t="n"/>
      <c r="AK880" s="145" t="inlineStr">
        <is>
          <t xml:space="preserve">TWO UNITS                                                         </t>
        </is>
      </c>
      <c r="AL880" s="605">
        <f>IF(AND(ISNUMBER($S880),$S880&gt;0,ISNUMBER($K880),ISNUMBER($J880)),($K880*$J880)/$S880,"")</f>
        <v/>
      </c>
    </row>
    <row r="881" ht="12.75" customHeight="1" s="545">
      <c r="A881" s="388" t="n">
        <v>8</v>
      </c>
      <c r="B881" s="605" t="n">
        <v>873</v>
      </c>
      <c r="C881" s="384" t="inlineStr">
        <is>
          <t>2009Q</t>
        </is>
      </c>
      <c r="D881" s="605" t="inlineStr">
        <is>
          <t xml:space="preserve">05094-06-001-000 </t>
        </is>
      </c>
      <c r="E881" s="407" t="inlineStr">
        <is>
          <t>Actual</t>
        </is>
      </c>
      <c r="F881" s="605" t="inlineStr">
        <is>
          <t>1500 W CEDAR                AV</t>
        </is>
      </c>
      <c r="G881" s="392" t="n">
        <v>44.1</v>
      </c>
      <c r="H881" s="378" t="n">
        <v>9508</v>
      </c>
      <c r="I881" s="403" t="n">
        <v>0</v>
      </c>
      <c r="J881" s="404" t="n">
        <v>3333</v>
      </c>
      <c r="K881" s="408" t="n">
        <v>11.1611161116112</v>
      </c>
      <c r="L881" s="409" t="n">
        <v>0</v>
      </c>
      <c r="M881" s="409" t="n">
        <v>0.456532258064516</v>
      </c>
      <c r="N881" s="378" t="n">
        <v>1987</v>
      </c>
      <c r="O881" s="393">
        <f>1140*2</f>
        <v/>
      </c>
      <c r="Q881" s="605" t="n">
        <v>18</v>
      </c>
      <c r="R881" s="605" t="n">
        <v>1</v>
      </c>
      <c r="S881" s="605" t="n">
        <v>1</v>
      </c>
      <c r="T881" s="403" t="inlineStr">
        <is>
          <t xml:space="preserve">I0   </t>
        </is>
      </c>
      <c r="U881" s="403" t="n">
        <v>398</v>
      </c>
      <c r="V881" s="404" t="n">
        <v>6870</v>
      </c>
      <c r="W881" s="404" t="n">
        <v>7000</v>
      </c>
      <c r="X881" s="410" t="inlineStr">
        <is>
          <t>2.1:1</t>
        </is>
      </c>
      <c r="Y881" s="404">
        <f>ROUND(J881,-3)</f>
        <v/>
      </c>
      <c r="Z881" s="403" t="inlineStr">
        <is>
          <t xml:space="preserve">C </t>
        </is>
      </c>
      <c r="AA881" s="605" t="n">
        <v>3</v>
      </c>
      <c r="AB881" s="605" t="n">
        <v>3</v>
      </c>
      <c r="AC881" s="378" t="inlineStr">
        <is>
          <t>33</t>
        </is>
      </c>
      <c r="AD881" s="384" t="inlineStr">
        <is>
          <t xml:space="preserve">S-W CHATCO          </t>
        </is>
      </c>
      <c r="AE881" s="145" t="n"/>
      <c r="AF881" s="145" t="n"/>
      <c r="AG881" s="145" t="n"/>
      <c r="AH881" s="145" t="n"/>
      <c r="AI881" s="145" t="n"/>
      <c r="AJ881" s="145" t="n"/>
      <c r="AK881" s="145" t="n"/>
      <c r="AL881" s="605">
        <f>IF(AND(ISNUMBER($S881),$S881&gt;0,ISNUMBER($K881),ISNUMBER($J881)),($K881*$J881)/$S881,"")</f>
        <v/>
      </c>
    </row>
    <row r="882" ht="12.75" customHeight="1" s="545">
      <c r="A882" s="388" t="n">
        <v>8</v>
      </c>
      <c r="B882" s="605" t="n">
        <v>874</v>
      </c>
      <c r="C882" s="384" t="inlineStr">
        <is>
          <t>2009Q</t>
        </is>
      </c>
      <c r="D882" s="605" t="inlineStr">
        <is>
          <t xml:space="preserve">05095-05-005-000 </t>
        </is>
      </c>
      <c r="E882" s="407" t="inlineStr">
        <is>
          <t>Actual</t>
        </is>
      </c>
      <c r="F882" s="605" t="inlineStr">
        <is>
          <t>1345 W BAYAUD               AV</t>
        </is>
      </c>
      <c r="G882" s="392" t="n">
        <v>44.1</v>
      </c>
      <c r="H882" s="378" t="n">
        <v>9508</v>
      </c>
      <c r="I882" s="403" t="n">
        <v>0</v>
      </c>
      <c r="J882" s="404" t="n">
        <v>3424</v>
      </c>
      <c r="K882" s="408" t="n">
        <v>8.411214953271029</v>
      </c>
      <c r="L882" s="409" t="n">
        <v>0</v>
      </c>
      <c r="M882" s="409" t="n">
        <v>0.0288888888888889</v>
      </c>
      <c r="N882" s="378" t="n">
        <v>1966</v>
      </c>
      <c r="O882" s="393" t="n">
        <v>1024</v>
      </c>
      <c r="Q882" s="605" t="n">
        <v>12</v>
      </c>
      <c r="R882" s="605" t="n">
        <v>7</v>
      </c>
      <c r="S882" s="605" t="n">
        <v>1</v>
      </c>
      <c r="T882" s="403" t="inlineStr">
        <is>
          <t xml:space="preserve">I2   </t>
        </is>
      </c>
      <c r="U882" s="403" t="n">
        <v>398</v>
      </c>
      <c r="V882" s="404" t="n">
        <v>21106</v>
      </c>
      <c r="W882" s="404" t="n">
        <v>21000</v>
      </c>
      <c r="X882" s="410" t="inlineStr">
        <is>
          <t>6.2:1</t>
        </is>
      </c>
      <c r="Y882" s="404">
        <f>ROUND(J882,-3)</f>
        <v/>
      </c>
      <c r="Z882" s="403" t="inlineStr">
        <is>
          <t xml:space="preserve">C </t>
        </is>
      </c>
      <c r="AA882" s="605" t="n">
        <v>3</v>
      </c>
      <c r="AB882" s="605" t="n">
        <v>3</v>
      </c>
      <c r="AC882" s="378" t="inlineStr">
        <is>
          <t>33</t>
        </is>
      </c>
      <c r="AD882" s="384" t="inlineStr">
        <is>
          <t>S-W LINCOLN LANDSCPE</t>
        </is>
      </c>
      <c r="AE882" s="145" t="n"/>
      <c r="AF882" s="145" t="n"/>
      <c r="AG882" s="145" t="n"/>
      <c r="AH882" s="145" t="n"/>
      <c r="AI882" s="145" t="n"/>
      <c r="AJ882" s="145" t="n"/>
      <c r="AK882" s="145" t="n"/>
      <c r="AL882" s="605">
        <f>IF(AND(ISNUMBER($S882),$S882&gt;0,ISNUMBER($K882),ISNUMBER($J882)),($K882*$J882)/$S882,"")</f>
        <v/>
      </c>
    </row>
    <row r="883" ht="12.75" customHeight="1" s="545">
      <c r="A883" s="388" t="n">
        <v>8</v>
      </c>
      <c r="B883" s="605" t="n">
        <v>875</v>
      </c>
      <c r="C883" s="384" t="inlineStr">
        <is>
          <t>2009Q</t>
        </is>
      </c>
      <c r="D883" s="605" t="inlineStr">
        <is>
          <t xml:space="preserve">05095-07-029-000 </t>
        </is>
      </c>
      <c r="E883" s="407" t="inlineStr">
        <is>
          <t>Actual</t>
        </is>
      </c>
      <c r="F883" s="605" t="inlineStr">
        <is>
          <t>1531 W BAYAUD               AV</t>
        </is>
      </c>
      <c r="G883" s="392" t="n">
        <v>44.2</v>
      </c>
      <c r="H883" s="378" t="n">
        <v>9508</v>
      </c>
      <c r="I883" s="403" t="n">
        <v>0</v>
      </c>
      <c r="J883" s="404" t="n">
        <v>5238</v>
      </c>
      <c r="K883" s="408" t="n">
        <v>5.74417716685758</v>
      </c>
      <c r="L883" s="409" t="n">
        <v>0</v>
      </c>
      <c r="M883" s="409" t="n">
        <v>0.267016750864132</v>
      </c>
      <c r="N883" s="378" t="n">
        <v>1985</v>
      </c>
      <c r="O883" s="393">
        <f>522+800</f>
        <v/>
      </c>
      <c r="Q883" s="605" t="n">
        <v>13</v>
      </c>
      <c r="R883" s="605" t="n">
        <v>3</v>
      </c>
      <c r="S883" s="605" t="n">
        <v>3</v>
      </c>
      <c r="T883" s="403" t="inlineStr">
        <is>
          <t xml:space="preserve">I0   </t>
        </is>
      </c>
      <c r="U883" s="403" t="n">
        <v>398</v>
      </c>
      <c r="V883" s="404" t="n">
        <v>19950</v>
      </c>
      <c r="W883" s="404" t="n">
        <v>20000</v>
      </c>
      <c r="X883" s="410" t="inlineStr">
        <is>
          <t>1.7:1</t>
        </is>
      </c>
      <c r="Y883" s="404">
        <f>ROUND(J883,-3)</f>
        <v/>
      </c>
      <c r="Z883" s="403" t="inlineStr">
        <is>
          <t xml:space="preserve">C </t>
        </is>
      </c>
      <c r="AA883" s="605" t="n">
        <v>3</v>
      </c>
      <c r="AB883" s="605" t="n">
        <v>3</v>
      </c>
      <c r="AC883" s="378" t="inlineStr">
        <is>
          <t>33</t>
        </is>
      </c>
      <c r="AD883" s="384" t="inlineStr">
        <is>
          <t xml:space="preserve">WAREHOUSE           </t>
        </is>
      </c>
      <c r="AE883" s="145" t="n"/>
      <c r="AF883" s="145" t="n"/>
      <c r="AG883" s="145" t="n"/>
      <c r="AH883" s="145" t="n"/>
      <c r="AI883" s="145" t="n"/>
      <c r="AJ883" s="145" t="n"/>
      <c r="AK883" s="145" t="inlineStr">
        <is>
          <t xml:space="preserve">THREE UNITS-OWNER OCCUPIES 6,450 SF                               </t>
        </is>
      </c>
      <c r="AL883" s="605">
        <f>IF(AND(ISNUMBER($S883),$S883&gt;0,ISNUMBER($K883),ISNUMBER($J883)),($K883*$J883)/$S883,"")</f>
        <v/>
      </c>
    </row>
    <row r="884" ht="12.75" customHeight="1" s="545">
      <c r="A884" s="388" t="n">
        <v>8</v>
      </c>
      <c r="B884" s="605" t="n">
        <v>876</v>
      </c>
      <c r="C884" s="384" t="inlineStr">
        <is>
          <t>2009Q</t>
        </is>
      </c>
      <c r="D884" s="605" t="inlineStr">
        <is>
          <t xml:space="preserve">05095-08-006-000 </t>
        </is>
      </c>
      <c r="E884" s="407" t="inlineStr">
        <is>
          <t>Actual</t>
        </is>
      </c>
      <c r="F884" s="605" t="inlineStr">
        <is>
          <t>1340 W BAYAUD               AV</t>
        </is>
      </c>
      <c r="G884" s="392" t="n">
        <v>44.1</v>
      </c>
      <c r="H884" s="378" t="n">
        <v>9508</v>
      </c>
      <c r="I884" s="403" t="n">
        <v>0</v>
      </c>
      <c r="J884" s="404" t="n">
        <v>21450</v>
      </c>
      <c r="K884" s="408" t="n">
        <v>4.88484848484849</v>
      </c>
      <c r="L884" s="409" t="n">
        <v>0</v>
      </c>
      <c r="M884" s="409" t="n">
        <v>0.237077686581409</v>
      </c>
      <c r="N884" s="378" t="n">
        <v>1977</v>
      </c>
      <c r="O884" s="393">
        <f>-168+531</f>
        <v/>
      </c>
      <c r="P884" s="393" t="n">
        <v>3381</v>
      </c>
      <c r="Q884" s="605" t="n">
        <v>21</v>
      </c>
      <c r="R884" s="605" t="n">
        <v>14</v>
      </c>
      <c r="S884" s="605" t="n">
        <v>1</v>
      </c>
      <c r="T884" s="403" t="inlineStr">
        <is>
          <t xml:space="preserve">I2   </t>
        </is>
      </c>
      <c r="U884" s="403" t="n">
        <v>398</v>
      </c>
      <c r="V884" s="404" t="n">
        <v>33457</v>
      </c>
      <c r="W884" s="404" t="n">
        <v>33000</v>
      </c>
      <c r="X884" s="410" t="inlineStr">
        <is>
          <t>1.5:1</t>
        </is>
      </c>
      <c r="Y884" s="404">
        <f>ROUND(J884,-3)</f>
        <v/>
      </c>
      <c r="Z884" s="403" t="inlineStr">
        <is>
          <t xml:space="preserve">C </t>
        </is>
      </c>
      <c r="AA884" s="605" t="n">
        <v>3</v>
      </c>
      <c r="AB884" s="605" t="n">
        <v>2</v>
      </c>
      <c r="AC884" s="378" t="inlineStr">
        <is>
          <t>32</t>
        </is>
      </c>
      <c r="AD884" s="384" t="inlineStr">
        <is>
          <t xml:space="preserve">M-W                 </t>
        </is>
      </c>
      <c r="AE884" s="145" t="n"/>
      <c r="AF884" s="145" t="n"/>
      <c r="AG884" s="145" t="n"/>
      <c r="AH884" s="145" t="n"/>
      <c r="AI884" s="145" t="n"/>
      <c r="AJ884" s="145" t="n"/>
      <c r="AK884" s="145" t="inlineStr">
        <is>
          <t xml:space="preserve">4 UNITS-TWO BASE YEAR LEASES                                      </t>
        </is>
      </c>
      <c r="AL884" s="605">
        <f>IF(AND(ISNUMBER($S884),$S884&gt;0,ISNUMBER($K884),ISNUMBER($J884)),($K884*$J884)/$S884,"")</f>
        <v/>
      </c>
    </row>
    <row r="885" ht="12.75" customHeight="1" s="545">
      <c r="A885" s="388" t="n">
        <v>8</v>
      </c>
      <c r="B885" s="605" t="n">
        <v>877</v>
      </c>
      <c r="C885" s="384" t="inlineStr">
        <is>
          <t>2009Q</t>
        </is>
      </c>
      <c r="D885" s="605" t="inlineStr">
        <is>
          <t xml:space="preserve">05095-08-009-000 </t>
        </is>
      </c>
      <c r="E885" s="407" t="inlineStr">
        <is>
          <t>Actual</t>
        </is>
      </c>
      <c r="F885" s="605" t="inlineStr">
        <is>
          <t>140 S PECOS                ST</t>
        </is>
      </c>
      <c r="G885" s="392" t="n">
        <v>44.1</v>
      </c>
      <c r="H885" s="378" t="n">
        <v>9508</v>
      </c>
      <c r="I885" s="403" t="n">
        <v>0</v>
      </c>
      <c r="J885" s="404" t="n">
        <v>25496</v>
      </c>
      <c r="K885" s="408" t="n">
        <v>6.16841857546282</v>
      </c>
      <c r="L885" s="409" t="n">
        <v>0</v>
      </c>
      <c r="M885" s="409" t="n">
        <v>0.208463152540218</v>
      </c>
      <c r="N885" s="378" t="n">
        <v>1996</v>
      </c>
      <c r="O885" s="393" t="n">
        <v>1703</v>
      </c>
      <c r="Q885" s="605" t="n">
        <v>24</v>
      </c>
      <c r="R885" s="605" t="n">
        <v>4</v>
      </c>
      <c r="S885" s="605" t="n">
        <v>2</v>
      </c>
      <c r="T885" s="403" t="inlineStr">
        <is>
          <t xml:space="preserve">I2   </t>
        </is>
      </c>
      <c r="U885" s="403" t="n">
        <v>398</v>
      </c>
      <c r="V885" s="404" t="n">
        <v>36816</v>
      </c>
      <c r="W885" s="404" t="n">
        <v>37000</v>
      </c>
      <c r="X885" s="410" t="inlineStr">
        <is>
          <t>1.4:1</t>
        </is>
      </c>
      <c r="Y885" s="404">
        <f>ROUND(J885,-3)</f>
        <v/>
      </c>
      <c r="Z885" s="403" t="inlineStr">
        <is>
          <t xml:space="preserve">C </t>
        </is>
      </c>
      <c r="AA885" s="605" t="n">
        <v>3</v>
      </c>
      <c r="AB885" s="605" t="n">
        <v>3</v>
      </c>
      <c r="AC885" s="378" t="inlineStr">
        <is>
          <t>33</t>
        </is>
      </c>
      <c r="AD885" s="384" t="inlineStr">
        <is>
          <t xml:space="preserve">DISTRIBUTION WHSE   </t>
        </is>
      </c>
      <c r="AE885" s="145" t="n"/>
      <c r="AF885" s="145" t="n"/>
      <c r="AG885" s="145" t="n"/>
      <c r="AH885" s="145" t="n"/>
      <c r="AI885" s="145" t="n"/>
      <c r="AJ885" s="145" t="n"/>
      <c r="AK885" s="145" t="n"/>
      <c r="AL885" s="605">
        <f>IF(AND(ISNUMBER($S885),$S885&gt;0,ISNUMBER($K885),ISNUMBER($J885)),($K885*$J885)/$S885,"")</f>
        <v/>
      </c>
    </row>
    <row r="886" ht="12.75" customHeight="1" s="545">
      <c r="A886" s="388" t="n">
        <v>8</v>
      </c>
      <c r="B886" s="605" t="n">
        <v>878</v>
      </c>
      <c r="C886" s="384" t="inlineStr">
        <is>
          <t>2009Q</t>
        </is>
      </c>
      <c r="D886" s="605" t="inlineStr">
        <is>
          <t xml:space="preserve">05095-12-015-000 </t>
        </is>
      </c>
      <c r="E886" s="407" t="inlineStr">
        <is>
          <t>Actual</t>
        </is>
      </c>
      <c r="F886" s="605" t="inlineStr">
        <is>
          <t>240 S PECOS                ST</t>
        </is>
      </c>
      <c r="G886" s="392" t="n">
        <v>44.1</v>
      </c>
      <c r="H886" s="378" t="n">
        <v>9508</v>
      </c>
      <c r="I886" s="403" t="n">
        <v>0</v>
      </c>
      <c r="J886" s="404" t="n">
        <v>2905</v>
      </c>
      <c r="K886" s="408" t="n">
        <v>4.13080895008606</v>
      </c>
      <c r="L886" s="409" t="n">
        <v>0</v>
      </c>
      <c r="M886" s="409" t="n">
        <v>0</v>
      </c>
      <c r="N886" s="378" t="n">
        <v>1978</v>
      </c>
      <c r="O886" s="393" t="n">
        <v>350</v>
      </c>
      <c r="Q886" s="605" t="n">
        <v>14</v>
      </c>
      <c r="R886" s="605" t="n">
        <v>3</v>
      </c>
      <c r="S886" s="605" t="n">
        <v>1</v>
      </c>
      <c r="T886" s="403" t="inlineStr">
        <is>
          <t xml:space="preserve">I0   </t>
        </is>
      </c>
      <c r="U886" s="403" t="n">
        <v>398</v>
      </c>
      <c r="V886" s="404" t="n">
        <v>6875</v>
      </c>
      <c r="W886" s="404" t="n">
        <v>7000</v>
      </c>
      <c r="X886" s="410" t="inlineStr">
        <is>
          <t>2.4:1</t>
        </is>
      </c>
      <c r="Y886" s="404">
        <f>ROUND(J886,-3)</f>
        <v/>
      </c>
      <c r="Z886" s="403" t="inlineStr">
        <is>
          <t xml:space="preserve">C </t>
        </is>
      </c>
      <c r="AA886" s="605" t="n">
        <v>3</v>
      </c>
      <c r="AB886" s="605" t="n">
        <v>3</v>
      </c>
      <c r="AC886" s="378" t="inlineStr">
        <is>
          <t>33</t>
        </is>
      </c>
      <c r="AD886" s="384" t="inlineStr">
        <is>
          <t>S-W UNTD MECH SYSTEM</t>
        </is>
      </c>
      <c r="AE886" s="145" t="n"/>
      <c r="AF886" s="145" t="n"/>
      <c r="AG886" s="145" t="n"/>
      <c r="AH886" s="145" t="n"/>
      <c r="AI886" s="145" t="n"/>
      <c r="AJ886" s="145" t="n"/>
      <c r="AK886" s="145" t="n"/>
      <c r="AL886" s="605">
        <f>IF(AND(ISNUMBER($S886),$S886&gt;0,ISNUMBER($K886),ISNUMBER($J886)),($K886*$J886)/$S886,"")</f>
        <v/>
      </c>
    </row>
    <row r="887" ht="12.75" customHeight="1" s="545">
      <c r="A887" s="388" t="n">
        <v>8</v>
      </c>
      <c r="B887" s="605" t="n">
        <v>879</v>
      </c>
      <c r="C887" s="384" t="inlineStr">
        <is>
          <t>2009Q</t>
        </is>
      </c>
      <c r="D887" s="605" t="inlineStr">
        <is>
          <t xml:space="preserve">05095-12-028-000 </t>
        </is>
      </c>
      <c r="E887" s="407" t="inlineStr">
        <is>
          <t>Actual</t>
        </is>
      </c>
      <c r="F887" s="605" t="inlineStr">
        <is>
          <t>1369 W BYERS                PL</t>
        </is>
      </c>
      <c r="G887" s="392" t="n">
        <v>44.2</v>
      </c>
      <c r="H887" s="378" t="n">
        <v>9508</v>
      </c>
      <c r="I887" s="403" t="n">
        <v>0</v>
      </c>
      <c r="J887" s="404" t="n">
        <v>8000</v>
      </c>
      <c r="K887" s="408" t="n">
        <v>6.374375</v>
      </c>
      <c r="L887" s="409" t="n">
        <v>0</v>
      </c>
      <c r="M887" s="409" t="n">
        <v>0.133856260417688</v>
      </c>
      <c r="N887" s="378" t="n">
        <v>1978</v>
      </c>
      <c r="O887" s="393" t="n">
        <v>1376</v>
      </c>
      <c r="Q887" s="605" t="n">
        <v>14</v>
      </c>
      <c r="R887" s="605" t="n">
        <v>3</v>
      </c>
      <c r="S887" s="605" t="n">
        <v>1</v>
      </c>
      <c r="T887" s="403" t="inlineStr">
        <is>
          <t xml:space="preserve">I0   </t>
        </is>
      </c>
      <c r="U887" s="403" t="n">
        <v>398</v>
      </c>
      <c r="V887" s="404" t="n">
        <v>17187</v>
      </c>
      <c r="W887" s="404" t="n">
        <v>17000</v>
      </c>
      <c r="X887" s="410" t="inlineStr">
        <is>
          <t>2.1:1</t>
        </is>
      </c>
      <c r="Y887" s="404">
        <f>ROUND(J887,-3)</f>
        <v/>
      </c>
      <c r="Z887" s="403" t="inlineStr">
        <is>
          <t xml:space="preserve">C </t>
        </is>
      </c>
      <c r="AA887" s="605" t="n">
        <v>3</v>
      </c>
      <c r="AB887" s="605" t="n">
        <v>3</v>
      </c>
      <c r="AC887" s="378" t="inlineStr">
        <is>
          <t>33</t>
        </is>
      </c>
      <c r="AD887" s="384" t="inlineStr">
        <is>
          <t>WESCO LASER MACHINRY</t>
        </is>
      </c>
      <c r="AE887" s="145" t="n"/>
      <c r="AF887" s="145" t="n"/>
      <c r="AG887" s="145" t="n"/>
      <c r="AH887" s="145" t="n"/>
      <c r="AI887" s="145" t="n"/>
      <c r="AJ887" s="145" t="n"/>
      <c r="AK887" s="145" t="inlineStr">
        <is>
          <t xml:space="preserve">4 UNIT-3 OCCUPIED BY ONE TENANT                                   </t>
        </is>
      </c>
      <c r="AL887" s="605">
        <f>IF(AND(ISNUMBER($S887),$S887&gt;0,ISNUMBER($K887),ISNUMBER($J887)),($K887*$J887)/$S887,"")</f>
        <v/>
      </c>
    </row>
    <row r="888" ht="12.75" customHeight="1" s="545">
      <c r="A888" s="388" t="n">
        <v>8</v>
      </c>
      <c r="B888" s="605" t="n">
        <v>880</v>
      </c>
      <c r="C888" s="384" t="inlineStr">
        <is>
          <t>2009Q</t>
        </is>
      </c>
      <c r="D888" s="605" t="inlineStr">
        <is>
          <t xml:space="preserve">05095-13-033-000 </t>
        </is>
      </c>
      <c r="E888" s="407" t="inlineStr">
        <is>
          <t>Actual</t>
        </is>
      </c>
      <c r="F888" s="605" t="inlineStr">
        <is>
          <t>1234 W CEDAR                AV</t>
        </is>
      </c>
      <c r="G888" s="392" t="n">
        <v>44.2</v>
      </c>
      <c r="H888" s="378" t="n">
        <v>9508</v>
      </c>
      <c r="I888" s="403" t="n">
        <v>0</v>
      </c>
      <c r="J888" s="404" t="n">
        <v>6558</v>
      </c>
      <c r="K888" s="408" t="n">
        <v>9.14913083257091</v>
      </c>
      <c r="L888" s="409" t="n">
        <v>0</v>
      </c>
      <c r="M888" s="409" t="n">
        <v>0</v>
      </c>
      <c r="N888" s="378" t="n">
        <v>1980</v>
      </c>
      <c r="O888" s="393" t="n">
        <v>2350</v>
      </c>
      <c r="Q888" s="605" t="n">
        <v>14</v>
      </c>
      <c r="R888" s="605" t="n">
        <v>3</v>
      </c>
      <c r="S888" s="605" t="n">
        <v>1</v>
      </c>
      <c r="T888" s="403" t="inlineStr">
        <is>
          <t xml:space="preserve">I0   </t>
        </is>
      </c>
      <c r="U888" s="403" t="n">
        <v>398</v>
      </c>
      <c r="V888" s="404" t="n">
        <v>12875</v>
      </c>
      <c r="W888" s="404" t="n">
        <v>13000</v>
      </c>
      <c r="X888" s="410" t="inlineStr">
        <is>
          <t>2.0:1</t>
        </is>
      </c>
      <c r="Y888" s="404">
        <f>ROUND(J888,-3)</f>
        <v/>
      </c>
      <c r="Z888" s="403" t="inlineStr">
        <is>
          <t xml:space="preserve">C </t>
        </is>
      </c>
      <c r="AA888" s="605" t="n">
        <v>3</v>
      </c>
      <c r="AB888" s="605" t="n">
        <v>3</v>
      </c>
      <c r="AC888" s="378" t="inlineStr">
        <is>
          <t>33</t>
        </is>
      </c>
      <c r="AD888" s="384" t="n"/>
      <c r="AE888" s="145" t="n"/>
      <c r="AF888" s="145" t="n"/>
      <c r="AG888" s="145" t="n"/>
      <c r="AH888" s="145" t="n"/>
      <c r="AI888" s="145" t="n"/>
      <c r="AJ888" s="145" t="n"/>
      <c r="AK888" s="145" t="n"/>
      <c r="AL888" s="605">
        <f>IF(AND(ISNUMBER($S888),$S888&gt;0,ISNUMBER($K888),ISNUMBER($J888)),($K888*$J888)/$S888,"")</f>
        <v/>
      </c>
    </row>
    <row r="889" ht="12.75" customHeight="1" s="545">
      <c r="A889" s="388" t="n">
        <v>8</v>
      </c>
      <c r="B889" s="605" t="n">
        <v>881</v>
      </c>
      <c r="C889" s="384" t="inlineStr">
        <is>
          <t>2009Q</t>
        </is>
      </c>
      <c r="D889" s="605" t="inlineStr">
        <is>
          <t xml:space="preserve">05095-14-038-000 </t>
        </is>
      </c>
      <c r="E889" s="407" t="inlineStr">
        <is>
          <t>Actual</t>
        </is>
      </c>
      <c r="F889" s="605" t="inlineStr">
        <is>
          <t>1258 W BYERS                PL</t>
        </is>
      </c>
      <c r="G889" s="392" t="n">
        <v>44.1</v>
      </c>
      <c r="H889" s="378" t="n">
        <v>9508</v>
      </c>
      <c r="I889" s="403" t="n">
        <v>0</v>
      </c>
      <c r="J889" s="404" t="n">
        <v>8588</v>
      </c>
      <c r="K889" s="408" t="n">
        <v>7.46739636702375</v>
      </c>
      <c r="L889" s="409" t="n">
        <v>0</v>
      </c>
      <c r="M889" s="409" t="n">
        <v>0.268220801496959</v>
      </c>
      <c r="N889" s="378" t="n">
        <v>1984</v>
      </c>
      <c r="O889" s="393">
        <f>930+1920</f>
        <v/>
      </c>
      <c r="Q889" s="605" t="n">
        <v>21</v>
      </c>
      <c r="R889" s="605" t="n">
        <v>3</v>
      </c>
      <c r="S889" s="605" t="n">
        <v>1</v>
      </c>
      <c r="T889" s="403" t="inlineStr">
        <is>
          <t xml:space="preserve">I0   </t>
        </is>
      </c>
      <c r="U889" s="403" t="n">
        <v>398</v>
      </c>
      <c r="V889" s="404" t="n">
        <v>15459</v>
      </c>
      <c r="W889" s="404" t="n">
        <v>15000</v>
      </c>
      <c r="X889" s="410" t="inlineStr">
        <is>
          <t>1.8:1</t>
        </is>
      </c>
      <c r="Y889" s="404">
        <f>ROUND(J889,-3)</f>
        <v/>
      </c>
      <c r="Z889" s="403" t="inlineStr">
        <is>
          <t xml:space="preserve">C </t>
        </is>
      </c>
      <c r="AA889" s="605" t="n">
        <v>3</v>
      </c>
      <c r="AB889" s="605" t="n">
        <v>3</v>
      </c>
      <c r="AC889" s="378" t="inlineStr">
        <is>
          <t>33</t>
        </is>
      </c>
      <c r="AD889" s="384" t="inlineStr">
        <is>
          <t>S-W(NO NAME ON BLDG)</t>
        </is>
      </c>
      <c r="AE889" s="145" t="n"/>
      <c r="AF889" s="145" t="n"/>
      <c r="AG889" s="145" t="n"/>
      <c r="AH889" s="145" t="n"/>
      <c r="AI889" s="145" t="n"/>
      <c r="AJ889" s="145" t="n"/>
      <c r="AK889" s="145" t="n"/>
      <c r="AL889" s="605">
        <f>IF(AND(ISNUMBER($S889),$S889&gt;0,ISNUMBER($K889),ISNUMBER($J889)),($K889*$J889)/$S889,"")</f>
        <v/>
      </c>
    </row>
    <row r="890" ht="12.75" customHeight="1" s="545">
      <c r="A890" s="388" t="n">
        <v>8</v>
      </c>
      <c r="B890" s="605" t="n">
        <v>882</v>
      </c>
      <c r="C890" s="384" t="inlineStr">
        <is>
          <t>2009Q</t>
        </is>
      </c>
      <c r="D890" s="605" t="inlineStr">
        <is>
          <t xml:space="preserve">05096-00-009-000 </t>
        </is>
      </c>
      <c r="E890" s="407" t="inlineStr">
        <is>
          <t>Actual</t>
        </is>
      </c>
      <c r="F890" s="605" t="inlineStr">
        <is>
          <t>100 S SANTA FE             DR</t>
        </is>
      </c>
      <c r="G890" s="392" t="n">
        <v>44.2</v>
      </c>
      <c r="H890" s="378" t="n">
        <v>9505</v>
      </c>
      <c r="I890" s="403" t="n">
        <v>3</v>
      </c>
      <c r="J890" s="404" t="n">
        <v>36508</v>
      </c>
      <c r="K890" s="408" t="n">
        <v>4.10868850662868</v>
      </c>
      <c r="L890" s="409" t="n">
        <v>0</v>
      </c>
      <c r="M890" s="409" t="n">
        <v>0</v>
      </c>
      <c r="N890" s="378" t="n">
        <v>1955</v>
      </c>
      <c r="P890" s="393" t="n">
        <v>2944</v>
      </c>
      <c r="Q890" s="605" t="n">
        <v>14</v>
      </c>
      <c r="R890" s="605" t="n">
        <v>3</v>
      </c>
      <c r="S890" s="605" t="n">
        <v>1</v>
      </c>
      <c r="T890" s="403" t="inlineStr">
        <is>
          <t xml:space="preserve">I2   </t>
        </is>
      </c>
      <c r="U890" s="403" t="n">
        <v>398</v>
      </c>
      <c r="V890" s="404" t="n">
        <v>75794</v>
      </c>
      <c r="W890" s="404" t="n">
        <v>80000</v>
      </c>
      <c r="X890" s="410" t="inlineStr">
        <is>
          <t>2.1:1</t>
        </is>
      </c>
      <c r="Y890" s="404">
        <f>ROUND(J890,-3)</f>
        <v/>
      </c>
      <c r="Z890" s="403" t="inlineStr">
        <is>
          <t xml:space="preserve">C </t>
        </is>
      </c>
      <c r="AA890" s="605" t="n">
        <v>3</v>
      </c>
      <c r="AB890" s="605" t="n">
        <v>3</v>
      </c>
      <c r="AC890" s="378" t="inlineStr">
        <is>
          <t>33</t>
        </is>
      </c>
      <c r="AD890" s="384" t="n"/>
      <c r="AE890" s="145" t="n"/>
      <c r="AF890" s="145" t="n"/>
      <c r="AG890" s="145" t="n"/>
      <c r="AH890" s="145" t="n"/>
      <c r="AI890" s="145" t="n"/>
      <c r="AJ890" s="145" t="n"/>
      <c r="AK890" s="145" t="n"/>
      <c r="AL890" s="605">
        <f>IF(AND(ISNUMBER($S890),$S890&gt;0,ISNUMBER($K890),ISNUMBER($J890)),($K890*$J890)/$S890,"")</f>
        <v/>
      </c>
    </row>
    <row r="891" ht="12.75" customHeight="1" s="545">
      <c r="A891" s="388" t="n">
        <v>8</v>
      </c>
      <c r="B891" s="605" t="n">
        <v>883</v>
      </c>
      <c r="C891" s="384" t="inlineStr">
        <is>
          <t>2009Q</t>
        </is>
      </c>
      <c r="D891" s="605" t="inlineStr">
        <is>
          <t xml:space="preserve">05096-01-018-000 </t>
        </is>
      </c>
      <c r="E891" s="407" t="inlineStr">
        <is>
          <t>Actual</t>
        </is>
      </c>
      <c r="F891" s="605" t="inlineStr">
        <is>
          <t>875 W ELLSWORTH            AV</t>
        </is>
      </c>
      <c r="G891" s="392" t="n">
        <v>44.2</v>
      </c>
      <c r="H891" s="378" t="n">
        <v>9505</v>
      </c>
      <c r="I891" s="403" t="n">
        <v>0</v>
      </c>
      <c r="J891" s="404" t="n">
        <v>27373</v>
      </c>
      <c r="K891" s="408" t="n">
        <v>9.498410842801301</v>
      </c>
      <c r="L891" s="409" t="n">
        <v>0</v>
      </c>
      <c r="M891" s="409" t="n">
        <v>0</v>
      </c>
      <c r="N891" s="378" t="n">
        <v>2002</v>
      </c>
      <c r="O891" s="393">
        <f>6950+7220</f>
        <v/>
      </c>
      <c r="Q891" s="605" t="n">
        <v>31</v>
      </c>
      <c r="R891" s="605" t="n">
        <v>7</v>
      </c>
      <c r="S891" s="605" t="n">
        <v>1</v>
      </c>
      <c r="T891" s="403" t="inlineStr">
        <is>
          <t xml:space="preserve">I1   </t>
        </is>
      </c>
      <c r="U891" s="403" t="n">
        <v>398</v>
      </c>
      <c r="V891" s="404" t="n">
        <v>51308</v>
      </c>
      <c r="W891" s="404" t="n">
        <v>50000</v>
      </c>
      <c r="X891" s="410" t="inlineStr">
        <is>
          <t>1.9:1</t>
        </is>
      </c>
      <c r="Y891" s="404">
        <f>ROUND(J891,-3)</f>
        <v/>
      </c>
      <c r="Z891" s="403" t="inlineStr">
        <is>
          <t xml:space="preserve">C </t>
        </is>
      </c>
      <c r="AA891" s="605" t="n">
        <v>3</v>
      </c>
      <c r="AB891" s="605" t="n">
        <v>3</v>
      </c>
      <c r="AC891" s="378" t="inlineStr">
        <is>
          <t>33</t>
        </is>
      </c>
      <c r="AD891" s="384" t="inlineStr">
        <is>
          <t xml:space="preserve">BRON TAPE           </t>
        </is>
      </c>
      <c r="AE891" s="145" t="n"/>
      <c r="AF891" s="145" t="n"/>
      <c r="AG891" s="145" t="n"/>
      <c r="AH891" s="145" t="n"/>
      <c r="AI891" s="145" t="n"/>
      <c r="AJ891" s="145" t="n"/>
      <c r="AK891" s="145" t="n"/>
      <c r="AL891" s="605">
        <f>IF(AND(ISNUMBER($S891),$S891&gt;0,ISNUMBER($K891),ISNUMBER($J891)),($K891*$J891)/$S891,"")</f>
        <v/>
      </c>
    </row>
    <row r="892" ht="12.75" customHeight="1" s="545">
      <c r="A892" s="388" t="n">
        <v>8</v>
      </c>
      <c r="B892" s="605" t="n">
        <v>884</v>
      </c>
      <c r="C892" s="384" t="inlineStr">
        <is>
          <t>2009Q</t>
        </is>
      </c>
      <c r="D892" s="605" t="inlineStr">
        <is>
          <t xml:space="preserve">05096-02-019-000 </t>
        </is>
      </c>
      <c r="E892" s="407" t="inlineStr">
        <is>
          <t>Actual</t>
        </is>
      </c>
      <c r="F892" s="605" t="inlineStr">
        <is>
          <t>70   SANTA FE             DR</t>
        </is>
      </c>
      <c r="G892" s="392" t="n">
        <v>44.1</v>
      </c>
      <c r="H892" s="378" t="n">
        <v>9505</v>
      </c>
      <c r="I892" s="403" t="n">
        <v>3</v>
      </c>
      <c r="J892" s="404" t="n">
        <v>33831</v>
      </c>
      <c r="K892" s="408" t="n">
        <v>5.07581803671189</v>
      </c>
      <c r="L892" s="409" t="n">
        <v>0</v>
      </c>
      <c r="M892" s="409" t="n">
        <v>0</v>
      </c>
      <c r="N892" s="378" t="n">
        <v>1974</v>
      </c>
      <c r="O892" s="393">
        <f>832+640</f>
        <v/>
      </c>
      <c r="P892" s="393" t="n">
        <v>3025</v>
      </c>
      <c r="Q892" s="605" t="n">
        <v>16</v>
      </c>
      <c r="R892" s="605" t="n">
        <v>7</v>
      </c>
      <c r="S892" s="605" t="n">
        <v>1</v>
      </c>
      <c r="T892" s="403" t="inlineStr">
        <is>
          <t xml:space="preserve">I1   </t>
        </is>
      </c>
      <c r="U892" s="403" t="n">
        <v>398</v>
      </c>
      <c r="V892" s="404" t="n">
        <v>42180</v>
      </c>
      <c r="W892" s="404" t="n">
        <v>42000</v>
      </c>
      <c r="X892" s="410" t="inlineStr">
        <is>
          <t>1.2:1</t>
        </is>
      </c>
      <c r="Y892" s="404">
        <f>ROUND(J892,-3)</f>
        <v/>
      </c>
      <c r="Z892" s="403" t="inlineStr">
        <is>
          <t xml:space="preserve">C </t>
        </is>
      </c>
      <c r="AA892" s="605" t="n">
        <v>2</v>
      </c>
      <c r="AB892" s="605" t="n">
        <v>2</v>
      </c>
      <c r="AC892" s="378" t="inlineStr">
        <is>
          <t>22</t>
        </is>
      </c>
      <c r="AD892" s="384" t="inlineStr">
        <is>
          <t xml:space="preserve">DISTRIBUTION WHSE   </t>
        </is>
      </c>
      <c r="AE892" s="145" t="n"/>
      <c r="AF892" s="145" t="n"/>
      <c r="AG892" s="145" t="n"/>
      <c r="AH892" s="145" t="n"/>
      <c r="AI892" s="145" t="n"/>
      <c r="AJ892" s="145" t="n"/>
      <c r="AK892" s="145" t="n"/>
      <c r="AL892" s="605">
        <f>IF(AND(ISNUMBER($S892),$S892&gt;0,ISNUMBER($K892),ISNUMBER($J892)),($K892*$J892)/$S892,"")</f>
        <v/>
      </c>
    </row>
    <row r="893" ht="12.75" customHeight="1" s="545">
      <c r="A893" s="388" t="n">
        <v>8</v>
      </c>
      <c r="B893" s="605" t="n">
        <v>885</v>
      </c>
      <c r="C893" s="384" t="inlineStr">
        <is>
          <t>2009Q</t>
        </is>
      </c>
      <c r="D893" s="605" t="inlineStr">
        <is>
          <t xml:space="preserve">05096-03-029-000 </t>
        </is>
      </c>
      <c r="E893" s="407" t="inlineStr">
        <is>
          <t>Actual</t>
        </is>
      </c>
      <c r="F893" s="605" t="inlineStr">
        <is>
          <t>924 W 1ST                  AV</t>
        </is>
      </c>
      <c r="G893" s="392" t="n">
        <v>44.1</v>
      </c>
      <c r="H893" s="378" t="n">
        <v>9505</v>
      </c>
      <c r="I893" s="403" t="n">
        <v>0</v>
      </c>
      <c r="J893" s="404" t="n">
        <v>43000</v>
      </c>
      <c r="K893" s="408" t="n">
        <v>5.02325581395349</v>
      </c>
      <c r="L893" s="409" t="n">
        <v>0</v>
      </c>
      <c r="M893" s="409" t="n">
        <v>0</v>
      </c>
      <c r="N893" s="378" t="n">
        <v>1937</v>
      </c>
      <c r="O893" s="393" t="n">
        <v>1540</v>
      </c>
      <c r="Q893" s="605" t="n">
        <v>10</v>
      </c>
      <c r="R893" s="605" t="n">
        <v>1</v>
      </c>
      <c r="S893" s="605" t="n">
        <v>1</v>
      </c>
      <c r="T893" s="403" t="inlineStr">
        <is>
          <t xml:space="preserve">I1   </t>
        </is>
      </c>
      <c r="U893" s="403" t="n">
        <v>398</v>
      </c>
      <c r="V893" s="404" t="n">
        <v>79830</v>
      </c>
      <c r="W893" s="404" t="n">
        <v>80000</v>
      </c>
      <c r="X893" s="410" t="inlineStr">
        <is>
          <t>3.0:1</t>
        </is>
      </c>
      <c r="Y893" s="404">
        <f>ROUND(J893,-3)</f>
        <v/>
      </c>
      <c r="Z893" s="403" t="inlineStr">
        <is>
          <t xml:space="preserve">C </t>
        </is>
      </c>
      <c r="AA893" s="605" t="n">
        <v>3</v>
      </c>
      <c r="AB893" s="605" t="n">
        <v>3</v>
      </c>
      <c r="AC893" s="378" t="inlineStr">
        <is>
          <t>33</t>
        </is>
      </c>
      <c r="AD893" s="384" t="inlineStr">
        <is>
          <t xml:space="preserve">STARK LUMBER        </t>
        </is>
      </c>
      <c r="AE893" s="145" t="n"/>
      <c r="AF893" s="145" t="n"/>
      <c r="AG893" s="145" t="n"/>
      <c r="AH893" s="145" t="n"/>
      <c r="AI893" s="145" t="n"/>
      <c r="AJ893" s="145" t="n"/>
      <c r="AK893" s="145" t="inlineStr">
        <is>
          <t xml:space="preserve">STARK LUMBER-AREA FROM OWNER                                      </t>
        </is>
      </c>
      <c r="AL893" s="605">
        <f>IF(AND(ISNUMBER($S893),$S893&gt;0,ISNUMBER($K893),ISNUMBER($J893)),($K893*$J893)/$S893,"")</f>
        <v/>
      </c>
    </row>
    <row r="894" ht="12.75" customHeight="1" s="545">
      <c r="A894" s="388" t="n">
        <v>8</v>
      </c>
      <c r="B894" s="605" t="n">
        <v>886</v>
      </c>
      <c r="C894" s="384" t="inlineStr">
        <is>
          <t>2009Q</t>
        </is>
      </c>
      <c r="D894" s="605" t="inlineStr">
        <is>
          <t xml:space="preserve">05096-04-001-000 </t>
        </is>
      </c>
      <c r="E894" s="407" t="inlineStr">
        <is>
          <t>Actual</t>
        </is>
      </c>
      <c r="F894" s="605" t="inlineStr">
        <is>
          <t>88   LIPAN                ST</t>
        </is>
      </c>
      <c r="G894" s="392" t="n">
        <v>44.2</v>
      </c>
      <c r="H894" s="378" t="n">
        <v>9505</v>
      </c>
      <c r="I894" s="403" t="n">
        <v>0</v>
      </c>
      <c r="J894" s="404" t="n">
        <v>3479</v>
      </c>
      <c r="K894" s="408" t="n">
        <v>12.0724346076459</v>
      </c>
      <c r="L894" s="409" t="n">
        <v>0</v>
      </c>
      <c r="M894" s="409" t="n">
        <v>0</v>
      </c>
      <c r="N894" s="378" t="n">
        <v>1965</v>
      </c>
      <c r="O894" s="393" t="n">
        <v>1779</v>
      </c>
      <c r="Q894" s="605" t="n">
        <v>14</v>
      </c>
      <c r="R894" s="605" t="n">
        <v>3</v>
      </c>
      <c r="S894" s="605" t="n">
        <v>1</v>
      </c>
      <c r="T894" s="403" t="inlineStr">
        <is>
          <t xml:space="preserve">I1   </t>
        </is>
      </c>
      <c r="U894" s="403" t="n">
        <v>398</v>
      </c>
      <c r="V894" s="404" t="n">
        <v>5576</v>
      </c>
      <c r="W894" s="404" t="n">
        <v>6000</v>
      </c>
      <c r="X894" s="410" t="inlineStr">
        <is>
          <t>1.6:1</t>
        </is>
      </c>
      <c r="Y894" s="404">
        <f>ROUND(J894,-3)</f>
        <v/>
      </c>
      <c r="Z894" s="403" t="inlineStr">
        <is>
          <t xml:space="preserve">C </t>
        </is>
      </c>
      <c r="AA894" s="605" t="n">
        <v>3</v>
      </c>
      <c r="AB894" s="605" t="n">
        <v>3</v>
      </c>
      <c r="AC894" s="378" t="inlineStr">
        <is>
          <t>33</t>
        </is>
      </c>
      <c r="AD894" s="384" t="inlineStr">
        <is>
          <t>S-W IND. WESTERN INC</t>
        </is>
      </c>
      <c r="AE894" s="145" t="n"/>
      <c r="AF894" s="145" t="n"/>
      <c r="AG894" s="145" t="n"/>
      <c r="AH894" s="145" t="n"/>
      <c r="AI894" s="145" t="n"/>
      <c r="AJ894" s="145" t="n"/>
      <c r="AK894" s="145" t="n"/>
      <c r="AL894" s="605">
        <f>IF(AND(ISNUMBER($S894),$S894&gt;0,ISNUMBER($K894),ISNUMBER($J894)),($K894*$J894)/$S894,"")</f>
        <v/>
      </c>
    </row>
    <row r="895" ht="12.75" customHeight="1" s="545">
      <c r="A895" s="388" t="n">
        <v>8</v>
      </c>
      <c r="B895" s="605" t="n">
        <v>887</v>
      </c>
      <c r="C895" s="384" t="inlineStr">
        <is>
          <t>2009Q</t>
        </is>
      </c>
      <c r="D895" s="605" t="inlineStr">
        <is>
          <t xml:space="preserve">05096-04-038-000 </t>
        </is>
      </c>
      <c r="E895" s="407" t="inlineStr">
        <is>
          <t>Actual</t>
        </is>
      </c>
      <c r="F895" s="605" t="inlineStr">
        <is>
          <t>60   LIPAN                ST</t>
        </is>
      </c>
      <c r="G895" s="392" t="n">
        <v>44.2</v>
      </c>
      <c r="H895" s="378" t="n">
        <v>9505</v>
      </c>
      <c r="I895" s="403" t="n">
        <v>0</v>
      </c>
      <c r="J895" s="404" t="n">
        <v>4950</v>
      </c>
      <c r="K895" s="408" t="n">
        <v>6.39858585858586</v>
      </c>
      <c r="L895" s="409" t="n">
        <v>0</v>
      </c>
      <c r="M895" s="409" t="n">
        <v>0.0535156126669403</v>
      </c>
      <c r="N895" s="378" t="n">
        <v>1966</v>
      </c>
      <c r="O895" s="393" t="n">
        <v>517</v>
      </c>
      <c r="Q895" s="605" t="n">
        <v>14</v>
      </c>
      <c r="R895" s="605" t="n">
        <v>3</v>
      </c>
      <c r="S895" s="605" t="n">
        <v>1</v>
      </c>
      <c r="T895" s="403" t="inlineStr">
        <is>
          <t xml:space="preserve">I1   </t>
        </is>
      </c>
      <c r="U895" s="403" t="n">
        <v>397</v>
      </c>
      <c r="V895" s="404" t="n">
        <v>7582</v>
      </c>
      <c r="W895" s="404" t="n">
        <v>8000</v>
      </c>
      <c r="X895" s="410" t="inlineStr">
        <is>
          <t>1.5:1</t>
        </is>
      </c>
      <c r="Y895" s="404">
        <f>ROUND(J895,-3)</f>
        <v/>
      </c>
      <c r="Z895" s="403" t="inlineStr">
        <is>
          <t xml:space="preserve">C </t>
        </is>
      </c>
      <c r="AA895" s="605" t="n">
        <v>3</v>
      </c>
      <c r="AB895" s="605" t="n">
        <v>3</v>
      </c>
      <c r="AC895" s="378" t="inlineStr">
        <is>
          <t>33</t>
        </is>
      </c>
      <c r="AD895" s="384" t="inlineStr">
        <is>
          <t>S-W AAA METRIC SUPPL</t>
        </is>
      </c>
      <c r="AE895" s="145" t="n"/>
      <c r="AF895" s="145" t="n"/>
      <c r="AG895" s="145" t="n"/>
      <c r="AH895" s="145" t="n"/>
      <c r="AI895" s="145" t="n"/>
      <c r="AJ895" s="145" t="n"/>
      <c r="AK895" s="145" t="n"/>
      <c r="AL895" s="605">
        <f>IF(AND(ISNUMBER($S895),$S895&gt;0,ISNUMBER($K895),ISNUMBER($J895)),($K895*$J895)/$S895,"")</f>
        <v/>
      </c>
    </row>
    <row r="896" ht="12.75" customHeight="1" s="545">
      <c r="A896" s="388" t="n">
        <v>8</v>
      </c>
      <c r="B896" s="605" t="n">
        <v>888</v>
      </c>
      <c r="C896" s="384" t="inlineStr">
        <is>
          <t>2009Q</t>
        </is>
      </c>
      <c r="D896" s="605" t="inlineStr">
        <is>
          <t xml:space="preserve">05096-15-056-000 </t>
        </is>
      </c>
      <c r="E896" s="407" t="inlineStr">
        <is>
          <t>Actual</t>
        </is>
      </c>
      <c r="F896" s="605" t="inlineStr">
        <is>
          <t>172 S KALAMATH             ST</t>
        </is>
      </c>
      <c r="G896" s="392" t="n">
        <v>44.1</v>
      </c>
      <c r="H896" s="378" t="n">
        <v>9505</v>
      </c>
      <c r="I896" s="403" t="n">
        <v>0</v>
      </c>
      <c r="J896" s="404" t="n">
        <v>17250</v>
      </c>
      <c r="K896" s="408" t="n">
        <v>5.56521739130435</v>
      </c>
      <c r="L896" s="409" t="n">
        <v>0</v>
      </c>
      <c r="M896" s="409" t="n">
        <v>0</v>
      </c>
      <c r="N896" s="378" t="n">
        <v>1972</v>
      </c>
      <c r="O896" s="393" t="n">
        <v>2500</v>
      </c>
      <c r="Q896" s="605" t="n">
        <v>12</v>
      </c>
      <c r="R896" s="605" t="n">
        <v>3</v>
      </c>
      <c r="S896" s="605" t="n">
        <v>1</v>
      </c>
      <c r="T896" s="403" t="inlineStr">
        <is>
          <t xml:space="preserve">I1   </t>
        </is>
      </c>
      <c r="U896" s="403" t="n">
        <v>398</v>
      </c>
      <c r="V896" s="404" t="n">
        <v>21875</v>
      </c>
      <c r="W896" s="404" t="n">
        <v>22000</v>
      </c>
      <c r="X896" s="410" t="inlineStr">
        <is>
          <t>1.3:1</t>
        </is>
      </c>
      <c r="Y896" s="404">
        <f>ROUND(J896,-3)</f>
        <v/>
      </c>
      <c r="Z896" s="403" t="inlineStr">
        <is>
          <t xml:space="preserve">C </t>
        </is>
      </c>
      <c r="AA896" s="605" t="n">
        <v>3</v>
      </c>
      <c r="AB896" s="605" t="n">
        <v>3</v>
      </c>
      <c r="AC896" s="378" t="inlineStr">
        <is>
          <t>33</t>
        </is>
      </c>
      <c r="AD896" s="384" t="inlineStr">
        <is>
          <t xml:space="preserve">DIST / PRINT SHOP   </t>
        </is>
      </c>
      <c r="AE896" s="145" t="n"/>
      <c r="AF896" s="145" t="n"/>
      <c r="AG896" s="145" t="n"/>
      <c r="AH896" s="145" t="n"/>
      <c r="AI896" s="145" t="n"/>
      <c r="AJ896" s="145" t="n"/>
      <c r="AK896" s="145" t="n"/>
      <c r="AL896" s="605">
        <f>IF(AND(ISNUMBER($S896),$S896&gt;0,ISNUMBER($K896),ISNUMBER($J896)),($K896*$J896)/$S896,"")</f>
        <v/>
      </c>
    </row>
    <row r="897" ht="12.75" customHeight="1" s="545">
      <c r="A897" s="388" t="n">
        <v>8</v>
      </c>
      <c r="B897" s="605" t="n">
        <v>889</v>
      </c>
      <c r="C897" s="384" t="inlineStr">
        <is>
          <t>2009Q</t>
        </is>
      </c>
      <c r="D897" s="605" t="inlineStr">
        <is>
          <t xml:space="preserve">05096-18-016-000 </t>
        </is>
      </c>
      <c r="E897" s="407" t="inlineStr">
        <is>
          <t>Actual</t>
        </is>
      </c>
      <c r="F897" s="605" t="inlineStr">
        <is>
          <t>285 S SANTA FE             DR</t>
        </is>
      </c>
      <c r="G897" s="392" t="n">
        <v>44.1</v>
      </c>
      <c r="H897" s="378" t="n">
        <v>9505</v>
      </c>
      <c r="I897" s="403" t="n">
        <v>3</v>
      </c>
      <c r="J897" s="404" t="n">
        <v>6802</v>
      </c>
      <c r="K897" s="408" t="n">
        <v>7.33901793590121</v>
      </c>
      <c r="L897" s="409" t="n">
        <v>0</v>
      </c>
      <c r="M897" s="409" t="n">
        <v>0</v>
      </c>
      <c r="N897" s="378" t="n">
        <v>1971</v>
      </c>
      <c r="O897" s="393" t="n">
        <v>1338</v>
      </c>
      <c r="Q897" s="605" t="n">
        <v>20</v>
      </c>
      <c r="R897" s="605" t="n">
        <v>7</v>
      </c>
      <c r="S897" s="605" t="n">
        <v>1</v>
      </c>
      <c r="T897" s="403" t="inlineStr">
        <is>
          <t xml:space="preserve">I1   </t>
        </is>
      </c>
      <c r="U897" s="403" t="n">
        <v>398</v>
      </c>
      <c r="V897" s="404" t="n">
        <v>13864</v>
      </c>
      <c r="W897" s="404" t="n">
        <v>14000</v>
      </c>
      <c r="X897" s="410" t="inlineStr">
        <is>
          <t>2.0:1</t>
        </is>
      </c>
      <c r="Y897" s="404">
        <f>ROUND(J897,-3)</f>
        <v/>
      </c>
      <c r="Z897" s="403" t="inlineStr">
        <is>
          <t xml:space="preserve">C </t>
        </is>
      </c>
      <c r="AA897" s="605" t="n">
        <v>3</v>
      </c>
      <c r="AB897" s="605" t="n">
        <v>3</v>
      </c>
      <c r="AC897" s="378" t="inlineStr">
        <is>
          <t>33</t>
        </is>
      </c>
      <c r="AD897" s="384" t="inlineStr">
        <is>
          <t xml:space="preserve">WHSE/DIST PLUMBING  </t>
        </is>
      </c>
      <c r="AE897" s="145" t="n"/>
      <c r="AF897" s="145" t="n"/>
      <c r="AG897" s="145" t="n"/>
      <c r="AH897" s="145" t="n"/>
      <c r="AI897" s="145" t="n"/>
      <c r="AJ897" s="145" t="n"/>
      <c r="AK897" s="145" t="n"/>
      <c r="AL897" s="605">
        <f>IF(AND(ISNUMBER($S897),$S897&gt;0,ISNUMBER($K897),ISNUMBER($J897)),($K897*$J897)/$S897,"")</f>
        <v/>
      </c>
    </row>
    <row r="898" ht="12.75" customHeight="1" s="545">
      <c r="A898" s="388" t="n">
        <v>8</v>
      </c>
      <c r="B898" s="605" t="n">
        <v>890</v>
      </c>
      <c r="C898" s="384" t="inlineStr">
        <is>
          <t>2009Q</t>
        </is>
      </c>
      <c r="D898" s="605" t="inlineStr">
        <is>
          <t xml:space="preserve">05102-01-002-000 </t>
        </is>
      </c>
      <c r="E898" s="407" t="inlineStr">
        <is>
          <t>Actual</t>
        </is>
      </c>
      <c r="F898" s="605" t="inlineStr">
        <is>
          <t>550   ACOMA                ST</t>
        </is>
      </c>
      <c r="G898" s="392" t="n">
        <v>44.2</v>
      </c>
      <c r="H898" s="378" t="n">
        <v>9505</v>
      </c>
      <c r="I898" s="403" t="n">
        <v>0</v>
      </c>
      <c r="J898" s="404" t="n">
        <v>19962</v>
      </c>
      <c r="K898" s="408" t="n">
        <v>5.42751227331931</v>
      </c>
      <c r="L898" s="409" t="n">
        <v>0</v>
      </c>
      <c r="M898" s="409" t="n">
        <v>0</v>
      </c>
      <c r="N898" s="378" t="n">
        <v>1951</v>
      </c>
      <c r="Q898" s="605" t="n">
        <v>16</v>
      </c>
      <c r="R898" s="605" t="n">
        <v>1</v>
      </c>
      <c r="S898" s="605" t="n">
        <v>1</v>
      </c>
      <c r="T898" s="403" t="inlineStr">
        <is>
          <t xml:space="preserve">B8   </t>
        </is>
      </c>
      <c r="U898" s="403" t="n">
        <v>398</v>
      </c>
      <c r="V898" s="404" t="n">
        <v>22875</v>
      </c>
      <c r="W898" s="404" t="n">
        <v>23000</v>
      </c>
      <c r="X898" s="410" t="inlineStr">
        <is>
          <t>1.1:1</t>
        </is>
      </c>
      <c r="Y898" s="404">
        <f>ROUND(J898,-3)</f>
        <v/>
      </c>
      <c r="Z898" s="403" t="inlineStr">
        <is>
          <t xml:space="preserve">C </t>
        </is>
      </c>
      <c r="AA898" s="605" t="n">
        <v>3</v>
      </c>
      <c r="AB898" s="605" t="n">
        <v>3</v>
      </c>
      <c r="AC898" s="378" t="inlineStr">
        <is>
          <t>33</t>
        </is>
      </c>
      <c r="AD898" s="384" t="inlineStr">
        <is>
          <t xml:space="preserve">LAND TITLE          </t>
        </is>
      </c>
      <c r="AE898" s="145" t="n"/>
      <c r="AF898" s="145" t="n"/>
      <c r="AG898" s="145" t="n"/>
      <c r="AH898" s="145" t="n"/>
      <c r="AI898" s="145" t="n"/>
      <c r="AJ898" s="145" t="n"/>
      <c r="AK898" s="145" t="n"/>
      <c r="AL898" s="605">
        <f>IF(AND(ISNUMBER($S898),$S898&gt;0,ISNUMBER($K898),ISNUMBER($J898)),($K898*$J898)/$S898,"")</f>
        <v/>
      </c>
    </row>
    <row r="899" ht="12.75" customHeight="1" s="545">
      <c r="A899" s="388" t="n">
        <v>8</v>
      </c>
      <c r="B899" s="605" t="n">
        <v>891</v>
      </c>
      <c r="C899" s="384" t="inlineStr">
        <is>
          <t>2009Q</t>
        </is>
      </c>
      <c r="D899" s="605" t="inlineStr">
        <is>
          <t xml:space="preserve">05102-01-013-000 </t>
        </is>
      </c>
      <c r="E899" s="407" t="inlineStr">
        <is>
          <t>Actual</t>
        </is>
      </c>
      <c r="F899" s="605" t="inlineStr">
        <is>
          <t>526   ACOMA                ST</t>
        </is>
      </c>
      <c r="G899" s="392" t="n">
        <v>47.1</v>
      </c>
      <c r="H899" s="378" t="n">
        <v>9505</v>
      </c>
      <c r="I899" s="403" t="n">
        <v>0</v>
      </c>
      <c r="J899" s="404" t="n">
        <v>16394</v>
      </c>
      <c r="K899" s="408" t="n">
        <v>4.94296693912407</v>
      </c>
      <c r="L899" s="409" t="n">
        <v>0</v>
      </c>
      <c r="M899" s="409" t="n">
        <v>0.220707101869563</v>
      </c>
      <c r="N899" s="378" t="n">
        <v>1952</v>
      </c>
      <c r="O899" s="393" t="n">
        <v>3133</v>
      </c>
      <c r="Q899" s="605" t="n">
        <v>14</v>
      </c>
      <c r="R899" s="605" t="n">
        <v>3</v>
      </c>
      <c r="S899" s="605" t="n">
        <v>1</v>
      </c>
      <c r="T899" s="403" t="inlineStr">
        <is>
          <t xml:space="preserve">B8   </t>
        </is>
      </c>
      <c r="U899" s="403" t="n">
        <v>401</v>
      </c>
      <c r="V899" s="404" t="n">
        <v>22875</v>
      </c>
      <c r="W899" s="404" t="n">
        <v>23000</v>
      </c>
      <c r="X899" s="410" t="inlineStr">
        <is>
          <t>1.4:1</t>
        </is>
      </c>
      <c r="Y899" s="404">
        <f>ROUND(J899,-3)</f>
        <v/>
      </c>
      <c r="Z899" s="403" t="inlineStr">
        <is>
          <t xml:space="preserve">C </t>
        </is>
      </c>
      <c r="AA899" s="605" t="n">
        <v>3</v>
      </c>
      <c r="AB899" s="605" t="n">
        <v>3</v>
      </c>
      <c r="AC899" s="378" t="inlineStr">
        <is>
          <t>33</t>
        </is>
      </c>
      <c r="AD899" s="384" t="inlineStr">
        <is>
          <t xml:space="preserve">RICE PAPER BOX      </t>
        </is>
      </c>
      <c r="AE899" s="145" t="n"/>
      <c r="AF899" s="145" t="n"/>
      <c r="AG899" s="145" t="n"/>
      <c r="AH899" s="145" t="n"/>
      <c r="AI899" s="145" t="n"/>
      <c r="AJ899" s="145" t="n"/>
      <c r="AK899" s="145" t="inlineStr">
        <is>
          <t xml:space="preserve">4 UNITS ON MONTH TO MONTH LEASES                                  </t>
        </is>
      </c>
      <c r="AL899" s="605">
        <f>IF(AND(ISNUMBER($S899),$S899&gt;0,ISNUMBER($K899),ISNUMBER($J899)),($K899*$J899)/$S899,"")</f>
        <v/>
      </c>
    </row>
    <row r="900" ht="12.75" customHeight="1" s="545">
      <c r="A900" s="388" t="n">
        <v>8</v>
      </c>
      <c r="B900" s="605" t="n">
        <v>892</v>
      </c>
      <c r="C900" s="384" t="inlineStr">
        <is>
          <t>2009Q</t>
        </is>
      </c>
      <c r="D900" s="605" t="inlineStr">
        <is>
          <t xml:space="preserve">05103-00-027-000 </t>
        </is>
      </c>
      <c r="E900" s="407" t="inlineStr">
        <is>
          <t>Actual</t>
        </is>
      </c>
      <c r="F900" s="605" t="inlineStr">
        <is>
          <t>106 S SANTA FE             DR</t>
        </is>
      </c>
      <c r="G900" s="392" t="n">
        <v>44.1</v>
      </c>
      <c r="H900" s="378" t="n">
        <v>9505</v>
      </c>
      <c r="I900" s="403" t="n">
        <v>0</v>
      </c>
      <c r="J900" s="404" t="n">
        <v>16987</v>
      </c>
      <c r="K900" s="408" t="n">
        <v>6.60799434861953</v>
      </c>
      <c r="L900" s="409" t="n">
        <v>0</v>
      </c>
      <c r="M900" s="409" t="n">
        <v>0</v>
      </c>
      <c r="N900" s="378" t="n">
        <v>1974</v>
      </c>
      <c r="O900" s="393" t="n">
        <v>1044</v>
      </c>
      <c r="Q900" s="605" t="n">
        <v>19</v>
      </c>
      <c r="R900" s="605" t="n">
        <v>10</v>
      </c>
      <c r="S900" s="605" t="n">
        <v>1</v>
      </c>
      <c r="T900" s="403" t="inlineStr">
        <is>
          <t xml:space="preserve">I2   </t>
        </is>
      </c>
      <c r="U900" s="403" t="n">
        <v>398</v>
      </c>
      <c r="V900" s="404" t="n">
        <v>84931</v>
      </c>
      <c r="W900" s="404" t="n">
        <v>80000</v>
      </c>
      <c r="X900" s="410" t="inlineStr">
        <is>
          <t>2.6:1</t>
        </is>
      </c>
      <c r="Y900" s="404">
        <f>ROUND(J900,-3)</f>
        <v/>
      </c>
      <c r="Z900" s="403" t="inlineStr">
        <is>
          <t xml:space="preserve">C </t>
        </is>
      </c>
      <c r="AA900" s="605" t="n">
        <v>3</v>
      </c>
      <c r="AB900" s="605" t="n">
        <v>3</v>
      </c>
      <c r="AC900" s="378" t="inlineStr">
        <is>
          <t>33</t>
        </is>
      </c>
      <c r="AD900" s="384" t="inlineStr">
        <is>
          <t xml:space="preserve">XPEDX               </t>
        </is>
      </c>
      <c r="AE900" s="145" t="n"/>
      <c r="AF900" s="145" t="n"/>
      <c r="AG900" s="145" t="n"/>
      <c r="AH900" s="145" t="n"/>
      <c r="AI900" s="145" t="n"/>
      <c r="AJ900" s="145" t="n"/>
      <c r="AK900" s="145" t="inlineStr">
        <is>
          <t xml:space="preserve">LEASE IS FOR ONLY BUILDING 1                                      </t>
        </is>
      </c>
      <c r="AL900" s="605">
        <f>IF(AND(ISNUMBER($S900),$S900&gt;0,ISNUMBER($K900),ISNUMBER($J900)),($K900*$J900)/$S900,"")</f>
        <v/>
      </c>
    </row>
    <row r="901" ht="12.75" customHeight="1" s="545">
      <c r="A901" s="388" t="n">
        <v>8</v>
      </c>
      <c r="B901" s="605" t="n">
        <v>893</v>
      </c>
      <c r="C901" s="384" t="inlineStr">
        <is>
          <t>2009Q</t>
        </is>
      </c>
      <c r="D901" s="605" t="inlineStr">
        <is>
          <t xml:space="preserve">05103-23-001-000 </t>
        </is>
      </c>
      <c r="E901" s="407" t="inlineStr">
        <is>
          <t>Actual</t>
        </is>
      </c>
      <c r="F901" s="605" t="inlineStr">
        <is>
          <t>112 S ELATI                ST</t>
        </is>
      </c>
      <c r="G901" s="392" t="n">
        <v>44.1</v>
      </c>
      <c r="H901" s="378" t="n">
        <v>9505</v>
      </c>
      <c r="I901" s="403" t="n">
        <v>0</v>
      </c>
      <c r="J901" s="404" t="n">
        <v>4503</v>
      </c>
      <c r="K901" s="408" t="n">
        <v>3.99733510992672</v>
      </c>
      <c r="L901" s="409" t="n">
        <v>0</v>
      </c>
      <c r="M901" s="409" t="n">
        <v>0.2</v>
      </c>
      <c r="N901" s="378" t="n">
        <v>1947</v>
      </c>
      <c r="P901" s="393">
        <f>462+462+379</f>
        <v/>
      </c>
      <c r="Q901" s="605" t="n">
        <v>11</v>
      </c>
      <c r="R901" s="605" t="n">
        <v>1</v>
      </c>
      <c r="S901" s="605" t="n">
        <v>1</v>
      </c>
      <c r="T901" s="403" t="inlineStr">
        <is>
          <t xml:space="preserve">I1   </t>
        </is>
      </c>
      <c r="U901" s="403" t="n">
        <v>398</v>
      </c>
      <c r="V901" s="404" t="n">
        <v>12500</v>
      </c>
      <c r="W901" s="404" t="n">
        <v>13000</v>
      </c>
      <c r="X901" s="410" t="inlineStr">
        <is>
          <t>2.8:1</t>
        </is>
      </c>
      <c r="Y901" s="404">
        <f>ROUND(J901,-3)</f>
        <v/>
      </c>
      <c r="Z901" s="403" t="inlineStr">
        <is>
          <t xml:space="preserve">C </t>
        </is>
      </c>
      <c r="AA901" s="605" t="n">
        <v>3</v>
      </c>
      <c r="AB901" s="605" t="n">
        <v>1</v>
      </c>
      <c r="AC901" s="378" t="inlineStr">
        <is>
          <t>31</t>
        </is>
      </c>
      <c r="AD901" s="384" t="inlineStr">
        <is>
          <t>S-W NIELSEN PLASTRNG</t>
        </is>
      </c>
      <c r="AE901" s="145" t="n"/>
      <c r="AF901" s="145" t="n"/>
      <c r="AG901" s="145" t="n"/>
      <c r="AH901" s="145" t="n"/>
      <c r="AI901" s="145" t="n"/>
      <c r="AJ901" s="145" t="n"/>
      <c r="AK901" s="145" t="n"/>
      <c r="AL901" s="605">
        <f>IF(AND(ISNUMBER($S901),$S901&gt;0,ISNUMBER($K901),ISNUMBER($J901)),($K901*$J901)/$S901,"")</f>
        <v/>
      </c>
    </row>
    <row r="902" ht="12.75" customHeight="1" s="545">
      <c r="A902" s="388" t="n">
        <v>8</v>
      </c>
      <c r="B902" s="605" t="n">
        <v>894</v>
      </c>
      <c r="C902" s="384" t="inlineStr">
        <is>
          <t>2009Q</t>
        </is>
      </c>
      <c r="D902" s="605" t="inlineStr">
        <is>
          <t xml:space="preserve">05103-23-002-000 </t>
        </is>
      </c>
      <c r="E902" s="407" t="inlineStr">
        <is>
          <t>Actual</t>
        </is>
      </c>
      <c r="F902" s="605" t="inlineStr">
        <is>
          <t>140 S ELATI                ST</t>
        </is>
      </c>
      <c r="G902" s="392" t="n">
        <v>44.2</v>
      </c>
      <c r="H902" s="378" t="n">
        <v>9505</v>
      </c>
      <c r="I902" s="403" t="n">
        <v>0</v>
      </c>
      <c r="J902" s="404" t="n">
        <v>3750</v>
      </c>
      <c r="K902" s="408" t="n">
        <v>5.44</v>
      </c>
      <c r="L902" s="409" t="n">
        <v>0</v>
      </c>
      <c r="M902" s="409" t="n">
        <v>0.156862745098039</v>
      </c>
      <c r="N902" s="378" t="n">
        <v>1935</v>
      </c>
      <c r="O902" s="393" t="n">
        <v>1340</v>
      </c>
      <c r="P902" s="393" t="n">
        <v>572</v>
      </c>
      <c r="Q902" s="605" t="n">
        <v>15</v>
      </c>
      <c r="R902" s="605" t="n">
        <v>1</v>
      </c>
      <c r="S902" s="605" t="n">
        <v>1</v>
      </c>
      <c r="T902" s="403" t="inlineStr">
        <is>
          <t xml:space="preserve">I1   </t>
        </is>
      </c>
      <c r="U902" s="403" t="n">
        <v>398</v>
      </c>
      <c r="V902" s="404" t="n">
        <v>25000</v>
      </c>
      <c r="W902" s="404" t="n">
        <v>25000</v>
      </c>
      <c r="X902" s="410" t="inlineStr">
        <is>
          <t>6.7:1</t>
        </is>
      </c>
      <c r="Y902" s="404">
        <f>ROUND(J902,-3)</f>
        <v/>
      </c>
      <c r="Z902" s="403" t="inlineStr">
        <is>
          <t xml:space="preserve">C </t>
        </is>
      </c>
      <c r="AA902" s="605" t="n">
        <v>2</v>
      </c>
      <c r="AB902" s="605" t="n">
        <v>2</v>
      </c>
      <c r="AC902" s="378" t="inlineStr">
        <is>
          <t>22</t>
        </is>
      </c>
      <c r="AD902" s="384" t="inlineStr">
        <is>
          <t>S-W NIELSON PLASTRNG</t>
        </is>
      </c>
      <c r="AE902" s="145" t="n"/>
      <c r="AF902" s="145" t="n"/>
      <c r="AG902" s="145" t="n"/>
      <c r="AH902" s="145" t="n"/>
      <c r="AI902" s="145" t="n"/>
      <c r="AJ902" s="145" t="n"/>
      <c r="AK902" s="145" t="n"/>
      <c r="AL902" s="605">
        <f>IF(AND(ISNUMBER($S902),$S902&gt;0,ISNUMBER($K902),ISNUMBER($J902)),($K902*$J902)/$S902,"")</f>
        <v/>
      </c>
    </row>
    <row r="903" ht="12.75" customHeight="1" s="545">
      <c r="A903" s="388" t="n">
        <v>8</v>
      </c>
      <c r="B903" s="605" t="n">
        <v>895</v>
      </c>
      <c r="C903" s="384" t="inlineStr">
        <is>
          <t>2009Q</t>
        </is>
      </c>
      <c r="D903" s="605" t="inlineStr">
        <is>
          <t xml:space="preserve">05103-23-018-000 </t>
        </is>
      </c>
      <c r="E903" s="407" t="inlineStr">
        <is>
          <t>Actual</t>
        </is>
      </c>
      <c r="F903" s="605" t="inlineStr">
        <is>
          <t>495 W CEDAR                AV</t>
        </is>
      </c>
      <c r="G903" s="392" t="n">
        <v>47.2</v>
      </c>
      <c r="H903" s="378" t="n">
        <v>9505</v>
      </c>
      <c r="I903" s="403" t="n">
        <v>0</v>
      </c>
      <c r="J903" s="404" t="n">
        <v>6624</v>
      </c>
      <c r="K903" s="408" t="n">
        <v>8.070652173913039</v>
      </c>
      <c r="L903" s="409" t="n">
        <v>0</v>
      </c>
      <c r="M903" s="409" t="n">
        <v>0.149195660306771</v>
      </c>
      <c r="N903" s="378" t="n">
        <v>1976</v>
      </c>
      <c r="O903" s="393" t="n">
        <v>4224</v>
      </c>
      <c r="Q903" s="605" t="n">
        <v>12</v>
      </c>
      <c r="R903" s="605" t="n">
        <v>3</v>
      </c>
      <c r="S903" s="605" t="n">
        <v>1</v>
      </c>
      <c r="T903" s="403" t="inlineStr">
        <is>
          <t xml:space="preserve">I1   </t>
        </is>
      </c>
      <c r="U903" s="403" t="n">
        <v>401</v>
      </c>
      <c r="V903" s="404" t="n">
        <v>18200</v>
      </c>
      <c r="W903" s="404" t="n">
        <v>18000</v>
      </c>
      <c r="X903" s="410" t="inlineStr">
        <is>
          <t>2.7:1</t>
        </is>
      </c>
      <c r="Y903" s="404">
        <f>ROUND(J903,-3)</f>
        <v/>
      </c>
      <c r="Z903" s="403" t="inlineStr">
        <is>
          <t xml:space="preserve">C </t>
        </is>
      </c>
      <c r="AA903" s="605" t="n">
        <v>5</v>
      </c>
      <c r="AB903" s="605" t="n">
        <v>3</v>
      </c>
      <c r="AC903" s="378" t="inlineStr">
        <is>
          <t>53</t>
        </is>
      </c>
      <c r="AD903" s="384" t="inlineStr">
        <is>
          <t xml:space="preserve">WALMAN OPTICAL      </t>
        </is>
      </c>
      <c r="AE903" s="145" t="n"/>
      <c r="AF903" s="145" t="n"/>
      <c r="AG903" s="145" t="n"/>
      <c r="AH903" s="145" t="n"/>
      <c r="AI903" s="145" t="n"/>
      <c r="AJ903" s="145" t="n"/>
      <c r="AK903" s="145" t="n"/>
      <c r="AL903" s="605">
        <f>IF(AND(ISNUMBER($S903),$S903&gt;0,ISNUMBER($K903),ISNUMBER($J903)),($K903*$J903)/$S903,"")</f>
        <v/>
      </c>
    </row>
    <row r="904" ht="12.75" customHeight="1" s="545">
      <c r="A904" s="388" t="n">
        <v>8</v>
      </c>
      <c r="B904" s="605" t="n">
        <v>896</v>
      </c>
      <c r="C904" s="384" t="inlineStr">
        <is>
          <t>2009Q</t>
        </is>
      </c>
      <c r="D904" s="605" t="inlineStr">
        <is>
          <t xml:space="preserve">05112-16-003-000 </t>
        </is>
      </c>
      <c r="E904" s="407" t="inlineStr">
        <is>
          <t>Actual</t>
        </is>
      </c>
      <c r="F904" s="605" t="inlineStr">
        <is>
          <t>383   CORONA               ST</t>
        </is>
      </c>
      <c r="G904" s="392" t="n">
        <v>47.1</v>
      </c>
      <c r="H904" s="378" t="n">
        <v>9502</v>
      </c>
      <c r="I904" s="403" t="n">
        <v>0</v>
      </c>
      <c r="J904" s="404" t="n">
        <v>4660</v>
      </c>
      <c r="K904" s="408" t="n">
        <v>9.785407725321891</v>
      </c>
      <c r="L904" s="409" t="n">
        <v>0</v>
      </c>
      <c r="M904" s="409" t="n">
        <v>0.043859649122807</v>
      </c>
      <c r="N904" s="378" t="n">
        <v>1955</v>
      </c>
      <c r="Q904" s="605" t="n">
        <v>10</v>
      </c>
      <c r="R904" s="605" t="n">
        <v>1</v>
      </c>
      <c r="S904" s="605" t="n">
        <v>1</v>
      </c>
      <c r="T904" s="403" t="inlineStr">
        <is>
          <t xml:space="preserve">B2   </t>
        </is>
      </c>
      <c r="U904" s="403" t="n">
        <v>401</v>
      </c>
      <c r="V904" s="404" t="n">
        <v>4687</v>
      </c>
      <c r="W904" s="404" t="n">
        <v>5000</v>
      </c>
      <c r="X904" s="410" t="inlineStr">
        <is>
          <t>1.0:1</t>
        </is>
      </c>
      <c r="Y904" s="404">
        <f>ROUND(J904,-3)</f>
        <v/>
      </c>
      <c r="Z904" s="403" t="inlineStr">
        <is>
          <t xml:space="preserve">C </t>
        </is>
      </c>
      <c r="AA904" s="605" t="n">
        <v>3</v>
      </c>
      <c r="AB904" s="605" t="n">
        <v>3</v>
      </c>
      <c r="AC904" s="378" t="inlineStr">
        <is>
          <t>33</t>
        </is>
      </c>
      <c r="AD904" s="384" t="n"/>
      <c r="AE904" s="145" t="n"/>
      <c r="AF904" s="145" t="n"/>
      <c r="AG904" s="145" t="n"/>
      <c r="AH904" s="145" t="n"/>
      <c r="AI904" s="145" t="n"/>
      <c r="AJ904" s="145" t="n"/>
      <c r="AK904" s="145" t="n"/>
      <c r="AL904" s="605">
        <f>IF(AND(ISNUMBER($S904),$S904&gt;0,ISNUMBER($K904),ISNUMBER($J904)),($K904*$J904)/$S904,"")</f>
        <v/>
      </c>
    </row>
    <row r="905" ht="12.75" customHeight="1" s="545">
      <c r="A905" s="388" t="n">
        <v>8</v>
      </c>
      <c r="B905" s="605" t="n">
        <v>897</v>
      </c>
      <c r="C905" s="384" t="inlineStr">
        <is>
          <t>2009Q</t>
        </is>
      </c>
      <c r="D905" s="605" t="inlineStr">
        <is>
          <t xml:space="preserve">05154-02-016-000 </t>
        </is>
      </c>
      <c r="E905" s="407" t="inlineStr">
        <is>
          <t>Actual</t>
        </is>
      </c>
      <c r="F905" s="605" t="inlineStr">
        <is>
          <t>500 W TENNESSEE            AV</t>
        </is>
      </c>
      <c r="G905" s="392" t="n">
        <v>44.1</v>
      </c>
      <c r="H905" s="378" t="n">
        <v>9506</v>
      </c>
      <c r="I905" s="403" t="n">
        <v>0</v>
      </c>
      <c r="J905" s="404" t="n">
        <v>30204</v>
      </c>
      <c r="K905" s="408" t="n">
        <v>5.61101178651834</v>
      </c>
      <c r="L905" s="409" t="n">
        <v>0</v>
      </c>
      <c r="M905" s="409" t="n">
        <v>0</v>
      </c>
      <c r="N905" s="378" t="n">
        <v>1972</v>
      </c>
      <c r="O905" s="393">
        <f>3325+3963</f>
        <v/>
      </c>
      <c r="P905" s="393">
        <f>1800+1404</f>
        <v/>
      </c>
      <c r="Q905" s="605" t="n">
        <v>24</v>
      </c>
      <c r="R905" s="605" t="n">
        <v>10</v>
      </c>
      <c r="S905" s="605" t="n">
        <v>1</v>
      </c>
      <c r="T905" s="403" t="inlineStr">
        <is>
          <t xml:space="preserve">I1   </t>
        </is>
      </c>
      <c r="U905" s="403" t="n">
        <v>398</v>
      </c>
      <c r="V905" s="404" t="n">
        <v>61900</v>
      </c>
      <c r="W905" s="404" t="n">
        <v>60000</v>
      </c>
      <c r="X905" s="410" t="inlineStr">
        <is>
          <t>2.0:1</t>
        </is>
      </c>
      <c r="Y905" s="404">
        <f>ROUND(J905,-3)</f>
        <v/>
      </c>
      <c r="Z905" s="403" t="inlineStr">
        <is>
          <t xml:space="preserve">C </t>
        </is>
      </c>
      <c r="AA905" s="605" t="n">
        <v>3</v>
      </c>
      <c r="AB905" s="605" t="n">
        <v>3</v>
      </c>
      <c r="AC905" s="378" t="inlineStr">
        <is>
          <t>33</t>
        </is>
      </c>
      <c r="AD905" s="384" t="n"/>
      <c r="AE905" s="145" t="n"/>
      <c r="AF905" s="145" t="n"/>
      <c r="AG905" s="145" t="n"/>
      <c r="AH905" s="145" t="n"/>
      <c r="AI905" s="145" t="n"/>
      <c r="AJ905" s="145" t="n"/>
      <c r="AK905" s="145" t="n"/>
      <c r="AL905" s="605">
        <f>IF(AND(ISNUMBER($S905),$S905&gt;0,ISNUMBER($K905),ISNUMBER($J905)),($K905*$J905)/$S905,"")</f>
        <v/>
      </c>
    </row>
    <row r="906" ht="12.75" customHeight="1" s="545">
      <c r="A906" s="388" t="n">
        <v>8</v>
      </c>
      <c r="B906" s="605" t="n">
        <v>898</v>
      </c>
      <c r="C906" s="384" t="inlineStr">
        <is>
          <t>2009Q</t>
        </is>
      </c>
      <c r="D906" s="605" t="inlineStr">
        <is>
          <t xml:space="preserve">05154-03-016-000 </t>
        </is>
      </c>
      <c r="E906" s="407" t="inlineStr">
        <is>
          <t>Actual</t>
        </is>
      </c>
      <c r="F906" s="605" t="inlineStr">
        <is>
          <t>640 W TENNESSEE            AV</t>
        </is>
      </c>
      <c r="G906" s="392" t="n">
        <v>44.2</v>
      </c>
      <c r="H906" s="378" t="n">
        <v>9506</v>
      </c>
      <c r="I906" s="403" t="n">
        <v>0</v>
      </c>
      <c r="J906" s="404" t="n">
        <v>35000</v>
      </c>
      <c r="K906" s="408" t="n">
        <v>6.576</v>
      </c>
      <c r="L906" s="409" t="n">
        <v>0</v>
      </c>
      <c r="M906" s="409" t="n">
        <v>0.146211331247828</v>
      </c>
      <c r="N906" s="378" t="n">
        <v>1974</v>
      </c>
      <c r="O906" s="393">
        <f>2782+748+748+2782</f>
        <v/>
      </c>
      <c r="Q906" s="605" t="n">
        <v>21</v>
      </c>
      <c r="R906" s="605" t="n">
        <v>14</v>
      </c>
      <c r="S906" s="605" t="n">
        <v>1</v>
      </c>
      <c r="T906" s="403" t="inlineStr">
        <is>
          <t xml:space="preserve">I1   </t>
        </is>
      </c>
      <c r="U906" s="403" t="n">
        <v>398</v>
      </c>
      <c r="V906" s="404" t="n">
        <v>70320</v>
      </c>
      <c r="W906" s="404" t="n">
        <v>70000</v>
      </c>
      <c r="X906" s="410" t="inlineStr">
        <is>
          <t>2.0:1</t>
        </is>
      </c>
      <c r="Y906" s="404">
        <f>ROUND(J906,-3)</f>
        <v/>
      </c>
      <c r="Z906" s="403" t="inlineStr">
        <is>
          <t xml:space="preserve">C </t>
        </is>
      </c>
      <c r="AA906" s="605" t="n">
        <v>3</v>
      </c>
      <c r="AB906" s="605" t="n">
        <v>3</v>
      </c>
      <c r="AC906" s="378" t="inlineStr">
        <is>
          <t>33</t>
        </is>
      </c>
      <c r="AD906" s="384" t="inlineStr">
        <is>
          <t xml:space="preserve">M-W                 </t>
        </is>
      </c>
      <c r="AE906" s="145" t="n"/>
      <c r="AF906" s="145" t="n"/>
      <c r="AG906" s="145" t="n"/>
      <c r="AH906" s="145" t="n"/>
      <c r="AI906" s="145" t="n"/>
      <c r="AJ906" s="145" t="n"/>
      <c r="AK906" s="145" t="inlineStr">
        <is>
          <t xml:space="preserve">MULTI-TENANT 5 UNITS                                              </t>
        </is>
      </c>
      <c r="AL906" s="605">
        <f>IF(AND(ISNUMBER($S906),$S906&gt;0,ISNUMBER($K906),ISNUMBER($J906)),($K906*$J906)/$S906,"")</f>
        <v/>
      </c>
    </row>
    <row r="907" ht="12.75" customHeight="1" s="545">
      <c r="A907" s="388" t="n">
        <v>8</v>
      </c>
      <c r="B907" s="605" t="n">
        <v>899</v>
      </c>
      <c r="C907" s="384" t="inlineStr">
        <is>
          <t>2009Q</t>
        </is>
      </c>
      <c r="D907" s="605" t="inlineStr">
        <is>
          <t xml:space="preserve">05154-03-017-000 </t>
        </is>
      </c>
      <c r="E907" s="407" t="inlineStr">
        <is>
          <t>Actual</t>
        </is>
      </c>
      <c r="F907" s="605" t="inlineStr">
        <is>
          <t>1070 S GALAPAGO             ST</t>
        </is>
      </c>
      <c r="G907" s="392" t="n">
        <v>44.2</v>
      </c>
      <c r="H907" s="378" t="n">
        <v>9506</v>
      </c>
      <c r="I907" s="403" t="n">
        <v>0</v>
      </c>
      <c r="J907" s="404" t="n">
        <v>13570</v>
      </c>
      <c r="K907" s="408" t="n">
        <v>7.9587324981577</v>
      </c>
      <c r="L907" s="409" t="n">
        <v>0</v>
      </c>
      <c r="M907" s="409" t="n">
        <v>0</v>
      </c>
      <c r="N907" s="378" t="n">
        <v>1974</v>
      </c>
      <c r="O907" s="393" t="n">
        <v>3360</v>
      </c>
      <c r="Q907" s="605" t="n">
        <v>13</v>
      </c>
      <c r="R907" s="605" t="n">
        <v>3</v>
      </c>
      <c r="S907" s="605" t="n">
        <v>1</v>
      </c>
      <c r="T907" s="403" t="inlineStr">
        <is>
          <t xml:space="preserve">I1   </t>
        </is>
      </c>
      <c r="U907" s="403" t="n">
        <v>398</v>
      </c>
      <c r="V907" s="404" t="n">
        <v>53150</v>
      </c>
      <c r="W907" s="404" t="n">
        <v>50000</v>
      </c>
      <c r="X907" s="410" t="inlineStr">
        <is>
          <t>3.9:1</t>
        </is>
      </c>
      <c r="Y907" s="404">
        <f>ROUND(J907,-3)</f>
        <v/>
      </c>
      <c r="Z907" s="403" t="inlineStr">
        <is>
          <t xml:space="preserve">C </t>
        </is>
      </c>
      <c r="AA907" s="605" t="n">
        <v>3</v>
      </c>
      <c r="AB907" s="605" t="n">
        <v>3</v>
      </c>
      <c r="AC907" s="378" t="inlineStr">
        <is>
          <t>33</t>
        </is>
      </c>
      <c r="AD907" s="384" t="n"/>
      <c r="AE907" s="145" t="n"/>
      <c r="AF907" s="145" t="n"/>
      <c r="AG907" s="145" t="n"/>
      <c r="AH907" s="145" t="n"/>
      <c r="AI907" s="145" t="n"/>
      <c r="AJ907" s="145" t="n"/>
      <c r="AK907" s="145" t="inlineStr">
        <is>
          <t xml:space="preserve">1997 LEASE                                                        </t>
        </is>
      </c>
      <c r="AL907" s="605">
        <f>IF(AND(ISNUMBER($S907),$S907&gt;0,ISNUMBER($K907),ISNUMBER($J907)),($K907*$J907)/$S907,"")</f>
        <v/>
      </c>
    </row>
    <row r="908" ht="12.75" customHeight="1" s="545">
      <c r="A908" s="388" t="n">
        <v>8</v>
      </c>
      <c r="B908" s="605" t="n">
        <v>900</v>
      </c>
      <c r="C908" s="384" t="inlineStr">
        <is>
          <t>2009Q</t>
        </is>
      </c>
      <c r="D908" s="605" t="inlineStr">
        <is>
          <t xml:space="preserve">05161-00-034-000 </t>
        </is>
      </c>
      <c r="E908" s="407" t="inlineStr">
        <is>
          <t>Actual</t>
        </is>
      </c>
      <c r="F908" s="605" t="inlineStr">
        <is>
          <t>320 S LIPAN                ST</t>
        </is>
      </c>
      <c r="G908" s="392" t="n">
        <v>44.1</v>
      </c>
      <c r="H908" s="378" t="n">
        <v>9506</v>
      </c>
      <c r="I908" s="403" t="n">
        <v>0</v>
      </c>
      <c r="J908" s="404" t="n">
        <v>69120</v>
      </c>
      <c r="K908" s="408" t="n">
        <v>4.53214699074074</v>
      </c>
      <c r="L908" s="409" t="n">
        <v>0</v>
      </c>
      <c r="M908" s="409" t="n">
        <v>0.00540761407384234</v>
      </c>
      <c r="N908" s="378" t="n">
        <v>1974</v>
      </c>
      <c r="O908" s="393">
        <f>5480+10619</f>
        <v/>
      </c>
      <c r="Q908" s="605" t="n">
        <v>24</v>
      </c>
      <c r="R908" s="605" t="n">
        <v>1</v>
      </c>
      <c r="S908" s="605" t="n">
        <v>1</v>
      </c>
      <c r="T908" s="403" t="inlineStr">
        <is>
          <t xml:space="preserve">I1   </t>
        </is>
      </c>
      <c r="U908" s="403" t="n">
        <v>398</v>
      </c>
      <c r="V908" s="404" t="n">
        <v>124000</v>
      </c>
      <c r="W908" s="404" t="n">
        <v>120000</v>
      </c>
      <c r="X908" s="410" t="inlineStr">
        <is>
          <t>1.8:1</t>
        </is>
      </c>
      <c r="Y908" s="404">
        <f>ROUND(J908,-4)</f>
        <v/>
      </c>
      <c r="Z908" s="403" t="inlineStr">
        <is>
          <t xml:space="preserve">C </t>
        </is>
      </c>
      <c r="AA908" s="605" t="n">
        <v>3</v>
      </c>
      <c r="AB908" s="605" t="n">
        <v>3</v>
      </c>
      <c r="AC908" s="378" t="inlineStr">
        <is>
          <t>33</t>
        </is>
      </c>
      <c r="AD908" s="384" t="n"/>
      <c r="AE908" s="145" t="n"/>
      <c r="AF908" s="145" t="n"/>
      <c r="AG908" s="145" t="n"/>
      <c r="AH908" s="145" t="n"/>
      <c r="AI908" s="145" t="n"/>
      <c r="AJ908" s="145" t="n"/>
      <c r="AK908" s="145" t="n"/>
      <c r="AL908" s="605">
        <f>IF(AND(ISNUMBER($S908),$S908&gt;0,ISNUMBER($K908),ISNUMBER($J908)),($K908*$J908)/$S908,"")</f>
        <v/>
      </c>
    </row>
    <row r="909" ht="12.75" customHeight="1" s="545">
      <c r="A909" s="388" t="n">
        <v>8</v>
      </c>
      <c r="B909" s="605" t="n">
        <v>901</v>
      </c>
      <c r="C909" s="384" t="inlineStr">
        <is>
          <t>2009Q</t>
        </is>
      </c>
      <c r="D909" s="605" t="inlineStr">
        <is>
          <t xml:space="preserve">05161-08-001-000 </t>
        </is>
      </c>
      <c r="E909" s="407" t="inlineStr">
        <is>
          <t>Actual</t>
        </is>
      </c>
      <c r="F909" s="605" t="inlineStr">
        <is>
          <t>451 S LIPAN                ST</t>
        </is>
      </c>
      <c r="G909" s="392" t="n">
        <v>44.1</v>
      </c>
      <c r="H909" s="378" t="n">
        <v>9506</v>
      </c>
      <c r="I909" s="403" t="n">
        <v>0</v>
      </c>
      <c r="J909" s="404" t="n">
        <v>3027</v>
      </c>
      <c r="K909" s="408" t="n">
        <v>9.80773042616452</v>
      </c>
      <c r="L909" s="409" t="n">
        <v>0</v>
      </c>
      <c r="M909" s="409" t="n">
        <v>0</v>
      </c>
      <c r="N909" s="378" t="n">
        <v>1959</v>
      </c>
      <c r="O909" s="393" t="n">
        <v>629</v>
      </c>
      <c r="Q909" s="605" t="n">
        <v>11</v>
      </c>
      <c r="R909" s="605" t="n">
        <v>3</v>
      </c>
      <c r="S909" s="605" t="n">
        <v>1</v>
      </c>
      <c r="T909" s="403" t="inlineStr">
        <is>
          <t xml:space="preserve">I1   </t>
        </is>
      </c>
      <c r="U909" s="403" t="n">
        <v>398</v>
      </c>
      <c r="V909" s="404" t="n">
        <v>4837</v>
      </c>
      <c r="W909" s="404" t="n">
        <v>5000</v>
      </c>
      <c r="X909" s="410" t="inlineStr">
        <is>
          <t>1.6:1</t>
        </is>
      </c>
      <c r="Y909" s="404">
        <f>ROUND(J909,-3)</f>
        <v/>
      </c>
      <c r="Z909" s="403" t="inlineStr">
        <is>
          <t xml:space="preserve">C </t>
        </is>
      </c>
      <c r="AA909" s="605" t="n">
        <v>3</v>
      </c>
      <c r="AB909" s="605" t="n">
        <v>3</v>
      </c>
      <c r="AC909" s="378" t="inlineStr">
        <is>
          <t>33</t>
        </is>
      </c>
      <c r="AD909" s="384" t="inlineStr">
        <is>
          <t>OMNI-PRO CLEAN'NG CO</t>
        </is>
      </c>
      <c r="AE909" s="145" t="n"/>
      <c r="AF909" s="145" t="n"/>
      <c r="AG909" s="145" t="n"/>
      <c r="AH909" s="145" t="n"/>
      <c r="AI909" s="145" t="n"/>
      <c r="AJ909" s="145" t="n"/>
      <c r="AK909" s="145" t="inlineStr">
        <is>
          <t xml:space="preserve">NNN LEASE SIGNED IN 09/2007-VACANT 8 MOS IN 2007                  </t>
        </is>
      </c>
      <c r="AL909" s="605">
        <f>IF(AND(ISNUMBER($S909),$S909&gt;0,ISNUMBER($K909),ISNUMBER($J909)),($K909*$J909)/$S909,"")</f>
        <v/>
      </c>
    </row>
    <row r="910" ht="12.75" customHeight="1" s="545">
      <c r="A910" s="388" t="n">
        <v>8</v>
      </c>
      <c r="B910" s="605" t="n">
        <v>902</v>
      </c>
      <c r="C910" s="384" t="inlineStr">
        <is>
          <t>2009Q</t>
        </is>
      </c>
      <c r="D910" s="605" t="inlineStr">
        <is>
          <t xml:space="preserve">05161-08-010-000 </t>
        </is>
      </c>
      <c r="E910" s="407" t="inlineStr">
        <is>
          <t>Actual</t>
        </is>
      </c>
      <c r="F910" s="605" t="inlineStr">
        <is>
          <t>460 S NAVAJO               ST</t>
        </is>
      </c>
      <c r="G910" s="392" t="n">
        <v>46.1</v>
      </c>
      <c r="H910" s="378" t="n">
        <v>9506</v>
      </c>
      <c r="I910" s="403" t="n">
        <v>0</v>
      </c>
      <c r="J910" s="404" t="n">
        <v>4000</v>
      </c>
      <c r="K910" s="408" t="n">
        <v>5.4</v>
      </c>
      <c r="L910" s="409" t="n">
        <v>0</v>
      </c>
      <c r="M910" s="409" t="n">
        <v>0</v>
      </c>
      <c r="N910" s="378" t="n">
        <v>1966</v>
      </c>
      <c r="O910" s="393" t="n">
        <v>500</v>
      </c>
      <c r="Q910" s="605" t="n">
        <v>14</v>
      </c>
      <c r="R910" s="605" t="n">
        <v>3</v>
      </c>
      <c r="S910" s="605" t="n">
        <v>1</v>
      </c>
      <c r="T910" s="403" t="inlineStr">
        <is>
          <t xml:space="preserve">I0   </t>
        </is>
      </c>
      <c r="U910" s="403" t="n">
        <v>401</v>
      </c>
      <c r="V910" s="404" t="n">
        <v>10000</v>
      </c>
      <c r="W910" s="404" t="n">
        <v>10000</v>
      </c>
      <c r="X910" s="410" t="inlineStr">
        <is>
          <t>2.5:1</t>
        </is>
      </c>
      <c r="Y910" s="404">
        <f>ROUND(J910,-3)</f>
        <v/>
      </c>
      <c r="Z910" s="403" t="inlineStr">
        <is>
          <t xml:space="preserve">C </t>
        </is>
      </c>
      <c r="AA910" s="605" t="n">
        <v>3</v>
      </c>
      <c r="AB910" s="605" t="n">
        <v>3</v>
      </c>
      <c r="AC910" s="378" t="inlineStr">
        <is>
          <t>33</t>
        </is>
      </c>
      <c r="AD910" s="384" t="inlineStr">
        <is>
          <t xml:space="preserve">S-F CHILD'S PASTRY  </t>
        </is>
      </c>
      <c r="AE910" s="145" t="n"/>
      <c r="AF910" s="145" t="n"/>
      <c r="AG910" s="145" t="n"/>
      <c r="AH910" s="145" t="n"/>
      <c r="AI910" s="145" t="n"/>
      <c r="AJ910" s="145" t="n"/>
      <c r="AK910" s="145" t="n"/>
      <c r="AL910" s="605">
        <f>IF(AND(ISNUMBER($S910),$S910&gt;0,ISNUMBER($K910),ISNUMBER($J910)),($K910*$J910)/$S910,"")</f>
        <v/>
      </c>
    </row>
    <row r="911" ht="12.75" customHeight="1" s="545">
      <c r="A911" s="388" t="n">
        <v>8</v>
      </c>
      <c r="B911" s="605" t="n">
        <v>903</v>
      </c>
      <c r="C911" s="384" t="inlineStr">
        <is>
          <t>2009Q</t>
        </is>
      </c>
      <c r="D911" s="605" t="inlineStr">
        <is>
          <t xml:space="preserve">05161-09-025-000 </t>
        </is>
      </c>
      <c r="E911" s="407" t="inlineStr">
        <is>
          <t>Actual</t>
        </is>
      </c>
      <c r="F911" s="605" t="inlineStr">
        <is>
          <t>1128 W VIRGINIA             AV</t>
        </is>
      </c>
      <c r="G911" s="392" t="n">
        <v>44.2</v>
      </c>
      <c r="H911" s="378" t="n">
        <v>9506</v>
      </c>
      <c r="I911" s="403" t="n">
        <v>0</v>
      </c>
      <c r="J911" s="404" t="n">
        <v>7881</v>
      </c>
      <c r="K911" s="408" t="n">
        <v>7.91777693186144</v>
      </c>
      <c r="L911" s="409" t="n">
        <v>0</v>
      </c>
      <c r="M911" s="409" t="n">
        <v>0.17088141025641</v>
      </c>
      <c r="N911" s="378" t="n">
        <v>1981</v>
      </c>
      <c r="O911" s="393">
        <f>1487+603</f>
        <v/>
      </c>
      <c r="Q911" s="605" t="n">
        <v>17</v>
      </c>
      <c r="R911" s="605" t="n">
        <v>3</v>
      </c>
      <c r="S911" s="605" t="n">
        <v>1</v>
      </c>
      <c r="T911" s="403" t="inlineStr">
        <is>
          <t xml:space="preserve">I1   </t>
        </is>
      </c>
      <c r="U911" s="403" t="n">
        <v>398</v>
      </c>
      <c r="V911" s="404" t="n">
        <v>12500</v>
      </c>
      <c r="W911" s="404" t="n">
        <v>13000</v>
      </c>
      <c r="X911" s="410" t="inlineStr">
        <is>
          <t>1.6:1</t>
        </is>
      </c>
      <c r="Y911" s="404">
        <f>ROUND(J911,-3)</f>
        <v/>
      </c>
      <c r="Z911" s="403" t="inlineStr">
        <is>
          <t xml:space="preserve">C </t>
        </is>
      </c>
      <c r="AA911" s="605" t="n">
        <v>3</v>
      </c>
      <c r="AB911" s="605" t="n">
        <v>3</v>
      </c>
      <c r="AC911" s="378" t="inlineStr">
        <is>
          <t>33</t>
        </is>
      </c>
      <c r="AD911" s="384" t="n"/>
      <c r="AE911" s="145" t="n"/>
      <c r="AF911" s="145" t="n"/>
      <c r="AG911" s="145" t="n"/>
      <c r="AH911" s="145" t="n"/>
      <c r="AI911" s="145" t="n"/>
      <c r="AJ911" s="145" t="n"/>
      <c r="AK911" s="145" t="n"/>
      <c r="AL911" s="605">
        <f>IF(AND(ISNUMBER($S911),$S911&gt;0,ISNUMBER($K911),ISNUMBER($J911)),($K911*$J911)/$S911,"")</f>
        <v/>
      </c>
    </row>
    <row r="912" ht="12.75" customHeight="1" s="545">
      <c r="A912" s="388" t="n">
        <v>8</v>
      </c>
      <c r="B912" s="605" t="n">
        <v>904</v>
      </c>
      <c r="C912" s="384" t="inlineStr">
        <is>
          <t>2009Q</t>
        </is>
      </c>
      <c r="D912" s="605" t="inlineStr">
        <is>
          <t xml:space="preserve">05161-10-002-000 </t>
        </is>
      </c>
      <c r="E912" s="407" t="inlineStr">
        <is>
          <t>Actual</t>
        </is>
      </c>
      <c r="F912" s="605" t="inlineStr">
        <is>
          <t>1216 W VIRGINIA             AV</t>
        </is>
      </c>
      <c r="G912" s="392" t="n">
        <v>44.5</v>
      </c>
      <c r="H912" s="378" t="n">
        <v>9506</v>
      </c>
      <c r="I912" s="403" t="n">
        <v>0</v>
      </c>
      <c r="J912" s="404" t="n">
        <v>3285</v>
      </c>
      <c r="K912" s="408" t="n">
        <v>6.21004566210046</v>
      </c>
      <c r="L912" s="409" t="n">
        <v>0.631276901004304</v>
      </c>
      <c r="M912" s="409" t="n">
        <v>0</v>
      </c>
      <c r="N912" s="378" t="n">
        <v>1973</v>
      </c>
      <c r="Q912" s="605" t="n">
        <v>12</v>
      </c>
      <c r="R912" s="605" t="n">
        <v>7</v>
      </c>
      <c r="S912" s="605" t="n">
        <v>20</v>
      </c>
      <c r="T912" s="403" t="inlineStr">
        <is>
          <t xml:space="preserve">I0   </t>
        </is>
      </c>
      <c r="U912" s="403" t="n">
        <v>396</v>
      </c>
      <c r="V912" s="404" t="n">
        <v>9375</v>
      </c>
      <c r="W912" s="404" t="n">
        <v>9000</v>
      </c>
      <c r="X912" s="410" t="inlineStr">
        <is>
          <t>2.7:1</t>
        </is>
      </c>
      <c r="Y912" s="404">
        <f>ROUND(J912,-3)</f>
        <v/>
      </c>
      <c r="Z912" s="403" t="inlineStr">
        <is>
          <t xml:space="preserve">C </t>
        </is>
      </c>
      <c r="AA912" s="605" t="n">
        <v>3</v>
      </c>
      <c r="AB912" s="605" t="n">
        <v>3</v>
      </c>
      <c r="AC912" s="378" t="inlineStr">
        <is>
          <t>33</t>
        </is>
      </c>
      <c r="AD912" s="384" t="inlineStr">
        <is>
          <t xml:space="preserve">MINI STORAGE        </t>
        </is>
      </c>
      <c r="AE912" s="145" t="n"/>
      <c r="AF912" s="145" t="n"/>
      <c r="AG912" s="145" t="n"/>
      <c r="AH912" s="145" t="n"/>
      <c r="AI912" s="145" t="n"/>
      <c r="AJ912" s="145" t="n"/>
      <c r="AK912" s="145" t="inlineStr">
        <is>
          <t xml:space="preserve">4 UNIT LEASED MONTH TO MONTH                                      </t>
        </is>
      </c>
      <c r="AL912" s="605">
        <f>IF(AND(ISNUMBER($S912),$S912&gt;0,ISNUMBER($K912),ISNUMBER($J912)),($K912*$J912)/$S912,"")</f>
        <v/>
      </c>
    </row>
    <row r="913" ht="12.75" customHeight="1" s="545">
      <c r="A913" s="388" t="n">
        <v>8</v>
      </c>
      <c r="B913" s="605" t="n">
        <v>905</v>
      </c>
      <c r="C913" s="384" t="inlineStr">
        <is>
          <t>2009Q</t>
        </is>
      </c>
      <c r="D913" s="605" t="inlineStr">
        <is>
          <t xml:space="preserve">05161-13-026-000 </t>
        </is>
      </c>
      <c r="E913" s="407" t="inlineStr">
        <is>
          <t>Actual</t>
        </is>
      </c>
      <c r="F913" s="605" t="inlineStr">
        <is>
          <t>1210 W CUSTER               PL</t>
        </is>
      </c>
      <c r="G913" s="392" t="n">
        <v>44.2</v>
      </c>
      <c r="H913" s="378" t="n">
        <v>9506</v>
      </c>
      <c r="I913" s="403" t="n">
        <v>0</v>
      </c>
      <c r="J913" s="404" t="n">
        <v>6000</v>
      </c>
      <c r="K913" s="408" t="n">
        <v>5.72916666666667</v>
      </c>
      <c r="L913" s="409" t="n">
        <v>0</v>
      </c>
      <c r="M913" s="409" t="n">
        <v>0.0605381818181818</v>
      </c>
      <c r="N913" s="378" t="n">
        <v>1971</v>
      </c>
      <c r="O913" s="393" t="n">
        <v>630</v>
      </c>
      <c r="Q913" s="605" t="n">
        <v>13</v>
      </c>
      <c r="R913" s="605" t="n">
        <v>3</v>
      </c>
      <c r="S913" s="605" t="n">
        <v>1</v>
      </c>
      <c r="T913" s="403" t="inlineStr">
        <is>
          <t xml:space="preserve">I0   </t>
        </is>
      </c>
      <c r="U913" s="403" t="n">
        <v>398</v>
      </c>
      <c r="V913" s="404" t="n">
        <v>12500</v>
      </c>
      <c r="W913" s="404" t="n">
        <v>13000</v>
      </c>
      <c r="X913" s="410" t="inlineStr">
        <is>
          <t>2.1:1</t>
        </is>
      </c>
      <c r="Y913" s="404">
        <f>ROUND(J913,-3)</f>
        <v/>
      </c>
      <c r="Z913" s="403" t="inlineStr">
        <is>
          <t xml:space="preserve">C </t>
        </is>
      </c>
      <c r="AA913" s="605" t="n">
        <v>3</v>
      </c>
      <c r="AB913" s="605" t="n">
        <v>3</v>
      </c>
      <c r="AC913" s="378" t="inlineStr">
        <is>
          <t>33</t>
        </is>
      </c>
      <c r="AD913" s="384" t="n"/>
      <c r="AE913" s="145" t="n"/>
      <c r="AF913" s="145" t="n"/>
      <c r="AG913" s="145" t="n"/>
      <c r="AH913" s="145" t="n"/>
      <c r="AI913" s="145" t="n"/>
      <c r="AJ913" s="145" t="n"/>
      <c r="AK913" s="145" t="inlineStr">
        <is>
          <t xml:space="preserve">MULTI TENANT 3 UNITS                                              </t>
        </is>
      </c>
      <c r="AL913" s="605">
        <f>IF(AND(ISNUMBER($S913),$S913&gt;0,ISNUMBER($K913),ISNUMBER($J913)),($K913*$J913)/$S913,"")</f>
        <v/>
      </c>
    </row>
    <row r="914" ht="12.75" customHeight="1" s="545">
      <c r="A914" s="388" t="n">
        <v>8</v>
      </c>
      <c r="B914" s="605" t="n">
        <v>906</v>
      </c>
      <c r="C914" s="384" t="inlineStr">
        <is>
          <t>2009Q</t>
        </is>
      </c>
      <c r="D914" s="605" t="inlineStr">
        <is>
          <t xml:space="preserve">05161-13-027-000 </t>
        </is>
      </c>
      <c r="E914" s="407" t="inlineStr">
        <is>
          <t>Actual</t>
        </is>
      </c>
      <c r="F914" s="605" t="inlineStr">
        <is>
          <t>1205 W CENTER               AV</t>
        </is>
      </c>
      <c r="G914" s="392" t="n">
        <v>44.2</v>
      </c>
      <c r="H914" s="378" t="n">
        <v>9506</v>
      </c>
      <c r="I914" s="403" t="n">
        <v>0</v>
      </c>
      <c r="J914" s="404" t="n">
        <v>7775</v>
      </c>
      <c r="K914" s="408" t="n">
        <v>13.4245659163987</v>
      </c>
      <c r="L914" s="409" t="n">
        <v>0</v>
      </c>
      <c r="M914" s="409" t="n">
        <v>0.21188779029662</v>
      </c>
      <c r="N914" s="378" t="n">
        <v>2000</v>
      </c>
      <c r="O914" s="393" t="n">
        <v>4188</v>
      </c>
      <c r="Q914" s="605" t="n">
        <v>16</v>
      </c>
      <c r="R914" s="605" t="n">
        <v>1</v>
      </c>
      <c r="S914" s="605" t="n">
        <v>3</v>
      </c>
      <c r="T914" s="403" t="inlineStr">
        <is>
          <t xml:space="preserve">I0   </t>
        </is>
      </c>
      <c r="U914" s="403" t="n">
        <v>398</v>
      </c>
      <c r="V914" s="404" t="n">
        <v>18750</v>
      </c>
      <c r="W914" s="404" t="n">
        <v>19000</v>
      </c>
      <c r="X914" s="410" t="inlineStr">
        <is>
          <t>2.4:1</t>
        </is>
      </c>
      <c r="Y914" s="404">
        <f>ROUND(J914,-3)</f>
        <v/>
      </c>
      <c r="Z914" s="403" t="inlineStr">
        <is>
          <t xml:space="preserve">C </t>
        </is>
      </c>
      <c r="AA914" s="605" t="n">
        <v>3</v>
      </c>
      <c r="AB914" s="605" t="n">
        <v>3</v>
      </c>
      <c r="AC914" s="378" t="inlineStr">
        <is>
          <t>33</t>
        </is>
      </c>
      <c r="AD914" s="384" t="inlineStr">
        <is>
          <t xml:space="preserve">M-W                 </t>
        </is>
      </c>
      <c r="AE914" s="145" t="n"/>
      <c r="AF914" s="145" t="n"/>
      <c r="AG914" s="145" t="n"/>
      <c r="AH914" s="145" t="n"/>
      <c r="AI914" s="145" t="n"/>
      <c r="AJ914" s="145" t="n"/>
      <c r="AK914" s="145" t="inlineStr">
        <is>
          <t xml:space="preserve">3 UNITS-TOTAL EXPENSES ARE CAM RECOVERY                           </t>
        </is>
      </c>
      <c r="AL914" s="605">
        <f>IF(AND(ISNUMBER($S914),$S914&gt;0,ISNUMBER($K914),ISNUMBER($J914)),($K914*$J914)/$S914,"")</f>
        <v/>
      </c>
    </row>
    <row r="915" ht="12.75" customHeight="1" s="545">
      <c r="A915" s="388" t="n">
        <v>8</v>
      </c>
      <c r="B915" s="605" t="n">
        <v>907</v>
      </c>
      <c r="C915" s="384" t="inlineStr">
        <is>
          <t>2009Q</t>
        </is>
      </c>
      <c r="D915" s="605" t="inlineStr">
        <is>
          <t xml:space="preserve">05161-15-015-000 </t>
        </is>
      </c>
      <c r="E915" s="407" t="inlineStr">
        <is>
          <t>Actual</t>
        </is>
      </c>
      <c r="F915" s="605" t="inlineStr">
        <is>
          <t>610 S LIPAN                ST</t>
        </is>
      </c>
      <c r="G915" s="392" t="n">
        <v>43.1</v>
      </c>
      <c r="H915" s="378" t="n">
        <v>9506</v>
      </c>
      <c r="I915" s="403" t="n">
        <v>0</v>
      </c>
      <c r="J915" s="404" t="n">
        <v>9132</v>
      </c>
      <c r="K915" s="408" t="n">
        <v>3.94218134034166</v>
      </c>
      <c r="L915" s="409" t="n">
        <v>0</v>
      </c>
      <c r="M915" s="409" t="n">
        <v>0</v>
      </c>
      <c r="N915" s="378" t="n">
        <v>1969</v>
      </c>
      <c r="O915" s="393" t="n">
        <v>7162</v>
      </c>
      <c r="Q915" s="605" t="n">
        <v>12</v>
      </c>
      <c r="R915" s="605" t="n">
        <v>3</v>
      </c>
      <c r="S915" s="605" t="n">
        <v>1</v>
      </c>
      <c r="T915" s="403" t="inlineStr">
        <is>
          <t xml:space="preserve">I0   </t>
        </is>
      </c>
      <c r="U915" s="403" t="n">
        <v>401</v>
      </c>
      <c r="V915" s="404" t="n">
        <v>16500</v>
      </c>
      <c r="W915" s="404" t="n">
        <v>17000</v>
      </c>
      <c r="X915" s="410" t="inlineStr">
        <is>
          <t>1.8:1</t>
        </is>
      </c>
      <c r="Y915" s="404">
        <f>ROUND(J915,-3)</f>
        <v/>
      </c>
      <c r="Z915" s="403" t="inlineStr">
        <is>
          <t xml:space="preserve">C </t>
        </is>
      </c>
      <c r="AA915" s="605" t="n">
        <v>3</v>
      </c>
      <c r="AB915" s="605" t="n">
        <v>3</v>
      </c>
      <c r="AC915" s="378" t="inlineStr">
        <is>
          <t>33</t>
        </is>
      </c>
      <c r="AD915" s="384" t="inlineStr">
        <is>
          <t>LANGE GRAPHICS/PRINT</t>
        </is>
      </c>
      <c r="AE915" s="145" t="n"/>
      <c r="AF915" s="145" t="n"/>
      <c r="AG915" s="145" t="n"/>
      <c r="AH915" s="145" t="n"/>
      <c r="AI915" s="145" t="n"/>
      <c r="AJ915" s="145" t="n"/>
      <c r="AK915" s="145" t="inlineStr">
        <is>
          <t xml:space="preserve">OWNER PAYS PROPERTY TAXES                                         </t>
        </is>
      </c>
      <c r="AL915" s="605">
        <f>IF(AND(ISNUMBER($S915),$S915&gt;0,ISNUMBER($K915),ISNUMBER($J915)),($K915*$J915)/$S915,"")</f>
        <v/>
      </c>
    </row>
    <row r="916" ht="12.75" customHeight="1" s="545">
      <c r="A916" s="388" t="n">
        <v>8</v>
      </c>
      <c r="B916" s="605" t="n">
        <v>908</v>
      </c>
      <c r="C916" s="384" t="inlineStr">
        <is>
          <t>2009Q</t>
        </is>
      </c>
      <c r="D916" s="605" t="inlineStr">
        <is>
          <t xml:space="preserve">05161-16-024-000 </t>
        </is>
      </c>
      <c r="E916" s="407" t="inlineStr">
        <is>
          <t>Actual</t>
        </is>
      </c>
      <c r="F916" s="605" t="inlineStr">
        <is>
          <t>1204 W CENTER               AV</t>
        </is>
      </c>
      <c r="G916" s="392" t="n">
        <v>44.2</v>
      </c>
      <c r="H916" s="378" t="n">
        <v>9506</v>
      </c>
      <c r="I916" s="403" t="n">
        <v>0</v>
      </c>
      <c r="J916" s="404" t="n">
        <v>5000</v>
      </c>
      <c r="K916" s="408" t="n">
        <v>6.7</v>
      </c>
      <c r="L916" s="409" t="n">
        <v>0</v>
      </c>
      <c r="M916" s="409" t="n">
        <v>0</v>
      </c>
      <c r="N916" s="378" t="n">
        <v>1995</v>
      </c>
      <c r="O916" s="393" t="n">
        <v>576</v>
      </c>
      <c r="Q916" s="605" t="n">
        <v>16</v>
      </c>
      <c r="R916" s="605" t="n">
        <v>8</v>
      </c>
      <c r="S916" s="605" t="n">
        <v>1</v>
      </c>
      <c r="T916" s="403" t="inlineStr">
        <is>
          <t xml:space="preserve">I0   </t>
        </is>
      </c>
      <c r="U916" s="403" t="n">
        <v>398</v>
      </c>
      <c r="V916" s="404" t="n">
        <v>15625</v>
      </c>
      <c r="W916" s="404" t="n">
        <v>16000</v>
      </c>
      <c r="X916" s="410" t="inlineStr">
        <is>
          <t>3.1:1</t>
        </is>
      </c>
      <c r="Y916" s="404">
        <f>ROUND(J916,-3)</f>
        <v/>
      </c>
      <c r="Z916" s="403" t="inlineStr">
        <is>
          <t xml:space="preserve">C </t>
        </is>
      </c>
      <c r="AA916" s="605" t="n">
        <v>3</v>
      </c>
      <c r="AB916" s="605" t="n">
        <v>3</v>
      </c>
      <c r="AC916" s="378" t="inlineStr">
        <is>
          <t>33</t>
        </is>
      </c>
      <c r="AD916" s="384" t="inlineStr">
        <is>
          <t xml:space="preserve">WAREHOUSE / STORAGE </t>
        </is>
      </c>
      <c r="AE916" s="145" t="n"/>
      <c r="AF916" s="145" t="n"/>
      <c r="AG916" s="145" t="n"/>
      <c r="AH916" s="145" t="n"/>
      <c r="AI916" s="145" t="n"/>
      <c r="AJ916" s="145" t="n"/>
      <c r="AK916" s="145" t="inlineStr">
        <is>
          <t xml:space="preserve">PURCHASED IN 2007-LEASE STARTED 01/2008                           </t>
        </is>
      </c>
      <c r="AL916" s="605">
        <f>IF(AND(ISNUMBER($S916),$S916&gt;0,ISNUMBER($K916),ISNUMBER($J916)),($K916*$J916)/$S916,"")</f>
        <v/>
      </c>
    </row>
    <row r="917" ht="12.75" customHeight="1" s="545">
      <c r="A917" s="388" t="n">
        <v>8</v>
      </c>
      <c r="B917" s="605" t="n">
        <v>909</v>
      </c>
      <c r="C917" s="384" t="inlineStr">
        <is>
          <t>2009Q</t>
        </is>
      </c>
      <c r="D917" s="605" t="inlineStr">
        <is>
          <t xml:space="preserve">05161-20-022-000 </t>
        </is>
      </c>
      <c r="E917" s="407" t="inlineStr">
        <is>
          <t>Actual</t>
        </is>
      </c>
      <c r="F917" s="605" t="inlineStr">
        <is>
          <t>687 S JASON                ST</t>
        </is>
      </c>
      <c r="G917" s="392" t="n">
        <v>44.1</v>
      </c>
      <c r="H917" s="378" t="n">
        <v>9506</v>
      </c>
      <c r="I917" s="403" t="n">
        <v>0</v>
      </c>
      <c r="J917" s="404" t="n">
        <v>5615</v>
      </c>
      <c r="K917" s="408" t="n">
        <v>7.21282279608192</v>
      </c>
      <c r="L917" s="409" t="n">
        <v>0</v>
      </c>
      <c r="M917" s="409" t="n">
        <v>0.102469135802469</v>
      </c>
      <c r="N917" s="378" t="n">
        <v>1963</v>
      </c>
      <c r="O917" s="393" t="n">
        <v>1057</v>
      </c>
      <c r="Q917" s="605" t="n">
        <v>13</v>
      </c>
      <c r="R917" s="605" t="n">
        <v>1</v>
      </c>
      <c r="S917" s="605" t="n">
        <v>2</v>
      </c>
      <c r="T917" s="403" t="inlineStr">
        <is>
          <t xml:space="preserve">I1   </t>
        </is>
      </c>
      <c r="U917" s="403" t="n">
        <v>398</v>
      </c>
      <c r="V917" s="404" t="n">
        <v>10027</v>
      </c>
      <c r="W917" s="404" t="n">
        <v>10000</v>
      </c>
      <c r="X917" s="410" t="inlineStr">
        <is>
          <t>1.5:1</t>
        </is>
      </c>
      <c r="Y917" s="404">
        <f>ROUND(J917,-3)</f>
        <v/>
      </c>
      <c r="Z917" s="403" t="inlineStr">
        <is>
          <t xml:space="preserve">C </t>
        </is>
      </c>
      <c r="AA917" s="605" t="n">
        <v>3</v>
      </c>
      <c r="AB917" s="605" t="n">
        <v>3</v>
      </c>
      <c r="AC917" s="378" t="inlineStr">
        <is>
          <t>33</t>
        </is>
      </c>
      <c r="AD917" s="384" t="inlineStr">
        <is>
          <t xml:space="preserve">MOTHER TRUCKERS     </t>
        </is>
      </c>
      <c r="AE917" s="145" t="n"/>
      <c r="AF917" s="145" t="n"/>
      <c r="AG917" s="145" t="n"/>
      <c r="AH917" s="145" t="n"/>
      <c r="AI917" s="145" t="n"/>
      <c r="AJ917" s="145" t="n"/>
      <c r="AK917" s="145" t="inlineStr">
        <is>
          <t xml:space="preserve">3 UNITS-1 BASE YEAR LEASE                                         </t>
        </is>
      </c>
      <c r="AL917" s="605">
        <f>IF(AND(ISNUMBER($S917),$S917&gt;0,ISNUMBER($K917),ISNUMBER($J917)),($K917*$J917)/$S917,"")</f>
        <v/>
      </c>
    </row>
    <row r="918" ht="12.75" customHeight="1" s="545">
      <c r="A918" s="388" t="n">
        <v>8</v>
      </c>
      <c r="B918" s="605" t="n">
        <v>910</v>
      </c>
      <c r="C918" s="384" t="inlineStr">
        <is>
          <t>2009Q</t>
        </is>
      </c>
      <c r="D918" s="605" t="inlineStr">
        <is>
          <t xml:space="preserve">05164-00-029-000 </t>
        </is>
      </c>
      <c r="E918" s="407" t="inlineStr">
        <is>
          <t>Actual</t>
        </is>
      </c>
      <c r="F918" s="605" t="inlineStr">
        <is>
          <t>1055 S JASON                ST</t>
        </is>
      </c>
      <c r="G918" s="392" t="n">
        <v>47.1</v>
      </c>
      <c r="H918" s="378" t="n">
        <v>9506</v>
      </c>
      <c r="I918" s="403" t="n">
        <v>0</v>
      </c>
      <c r="J918" s="404" t="n">
        <v>47216</v>
      </c>
      <c r="K918" s="408" t="n">
        <v>5.08302270416808</v>
      </c>
      <c r="L918" s="409" t="n">
        <v>0</v>
      </c>
      <c r="M918" s="409" t="n">
        <v>0</v>
      </c>
      <c r="N918" s="378" t="n">
        <v>1956</v>
      </c>
      <c r="O918" s="393">
        <f>4222+420</f>
        <v/>
      </c>
      <c r="Q918" s="605" t="n">
        <v>14</v>
      </c>
      <c r="R918" s="605" t="n">
        <v>10</v>
      </c>
      <c r="S918" s="605" t="n">
        <v>1</v>
      </c>
      <c r="T918" s="403" t="inlineStr">
        <is>
          <t xml:space="preserve">I1   </t>
        </is>
      </c>
      <c r="U918" s="403" t="n">
        <v>401</v>
      </c>
      <c r="V918" s="404" t="n">
        <v>89364</v>
      </c>
      <c r="W918" s="404" t="n">
        <v>90000</v>
      </c>
      <c r="X918" s="410" t="inlineStr">
        <is>
          <t>1.9:1</t>
        </is>
      </c>
      <c r="Y918" s="404">
        <f>ROUND(J918,-3)</f>
        <v/>
      </c>
      <c r="Z918" s="403" t="inlineStr">
        <is>
          <t xml:space="preserve">C </t>
        </is>
      </c>
      <c r="AA918" s="605" t="n">
        <v>3</v>
      </c>
      <c r="AB918" s="605" t="n">
        <v>3</v>
      </c>
      <c r="AC918" s="378" t="inlineStr">
        <is>
          <t>33</t>
        </is>
      </c>
      <c r="AD918" s="384" t="inlineStr">
        <is>
          <t xml:space="preserve">SPRING AIR MATTRESS </t>
        </is>
      </c>
      <c r="AE918" s="145" t="n"/>
      <c r="AF918" s="145" t="n"/>
      <c r="AG918" s="145" t="n"/>
      <c r="AH918" s="145" t="n"/>
      <c r="AI918" s="145" t="n"/>
      <c r="AJ918" s="145" t="n"/>
      <c r="AK918" s="145" t="n"/>
      <c r="AL918" s="605">
        <f>IF(AND(ISNUMBER($S918),$S918&gt;0,ISNUMBER($K918),ISNUMBER($J918)),($K918*$J918)/$S918,"")</f>
        <v/>
      </c>
    </row>
    <row r="919" ht="12.75" customHeight="1" s="545">
      <c r="A919" s="388" t="n">
        <v>8</v>
      </c>
      <c r="B919" s="605" t="n">
        <v>911</v>
      </c>
      <c r="C919" s="384" t="inlineStr">
        <is>
          <t>2009Q</t>
        </is>
      </c>
      <c r="D919" s="605" t="inlineStr">
        <is>
          <t xml:space="preserve">05164-00-030-000 </t>
        </is>
      </c>
      <c r="E919" s="407" t="inlineStr">
        <is>
          <t>Actual</t>
        </is>
      </c>
      <c r="F919" s="605" t="inlineStr">
        <is>
          <t>1002 S JASON                ST</t>
        </is>
      </c>
      <c r="G919" s="392" t="n">
        <v>44.2</v>
      </c>
      <c r="H919" s="378" t="n">
        <v>9506</v>
      </c>
      <c r="I919" s="403" t="n">
        <v>0</v>
      </c>
      <c r="J919" s="404" t="n">
        <v>22290</v>
      </c>
      <c r="K919" s="408" t="n">
        <v>4.58613728129206</v>
      </c>
      <c r="L919" s="409" t="n">
        <v>0.278151637505608</v>
      </c>
      <c r="M919" s="409" t="n">
        <v>0.469278552213255</v>
      </c>
      <c r="N919" s="378" t="n">
        <v>1954</v>
      </c>
      <c r="O919" s="393">
        <f>2507+2517</f>
        <v/>
      </c>
      <c r="P919" s="393" t="n">
        <v>651</v>
      </c>
      <c r="Q919" s="605" t="n">
        <v>9</v>
      </c>
      <c r="R919" s="605" t="n">
        <v>3</v>
      </c>
      <c r="S919" s="605" t="n">
        <v>4</v>
      </c>
      <c r="T919" s="403" t="inlineStr">
        <is>
          <t xml:space="preserve">I1   </t>
        </is>
      </c>
      <c r="U919" s="403" t="n">
        <v>398</v>
      </c>
      <c r="V919" s="404" t="n">
        <v>52850</v>
      </c>
      <c r="W919" s="404" t="n">
        <v>50000</v>
      </c>
      <c r="X919" s="410" t="inlineStr">
        <is>
          <t>2.0:1</t>
        </is>
      </c>
      <c r="Y919" s="404">
        <f>ROUND(J919,-3)</f>
        <v/>
      </c>
      <c r="Z919" s="403" t="inlineStr">
        <is>
          <t xml:space="preserve">C </t>
        </is>
      </c>
      <c r="AA919" s="605" t="n">
        <v>3</v>
      </c>
      <c r="AB919" s="605" t="n">
        <v>2</v>
      </c>
      <c r="AC919" s="378" t="inlineStr">
        <is>
          <t>32</t>
        </is>
      </c>
      <c r="AD919" s="384" t="inlineStr">
        <is>
          <t xml:space="preserve">DENVER STONE &amp; TILE </t>
        </is>
      </c>
      <c r="AE919" s="145" t="n"/>
      <c r="AF919" s="145" t="n"/>
      <c r="AG919" s="145" t="n"/>
      <c r="AH919" s="145" t="n"/>
      <c r="AI919" s="145" t="n"/>
      <c r="AJ919" s="145" t="n"/>
      <c r="AK919" s="145" t="inlineStr">
        <is>
          <t xml:space="preserve">INCOME INCLUDES RECOVERY-MULTI TENANT-7 UNITS                     </t>
        </is>
      </c>
      <c r="AL919" s="605">
        <f>IF(AND(ISNUMBER($S919),$S919&gt;0,ISNUMBER($K919),ISNUMBER($J919)),($K919*$J919)/$S919,"")</f>
        <v/>
      </c>
    </row>
    <row r="920" ht="12.75" customHeight="1" s="545">
      <c r="A920" s="388" t="n">
        <v>8</v>
      </c>
      <c r="B920" s="605" t="n">
        <v>912</v>
      </c>
      <c r="C920" s="384" t="inlineStr">
        <is>
          <t>2009W</t>
        </is>
      </c>
      <c r="D920" s="605" t="inlineStr">
        <is>
          <t>05164-00-030-000</t>
        </is>
      </c>
      <c r="E920" s="403" t="inlineStr">
        <is>
          <t>Actual</t>
        </is>
      </c>
      <c r="F920" s="605" t="inlineStr">
        <is>
          <t>1002 S Jason St.</t>
        </is>
      </c>
      <c r="G920" s="392" t="n">
        <v>44.2</v>
      </c>
      <c r="H920" s="605" t="n">
        <v>9506</v>
      </c>
      <c r="I920" s="403" t="n">
        <v>0</v>
      </c>
      <c r="J920" s="393" t="n">
        <v>26251</v>
      </c>
      <c r="K920" s="154" t="n">
        <v>5.23</v>
      </c>
      <c r="L920" s="153" t="n">
        <v>0.39</v>
      </c>
      <c r="M920" s="153" t="n">
        <v>0</v>
      </c>
      <c r="N920" s="605" t="n">
        <v>1954</v>
      </c>
      <c r="O920" s="404" t="n">
        <v>6211</v>
      </c>
      <c r="P920" s="404" t="n">
        <v>651</v>
      </c>
      <c r="Q920" s="605" t="n">
        <v>9</v>
      </c>
      <c r="R920" s="605" t="n">
        <v>3</v>
      </c>
      <c r="S920" s="605" t="n">
        <v>5</v>
      </c>
      <c r="T920" s="403" t="inlineStr">
        <is>
          <t>I1</t>
        </is>
      </c>
      <c r="U920" s="403" t="n">
        <v>398</v>
      </c>
      <c r="V920" s="393" t="n">
        <v>52850</v>
      </c>
      <c r="W920" s="393" t="n">
        <v>50000</v>
      </c>
      <c r="X920" s="378" t="inlineStr">
        <is>
          <t>2.0:1</t>
        </is>
      </c>
      <c r="Y920" s="393" t="n">
        <v>25000</v>
      </c>
      <c r="Z920" s="403" t="inlineStr">
        <is>
          <t>C</t>
        </is>
      </c>
      <c r="AA920" s="605" t="n">
        <v>2</v>
      </c>
      <c r="AB920" s="605" t="n">
        <v>2</v>
      </c>
      <c r="AC920" s="605" t="n">
        <v>22</v>
      </c>
      <c r="AD920" s="605" t="inlineStr">
        <is>
          <t>DENVER TILE &amp; STONE</t>
        </is>
      </c>
      <c r="AE920" s="377" t="n">
        <v>5.23</v>
      </c>
      <c r="AF920" s="413">
        <f>AE920*0.61</f>
        <v/>
      </c>
      <c r="AG920" s="413" t="n">
        <v>3.19</v>
      </c>
      <c r="AH920" s="413" t="n">
        <v>0</v>
      </c>
      <c r="AI920" s="413" t="n"/>
      <c r="AJ920" s="377" t="n"/>
      <c r="AK920" s="605" t="inlineStr">
        <is>
          <t>Only rent roll, presume NNN. No operating statement supplied</t>
        </is>
      </c>
      <c r="AN920" s="145" t="n"/>
      <c r="AO920" s="145" t="n"/>
      <c r="AP920" s="145" t="n"/>
    </row>
    <row r="921" ht="12.75" customHeight="1" s="545">
      <c r="A921" s="388" t="n">
        <v>8</v>
      </c>
      <c r="B921" s="605" t="n">
        <v>913</v>
      </c>
      <c r="C921" s="384" t="inlineStr">
        <is>
          <t>2009Q</t>
        </is>
      </c>
      <c r="D921" s="605" t="inlineStr">
        <is>
          <t xml:space="preserve">05164-00-129-000 </t>
        </is>
      </c>
      <c r="E921" s="407" t="inlineStr">
        <is>
          <t>Actual</t>
        </is>
      </c>
      <c r="F921" s="605" t="inlineStr">
        <is>
          <t>1050 S JASON                ST</t>
        </is>
      </c>
      <c r="G921" s="392" t="n">
        <v>44.1</v>
      </c>
      <c r="H921" s="378" t="n">
        <v>9506</v>
      </c>
      <c r="I921" s="403" t="n">
        <v>0</v>
      </c>
      <c r="J921" s="404" t="n">
        <v>17064</v>
      </c>
      <c r="K921" s="408" t="n">
        <v>3.88185654008439</v>
      </c>
      <c r="L921" s="409" t="n">
        <v>0</v>
      </c>
      <c r="M921" s="409" t="n">
        <v>0</v>
      </c>
      <c r="N921" s="378" t="n">
        <v>2000</v>
      </c>
      <c r="Q921" s="605" t="n">
        <v>25</v>
      </c>
      <c r="R921" s="605" t="n">
        <v>7</v>
      </c>
      <c r="S921" s="605" t="n">
        <v>1</v>
      </c>
      <c r="T921" s="403" t="inlineStr">
        <is>
          <t xml:space="preserve">I1   </t>
        </is>
      </c>
      <c r="U921" s="403" t="n">
        <v>398</v>
      </c>
      <c r="V921" s="404" t="n">
        <v>93000</v>
      </c>
      <c r="W921" s="404" t="n">
        <v>90000</v>
      </c>
      <c r="X921" s="410" t="inlineStr">
        <is>
          <t>5.5:1</t>
        </is>
      </c>
      <c r="Y921" s="404">
        <f>ROUND(J921,-3)</f>
        <v/>
      </c>
      <c r="Z921" s="403" t="inlineStr">
        <is>
          <t xml:space="preserve">C </t>
        </is>
      </c>
      <c r="AA921" s="605" t="n">
        <v>3</v>
      </c>
      <c r="AB921" s="605" t="n">
        <v>1</v>
      </c>
      <c r="AC921" s="378" t="inlineStr">
        <is>
          <t>31</t>
        </is>
      </c>
      <c r="AD921" s="384" t="inlineStr">
        <is>
          <t xml:space="preserve">DRY STORAGE ONLY    </t>
        </is>
      </c>
      <c r="AE921" s="145" t="n"/>
      <c r="AF921" s="145" t="n"/>
      <c r="AG921" s="145" t="n"/>
      <c r="AH921" s="145" t="n"/>
      <c r="AI921" s="145" t="n"/>
      <c r="AJ921" s="145" t="n"/>
      <c r="AK921" s="145" t="inlineStr">
        <is>
          <t xml:space="preserve">PROPERTY TAXES PAID BY OWNER                                      </t>
        </is>
      </c>
      <c r="AL921" s="605">
        <f>IF(AND(ISNUMBER($S921),$S921&gt;0,ISNUMBER($K921),ISNUMBER($J921)),($K921*$J921)/$S921,"")</f>
        <v/>
      </c>
    </row>
    <row r="922" ht="12.75" customHeight="1" s="545">
      <c r="A922" s="388" t="n">
        <v>8</v>
      </c>
      <c r="B922" s="605" t="n">
        <v>914</v>
      </c>
      <c r="C922" s="384" t="inlineStr">
        <is>
          <t>2009Q</t>
        </is>
      </c>
      <c r="D922" s="605" t="inlineStr">
        <is>
          <t xml:space="preserve">05164-00-134-000 </t>
        </is>
      </c>
      <c r="E922" s="407" t="inlineStr">
        <is>
          <t>Actual</t>
        </is>
      </c>
      <c r="F922" s="605" t="inlineStr">
        <is>
          <t>1030 S LIPAN                ST</t>
        </is>
      </c>
      <c r="G922" s="392" t="n">
        <v>44.1</v>
      </c>
      <c r="H922" s="378" t="n">
        <v>9506</v>
      </c>
      <c r="I922" s="403" t="n">
        <v>0</v>
      </c>
      <c r="J922" s="404" t="n">
        <v>2746</v>
      </c>
      <c r="K922" s="408" t="n">
        <v>9.06773488710852</v>
      </c>
      <c r="L922" s="409" t="n">
        <v>0</v>
      </c>
      <c r="M922" s="409" t="n">
        <v>0</v>
      </c>
      <c r="N922" s="378" t="n">
        <v>1959</v>
      </c>
      <c r="O922" s="393" t="n">
        <v>197</v>
      </c>
      <c r="Q922" s="605" t="n">
        <v>11</v>
      </c>
      <c r="R922" s="605" t="n">
        <v>3</v>
      </c>
      <c r="S922" s="605" t="n">
        <v>1</v>
      </c>
      <c r="T922" s="403" t="inlineStr">
        <is>
          <t xml:space="preserve">I0   </t>
        </is>
      </c>
      <c r="U922" s="403" t="n">
        <v>398</v>
      </c>
      <c r="V922" s="404" t="n">
        <v>9910</v>
      </c>
      <c r="W922" s="404" t="n">
        <v>10000</v>
      </c>
      <c r="X922" s="410" t="inlineStr">
        <is>
          <t>3.6:1</t>
        </is>
      </c>
      <c r="Y922" s="404">
        <f>ROUND(J922,-3)</f>
        <v/>
      </c>
      <c r="Z922" s="403" t="inlineStr">
        <is>
          <t xml:space="preserve">C </t>
        </is>
      </c>
      <c r="AA922" s="605" t="n">
        <v>3</v>
      </c>
      <c r="AB922" s="605" t="n">
        <v>3</v>
      </c>
      <c r="AC922" s="378" t="inlineStr">
        <is>
          <t>33</t>
        </is>
      </c>
      <c r="AD922" s="384" t="inlineStr">
        <is>
          <t xml:space="preserve">S-W                 </t>
        </is>
      </c>
      <c r="AE922" s="145" t="n"/>
      <c r="AF922" s="145" t="n"/>
      <c r="AG922" s="145" t="n"/>
      <c r="AH922" s="145" t="n"/>
      <c r="AI922" s="145" t="n"/>
      <c r="AJ922" s="145" t="n"/>
      <c r="AK922" s="145" t="n"/>
      <c r="AL922" s="605">
        <f>IF(AND(ISNUMBER($S922),$S922&gt;0,ISNUMBER($K922),ISNUMBER($J922)),($K922*$J922)/$S922,"")</f>
        <v/>
      </c>
    </row>
    <row r="923" ht="12.75" customHeight="1" s="545">
      <c r="A923" s="388" t="n">
        <v>8</v>
      </c>
      <c r="B923" s="605" t="n">
        <v>915</v>
      </c>
      <c r="C923" s="384" t="inlineStr">
        <is>
          <t>2009W</t>
        </is>
      </c>
      <c r="D923" s="605" t="inlineStr">
        <is>
          <t>05164-00-141-000</t>
        </is>
      </c>
      <c r="E923" s="403" t="inlineStr">
        <is>
          <t>Actual</t>
        </is>
      </c>
      <c r="F923" s="605" t="inlineStr">
        <is>
          <t>755 S. Jason St.</t>
        </is>
      </c>
      <c r="G923" s="392" t="n">
        <v>44.2</v>
      </c>
      <c r="H923" s="605" t="n">
        <v>9506</v>
      </c>
      <c r="I923" s="403" t="n">
        <v>0</v>
      </c>
      <c r="J923" s="393" t="n">
        <v>14819</v>
      </c>
      <c r="K923" s="154" t="n">
        <v>4.8</v>
      </c>
      <c r="L923" s="153" t="n">
        <v>0</v>
      </c>
      <c r="M923" s="153" t="n">
        <v>0.17</v>
      </c>
      <c r="N923" s="605" t="n">
        <v>1963</v>
      </c>
      <c r="O923" s="404" t="n">
        <v>1824</v>
      </c>
      <c r="P923" s="404" t="n">
        <v>0</v>
      </c>
      <c r="Q923" s="605" t="n">
        <v>14</v>
      </c>
      <c r="R923" s="605" t="n">
        <v>1</v>
      </c>
      <c r="S923" s="605" t="n">
        <v>1</v>
      </c>
      <c r="T923" s="403" t="inlineStr">
        <is>
          <t>I1</t>
        </is>
      </c>
      <c r="U923" s="605" t="n">
        <v>398</v>
      </c>
      <c r="V923" s="393" t="n">
        <v>20000</v>
      </c>
      <c r="W923" s="393" t="n">
        <v>20000</v>
      </c>
      <c r="X923" s="378" t="inlineStr">
        <is>
          <t>1.3:1</t>
        </is>
      </c>
      <c r="Y923" s="393" t="n">
        <v>15000</v>
      </c>
      <c r="Z923" s="403" t="inlineStr">
        <is>
          <t>C</t>
        </is>
      </c>
      <c r="AA923" s="605" t="n">
        <v>3</v>
      </c>
      <c r="AB923" s="605" t="n">
        <v>3</v>
      </c>
      <c r="AC923" s="605" t="n">
        <v>33</v>
      </c>
      <c r="AE923" s="377" t="n">
        <v>4.8</v>
      </c>
      <c r="AF923" s="413" t="n">
        <v>4.05</v>
      </c>
      <c r="AG923" s="413" t="n">
        <v>3.34</v>
      </c>
      <c r="AH923" s="413" t="n">
        <v>0.7</v>
      </c>
      <c r="AI923" s="413" t="inlineStr">
        <is>
          <t>-</t>
        </is>
      </c>
      <c r="AJ923" s="377" t="inlineStr">
        <is>
          <t>-</t>
        </is>
      </c>
      <c r="AN923" s="145" t="n"/>
      <c r="AO923" s="145" t="n"/>
      <c r="AP923" s="145" t="n"/>
    </row>
    <row r="924" ht="12.75" customHeight="1" s="545">
      <c r="A924" s="388" t="n">
        <v>8</v>
      </c>
      <c r="B924" s="605" t="n">
        <v>916</v>
      </c>
      <c r="C924" s="384" t="inlineStr">
        <is>
          <t>2009Q</t>
        </is>
      </c>
      <c r="D924" s="605" t="inlineStr">
        <is>
          <t xml:space="preserve">05164-03-006-000 </t>
        </is>
      </c>
      <c r="E924" s="407" t="inlineStr">
        <is>
          <t>Actual</t>
        </is>
      </c>
      <c r="F924" s="605" t="inlineStr">
        <is>
          <t>975 W MISSISSIPPI          AV</t>
        </is>
      </c>
      <c r="G924" s="392" t="n">
        <v>44.1</v>
      </c>
      <c r="H924" s="378" t="n">
        <v>9506</v>
      </c>
      <c r="I924" s="403" t="n">
        <v>0</v>
      </c>
      <c r="J924" s="404" t="n">
        <v>71142</v>
      </c>
      <c r="K924" s="408" t="n">
        <v>6.51851227123218</v>
      </c>
      <c r="L924" s="409" t="n">
        <v>0</v>
      </c>
      <c r="M924" s="409" t="n">
        <v>0</v>
      </c>
      <c r="N924" s="378" t="n">
        <v>2001</v>
      </c>
      <c r="Q924" s="605" t="n">
        <v>22</v>
      </c>
      <c r="R924" s="605" t="n">
        <v>7</v>
      </c>
      <c r="S924" s="605" t="n">
        <v>1</v>
      </c>
      <c r="T924" s="403" t="inlineStr">
        <is>
          <t xml:space="preserve">I1   </t>
        </is>
      </c>
      <c r="U924" s="403" t="n">
        <v>398</v>
      </c>
      <c r="V924" s="404" t="n">
        <v>187236</v>
      </c>
      <c r="W924" s="404" t="n">
        <v>190000</v>
      </c>
      <c r="X924" s="410" t="inlineStr">
        <is>
          <t>2.6:1</t>
        </is>
      </c>
      <c r="Y924" s="404">
        <f>ROUND(J924,-4)</f>
        <v/>
      </c>
      <c r="Z924" s="403" t="inlineStr">
        <is>
          <t xml:space="preserve">C </t>
        </is>
      </c>
      <c r="AA924" s="605" t="n">
        <v>3</v>
      </c>
      <c r="AB924" s="605" t="n">
        <v>3</v>
      </c>
      <c r="AC924" s="378" t="inlineStr">
        <is>
          <t>33</t>
        </is>
      </c>
      <c r="AD924" s="384" t="inlineStr">
        <is>
          <t xml:space="preserve">AUSTIN HARDWOOD     </t>
        </is>
      </c>
      <c r="AE924" s="145" t="n"/>
      <c r="AF924" s="145" t="n"/>
      <c r="AG924" s="145" t="n"/>
      <c r="AH924" s="145" t="n"/>
      <c r="AI924" s="145" t="n"/>
      <c r="AJ924" s="145" t="n"/>
      <c r="AK924" s="145" t="inlineStr">
        <is>
          <t xml:space="preserve">OWNER PAYS PROPERTY TAXES                                         </t>
        </is>
      </c>
      <c r="AL924" s="605">
        <f>IF(AND(ISNUMBER($S924),$S924&gt;0,ISNUMBER($K924),ISNUMBER($J924)),($K924*$J924)/$S924,"")</f>
        <v/>
      </c>
    </row>
    <row r="925" ht="12.75" customHeight="1" s="545">
      <c r="A925" s="388" t="n">
        <v>8</v>
      </c>
      <c r="B925" s="605" t="n">
        <v>917</v>
      </c>
      <c r="C925" s="384" t="inlineStr">
        <is>
          <t>2009Q</t>
        </is>
      </c>
      <c r="D925" s="605" t="inlineStr">
        <is>
          <t xml:space="preserve">05181-20-014-000 </t>
        </is>
      </c>
      <c r="E925" s="407" t="inlineStr">
        <is>
          <t>Actual</t>
        </is>
      </c>
      <c r="F925" s="605" t="inlineStr">
        <is>
          <t>3715   MORRISON             RD</t>
        </is>
      </c>
      <c r="G925" s="392" t="n">
        <v>44.1</v>
      </c>
      <c r="H925" s="378" t="n">
        <v>9506</v>
      </c>
      <c r="I925" s="403" t="n">
        <v>5</v>
      </c>
      <c r="J925" s="404" t="n">
        <v>5077</v>
      </c>
      <c r="K925" s="408" t="n">
        <v>7.09080165452039</v>
      </c>
      <c r="L925" s="409" t="n">
        <v>0</v>
      </c>
      <c r="M925" s="409" t="n">
        <v>0</v>
      </c>
      <c r="N925" s="378" t="n">
        <v>1956</v>
      </c>
      <c r="O925" s="393" t="n">
        <v>480</v>
      </c>
      <c r="Q925" s="605" t="n">
        <v>15</v>
      </c>
      <c r="R925" s="605" t="n">
        <v>1</v>
      </c>
      <c r="S925" s="605" t="n">
        <v>1</v>
      </c>
      <c r="T925" s="403" t="inlineStr">
        <is>
          <t xml:space="preserve">B4   </t>
        </is>
      </c>
      <c r="U925" s="403" t="n">
        <v>398</v>
      </c>
      <c r="V925" s="404" t="n">
        <v>15254</v>
      </c>
      <c r="W925" s="404" t="n">
        <v>15000</v>
      </c>
      <c r="X925" s="410" t="inlineStr">
        <is>
          <t>3.0:1</t>
        </is>
      </c>
      <c r="Y925" s="404">
        <f>ROUND(J925,-3)</f>
        <v/>
      </c>
      <c r="Z925" s="403" t="inlineStr">
        <is>
          <t xml:space="preserve">C </t>
        </is>
      </c>
      <c r="AA925" s="605" t="n">
        <v>3</v>
      </c>
      <c r="AB925" s="605" t="n">
        <v>3</v>
      </c>
      <c r="AC925" s="378" t="inlineStr">
        <is>
          <t>33</t>
        </is>
      </c>
      <c r="AD925" s="384" t="n"/>
      <c r="AE925" s="145" t="n"/>
      <c r="AF925" s="145" t="n"/>
      <c r="AG925" s="145" t="n"/>
      <c r="AH925" s="145" t="n"/>
      <c r="AI925" s="145" t="n"/>
      <c r="AJ925" s="145" t="n"/>
      <c r="AK925" s="145" t="n"/>
      <c r="AL925" s="605">
        <f>IF(AND(ISNUMBER($S925),$S925&gt;0,ISNUMBER($K925),ISNUMBER($J925)),($K925*$J925)/$S925,"")</f>
        <v/>
      </c>
    </row>
    <row r="926" ht="12.75" customHeight="1" s="545">
      <c r="A926" s="388" t="n">
        <v>8</v>
      </c>
      <c r="B926" s="605" t="n">
        <v>918</v>
      </c>
      <c r="C926" s="384" t="inlineStr">
        <is>
          <t>2009Q</t>
        </is>
      </c>
      <c r="D926" s="605" t="inlineStr">
        <is>
          <t xml:space="preserve">05211-01-003-000 </t>
        </is>
      </c>
      <c r="E926" s="407" t="inlineStr">
        <is>
          <t>Actual</t>
        </is>
      </c>
      <c r="F926" s="605" t="inlineStr">
        <is>
          <t>1155 S HURON                ST</t>
        </is>
      </c>
      <c r="G926" s="392" t="n">
        <v>44.5</v>
      </c>
      <c r="H926" s="378" t="n">
        <v>9506</v>
      </c>
      <c r="I926" s="403" t="n">
        <v>0</v>
      </c>
      <c r="J926" s="404" t="n">
        <v>88065</v>
      </c>
      <c r="K926" s="408" t="n">
        <v>8.179855788338161</v>
      </c>
      <c r="L926" s="409" t="n">
        <v>0</v>
      </c>
      <c r="M926" s="409" t="n">
        <v>0.360109334373555</v>
      </c>
      <c r="N926" s="378" t="n">
        <v>1977</v>
      </c>
      <c r="O926" s="393">
        <f>14230+6035</f>
        <v/>
      </c>
      <c r="Q926" s="605" t="n">
        <v>18</v>
      </c>
      <c r="R926" s="605" t="n">
        <v>1</v>
      </c>
      <c r="S926" s="605" t="n">
        <v>1</v>
      </c>
      <c r="T926" s="403" t="inlineStr">
        <is>
          <t xml:space="preserve">I2   </t>
        </is>
      </c>
      <c r="U926" s="403" t="n">
        <v>396</v>
      </c>
      <c r="V926" s="404" t="n">
        <v>161280</v>
      </c>
      <c r="W926" s="404" t="n">
        <v>160000</v>
      </c>
      <c r="X926" s="410" t="inlineStr">
        <is>
          <t>1.8:1</t>
        </is>
      </c>
      <c r="Y926" s="404">
        <f>ROUND(J926,-4)</f>
        <v/>
      </c>
      <c r="Z926" s="403" t="inlineStr">
        <is>
          <t xml:space="preserve">C </t>
        </is>
      </c>
      <c r="AA926" s="605" t="n">
        <v>3</v>
      </c>
      <c r="AB926" s="605" t="n">
        <v>3</v>
      </c>
      <c r="AC926" s="378" t="inlineStr">
        <is>
          <t>33</t>
        </is>
      </c>
      <c r="AD926" s="384" t="inlineStr">
        <is>
          <t xml:space="preserve">U STOR ALL          </t>
        </is>
      </c>
      <c r="AE926" s="145" t="n"/>
      <c r="AF926" s="145" t="n"/>
      <c r="AG926" s="145" t="n"/>
      <c r="AH926" s="145" t="n"/>
      <c r="AI926" s="145" t="n"/>
      <c r="AJ926" s="145" t="n"/>
      <c r="AK926" s="145" t="n"/>
      <c r="AL926" s="605">
        <f>IF(AND(ISNUMBER($S926),$S926&gt;0,ISNUMBER($K926),ISNUMBER($J926)),($K926*$J926)/$S926,"")</f>
        <v/>
      </c>
    </row>
    <row r="927" ht="12.75" customHeight="1" s="545">
      <c r="A927" s="388" t="n">
        <v>8</v>
      </c>
      <c r="B927" s="605" t="n">
        <v>919</v>
      </c>
      <c r="C927" s="384" t="inlineStr">
        <is>
          <t>2009Q</t>
        </is>
      </c>
      <c r="D927" s="605" t="inlineStr">
        <is>
          <t xml:space="preserve">05211-02-001-000 </t>
        </is>
      </c>
      <c r="E927" s="407" t="inlineStr">
        <is>
          <t>Actual</t>
        </is>
      </c>
      <c r="F927" s="605" t="inlineStr">
        <is>
          <t>900 W MISSISSIPPI          AV</t>
        </is>
      </c>
      <c r="G927" s="392" t="n">
        <v>44.1</v>
      </c>
      <c r="H927" s="378" t="n">
        <v>9506</v>
      </c>
      <c r="I927" s="403" t="n">
        <v>0</v>
      </c>
      <c r="J927" s="404" t="n">
        <v>3720</v>
      </c>
      <c r="K927" s="408" t="n">
        <v>6.91317204301075</v>
      </c>
      <c r="L927" s="409" t="n">
        <v>0</v>
      </c>
      <c r="M927" s="409" t="n">
        <v>0.169071042501069</v>
      </c>
      <c r="N927" s="378" t="n">
        <v>1965</v>
      </c>
      <c r="O927" s="393" t="n">
        <v>1347</v>
      </c>
      <c r="Q927" s="605" t="n">
        <v>12</v>
      </c>
      <c r="R927" s="605" t="n">
        <v>1</v>
      </c>
      <c r="S927" s="605" t="n">
        <v>1</v>
      </c>
      <c r="T927" s="403" t="inlineStr">
        <is>
          <t xml:space="preserve">I2   </t>
        </is>
      </c>
      <c r="U927" s="403" t="n">
        <v>398</v>
      </c>
      <c r="V927" s="404" t="n">
        <v>11135</v>
      </c>
      <c r="W927" s="404" t="n">
        <v>11000</v>
      </c>
      <c r="X927" s="410" t="inlineStr">
        <is>
          <t>3.0:1</t>
        </is>
      </c>
      <c r="Y927" s="404">
        <f>ROUND(J927,-3)</f>
        <v/>
      </c>
      <c r="Z927" s="403" t="inlineStr">
        <is>
          <t xml:space="preserve">C </t>
        </is>
      </c>
      <c r="AA927" s="605" t="n">
        <v>3</v>
      </c>
      <c r="AB927" s="605" t="n">
        <v>3</v>
      </c>
      <c r="AC927" s="378" t="inlineStr">
        <is>
          <t>33</t>
        </is>
      </c>
      <c r="AD927" s="384" t="n"/>
      <c r="AE927" s="145" t="n"/>
      <c r="AF927" s="145" t="n"/>
      <c r="AG927" s="145" t="n"/>
      <c r="AH927" s="145" t="n"/>
      <c r="AI927" s="145" t="n"/>
      <c r="AJ927" s="145" t="n"/>
      <c r="AK927" s="145" t="inlineStr">
        <is>
          <t xml:space="preserve">S-T WHSE.; AGE OF LEASE UNKNOWN.                                  </t>
        </is>
      </c>
      <c r="AL927" s="605">
        <f>IF(AND(ISNUMBER($S927),$S927&gt;0,ISNUMBER($K927),ISNUMBER($J927)),($K927*$J927)/$S927,"")</f>
        <v/>
      </c>
    </row>
    <row r="928" ht="12.75" customHeight="1" s="545">
      <c r="A928" s="388" t="n">
        <v>8</v>
      </c>
      <c r="B928" s="605" t="n">
        <v>920</v>
      </c>
      <c r="C928" s="384" t="inlineStr">
        <is>
          <t>2009Q</t>
        </is>
      </c>
      <c r="D928" s="605" t="inlineStr">
        <is>
          <t xml:space="preserve">05211-02-009-000 </t>
        </is>
      </c>
      <c r="E928" s="407" t="inlineStr">
        <is>
          <t>Actual</t>
        </is>
      </c>
      <c r="F928" s="605" t="inlineStr">
        <is>
          <t>1155 S INCA                 ST</t>
        </is>
      </c>
      <c r="G928" s="392" t="n">
        <v>44.1</v>
      </c>
      <c r="H928" s="378" t="n">
        <v>9506</v>
      </c>
      <c r="I928" s="403" t="n">
        <v>0</v>
      </c>
      <c r="J928" s="404" t="n">
        <v>9274</v>
      </c>
      <c r="K928" s="408" t="n">
        <v>6.25</v>
      </c>
      <c r="L928" s="409" t="n">
        <v>0</v>
      </c>
      <c r="M928" s="409" t="n">
        <v>0.1</v>
      </c>
      <c r="N928" s="378" t="n">
        <v>1959</v>
      </c>
      <c r="O928" s="393" t="n">
        <v>1584</v>
      </c>
      <c r="Q928" s="605" t="n">
        <v>17</v>
      </c>
      <c r="R928" s="605" t="n">
        <v>1</v>
      </c>
      <c r="S928" s="605" t="n">
        <v>1</v>
      </c>
      <c r="T928" s="403" t="inlineStr">
        <is>
          <t xml:space="preserve">I2   </t>
        </is>
      </c>
      <c r="U928" s="403" t="n">
        <v>398</v>
      </c>
      <c r="V928" s="404" t="n">
        <v>20250</v>
      </c>
      <c r="W928" s="404" t="n">
        <v>20000</v>
      </c>
      <c r="X928" s="410" t="inlineStr">
        <is>
          <t>2.2:1</t>
        </is>
      </c>
      <c r="Y928" s="404">
        <f>ROUND(J928,-3)</f>
        <v/>
      </c>
      <c r="Z928" s="403" t="inlineStr">
        <is>
          <t xml:space="preserve">C </t>
        </is>
      </c>
      <c r="AA928" s="605" t="n">
        <v>3</v>
      </c>
      <c r="AB928" s="605" t="n">
        <v>3</v>
      </c>
      <c r="AC928" s="378" t="inlineStr">
        <is>
          <t>33</t>
        </is>
      </c>
      <c r="AD928" s="384" t="inlineStr">
        <is>
          <t>S-W S.DENVER WINDUST</t>
        </is>
      </c>
      <c r="AE928" s="145" t="n"/>
      <c r="AF928" s="145" t="n"/>
      <c r="AG928" s="145" t="n"/>
      <c r="AH928" s="145" t="n"/>
      <c r="AI928" s="145" t="n"/>
      <c r="AJ928" s="145" t="n"/>
      <c r="AK928" s="145" t="n"/>
      <c r="AL928" s="605">
        <f>IF(AND(ISNUMBER($S928),$S928&gt;0,ISNUMBER($K928),ISNUMBER($J928)),($K928*$J928)/$S928,"")</f>
        <v/>
      </c>
    </row>
    <row r="929" ht="12.75" customHeight="1" s="545">
      <c r="A929" s="388" t="n">
        <v>8</v>
      </c>
      <c r="B929" s="605" t="n">
        <v>921</v>
      </c>
      <c r="C929" s="384" t="inlineStr">
        <is>
          <t>2009W</t>
        </is>
      </c>
      <c r="D929" s="605" t="inlineStr">
        <is>
          <t>05211-03-005-000</t>
        </is>
      </c>
      <c r="E929" s="403" t="inlineStr">
        <is>
          <t>Actual</t>
        </is>
      </c>
      <c r="F929" s="605" t="inlineStr">
        <is>
          <t>1001 W. Arizona Ave.</t>
        </is>
      </c>
      <c r="G929" s="392" t="n">
        <v>44.2</v>
      </c>
      <c r="H929" s="605" t="n">
        <v>9506</v>
      </c>
      <c r="I929" s="403" t="n">
        <v>0</v>
      </c>
      <c r="J929" s="393" t="n">
        <v>6919</v>
      </c>
      <c r="K929" s="154" t="n">
        <v>6.2</v>
      </c>
      <c r="L929" s="153" t="n">
        <v>0</v>
      </c>
      <c r="M929" s="153" t="n">
        <v>0.07000000000000001</v>
      </c>
      <c r="N929" s="605" t="n">
        <v>1961</v>
      </c>
      <c r="O929" s="404" t="n">
        <v>1014</v>
      </c>
      <c r="P929" s="404" t="n">
        <v>0</v>
      </c>
      <c r="Q929" s="605" t="n">
        <v>14</v>
      </c>
      <c r="R929" s="605" t="n">
        <v>1</v>
      </c>
      <c r="S929" s="605" t="n">
        <v>1</v>
      </c>
      <c r="T929" s="403" t="inlineStr">
        <is>
          <t>I2</t>
        </is>
      </c>
      <c r="U929" s="403" t="n">
        <v>398</v>
      </c>
      <c r="V929" s="404" t="n">
        <v>19113</v>
      </c>
      <c r="W929" s="404" t="n">
        <v>20000</v>
      </c>
      <c r="X929" s="378" t="inlineStr">
        <is>
          <t>2.9:1</t>
        </is>
      </c>
      <c r="Y929" s="404" t="n">
        <v>7000</v>
      </c>
      <c r="Z929" s="403" t="inlineStr">
        <is>
          <t>C</t>
        </is>
      </c>
      <c r="AA929" s="605" t="n">
        <v>3</v>
      </c>
      <c r="AB929" s="605" t="n">
        <v>3</v>
      </c>
      <c r="AC929" s="605" t="n">
        <v>33</v>
      </c>
      <c r="AE929" s="377" t="n">
        <v>6.2</v>
      </c>
      <c r="AF929" s="413" t="n">
        <v>6.2</v>
      </c>
      <c r="AG929" s="413" t="n">
        <v>5.75</v>
      </c>
      <c r="AH929" s="413" t="n">
        <v>0.44</v>
      </c>
      <c r="AI929" s="413" t="n">
        <v>0</v>
      </c>
      <c r="AJ929" s="377" t="n">
        <v>0</v>
      </c>
      <c r="AN929" s="145" t="n"/>
      <c r="AO929" s="145" t="n"/>
    </row>
    <row r="930" ht="12.75" customHeight="1" s="545">
      <c r="A930" s="388" t="n">
        <v>8</v>
      </c>
      <c r="B930" s="605" t="n">
        <v>922</v>
      </c>
      <c r="C930" s="384" t="inlineStr">
        <is>
          <t>2009Q</t>
        </is>
      </c>
      <c r="D930" s="605" t="inlineStr">
        <is>
          <t xml:space="preserve">05211-03-020-000 </t>
        </is>
      </c>
      <c r="E930" s="407" t="inlineStr">
        <is>
          <t>Actual</t>
        </is>
      </c>
      <c r="F930" s="605" t="inlineStr">
        <is>
          <t>1124 S KALAMATH             ST</t>
        </is>
      </c>
      <c r="G930" s="392" t="n">
        <v>44.2</v>
      </c>
      <c r="H930" s="378" t="n">
        <v>9506</v>
      </c>
      <c r="I930" s="403" t="n">
        <v>0</v>
      </c>
      <c r="J930" s="404" t="n">
        <v>5906</v>
      </c>
      <c r="K930" s="408" t="n">
        <v>8.63528614967829</v>
      </c>
      <c r="L930" s="409" t="n">
        <v>0</v>
      </c>
      <c r="M930" s="409" t="n">
        <v>0</v>
      </c>
      <c r="N930" s="378" t="n">
        <v>1964</v>
      </c>
      <c r="O930" s="393" t="n">
        <v>1414</v>
      </c>
      <c r="Q930" s="605" t="n">
        <v>13</v>
      </c>
      <c r="R930" s="605" t="n">
        <v>4</v>
      </c>
      <c r="S930" s="605" t="n">
        <v>1</v>
      </c>
      <c r="T930" s="403" t="inlineStr">
        <is>
          <t xml:space="preserve">I2   </t>
        </is>
      </c>
      <c r="U930" s="403" t="n">
        <v>398</v>
      </c>
      <c r="V930" s="404" t="n">
        <v>9652</v>
      </c>
      <c r="W930" s="404" t="n">
        <v>10000</v>
      </c>
      <c r="X930" s="410" t="inlineStr">
        <is>
          <t>1.6:1</t>
        </is>
      </c>
      <c r="Y930" s="404">
        <f>ROUND(J930,-3)</f>
        <v/>
      </c>
      <c r="Z930" s="403" t="inlineStr">
        <is>
          <t xml:space="preserve">C </t>
        </is>
      </c>
      <c r="AA930" s="605" t="n">
        <v>3</v>
      </c>
      <c r="AB930" s="605" t="n">
        <v>3</v>
      </c>
      <c r="AC930" s="378" t="inlineStr">
        <is>
          <t>33</t>
        </is>
      </c>
      <c r="AD930" s="384" t="inlineStr">
        <is>
          <t xml:space="preserve">S-W DILLEY GRAPHICS </t>
        </is>
      </c>
      <c r="AE930" s="145" t="n"/>
      <c r="AF930" s="145" t="n"/>
      <c r="AG930" s="145" t="n"/>
      <c r="AH930" s="145" t="n"/>
      <c r="AI930" s="145" t="n"/>
      <c r="AJ930" s="145" t="n"/>
      <c r="AK930" s="145" t="inlineStr">
        <is>
          <t xml:space="preserve">S-T WHSE; 2004 LEASE.                                             </t>
        </is>
      </c>
      <c r="AL930" s="605">
        <f>IF(AND(ISNUMBER($S930),$S930&gt;0,ISNUMBER($K930),ISNUMBER($J930)),($K930*$J930)/$S930,"")</f>
        <v/>
      </c>
    </row>
    <row r="931" ht="12.75" customHeight="1" s="545">
      <c r="A931" s="388" t="n">
        <v>8</v>
      </c>
      <c r="B931" s="605" t="n">
        <v>923</v>
      </c>
      <c r="C931" s="384" t="inlineStr">
        <is>
          <t>2009W</t>
        </is>
      </c>
      <c r="D931" s="605" t="inlineStr">
        <is>
          <t>05211-03-033-000</t>
        </is>
      </c>
      <c r="E931" s="403" t="inlineStr">
        <is>
          <t>Actual</t>
        </is>
      </c>
      <c r="F931" s="605" t="inlineStr">
        <is>
          <t>1178-80 S. Kalamath St.</t>
        </is>
      </c>
      <c r="G931" s="392" t="n">
        <v>44.2</v>
      </c>
      <c r="H931" s="605" t="n">
        <v>9506</v>
      </c>
      <c r="I931" s="403" t="n">
        <v>0</v>
      </c>
      <c r="J931" s="393" t="n">
        <v>8000</v>
      </c>
      <c r="K931" s="154" t="n">
        <v>5</v>
      </c>
      <c r="L931" s="153" t="n">
        <v>0</v>
      </c>
      <c r="M931" s="153" t="n">
        <v>0.04</v>
      </c>
      <c r="N931" s="605" t="n">
        <v>1975</v>
      </c>
      <c r="O931" s="404" t="n">
        <v>1000</v>
      </c>
      <c r="P931" s="404" t="n">
        <v>2000</v>
      </c>
      <c r="Q931" s="605" t="n">
        <v>13</v>
      </c>
      <c r="R931" s="605" t="n">
        <v>1</v>
      </c>
      <c r="S931" s="605" t="n">
        <v>1</v>
      </c>
      <c r="T931" s="403" t="inlineStr">
        <is>
          <t>I2</t>
        </is>
      </c>
      <c r="U931" s="403" t="n">
        <v>398</v>
      </c>
      <c r="V931" s="404" t="n">
        <v>6477</v>
      </c>
      <c r="W931" s="393" t="n">
        <v>6500</v>
      </c>
      <c r="X931" s="378" t="inlineStr">
        <is>
          <t>0.8:1</t>
        </is>
      </c>
      <c r="Y931" s="393" t="n">
        <v>8000</v>
      </c>
      <c r="Z931" s="403" t="inlineStr">
        <is>
          <t>C</t>
        </is>
      </c>
      <c r="AA931" s="605" t="n">
        <v>2</v>
      </c>
      <c r="AB931" s="605" t="n">
        <v>2</v>
      </c>
      <c r="AC931" s="605" t="n">
        <v>22</v>
      </c>
      <c r="AE931" s="377" t="n">
        <v>5</v>
      </c>
      <c r="AF931" s="413" t="n">
        <v>5</v>
      </c>
      <c r="AG931" s="413" t="n">
        <v>4.4</v>
      </c>
      <c r="AH931" s="413" t="n">
        <v>0.21</v>
      </c>
      <c r="AI931" s="413" t="n">
        <v>0.86</v>
      </c>
      <c r="AJ931" s="377" t="inlineStr">
        <is>
          <t>-</t>
        </is>
      </c>
      <c r="AN931" s="145" t="n"/>
      <c r="AO931" s="145" t="n"/>
      <c r="AP931" s="145" t="n"/>
    </row>
    <row r="932" ht="12.75" customHeight="1" s="545">
      <c r="A932" s="388" t="n">
        <v>8</v>
      </c>
      <c r="B932" s="605" t="n">
        <v>924</v>
      </c>
      <c r="C932" s="384" t="inlineStr">
        <is>
          <t>2009Q</t>
        </is>
      </c>
      <c r="D932" s="605" t="inlineStr">
        <is>
          <t xml:space="preserve">05211-12-031-000 </t>
        </is>
      </c>
      <c r="E932" s="407" t="inlineStr">
        <is>
          <t>Actual</t>
        </is>
      </c>
      <c r="F932" s="605" t="inlineStr">
        <is>
          <t>1219 S LIPAN                ST</t>
        </is>
      </c>
      <c r="G932" s="392" t="n">
        <v>44.2</v>
      </c>
      <c r="H932" s="378" t="n">
        <v>9506</v>
      </c>
      <c r="I932" s="403" t="n">
        <v>0</v>
      </c>
      <c r="J932" s="404" t="n">
        <v>7329</v>
      </c>
      <c r="K932" s="408" t="n">
        <v>7.6545231273025</v>
      </c>
      <c r="L932" s="409" t="n">
        <v>0</v>
      </c>
      <c r="M932" s="409" t="n">
        <v>0.124420677361854</v>
      </c>
      <c r="N932" s="378" t="n">
        <v>1986</v>
      </c>
      <c r="O932" s="393" t="n">
        <v>2167</v>
      </c>
      <c r="Q932" s="605" t="n">
        <v>14</v>
      </c>
      <c r="R932" s="605" t="n">
        <v>3</v>
      </c>
      <c r="S932" s="605" t="n">
        <v>5</v>
      </c>
      <c r="T932" s="403" t="inlineStr">
        <is>
          <t xml:space="preserve">I0   </t>
        </is>
      </c>
      <c r="U932" s="403" t="n">
        <v>398</v>
      </c>
      <c r="V932" s="404" t="n">
        <v>15625</v>
      </c>
      <c r="W932" s="404" t="n">
        <v>16000</v>
      </c>
      <c r="X932" s="410" t="inlineStr">
        <is>
          <t>2.1:1</t>
        </is>
      </c>
      <c r="Y932" s="404">
        <f>ROUND(J932,-3)</f>
        <v/>
      </c>
      <c r="Z932" s="403" t="inlineStr">
        <is>
          <t xml:space="preserve">C </t>
        </is>
      </c>
      <c r="AA932" s="605" t="n">
        <v>3</v>
      </c>
      <c r="AB932" s="605" t="n">
        <v>3</v>
      </c>
      <c r="AC932" s="378" t="inlineStr">
        <is>
          <t>33</t>
        </is>
      </c>
      <c r="AD932" s="384" t="inlineStr">
        <is>
          <t xml:space="preserve">WAREHOUSE           </t>
        </is>
      </c>
      <c r="AE932" s="145" t="n"/>
      <c r="AF932" s="145" t="n"/>
      <c r="AG932" s="145" t="n"/>
      <c r="AH932" s="145" t="n"/>
      <c r="AI932" s="145" t="n"/>
      <c r="AJ932" s="145" t="n"/>
      <c r="AK932" s="145" t="inlineStr">
        <is>
          <t xml:space="preserve">M-T WHSE.; AT LEAST 4 TENANTS; MO-TO-MO LEASES.                   </t>
        </is>
      </c>
      <c r="AL932" s="605">
        <f>IF(AND(ISNUMBER($S932),$S932&gt;0,ISNUMBER($K932),ISNUMBER($J932)),($K932*$J932)/$S932,"")</f>
        <v/>
      </c>
    </row>
    <row r="933" ht="12.75" customHeight="1" s="545">
      <c r="A933" s="388" t="n">
        <v>8</v>
      </c>
      <c r="B933" s="605" t="n">
        <v>925</v>
      </c>
      <c r="C933" s="384" t="inlineStr">
        <is>
          <t>2009Q</t>
        </is>
      </c>
      <c r="D933" s="605" t="inlineStr">
        <is>
          <t xml:space="preserve">05211-14-002-000 </t>
        </is>
      </c>
      <c r="E933" s="407" t="inlineStr">
        <is>
          <t>Actual</t>
        </is>
      </c>
      <c r="F933" s="605" t="inlineStr">
        <is>
          <t>1225 S JASON                ST</t>
        </is>
      </c>
      <c r="G933" s="392" t="n">
        <v>44.2</v>
      </c>
      <c r="H933" s="378" t="n">
        <v>9506</v>
      </c>
      <c r="I933" s="403" t="n">
        <v>0</v>
      </c>
      <c r="J933" s="404" t="n">
        <v>1345</v>
      </c>
      <c r="K933" s="408" t="n">
        <v>10.7063197026022</v>
      </c>
      <c r="L933" s="409" t="n">
        <v>0</v>
      </c>
      <c r="M933" s="409" t="n">
        <v>0.127638888888889</v>
      </c>
      <c r="N933" s="378" t="n">
        <v>1959</v>
      </c>
      <c r="Q933" s="605" t="n">
        <v>14</v>
      </c>
      <c r="R933" s="605" t="n">
        <v>8</v>
      </c>
      <c r="S933" s="605" t="n">
        <v>1</v>
      </c>
      <c r="T933" s="403" t="inlineStr">
        <is>
          <t xml:space="preserve">I0   </t>
        </is>
      </c>
      <c r="U933" s="403" t="n">
        <v>398</v>
      </c>
      <c r="V933" s="404" t="n">
        <v>12700</v>
      </c>
      <c r="W933" s="404" t="n">
        <v>13000</v>
      </c>
      <c r="X933" s="410" t="inlineStr">
        <is>
          <t>9.4:1</t>
        </is>
      </c>
      <c r="Y933" s="404">
        <f>ROUND(J933,-2)</f>
        <v/>
      </c>
      <c r="Z933" s="403" t="inlineStr">
        <is>
          <t xml:space="preserve">C </t>
        </is>
      </c>
      <c r="AA933" s="605" t="n">
        <v>3</v>
      </c>
      <c r="AB933" s="605" t="n">
        <v>3</v>
      </c>
      <c r="AC933" s="378" t="inlineStr">
        <is>
          <t>33</t>
        </is>
      </c>
      <c r="AD933" s="384" t="inlineStr">
        <is>
          <t xml:space="preserve">S-W BOUNDARY FENCE  </t>
        </is>
      </c>
      <c r="AE933" s="145" t="n"/>
      <c r="AF933" s="145" t="n"/>
      <c r="AG933" s="145" t="n"/>
      <c r="AH933" s="145" t="n"/>
      <c r="AI933" s="145" t="n"/>
      <c r="AJ933" s="145" t="n"/>
      <c r="AK933" s="145" t="inlineStr">
        <is>
          <t xml:space="preserve">S-T WHSE; AGE OF LEASE UNKNOWN.                                   </t>
        </is>
      </c>
      <c r="AL933" s="605">
        <f>IF(AND(ISNUMBER($S933),$S933&gt;0,ISNUMBER($K933),ISNUMBER($J933)),($K933*$J933)/$S933,"")</f>
        <v/>
      </c>
    </row>
    <row r="934" ht="12.75" customHeight="1" s="545">
      <c r="A934" s="388" t="n">
        <v>8</v>
      </c>
      <c r="B934" s="605" t="n">
        <v>926</v>
      </c>
      <c r="C934" s="384" t="inlineStr">
        <is>
          <t>2009Q</t>
        </is>
      </c>
      <c r="D934" s="605" t="inlineStr">
        <is>
          <t xml:space="preserve">05211-14-018-000 </t>
        </is>
      </c>
      <c r="E934" s="407" t="inlineStr">
        <is>
          <t>Actual</t>
        </is>
      </c>
      <c r="F934" s="605" t="inlineStr">
        <is>
          <t>1201 S JASON                ST</t>
        </is>
      </c>
      <c r="G934" s="392" t="n">
        <v>44.2</v>
      </c>
      <c r="H934" s="378" t="n">
        <v>9506</v>
      </c>
      <c r="I934" s="403" t="n">
        <v>0</v>
      </c>
      <c r="J934" s="404" t="n">
        <v>2404</v>
      </c>
      <c r="K934" s="408" t="n">
        <v>5.99001663893511</v>
      </c>
      <c r="L934" s="409" t="n">
        <v>0</v>
      </c>
      <c r="M934" s="409" t="n">
        <v>0.0650694444444444</v>
      </c>
      <c r="N934" s="378" t="n">
        <v>1942</v>
      </c>
      <c r="O934" s="393" t="n">
        <v>904</v>
      </c>
      <c r="Q934" s="605" t="n">
        <v>8</v>
      </c>
      <c r="R934" s="605" t="n">
        <v>1</v>
      </c>
      <c r="S934" s="605" t="n">
        <v>1</v>
      </c>
      <c r="T934" s="403" t="inlineStr">
        <is>
          <t xml:space="preserve">I0   </t>
        </is>
      </c>
      <c r="U934" s="403" t="n">
        <v>398</v>
      </c>
      <c r="V934" s="404" t="n">
        <v>12700</v>
      </c>
      <c r="W934" s="404" t="n">
        <v>13000</v>
      </c>
      <c r="X934" s="410" t="inlineStr">
        <is>
          <t>5.3:1</t>
        </is>
      </c>
      <c r="Y934" s="404">
        <f>ROUND(J934,-3)</f>
        <v/>
      </c>
      <c r="Z934" s="403" t="inlineStr">
        <is>
          <t xml:space="preserve">C </t>
        </is>
      </c>
      <c r="AA934" s="605" t="n">
        <v>2</v>
      </c>
      <c r="AB934" s="605" t="n">
        <v>3</v>
      </c>
      <c r="AC934" s="378" t="inlineStr">
        <is>
          <t>23</t>
        </is>
      </c>
      <c r="AD934" s="384" t="inlineStr">
        <is>
          <t xml:space="preserve">S-W                 </t>
        </is>
      </c>
      <c r="AE934" s="145" t="n"/>
      <c r="AF934" s="145" t="n"/>
      <c r="AG934" s="145" t="n"/>
      <c r="AH934" s="145" t="n"/>
      <c r="AI934" s="145" t="n"/>
      <c r="AJ934" s="145" t="n"/>
      <c r="AK934" s="145" t="inlineStr">
        <is>
          <t xml:space="preserve">S-T WHSE; AGE OF LEASE UNKNOWN.                                   </t>
        </is>
      </c>
      <c r="AL934" s="605">
        <f>IF(AND(ISNUMBER($S934),$S934&gt;0,ISNUMBER($K934),ISNUMBER($J934)),($K934*$J934)/$S934,"")</f>
        <v/>
      </c>
    </row>
    <row r="935" ht="12.75" customHeight="1" s="545">
      <c r="A935" s="388" t="n">
        <v>8</v>
      </c>
      <c r="B935" s="605" t="n">
        <v>927</v>
      </c>
      <c r="C935" s="384" t="inlineStr">
        <is>
          <t>2009Q</t>
        </is>
      </c>
      <c r="D935" s="605" t="inlineStr">
        <is>
          <t xml:space="preserve">05211-14-025-000 </t>
        </is>
      </c>
      <c r="E935" s="407" t="inlineStr">
        <is>
          <t>Actual</t>
        </is>
      </c>
      <c r="F935" s="605" t="inlineStr">
        <is>
          <t>1265 S JASON                ST</t>
        </is>
      </c>
      <c r="G935" s="392" t="n">
        <v>47.2</v>
      </c>
      <c r="H935" s="378" t="n">
        <v>9506</v>
      </c>
      <c r="I935" s="403" t="n">
        <v>0</v>
      </c>
      <c r="J935" s="404" t="n">
        <v>4900</v>
      </c>
      <c r="K935" s="408" t="n">
        <v>7.3469387755102</v>
      </c>
      <c r="L935" s="409" t="n">
        <v>0</v>
      </c>
      <c r="M935" s="409" t="n">
        <v>0.0253611111111111</v>
      </c>
      <c r="N935" s="378" t="n">
        <v>1960</v>
      </c>
      <c r="O935" s="393" t="n">
        <v>850</v>
      </c>
      <c r="Q935" s="605" t="n">
        <v>8</v>
      </c>
      <c r="R935" s="605" t="n">
        <v>1</v>
      </c>
      <c r="S935" s="605" t="n">
        <v>1</v>
      </c>
      <c r="T935" s="403" t="inlineStr">
        <is>
          <t xml:space="preserve">I0   </t>
        </is>
      </c>
      <c r="U935" s="403" t="n">
        <v>401</v>
      </c>
      <c r="V935" s="404" t="n">
        <v>15875</v>
      </c>
      <c r="W935" s="404" t="n">
        <v>16000</v>
      </c>
      <c r="X935" s="410" t="inlineStr">
        <is>
          <t>3.2:1</t>
        </is>
      </c>
      <c r="Y935" s="404">
        <f>ROUND(J935,-3)</f>
        <v/>
      </c>
      <c r="Z935" s="403" t="inlineStr">
        <is>
          <t xml:space="preserve">C </t>
        </is>
      </c>
      <c r="AA935" s="605" t="n">
        <v>2</v>
      </c>
      <c r="AB935" s="605" t="n">
        <v>2</v>
      </c>
      <c r="AC935" s="378" t="inlineStr">
        <is>
          <t>22</t>
        </is>
      </c>
      <c r="AD935" s="384" t="inlineStr">
        <is>
          <t xml:space="preserve">S-F COLO. MARBLE    </t>
        </is>
      </c>
      <c r="AE935" s="145" t="n"/>
      <c r="AF935" s="145" t="n"/>
      <c r="AG935" s="145" t="n"/>
      <c r="AH935" s="145" t="n"/>
      <c r="AI935" s="145" t="n"/>
      <c r="AJ935" s="145" t="n"/>
      <c r="AK935" s="145" t="inlineStr">
        <is>
          <t xml:space="preserve">S-T WHSE.; AGE OF LEASE UNKNOWN.                                  </t>
        </is>
      </c>
      <c r="AL935" s="605">
        <f>IF(AND(ISNUMBER($S935),$S935&gt;0,ISNUMBER($K935),ISNUMBER($J935)),($K935*$J935)/$S935,"")</f>
        <v/>
      </c>
    </row>
    <row r="936" ht="12.75" customHeight="1" s="545">
      <c r="A936" s="388" t="n">
        <v>8</v>
      </c>
      <c r="B936" s="605" t="n">
        <v>928</v>
      </c>
      <c r="C936" s="384" t="inlineStr">
        <is>
          <t>2009Q</t>
        </is>
      </c>
      <c r="D936" s="605" t="inlineStr">
        <is>
          <t xml:space="preserve">05211-15-031-000 </t>
        </is>
      </c>
      <c r="E936" s="407" t="inlineStr">
        <is>
          <t>Actual</t>
        </is>
      </c>
      <c r="F936" s="605" t="inlineStr">
        <is>
          <t>1236 S JASON                ST</t>
        </is>
      </c>
      <c r="G936" s="392" t="inlineStr">
        <is>
          <t>44.M</t>
        </is>
      </c>
      <c r="H936" s="378" t="n">
        <v>9506</v>
      </c>
      <c r="I936" s="403" t="n">
        <v>0</v>
      </c>
      <c r="J936" s="404" t="n">
        <v>1426</v>
      </c>
      <c r="K936" s="408" t="n">
        <v>4.62833099579243</v>
      </c>
      <c r="L936" s="409" t="n">
        <v>0</v>
      </c>
      <c r="M936" s="409" t="n">
        <v>0.242424242424242</v>
      </c>
      <c r="N936" s="378" t="n">
        <v>1963</v>
      </c>
      <c r="Q936" s="605" t="n">
        <v>11</v>
      </c>
      <c r="R936" s="605" t="n">
        <v>1</v>
      </c>
      <c r="S936" s="605" t="n">
        <v>1</v>
      </c>
      <c r="T936" s="403" t="inlineStr">
        <is>
          <t xml:space="preserve">I1   </t>
        </is>
      </c>
      <c r="U936" s="403" t="n">
        <v>398</v>
      </c>
      <c r="V936" s="404" t="n">
        <v>12700</v>
      </c>
      <c r="W936" s="404" t="n">
        <v>13000</v>
      </c>
      <c r="X936" s="410" t="inlineStr">
        <is>
          <t>8.9:1</t>
        </is>
      </c>
      <c r="Y936" s="404">
        <f>ROUND(J936,-2)</f>
        <v/>
      </c>
      <c r="Z936" s="403" t="inlineStr">
        <is>
          <t xml:space="preserve">C </t>
        </is>
      </c>
      <c r="AA936" s="605" t="n">
        <v>3</v>
      </c>
      <c r="AB936" s="605" t="n">
        <v>3</v>
      </c>
      <c r="AC936" s="378" t="inlineStr">
        <is>
          <t>33</t>
        </is>
      </c>
      <c r="AD936" s="384" t="inlineStr">
        <is>
          <t xml:space="preserve">S-W                 </t>
        </is>
      </c>
      <c r="AE936" s="145" t="n"/>
      <c r="AF936" s="145" t="n"/>
      <c r="AG936" s="145" t="n"/>
      <c r="AH936" s="145" t="n"/>
      <c r="AI936" s="145" t="n"/>
      <c r="AJ936" s="145" t="n"/>
      <c r="AK936" s="145" t="inlineStr">
        <is>
          <t xml:space="preserve">S-T WHSE.; AGE OF LEASE UNKNOWN.                                  </t>
        </is>
      </c>
      <c r="AL936" s="605">
        <f>IF(AND(ISNUMBER($S936),$S936&gt;0,ISNUMBER($K936),ISNUMBER($J936)),($K936*$J936)/$S936,"")</f>
        <v/>
      </c>
    </row>
    <row r="937" ht="12.75" customHeight="1" s="545">
      <c r="A937" s="388" t="n">
        <v>8</v>
      </c>
      <c r="B937" s="605" t="n">
        <v>929</v>
      </c>
      <c r="C937" s="384" t="inlineStr">
        <is>
          <t>2009Q</t>
        </is>
      </c>
      <c r="D937" s="605" t="inlineStr">
        <is>
          <t xml:space="preserve">05211-16-017-000 </t>
        </is>
      </c>
      <c r="E937" s="407" t="inlineStr">
        <is>
          <t>Actual</t>
        </is>
      </c>
      <c r="F937" s="605" t="inlineStr">
        <is>
          <t>1230 S INCA                 ST</t>
        </is>
      </c>
      <c r="G937" s="392" t="n">
        <v>44.2</v>
      </c>
      <c r="H937" s="378" t="n">
        <v>9506</v>
      </c>
      <c r="I937" s="403" t="n">
        <v>0</v>
      </c>
      <c r="J937" s="404" t="n">
        <v>4350</v>
      </c>
      <c r="K937" s="408" t="n">
        <v>15.1993103448276</v>
      </c>
      <c r="L937" s="409" t="n">
        <v>0</v>
      </c>
      <c r="M937" s="409" t="n">
        <v>0.0432415263850447</v>
      </c>
      <c r="N937" s="378" t="n">
        <v>1968</v>
      </c>
      <c r="O937" s="393" t="n">
        <v>2300</v>
      </c>
      <c r="Q937" s="605" t="n">
        <v>12</v>
      </c>
      <c r="R937" s="605" t="n">
        <v>3</v>
      </c>
      <c r="S937" s="605" t="n">
        <v>1</v>
      </c>
      <c r="T937" s="403" t="inlineStr">
        <is>
          <t xml:space="preserve">I1   </t>
        </is>
      </c>
      <c r="U937" s="403" t="n">
        <v>398</v>
      </c>
      <c r="V937" s="404" t="n">
        <v>9525</v>
      </c>
      <c r="W937" s="404" t="n">
        <v>10000</v>
      </c>
      <c r="X937" s="410" t="inlineStr">
        <is>
          <t>2.2:1</t>
        </is>
      </c>
      <c r="Y937" s="404">
        <f>ROUND(J937,-3)</f>
        <v/>
      </c>
      <c r="Z937" s="403" t="inlineStr">
        <is>
          <t xml:space="preserve">C </t>
        </is>
      </c>
      <c r="AA937" s="605" t="n">
        <v>3</v>
      </c>
      <c r="AB937" s="605" t="n">
        <v>3</v>
      </c>
      <c r="AC937" s="378" t="inlineStr">
        <is>
          <t>33</t>
        </is>
      </c>
      <c r="AD937" s="384" t="inlineStr">
        <is>
          <t xml:space="preserve">S-W HYDRO PHYSICS   </t>
        </is>
      </c>
      <c r="AE937" s="145" t="n"/>
      <c r="AF937" s="145" t="n"/>
      <c r="AG937" s="145" t="n"/>
      <c r="AH937" s="145" t="n"/>
      <c r="AI937" s="145" t="n"/>
      <c r="AJ937" s="145" t="n"/>
      <c r="AK937" s="145" t="inlineStr">
        <is>
          <t xml:space="preserve">S-T WHSE.; 2006 LEASE.                                            </t>
        </is>
      </c>
      <c r="AL937" s="605">
        <f>IF(AND(ISNUMBER($S937),$S937&gt;0,ISNUMBER($K937),ISNUMBER($J937)),($K937*$J937)/$S937,"")</f>
        <v/>
      </c>
    </row>
    <row r="938" ht="12.75" customHeight="1" s="545">
      <c r="A938" s="388" t="n">
        <v>8</v>
      </c>
      <c r="B938" s="605" t="n">
        <v>930</v>
      </c>
      <c r="C938" s="384" t="inlineStr">
        <is>
          <t>2009Q</t>
        </is>
      </c>
      <c r="D938" s="605" t="inlineStr">
        <is>
          <t xml:space="preserve">05211-17-021-000 </t>
        </is>
      </c>
      <c r="E938" s="407" t="inlineStr">
        <is>
          <t>Actual</t>
        </is>
      </c>
      <c r="F938" s="605" t="inlineStr">
        <is>
          <t>1300 S INCA                 ST</t>
        </is>
      </c>
      <c r="G938" s="392" t="n">
        <v>44.2</v>
      </c>
      <c r="H938" s="378" t="n">
        <v>9506</v>
      </c>
      <c r="I938" s="403" t="n">
        <v>0</v>
      </c>
      <c r="J938" s="404" t="n">
        <v>4867</v>
      </c>
      <c r="K938" s="408" t="n">
        <v>7.39675364701048</v>
      </c>
      <c r="L938" s="409" t="n">
        <v>1</v>
      </c>
      <c r="M938" s="409" t="n">
        <v>0</v>
      </c>
      <c r="N938" s="378" t="n">
        <v>1977</v>
      </c>
      <c r="O938" s="393" t="n">
        <v>240</v>
      </c>
      <c r="P938" s="393" t="n">
        <v>2400</v>
      </c>
      <c r="Q938" s="605" t="n">
        <v>16</v>
      </c>
      <c r="R938" s="605" t="n">
        <v>8</v>
      </c>
      <c r="S938" s="605" t="n">
        <v>1</v>
      </c>
      <c r="T938" s="403" t="inlineStr">
        <is>
          <t xml:space="preserve">I1   </t>
        </is>
      </c>
      <c r="U938" s="403" t="n">
        <v>398</v>
      </c>
      <c r="V938" s="404" t="n">
        <v>13500</v>
      </c>
      <c r="W938" s="404" t="n">
        <v>14000</v>
      </c>
      <c r="X938" s="410" t="inlineStr">
        <is>
          <t>2.8:1</t>
        </is>
      </c>
      <c r="Y938" s="404">
        <f>ROUND(J938,-3)</f>
        <v/>
      </c>
      <c r="Z938" s="403" t="inlineStr">
        <is>
          <t xml:space="preserve">C </t>
        </is>
      </c>
      <c r="AA938" s="605" t="n">
        <v>3</v>
      </c>
      <c r="AB938" s="605" t="n">
        <v>3</v>
      </c>
      <c r="AC938" s="378" t="inlineStr">
        <is>
          <t>33</t>
        </is>
      </c>
      <c r="AD938" s="384" t="inlineStr">
        <is>
          <t xml:space="preserve">S-W GEI ELECTRIC    </t>
        </is>
      </c>
      <c r="AE938" s="145" t="n"/>
      <c r="AF938" s="145" t="n"/>
      <c r="AG938" s="145" t="n"/>
      <c r="AH938" s="145" t="n"/>
      <c r="AI938" s="145" t="n"/>
      <c r="AJ938" s="145" t="n"/>
      <c r="AK938" s="145" t="inlineStr">
        <is>
          <t xml:space="preserve">S-T WHSE                                                          </t>
        </is>
      </c>
      <c r="AL938" s="605">
        <f>IF(AND(ISNUMBER($S938),$S938&gt;0,ISNUMBER($K938),ISNUMBER($J938)),($K938*$J938)/$S938,"")</f>
        <v/>
      </c>
    </row>
    <row r="939" ht="12.75" customHeight="1" s="545">
      <c r="A939" s="388" t="n">
        <v>8</v>
      </c>
      <c r="B939" s="605" t="n">
        <v>931</v>
      </c>
      <c r="C939" s="384" t="inlineStr">
        <is>
          <t>2009Q</t>
        </is>
      </c>
      <c r="D939" s="605" t="inlineStr">
        <is>
          <t xml:space="preserve">05211-17-023-000 </t>
        </is>
      </c>
      <c r="E939" s="407" t="inlineStr">
        <is>
          <t>Actual</t>
        </is>
      </c>
      <c r="F939" s="605" t="inlineStr">
        <is>
          <t>1355 S HURON                ST</t>
        </is>
      </c>
      <c r="G939" s="392" t="n">
        <v>44.2</v>
      </c>
      <c r="H939" s="378" t="n">
        <v>9506</v>
      </c>
      <c r="I939" s="403" t="n">
        <v>0</v>
      </c>
      <c r="J939" s="404" t="n">
        <v>12495</v>
      </c>
      <c r="K939" s="408" t="n">
        <v>4.32172869147659</v>
      </c>
      <c r="L939" s="409" t="n">
        <v>0</v>
      </c>
      <c r="M939" s="409" t="n">
        <v>0.157907407407407</v>
      </c>
      <c r="N939" s="378" t="n">
        <v>1984</v>
      </c>
      <c r="O939" s="393">
        <f>109+1550</f>
        <v/>
      </c>
      <c r="Q939" s="605" t="n">
        <v>23</v>
      </c>
      <c r="R939" s="605" t="n">
        <v>7</v>
      </c>
      <c r="S939" s="605" t="n">
        <v>1</v>
      </c>
      <c r="T939" s="403" t="inlineStr">
        <is>
          <t xml:space="preserve">I1   </t>
        </is>
      </c>
      <c r="U939" s="403" t="n">
        <v>398</v>
      </c>
      <c r="V939" s="404" t="n">
        <v>20250</v>
      </c>
      <c r="W939" s="404" t="n">
        <v>20000</v>
      </c>
      <c r="X939" s="410" t="inlineStr">
        <is>
          <t>1.6:1</t>
        </is>
      </c>
      <c r="Y939" s="404">
        <f>ROUND(J939,-3)</f>
        <v/>
      </c>
      <c r="Z939" s="403" t="inlineStr">
        <is>
          <t xml:space="preserve">C </t>
        </is>
      </c>
      <c r="AA939" s="605" t="n">
        <v>3</v>
      </c>
      <c r="AB939" s="605" t="n">
        <v>3</v>
      </c>
      <c r="AC939" s="378" t="inlineStr">
        <is>
          <t>33</t>
        </is>
      </c>
      <c r="AD939" s="384" t="inlineStr">
        <is>
          <t xml:space="preserve">WAREHOUSE/OFFICE    </t>
        </is>
      </c>
      <c r="AE939" s="145" t="n"/>
      <c r="AF939" s="145" t="n"/>
      <c r="AG939" s="145" t="n"/>
      <c r="AH939" s="145" t="n"/>
      <c r="AI939" s="145" t="n"/>
      <c r="AJ939" s="145" t="n"/>
      <c r="AK939" s="145" t="inlineStr">
        <is>
          <t xml:space="preserve">S-T WHSE.                                                         </t>
        </is>
      </c>
      <c r="AL939" s="605">
        <f>IF(AND(ISNUMBER($S939),$S939&gt;0,ISNUMBER($K939),ISNUMBER($J939)),($K939*$J939)/$S939,"")</f>
        <v/>
      </c>
    </row>
    <row r="940" ht="12.75" customHeight="1" s="545">
      <c r="A940" s="388" t="n">
        <v>8</v>
      </c>
      <c r="B940" s="605" t="n">
        <v>932</v>
      </c>
      <c r="C940" s="384" t="inlineStr">
        <is>
          <t>2009Q</t>
        </is>
      </c>
      <c r="D940" s="605" t="inlineStr">
        <is>
          <t xml:space="preserve">05211-18-003-000 </t>
        </is>
      </c>
      <c r="E940" s="407" t="inlineStr">
        <is>
          <t>Actual</t>
        </is>
      </c>
      <c r="F940" s="605" t="inlineStr">
        <is>
          <t>1351 S INCA                 ST</t>
        </is>
      </c>
      <c r="G940" s="392" t="n">
        <v>44.1</v>
      </c>
      <c r="H940" s="378" t="n">
        <v>9506</v>
      </c>
      <c r="I940" s="403" t="n">
        <v>0</v>
      </c>
      <c r="J940" s="404" t="n">
        <v>4000</v>
      </c>
      <c r="K940" s="408" t="n">
        <v>4.95</v>
      </c>
      <c r="L940" s="409" t="n">
        <v>0</v>
      </c>
      <c r="M940" s="409" t="n">
        <v>0.116666666666667</v>
      </c>
      <c r="N940" s="378" t="n">
        <v>1965</v>
      </c>
      <c r="O940" s="393" t="n">
        <v>1100</v>
      </c>
      <c r="Q940" s="605" t="n">
        <v>13</v>
      </c>
      <c r="R940" s="605" t="n">
        <v>11</v>
      </c>
      <c r="S940" s="605" t="n">
        <v>1</v>
      </c>
      <c r="T940" s="403" t="inlineStr">
        <is>
          <t xml:space="preserve">I1   </t>
        </is>
      </c>
      <c r="U940" s="403" t="n">
        <v>397</v>
      </c>
      <c r="V940" s="404" t="n">
        <v>12700</v>
      </c>
      <c r="W940" s="404" t="n">
        <v>13000</v>
      </c>
      <c r="X940" s="410" t="inlineStr">
        <is>
          <t>2.0:1</t>
        </is>
      </c>
      <c r="Y940" s="404">
        <f>ROUND(J940,-3)</f>
        <v/>
      </c>
      <c r="Z940" s="403" t="inlineStr">
        <is>
          <t xml:space="preserve">C </t>
        </is>
      </c>
      <c r="AA940" s="605" t="n">
        <v>3</v>
      </c>
      <c r="AB940" s="605" t="n">
        <v>3</v>
      </c>
      <c r="AC940" s="378" t="inlineStr">
        <is>
          <t>33</t>
        </is>
      </c>
      <c r="AD940" s="384" t="inlineStr">
        <is>
          <t xml:space="preserve">M-W SEAT CO         </t>
        </is>
      </c>
      <c r="AE940" s="145" t="n"/>
      <c r="AF940" s="145" t="n"/>
      <c r="AG940" s="145" t="n"/>
      <c r="AH940" s="145" t="n"/>
      <c r="AI940" s="145" t="n"/>
      <c r="AJ940" s="145" t="n"/>
      <c r="AK940" s="145" t="inlineStr">
        <is>
          <t xml:space="preserve">M-T WHSE; AT LEAST 2 UNITS; DATE OF LEASE UNKNOWN.                </t>
        </is>
      </c>
      <c r="AL940" s="605">
        <f>IF(AND(ISNUMBER($S940),$S940&gt;0,ISNUMBER($K940),ISNUMBER($J940)),($K940*$J940)/$S940,"")</f>
        <v/>
      </c>
    </row>
    <row r="941" ht="12.75" customHeight="1" s="545">
      <c r="A941" s="388" t="n">
        <v>8</v>
      </c>
      <c r="B941" s="605" t="n">
        <v>933</v>
      </c>
      <c r="C941" s="384" t="inlineStr">
        <is>
          <t>2009Q</t>
        </is>
      </c>
      <c r="D941" s="605" t="inlineStr">
        <is>
          <t xml:space="preserve">05211-18-020-000 </t>
        </is>
      </c>
      <c r="E941" s="407" t="inlineStr">
        <is>
          <t>Actual</t>
        </is>
      </c>
      <c r="F941" s="605" t="inlineStr">
        <is>
          <t>1346 S JASON                ST</t>
        </is>
      </c>
      <c r="G941" s="392" t="n">
        <v>44.2</v>
      </c>
      <c r="H941" s="378" t="n">
        <v>9506</v>
      </c>
      <c r="I941" s="403" t="n">
        <v>0</v>
      </c>
      <c r="J941" s="404" t="n">
        <v>6000</v>
      </c>
      <c r="K941" s="408" t="n">
        <v>3.01</v>
      </c>
      <c r="L941" s="409" t="n">
        <v>0</v>
      </c>
      <c r="M941" s="409" t="n">
        <v>0.080952380952381</v>
      </c>
      <c r="N941" s="378" t="n">
        <v>1968</v>
      </c>
      <c r="O941" s="393" t="n">
        <v>375</v>
      </c>
      <c r="Q941" s="605" t="n">
        <v>12</v>
      </c>
      <c r="R941" s="605" t="n">
        <v>3</v>
      </c>
      <c r="S941" s="605" t="n">
        <v>1</v>
      </c>
      <c r="T941" s="403" t="inlineStr">
        <is>
          <t xml:space="preserve">I1   </t>
        </is>
      </c>
      <c r="U941" s="403" t="n">
        <v>397</v>
      </c>
      <c r="V941" s="404" t="n">
        <v>9525</v>
      </c>
      <c r="W941" s="404" t="n">
        <v>10000</v>
      </c>
      <c r="X941" s="410" t="inlineStr">
        <is>
          <t>1.2:1</t>
        </is>
      </c>
      <c r="Y941" s="404">
        <f>ROUND(J941,-3)</f>
        <v/>
      </c>
      <c r="Z941" s="403" t="inlineStr">
        <is>
          <t xml:space="preserve">C </t>
        </is>
      </c>
      <c r="AA941" s="605" t="n">
        <v>3</v>
      </c>
      <c r="AB941" s="605" t="n">
        <v>3</v>
      </c>
      <c r="AC941" s="378" t="inlineStr">
        <is>
          <t>33</t>
        </is>
      </c>
      <c r="AD941" s="384" t="n"/>
      <c r="AE941" s="145" t="n"/>
      <c r="AF941" s="145" t="n"/>
      <c r="AG941" s="145" t="n"/>
      <c r="AH941" s="145" t="n"/>
      <c r="AI941" s="145" t="n"/>
      <c r="AJ941" s="145" t="n"/>
      <c r="AK941" s="145" t="inlineStr">
        <is>
          <t xml:space="preserve">M-T WHSE.; 2 TENANTS                                              </t>
        </is>
      </c>
      <c r="AL941" s="605">
        <f>IF(AND(ISNUMBER($S941),$S941&gt;0,ISNUMBER($K941),ISNUMBER($J941)),($K941*$J941)/$S941,"")</f>
        <v/>
      </c>
    </row>
    <row r="942" ht="12.75" customHeight="1" s="545">
      <c r="A942" s="388" t="n">
        <v>8</v>
      </c>
      <c r="B942" s="605" t="n">
        <v>934</v>
      </c>
      <c r="C942" s="384" t="inlineStr">
        <is>
          <t>2009Q</t>
        </is>
      </c>
      <c r="D942" s="605" t="inlineStr">
        <is>
          <t xml:space="preserve">05211-18-029-000 </t>
        </is>
      </c>
      <c r="E942" s="407" t="inlineStr">
        <is>
          <t>Actual</t>
        </is>
      </c>
      <c r="F942" s="605" t="inlineStr">
        <is>
          <t>1328 S JASON                ST</t>
        </is>
      </c>
      <c r="G942" s="392" t="n">
        <v>44.2</v>
      </c>
      <c r="H942" s="378" t="n">
        <v>9506</v>
      </c>
      <c r="I942" s="403" t="n">
        <v>0</v>
      </c>
      <c r="J942" s="404" t="n">
        <v>10500</v>
      </c>
      <c r="K942" s="408" t="n">
        <v>5.71428571428571</v>
      </c>
      <c r="L942" s="409" t="n">
        <v>0</v>
      </c>
      <c r="M942" s="409" t="n">
        <v>0.01175</v>
      </c>
      <c r="N942" s="378" t="n">
        <v>1983</v>
      </c>
      <c r="O942" s="393" t="n">
        <v>2300</v>
      </c>
      <c r="Q942" s="605" t="n">
        <v>14</v>
      </c>
      <c r="R942" s="605" t="n">
        <v>3</v>
      </c>
      <c r="S942" s="605" t="n">
        <v>1</v>
      </c>
      <c r="T942" s="403" t="inlineStr">
        <is>
          <t xml:space="preserve">I1   </t>
        </is>
      </c>
      <c r="U942" s="403" t="n">
        <v>398</v>
      </c>
      <c r="V942" s="404" t="n">
        <v>14224</v>
      </c>
      <c r="W942" s="404" t="n">
        <v>14000</v>
      </c>
      <c r="X942" s="410" t="inlineStr">
        <is>
          <t>1.4:1</t>
        </is>
      </c>
      <c r="Y942" s="404">
        <f>ROUND(J942,-3)</f>
        <v/>
      </c>
      <c r="Z942" s="403" t="inlineStr">
        <is>
          <t xml:space="preserve">C </t>
        </is>
      </c>
      <c r="AA942" s="605" t="n">
        <v>3</v>
      </c>
      <c r="AB942" s="605" t="n">
        <v>3</v>
      </c>
      <c r="AC942" s="378" t="inlineStr">
        <is>
          <t>33</t>
        </is>
      </c>
      <c r="AD942" s="384" t="inlineStr">
        <is>
          <t xml:space="preserve">AMERICAN TARGET     </t>
        </is>
      </c>
      <c r="AE942" s="145" t="n"/>
      <c r="AF942" s="145" t="n"/>
      <c r="AG942" s="145" t="n"/>
      <c r="AH942" s="145" t="n"/>
      <c r="AI942" s="145" t="n"/>
      <c r="AJ942" s="145" t="n"/>
      <c r="AK942" s="145" t="inlineStr">
        <is>
          <t xml:space="preserve">S-T WHSE; DATE OF LEASE COMMENCEMENT UNKNOWN.                     </t>
        </is>
      </c>
      <c r="AL942" s="605">
        <f>IF(AND(ISNUMBER($S942),$S942&gt;0,ISNUMBER($K942),ISNUMBER($J942)),($K942*$J942)/$S942,"")</f>
        <v/>
      </c>
    </row>
    <row r="943" ht="12.75" customHeight="1" s="545">
      <c r="A943" s="388" t="n">
        <v>8</v>
      </c>
      <c r="B943" s="605" t="n">
        <v>935</v>
      </c>
      <c r="C943" s="384" t="inlineStr">
        <is>
          <t>2009Q</t>
        </is>
      </c>
      <c r="D943" s="605" t="inlineStr">
        <is>
          <t xml:space="preserve">05211-18-030-000 </t>
        </is>
      </c>
      <c r="E943" s="407" t="inlineStr">
        <is>
          <t>Actual</t>
        </is>
      </c>
      <c r="F943" s="605" t="inlineStr">
        <is>
          <t>1308 S JASON                ST</t>
        </is>
      </c>
      <c r="G943" s="392" t="n">
        <v>44.2</v>
      </c>
      <c r="H943" s="378" t="n">
        <v>9506</v>
      </c>
      <c r="I943" s="403" t="n">
        <v>0</v>
      </c>
      <c r="J943" s="404" t="n">
        <v>6801</v>
      </c>
      <c r="K943" s="408" t="n">
        <v>7.00397000441112</v>
      </c>
      <c r="L943" s="409" t="n">
        <v>0</v>
      </c>
      <c r="M943" s="409" t="n">
        <v>0.0200487047067221</v>
      </c>
      <c r="N943" s="378" t="n">
        <v>1997</v>
      </c>
      <c r="O943" s="393" t="n">
        <v>2664</v>
      </c>
      <c r="Q943" s="605" t="n">
        <v>16</v>
      </c>
      <c r="R943" s="605" t="n">
        <v>3</v>
      </c>
      <c r="S943" s="605" t="n">
        <v>1</v>
      </c>
      <c r="T943" s="403" t="inlineStr">
        <is>
          <t xml:space="preserve">I1   </t>
        </is>
      </c>
      <c r="U943" s="403" t="n">
        <v>398</v>
      </c>
      <c r="V943" s="404" t="n">
        <v>11176</v>
      </c>
      <c r="W943" s="404" t="n">
        <v>11000</v>
      </c>
      <c r="X943" s="410" t="inlineStr">
        <is>
          <t>1.6:1</t>
        </is>
      </c>
      <c r="Y943" s="404">
        <f>ROUND(J943,-3)</f>
        <v/>
      </c>
      <c r="Z943" s="403" t="inlineStr">
        <is>
          <t xml:space="preserve">C </t>
        </is>
      </c>
      <c r="AA943" s="605" t="n">
        <v>3</v>
      </c>
      <c r="AB943" s="605" t="n">
        <v>3</v>
      </c>
      <c r="AC943" s="378" t="inlineStr">
        <is>
          <t>33</t>
        </is>
      </c>
      <c r="AD943" s="384" t="inlineStr">
        <is>
          <t xml:space="preserve">DIST WHSE           </t>
        </is>
      </c>
      <c r="AE943" s="145" t="n"/>
      <c r="AF943" s="145" t="n"/>
      <c r="AG943" s="145" t="n"/>
      <c r="AH943" s="145" t="n"/>
      <c r="AI943" s="145" t="n"/>
      <c r="AJ943" s="145" t="n"/>
      <c r="AK943" s="145" t="inlineStr">
        <is>
          <t xml:space="preserve">S-T WHSE.                                                         </t>
        </is>
      </c>
      <c r="AL943" s="605">
        <f>IF(AND(ISNUMBER($S943),$S943&gt;0,ISNUMBER($K943),ISNUMBER($J943)),($K943*$J943)/$S943,"")</f>
        <v/>
      </c>
    </row>
    <row r="944" ht="12.75" customHeight="1" s="545">
      <c r="A944" s="388" t="n">
        <v>8</v>
      </c>
      <c r="B944" s="605" t="n">
        <v>936</v>
      </c>
      <c r="C944" s="384" t="inlineStr">
        <is>
          <t>2009Q</t>
        </is>
      </c>
      <c r="D944" s="605" t="inlineStr">
        <is>
          <t xml:space="preserve">05211-19-011-000 </t>
        </is>
      </c>
      <c r="E944" s="407" t="inlineStr">
        <is>
          <t>Actual</t>
        </is>
      </c>
      <c r="F944" s="605" t="inlineStr">
        <is>
          <t>1301 S JASON                ST</t>
        </is>
      </c>
      <c r="G944" s="392" t="n">
        <v>44.2</v>
      </c>
      <c r="H944" s="378" t="n">
        <v>9506</v>
      </c>
      <c r="I944" s="403" t="n">
        <v>0</v>
      </c>
      <c r="J944" s="404" t="n">
        <v>9464</v>
      </c>
      <c r="K944" s="408" t="n">
        <v>5.80663567202029</v>
      </c>
      <c r="L944" s="409" t="n">
        <v>0</v>
      </c>
      <c r="M944" s="409" t="n">
        <v>0.236761655202533</v>
      </c>
      <c r="N944" s="378" t="n">
        <v>1997</v>
      </c>
      <c r="O944" s="393" t="n">
        <v>8666</v>
      </c>
      <c r="Q944" s="605" t="n">
        <v>26</v>
      </c>
      <c r="R944" s="605" t="n">
        <v>14</v>
      </c>
      <c r="S944" s="605" t="n">
        <v>4</v>
      </c>
      <c r="T944" s="403" t="inlineStr">
        <is>
          <t xml:space="preserve">I0   </t>
        </is>
      </c>
      <c r="U944" s="403" t="n">
        <v>398</v>
      </c>
      <c r="V944" s="404" t="n">
        <v>99255</v>
      </c>
      <c r="W944" s="404" t="n">
        <v>100000</v>
      </c>
      <c r="X944" s="410" t="inlineStr">
        <is>
          <t>2.0:1</t>
        </is>
      </c>
      <c r="Y944" s="404">
        <f>ROUND(J944,-3)</f>
        <v/>
      </c>
      <c r="Z944" s="403" t="inlineStr">
        <is>
          <t xml:space="preserve">C </t>
        </is>
      </c>
      <c r="AA944" s="605" t="n">
        <v>3</v>
      </c>
      <c r="AB944" s="605" t="n">
        <v>3</v>
      </c>
      <c r="AC944" s="378" t="inlineStr">
        <is>
          <t>33</t>
        </is>
      </c>
      <c r="AD944" s="384" t="inlineStr">
        <is>
          <t xml:space="preserve">M-W DISTRIBUTION    </t>
        </is>
      </c>
      <c r="AE944" s="145" t="n"/>
      <c r="AF944" s="145" t="n"/>
      <c r="AG944" s="145" t="n"/>
      <c r="AH944" s="145" t="n"/>
      <c r="AI944" s="145" t="n"/>
      <c r="AJ944" s="145" t="n"/>
      <c r="AK944" s="145" t="inlineStr">
        <is>
          <t xml:space="preserve">M-T WHSE; 5 TENANTS; ONLY 2007 LEASE INFO. ENCODED.               </t>
        </is>
      </c>
      <c r="AL944" s="605">
        <f>IF(AND(ISNUMBER($S944),$S944&gt;0,ISNUMBER($K944),ISNUMBER($J944)),($K944*$J944)/$S944,"")</f>
        <v/>
      </c>
    </row>
    <row r="945" ht="12.75" customHeight="1" s="545">
      <c r="A945" s="388" t="n">
        <v>8</v>
      </c>
      <c r="B945" s="605" t="n">
        <v>937</v>
      </c>
      <c r="C945" s="384" t="inlineStr">
        <is>
          <t>2009Q</t>
        </is>
      </c>
      <c r="D945" s="605" t="inlineStr">
        <is>
          <t xml:space="preserve">05211-30-013-000 </t>
        </is>
      </c>
      <c r="E945" s="407" t="inlineStr">
        <is>
          <t>Actual</t>
        </is>
      </c>
      <c r="F945" s="605" t="inlineStr">
        <is>
          <t>1455 S PLATTE RIVER         DR</t>
        </is>
      </c>
      <c r="G945" s="392" t="n">
        <v>44.2</v>
      </c>
      <c r="H945" s="378" t="n">
        <v>9506</v>
      </c>
      <c r="I945" s="403" t="n">
        <v>0</v>
      </c>
      <c r="J945" s="404" t="n">
        <v>25780</v>
      </c>
      <c r="K945" s="408" t="n">
        <v>7.95190069821567</v>
      </c>
      <c r="L945" s="409" t="n">
        <v>0</v>
      </c>
      <c r="M945" s="409" t="n">
        <v>0</v>
      </c>
      <c r="N945" s="378" t="n">
        <v>1973</v>
      </c>
      <c r="O945" s="393">
        <f>4991*2</f>
        <v/>
      </c>
      <c r="Q945" s="605" t="n">
        <v>27</v>
      </c>
      <c r="R945" s="605" t="n">
        <v>3</v>
      </c>
      <c r="S945" s="605" t="n">
        <v>1</v>
      </c>
      <c r="T945" s="403" t="inlineStr">
        <is>
          <t xml:space="preserve">I0   </t>
        </is>
      </c>
      <c r="U945" s="403" t="n">
        <v>397</v>
      </c>
      <c r="V945" s="404" t="n">
        <v>66660</v>
      </c>
      <c r="W945" s="404" t="n">
        <v>70000</v>
      </c>
      <c r="X945" s="410" t="inlineStr">
        <is>
          <t>2.6:1</t>
        </is>
      </c>
      <c r="Y945" s="404">
        <f>ROUND(J945,-3)</f>
        <v/>
      </c>
      <c r="Z945" s="403" t="inlineStr">
        <is>
          <t xml:space="preserve">C </t>
        </is>
      </c>
      <c r="AA945" s="605" t="n">
        <v>3</v>
      </c>
      <c r="AB945" s="605" t="n">
        <v>3</v>
      </c>
      <c r="AC945" s="378" t="inlineStr">
        <is>
          <t>33</t>
        </is>
      </c>
      <c r="AD945" s="384" t="inlineStr">
        <is>
          <t xml:space="preserve">POWERS BLG SOLUT'NS </t>
        </is>
      </c>
      <c r="AE945" s="145" t="n"/>
      <c r="AF945" s="145" t="n"/>
      <c r="AG945" s="145" t="n"/>
      <c r="AH945" s="145" t="n"/>
      <c r="AI945" s="145" t="n"/>
      <c r="AJ945" s="145" t="n"/>
      <c r="AK945" s="145" t="inlineStr">
        <is>
          <t xml:space="preserve">S-T WHSE.; 2006 LEASE.                                            </t>
        </is>
      </c>
      <c r="AL945" s="605">
        <f>IF(AND(ISNUMBER($S945),$S945&gt;0,ISNUMBER($K945),ISNUMBER($J945)),($K945*$J945)/$S945,"")</f>
        <v/>
      </c>
    </row>
    <row r="946" ht="12.75" customHeight="1" s="545">
      <c r="A946" s="388" t="n">
        <v>8</v>
      </c>
      <c r="B946" s="605" t="n">
        <v>938</v>
      </c>
      <c r="C946" s="384" t="inlineStr">
        <is>
          <t>2009Q</t>
        </is>
      </c>
      <c r="D946" s="605" t="inlineStr">
        <is>
          <t xml:space="preserve">05211-30-014-000 </t>
        </is>
      </c>
      <c r="E946" s="407" t="inlineStr">
        <is>
          <t>Actual</t>
        </is>
      </c>
      <c r="F946" s="605" t="inlineStr">
        <is>
          <t>1495 S PLATTE RIVER         DR</t>
        </is>
      </c>
      <c r="G946" s="392" t="n">
        <v>44.1</v>
      </c>
      <c r="H946" s="378" t="n">
        <v>9506</v>
      </c>
      <c r="I946" s="403" t="n">
        <v>0</v>
      </c>
      <c r="J946" s="404" t="n">
        <v>10120</v>
      </c>
      <c r="K946" s="408" t="n">
        <v>12.2716403162055</v>
      </c>
      <c r="L946" s="409" t="n">
        <v>0</v>
      </c>
      <c r="M946" s="409" t="n">
        <v>0.029261850888565</v>
      </c>
      <c r="N946" s="378" t="n">
        <v>1985</v>
      </c>
      <c r="O946" s="393" t="n">
        <v>2300</v>
      </c>
      <c r="Q946" s="605" t="n">
        <v>16</v>
      </c>
      <c r="R946" s="605" t="n">
        <v>3</v>
      </c>
      <c r="S946" s="605" t="n">
        <v>1</v>
      </c>
      <c r="T946" s="403" t="inlineStr">
        <is>
          <t xml:space="preserve">I0   </t>
        </is>
      </c>
      <c r="U946" s="403" t="n">
        <v>397</v>
      </c>
      <c r="V946" s="404" t="n">
        <v>22600</v>
      </c>
      <c r="W946" s="404" t="n">
        <v>23000</v>
      </c>
      <c r="X946" s="410" t="inlineStr">
        <is>
          <t>2.2:1</t>
        </is>
      </c>
      <c r="Y946" s="404">
        <f>ROUND(J946,-3)</f>
        <v/>
      </c>
      <c r="Z946" s="403" t="inlineStr">
        <is>
          <t xml:space="preserve">C </t>
        </is>
      </c>
      <c r="AA946" s="605" t="n">
        <v>3</v>
      </c>
      <c r="AB946" s="605" t="n">
        <v>3</v>
      </c>
      <c r="AC946" s="378" t="inlineStr">
        <is>
          <t>33</t>
        </is>
      </c>
      <c r="AD946" s="384" t="n"/>
      <c r="AE946" s="145" t="n"/>
      <c r="AF946" s="145" t="n"/>
      <c r="AG946" s="145" t="n"/>
      <c r="AH946" s="145" t="n"/>
      <c r="AI946" s="145" t="n"/>
      <c r="AJ946" s="145" t="n"/>
      <c r="AK946" s="145" t="inlineStr">
        <is>
          <t xml:space="preserve">S-T WHSE.; AGE OF LEASE UNKNOWN.                                  </t>
        </is>
      </c>
      <c r="AL946" s="605">
        <f>IF(AND(ISNUMBER($S946),$S946&gt;0,ISNUMBER($K946),ISNUMBER($J946)),($K946*$J946)/$S946,"")</f>
        <v/>
      </c>
    </row>
    <row r="947" ht="12.75" customHeight="1" s="545">
      <c r="A947" s="388" t="n">
        <v>8</v>
      </c>
      <c r="B947" s="605" t="n">
        <v>939</v>
      </c>
      <c r="C947" s="384" t="inlineStr">
        <is>
          <t>2009Q</t>
        </is>
      </c>
      <c r="D947" s="605" t="inlineStr">
        <is>
          <t xml:space="preserve">05221-14-033-000 </t>
        </is>
      </c>
      <c r="E947" s="407" t="inlineStr">
        <is>
          <t>Actual</t>
        </is>
      </c>
      <c r="F947" s="605" t="inlineStr">
        <is>
          <t>1215 S PEARL                ST</t>
        </is>
      </c>
      <c r="G947" s="392" t="n">
        <v>44.1</v>
      </c>
      <c r="H947" s="378" t="n">
        <v>9509</v>
      </c>
      <c r="I947" s="403" t="n">
        <v>0</v>
      </c>
      <c r="J947" s="404" t="n">
        <v>5974</v>
      </c>
      <c r="K947" s="408" t="n">
        <v>5.15567458988952</v>
      </c>
      <c r="L947" s="409" t="n">
        <v>0</v>
      </c>
      <c r="M947" s="409" t="n">
        <v>0.186785714285714</v>
      </c>
      <c r="N947" s="378" t="n">
        <v>1919</v>
      </c>
      <c r="O947" s="393" t="n">
        <v>1720</v>
      </c>
      <c r="Q947" s="605" t="n">
        <v>13</v>
      </c>
      <c r="R947" s="605" t="n">
        <v>1</v>
      </c>
      <c r="S947" s="605" t="n">
        <v>1</v>
      </c>
      <c r="T947" s="403" t="inlineStr">
        <is>
          <t xml:space="preserve">B4   </t>
        </is>
      </c>
      <c r="U947" s="403" t="n">
        <v>398</v>
      </c>
      <c r="V947" s="404" t="n">
        <v>10300</v>
      </c>
      <c r="W947" s="404" t="n">
        <v>10000</v>
      </c>
      <c r="X947" s="410" t="inlineStr">
        <is>
          <t>1.7:1</t>
        </is>
      </c>
      <c r="Y947" s="404">
        <f>ROUND(J947,-3)</f>
        <v/>
      </c>
      <c r="Z947" s="403" t="inlineStr">
        <is>
          <t xml:space="preserve">C </t>
        </is>
      </c>
      <c r="AA947" s="605" t="n">
        <v>3</v>
      </c>
      <c r="AB947" s="605" t="n">
        <v>3</v>
      </c>
      <c r="AC947" s="378" t="inlineStr">
        <is>
          <t>33</t>
        </is>
      </c>
      <c r="AD947" s="384" t="inlineStr">
        <is>
          <t>SYNERGY COMMUNICATIN</t>
        </is>
      </c>
      <c r="AE947" s="145" t="n"/>
      <c r="AF947" s="145" t="n"/>
      <c r="AG947" s="145" t="n"/>
      <c r="AH947" s="145" t="n"/>
      <c r="AI947" s="145" t="n"/>
      <c r="AJ947" s="145" t="n"/>
      <c r="AK947" s="145" t="inlineStr">
        <is>
          <t xml:space="preserve">M-T WHSE; 4 TENANTS; LEASES 2005 &amp; 2006.                          </t>
        </is>
      </c>
      <c r="AL947" s="605">
        <f>IF(AND(ISNUMBER($S947),$S947&gt;0,ISNUMBER($K947),ISNUMBER($J947)),($K947*$J947)/$S947,"")</f>
        <v/>
      </c>
    </row>
    <row r="948" ht="12.75" customHeight="1" s="545">
      <c r="A948" s="388" t="n">
        <v>8</v>
      </c>
      <c r="B948" s="605" t="n">
        <v>940</v>
      </c>
      <c r="C948" s="384" t="inlineStr">
        <is>
          <t>2009Q</t>
        </is>
      </c>
      <c r="D948" s="605" t="inlineStr">
        <is>
          <t xml:space="preserve">05221-15-013-000 </t>
        </is>
      </c>
      <c r="E948" s="407" t="inlineStr">
        <is>
          <t>Actual</t>
        </is>
      </c>
      <c r="F948" s="605" t="inlineStr">
        <is>
          <t>666   BUCHTEL              BV</t>
        </is>
      </c>
      <c r="G948" s="392" t="n">
        <v>44.2</v>
      </c>
      <c r="H948" s="378" t="n">
        <v>9509</v>
      </c>
      <c r="I948" s="403" t="n">
        <v>0</v>
      </c>
      <c r="J948" s="404" t="n">
        <v>8845</v>
      </c>
      <c r="K948" s="408" t="n">
        <v>6.78349349915206</v>
      </c>
      <c r="L948" s="409" t="n">
        <v>0</v>
      </c>
      <c r="M948" s="409" t="n">
        <v>0.06953333333333329</v>
      </c>
      <c r="N948" s="378" t="n">
        <v>1957</v>
      </c>
      <c r="O948" s="393" t="n">
        <v>576</v>
      </c>
      <c r="Q948" s="605" t="n">
        <v>20</v>
      </c>
      <c r="R948" s="605" t="n">
        <v>3</v>
      </c>
      <c r="S948" s="605" t="n">
        <v>1</v>
      </c>
      <c r="T948" s="403" t="inlineStr">
        <is>
          <t xml:space="preserve">B4   </t>
        </is>
      </c>
      <c r="U948" s="403" t="n">
        <v>398</v>
      </c>
      <c r="V948" s="404" t="n">
        <v>14300</v>
      </c>
      <c r="W948" s="404" t="n">
        <v>14000</v>
      </c>
      <c r="X948" s="410" t="inlineStr">
        <is>
          <t>1.6:1</t>
        </is>
      </c>
      <c r="Y948" s="404">
        <f>ROUND(J948,-3)</f>
        <v/>
      </c>
      <c r="Z948" s="403" t="inlineStr">
        <is>
          <t xml:space="preserve">C </t>
        </is>
      </c>
      <c r="AA948" s="605" t="n">
        <v>3</v>
      </c>
      <c r="AB948" s="605" t="n">
        <v>3</v>
      </c>
      <c r="AC948" s="378" t="inlineStr">
        <is>
          <t>33</t>
        </is>
      </c>
      <c r="AD948" s="384" t="inlineStr">
        <is>
          <t>ARTISANS STAIN GLASS</t>
        </is>
      </c>
      <c r="AE948" s="145" t="n"/>
      <c r="AF948" s="145" t="n"/>
      <c r="AG948" s="145" t="n"/>
      <c r="AH948" s="145" t="n"/>
      <c r="AI948" s="145" t="n"/>
      <c r="AJ948" s="145" t="n"/>
      <c r="AK948" s="145" t="inlineStr">
        <is>
          <t xml:space="preserve">S-T WHSE.                                                         </t>
        </is>
      </c>
      <c r="AL948" s="605">
        <f>IF(AND(ISNUMBER($S948),$S948&gt;0,ISNUMBER($K948),ISNUMBER($J948)),($K948*$J948)/$S948,"")</f>
        <v/>
      </c>
    </row>
    <row r="949" ht="12.75" customHeight="1" s="545">
      <c r="A949" s="388" t="n">
        <v>8</v>
      </c>
      <c r="B949" s="605" t="n">
        <v>941</v>
      </c>
      <c r="C949" s="384" t="inlineStr">
        <is>
          <t>2009Q</t>
        </is>
      </c>
      <c r="D949" s="605" t="inlineStr">
        <is>
          <t xml:space="preserve">05222-03-006-000 </t>
        </is>
      </c>
      <c r="E949" s="407" t="inlineStr">
        <is>
          <t>Actual</t>
        </is>
      </c>
      <c r="F949" s="605" t="inlineStr">
        <is>
          <t>1265 S BROADWAY             ST</t>
        </is>
      </c>
      <c r="G949" s="392" t="n">
        <v>47.1</v>
      </c>
      <c r="H949" s="378" t="n">
        <v>9506</v>
      </c>
      <c r="I949" s="403" t="n">
        <v>2</v>
      </c>
      <c r="J949" s="404" t="n">
        <v>43525</v>
      </c>
      <c r="K949" s="408" t="n">
        <v>3.91407237219989</v>
      </c>
      <c r="L949" s="409" t="n">
        <v>0</v>
      </c>
      <c r="M949" s="409" t="n">
        <v>0</v>
      </c>
      <c r="N949" s="378" t="n">
        <v>1975</v>
      </c>
      <c r="P949" s="393" t="n">
        <v>8745</v>
      </c>
      <c r="Q949" s="605" t="n">
        <v>20</v>
      </c>
      <c r="R949" s="605" t="n">
        <v>10</v>
      </c>
      <c r="S949" s="605" t="n">
        <v>1</v>
      </c>
      <c r="T949" s="403" t="inlineStr">
        <is>
          <t xml:space="preserve">I1   </t>
        </is>
      </c>
      <c r="U949" s="403" t="n">
        <v>401</v>
      </c>
      <c r="V949" s="404" t="n">
        <v>90659</v>
      </c>
      <c r="W949" s="404" t="n">
        <v>90000</v>
      </c>
      <c r="X949" s="410" t="inlineStr">
        <is>
          <t>2.1:1</t>
        </is>
      </c>
      <c r="Y949" s="404">
        <f>ROUND(J949,-3)</f>
        <v/>
      </c>
      <c r="Z949" s="403" t="inlineStr">
        <is>
          <t xml:space="preserve">C </t>
        </is>
      </c>
      <c r="AA949" s="605" t="n">
        <v>3</v>
      </c>
      <c r="AB949" s="605" t="n">
        <v>3</v>
      </c>
      <c r="AC949" s="378" t="inlineStr">
        <is>
          <t>33</t>
        </is>
      </c>
      <c r="AD949" s="384" t="n"/>
      <c r="AE949" s="145" t="n"/>
      <c r="AF949" s="145" t="n"/>
      <c r="AG949" s="145" t="n"/>
      <c r="AH949" s="145" t="n"/>
      <c r="AI949" s="145" t="n"/>
      <c r="AJ949" s="145" t="n"/>
      <c r="AK949" s="145" t="inlineStr">
        <is>
          <t xml:space="preserve">S-T WHSE.                                                         </t>
        </is>
      </c>
      <c r="AL949" s="605">
        <f>IF(AND(ISNUMBER($S949),$S949&gt;0,ISNUMBER($K949),ISNUMBER($J949)),($K949*$J949)/$S949,"")</f>
        <v/>
      </c>
    </row>
    <row r="950" ht="12.75" customHeight="1" s="545">
      <c r="A950" s="388" t="n">
        <v>8</v>
      </c>
      <c r="B950" s="605" t="n">
        <v>942</v>
      </c>
      <c r="C950" s="384" t="inlineStr">
        <is>
          <t>2009W</t>
        </is>
      </c>
      <c r="D950" s="605" t="inlineStr">
        <is>
          <t>05223-02-039-000</t>
        </is>
      </c>
      <c r="E950" s="403" t="inlineStr">
        <is>
          <t>Actual</t>
        </is>
      </c>
      <c r="F950" s="605" t="inlineStr">
        <is>
          <t>1191-97 S. Bannock St.</t>
        </is>
      </c>
      <c r="G950" s="392" t="n">
        <v>44.2</v>
      </c>
      <c r="H950" s="605" t="n">
        <v>9506</v>
      </c>
      <c r="I950" s="403" t="n">
        <v>0</v>
      </c>
      <c r="J950" s="404" t="n">
        <v>7826</v>
      </c>
      <c r="K950" s="408" t="n">
        <v>6.51</v>
      </c>
      <c r="L950" s="153" t="n">
        <v>0</v>
      </c>
      <c r="M950" s="153" t="n">
        <v>0.06</v>
      </c>
      <c r="N950" s="605" t="n">
        <v>1979</v>
      </c>
      <c r="O950" s="404" t="n">
        <v>812</v>
      </c>
      <c r="P950" s="404" t="n">
        <v>0</v>
      </c>
      <c r="Q950" s="605" t="n">
        <v>15</v>
      </c>
      <c r="R950" s="605" t="n">
        <v>3</v>
      </c>
      <c r="S950" s="605" t="n">
        <v>4</v>
      </c>
      <c r="T950" s="403" t="inlineStr">
        <is>
          <t>I1</t>
        </is>
      </c>
      <c r="U950" s="403" t="n">
        <v>398</v>
      </c>
      <c r="V950" s="404" t="n">
        <v>12500</v>
      </c>
      <c r="W950" s="404" t="n">
        <v>12000</v>
      </c>
      <c r="X950" s="410">
        <f>FIXED(ROUND(W950/Y950,1),1,TRUE())&amp;":1"</f>
        <v/>
      </c>
      <c r="Y950" s="404" t="n">
        <v>8000</v>
      </c>
      <c r="Z950" s="403" t="inlineStr">
        <is>
          <t>C</t>
        </is>
      </c>
      <c r="AA950" s="605" t="n">
        <v>3</v>
      </c>
      <c r="AB950" s="605" t="n">
        <v>3</v>
      </c>
      <c r="AC950" s="605" t="n">
        <v>33</v>
      </c>
      <c r="AE950" s="377" t="n">
        <v>6.51</v>
      </c>
      <c r="AF950" s="413" t="n">
        <v>6.51</v>
      </c>
      <c r="AG950" s="413" t="n">
        <v>6.14</v>
      </c>
      <c r="AH950" s="413" t="n">
        <v>0.37</v>
      </c>
      <c r="AI950" s="413" t="n">
        <v>0</v>
      </c>
      <c r="AJ950" s="377" t="inlineStr">
        <is>
          <t>$                 -</t>
        </is>
      </c>
      <c r="AK950" s="605" t="inlineStr">
        <is>
          <t>4 Tenant Warehouse.</t>
        </is>
      </c>
      <c r="AN950" s="145" t="n"/>
      <c r="AO950" s="145" t="n"/>
      <c r="AP950" s="145" t="n"/>
    </row>
    <row r="951" ht="12.75" customHeight="1" s="545">
      <c r="A951" s="388" t="n">
        <v>8</v>
      </c>
      <c r="B951" s="605" t="n">
        <v>943</v>
      </c>
      <c r="C951" s="384" t="inlineStr">
        <is>
          <t>2009Q</t>
        </is>
      </c>
      <c r="D951" s="605" t="inlineStr">
        <is>
          <t xml:space="preserve">05223-02-040-000 </t>
        </is>
      </c>
      <c r="E951" s="407" t="inlineStr">
        <is>
          <t>Actual</t>
        </is>
      </c>
      <c r="F951" s="605" t="inlineStr">
        <is>
          <t>1157 S BANNOCK              ST</t>
        </is>
      </c>
      <c r="G951" s="392" t="n">
        <v>44.2</v>
      </c>
      <c r="H951" s="378" t="n">
        <v>9506</v>
      </c>
      <c r="I951" s="403" t="n">
        <v>0</v>
      </c>
      <c r="J951" s="404" t="n">
        <v>5105</v>
      </c>
      <c r="K951" s="408" t="n">
        <v>31.7335945151812</v>
      </c>
      <c r="L951" s="409" t="n">
        <v>0</v>
      </c>
      <c r="M951" s="409" t="n">
        <v>0</v>
      </c>
      <c r="N951" s="378" t="n">
        <v>1980</v>
      </c>
      <c r="O951" s="393" t="n">
        <v>1674</v>
      </c>
      <c r="Q951" s="605" t="n">
        <v>14</v>
      </c>
      <c r="R951" s="605" t="n">
        <v>1</v>
      </c>
      <c r="S951" s="605" t="n">
        <v>1</v>
      </c>
      <c r="T951" s="403" t="inlineStr">
        <is>
          <t xml:space="preserve">I1   </t>
        </is>
      </c>
      <c r="U951" s="403" t="n">
        <v>398</v>
      </c>
      <c r="V951" s="404" t="n">
        <v>15627</v>
      </c>
      <c r="W951" s="404" t="n">
        <v>16000</v>
      </c>
      <c r="X951" s="410" t="inlineStr">
        <is>
          <t>3.1:1</t>
        </is>
      </c>
      <c r="Y951" s="404">
        <f>ROUND(J951,-3)</f>
        <v/>
      </c>
      <c r="Z951" s="403" t="inlineStr">
        <is>
          <t xml:space="preserve">C </t>
        </is>
      </c>
      <c r="AA951" s="605" t="n">
        <v>3</v>
      </c>
      <c r="AB951" s="605" t="n">
        <v>3</v>
      </c>
      <c r="AC951" s="378" t="inlineStr">
        <is>
          <t>33</t>
        </is>
      </c>
      <c r="AD951" s="384" t="inlineStr">
        <is>
          <t xml:space="preserve">DIAMOND DRILLING    </t>
        </is>
      </c>
      <c r="AE951" s="145" t="n"/>
      <c r="AF951" s="145" t="n"/>
      <c r="AG951" s="145" t="n"/>
      <c r="AH951" s="145" t="n"/>
      <c r="AI951" s="145" t="n"/>
      <c r="AJ951" s="145" t="n"/>
      <c r="AK951" s="145" t="inlineStr">
        <is>
          <t xml:space="preserve">S-T WHSE.                                                         </t>
        </is>
      </c>
      <c r="AL951" s="605">
        <f>IF(AND(ISNUMBER($S951),$S951&gt;0,ISNUMBER($K951),ISNUMBER($J951)),($K951*$J951)/$S951,"")</f>
        <v/>
      </c>
    </row>
    <row r="952" ht="12.75" customHeight="1" s="545">
      <c r="A952" s="388" t="n">
        <v>8</v>
      </c>
      <c r="B952" s="605" t="n">
        <v>944</v>
      </c>
      <c r="C952" s="384" t="inlineStr">
        <is>
          <t>2009Q</t>
        </is>
      </c>
      <c r="D952" s="605" t="inlineStr">
        <is>
          <t xml:space="preserve">05223-03-004-000 </t>
        </is>
      </c>
      <c r="E952" s="407" t="inlineStr">
        <is>
          <t>Actual</t>
        </is>
      </c>
      <c r="F952" s="605" t="inlineStr">
        <is>
          <t>1185 S CHEROKEE             ST</t>
        </is>
      </c>
      <c r="G952" s="392" t="n">
        <v>44.1</v>
      </c>
      <c r="H952" s="378" t="n">
        <v>9506</v>
      </c>
      <c r="I952" s="403" t="n">
        <v>0</v>
      </c>
      <c r="J952" s="404" t="n">
        <v>6162</v>
      </c>
      <c r="K952" s="408" t="n">
        <v>6.03700097370983</v>
      </c>
      <c r="L952" s="409" t="n">
        <v>0</v>
      </c>
      <c r="M952" s="409" t="n">
        <v>0</v>
      </c>
      <c r="N952" s="378" t="n">
        <v>1959</v>
      </c>
      <c r="O952" s="404" t="n">
        <v>792</v>
      </c>
      <c r="P952" s="404" t="n"/>
      <c r="Q952" s="605" t="n">
        <v>13</v>
      </c>
      <c r="R952" s="605" t="n">
        <v>3</v>
      </c>
      <c r="S952" s="605" t="n">
        <v>1</v>
      </c>
      <c r="T952" s="403" t="inlineStr">
        <is>
          <t xml:space="preserve">I1   </t>
        </is>
      </c>
      <c r="U952" s="403" t="n">
        <v>332</v>
      </c>
      <c r="V952" s="404" t="n">
        <v>9370</v>
      </c>
      <c r="W952" s="404" t="n">
        <v>9000</v>
      </c>
      <c r="X952" s="410" t="inlineStr">
        <is>
          <t>1.5:1</t>
        </is>
      </c>
      <c r="Y952" s="404">
        <f>ROUND(J952,-3)</f>
        <v/>
      </c>
      <c r="Z952" s="403" t="inlineStr">
        <is>
          <t xml:space="preserve">C </t>
        </is>
      </c>
      <c r="AA952" s="605" t="n">
        <v>3</v>
      </c>
      <c r="AB952" s="605" t="n">
        <v>3</v>
      </c>
      <c r="AC952" s="378" t="n">
        <v>33</v>
      </c>
      <c r="AD952" s="384" t="n"/>
      <c r="AE952" s="145" t="n"/>
      <c r="AF952" s="145" t="n"/>
      <c r="AG952" s="145" t="n"/>
      <c r="AH952" s="145" t="n"/>
      <c r="AI952" s="145" t="n"/>
      <c r="AJ952" s="145" t="n"/>
      <c r="AK952" s="145" t="inlineStr">
        <is>
          <t xml:space="preserve">TENANT PAYS $9,300 IN TOTAL EXPENSES                              </t>
        </is>
      </c>
      <c r="AL952" s="605">
        <f>IF(AND(ISNUMBER($S952),$S952&gt;0,ISNUMBER($K952),ISNUMBER($J952)),($K952*$J952)/$S952,"")</f>
        <v/>
      </c>
    </row>
    <row r="953" ht="12.75" customHeight="1" s="545">
      <c r="A953" s="388" t="n">
        <v>8</v>
      </c>
      <c r="B953" s="605" t="n">
        <v>945</v>
      </c>
      <c r="C953" s="384" t="inlineStr">
        <is>
          <t>2009Q</t>
        </is>
      </c>
      <c r="D953" s="605" t="inlineStr">
        <is>
          <t xml:space="preserve">05223-06-007-000 </t>
        </is>
      </c>
      <c r="E953" s="407" t="inlineStr">
        <is>
          <t>Actual</t>
        </is>
      </c>
      <c r="F953" s="605" t="inlineStr">
        <is>
          <t>1257 S BANNOCK              ST</t>
        </is>
      </c>
      <c r="G953" s="392" t="n">
        <v>44.2</v>
      </c>
      <c r="H953" s="378" t="n">
        <v>9506</v>
      </c>
      <c r="I953" s="403" t="n">
        <v>0</v>
      </c>
      <c r="J953" s="404" t="n">
        <v>2156</v>
      </c>
      <c r="K953" s="408" t="n">
        <v>9.18367346938776</v>
      </c>
      <c r="L953" s="409" t="n">
        <v>0</v>
      </c>
      <c r="M953" s="409" t="n">
        <v>0.06702020202020199</v>
      </c>
      <c r="N953" s="378" t="n">
        <v>1957</v>
      </c>
      <c r="Q953" s="605" t="n">
        <v>12</v>
      </c>
      <c r="R953" s="605" t="n">
        <v>3</v>
      </c>
      <c r="S953" s="605" t="n">
        <v>1</v>
      </c>
      <c r="T953" s="403" t="inlineStr">
        <is>
          <t xml:space="preserve">I1   </t>
        </is>
      </c>
      <c r="U953" s="403" t="n">
        <v>398</v>
      </c>
      <c r="V953" s="404" t="n">
        <v>9370</v>
      </c>
      <c r="W953" s="404" t="n">
        <v>9000</v>
      </c>
      <c r="X953" s="410" t="inlineStr">
        <is>
          <t>4.3:1</t>
        </is>
      </c>
      <c r="Y953" s="404">
        <f>ROUND(J953,-3)</f>
        <v/>
      </c>
      <c r="Z953" s="403" t="inlineStr">
        <is>
          <t xml:space="preserve">C </t>
        </is>
      </c>
      <c r="AA953" s="605" t="n">
        <v>3</v>
      </c>
      <c r="AB953" s="605" t="n">
        <v>3</v>
      </c>
      <c r="AC953" s="378" t="inlineStr">
        <is>
          <t>33</t>
        </is>
      </c>
      <c r="AD953" s="384" t="n"/>
      <c r="AE953" s="145" t="n"/>
      <c r="AF953" s="145" t="n"/>
      <c r="AG953" s="145" t="n"/>
      <c r="AH953" s="145" t="n"/>
      <c r="AI953" s="145" t="n"/>
      <c r="AJ953" s="145" t="n"/>
      <c r="AK953" s="145" t="inlineStr">
        <is>
          <t xml:space="preserve">S-T WHSE                                                          </t>
        </is>
      </c>
      <c r="AL953" s="605">
        <f>IF(AND(ISNUMBER($S953),$S953&gt;0,ISNUMBER($K953),ISNUMBER($J953)),($K953*$J953)/$S953,"")</f>
        <v/>
      </c>
    </row>
    <row r="954" ht="12.75" customHeight="1" s="545">
      <c r="A954" s="388" t="n">
        <v>8</v>
      </c>
      <c r="B954" s="605" t="n">
        <v>946</v>
      </c>
      <c r="C954" s="384" t="inlineStr">
        <is>
          <t>2009Q</t>
        </is>
      </c>
      <c r="D954" s="605" t="inlineStr">
        <is>
          <t xml:space="preserve">05223-07-017-000 </t>
        </is>
      </c>
      <c r="E954" s="407" t="inlineStr">
        <is>
          <t>Actual</t>
        </is>
      </c>
      <c r="F954" s="605" t="inlineStr">
        <is>
          <t>1220 S BANNOCK              ST</t>
        </is>
      </c>
      <c r="G954" s="392" t="n">
        <v>47.1</v>
      </c>
      <c r="H954" s="378" t="n">
        <v>9506</v>
      </c>
      <c r="I954" s="403" t="n">
        <v>0</v>
      </c>
      <c r="J954" s="404" t="n">
        <v>6800</v>
      </c>
      <c r="K954" s="408" t="n">
        <v>6</v>
      </c>
      <c r="L954" s="409" t="n">
        <v>0</v>
      </c>
      <c r="M954" s="409" t="n">
        <v>0.0910539215686275</v>
      </c>
      <c r="N954" s="378" t="n">
        <v>1967</v>
      </c>
      <c r="O954" s="393" t="n">
        <v>2000</v>
      </c>
      <c r="Q954" s="605" t="n">
        <v>16</v>
      </c>
      <c r="R954" s="605" t="n">
        <v>1</v>
      </c>
      <c r="S954" s="605" t="n">
        <v>1</v>
      </c>
      <c r="T954" s="403" t="inlineStr">
        <is>
          <t xml:space="preserve">I1   </t>
        </is>
      </c>
      <c r="U954" s="403" t="n">
        <v>401</v>
      </c>
      <c r="V954" s="404" t="n">
        <v>11800</v>
      </c>
      <c r="W954" s="404" t="n">
        <v>12000</v>
      </c>
      <c r="X954" s="410" t="inlineStr">
        <is>
          <t>1.4:1</t>
        </is>
      </c>
      <c r="Y954" s="404">
        <f>ROUND(J954,-3)</f>
        <v/>
      </c>
      <c r="Z954" s="403" t="inlineStr">
        <is>
          <t xml:space="preserve">C </t>
        </is>
      </c>
      <c r="AA954" s="605" t="n">
        <v>3</v>
      </c>
      <c r="AB954" s="605" t="n">
        <v>3</v>
      </c>
      <c r="AC954" s="378" t="inlineStr">
        <is>
          <t>33</t>
        </is>
      </c>
      <c r="AD954" s="384" t="n"/>
      <c r="AE954" s="145" t="n"/>
      <c r="AF954" s="145" t="n"/>
      <c r="AG954" s="145" t="n"/>
      <c r="AH954" s="145" t="n"/>
      <c r="AI954" s="145" t="n"/>
      <c r="AJ954" s="145" t="n"/>
      <c r="AK954" s="145" t="inlineStr">
        <is>
          <t xml:space="preserve">M-T WHSE.; 4 TENANTS                                              </t>
        </is>
      </c>
      <c r="AL954" s="605">
        <f>IF(AND(ISNUMBER($S954),$S954&gt;0,ISNUMBER($K954),ISNUMBER($J954)),($K954*$J954)/$S954,"")</f>
        <v/>
      </c>
    </row>
    <row r="955" ht="12.75" customHeight="1" s="545">
      <c r="A955" s="388" t="n">
        <v>8</v>
      </c>
      <c r="B955" s="605" t="n">
        <v>947</v>
      </c>
      <c r="C955" s="384" t="inlineStr">
        <is>
          <t>2009Q</t>
        </is>
      </c>
      <c r="D955" s="605" t="inlineStr">
        <is>
          <t xml:space="preserve">05223-07-018-000 </t>
        </is>
      </c>
      <c r="E955" s="407" t="inlineStr">
        <is>
          <t>Actual</t>
        </is>
      </c>
      <c r="F955" s="605" t="inlineStr">
        <is>
          <t>1240 S BANNOCK              ST</t>
        </is>
      </c>
      <c r="G955" s="392" t="n">
        <v>47.2</v>
      </c>
      <c r="H955" s="378" t="n">
        <v>9506</v>
      </c>
      <c r="I955" s="403" t="n">
        <v>0</v>
      </c>
      <c r="J955" s="404" t="n">
        <v>7720</v>
      </c>
      <c r="K955" s="408" t="n">
        <v>3.32953367875648</v>
      </c>
      <c r="L955" s="409" t="n">
        <v>0</v>
      </c>
      <c r="M955" s="409" t="n">
        <v>0.127023031434796</v>
      </c>
      <c r="N955" s="378" t="n">
        <v>1967</v>
      </c>
      <c r="O955" s="393" t="n">
        <v>1068</v>
      </c>
      <c r="P955" s="393" t="n">
        <v>1005</v>
      </c>
      <c r="Q955" s="605" t="n">
        <v>13</v>
      </c>
      <c r="R955" s="605" t="n">
        <v>1</v>
      </c>
      <c r="S955" s="605" t="n">
        <v>1</v>
      </c>
      <c r="T955" s="403" t="inlineStr">
        <is>
          <t xml:space="preserve">I1   </t>
        </is>
      </c>
      <c r="U955" s="403" t="n">
        <v>401</v>
      </c>
      <c r="V955" s="404" t="n">
        <v>12063</v>
      </c>
      <c r="W955" s="404" t="n">
        <v>12000</v>
      </c>
      <c r="X955" s="410" t="inlineStr">
        <is>
          <t>1.6:1</t>
        </is>
      </c>
      <c r="Y955" s="404">
        <f>ROUND(J955,-3)</f>
        <v/>
      </c>
      <c r="Z955" s="403" t="inlineStr">
        <is>
          <t xml:space="preserve">C </t>
        </is>
      </c>
      <c r="AA955" s="605" t="n">
        <v>3</v>
      </c>
      <c r="AB955" s="605" t="n">
        <v>3</v>
      </c>
      <c r="AC955" s="378" t="inlineStr">
        <is>
          <t>33</t>
        </is>
      </c>
      <c r="AD955" s="384" t="n"/>
      <c r="AE955" s="145" t="n"/>
      <c r="AF955" s="145" t="n"/>
      <c r="AG955" s="145" t="n"/>
      <c r="AH955" s="145" t="n"/>
      <c r="AI955" s="145" t="n"/>
      <c r="AJ955" s="145" t="n"/>
      <c r="AK955" s="145" t="inlineStr">
        <is>
          <t xml:space="preserve">S-T INDUSTRIAL BLDG.; 2006 LEASE.                                 </t>
        </is>
      </c>
      <c r="AL955" s="605">
        <f>IF(AND(ISNUMBER($S955),$S955&gt;0,ISNUMBER($K955),ISNUMBER($J955)),($K955*$J955)/$S955,"")</f>
        <v/>
      </c>
    </row>
    <row r="956" ht="12.75" customHeight="1" s="545">
      <c r="A956" s="388" t="n">
        <v>8</v>
      </c>
      <c r="B956" s="605" t="n">
        <v>948</v>
      </c>
      <c r="C956" s="384" t="inlineStr">
        <is>
          <t>2009Q</t>
        </is>
      </c>
      <c r="D956" s="605" t="inlineStr">
        <is>
          <t xml:space="preserve">05223-10-015-000 </t>
        </is>
      </c>
      <c r="E956" s="407" t="inlineStr">
        <is>
          <t>Actual</t>
        </is>
      </c>
      <c r="F956" s="605" t="inlineStr">
        <is>
          <t>1439 S BANNOCK              ST</t>
        </is>
      </c>
      <c r="G956" s="392" t="n">
        <v>44.2</v>
      </c>
      <c r="H956" s="378" t="n">
        <v>9506</v>
      </c>
      <c r="I956" s="403" t="n">
        <v>0</v>
      </c>
      <c r="J956" s="404" t="n">
        <v>5048</v>
      </c>
      <c r="K956" s="408" t="n">
        <v>2.85261489698891</v>
      </c>
      <c r="L956" s="409" t="n">
        <v>0</v>
      </c>
      <c r="M956" s="409" t="n">
        <v>0.0608333333333333</v>
      </c>
      <c r="N956" s="378" t="n">
        <v>1945</v>
      </c>
      <c r="O956" s="393" t="n">
        <v>293</v>
      </c>
      <c r="Q956" s="605" t="n">
        <v>13</v>
      </c>
      <c r="R956" s="605" t="n">
        <v>3</v>
      </c>
      <c r="S956" s="605" t="n">
        <v>1</v>
      </c>
      <c r="T956" s="403" t="inlineStr">
        <is>
          <t xml:space="preserve">I1   </t>
        </is>
      </c>
      <c r="U956" s="403" t="n">
        <v>398</v>
      </c>
      <c r="V956" s="404" t="n">
        <v>7620</v>
      </c>
      <c r="W956" s="404" t="n">
        <v>8000</v>
      </c>
      <c r="X956" s="410" t="inlineStr">
        <is>
          <t>1.5:1</t>
        </is>
      </c>
      <c r="Y956" s="404">
        <f>ROUND(J956,-3)</f>
        <v/>
      </c>
      <c r="Z956" s="403" t="inlineStr">
        <is>
          <t xml:space="preserve">C </t>
        </is>
      </c>
      <c r="AA956" s="605" t="n">
        <v>2</v>
      </c>
      <c r="AB956" s="605" t="n">
        <v>1</v>
      </c>
      <c r="AC956" s="378" t="inlineStr">
        <is>
          <t>21</t>
        </is>
      </c>
      <c r="AD956" s="384" t="n"/>
      <c r="AE956" s="145" t="n"/>
      <c r="AF956" s="145" t="n"/>
      <c r="AG956" s="145" t="n"/>
      <c r="AH956" s="145" t="n"/>
      <c r="AI956" s="145" t="n"/>
      <c r="AJ956" s="145" t="n"/>
      <c r="AK956" s="145" t="inlineStr">
        <is>
          <t xml:space="preserve">S-T WHSE.; MO-TO-MO LEASES                                        </t>
        </is>
      </c>
      <c r="AL956" s="605">
        <f>IF(AND(ISNUMBER($S956),$S956&gt;0,ISNUMBER($K956),ISNUMBER($J956)),($K956*$J956)/$S956,"")</f>
        <v/>
      </c>
    </row>
    <row r="957" ht="12.75" customHeight="1" s="545">
      <c r="A957" s="388" t="n">
        <v>8</v>
      </c>
      <c r="B957" s="605" t="n">
        <v>949</v>
      </c>
      <c r="C957" s="384" t="inlineStr">
        <is>
          <t>2009Q</t>
        </is>
      </c>
      <c r="D957" s="605" t="inlineStr">
        <is>
          <t xml:space="preserve">05223-10-030-000 </t>
        </is>
      </c>
      <c r="E957" s="407" t="inlineStr">
        <is>
          <t>Actual</t>
        </is>
      </c>
      <c r="F957" s="605" t="inlineStr">
        <is>
          <t>200 W LOUISIANA            AV</t>
        </is>
      </c>
      <c r="G957" s="392" t="n">
        <v>44.2</v>
      </c>
      <c r="H957" s="378" t="n">
        <v>9506</v>
      </c>
      <c r="I957" s="403" t="n">
        <v>0</v>
      </c>
      <c r="J957" s="404" t="n">
        <v>9984</v>
      </c>
      <c r="K957" s="408" t="n">
        <v>7.21153846153846</v>
      </c>
      <c r="L957" s="409" t="n">
        <v>0</v>
      </c>
      <c r="M957" s="409" t="n">
        <v>0.0138888888888889</v>
      </c>
      <c r="N957" s="378" t="n">
        <v>1995</v>
      </c>
      <c r="O957" s="393">
        <f>1650+1398</f>
        <v/>
      </c>
      <c r="Q957" s="605" t="n">
        <v>20</v>
      </c>
      <c r="R957" s="605" t="n">
        <v>3</v>
      </c>
      <c r="S957" s="605" t="n">
        <v>1</v>
      </c>
      <c r="T957" s="403" t="inlineStr">
        <is>
          <t xml:space="preserve">I2   </t>
        </is>
      </c>
      <c r="U957" s="403" t="n">
        <v>398</v>
      </c>
      <c r="V957" s="404" t="n">
        <v>16886</v>
      </c>
      <c r="W957" s="404" t="n">
        <v>17000</v>
      </c>
      <c r="X957" s="410" t="inlineStr">
        <is>
          <t>1.7:1</t>
        </is>
      </c>
      <c r="Y957" s="404">
        <f>ROUND(J957,-3)</f>
        <v/>
      </c>
      <c r="Z957" s="403" t="inlineStr">
        <is>
          <t xml:space="preserve">C </t>
        </is>
      </c>
      <c r="AA957" s="605" t="n">
        <v>3</v>
      </c>
      <c r="AB957" s="605" t="n">
        <v>3</v>
      </c>
      <c r="AC957" s="378" t="inlineStr">
        <is>
          <t>33</t>
        </is>
      </c>
      <c r="AD957" s="384" t="inlineStr">
        <is>
          <t xml:space="preserve">DIST WAREHOUSE      </t>
        </is>
      </c>
      <c r="AE957" s="145" t="n"/>
      <c r="AF957" s="145" t="n"/>
      <c r="AG957" s="145" t="n"/>
      <c r="AH957" s="145" t="n"/>
      <c r="AI957" s="145" t="n"/>
      <c r="AJ957" s="145" t="n"/>
      <c r="AK957" s="145" t="inlineStr">
        <is>
          <t xml:space="preserve">S-T WHSE.; 2005 LEASE.                                            </t>
        </is>
      </c>
      <c r="AL957" s="605">
        <f>IF(AND(ISNUMBER($S957),$S957&gt;0,ISNUMBER($K957),ISNUMBER($J957)),($K957*$J957)/$S957,"")</f>
        <v/>
      </c>
    </row>
    <row r="958" ht="12.75" customHeight="1" s="545">
      <c r="A958" s="388" t="n">
        <v>8</v>
      </c>
      <c r="B958" s="605" t="n">
        <v>950</v>
      </c>
      <c r="C958" s="384" t="inlineStr">
        <is>
          <t>2009Q</t>
        </is>
      </c>
      <c r="D958" s="605" t="inlineStr">
        <is>
          <t xml:space="preserve">05223-10-032-000 </t>
        </is>
      </c>
      <c r="E958" s="407" t="inlineStr">
        <is>
          <t>Actual</t>
        </is>
      </c>
      <c r="F958" s="605" t="inlineStr">
        <is>
          <t>1438 S CHEROKEE             ST</t>
        </is>
      </c>
      <c r="G958" s="392" t="n">
        <v>44.1</v>
      </c>
      <c r="H958" s="378" t="n">
        <v>9506</v>
      </c>
      <c r="I958" s="403" t="n">
        <v>0</v>
      </c>
      <c r="J958" s="404" t="n">
        <v>11667</v>
      </c>
      <c r="K958" s="408" t="n">
        <v>5.99982857632639</v>
      </c>
      <c r="L958" s="409" t="n">
        <v>0</v>
      </c>
      <c r="M958" s="409" t="n">
        <v>0</v>
      </c>
      <c r="N958" s="378" t="n">
        <v>1954</v>
      </c>
      <c r="O958" s="393" t="n">
        <v>1351</v>
      </c>
      <c r="Q958" s="605" t="n">
        <v>14</v>
      </c>
      <c r="R958" s="605" t="n">
        <v>3</v>
      </c>
      <c r="S958" s="605" t="n">
        <v>1</v>
      </c>
      <c r="T958" s="403" t="inlineStr">
        <is>
          <t xml:space="preserve">I1   </t>
        </is>
      </c>
      <c r="U958" s="403" t="n">
        <v>398</v>
      </c>
      <c r="V958" s="404" t="n">
        <v>13750</v>
      </c>
      <c r="W958" s="404" t="n">
        <v>14000</v>
      </c>
      <c r="X958" s="410" t="inlineStr">
        <is>
          <t>2.1:1</t>
        </is>
      </c>
      <c r="Y958" s="404">
        <f>ROUND(J958,-3)</f>
        <v/>
      </c>
      <c r="Z958" s="403" t="inlineStr">
        <is>
          <t xml:space="preserve">C </t>
        </is>
      </c>
      <c r="AA958" s="605" t="n">
        <v>3</v>
      </c>
      <c r="AB958" s="605" t="n">
        <v>3</v>
      </c>
      <c r="AC958" s="378" t="inlineStr">
        <is>
          <t>33</t>
        </is>
      </c>
      <c r="AD958" s="384" t="inlineStr">
        <is>
          <t xml:space="preserve">CYCLO               </t>
        </is>
      </c>
      <c r="AE958" s="145" t="n"/>
      <c r="AF958" s="145" t="n"/>
      <c r="AG958" s="145" t="n"/>
      <c r="AH958" s="145" t="n"/>
      <c r="AI958" s="145" t="n"/>
      <c r="AJ958" s="145" t="n"/>
      <c r="AK958" s="145" t="inlineStr">
        <is>
          <t xml:space="preserve">S-T WHSE.; 2006 LEASE?;MUST BE 2ND BLDG INVOLVED TO TOTAL 12230SF </t>
        </is>
      </c>
      <c r="AL958" s="605">
        <f>IF(AND(ISNUMBER($S958),$S958&gt;0,ISNUMBER($K958),ISNUMBER($J958)),($K958*$J958)/$S958,"")</f>
        <v/>
      </c>
    </row>
    <row r="959" ht="12.75" customHeight="1" s="545">
      <c r="A959" s="388" t="n">
        <v>8</v>
      </c>
      <c r="B959" s="605" t="n">
        <v>951</v>
      </c>
      <c r="C959" s="384" t="inlineStr">
        <is>
          <t>2009Q</t>
        </is>
      </c>
      <c r="D959" s="605" t="inlineStr">
        <is>
          <t xml:space="preserve">05223-10-033-000 </t>
        </is>
      </c>
      <c r="E959" s="407" t="inlineStr">
        <is>
          <t>Actual</t>
        </is>
      </c>
      <c r="F959" s="605" t="inlineStr">
        <is>
          <t>1468 S CHEROKEE             ST</t>
        </is>
      </c>
      <c r="G959" s="392" t="n">
        <v>44.2</v>
      </c>
      <c r="H959" s="378" t="n">
        <v>9506</v>
      </c>
      <c r="I959" s="403" t="n">
        <v>0</v>
      </c>
      <c r="J959" s="404" t="n">
        <v>3400</v>
      </c>
      <c r="K959" s="408" t="n">
        <v>7.05882352941176</v>
      </c>
      <c r="L959" s="409" t="n">
        <v>0</v>
      </c>
      <c r="M959" s="409" t="n">
        <v>0.0766666666666667</v>
      </c>
      <c r="N959" s="378" t="n">
        <v>1998</v>
      </c>
      <c r="O959" s="393">
        <f>207+450</f>
        <v/>
      </c>
      <c r="Q959" s="605" t="n">
        <v>15</v>
      </c>
      <c r="R959" s="605" t="n">
        <v>7</v>
      </c>
      <c r="S959" s="605" t="n">
        <v>3</v>
      </c>
      <c r="T959" s="403" t="inlineStr">
        <is>
          <t xml:space="preserve">I1   </t>
        </is>
      </c>
      <c r="U959" s="403" t="n">
        <v>398</v>
      </c>
      <c r="V959" s="404" t="n">
        <v>10950</v>
      </c>
      <c r="W959" s="404" t="n">
        <v>11000</v>
      </c>
      <c r="X959" s="410" t="inlineStr">
        <is>
          <t>2.4:1</t>
        </is>
      </c>
      <c r="Y959" s="404">
        <f>ROUND(J959,-3)</f>
        <v/>
      </c>
      <c r="Z959" s="403" t="inlineStr">
        <is>
          <t xml:space="preserve">C </t>
        </is>
      </c>
      <c r="AA959" s="605" t="n">
        <v>3</v>
      </c>
      <c r="AB959" s="605" t="n">
        <v>3</v>
      </c>
      <c r="AC959" s="378" t="inlineStr">
        <is>
          <t>33</t>
        </is>
      </c>
      <c r="AD959" s="384" t="inlineStr">
        <is>
          <t xml:space="preserve">M-WHSE              </t>
        </is>
      </c>
      <c r="AE959" s="145" t="n"/>
      <c r="AF959" s="145" t="n"/>
      <c r="AG959" s="145" t="n"/>
      <c r="AH959" s="145" t="n"/>
      <c r="AI959" s="145" t="n"/>
      <c r="AJ959" s="145" t="n"/>
      <c r="AK959" s="145" t="inlineStr">
        <is>
          <t xml:space="preserve">M-T WHSE; 2 TENANTS; ONLY FIGURES FOR RENTED AREA SHOWN           </t>
        </is>
      </c>
      <c r="AL959" s="605">
        <f>IF(AND(ISNUMBER($S959),$S959&gt;0,ISNUMBER($K959),ISNUMBER($J959)),($K959*$J959)/$S959,"")</f>
        <v/>
      </c>
    </row>
    <row r="960" ht="12.75" customHeight="1" s="545">
      <c r="A960" s="388" t="n">
        <v>8</v>
      </c>
      <c r="B960" s="605" t="n">
        <v>952</v>
      </c>
      <c r="C960" s="384" t="inlineStr">
        <is>
          <t>2009Q</t>
        </is>
      </c>
      <c r="D960" s="605" t="inlineStr">
        <is>
          <t xml:space="preserve">05226-01-002-000 </t>
        </is>
      </c>
      <c r="E960" s="407" t="inlineStr">
        <is>
          <t>Actual</t>
        </is>
      </c>
      <c r="F960" s="605" t="inlineStr">
        <is>
          <t>1510 S ACOMA                ST</t>
        </is>
      </c>
      <c r="G960" s="392" t="n">
        <v>44.2</v>
      </c>
      <c r="H960" s="378" t="n">
        <v>9506</v>
      </c>
      <c r="I960" s="403" t="n">
        <v>0</v>
      </c>
      <c r="J960" s="404" t="n">
        <v>3486</v>
      </c>
      <c r="K960" s="408" t="n">
        <v>6.41135972461274</v>
      </c>
      <c r="L960" s="409" t="n">
        <v>0</v>
      </c>
      <c r="M960" s="409" t="n">
        <v>0.0699776286353468</v>
      </c>
      <c r="N960" s="378" t="n">
        <v>1963</v>
      </c>
      <c r="O960" s="393" t="n">
        <v>775</v>
      </c>
      <c r="Q960" s="605" t="n">
        <v>13</v>
      </c>
      <c r="R960" s="605" t="n">
        <v>1</v>
      </c>
      <c r="S960" s="605" t="n">
        <v>2</v>
      </c>
      <c r="T960" s="403" t="inlineStr">
        <is>
          <t xml:space="preserve">I1   </t>
        </is>
      </c>
      <c r="U960" s="403" t="n">
        <v>398</v>
      </c>
      <c r="V960" s="404" t="n">
        <v>6248</v>
      </c>
      <c r="W960" s="404" t="n">
        <v>6000</v>
      </c>
      <c r="X960" s="410" t="inlineStr">
        <is>
          <t>1.8:1</t>
        </is>
      </c>
      <c r="Y960" s="404">
        <f>ROUND(J960,-3)</f>
        <v/>
      </c>
      <c r="Z960" s="403" t="inlineStr">
        <is>
          <t xml:space="preserve">C </t>
        </is>
      </c>
      <c r="AA960" s="605" t="n">
        <v>3</v>
      </c>
      <c r="AB960" s="605" t="n">
        <v>3</v>
      </c>
      <c r="AC960" s="378" t="inlineStr">
        <is>
          <t>33</t>
        </is>
      </c>
      <c r="AD960" s="384" t="inlineStr">
        <is>
          <t>S-W AQUA CORP. /TERR</t>
        </is>
      </c>
      <c r="AE960" s="145" t="n"/>
      <c r="AF960" s="145" t="n"/>
      <c r="AG960" s="145" t="n"/>
      <c r="AH960" s="145" t="n"/>
      <c r="AI960" s="145" t="n"/>
      <c r="AJ960" s="145" t="n"/>
      <c r="AK960" s="145" t="inlineStr">
        <is>
          <t xml:space="preserve">M-T WHSE.; 2 TENANTS; YR-TO-YR LEASE.                             </t>
        </is>
      </c>
      <c r="AL960" s="605">
        <f>IF(AND(ISNUMBER($S960),$S960&gt;0,ISNUMBER($K960),ISNUMBER($J960)),($K960*$J960)/$S960,"")</f>
        <v/>
      </c>
    </row>
    <row r="961" ht="12.75" customHeight="1" s="545">
      <c r="A961" s="388" t="n">
        <v>8</v>
      </c>
      <c r="B961" s="605" t="n">
        <v>953</v>
      </c>
      <c r="C961" s="384" t="inlineStr">
        <is>
          <t>2009Q</t>
        </is>
      </c>
      <c r="D961" s="605" t="inlineStr">
        <is>
          <t xml:space="preserve">05226-01-028-000 </t>
        </is>
      </c>
      <c r="E961" s="407" t="inlineStr">
        <is>
          <t>Actual</t>
        </is>
      </c>
      <c r="F961" s="605" t="inlineStr">
        <is>
          <t>1586 S ACOMA                ST</t>
        </is>
      </c>
      <c r="G961" s="392" t="n">
        <v>44.2</v>
      </c>
      <c r="H961" s="378" t="n">
        <v>9506</v>
      </c>
      <c r="I961" s="403" t="n">
        <v>0</v>
      </c>
      <c r="J961" s="404" t="n">
        <v>7000</v>
      </c>
      <c r="K961" s="408" t="n">
        <v>6.85714285714286</v>
      </c>
      <c r="L961" s="409" t="n">
        <v>0.25</v>
      </c>
      <c r="M961" s="409" t="n">
        <v>0</v>
      </c>
      <c r="N961" s="378" t="n">
        <v>1967</v>
      </c>
      <c r="O961" s="393" t="n">
        <v>2500</v>
      </c>
      <c r="Q961" s="605" t="n">
        <v>14</v>
      </c>
      <c r="R961" s="605" t="n">
        <v>1</v>
      </c>
      <c r="S961" s="605" t="n">
        <v>1</v>
      </c>
      <c r="T961" s="403" t="inlineStr">
        <is>
          <t xml:space="preserve">I1   </t>
        </is>
      </c>
      <c r="U961" s="403" t="n">
        <v>398</v>
      </c>
      <c r="V961" s="404" t="n">
        <v>12500</v>
      </c>
      <c r="W961" s="404" t="n">
        <v>13000</v>
      </c>
      <c r="X961" s="410" t="inlineStr">
        <is>
          <t>1.8:1</t>
        </is>
      </c>
      <c r="Y961" s="404">
        <f>ROUND(J961,-3)</f>
        <v/>
      </c>
      <c r="Z961" s="403" t="inlineStr">
        <is>
          <t xml:space="preserve">C </t>
        </is>
      </c>
      <c r="AA961" s="605" t="n">
        <v>3</v>
      </c>
      <c r="AB961" s="605" t="n">
        <v>3</v>
      </c>
      <c r="AC961" s="378" t="inlineStr">
        <is>
          <t>33</t>
        </is>
      </c>
      <c r="AD961" s="384" t="n"/>
      <c r="AE961" s="145" t="n"/>
      <c r="AF961" s="145" t="n"/>
      <c r="AG961" s="145" t="n"/>
      <c r="AH961" s="145" t="n"/>
      <c r="AI961" s="145" t="n"/>
      <c r="AJ961" s="145" t="n"/>
      <c r="AK961" s="145" t="inlineStr">
        <is>
          <t xml:space="preserve">M-T WHSE.; 4 TENANTS; YR-TO-YR LEASES.                            </t>
        </is>
      </c>
      <c r="AL961" s="605">
        <f>IF(AND(ISNUMBER($S961),$S961&gt;0,ISNUMBER($K961),ISNUMBER($J961)),($K961*$J961)/$S961,"")</f>
        <v/>
      </c>
    </row>
    <row r="962" ht="12.75" customHeight="1" s="545">
      <c r="A962" s="388" t="n">
        <v>8</v>
      </c>
      <c r="B962" s="605" t="n">
        <v>954</v>
      </c>
      <c r="C962" s="384" t="inlineStr">
        <is>
          <t>2009Q</t>
        </is>
      </c>
      <c r="D962" s="605" t="inlineStr">
        <is>
          <t xml:space="preserve">05226-10-028-000 </t>
        </is>
      </c>
      <c r="E962" s="407" t="inlineStr">
        <is>
          <t>Actual</t>
        </is>
      </c>
      <c r="F962" s="605" t="inlineStr">
        <is>
          <t>1701 S BROADWAY             ST</t>
        </is>
      </c>
      <c r="G962" s="392" t="n">
        <v>44.2</v>
      </c>
      <c r="H962" s="378" t="n">
        <v>9506</v>
      </c>
      <c r="I962" s="403" t="n">
        <v>2</v>
      </c>
      <c r="J962" s="404" t="n">
        <v>12500</v>
      </c>
      <c r="K962" s="408" t="n">
        <v>6.98592</v>
      </c>
      <c r="L962" s="409" t="n">
        <v>0</v>
      </c>
      <c r="M962" s="409" t="n">
        <v>0</v>
      </c>
      <c r="N962" s="378" t="n">
        <v>1932</v>
      </c>
      <c r="O962" s="393" t="n">
        <v>1800</v>
      </c>
      <c r="Q962" s="605" t="n">
        <v>16</v>
      </c>
      <c r="R962" s="605" t="n">
        <v>1</v>
      </c>
      <c r="S962" s="605" t="n">
        <v>1</v>
      </c>
      <c r="T962" s="403" t="inlineStr">
        <is>
          <t xml:space="preserve">B4   </t>
        </is>
      </c>
      <c r="U962" s="403" t="n">
        <v>398</v>
      </c>
      <c r="V962" s="404" t="n">
        <v>15624</v>
      </c>
      <c r="W962" s="404" t="n">
        <v>16000</v>
      </c>
      <c r="X962" s="410" t="inlineStr">
        <is>
          <t>1.0:1</t>
        </is>
      </c>
      <c r="Y962" s="404">
        <f>ROUND(J962,-3)</f>
        <v/>
      </c>
      <c r="Z962" s="403" t="inlineStr">
        <is>
          <t xml:space="preserve">C </t>
        </is>
      </c>
      <c r="AA962" s="605" t="n">
        <v>3</v>
      </c>
      <c r="AB962" s="605" t="n">
        <v>3</v>
      </c>
      <c r="AC962" s="378" t="inlineStr">
        <is>
          <t>33</t>
        </is>
      </c>
      <c r="AD962" s="384" t="n"/>
      <c r="AE962" s="145" t="n"/>
      <c r="AF962" s="145" t="n"/>
      <c r="AG962" s="145" t="n"/>
      <c r="AH962" s="145" t="n"/>
      <c r="AI962" s="145" t="n"/>
      <c r="AJ962" s="145" t="n"/>
      <c r="AK962" s="145" t="inlineStr">
        <is>
          <t xml:space="preserve">S-T WHSE; 07/08 LEASE CONSIDERED NEGOTIATED IN BASE PERIOD.       </t>
        </is>
      </c>
      <c r="AL962" s="605">
        <f>IF(AND(ISNUMBER($S962),$S962&gt;0,ISNUMBER($K962),ISNUMBER($J962)),($K962*$J962)/$S962,"")</f>
        <v/>
      </c>
    </row>
    <row r="963" ht="12.75" customHeight="1" s="545">
      <c r="A963" s="388" t="n">
        <v>8</v>
      </c>
      <c r="B963" s="605" t="n">
        <v>955</v>
      </c>
      <c r="C963" s="384" t="inlineStr">
        <is>
          <t>2009Q</t>
        </is>
      </c>
      <c r="D963" s="605" t="inlineStr">
        <is>
          <t xml:space="preserve">05226-16-031-000 </t>
        </is>
      </c>
      <c r="E963" s="407" t="inlineStr">
        <is>
          <t>Actual</t>
        </is>
      </c>
      <c r="F963" s="605" t="inlineStr">
        <is>
          <t>1865 S ACOMA                ST</t>
        </is>
      </c>
      <c r="G963" s="392" t="n">
        <v>44.2</v>
      </c>
      <c r="H963" s="378" t="n">
        <v>9506</v>
      </c>
      <c r="I963" s="403" t="n">
        <v>0</v>
      </c>
      <c r="J963" s="404" t="n">
        <v>5920</v>
      </c>
      <c r="K963" s="408" t="n">
        <v>6.99324324324324</v>
      </c>
      <c r="L963" s="409" t="n">
        <v>0</v>
      </c>
      <c r="M963" s="409" t="n">
        <v>0.124975845410628</v>
      </c>
      <c r="N963" s="378" t="n">
        <v>1972</v>
      </c>
      <c r="O963" s="393" t="n">
        <v>1406</v>
      </c>
      <c r="Q963" s="605" t="n">
        <v>13</v>
      </c>
      <c r="R963" s="605" t="n">
        <v>3</v>
      </c>
      <c r="S963" s="605" t="n">
        <v>4</v>
      </c>
      <c r="T963" s="403" t="inlineStr">
        <is>
          <t xml:space="preserve">I1   </t>
        </is>
      </c>
      <c r="U963" s="403" t="n">
        <v>398</v>
      </c>
      <c r="V963" s="404" t="n">
        <v>9430</v>
      </c>
      <c r="W963" s="404" t="n">
        <v>9000</v>
      </c>
      <c r="X963" s="410" t="inlineStr">
        <is>
          <t>1.6:1</t>
        </is>
      </c>
      <c r="Y963" s="404">
        <f>ROUND(J963,-3)</f>
        <v/>
      </c>
      <c r="Z963" s="403" t="inlineStr">
        <is>
          <t xml:space="preserve">C </t>
        </is>
      </c>
      <c r="AA963" s="605" t="n">
        <v>3</v>
      </c>
      <c r="AB963" s="605" t="n">
        <v>3</v>
      </c>
      <c r="AC963" s="378" t="inlineStr">
        <is>
          <t>33</t>
        </is>
      </c>
      <c r="AD963" s="384" t="n"/>
      <c r="AE963" s="145" t="n"/>
      <c r="AF963" s="145" t="n"/>
      <c r="AG963" s="145" t="n"/>
      <c r="AH963" s="145" t="n"/>
      <c r="AI963" s="145" t="n"/>
      <c r="AJ963" s="145" t="n"/>
      <c r="AK963" s="145" t="inlineStr">
        <is>
          <t xml:space="preserve">M-T WHSE.; 3 TENANTS; AGE OF LEASES UNKNOWN.                      </t>
        </is>
      </c>
      <c r="AL963" s="605">
        <f>IF(AND(ISNUMBER($S963),$S963&gt;0,ISNUMBER($K963),ISNUMBER($J963)),($K963*$J963)/$S963,"")</f>
        <v/>
      </c>
    </row>
    <row r="964" ht="12.75" customHeight="1" s="545">
      <c r="A964" s="388" t="n">
        <v>8</v>
      </c>
      <c r="B964" s="605" t="n">
        <v>956</v>
      </c>
      <c r="C964" s="384" t="inlineStr">
        <is>
          <t>2009Q</t>
        </is>
      </c>
      <c r="D964" s="605" t="inlineStr">
        <is>
          <t xml:space="preserve">05226-16-033-000 </t>
        </is>
      </c>
      <c r="E964" s="407" t="inlineStr">
        <is>
          <t>Actual</t>
        </is>
      </c>
      <c r="F964" s="605" t="inlineStr">
        <is>
          <t>1879 S ACOMA                ST</t>
        </is>
      </c>
      <c r="G964" s="392" t="n">
        <v>44.2</v>
      </c>
      <c r="H964" s="378" t="n">
        <v>9506</v>
      </c>
      <c r="I964" s="403" t="n">
        <v>0</v>
      </c>
      <c r="J964" s="404" t="n">
        <v>4312</v>
      </c>
      <c r="K964" s="408" t="n">
        <v>6.95732838589982</v>
      </c>
      <c r="L964" s="409" t="n">
        <v>0</v>
      </c>
      <c r="M964" s="409" t="n">
        <v>0</v>
      </c>
      <c r="N964" s="378" t="n">
        <v>1973</v>
      </c>
      <c r="O964" s="393" t="n">
        <v>390</v>
      </c>
      <c r="Q964" s="605" t="n">
        <v>18</v>
      </c>
      <c r="R964" s="605" t="n">
        <v>9</v>
      </c>
      <c r="S964" s="605" t="n">
        <v>1</v>
      </c>
      <c r="T964" s="403" t="inlineStr">
        <is>
          <t xml:space="preserve">I1   </t>
        </is>
      </c>
      <c r="U964" s="403" t="n">
        <v>398</v>
      </c>
      <c r="V964" s="404" t="n">
        <v>6327</v>
      </c>
      <c r="W964" s="404" t="n">
        <v>6000</v>
      </c>
      <c r="X964" s="410" t="inlineStr">
        <is>
          <t>1.5:1</t>
        </is>
      </c>
      <c r="Y964" s="404">
        <f>ROUND(J964,-3)</f>
        <v/>
      </c>
      <c r="Z964" s="403" t="inlineStr">
        <is>
          <t xml:space="preserve">C </t>
        </is>
      </c>
      <c r="AA964" s="605" t="n">
        <v>3</v>
      </c>
      <c r="AB964" s="605" t="n">
        <v>3</v>
      </c>
      <c r="AC964" s="378" t="inlineStr">
        <is>
          <t>33</t>
        </is>
      </c>
      <c r="AD964" s="384" t="inlineStr">
        <is>
          <t xml:space="preserve">S-W THE PRESSROOM   </t>
        </is>
      </c>
      <c r="AE964" s="145" t="n"/>
      <c r="AF964" s="145" t="n"/>
      <c r="AG964" s="145" t="n"/>
      <c r="AH964" s="145" t="n"/>
      <c r="AI964" s="145" t="n"/>
      <c r="AJ964" s="145" t="n"/>
      <c r="AK964" s="145" t="inlineStr">
        <is>
          <t xml:space="preserve">S-T WHSE.; 2004 LEASE.                                            </t>
        </is>
      </c>
      <c r="AL964" s="605">
        <f>IF(AND(ISNUMBER($S964),$S964&gt;0,ISNUMBER($K964),ISNUMBER($J964)),($K964*$J964)/$S964,"")</f>
        <v/>
      </c>
    </row>
    <row r="965" ht="12.75" customHeight="1" s="545">
      <c r="A965" s="388" t="n">
        <v>8</v>
      </c>
      <c r="B965" s="605" t="n">
        <v>957</v>
      </c>
      <c r="C965" s="384" t="inlineStr">
        <is>
          <t>2009Q</t>
        </is>
      </c>
      <c r="D965" s="605" t="inlineStr">
        <is>
          <t xml:space="preserve">05226-16-040-000 </t>
        </is>
      </c>
      <c r="E965" s="407" t="inlineStr">
        <is>
          <t>Actual</t>
        </is>
      </c>
      <c r="F965" s="605" t="inlineStr">
        <is>
          <t>1853 S ACOMA                ST</t>
        </is>
      </c>
      <c r="G965" s="392" t="n">
        <v>44.2</v>
      </c>
      <c r="H965" s="378" t="n">
        <v>9506</v>
      </c>
      <c r="I965" s="403" t="n">
        <v>0</v>
      </c>
      <c r="J965" s="404" t="n">
        <v>4991</v>
      </c>
      <c r="K965" s="408" t="n">
        <v>5.40973752754959</v>
      </c>
      <c r="L965" s="409" t="n">
        <v>0</v>
      </c>
      <c r="M965" s="409" t="n">
        <v>0.0892222222222222</v>
      </c>
      <c r="N965" s="378" t="n">
        <v>1970</v>
      </c>
      <c r="O965" s="393" t="n">
        <v>744</v>
      </c>
      <c r="Q965" s="605" t="n">
        <v>14</v>
      </c>
      <c r="R965" s="605" t="n">
        <v>3</v>
      </c>
      <c r="S965" s="605" t="n">
        <v>1</v>
      </c>
      <c r="T965" s="403" t="inlineStr">
        <is>
          <t xml:space="preserve">I1   </t>
        </is>
      </c>
      <c r="U965" s="403" t="n">
        <v>398</v>
      </c>
      <c r="V965" s="404" t="n">
        <v>7751</v>
      </c>
      <c r="W965" s="404" t="n">
        <v>8000</v>
      </c>
      <c r="X965" s="410" t="inlineStr">
        <is>
          <t>1.6:1</t>
        </is>
      </c>
      <c r="Y965" s="404">
        <f>ROUND(J965,-3)</f>
        <v/>
      </c>
      <c r="Z965" s="403" t="inlineStr">
        <is>
          <t xml:space="preserve">C </t>
        </is>
      </c>
      <c r="AA965" s="605" t="n">
        <v>3</v>
      </c>
      <c r="AB965" s="605" t="n">
        <v>3</v>
      </c>
      <c r="AC965" s="378" t="inlineStr">
        <is>
          <t>33</t>
        </is>
      </c>
      <c r="AD965" s="384" t="inlineStr">
        <is>
          <t xml:space="preserve">S-W HAMMILL WEST    </t>
        </is>
      </c>
      <c r="AE965" s="145" t="n"/>
      <c r="AF965" s="145" t="n"/>
      <c r="AG965" s="145" t="n"/>
      <c r="AH965" s="145" t="n"/>
      <c r="AI965" s="145" t="n"/>
      <c r="AJ965" s="145" t="n"/>
      <c r="AK965" s="145" t="inlineStr">
        <is>
          <t xml:space="preserve">S-T WHSE.; YR-TO-YR LEASE.                                        </t>
        </is>
      </c>
      <c r="AL965" s="605">
        <f>IF(AND(ISNUMBER($S965),$S965&gt;0,ISNUMBER($K965),ISNUMBER($J965)),($K965*$J965)/$S965,"")</f>
        <v/>
      </c>
    </row>
    <row r="966" ht="12.75" customHeight="1" s="545">
      <c r="A966" s="388" t="n">
        <v>8</v>
      </c>
      <c r="B966" s="605" t="n">
        <v>958</v>
      </c>
      <c r="C966" s="384" t="inlineStr">
        <is>
          <t>2009Q</t>
        </is>
      </c>
      <c r="D966" s="605" t="inlineStr">
        <is>
          <t xml:space="preserve">05226-17-017-000 </t>
        </is>
      </c>
      <c r="E966" s="407" t="inlineStr">
        <is>
          <t>Actual</t>
        </is>
      </c>
      <c r="F966" s="605" t="inlineStr">
        <is>
          <t>1860 S ACOMA                ST</t>
        </is>
      </c>
      <c r="G966" s="392" t="n">
        <v>44.2</v>
      </c>
      <c r="H966" s="378" t="n">
        <v>9506</v>
      </c>
      <c r="I966" s="403" t="n">
        <v>0</v>
      </c>
      <c r="J966" s="404" t="n">
        <v>4704</v>
      </c>
      <c r="K966" s="408" t="n">
        <v>4.0391156462585</v>
      </c>
      <c r="L966" s="409" t="n">
        <v>0</v>
      </c>
      <c r="M966" s="409" t="n">
        <v>0</v>
      </c>
      <c r="N966" s="378" t="n">
        <v>1958</v>
      </c>
      <c r="P966" s="393" t="n">
        <v>1208</v>
      </c>
      <c r="Q966" s="605" t="n">
        <v>10</v>
      </c>
      <c r="R966" s="605" t="n">
        <v>1</v>
      </c>
      <c r="S966" s="605" t="n">
        <v>1</v>
      </c>
      <c r="T966" s="403" t="inlineStr">
        <is>
          <t xml:space="preserve">I1   </t>
        </is>
      </c>
      <c r="U966" s="403" t="n">
        <v>398</v>
      </c>
      <c r="V966" s="404" t="n">
        <v>6250</v>
      </c>
      <c r="W966" s="404" t="n">
        <v>6000</v>
      </c>
      <c r="X966" s="410" t="inlineStr">
        <is>
          <t>1.3:1</t>
        </is>
      </c>
      <c r="Y966" s="404">
        <f>ROUND(J966,-3)</f>
        <v/>
      </c>
      <c r="Z966" s="403" t="inlineStr">
        <is>
          <t xml:space="preserve">C </t>
        </is>
      </c>
      <c r="AA966" s="605" t="n">
        <v>3</v>
      </c>
      <c r="AB966" s="605" t="n">
        <v>3</v>
      </c>
      <c r="AC966" s="378" t="inlineStr">
        <is>
          <t>33</t>
        </is>
      </c>
      <c r="AD966" s="384" t="inlineStr">
        <is>
          <t xml:space="preserve">S-W ELECTRIC SUPPLY </t>
        </is>
      </c>
      <c r="AE966" s="145" t="n"/>
      <c r="AF966" s="145" t="n"/>
      <c r="AG966" s="145" t="n"/>
      <c r="AH966" s="145" t="n"/>
      <c r="AI966" s="145" t="n"/>
      <c r="AJ966" s="145" t="n"/>
      <c r="AK966" s="145" t="inlineStr">
        <is>
          <t xml:space="preserve">S-T WHSE.; MO-TO-MO LEASE.                                        </t>
        </is>
      </c>
      <c r="AL966" s="605">
        <f>IF(AND(ISNUMBER($S966),$S966&gt;0,ISNUMBER($K966),ISNUMBER($J966)),($K966*$J966)/$S966,"")</f>
        <v/>
      </c>
    </row>
    <row r="967" ht="12.75" customHeight="1" s="545">
      <c r="A967" s="388" t="n">
        <v>8</v>
      </c>
      <c r="B967" s="605" t="n">
        <v>959</v>
      </c>
      <c r="C967" s="384" t="inlineStr">
        <is>
          <t>2009Q</t>
        </is>
      </c>
      <c r="D967" s="605" t="inlineStr">
        <is>
          <t xml:space="preserve">05271-23-002-000 </t>
        </is>
      </c>
      <c r="E967" s="407" t="inlineStr">
        <is>
          <t>Actual</t>
        </is>
      </c>
      <c r="F967" s="605" t="inlineStr">
        <is>
          <t>2112 S WASHINGTON           ST</t>
        </is>
      </c>
      <c r="G967" s="392" t="n">
        <v>44.1</v>
      </c>
      <c r="H967" s="378" t="n">
        <v>9509</v>
      </c>
      <c r="I967" s="403" t="n">
        <v>0</v>
      </c>
      <c r="J967" s="404" t="n">
        <v>798</v>
      </c>
      <c r="K967" s="408" t="n">
        <v>11.2781954887218</v>
      </c>
      <c r="L967" s="409" t="n">
        <v>0</v>
      </c>
      <c r="M967" s="409" t="n">
        <v>0</v>
      </c>
      <c r="N967" s="378" t="n">
        <v>1956</v>
      </c>
      <c r="O967" s="393" t="n">
        <v>200</v>
      </c>
      <c r="Q967" s="605" t="n">
        <v>14</v>
      </c>
      <c r="R967" s="605" t="n">
        <v>3</v>
      </c>
      <c r="S967" s="605" t="n">
        <v>1</v>
      </c>
      <c r="T967" s="403" t="inlineStr">
        <is>
          <t xml:space="preserve">R2   </t>
        </is>
      </c>
      <c r="U967" s="403" t="n">
        <v>398</v>
      </c>
      <c r="V967" s="404" t="n">
        <v>4700</v>
      </c>
      <c r="W967" s="404" t="n">
        <v>5000</v>
      </c>
      <c r="X967" s="410" t="inlineStr">
        <is>
          <t>5.9:1</t>
        </is>
      </c>
      <c r="Y967" s="404">
        <f>ROUND(J967,-2)</f>
        <v/>
      </c>
      <c r="Z967" s="403" t="inlineStr">
        <is>
          <t xml:space="preserve">C </t>
        </is>
      </c>
      <c r="AA967" s="605" t="n">
        <v>3</v>
      </c>
      <c r="AB967" s="605" t="n">
        <v>3</v>
      </c>
      <c r="AC967" s="378" t="inlineStr">
        <is>
          <t>33</t>
        </is>
      </c>
      <c r="AD967" s="384" t="inlineStr">
        <is>
          <t xml:space="preserve">S-W D.C. PLUMBING   </t>
        </is>
      </c>
      <c r="AE967" s="145" t="n"/>
      <c r="AF967" s="145" t="n"/>
      <c r="AG967" s="145" t="n"/>
      <c r="AH967" s="145" t="n"/>
      <c r="AI967" s="145" t="n"/>
      <c r="AJ967" s="145" t="n"/>
      <c r="AK967" s="145" t="inlineStr">
        <is>
          <t xml:space="preserve">S-T WHSE.; NO LEASE.                                              </t>
        </is>
      </c>
      <c r="AL967" s="605">
        <f>IF(AND(ISNUMBER($S967),$S967&gt;0,ISNUMBER($K967),ISNUMBER($J967)),($K967*$J967)/$S967,"")</f>
        <v/>
      </c>
    </row>
    <row r="968" ht="12.75" customHeight="1" s="545">
      <c r="A968" s="388" t="n">
        <v>8</v>
      </c>
      <c r="B968" s="605" t="n">
        <v>960</v>
      </c>
      <c r="C968" s="384" t="inlineStr">
        <is>
          <t>2009Q</t>
        </is>
      </c>
      <c r="D968" s="605" t="inlineStr">
        <is>
          <t xml:space="preserve">05272-03-007-000 </t>
        </is>
      </c>
      <c r="E968" s="407" t="inlineStr">
        <is>
          <t>Actual</t>
        </is>
      </c>
      <c r="F968" s="605" t="inlineStr">
        <is>
          <t>1950 S CHEROKEE             ST</t>
        </is>
      </c>
      <c r="G968" s="392" t="n">
        <v>44.2</v>
      </c>
      <c r="H968" s="378" t="n">
        <v>9506</v>
      </c>
      <c r="I968" s="403" t="n">
        <v>0</v>
      </c>
      <c r="J968" s="404" t="n">
        <v>3594</v>
      </c>
      <c r="K968" s="408" t="n">
        <v>4.00667779632721</v>
      </c>
      <c r="L968" s="409" t="n">
        <v>0</v>
      </c>
      <c r="M968" s="409" t="n">
        <v>0</v>
      </c>
      <c r="N968" s="378" t="n">
        <v>1953</v>
      </c>
      <c r="Q968" s="605" t="n">
        <v>14</v>
      </c>
      <c r="R968" s="605" t="n">
        <v>3</v>
      </c>
      <c r="S968" s="605" t="n">
        <v>1</v>
      </c>
      <c r="T968" s="403" t="inlineStr">
        <is>
          <t xml:space="preserve">I1   </t>
        </is>
      </c>
      <c r="U968" s="403" t="n">
        <v>398</v>
      </c>
      <c r="V968" s="404" t="n">
        <v>12500</v>
      </c>
      <c r="W968" s="404" t="n">
        <v>13000</v>
      </c>
      <c r="X968" s="410" t="inlineStr">
        <is>
          <t>3.5:1</t>
        </is>
      </c>
      <c r="Y968" s="404">
        <f>ROUND(J968,-3)</f>
        <v/>
      </c>
      <c r="Z968" s="403" t="inlineStr">
        <is>
          <t xml:space="preserve">C </t>
        </is>
      </c>
      <c r="AA968" s="605" t="n">
        <v>3</v>
      </c>
      <c r="AB968" s="605" t="n">
        <v>3</v>
      </c>
      <c r="AC968" s="378" t="inlineStr">
        <is>
          <t>33</t>
        </is>
      </c>
      <c r="AD968" s="384" t="inlineStr">
        <is>
          <t>S-W PASTERKAMPS HEAT</t>
        </is>
      </c>
      <c r="AE968" s="145" t="n"/>
      <c r="AF968" s="145" t="n"/>
      <c r="AG968" s="145" t="n"/>
      <c r="AH968" s="145" t="n"/>
      <c r="AI968" s="145" t="n"/>
      <c r="AJ968" s="145" t="n"/>
      <c r="AK968" s="145" t="inlineStr">
        <is>
          <t xml:space="preserve">S-T WHSE.                                                         </t>
        </is>
      </c>
      <c r="AL968" s="605">
        <f>IF(AND(ISNUMBER($S968),$S968&gt;0,ISNUMBER($K968),ISNUMBER($J968)),($K968*$J968)/$S968,"")</f>
        <v/>
      </c>
    </row>
    <row r="969" ht="12.75" customHeight="1" s="545">
      <c r="A969" s="388" t="n">
        <v>8</v>
      </c>
      <c r="B969" s="605" t="n">
        <v>961</v>
      </c>
      <c r="C969" s="384" t="inlineStr">
        <is>
          <t>2009Q</t>
        </is>
      </c>
      <c r="D969" s="605" t="inlineStr">
        <is>
          <t xml:space="preserve">05272-03-029-000 </t>
        </is>
      </c>
      <c r="E969" s="407" t="inlineStr">
        <is>
          <t>Actual</t>
        </is>
      </c>
      <c r="F969" s="605" t="inlineStr">
        <is>
          <t>1930 S CHEROKEE             ST</t>
        </is>
      </c>
      <c r="G969" s="392" t="n">
        <v>44.2</v>
      </c>
      <c r="H969" s="378" t="n">
        <v>9506</v>
      </c>
      <c r="I969" s="403" t="n">
        <v>0</v>
      </c>
      <c r="J969" s="404" t="n">
        <v>11266</v>
      </c>
      <c r="K969" s="408" t="n">
        <v>5.81404225102077</v>
      </c>
      <c r="L969" s="409" t="n">
        <v>0</v>
      </c>
      <c r="M969" s="409" t="n">
        <v>0</v>
      </c>
      <c r="N969" s="378" t="n">
        <v>1968</v>
      </c>
      <c r="O969" s="393" t="n">
        <v>612</v>
      </c>
      <c r="Q969" s="605" t="n">
        <v>13</v>
      </c>
      <c r="R969" s="605" t="n">
        <v>1</v>
      </c>
      <c r="S969" s="605" t="n">
        <v>1</v>
      </c>
      <c r="T969" s="403" t="inlineStr">
        <is>
          <t xml:space="preserve">I1   </t>
        </is>
      </c>
      <c r="U969" s="403" t="n">
        <v>398</v>
      </c>
      <c r="V969" s="404" t="n">
        <v>15625</v>
      </c>
      <c r="W969" s="404" t="n">
        <v>16000</v>
      </c>
      <c r="X969" s="410" t="inlineStr">
        <is>
          <t>1.4:1</t>
        </is>
      </c>
      <c r="Y969" s="404">
        <f>ROUND(J969,-3)</f>
        <v/>
      </c>
      <c r="Z969" s="403" t="inlineStr">
        <is>
          <t xml:space="preserve">C </t>
        </is>
      </c>
      <c r="AA969" s="605" t="n">
        <v>3</v>
      </c>
      <c r="AB969" s="605" t="n">
        <v>3</v>
      </c>
      <c r="AC969" s="378" t="inlineStr">
        <is>
          <t>33</t>
        </is>
      </c>
      <c r="AD969" s="384" t="inlineStr">
        <is>
          <t>S-W PASTERKAMP PLUMB</t>
        </is>
      </c>
      <c r="AE969" s="145" t="n"/>
      <c r="AF969" s="145" t="n"/>
      <c r="AG969" s="145" t="n"/>
      <c r="AH969" s="145" t="n"/>
      <c r="AI969" s="145" t="n"/>
      <c r="AJ969" s="145" t="n"/>
      <c r="AK969" s="145" t="inlineStr">
        <is>
          <t xml:space="preserve">S-T WHSE.                                                         </t>
        </is>
      </c>
      <c r="AL969" s="605">
        <f>IF(AND(ISNUMBER($S969),$S969&gt;0,ISNUMBER($K969),ISNUMBER($J969)),($K969*$J969)/$S969,"")</f>
        <v/>
      </c>
    </row>
    <row r="970" ht="12.75" customHeight="1" s="545">
      <c r="A970" s="388" t="n">
        <v>8</v>
      </c>
      <c r="B970" s="605" t="n">
        <v>962</v>
      </c>
      <c r="C970" s="384" t="inlineStr">
        <is>
          <t>2009Q</t>
        </is>
      </c>
      <c r="D970" s="605" t="inlineStr">
        <is>
          <t xml:space="preserve">05272-06-018-000 </t>
        </is>
      </c>
      <c r="E970" s="407" t="inlineStr">
        <is>
          <t>Actual</t>
        </is>
      </c>
      <c r="F970" s="605" t="inlineStr">
        <is>
          <t>2000 S CHEROKEE             ST</t>
        </is>
      </c>
      <c r="G970" s="392" t="n">
        <v>44.2</v>
      </c>
      <c r="H970" s="378" t="n">
        <v>9506</v>
      </c>
      <c r="I970" s="403" t="n">
        <v>0</v>
      </c>
      <c r="J970" s="404" t="n">
        <v>9529</v>
      </c>
      <c r="K970" s="408" t="n">
        <v>6.29656837023822</v>
      </c>
      <c r="L970" s="409" t="n">
        <v>0</v>
      </c>
      <c r="M970" s="409" t="n">
        <v>0</v>
      </c>
      <c r="N970" s="378" t="n">
        <v>1958</v>
      </c>
      <c r="O970" s="393" t="n">
        <v>480</v>
      </c>
      <c r="Q970" s="605" t="n">
        <v>16</v>
      </c>
      <c r="R970" s="605" t="n">
        <v>3</v>
      </c>
      <c r="S970" s="605" t="n">
        <v>1</v>
      </c>
      <c r="T970" s="403" t="inlineStr">
        <is>
          <t xml:space="preserve">I1   </t>
        </is>
      </c>
      <c r="U970" s="403" t="n">
        <v>398</v>
      </c>
      <c r="V970" s="404" t="n">
        <v>12500</v>
      </c>
      <c r="W970" s="404" t="n">
        <v>13000</v>
      </c>
      <c r="X970" s="410" t="inlineStr">
        <is>
          <t>1.3:1</t>
        </is>
      </c>
      <c r="Y970" s="404">
        <f>ROUND(J970,-3)</f>
        <v/>
      </c>
      <c r="Z970" s="403" t="inlineStr">
        <is>
          <t xml:space="preserve">C </t>
        </is>
      </c>
      <c r="AA970" s="605" t="n">
        <v>3</v>
      </c>
      <c r="AB970" s="605" t="n">
        <v>3</v>
      </c>
      <c r="AC970" s="378" t="inlineStr">
        <is>
          <t>33</t>
        </is>
      </c>
      <c r="AD970" s="384" t="inlineStr">
        <is>
          <t xml:space="preserve">MULTILIFT           </t>
        </is>
      </c>
      <c r="AE970" s="145" t="n"/>
      <c r="AF970" s="145" t="n"/>
      <c r="AG970" s="145" t="n"/>
      <c r="AH970" s="145" t="n"/>
      <c r="AI970" s="145" t="n"/>
      <c r="AJ970" s="145" t="n"/>
      <c r="AK970" s="145" t="inlineStr">
        <is>
          <t xml:space="preserve">S-T WHSE.; 2008 LEASE USED.                                       </t>
        </is>
      </c>
      <c r="AL970" s="605">
        <f>IF(AND(ISNUMBER($S970),$S970&gt;0,ISNUMBER($K970),ISNUMBER($J970)),($K970*$J970)/$S970,"")</f>
        <v/>
      </c>
    </row>
    <row r="971" ht="12.75" customHeight="1" s="545">
      <c r="A971" s="388" t="n">
        <v>8</v>
      </c>
      <c r="B971" s="605" t="n">
        <v>963</v>
      </c>
      <c r="C971" s="384" t="inlineStr">
        <is>
          <t>2009Q</t>
        </is>
      </c>
      <c r="D971" s="605" t="inlineStr">
        <is>
          <t xml:space="preserve">05272-06-022-000 </t>
        </is>
      </c>
      <c r="E971" s="407" t="inlineStr">
        <is>
          <t>Actual</t>
        </is>
      </c>
      <c r="F971" s="605" t="inlineStr">
        <is>
          <t>2018 S CHEROKEE             ST</t>
        </is>
      </c>
      <c r="G971" s="392" t="n">
        <v>44.2</v>
      </c>
      <c r="H971" s="378" t="n">
        <v>9506</v>
      </c>
      <c r="I971" s="403" t="n">
        <v>0</v>
      </c>
      <c r="J971" s="404" t="n">
        <v>3158</v>
      </c>
      <c r="K971" s="408" t="n">
        <v>6.42178594046865</v>
      </c>
      <c r="L971" s="409" t="n">
        <v>0</v>
      </c>
      <c r="M971" s="409" t="n">
        <v>0</v>
      </c>
      <c r="N971" s="378" t="n">
        <v>1959</v>
      </c>
      <c r="Q971" s="605" t="n">
        <v>12</v>
      </c>
      <c r="R971" s="605" t="n">
        <v>1</v>
      </c>
      <c r="S971" s="605" t="n">
        <v>1</v>
      </c>
      <c r="T971" s="403" t="inlineStr">
        <is>
          <t xml:space="preserve">I1   </t>
        </is>
      </c>
      <c r="U971" s="403" t="n">
        <v>398</v>
      </c>
      <c r="V971" s="404" t="n">
        <v>6250</v>
      </c>
      <c r="W971" s="404" t="n">
        <v>6000</v>
      </c>
      <c r="X971" s="410" t="inlineStr">
        <is>
          <t>2.0:1</t>
        </is>
      </c>
      <c r="Y971" s="404">
        <f>ROUND(J971,-3)</f>
        <v/>
      </c>
      <c r="Z971" s="403" t="inlineStr">
        <is>
          <t xml:space="preserve">C </t>
        </is>
      </c>
      <c r="AA971" s="605" t="n">
        <v>3</v>
      </c>
      <c r="AB971" s="605" t="n">
        <v>3</v>
      </c>
      <c r="AC971" s="378" t="inlineStr">
        <is>
          <t>33</t>
        </is>
      </c>
      <c r="AD971" s="384" t="inlineStr">
        <is>
          <t xml:space="preserve">T &amp; D'S AUTO        </t>
        </is>
      </c>
      <c r="AE971" s="145" t="n"/>
      <c r="AF971" s="145" t="n"/>
      <c r="AG971" s="145" t="n"/>
      <c r="AH971" s="145" t="n"/>
      <c r="AI971" s="145" t="n"/>
      <c r="AJ971" s="145" t="n"/>
      <c r="AK971" s="145" t="inlineStr">
        <is>
          <t xml:space="preserve">S-T WHSE.                                                         </t>
        </is>
      </c>
      <c r="AL971" s="605">
        <f>IF(AND(ISNUMBER($S971),$S971&gt;0,ISNUMBER($K971),ISNUMBER($J971)),($K971*$J971)/$S971,"")</f>
        <v/>
      </c>
    </row>
    <row r="972" ht="12.75" customHeight="1" s="545">
      <c r="A972" s="388" t="n">
        <v>8</v>
      </c>
      <c r="B972" s="605" t="n">
        <v>964</v>
      </c>
      <c r="C972" s="384" t="inlineStr">
        <is>
          <t>2009Q</t>
        </is>
      </c>
      <c r="D972" s="605" t="inlineStr">
        <is>
          <t xml:space="preserve">05272-07-037-000 </t>
        </is>
      </c>
      <c r="E972" s="407" t="inlineStr">
        <is>
          <t>Actual</t>
        </is>
      </c>
      <c r="F972" s="605" t="inlineStr">
        <is>
          <t>2026 S BANNOCK              ST</t>
        </is>
      </c>
      <c r="G972" s="392" t="inlineStr">
        <is>
          <t>44.M</t>
        </is>
      </c>
      <c r="H972" s="378" t="n">
        <v>9506</v>
      </c>
      <c r="I972" s="403" t="n">
        <v>0</v>
      </c>
      <c r="J972" s="404" t="n">
        <v>1815</v>
      </c>
      <c r="K972" s="408" t="n">
        <v>5.05785123966942</v>
      </c>
      <c r="L972" s="409" t="n">
        <v>0</v>
      </c>
      <c r="M972" s="409" t="n">
        <v>0.10479302832244</v>
      </c>
      <c r="N972" s="378" t="n">
        <v>1986</v>
      </c>
      <c r="Q972" s="605" t="n">
        <v>10</v>
      </c>
      <c r="R972" s="605" t="n">
        <v>2</v>
      </c>
      <c r="S972" s="605" t="n">
        <v>1</v>
      </c>
      <c r="T972" s="403" t="inlineStr">
        <is>
          <t xml:space="preserve">I1   </t>
        </is>
      </c>
      <c r="U972" s="403" t="n">
        <v>398</v>
      </c>
      <c r="V972" s="404" t="n">
        <v>6250</v>
      </c>
      <c r="W972" s="404" t="n">
        <v>6000</v>
      </c>
      <c r="X972" s="410" t="inlineStr">
        <is>
          <t>3.4:1</t>
        </is>
      </c>
      <c r="Y972" s="404">
        <f>ROUND(J972,-2)</f>
        <v/>
      </c>
      <c r="Z972" s="403" t="inlineStr">
        <is>
          <t xml:space="preserve">C </t>
        </is>
      </c>
      <c r="AA972" s="605" t="n">
        <v>3</v>
      </c>
      <c r="AB972" s="605" t="n">
        <v>1</v>
      </c>
      <c r="AC972" s="378" t="inlineStr">
        <is>
          <t>31</t>
        </is>
      </c>
      <c r="AD972" s="384" t="n"/>
      <c r="AE972" s="145" t="n"/>
      <c r="AF972" s="145" t="n"/>
      <c r="AG972" s="145" t="n"/>
      <c r="AH972" s="145" t="n"/>
      <c r="AI972" s="145" t="n"/>
      <c r="AJ972" s="145" t="n"/>
      <c r="AK972" s="145" t="inlineStr">
        <is>
          <t xml:space="preserve">S-T BARN - MORE OF A SHED THAN TRUE WHSE.; LEASE DETAIL UNKNOWN.  </t>
        </is>
      </c>
      <c r="AL972" s="605">
        <f>IF(AND(ISNUMBER($S972),$S972&gt;0,ISNUMBER($K972),ISNUMBER($J972)),($K972*$J972)/$S972,"")</f>
        <v/>
      </c>
    </row>
    <row r="973" ht="12.75" customHeight="1" s="545">
      <c r="A973" s="388" t="n">
        <v>8</v>
      </c>
      <c r="B973" s="605" t="n">
        <v>965</v>
      </c>
      <c r="C973" s="384" t="inlineStr">
        <is>
          <t>2009Q</t>
        </is>
      </c>
      <c r="D973" s="605" t="inlineStr">
        <is>
          <t xml:space="preserve">05272-18-001-000 </t>
        </is>
      </c>
      <c r="E973" s="407" t="inlineStr">
        <is>
          <t>Actual</t>
        </is>
      </c>
      <c r="F973" s="605" t="inlineStr">
        <is>
          <t>2201 S DELAWARE             ST</t>
        </is>
      </c>
      <c r="G973" s="392" t="n">
        <v>44.2</v>
      </c>
      <c r="H973" s="378" t="n">
        <v>9506</v>
      </c>
      <c r="I973" s="403" t="n">
        <v>0</v>
      </c>
      <c r="J973" s="404" t="n">
        <v>15906</v>
      </c>
      <c r="K973" s="408" t="n">
        <v>2.7159562429272</v>
      </c>
      <c r="L973" s="409" t="n">
        <v>0</v>
      </c>
      <c r="M973" s="409" t="n">
        <v>0</v>
      </c>
      <c r="N973" s="378" t="n">
        <v>1915</v>
      </c>
      <c r="Q973" s="605" t="n">
        <v>16</v>
      </c>
      <c r="R973" s="605" t="n">
        <v>1</v>
      </c>
      <c r="S973" s="605" t="n">
        <v>1</v>
      </c>
      <c r="T973" s="403" t="inlineStr">
        <is>
          <t xml:space="preserve">I1   </t>
        </is>
      </c>
      <c r="U973" s="403" t="n">
        <v>398</v>
      </c>
      <c r="V973" s="404" t="n">
        <v>35250</v>
      </c>
      <c r="W973" s="404" t="n">
        <v>35000</v>
      </c>
      <c r="X973" s="410" t="inlineStr">
        <is>
          <t>2.2:1</t>
        </is>
      </c>
      <c r="Y973" s="404">
        <f>ROUND(J973,-3)</f>
        <v/>
      </c>
      <c r="Z973" s="403" t="inlineStr">
        <is>
          <t xml:space="preserve">C </t>
        </is>
      </c>
      <c r="AA973" s="605" t="n">
        <v>3</v>
      </c>
      <c r="AB973" s="605" t="n">
        <v>3</v>
      </c>
      <c r="AC973" s="378" t="inlineStr">
        <is>
          <t>33</t>
        </is>
      </c>
      <c r="AD973" s="384" t="n"/>
      <c r="AE973" s="145" t="n"/>
      <c r="AF973" s="145" t="n"/>
      <c r="AG973" s="145" t="n"/>
      <c r="AH973" s="145" t="n"/>
      <c r="AI973" s="145" t="n"/>
      <c r="AJ973" s="145" t="n"/>
      <c r="AK973" s="145" t="inlineStr">
        <is>
          <t xml:space="preserve">S-T WHSE.                                                         </t>
        </is>
      </c>
      <c r="AL973" s="605">
        <f>IF(AND(ISNUMBER($S973),$S973&gt;0,ISNUMBER($K973),ISNUMBER($J973)),($K973*$J973)/$S973,"")</f>
        <v/>
      </c>
    </row>
    <row r="974" ht="12.75" customHeight="1" s="545">
      <c r="A974" s="388" t="n">
        <v>8</v>
      </c>
      <c r="B974" s="605" t="n">
        <v>966</v>
      </c>
      <c r="C974" s="384" t="inlineStr">
        <is>
          <t>2009W</t>
        </is>
      </c>
      <c r="D974" s="605" t="inlineStr">
        <is>
          <t>05272-23-030-000</t>
        </is>
      </c>
      <c r="E974" s="403" t="inlineStr">
        <is>
          <t>Actual</t>
        </is>
      </c>
      <c r="F974" s="605" t="inlineStr">
        <is>
          <t>2240 S. Broadway</t>
        </is>
      </c>
      <c r="G974" s="392" t="n">
        <v>44.1</v>
      </c>
      <c r="H974" s="605" t="n">
        <v>9509</v>
      </c>
      <c r="I974" s="403" t="n">
        <v>0</v>
      </c>
      <c r="J974" s="393" t="n">
        <v>7934</v>
      </c>
      <c r="K974" s="408" t="n">
        <v>6.81</v>
      </c>
      <c r="L974" s="153" t="n">
        <v>0</v>
      </c>
      <c r="M974" s="153" t="n">
        <v>0</v>
      </c>
      <c r="N974" s="605" t="n">
        <v>1974</v>
      </c>
      <c r="O974" s="404" t="n">
        <v>0</v>
      </c>
      <c r="P974" s="404" t="n">
        <v>2556</v>
      </c>
      <c r="Q974" s="605" t="n">
        <v>13</v>
      </c>
      <c r="R974" s="605" t="n">
        <v>3</v>
      </c>
      <c r="S974" s="605" t="n">
        <v>1</v>
      </c>
      <c r="T974" s="403" t="inlineStr">
        <is>
          <t>B4</t>
        </is>
      </c>
      <c r="U974" s="403" t="n">
        <v>398</v>
      </c>
      <c r="V974" s="404" t="n">
        <v>7812</v>
      </c>
      <c r="W974" s="404" t="n">
        <v>8000</v>
      </c>
      <c r="X974" s="378" t="inlineStr">
        <is>
          <t>1.0:1</t>
        </is>
      </c>
      <c r="Y974" s="404" t="n">
        <v>8000</v>
      </c>
      <c r="Z974" s="403" t="inlineStr">
        <is>
          <t>C</t>
        </is>
      </c>
      <c r="AA974" s="605" t="n">
        <v>3</v>
      </c>
      <c r="AB974" s="605" t="n">
        <v>3</v>
      </c>
      <c r="AC974" s="605" t="n">
        <v>33</v>
      </c>
      <c r="AE974" s="377" t="n">
        <v>6.81</v>
      </c>
      <c r="AF974" s="413" t="n">
        <v>6.81</v>
      </c>
      <c r="AG974" s="413" t="n">
        <v>6.81</v>
      </c>
      <c r="AH974" s="413" t="n">
        <v>0</v>
      </c>
      <c r="AI974" s="413" t="inlineStr">
        <is>
          <t>-</t>
        </is>
      </c>
      <c r="AJ974" s="377" t="inlineStr">
        <is>
          <t>-</t>
        </is>
      </c>
      <c r="AN974" s="145" t="n"/>
      <c r="AO974" s="145" t="n"/>
      <c r="AP974" s="145" t="n"/>
    </row>
    <row r="975" ht="12.75" customHeight="1" s="545">
      <c r="A975" s="388" t="n">
        <v>8</v>
      </c>
      <c r="B975" s="605" t="n">
        <v>967</v>
      </c>
      <c r="C975" s="384" t="inlineStr">
        <is>
          <t>2009Q</t>
        </is>
      </c>
      <c r="D975" s="605" t="inlineStr">
        <is>
          <t xml:space="preserve">05273-12-011-000 </t>
        </is>
      </c>
      <c r="E975" s="407" t="inlineStr">
        <is>
          <t>Actual</t>
        </is>
      </c>
      <c r="F975" s="605" t="inlineStr">
        <is>
          <t>2120 S PLATTE RIVER         DR</t>
        </is>
      </c>
      <c r="G975" s="392" t="n">
        <v>44.1</v>
      </c>
      <c r="H975" s="378" t="n">
        <v>9506</v>
      </c>
      <c r="I975" s="403" t="n">
        <v>0</v>
      </c>
      <c r="J975" s="404" t="n">
        <v>2500</v>
      </c>
      <c r="K975" s="408" t="n">
        <v>9.119999999999999</v>
      </c>
      <c r="L975" s="409" t="n">
        <v>0.33</v>
      </c>
      <c r="M975" s="409" t="n">
        <v>0.0887280701754386</v>
      </c>
      <c r="N975" s="378" t="n">
        <v>1959</v>
      </c>
      <c r="O975" s="393" t="n">
        <v>625</v>
      </c>
      <c r="Q975" s="605" t="n">
        <v>10</v>
      </c>
      <c r="R975" s="605" t="n">
        <v>1</v>
      </c>
      <c r="S975" s="605" t="n">
        <v>1</v>
      </c>
      <c r="T975" s="403" t="inlineStr">
        <is>
          <t xml:space="preserve">I0   </t>
        </is>
      </c>
      <c r="U975" s="403" t="n">
        <v>398</v>
      </c>
      <c r="V975" s="404" t="n">
        <v>7753</v>
      </c>
      <c r="W975" s="404" t="n">
        <v>8000</v>
      </c>
      <c r="X975" s="410" t="inlineStr">
        <is>
          <t>3.1:1</t>
        </is>
      </c>
      <c r="Y975" s="404">
        <f>ROUND(J975,-3)</f>
        <v/>
      </c>
      <c r="Z975" s="403" t="inlineStr">
        <is>
          <t xml:space="preserve">C </t>
        </is>
      </c>
      <c r="AA975" s="605" t="n">
        <v>3</v>
      </c>
      <c r="AB975" s="605" t="n">
        <v>3</v>
      </c>
      <c r="AC975" s="378" t="inlineStr">
        <is>
          <t>33</t>
        </is>
      </c>
      <c r="AD975" s="384" t="inlineStr">
        <is>
          <t>S-W CENTENNIAL MACH.</t>
        </is>
      </c>
      <c r="AE975" s="145" t="n"/>
      <c r="AF975" s="145" t="n"/>
      <c r="AG975" s="145" t="n"/>
      <c r="AH975" s="145" t="n"/>
      <c r="AI975" s="145" t="n"/>
      <c r="AJ975" s="145" t="n"/>
      <c r="AK975" s="145" t="inlineStr">
        <is>
          <t xml:space="preserve">S-T WHSE.                                                         </t>
        </is>
      </c>
      <c r="AL975" s="605">
        <f>IF(AND(ISNUMBER($S975),$S975&gt;0,ISNUMBER($K975),ISNUMBER($J975)),($K975*$J975)/$S975,"")</f>
        <v/>
      </c>
    </row>
    <row r="976" ht="12.75" customHeight="1" s="545">
      <c r="A976" s="388" t="n">
        <v>8</v>
      </c>
      <c r="B976" s="605" t="n">
        <v>968</v>
      </c>
      <c r="C976" s="384" t="inlineStr">
        <is>
          <t>2009Q</t>
        </is>
      </c>
      <c r="D976" s="605" t="inlineStr">
        <is>
          <t xml:space="preserve">05273-15-021-000 </t>
        </is>
      </c>
      <c r="E976" s="407" t="inlineStr">
        <is>
          <t>Actual</t>
        </is>
      </c>
      <c r="F976" s="605" t="inlineStr">
        <is>
          <t>2200 S FOX                  ST</t>
        </is>
      </c>
      <c r="G976" s="392" t="n">
        <v>44.1</v>
      </c>
      <c r="H976" s="378" t="n">
        <v>9506</v>
      </c>
      <c r="I976" s="403" t="n">
        <v>0</v>
      </c>
      <c r="J976" s="404" t="n">
        <v>3136</v>
      </c>
      <c r="K976" s="408" t="n">
        <v>6.69642857142857</v>
      </c>
      <c r="L976" s="409" t="n">
        <v>0</v>
      </c>
      <c r="M976" s="409" t="n">
        <v>0</v>
      </c>
      <c r="N976" s="378" t="n">
        <v>1981</v>
      </c>
      <c r="P976" s="393" t="n">
        <v>729</v>
      </c>
      <c r="Q976" s="605" t="n">
        <v>14</v>
      </c>
      <c r="R976" s="605" t="n">
        <v>8</v>
      </c>
      <c r="S976" s="605" t="n">
        <v>1</v>
      </c>
      <c r="T976" s="403" t="inlineStr">
        <is>
          <t xml:space="preserve">B4   </t>
        </is>
      </c>
      <c r="U976" s="403" t="n">
        <v>398</v>
      </c>
      <c r="V976" s="404" t="n">
        <v>14258</v>
      </c>
      <c r="W976" s="404" t="n">
        <v>14000</v>
      </c>
      <c r="X976" s="410" t="inlineStr">
        <is>
          <t>4.5:1</t>
        </is>
      </c>
      <c r="Y976" s="404">
        <f>ROUND(J976,-3)</f>
        <v/>
      </c>
      <c r="Z976" s="403" t="inlineStr">
        <is>
          <t xml:space="preserve">C </t>
        </is>
      </c>
      <c r="AA976" s="605" t="n">
        <v>3</v>
      </c>
      <c r="AB976" s="605" t="n">
        <v>2</v>
      </c>
      <c r="AC976" s="378" t="inlineStr">
        <is>
          <t>32</t>
        </is>
      </c>
      <c r="AD976" s="384" t="inlineStr">
        <is>
          <t xml:space="preserve">S-W WALTERS AUTO    </t>
        </is>
      </c>
      <c r="AE976" s="145" t="n"/>
      <c r="AF976" s="145" t="n"/>
      <c r="AG976" s="145" t="n"/>
      <c r="AH976" s="145" t="n"/>
      <c r="AI976" s="145" t="n"/>
      <c r="AJ976" s="145" t="n"/>
      <c r="AK976" s="145" t="inlineStr">
        <is>
          <t xml:space="preserve">S-T WHSE.; 2005 LEASE.                                            </t>
        </is>
      </c>
      <c r="AL976" s="605">
        <f>IF(AND(ISNUMBER($S976),$S976&gt;0,ISNUMBER($K976),ISNUMBER($J976)),($K976*$J976)/$S976,"")</f>
        <v/>
      </c>
    </row>
    <row r="977" ht="12.75" customHeight="1" s="545">
      <c r="A977" s="388" t="n">
        <v>8</v>
      </c>
      <c r="B977" s="605" t="n">
        <v>969</v>
      </c>
      <c r="C977" s="384" t="inlineStr">
        <is>
          <t>2009Q</t>
        </is>
      </c>
      <c r="D977" s="605" t="inlineStr">
        <is>
          <t xml:space="preserve">05274-03-008-000 </t>
        </is>
      </c>
      <c r="E977" s="407" t="inlineStr">
        <is>
          <t>Actual</t>
        </is>
      </c>
      <c r="F977" s="605" t="inlineStr">
        <is>
          <t>2385 S DELAWARE             ST</t>
        </is>
      </c>
      <c r="G977" s="392" t="n">
        <v>44.2</v>
      </c>
      <c r="H977" s="378" t="n">
        <v>9506</v>
      </c>
      <c r="I977" s="403" t="n">
        <v>0</v>
      </c>
      <c r="J977" s="404" t="n">
        <v>14970</v>
      </c>
      <c r="K977" s="408" t="n">
        <v>4.00801603206413</v>
      </c>
      <c r="L977" s="409" t="n">
        <v>0</v>
      </c>
      <c r="M977" s="409" t="n">
        <v>0</v>
      </c>
      <c r="N977" s="378" t="n">
        <v>1960</v>
      </c>
      <c r="O977" s="393" t="n">
        <v>1407</v>
      </c>
      <c r="Q977" s="605" t="n">
        <v>13</v>
      </c>
      <c r="R977" s="605" t="n">
        <v>3</v>
      </c>
      <c r="S977" s="605" t="n">
        <v>1</v>
      </c>
      <c r="T977" s="403" t="inlineStr">
        <is>
          <t xml:space="preserve">I1   </t>
        </is>
      </c>
      <c r="U977" s="403" t="n">
        <v>398</v>
      </c>
      <c r="V977" s="404" t="n">
        <v>17968</v>
      </c>
      <c r="W977" s="404" t="n">
        <v>18000</v>
      </c>
      <c r="X977" s="410" t="inlineStr">
        <is>
          <t>1.2:1</t>
        </is>
      </c>
      <c r="Y977" s="404">
        <f>ROUND(J977,-3)</f>
        <v/>
      </c>
      <c r="Z977" s="403" t="inlineStr">
        <is>
          <t xml:space="preserve">C </t>
        </is>
      </c>
      <c r="AA977" s="605" t="n">
        <v>3</v>
      </c>
      <c r="AB977" s="605" t="n">
        <v>1</v>
      </c>
      <c r="AC977" s="378" t="inlineStr">
        <is>
          <t>31</t>
        </is>
      </c>
      <c r="AD977" s="384" t="n"/>
      <c r="AE977" s="145" t="n"/>
      <c r="AF977" s="145" t="n"/>
      <c r="AG977" s="145" t="n"/>
      <c r="AH977" s="145" t="n"/>
      <c r="AI977" s="145" t="n"/>
      <c r="AJ977" s="145" t="n"/>
      <c r="AK977" s="145" t="inlineStr">
        <is>
          <t xml:space="preserve">S-T WHSE.; 2006 LEASE.                                            </t>
        </is>
      </c>
      <c r="AL977" s="605">
        <f>IF(AND(ISNUMBER($S977),$S977&gt;0,ISNUMBER($K977),ISNUMBER($J977)),($K977*$J977)/$S977,"")</f>
        <v/>
      </c>
    </row>
    <row r="978" ht="12.75" customHeight="1" s="545">
      <c r="A978" s="388" t="n">
        <v>8</v>
      </c>
      <c r="B978" s="605" t="n">
        <v>970</v>
      </c>
      <c r="C978" s="384" t="inlineStr">
        <is>
          <t>2009Q</t>
        </is>
      </c>
      <c r="D978" s="605" t="inlineStr">
        <is>
          <t xml:space="preserve">05274-03-009-000 </t>
        </is>
      </c>
      <c r="E978" s="407" t="inlineStr">
        <is>
          <t>Actual</t>
        </is>
      </c>
      <c r="F978" s="605" t="inlineStr">
        <is>
          <t>2345 S DELAWARE             ST</t>
        </is>
      </c>
      <c r="G978" s="392" t="n">
        <v>47.2</v>
      </c>
      <c r="H978" s="378" t="n">
        <v>9506</v>
      </c>
      <c r="I978" s="403" t="n">
        <v>0</v>
      </c>
      <c r="J978" s="404" t="n">
        <v>28581</v>
      </c>
      <c r="K978" s="408" t="n">
        <v>3.9886637976278</v>
      </c>
      <c r="L978" s="409" t="n">
        <v>0</v>
      </c>
      <c r="M978" s="409" t="n">
        <v>0</v>
      </c>
      <c r="N978" s="378" t="n">
        <v>1961</v>
      </c>
      <c r="O978" s="393" t="n">
        <v>6364</v>
      </c>
      <c r="Q978" s="605" t="n">
        <v>13</v>
      </c>
      <c r="R978" s="605" t="n">
        <v>3</v>
      </c>
      <c r="S978" s="605" t="n">
        <v>1</v>
      </c>
      <c r="T978" s="403" t="inlineStr">
        <is>
          <t xml:space="preserve">I1   </t>
        </is>
      </c>
      <c r="U978" s="403" t="n">
        <v>401</v>
      </c>
      <c r="V978" s="404" t="n">
        <v>38282</v>
      </c>
      <c r="W978" s="404" t="n">
        <v>38000</v>
      </c>
      <c r="X978" s="410" t="inlineStr">
        <is>
          <t>1.3:1</t>
        </is>
      </c>
      <c r="Y978" s="404">
        <f>ROUND(J978,-3)</f>
        <v/>
      </c>
      <c r="Z978" s="403" t="inlineStr">
        <is>
          <t xml:space="preserve">C </t>
        </is>
      </c>
      <c r="AA978" s="605" t="n">
        <v>3</v>
      </c>
      <c r="AB978" s="605" t="n">
        <v>2</v>
      </c>
      <c r="AC978" s="378" t="inlineStr">
        <is>
          <t>32</t>
        </is>
      </c>
      <c r="AD978" s="384" t="inlineStr">
        <is>
          <t xml:space="preserve">S-F GOLESH INC.     </t>
        </is>
      </c>
      <c r="AE978" s="145" t="n"/>
      <c r="AF978" s="145" t="n"/>
      <c r="AG978" s="145" t="n"/>
      <c r="AH978" s="145" t="n"/>
      <c r="AI978" s="145" t="n"/>
      <c r="AJ978" s="145" t="n"/>
      <c r="AK978" s="145" t="inlineStr">
        <is>
          <t xml:space="preserve">S-T WHSE.; 2006 LEASE.                                            </t>
        </is>
      </c>
      <c r="AL978" s="605">
        <f>IF(AND(ISNUMBER($S978),$S978&gt;0,ISNUMBER($K978),ISNUMBER($J978)),($K978*$J978)/$S978,"")</f>
        <v/>
      </c>
    </row>
    <row r="979" ht="12.75" customHeight="1" s="545">
      <c r="A979" s="388" t="n">
        <v>8</v>
      </c>
      <c r="B979" s="605" t="n">
        <v>971</v>
      </c>
      <c r="C979" s="384" t="inlineStr">
        <is>
          <t>2009Q</t>
        </is>
      </c>
      <c r="D979" s="605" t="inlineStr">
        <is>
          <t xml:space="preserve">05274-11-008-000 </t>
        </is>
      </c>
      <c r="E979" s="407" t="inlineStr">
        <is>
          <t>Actual</t>
        </is>
      </c>
      <c r="F979" s="605" t="inlineStr">
        <is>
          <t>2525 S DELAWARE             ST</t>
        </is>
      </c>
      <c r="G979" s="392" t="n">
        <v>47.1</v>
      </c>
      <c r="H979" s="378" t="n">
        <v>9506</v>
      </c>
      <c r="I979" s="403" t="n">
        <v>0</v>
      </c>
      <c r="J979" s="404" t="n">
        <v>63727</v>
      </c>
      <c r="K979" s="408" t="n">
        <v>3.12426444050403</v>
      </c>
      <c r="L979" s="409" t="n">
        <v>0</v>
      </c>
      <c r="M979" s="409" t="n">
        <v>0</v>
      </c>
      <c r="N979" s="378" t="n">
        <v>1964</v>
      </c>
      <c r="O979" s="393" t="n">
        <v>3520</v>
      </c>
      <c r="Q979" s="605" t="n">
        <v>19</v>
      </c>
      <c r="R979" s="605" t="n">
        <v>10</v>
      </c>
      <c r="S979" s="605" t="n">
        <v>1</v>
      </c>
      <c r="T979" s="403" t="inlineStr">
        <is>
          <t xml:space="preserve">I1   </t>
        </is>
      </c>
      <c r="U979" s="403" t="n">
        <v>401</v>
      </c>
      <c r="V979" s="404" t="n">
        <v>192233</v>
      </c>
      <c r="W979" s="404" t="n">
        <v>190000</v>
      </c>
      <c r="X979" s="410" t="inlineStr">
        <is>
          <t>3.0:1</t>
        </is>
      </c>
      <c r="Y979" s="404">
        <f>ROUND(J979,-4)</f>
        <v/>
      </c>
      <c r="Z979" s="403" t="inlineStr">
        <is>
          <t xml:space="preserve">C </t>
        </is>
      </c>
      <c r="AA979" s="605" t="n">
        <v>1</v>
      </c>
      <c r="AB979" s="605" t="n">
        <v>3</v>
      </c>
      <c r="AC979" s="378" t="inlineStr">
        <is>
          <t>13</t>
        </is>
      </c>
      <c r="AD979" s="384" t="n"/>
      <c r="AE979" s="145" t="n"/>
      <c r="AF979" s="145" t="n"/>
      <c r="AG979" s="145" t="n"/>
      <c r="AH979" s="145" t="n"/>
      <c r="AI979" s="145" t="n"/>
      <c r="AJ979" s="145" t="n"/>
      <c r="AK979" s="145" t="inlineStr">
        <is>
          <t xml:space="preserve">S-T INDUSTRIAL BLDG.                                              </t>
        </is>
      </c>
      <c r="AL979" s="605">
        <f>IF(AND(ISNUMBER($S979),$S979&gt;0,ISNUMBER($K979),ISNUMBER($J979)),($K979*$J979)/$S979,"")</f>
        <v/>
      </c>
    </row>
    <row r="980" ht="12.75" customHeight="1" s="545">
      <c r="A980" s="388" t="n">
        <v>8</v>
      </c>
      <c r="B980" s="605" t="n">
        <v>972</v>
      </c>
      <c r="C980" s="384" t="inlineStr">
        <is>
          <t>2009Q</t>
        </is>
      </c>
      <c r="D980" s="605" t="inlineStr">
        <is>
          <t xml:space="preserve">05274-12-031-000 </t>
        </is>
      </c>
      <c r="E980" s="407" t="inlineStr">
        <is>
          <t>Actual</t>
        </is>
      </c>
      <c r="F980" s="605" t="inlineStr">
        <is>
          <t>2484 S DELAWARE             ST</t>
        </is>
      </c>
      <c r="G980" s="392" t="n">
        <v>44.2</v>
      </c>
      <c r="H980" s="378" t="n">
        <v>9506</v>
      </c>
      <c r="I980" s="403" t="n">
        <v>0</v>
      </c>
      <c r="J980" s="404" t="n">
        <v>5640</v>
      </c>
      <c r="K980" s="408" t="n">
        <v>3.87234042553192</v>
      </c>
      <c r="L980" s="409" t="n">
        <v>1</v>
      </c>
      <c r="M980" s="409" t="n">
        <v>0.0562271062271062</v>
      </c>
      <c r="N980" s="378" t="n">
        <v>1999</v>
      </c>
      <c r="O980" s="393" t="n">
        <v>734</v>
      </c>
      <c r="Q980" s="605" t="n">
        <v>18</v>
      </c>
      <c r="R980" s="605" t="n">
        <v>3</v>
      </c>
      <c r="S980" s="605" t="n">
        <v>1</v>
      </c>
      <c r="T980" s="403" t="inlineStr">
        <is>
          <t xml:space="preserve">I0   </t>
        </is>
      </c>
      <c r="U980" s="403" t="n">
        <v>398</v>
      </c>
      <c r="V980" s="404" t="n">
        <v>12500</v>
      </c>
      <c r="W980" s="404" t="n">
        <v>13000</v>
      </c>
      <c r="X980" s="410" t="inlineStr">
        <is>
          <t>2.2:1</t>
        </is>
      </c>
      <c r="Y980" s="404">
        <f>ROUND(J980,-3)</f>
        <v/>
      </c>
      <c r="Z980" s="403" t="inlineStr">
        <is>
          <t xml:space="preserve">C </t>
        </is>
      </c>
      <c r="AA980" s="605" t="n">
        <v>3</v>
      </c>
      <c r="AB980" s="605" t="n">
        <v>3</v>
      </c>
      <c r="AC980" s="378" t="inlineStr">
        <is>
          <t>33</t>
        </is>
      </c>
      <c r="AD980" s="384" t="n"/>
      <c r="AE980" s="145" t="n"/>
      <c r="AF980" s="145" t="n"/>
      <c r="AG980" s="145" t="n"/>
      <c r="AH980" s="145" t="n"/>
      <c r="AI980" s="145" t="n"/>
      <c r="AJ980" s="145" t="n"/>
      <c r="AK980" s="145" t="inlineStr">
        <is>
          <t xml:space="preserve">S-T WHSE.; NO LEASE.                                              </t>
        </is>
      </c>
      <c r="AL980" s="605">
        <f>IF(AND(ISNUMBER($S980),$S980&gt;0,ISNUMBER($K980),ISNUMBER($J980)),($K980*$J980)/$S980,"")</f>
        <v/>
      </c>
    </row>
    <row r="981" ht="12.75" customHeight="1" s="545">
      <c r="A981" s="388" t="n">
        <v>8</v>
      </c>
      <c r="B981" s="605" t="n">
        <v>973</v>
      </c>
      <c r="C981" s="384" t="inlineStr">
        <is>
          <t>2009Q</t>
        </is>
      </c>
      <c r="D981" s="605" t="inlineStr">
        <is>
          <t xml:space="preserve">05274-15-029-000 </t>
        </is>
      </c>
      <c r="E981" s="407" t="inlineStr">
        <is>
          <t>Actual</t>
        </is>
      </c>
      <c r="F981" s="605" t="inlineStr">
        <is>
          <t>2536 S DELAWARE             ST</t>
        </is>
      </c>
      <c r="G981" s="392" t="n">
        <v>47.1</v>
      </c>
      <c r="H981" s="378" t="n">
        <v>9506</v>
      </c>
      <c r="I981" s="403" t="n">
        <v>0</v>
      </c>
      <c r="J981" s="404" t="n">
        <v>2487</v>
      </c>
      <c r="K981" s="408" t="n">
        <v>9.650180940892639</v>
      </c>
      <c r="L981" s="409" t="n">
        <v>0</v>
      </c>
      <c r="M981" s="409" t="n">
        <v>0.140125</v>
      </c>
      <c r="N981" s="378" t="n">
        <v>1954</v>
      </c>
      <c r="P981" s="393" t="n">
        <v>1188</v>
      </c>
      <c r="Q981" s="605" t="n">
        <v>16</v>
      </c>
      <c r="R981" s="605" t="n">
        <v>3</v>
      </c>
      <c r="S981" s="605" t="n">
        <v>1</v>
      </c>
      <c r="T981" s="403" t="inlineStr">
        <is>
          <t xml:space="preserve">I0   </t>
        </is>
      </c>
      <c r="U981" s="403" t="n">
        <v>401</v>
      </c>
      <c r="V981" s="404" t="n">
        <v>12500</v>
      </c>
      <c r="W981" s="404" t="n">
        <v>13000</v>
      </c>
      <c r="X981" s="410" t="inlineStr">
        <is>
          <t>5.0:1</t>
        </is>
      </c>
      <c r="Y981" s="404">
        <f>ROUND(J981,-3)</f>
        <v/>
      </c>
      <c r="Z981" s="403" t="inlineStr">
        <is>
          <t xml:space="preserve">C </t>
        </is>
      </c>
      <c r="AA981" s="605" t="n">
        <v>3</v>
      </c>
      <c r="AB981" s="605" t="n">
        <v>3</v>
      </c>
      <c r="AC981" s="378" t="inlineStr">
        <is>
          <t>33</t>
        </is>
      </c>
      <c r="AD981" s="384" t="inlineStr">
        <is>
          <t xml:space="preserve">S-W CS GROUP        </t>
        </is>
      </c>
      <c r="AE981" s="145" t="n"/>
      <c r="AF981" s="145" t="n"/>
      <c r="AG981" s="145" t="n"/>
      <c r="AH981" s="145" t="n"/>
      <c r="AI981" s="145" t="n"/>
      <c r="AJ981" s="145" t="n"/>
      <c r="AK981" s="145" t="inlineStr">
        <is>
          <t xml:space="preserve">S-T WHSE.; MO-TO-MO LEASE.                                        </t>
        </is>
      </c>
      <c r="AL981" s="605">
        <f>IF(AND(ISNUMBER($S981),$S981&gt;0,ISNUMBER($K981),ISNUMBER($J981)),($K981*$J981)/$S981,"")</f>
        <v/>
      </c>
    </row>
    <row r="982" ht="12.75" customHeight="1" s="545">
      <c r="A982" s="388" t="n">
        <v>8</v>
      </c>
      <c r="B982" s="605" t="n">
        <v>974</v>
      </c>
      <c r="C982" s="384" t="inlineStr">
        <is>
          <t>2009Q</t>
        </is>
      </c>
      <c r="D982" s="605" t="inlineStr">
        <is>
          <t xml:space="preserve">05275-02-011-000 </t>
        </is>
      </c>
      <c r="E982" s="407" t="inlineStr">
        <is>
          <t>Actual</t>
        </is>
      </c>
      <c r="F982" s="605" t="inlineStr">
        <is>
          <t>2376 S BROADWAY             ST</t>
        </is>
      </c>
      <c r="G982" s="392" t="n">
        <v>44.1</v>
      </c>
      <c r="H982" s="378" t="n">
        <v>9509</v>
      </c>
      <c r="I982" s="403" t="n">
        <v>2</v>
      </c>
      <c r="J982" s="404" t="n">
        <v>2535</v>
      </c>
      <c r="K982" s="408" t="n">
        <v>5.68047337278107</v>
      </c>
      <c r="L982" s="409" t="n">
        <v>0</v>
      </c>
      <c r="M982" s="409" t="n">
        <v>0.0389583333333333</v>
      </c>
      <c r="N982" s="378" t="n">
        <v>1951</v>
      </c>
      <c r="P982" s="393" t="n">
        <v>1217</v>
      </c>
      <c r="Q982" s="605" t="n">
        <v>9</v>
      </c>
      <c r="R982" s="605" t="n">
        <v>1</v>
      </c>
      <c r="S982" s="605" t="n">
        <v>1</v>
      </c>
      <c r="T982" s="403" t="inlineStr">
        <is>
          <t xml:space="preserve">B4   </t>
        </is>
      </c>
      <c r="U982" s="403" t="n">
        <v>398</v>
      </c>
      <c r="V982" s="404" t="n">
        <v>4687</v>
      </c>
      <c r="W982" s="404" t="n">
        <v>5000</v>
      </c>
      <c r="X982" s="410" t="inlineStr">
        <is>
          <t>1.8:1</t>
        </is>
      </c>
      <c r="Y982" s="404">
        <f>ROUND(J982,-3)</f>
        <v/>
      </c>
      <c r="Z982" s="403" t="inlineStr">
        <is>
          <t xml:space="preserve">C </t>
        </is>
      </c>
      <c r="AA982" s="605" t="n">
        <v>3</v>
      </c>
      <c r="AB982" s="605" t="n">
        <v>3</v>
      </c>
      <c r="AC982" s="378" t="inlineStr">
        <is>
          <t>33</t>
        </is>
      </c>
      <c r="AD982" s="384" t="inlineStr">
        <is>
          <t xml:space="preserve">#1 AUTO SALES       </t>
        </is>
      </c>
      <c r="AE982" s="145" t="n"/>
      <c r="AF982" s="145" t="n"/>
      <c r="AG982" s="145" t="n"/>
      <c r="AH982" s="145" t="n"/>
      <c r="AI982" s="145" t="n"/>
      <c r="AJ982" s="145" t="n"/>
      <c r="AK982" s="145" t="inlineStr">
        <is>
          <t xml:space="preserve">S-T WHSE.; 2005 LEASE.                                            </t>
        </is>
      </c>
      <c r="AL982" s="605">
        <f>IF(AND(ISNUMBER($S982),$S982&gt;0,ISNUMBER($K982),ISNUMBER($J982)),($K982*$J982)/$S982,"")</f>
        <v/>
      </c>
    </row>
    <row r="983" ht="12.75" customHeight="1" s="545">
      <c r="A983" s="388" t="n">
        <v>8</v>
      </c>
      <c r="B983" s="605" t="n">
        <v>975</v>
      </c>
      <c r="C983" s="384" t="inlineStr">
        <is>
          <t>2009Q</t>
        </is>
      </c>
      <c r="D983" s="605" t="inlineStr">
        <is>
          <t xml:space="preserve">05281-01-014-000 </t>
        </is>
      </c>
      <c r="E983" s="407" t="inlineStr">
        <is>
          <t>Actual</t>
        </is>
      </c>
      <c r="F983" s="605" t="inlineStr">
        <is>
          <t>1310 W JEWELL               AV</t>
        </is>
      </c>
      <c r="G983" s="392" t="n">
        <v>44.1</v>
      </c>
      <c r="H983" s="378" t="n">
        <v>9506</v>
      </c>
      <c r="I983" s="403" t="n">
        <v>0</v>
      </c>
      <c r="J983" s="404" t="n">
        <v>6181</v>
      </c>
      <c r="K983" s="408" t="n">
        <v>12.6193172625789</v>
      </c>
      <c r="L983" s="409" t="n">
        <v>0</v>
      </c>
      <c r="M983" s="409" t="n">
        <v>0.0512820512820513</v>
      </c>
      <c r="N983" s="378" t="n">
        <v>1969</v>
      </c>
      <c r="P983" s="393" t="n">
        <v>2605</v>
      </c>
      <c r="Q983" s="605" t="n">
        <v>15</v>
      </c>
      <c r="R983" s="605" t="n">
        <v>3</v>
      </c>
      <c r="S983" s="605" t="n">
        <v>1</v>
      </c>
      <c r="T983" s="403" t="inlineStr">
        <is>
          <t xml:space="preserve">I0   </t>
        </is>
      </c>
      <c r="U983" s="403" t="n">
        <v>398</v>
      </c>
      <c r="V983" s="404" t="n">
        <v>37500</v>
      </c>
      <c r="W983" s="404" t="n">
        <v>38000</v>
      </c>
      <c r="X983" s="410" t="inlineStr">
        <is>
          <t>6.1:1</t>
        </is>
      </c>
      <c r="Y983" s="404">
        <f>ROUND(J983,-3)</f>
        <v/>
      </c>
      <c r="Z983" s="403" t="inlineStr">
        <is>
          <t xml:space="preserve">C </t>
        </is>
      </c>
      <c r="AA983" s="605" t="n">
        <v>3</v>
      </c>
      <c r="AB983" s="605" t="n">
        <v>3</v>
      </c>
      <c r="AC983" s="378" t="inlineStr">
        <is>
          <t>33</t>
        </is>
      </c>
      <c r="AD983" s="384" t="inlineStr">
        <is>
          <t xml:space="preserve">COLO STATE PAINTING </t>
        </is>
      </c>
      <c r="AE983" s="145" t="n"/>
      <c r="AF983" s="145" t="n"/>
      <c r="AG983" s="145" t="n"/>
      <c r="AH983" s="145" t="n"/>
      <c r="AI983" s="145" t="n"/>
      <c r="AJ983" s="145" t="n"/>
      <c r="AK983" s="145" t="inlineStr">
        <is>
          <t xml:space="preserve">S-T WHSE.; SITE CONTAINS EXCESS LAND.                             </t>
        </is>
      </c>
      <c r="AL983" s="605">
        <f>IF(AND(ISNUMBER($S983),$S983&gt;0,ISNUMBER($K983),ISNUMBER($J983)),($K983*$J983)/$S983,"")</f>
        <v/>
      </c>
    </row>
    <row r="984" ht="12.75" customHeight="1" s="545">
      <c r="A984" s="388" t="n">
        <v>8</v>
      </c>
      <c r="B984" s="605" t="n">
        <v>976</v>
      </c>
      <c r="C984" s="384" t="inlineStr">
        <is>
          <t>2009Q</t>
        </is>
      </c>
      <c r="D984" s="605" t="inlineStr">
        <is>
          <t xml:space="preserve">05281-05-022-000 </t>
        </is>
      </c>
      <c r="E984" s="407" t="inlineStr">
        <is>
          <t>Actual</t>
        </is>
      </c>
      <c r="F984" s="605" t="inlineStr">
        <is>
          <t>2059 S NAVAJO               ST</t>
        </is>
      </c>
      <c r="G984" s="392" t="n">
        <v>44.5</v>
      </c>
      <c r="H984" s="378" t="n">
        <v>9506</v>
      </c>
      <c r="I984" s="403" t="n">
        <v>0</v>
      </c>
      <c r="J984" s="404" t="n">
        <v>29799</v>
      </c>
      <c r="K984" s="408" t="n">
        <v>8.12107788851975</v>
      </c>
      <c r="L984" s="409" t="n">
        <v>0</v>
      </c>
      <c r="M984" s="409" t="n">
        <v>0.259710743801653</v>
      </c>
      <c r="N984" s="378" t="n">
        <v>2000</v>
      </c>
      <c r="O984" s="393" t="n">
        <v>379</v>
      </c>
      <c r="P984" s="393" t="n">
        <v>825</v>
      </c>
      <c r="Q984" s="605" t="n">
        <v>10</v>
      </c>
      <c r="R984" s="605" t="n">
        <v>1</v>
      </c>
      <c r="S984" s="605" t="n">
        <v>255</v>
      </c>
      <c r="T984" s="403" t="inlineStr">
        <is>
          <t xml:space="preserve">I2   </t>
        </is>
      </c>
      <c r="U984" s="403" t="n">
        <v>396</v>
      </c>
      <c r="V984" s="404" t="n">
        <v>33300</v>
      </c>
      <c r="W984" s="404" t="n">
        <v>33000</v>
      </c>
      <c r="X984" s="410" t="inlineStr">
        <is>
          <t>1.1:1</t>
        </is>
      </c>
      <c r="Y984" s="404">
        <f>ROUND(J984,-3)</f>
        <v/>
      </c>
      <c r="Z984" s="403" t="inlineStr">
        <is>
          <t xml:space="preserve">C </t>
        </is>
      </c>
      <c r="AA984" s="605" t="n">
        <v>3</v>
      </c>
      <c r="AB984" s="605" t="n">
        <v>3</v>
      </c>
      <c r="AC984" s="378" t="inlineStr">
        <is>
          <t>33</t>
        </is>
      </c>
      <c r="AD984" s="384" t="inlineStr">
        <is>
          <t>ACCSS ANYTME SLFSTGE</t>
        </is>
      </c>
      <c r="AE984" s="145" t="n"/>
      <c r="AF984" s="145" t="n"/>
      <c r="AG984" s="145" t="n"/>
      <c r="AH984" s="145" t="n"/>
      <c r="AI984" s="145" t="n"/>
      <c r="AJ984" s="145" t="n"/>
      <c r="AK984" s="145" t="n"/>
      <c r="AL984" s="605">
        <f>IF(AND(ISNUMBER($S984),$S984&gt;0,ISNUMBER($K984),ISNUMBER($J984)),($K984*$J984)/$S984,"")</f>
        <v/>
      </c>
    </row>
    <row r="985" ht="12.75" customHeight="1" s="545">
      <c r="A985" s="388" t="n">
        <v>8</v>
      </c>
      <c r="B985" s="605" t="n">
        <v>977</v>
      </c>
      <c r="C985" s="384" t="inlineStr">
        <is>
          <t>2009Q</t>
        </is>
      </c>
      <c r="D985" s="605" t="inlineStr">
        <is>
          <t xml:space="preserve">05281-06-010-000 </t>
        </is>
      </c>
      <c r="E985" s="407" t="inlineStr">
        <is>
          <t>Actual</t>
        </is>
      </c>
      <c r="F985" s="605" t="inlineStr">
        <is>
          <t>2068 S NAVAJO               ST</t>
        </is>
      </c>
      <c r="G985" s="392" t="n">
        <v>44.1</v>
      </c>
      <c r="H985" s="378" t="n">
        <v>9506</v>
      </c>
      <c r="I985" s="403" t="n">
        <v>0</v>
      </c>
      <c r="J985" s="404" t="n">
        <v>3850</v>
      </c>
      <c r="K985" s="408" t="n">
        <v>7.79220779220779</v>
      </c>
      <c r="L985" s="409" t="n">
        <v>0</v>
      </c>
      <c r="M985" s="409" t="n">
        <v>0.145</v>
      </c>
      <c r="N985" s="378" t="n">
        <v>1962</v>
      </c>
      <c r="Q985" s="605" t="n">
        <v>13</v>
      </c>
      <c r="R985" s="605" t="n">
        <v>3</v>
      </c>
      <c r="S985" s="605" t="n">
        <v>1</v>
      </c>
      <c r="T985" s="403" t="inlineStr">
        <is>
          <t xml:space="preserve">I2   </t>
        </is>
      </c>
      <c r="U985" s="403" t="n">
        <v>398</v>
      </c>
      <c r="V985" s="404" t="n">
        <v>5988</v>
      </c>
      <c r="W985" s="404" t="n">
        <v>6000</v>
      </c>
      <c r="X985" s="410" t="inlineStr">
        <is>
          <t>1.6:1</t>
        </is>
      </c>
      <c r="Y985" s="404">
        <f>ROUND(J985,-3)</f>
        <v/>
      </c>
      <c r="Z985" s="403" t="inlineStr">
        <is>
          <t xml:space="preserve">C </t>
        </is>
      </c>
      <c r="AA985" s="605" t="n">
        <v>1</v>
      </c>
      <c r="AB985" s="605" t="n">
        <v>3</v>
      </c>
      <c r="AC985" s="378" t="inlineStr">
        <is>
          <t>13</t>
        </is>
      </c>
      <c r="AD985" s="384" t="n"/>
      <c r="AE985" s="145" t="n"/>
      <c r="AF985" s="145" t="n"/>
      <c r="AG985" s="145" t="n"/>
      <c r="AH985" s="145" t="n"/>
      <c r="AI985" s="145" t="n"/>
      <c r="AJ985" s="145" t="n"/>
      <c r="AK985" s="145" t="inlineStr">
        <is>
          <t xml:space="preserve">S-T WHSE.                                                         </t>
        </is>
      </c>
      <c r="AL985" s="605">
        <f>IF(AND(ISNUMBER($S985),$S985&gt;0,ISNUMBER($K985),ISNUMBER($J985)),($K985*$J985)/$S985,"")</f>
        <v/>
      </c>
    </row>
    <row r="986" ht="12.75" customHeight="1" s="545">
      <c r="A986" s="388" t="n">
        <v>8</v>
      </c>
      <c r="B986" s="605" t="n">
        <v>978</v>
      </c>
      <c r="C986" s="384" t="inlineStr">
        <is>
          <t>2009Q</t>
        </is>
      </c>
      <c r="D986" s="605" t="inlineStr">
        <is>
          <t xml:space="preserve">05281-13-019-000 </t>
        </is>
      </c>
      <c r="E986" s="407" t="inlineStr">
        <is>
          <t>Actual</t>
        </is>
      </c>
      <c r="F986" s="605" t="inlineStr">
        <is>
          <t>950 W EVANS                AV</t>
        </is>
      </c>
      <c r="G986" s="392" t="n">
        <v>44.1</v>
      </c>
      <c r="H986" s="378" t="n">
        <v>9506</v>
      </c>
      <c r="I986" s="403" t="n">
        <v>0</v>
      </c>
      <c r="J986" s="404" t="n">
        <v>7065</v>
      </c>
      <c r="K986" s="408" t="n">
        <v>6.79405520169851</v>
      </c>
      <c r="L986" s="409" t="n">
        <v>0</v>
      </c>
      <c r="M986" s="409" t="n">
        <v>0</v>
      </c>
      <c r="N986" s="378" t="n">
        <v>1977</v>
      </c>
      <c r="O986" s="393">
        <f>1174+1259</f>
        <v/>
      </c>
      <c r="Q986" s="605" t="n">
        <v>12</v>
      </c>
      <c r="R986" s="605" t="n">
        <v>1</v>
      </c>
      <c r="S986" s="605" t="n">
        <v>1</v>
      </c>
      <c r="T986" s="403" t="inlineStr">
        <is>
          <t xml:space="preserve">I1   </t>
        </is>
      </c>
      <c r="U986" s="403" t="n">
        <v>398</v>
      </c>
      <c r="V986" s="404" t="n">
        <v>21875</v>
      </c>
      <c r="W986" s="404" t="n">
        <v>22000</v>
      </c>
      <c r="X986" s="410" t="inlineStr">
        <is>
          <t>3.1:1</t>
        </is>
      </c>
      <c r="Y986" s="404">
        <f>ROUND(J986,-3)</f>
        <v/>
      </c>
      <c r="Z986" s="403" t="inlineStr">
        <is>
          <t xml:space="preserve">C </t>
        </is>
      </c>
      <c r="AA986" s="605" t="n">
        <v>3</v>
      </c>
      <c r="AB986" s="605" t="n">
        <v>3</v>
      </c>
      <c r="AC986" s="378" t="inlineStr">
        <is>
          <t>33</t>
        </is>
      </c>
      <c r="AD986" s="384" t="inlineStr">
        <is>
          <t>DIST/SHWRM/SINGLE TE</t>
        </is>
      </c>
      <c r="AE986" s="145" t="n"/>
      <c r="AF986" s="145" t="n"/>
      <c r="AG986" s="145" t="n"/>
      <c r="AH986" s="145" t="n"/>
      <c r="AI986" s="145" t="n"/>
      <c r="AJ986" s="145" t="n"/>
      <c r="AK986" s="145" t="inlineStr">
        <is>
          <t xml:space="preserve">S-T WHSE.; AGE OF LEASE UNKNOWN.                                  </t>
        </is>
      </c>
      <c r="AL986" s="605">
        <f>IF(AND(ISNUMBER($S986),$S986&gt;0,ISNUMBER($K986),ISNUMBER($J986)),($K986*$J986)/$S986,"")</f>
        <v/>
      </c>
    </row>
    <row r="987" ht="12.75" customHeight="1" s="545">
      <c r="A987" s="388" t="n">
        <v>8</v>
      </c>
      <c r="B987" s="605" t="n">
        <v>979</v>
      </c>
      <c r="C987" s="384" t="inlineStr">
        <is>
          <t>2009Q</t>
        </is>
      </c>
      <c r="D987" s="605" t="inlineStr">
        <is>
          <t xml:space="preserve">05281-14-016-000 </t>
        </is>
      </c>
      <c r="E987" s="407" t="inlineStr">
        <is>
          <t>Actual</t>
        </is>
      </c>
      <c r="F987" s="605" t="inlineStr">
        <is>
          <t>2126 S KALAMATH             ST</t>
        </is>
      </c>
      <c r="G987" s="392" t="n">
        <v>44.2</v>
      </c>
      <c r="H987" s="378" t="n">
        <v>9506</v>
      </c>
      <c r="I987" s="403" t="n">
        <v>0</v>
      </c>
      <c r="J987" s="404" t="n">
        <v>4000</v>
      </c>
      <c r="K987" s="408" t="n">
        <v>6.2</v>
      </c>
      <c r="L987" s="409" t="n">
        <v>0</v>
      </c>
      <c r="M987" s="409" t="n">
        <v>0.109677419354839</v>
      </c>
      <c r="N987" s="378" t="n">
        <v>1957</v>
      </c>
      <c r="O987" s="393" t="n">
        <v>369</v>
      </c>
      <c r="Q987" s="605" t="n">
        <v>12</v>
      </c>
      <c r="R987" s="605" t="n">
        <v>1</v>
      </c>
      <c r="S987" s="605" t="n">
        <v>2</v>
      </c>
      <c r="T987" s="403" t="inlineStr">
        <is>
          <t xml:space="preserve">I1   </t>
        </is>
      </c>
      <c r="U987" s="403" t="n">
        <v>398</v>
      </c>
      <c r="V987" s="404" t="n">
        <v>9375</v>
      </c>
      <c r="W987" s="404" t="n">
        <v>9000</v>
      </c>
      <c r="X987" s="410" t="inlineStr">
        <is>
          <t>2.3:1</t>
        </is>
      </c>
      <c r="Y987" s="404">
        <f>ROUND(J987,-3)</f>
        <v/>
      </c>
      <c r="Z987" s="403" t="inlineStr">
        <is>
          <t xml:space="preserve">C </t>
        </is>
      </c>
      <c r="AA987" s="605" t="n">
        <v>3</v>
      </c>
      <c r="AB987" s="605" t="n">
        <v>3</v>
      </c>
      <c r="AC987" s="378" t="inlineStr">
        <is>
          <t>33</t>
        </is>
      </c>
      <c r="AD987" s="384" t="inlineStr">
        <is>
          <t>M-W NEW HERITAGE CRT</t>
        </is>
      </c>
      <c r="AE987" s="145" t="n"/>
      <c r="AF987" s="145" t="n"/>
      <c r="AG987" s="145" t="n"/>
      <c r="AH987" s="145" t="n"/>
      <c r="AI987" s="145" t="n"/>
      <c r="AJ987" s="145" t="n"/>
      <c r="AK987" s="145" t="inlineStr">
        <is>
          <t xml:space="preserve">M-T RETAIL; LEASES 2006 &amp; 2007.; 2 TENANTS.                       </t>
        </is>
      </c>
      <c r="AL987" s="605">
        <f>IF(AND(ISNUMBER($S987),$S987&gt;0,ISNUMBER($K987),ISNUMBER($J987)),($K987*$J987)/$S987,"")</f>
        <v/>
      </c>
    </row>
    <row r="988" ht="12.75" customHeight="1" s="545">
      <c r="A988" s="388" t="n">
        <v>8</v>
      </c>
      <c r="B988" s="605" t="n">
        <v>980</v>
      </c>
      <c r="C988" s="384" t="inlineStr">
        <is>
          <t>2009Q</t>
        </is>
      </c>
      <c r="D988" s="605" t="inlineStr">
        <is>
          <t xml:space="preserve">05281-14-017-000 </t>
        </is>
      </c>
      <c r="E988" s="407" t="inlineStr">
        <is>
          <t>Actual</t>
        </is>
      </c>
      <c r="F988" s="605" t="inlineStr">
        <is>
          <t>2140 S KALAMATH             ST</t>
        </is>
      </c>
      <c r="G988" s="392" t="n">
        <v>44.1</v>
      </c>
      <c r="H988" s="378" t="n">
        <v>9506</v>
      </c>
      <c r="I988" s="403" t="n">
        <v>0</v>
      </c>
      <c r="J988" s="404" t="n">
        <v>3987</v>
      </c>
      <c r="K988" s="408" t="n">
        <v>5.472786556308</v>
      </c>
      <c r="L988" s="409" t="n">
        <v>0</v>
      </c>
      <c r="M988" s="409" t="n">
        <v>0.0992667277726856</v>
      </c>
      <c r="N988" s="378" t="n">
        <v>1960</v>
      </c>
      <c r="Q988" s="605" t="n">
        <v>12</v>
      </c>
      <c r="R988" s="605" t="n">
        <v>1</v>
      </c>
      <c r="S988" s="605" t="n">
        <v>2</v>
      </c>
      <c r="T988" s="403" t="inlineStr">
        <is>
          <t xml:space="preserve">I1   </t>
        </is>
      </c>
      <c r="U988" s="403" t="n">
        <v>398</v>
      </c>
      <c r="V988" s="404" t="n">
        <v>9375</v>
      </c>
      <c r="W988" s="404" t="n">
        <v>9000</v>
      </c>
      <c r="X988" s="410" t="inlineStr">
        <is>
          <t>2.4:1</t>
        </is>
      </c>
      <c r="Y988" s="404">
        <f>ROUND(J988,-3)</f>
        <v/>
      </c>
      <c r="Z988" s="403" t="inlineStr">
        <is>
          <t xml:space="preserve">C </t>
        </is>
      </c>
      <c r="AA988" s="605" t="n">
        <v>3</v>
      </c>
      <c r="AB988" s="605" t="n">
        <v>3</v>
      </c>
      <c r="AC988" s="378" t="inlineStr">
        <is>
          <t>33</t>
        </is>
      </c>
      <c r="AD988" s="384" t="inlineStr">
        <is>
          <t>M-W GUS SHEKER STUDI</t>
        </is>
      </c>
      <c r="AE988" s="145" t="n"/>
      <c r="AF988" s="145" t="n"/>
      <c r="AG988" s="145" t="n"/>
      <c r="AH988" s="145" t="n"/>
      <c r="AI988" s="145" t="n"/>
      <c r="AJ988" s="145" t="n"/>
      <c r="AK988" s="145" t="inlineStr">
        <is>
          <t xml:space="preserve">M-T WHSE.; 2 TENANTS; 2006 LEASES.                                </t>
        </is>
      </c>
      <c r="AL988" s="605">
        <f>IF(AND(ISNUMBER($S988),$S988&gt;0,ISNUMBER($K988),ISNUMBER($J988)),($K988*$J988)/$S988,"")</f>
        <v/>
      </c>
    </row>
    <row r="989" ht="12.75" customHeight="1" s="545">
      <c r="A989" s="388" t="n">
        <v>8</v>
      </c>
      <c r="B989" s="605" t="n">
        <v>981</v>
      </c>
      <c r="C989" s="384" t="inlineStr">
        <is>
          <t>2009Q</t>
        </is>
      </c>
      <c r="D989" s="605" t="inlineStr">
        <is>
          <t xml:space="preserve">05281-14-018-000 </t>
        </is>
      </c>
      <c r="E989" s="407" t="inlineStr">
        <is>
          <t>Actual</t>
        </is>
      </c>
      <c r="F989" s="605" t="inlineStr">
        <is>
          <t>2150 S KALAMATH             ST</t>
        </is>
      </c>
      <c r="G989" s="392" t="n">
        <v>44.1</v>
      </c>
      <c r="H989" s="378" t="n">
        <v>9506</v>
      </c>
      <c r="I989" s="403" t="n">
        <v>0</v>
      </c>
      <c r="J989" s="404" t="n">
        <v>4000</v>
      </c>
      <c r="K989" s="408" t="n">
        <v>5.665</v>
      </c>
      <c r="L989" s="409" t="n">
        <v>0</v>
      </c>
      <c r="M989" s="409" t="n">
        <v>0.0972639011473963</v>
      </c>
      <c r="N989" s="378" t="n">
        <v>1962</v>
      </c>
      <c r="Q989" s="605" t="n">
        <v>12</v>
      </c>
      <c r="R989" s="605" t="n">
        <v>1</v>
      </c>
      <c r="S989" s="605" t="n">
        <v>1</v>
      </c>
      <c r="T989" s="403" t="inlineStr">
        <is>
          <t xml:space="preserve">I1   </t>
        </is>
      </c>
      <c r="U989" s="403" t="n">
        <v>398</v>
      </c>
      <c r="V989" s="404" t="n">
        <v>9375</v>
      </c>
      <c r="W989" s="404" t="n">
        <v>9000</v>
      </c>
      <c r="X989" s="410" t="inlineStr">
        <is>
          <t>2.3:1</t>
        </is>
      </c>
      <c r="Y989" s="404">
        <f>ROUND(J989,-3)</f>
        <v/>
      </c>
      <c r="Z989" s="403" t="inlineStr">
        <is>
          <t xml:space="preserve">C </t>
        </is>
      </c>
      <c r="AA989" s="605" t="n">
        <v>3</v>
      </c>
      <c r="AB989" s="605" t="n">
        <v>3</v>
      </c>
      <c r="AC989" s="378" t="inlineStr">
        <is>
          <t>33</t>
        </is>
      </c>
      <c r="AD989" s="384" t="inlineStr">
        <is>
          <t xml:space="preserve">S-W ABLE SIGN       </t>
        </is>
      </c>
      <c r="AE989" s="145" t="n"/>
      <c r="AF989" s="145" t="n"/>
      <c r="AG989" s="145" t="n"/>
      <c r="AH989" s="145" t="n"/>
      <c r="AI989" s="145" t="n"/>
      <c r="AJ989" s="145" t="n"/>
      <c r="AK989" s="145" t="inlineStr">
        <is>
          <t xml:space="preserve">M-T WHSE.; 2 TENANTS; 2006 LEASES.                                </t>
        </is>
      </c>
      <c r="AL989" s="605">
        <f>IF(AND(ISNUMBER($S989),$S989&gt;0,ISNUMBER($K989),ISNUMBER($J989)),($K989*$J989)/$S989,"")</f>
        <v/>
      </c>
    </row>
    <row r="990" ht="12.75" customHeight="1" s="545">
      <c r="A990" s="388" t="n">
        <v>8</v>
      </c>
      <c r="B990" s="605" t="n">
        <v>982</v>
      </c>
      <c r="C990" s="384" t="inlineStr">
        <is>
          <t>2009Q</t>
        </is>
      </c>
      <c r="D990" s="605" t="inlineStr">
        <is>
          <t xml:space="preserve">05281-14-019-000 </t>
        </is>
      </c>
      <c r="E990" s="407" t="inlineStr">
        <is>
          <t>Actual</t>
        </is>
      </c>
      <c r="F990" s="605" t="inlineStr">
        <is>
          <t>2168 S KALAMATH             ST</t>
        </is>
      </c>
      <c r="G990" s="392" t="n">
        <v>47.2</v>
      </c>
      <c r="H990" s="378" t="n">
        <v>9506</v>
      </c>
      <c r="I990" s="403" t="n">
        <v>0</v>
      </c>
      <c r="J990" s="404" t="n">
        <v>4000</v>
      </c>
      <c r="K990" s="408" t="n">
        <v>5.657</v>
      </c>
      <c r="L990" s="409" t="n">
        <v>0</v>
      </c>
      <c r="M990" s="409" t="n">
        <v>0.267367862824819</v>
      </c>
      <c r="N990" s="378" t="n">
        <v>1956</v>
      </c>
      <c r="O990" s="393" t="n">
        <v>200</v>
      </c>
      <c r="Q990" s="605" t="n">
        <v>14</v>
      </c>
      <c r="R990" s="605" t="n">
        <v>1</v>
      </c>
      <c r="S990" s="605" t="n">
        <v>1</v>
      </c>
      <c r="T990" s="403" t="inlineStr">
        <is>
          <t xml:space="preserve">I1   </t>
        </is>
      </c>
      <c r="U990" s="403" t="n">
        <v>401</v>
      </c>
      <c r="V990" s="404" t="n">
        <v>12500</v>
      </c>
      <c r="W990" s="404" t="n">
        <v>13000</v>
      </c>
      <c r="X990" s="410" t="inlineStr">
        <is>
          <t>3.1:1</t>
        </is>
      </c>
      <c r="Y990" s="404">
        <f>ROUND(J990,-3)</f>
        <v/>
      </c>
      <c r="Z990" s="403" t="inlineStr">
        <is>
          <t xml:space="preserve">C </t>
        </is>
      </c>
      <c r="AA990" s="605" t="n">
        <v>3</v>
      </c>
      <c r="AB990" s="605" t="n">
        <v>3</v>
      </c>
      <c r="AC990" s="378" t="inlineStr">
        <is>
          <t>33</t>
        </is>
      </c>
      <c r="AD990" s="384" t="inlineStr">
        <is>
          <t xml:space="preserve">S-F ELEMER'S MANUF. </t>
        </is>
      </c>
      <c r="AE990" s="145" t="n"/>
      <c r="AF990" s="145" t="n"/>
      <c r="AG990" s="145" t="n"/>
      <c r="AH990" s="145" t="n"/>
      <c r="AI990" s="145" t="n"/>
      <c r="AJ990" s="145" t="n"/>
      <c r="AK990" s="145" t="inlineStr">
        <is>
          <t xml:space="preserve">S-T WHSE.; 2 TENANTS; 2006 &amp; 2007 LEASES.                         </t>
        </is>
      </c>
      <c r="AL990" s="605">
        <f>IF(AND(ISNUMBER($S990),$S990&gt;0,ISNUMBER($K990),ISNUMBER($J990)),($K990*$J990)/$S990,"")</f>
        <v/>
      </c>
    </row>
    <row r="991" ht="12.75" customHeight="1" s="545">
      <c r="A991" s="388" t="n">
        <v>8</v>
      </c>
      <c r="B991" s="605" t="n">
        <v>983</v>
      </c>
      <c r="C991" s="384" t="inlineStr">
        <is>
          <t>2009Q</t>
        </is>
      </c>
      <c r="D991" s="605" t="inlineStr">
        <is>
          <t xml:space="preserve">05281-15-007-000 </t>
        </is>
      </c>
      <c r="E991" s="407" t="inlineStr">
        <is>
          <t>Actual</t>
        </is>
      </c>
      <c r="F991" s="605" t="inlineStr">
        <is>
          <t>2130 S LIPAN                ST</t>
        </is>
      </c>
      <c r="G991" s="392" t="n">
        <v>44.2</v>
      </c>
      <c r="H991" s="378" t="n">
        <v>9506</v>
      </c>
      <c r="I991" s="403" t="n">
        <v>0</v>
      </c>
      <c r="J991" s="404" t="n">
        <v>11532</v>
      </c>
      <c r="K991" s="408" t="n">
        <v>5.72320499479709</v>
      </c>
      <c r="L991" s="409" t="n">
        <v>0</v>
      </c>
      <c r="M991" s="409" t="n">
        <v>0.09362121212121211</v>
      </c>
      <c r="N991" s="378" t="n">
        <v>1960</v>
      </c>
      <c r="O991" s="393" t="n">
        <v>909</v>
      </c>
      <c r="Q991" s="605" t="n">
        <v>12</v>
      </c>
      <c r="R991" s="605" t="n">
        <v>3</v>
      </c>
      <c r="S991" s="605" t="n">
        <v>1</v>
      </c>
      <c r="T991" s="403" t="inlineStr">
        <is>
          <t xml:space="preserve">I1   </t>
        </is>
      </c>
      <c r="U991" s="403" t="n">
        <v>397</v>
      </c>
      <c r="V991" s="404" t="n">
        <v>18750</v>
      </c>
      <c r="W991" s="404" t="n">
        <v>19000</v>
      </c>
      <c r="X991" s="410" t="inlineStr">
        <is>
          <t>1.6:1</t>
        </is>
      </c>
      <c r="Y991" s="404">
        <f>ROUND(J991,-3)</f>
        <v/>
      </c>
      <c r="Z991" s="403" t="inlineStr">
        <is>
          <t xml:space="preserve">C </t>
        </is>
      </c>
      <c r="AA991" s="605" t="n">
        <v>3</v>
      </c>
      <c r="AB991" s="605" t="n">
        <v>3</v>
      </c>
      <c r="AC991" s="378" t="inlineStr">
        <is>
          <t>33</t>
        </is>
      </c>
      <c r="AD991" s="384" t="inlineStr">
        <is>
          <t>CHIPS WHSLS &amp; PYMSTR</t>
        </is>
      </c>
      <c r="AE991" s="145" t="n"/>
      <c r="AF991" s="145" t="n"/>
      <c r="AG991" s="145" t="n"/>
      <c r="AH991" s="145" t="n"/>
      <c r="AI991" s="145" t="n"/>
      <c r="AJ991" s="145" t="n"/>
      <c r="AK991" s="145" t="inlineStr">
        <is>
          <t xml:space="preserve">TENANCY &amp; LEASE TERMS UNKNOWN.                                    </t>
        </is>
      </c>
      <c r="AL991" s="605">
        <f>IF(AND(ISNUMBER($S991),$S991&gt;0,ISNUMBER($K991),ISNUMBER($J991)),($K991*$J991)/$S991,"")</f>
        <v/>
      </c>
    </row>
    <row r="992" ht="12.75" customHeight="1" s="545">
      <c r="A992" s="388" t="n">
        <v>8</v>
      </c>
      <c r="B992" s="605" t="n">
        <v>984</v>
      </c>
      <c r="C992" s="384" t="inlineStr">
        <is>
          <t>2009Q</t>
        </is>
      </c>
      <c r="D992" s="605" t="inlineStr">
        <is>
          <t xml:space="preserve">05281-15-013-000 </t>
        </is>
      </c>
      <c r="E992" s="407" t="inlineStr">
        <is>
          <t>Actual</t>
        </is>
      </c>
      <c r="F992" s="605" t="inlineStr">
        <is>
          <t>1130 W EVANS                AV</t>
        </is>
      </c>
      <c r="G992" s="392" t="n">
        <v>44.2</v>
      </c>
      <c r="H992" s="378" t="n">
        <v>9506</v>
      </c>
      <c r="I992" s="403" t="n">
        <v>0</v>
      </c>
      <c r="J992" s="404" t="n">
        <v>10010</v>
      </c>
      <c r="K992" s="408" t="n">
        <v>6.60719280719281</v>
      </c>
      <c r="L992" s="409" t="n">
        <v>0</v>
      </c>
      <c r="M992" s="409" t="n">
        <v>0.0154978983337869</v>
      </c>
      <c r="N992" s="378" t="n">
        <v>1961</v>
      </c>
      <c r="O992" s="393" t="n">
        <v>1135</v>
      </c>
      <c r="Q992" s="605" t="n">
        <v>14</v>
      </c>
      <c r="R992" s="605" t="n">
        <v>1</v>
      </c>
      <c r="S992" s="605" t="n">
        <v>1</v>
      </c>
      <c r="T992" s="403" t="inlineStr">
        <is>
          <t xml:space="preserve">I1   </t>
        </is>
      </c>
      <c r="U992" s="403" t="n">
        <v>397</v>
      </c>
      <c r="V992" s="404" t="n">
        <v>15625</v>
      </c>
      <c r="W992" s="404" t="n">
        <v>16000</v>
      </c>
      <c r="X992" s="410" t="inlineStr">
        <is>
          <t>1.6:1</t>
        </is>
      </c>
      <c r="Y992" s="404">
        <f>ROUND(J992,-3)</f>
        <v/>
      </c>
      <c r="Z992" s="403" t="inlineStr">
        <is>
          <t xml:space="preserve">C </t>
        </is>
      </c>
      <c r="AA992" s="605" t="n">
        <v>3</v>
      </c>
      <c r="AB992" s="605" t="n">
        <v>3</v>
      </c>
      <c r="AC992" s="378" t="inlineStr">
        <is>
          <t>33</t>
        </is>
      </c>
      <c r="AD992" s="384" t="n"/>
      <c r="AE992" s="145" t="n"/>
      <c r="AF992" s="145" t="n"/>
      <c r="AG992" s="145" t="n"/>
      <c r="AH992" s="145" t="n"/>
      <c r="AI992" s="145" t="n"/>
      <c r="AJ992" s="145" t="n"/>
      <c r="AK992" s="145" t="inlineStr">
        <is>
          <t xml:space="preserve">S-T WHSE.; OLDER LEASE - 2007 RENEWAL.                            </t>
        </is>
      </c>
      <c r="AL992" s="605">
        <f>IF(AND(ISNUMBER($S992),$S992&gt;0,ISNUMBER($K992),ISNUMBER($J992)),($K992*$J992)/$S992,"")</f>
        <v/>
      </c>
    </row>
    <row r="993" ht="12.75" customHeight="1" s="545">
      <c r="A993" s="388" t="n">
        <v>8</v>
      </c>
      <c r="B993" s="605" t="n">
        <v>985</v>
      </c>
      <c r="C993" s="384" t="inlineStr">
        <is>
          <t>2009Q</t>
        </is>
      </c>
      <c r="D993" s="605" t="inlineStr">
        <is>
          <t xml:space="preserve">05281-15-014-000 </t>
        </is>
      </c>
      <c r="E993" s="407" t="inlineStr">
        <is>
          <t>Actual</t>
        </is>
      </c>
      <c r="F993" s="605" t="inlineStr">
        <is>
          <t>2170 S LIPAN                ST</t>
        </is>
      </c>
      <c r="G993" s="392" t="n">
        <v>44.2</v>
      </c>
      <c r="H993" s="378" t="n">
        <v>9506</v>
      </c>
      <c r="I993" s="403" t="n">
        <v>0</v>
      </c>
      <c r="J993" s="404" t="n">
        <v>5169</v>
      </c>
      <c r="K993" s="408" t="n">
        <v>12.149351905591</v>
      </c>
      <c r="L993" s="409" t="n">
        <v>0</v>
      </c>
      <c r="M993" s="409" t="n">
        <v>0.24937898089172</v>
      </c>
      <c r="N993" s="378" t="n">
        <v>1977</v>
      </c>
      <c r="O993" s="393">
        <f>1017+495</f>
        <v/>
      </c>
      <c r="Q993" s="605" t="n">
        <v>14</v>
      </c>
      <c r="R993" s="605" t="n">
        <v>3</v>
      </c>
      <c r="S993" s="605" t="n">
        <v>1</v>
      </c>
      <c r="T993" s="403" t="inlineStr">
        <is>
          <t xml:space="preserve">I1   </t>
        </is>
      </c>
      <c r="U993" s="403" t="n">
        <v>398</v>
      </c>
      <c r="V993" s="404" t="n">
        <v>15625</v>
      </c>
      <c r="W993" s="404" t="n">
        <v>16000</v>
      </c>
      <c r="X993" s="410" t="inlineStr">
        <is>
          <t>3.0:1</t>
        </is>
      </c>
      <c r="Y993" s="404">
        <f>ROUND(J993,-3)</f>
        <v/>
      </c>
      <c r="Z993" s="403" t="inlineStr">
        <is>
          <t xml:space="preserve">C </t>
        </is>
      </c>
      <c r="AA993" s="605" t="n">
        <v>3</v>
      </c>
      <c r="AB993" s="605" t="n">
        <v>3</v>
      </c>
      <c r="AC993" s="378" t="inlineStr">
        <is>
          <t>33</t>
        </is>
      </c>
      <c r="AD993" s="384" t="inlineStr">
        <is>
          <t>P'NTRS&amp;DRYWLL UN'N79</t>
        </is>
      </c>
      <c r="AE993" s="145" t="n"/>
      <c r="AF993" s="145" t="n"/>
      <c r="AG993" s="145" t="n"/>
      <c r="AH993" s="145" t="n"/>
      <c r="AI993" s="145" t="n"/>
      <c r="AJ993" s="145" t="n"/>
      <c r="AK993" s="145" t="inlineStr">
        <is>
          <t xml:space="preserve">S-T WHSE.                                                         </t>
        </is>
      </c>
      <c r="AL993" s="605">
        <f>IF(AND(ISNUMBER($S993),$S993&gt;0,ISNUMBER($K993),ISNUMBER($J993)),($K993*$J993)/$S993,"")</f>
        <v/>
      </c>
    </row>
    <row r="994" ht="12.75" customHeight="1" s="545">
      <c r="A994" s="388" t="n">
        <v>8</v>
      </c>
      <c r="B994" s="605" t="n">
        <v>986</v>
      </c>
      <c r="C994" s="384" t="inlineStr">
        <is>
          <t>2009Q</t>
        </is>
      </c>
      <c r="D994" s="605" t="inlineStr">
        <is>
          <t xml:space="preserve">05281-15-020-000 </t>
        </is>
      </c>
      <c r="E994" s="407" t="inlineStr">
        <is>
          <t>Actual</t>
        </is>
      </c>
      <c r="F994" s="605" t="inlineStr">
        <is>
          <t>2160 S LIPAN                ST</t>
        </is>
      </c>
      <c r="G994" s="392" t="n">
        <v>44.2</v>
      </c>
      <c r="H994" s="378" t="n">
        <v>9506</v>
      </c>
      <c r="I994" s="403" t="n">
        <v>0</v>
      </c>
      <c r="J994" s="404" t="n">
        <v>4993</v>
      </c>
      <c r="K994" s="408" t="n">
        <v>3.92229120769077</v>
      </c>
      <c r="L994" s="409" t="n">
        <v>0</v>
      </c>
      <c r="M994" s="409" t="n">
        <v>0</v>
      </c>
      <c r="N994" s="378" t="n">
        <v>1959</v>
      </c>
      <c r="O994" s="393" t="n">
        <v>1668</v>
      </c>
      <c r="Q994" s="605" t="n">
        <v>12</v>
      </c>
      <c r="R994" s="605" t="n">
        <v>1</v>
      </c>
      <c r="S994" s="605" t="n">
        <v>1</v>
      </c>
      <c r="T994" s="403" t="inlineStr">
        <is>
          <t xml:space="preserve">I1   </t>
        </is>
      </c>
      <c r="U994" s="403" t="n">
        <v>397</v>
      </c>
      <c r="V994" s="404" t="n">
        <v>9375</v>
      </c>
      <c r="W994" s="404" t="n">
        <v>9000</v>
      </c>
      <c r="X994" s="410" t="inlineStr">
        <is>
          <t>1.9:1</t>
        </is>
      </c>
      <c r="Y994" s="404">
        <f>ROUND(J994,-3)</f>
        <v/>
      </c>
      <c r="Z994" s="403" t="inlineStr">
        <is>
          <t xml:space="preserve">C </t>
        </is>
      </c>
      <c r="AA994" s="605" t="n">
        <v>3</v>
      </c>
      <c r="AB994" s="605" t="n">
        <v>3</v>
      </c>
      <c r="AC994" s="378" t="inlineStr">
        <is>
          <t>33</t>
        </is>
      </c>
      <c r="AD994" s="384" t="n"/>
      <c r="AE994" s="145" t="n"/>
      <c r="AF994" s="145" t="n"/>
      <c r="AG994" s="145" t="n"/>
      <c r="AH994" s="145" t="n"/>
      <c r="AI994" s="145" t="n"/>
      <c r="AJ994" s="145" t="n"/>
      <c r="AK994" s="145" t="inlineStr">
        <is>
          <t xml:space="preserve">S-T WHSE.                                                         </t>
        </is>
      </c>
      <c r="AL994" s="605">
        <f>IF(AND(ISNUMBER($S994),$S994&gt;0,ISNUMBER($K994),ISNUMBER($J994)),($K994*$J994)/$S994,"")</f>
        <v/>
      </c>
    </row>
    <row r="995" ht="12.75" customHeight="1" s="545">
      <c r="A995" s="388" t="n">
        <v>8</v>
      </c>
      <c r="B995" s="605" t="n">
        <v>987</v>
      </c>
      <c r="C995" s="384" t="inlineStr">
        <is>
          <t>2009Q</t>
        </is>
      </c>
      <c r="D995" s="605" t="inlineStr">
        <is>
          <t xml:space="preserve">05281-16-001-000 </t>
        </is>
      </c>
      <c r="E995" s="407" t="inlineStr">
        <is>
          <t>Actual</t>
        </is>
      </c>
      <c r="F995" s="605" t="inlineStr">
        <is>
          <t>2201 S KALAMATH             ST</t>
        </is>
      </c>
      <c r="G995" s="392" t="n">
        <v>44.1</v>
      </c>
      <c r="H995" s="378" t="n">
        <v>9506</v>
      </c>
      <c r="I995" s="403" t="n">
        <v>0</v>
      </c>
      <c r="J995" s="404" t="n">
        <v>5000</v>
      </c>
      <c r="K995" s="408" t="n">
        <v>6</v>
      </c>
      <c r="L995" s="409" t="n">
        <v>0</v>
      </c>
      <c r="M995" s="409" t="n">
        <v>0.1857</v>
      </c>
      <c r="N995" s="378" t="n">
        <v>1966</v>
      </c>
      <c r="O995" s="393" t="n">
        <v>521</v>
      </c>
      <c r="Q995" s="605" t="n">
        <v>14</v>
      </c>
      <c r="R995" s="605" t="n">
        <v>3</v>
      </c>
      <c r="S995" s="605" t="n">
        <v>1</v>
      </c>
      <c r="T995" s="403" t="inlineStr">
        <is>
          <t xml:space="preserve">I1   </t>
        </is>
      </c>
      <c r="U995" s="403" t="n">
        <v>397</v>
      </c>
      <c r="V995" s="404" t="n">
        <v>6250</v>
      </c>
      <c r="W995" s="404" t="n">
        <v>6000</v>
      </c>
      <c r="X995" s="410" t="inlineStr">
        <is>
          <t>1.3:1</t>
        </is>
      </c>
      <c r="Y995" s="404">
        <f>ROUND(J995,-3)</f>
        <v/>
      </c>
      <c r="Z995" s="403" t="inlineStr">
        <is>
          <t xml:space="preserve">C </t>
        </is>
      </c>
      <c r="AA995" s="605" t="n">
        <v>3</v>
      </c>
      <c r="AB995" s="605" t="n">
        <v>3</v>
      </c>
      <c r="AC995" s="378" t="inlineStr">
        <is>
          <t>33</t>
        </is>
      </c>
      <c r="AD995" s="384" t="inlineStr">
        <is>
          <t xml:space="preserve">S-W EUROPEAN MARBLE </t>
        </is>
      </c>
      <c r="AE995" s="145" t="n"/>
      <c r="AF995" s="145" t="n"/>
      <c r="AG995" s="145" t="n"/>
      <c r="AH995" s="145" t="n"/>
      <c r="AI995" s="145" t="n"/>
      <c r="AJ995" s="145" t="n"/>
      <c r="AK995" s="145" t="inlineStr">
        <is>
          <t xml:space="preserve">S-T WHSE.                                                         </t>
        </is>
      </c>
      <c r="AL995" s="605">
        <f>IF(AND(ISNUMBER($S995),$S995&gt;0,ISNUMBER($K995),ISNUMBER($J995)),($K995*$J995)/$S995,"")</f>
        <v/>
      </c>
    </row>
    <row r="996" ht="12.75" customHeight="1" s="545">
      <c r="A996" s="388" t="n">
        <v>8</v>
      </c>
      <c r="B996" s="605" t="n">
        <v>988</v>
      </c>
      <c r="C996" s="384" t="inlineStr">
        <is>
          <t>2009Q</t>
        </is>
      </c>
      <c r="D996" s="605" t="inlineStr">
        <is>
          <t xml:space="preserve">05281-16-004-000 </t>
        </is>
      </c>
      <c r="E996" s="407" t="inlineStr">
        <is>
          <t>Actual</t>
        </is>
      </c>
      <c r="F996" s="605" t="inlineStr">
        <is>
          <t>2235 S KALAMATH             ST</t>
        </is>
      </c>
      <c r="G996" s="392" t="n">
        <v>44.1</v>
      </c>
      <c r="H996" s="378" t="n">
        <v>9506</v>
      </c>
      <c r="I996" s="403" t="n">
        <v>0</v>
      </c>
      <c r="J996" s="404" t="n">
        <v>5425</v>
      </c>
      <c r="K996" s="408" t="n">
        <v>8.110599078341011</v>
      </c>
      <c r="L996" s="409" t="n">
        <v>0</v>
      </c>
      <c r="M996" s="409" t="n">
        <v>0.0852954545454546</v>
      </c>
      <c r="N996" s="378" t="n">
        <v>1974</v>
      </c>
      <c r="O996" s="393" t="n">
        <v>336</v>
      </c>
      <c r="Q996" s="605" t="n">
        <v>13</v>
      </c>
      <c r="R996" s="605" t="n">
        <v>8</v>
      </c>
      <c r="S996" s="605" t="n">
        <v>1</v>
      </c>
      <c r="T996" s="403" t="inlineStr">
        <is>
          <t xml:space="preserve">I1   </t>
        </is>
      </c>
      <c r="U996" s="403" t="n">
        <v>397</v>
      </c>
      <c r="V996" s="404" t="n">
        <v>12500</v>
      </c>
      <c r="W996" s="404" t="n">
        <v>13000</v>
      </c>
      <c r="X996" s="410" t="inlineStr">
        <is>
          <t>2.3:1</t>
        </is>
      </c>
      <c r="Y996" s="404">
        <f>ROUND(J996,-3)</f>
        <v/>
      </c>
      <c r="Z996" s="403" t="inlineStr">
        <is>
          <t xml:space="preserve">C </t>
        </is>
      </c>
      <c r="AA996" s="605" t="n">
        <v>3</v>
      </c>
      <c r="AB996" s="605" t="n">
        <v>3</v>
      </c>
      <c r="AC996" s="378" t="inlineStr">
        <is>
          <t>33</t>
        </is>
      </c>
      <c r="AD996" s="384" t="inlineStr">
        <is>
          <t xml:space="preserve">SEAL MAXX           </t>
        </is>
      </c>
      <c r="AE996" s="145" t="n"/>
      <c r="AF996" s="145" t="n"/>
      <c r="AG996" s="145" t="n"/>
      <c r="AH996" s="145" t="n"/>
      <c r="AI996" s="145" t="n"/>
      <c r="AJ996" s="145" t="n"/>
      <c r="AK996" s="145" t="inlineStr">
        <is>
          <t xml:space="preserve">S-T WHSE.                                                         </t>
        </is>
      </c>
      <c r="AL996" s="605">
        <f>IF(AND(ISNUMBER($S996),$S996&gt;0,ISNUMBER($K996),ISNUMBER($J996)),($K996*$J996)/$S996,"")</f>
        <v/>
      </c>
    </row>
    <row r="997" ht="12.75" customHeight="1" s="545">
      <c r="A997" s="388" t="n">
        <v>8</v>
      </c>
      <c r="B997" s="605" t="n">
        <v>989</v>
      </c>
      <c r="C997" s="384" t="inlineStr">
        <is>
          <t>2009Q</t>
        </is>
      </c>
      <c r="D997" s="605" t="inlineStr">
        <is>
          <t xml:space="preserve">05281-16-008-000 </t>
        </is>
      </c>
      <c r="E997" s="407" t="inlineStr">
        <is>
          <t>Actual</t>
        </is>
      </c>
      <c r="F997" s="605" t="inlineStr">
        <is>
          <t>2250 S LIPAN                ST</t>
        </is>
      </c>
      <c r="G997" s="392" t="n">
        <v>44.2</v>
      </c>
      <c r="H997" s="378" t="n">
        <v>9506</v>
      </c>
      <c r="I997" s="403" t="n">
        <v>0</v>
      </c>
      <c r="J997" s="404" t="n">
        <v>9943</v>
      </c>
      <c r="K997" s="408" t="n">
        <v>7.14693754400081</v>
      </c>
      <c r="L997" s="409" t="n">
        <v>0</v>
      </c>
      <c r="M997" s="409" t="n">
        <v>0</v>
      </c>
      <c r="N997" s="378" t="n">
        <v>1959</v>
      </c>
      <c r="O997" s="393" t="n">
        <v>1920</v>
      </c>
      <c r="Q997" s="605" t="n">
        <v>12</v>
      </c>
      <c r="R997" s="605" t="n">
        <v>1</v>
      </c>
      <c r="S997" s="605" t="n">
        <v>1</v>
      </c>
      <c r="T997" s="403" t="inlineStr">
        <is>
          <t xml:space="preserve">I1   </t>
        </is>
      </c>
      <c r="U997" s="403" t="n">
        <v>398</v>
      </c>
      <c r="V997" s="404" t="n">
        <v>21875</v>
      </c>
      <c r="W997" s="404" t="n">
        <v>22000</v>
      </c>
      <c r="X997" s="410" t="inlineStr">
        <is>
          <t>2.2:1</t>
        </is>
      </c>
      <c r="Y997" s="404">
        <f>ROUND(J997,-3)</f>
        <v/>
      </c>
      <c r="Z997" s="403" t="inlineStr">
        <is>
          <t xml:space="preserve">C </t>
        </is>
      </c>
      <c r="AA997" s="605" t="n">
        <v>3</v>
      </c>
      <c r="AB997" s="605" t="n">
        <v>3</v>
      </c>
      <c r="AC997" s="378" t="inlineStr">
        <is>
          <t>33</t>
        </is>
      </c>
      <c r="AD997" s="384" t="inlineStr">
        <is>
          <t xml:space="preserve">WHSE / LIGHT MANUF  </t>
        </is>
      </c>
      <c r="AE997" s="145" t="n"/>
      <c r="AF997" s="145" t="n"/>
      <c r="AG997" s="145" t="n"/>
      <c r="AH997" s="145" t="n"/>
      <c r="AI997" s="145" t="n"/>
      <c r="AJ997" s="145" t="n"/>
      <c r="AK997" s="145" t="inlineStr">
        <is>
          <t xml:space="preserve">TENANCY AND LEASE TERMS UNKNOWN.                                  </t>
        </is>
      </c>
      <c r="AL997" s="605">
        <f>IF(AND(ISNUMBER($S997),$S997&gt;0,ISNUMBER($K997),ISNUMBER($J997)),($K997*$J997)/$S997,"")</f>
        <v/>
      </c>
    </row>
    <row r="998" ht="12.75" customHeight="1" s="545">
      <c r="A998" s="388" t="n">
        <v>8</v>
      </c>
      <c r="B998" s="605" t="n">
        <v>990</v>
      </c>
      <c r="C998" s="384" t="inlineStr">
        <is>
          <t>2009Q</t>
        </is>
      </c>
      <c r="D998" s="605" t="inlineStr">
        <is>
          <t xml:space="preserve">05281-16-012-000 </t>
        </is>
      </c>
      <c r="E998" s="407" t="inlineStr">
        <is>
          <t>Actual</t>
        </is>
      </c>
      <c r="F998" s="605" t="inlineStr">
        <is>
          <t>2280 S LIPAN                ST</t>
        </is>
      </c>
      <c r="G998" s="392" t="n">
        <v>44.1</v>
      </c>
      <c r="H998" s="378" t="n">
        <v>9506</v>
      </c>
      <c r="I998" s="403" t="n">
        <v>0</v>
      </c>
      <c r="J998" s="404" t="n">
        <v>5013</v>
      </c>
      <c r="K998" s="408" t="n">
        <v>11.0113704368642</v>
      </c>
      <c r="L998" s="409" t="n">
        <v>0</v>
      </c>
      <c r="M998" s="409" t="n">
        <v>0.130960144927536</v>
      </c>
      <c r="N998" s="378" t="n">
        <v>1961</v>
      </c>
      <c r="O998" s="393" t="n">
        <v>2346</v>
      </c>
      <c r="Q998" s="605" t="n">
        <v>13</v>
      </c>
      <c r="R998" s="605" t="n">
        <v>4</v>
      </c>
      <c r="S998" s="605" t="n">
        <v>1</v>
      </c>
      <c r="T998" s="403" t="inlineStr">
        <is>
          <t xml:space="preserve">I1   </t>
        </is>
      </c>
      <c r="U998" s="403" t="n">
        <v>398</v>
      </c>
      <c r="V998" s="404" t="n">
        <v>9375</v>
      </c>
      <c r="W998" s="404" t="n">
        <v>9000</v>
      </c>
      <c r="X998" s="410" t="inlineStr">
        <is>
          <t>1.9:1</t>
        </is>
      </c>
      <c r="Y998" s="404">
        <f>ROUND(J998,-3)</f>
        <v/>
      </c>
      <c r="Z998" s="403" t="inlineStr">
        <is>
          <t xml:space="preserve">C </t>
        </is>
      </c>
      <c r="AA998" s="605" t="n">
        <v>3</v>
      </c>
      <c r="AB998" s="605" t="n">
        <v>3</v>
      </c>
      <c r="AC998" s="378" t="inlineStr">
        <is>
          <t>33</t>
        </is>
      </c>
      <c r="AD998" s="384" t="inlineStr">
        <is>
          <t xml:space="preserve">WHSE / OFFICE       </t>
        </is>
      </c>
      <c r="AE998" s="145" t="n"/>
      <c r="AF998" s="145" t="n"/>
      <c r="AG998" s="145" t="n"/>
      <c r="AH998" s="145" t="n"/>
      <c r="AI998" s="145" t="n"/>
      <c r="AJ998" s="145" t="n"/>
      <c r="AK998" s="145" t="inlineStr">
        <is>
          <t xml:space="preserve">M-T WHSE.; 2 TENANTS; YR-TO-YR LEASES.                            </t>
        </is>
      </c>
      <c r="AL998" s="605">
        <f>IF(AND(ISNUMBER($S998),$S998&gt;0,ISNUMBER($K998),ISNUMBER($J998)),($K998*$J998)/$S998,"")</f>
        <v/>
      </c>
    </row>
    <row r="999" ht="12.75" customHeight="1" s="545">
      <c r="A999" s="388" t="n">
        <v>8</v>
      </c>
      <c r="B999" s="605" t="n">
        <v>991</v>
      </c>
      <c r="C999" s="384" t="inlineStr">
        <is>
          <t>2009Q</t>
        </is>
      </c>
      <c r="D999" s="605" t="inlineStr">
        <is>
          <t xml:space="preserve">05281-17-020-000 </t>
        </is>
      </c>
      <c r="E999" s="407" t="inlineStr">
        <is>
          <t>Actual</t>
        </is>
      </c>
      <c r="F999" s="605" t="inlineStr">
        <is>
          <t>2218 S KALAMATH             ST</t>
        </is>
      </c>
      <c r="G999" s="392" t="n">
        <v>43.1</v>
      </c>
      <c r="H999" s="378" t="n">
        <v>9506</v>
      </c>
      <c r="I999" s="403" t="n">
        <v>0</v>
      </c>
      <c r="J999" s="404" t="n">
        <v>16423</v>
      </c>
      <c r="K999" s="408" t="n">
        <v>3.65341289654753</v>
      </c>
      <c r="L999" s="409" t="n">
        <v>0</v>
      </c>
      <c r="M999" s="409" t="n">
        <v>0</v>
      </c>
      <c r="N999" s="378" t="n">
        <v>1972</v>
      </c>
      <c r="O999" s="393" t="n">
        <v>2155</v>
      </c>
      <c r="Q999" s="605" t="n">
        <v>17</v>
      </c>
      <c r="R999" s="605" t="n">
        <v>7</v>
      </c>
      <c r="S999" s="605" t="n">
        <v>1</v>
      </c>
      <c r="T999" s="403" t="inlineStr">
        <is>
          <t xml:space="preserve">I1   </t>
        </is>
      </c>
      <c r="U999" s="403" t="n">
        <v>401</v>
      </c>
      <c r="V999" s="404" t="n">
        <v>25000</v>
      </c>
      <c r="W999" s="404" t="n">
        <v>25000</v>
      </c>
      <c r="X999" s="410" t="inlineStr">
        <is>
          <t>1.5:1</t>
        </is>
      </c>
      <c r="Y999" s="404">
        <f>ROUND(J999,-3)</f>
        <v/>
      </c>
      <c r="Z999" s="403" t="inlineStr">
        <is>
          <t xml:space="preserve">C </t>
        </is>
      </c>
      <c r="AA999" s="605" t="n">
        <v>3</v>
      </c>
      <c r="AB999" s="605" t="n">
        <v>3</v>
      </c>
      <c r="AC999" s="378" t="inlineStr">
        <is>
          <t>33</t>
        </is>
      </c>
      <c r="AD999" s="384" t="inlineStr">
        <is>
          <t xml:space="preserve">S-F UNITED RENTAL   </t>
        </is>
      </c>
      <c r="AE999" s="145" t="n"/>
      <c r="AF999" s="145" t="n"/>
      <c r="AG999" s="145" t="n"/>
      <c r="AH999" s="145" t="n"/>
      <c r="AI999" s="145" t="n"/>
      <c r="AJ999" s="145" t="n"/>
      <c r="AK999" s="145" t="inlineStr">
        <is>
          <t xml:space="preserve">S-T INDUSTRIAL BLDG.; 2006 LEASE.                                 </t>
        </is>
      </c>
      <c r="AL999" s="605">
        <f>IF(AND(ISNUMBER($S999),$S999&gt;0,ISNUMBER($K999),ISNUMBER($J999)),($K999*$J999)/$S999,"")</f>
        <v/>
      </c>
    </row>
    <row r="1000" ht="12.75" customHeight="1" s="545">
      <c r="A1000" s="388" t="n">
        <v>8</v>
      </c>
      <c r="B1000" s="605" t="n">
        <v>992</v>
      </c>
      <c r="C1000" s="384" t="inlineStr">
        <is>
          <t>2009Q</t>
        </is>
      </c>
      <c r="D1000" s="605" t="inlineStr">
        <is>
          <t xml:space="preserve">05281-17-024-000 </t>
        </is>
      </c>
      <c r="E1000" s="407" t="inlineStr">
        <is>
          <t>Actual</t>
        </is>
      </c>
      <c r="F1000" s="605" t="inlineStr">
        <is>
          <t>2240 S KALAMATH             ST</t>
        </is>
      </c>
      <c r="G1000" s="392" t="n">
        <v>44.2</v>
      </c>
      <c r="H1000" s="378" t="n">
        <v>9506</v>
      </c>
      <c r="I1000" s="403" t="n">
        <v>0</v>
      </c>
      <c r="J1000" s="404" t="n">
        <v>2000</v>
      </c>
      <c r="K1000" s="408" t="n">
        <v>6.571</v>
      </c>
      <c r="L1000" s="409" t="n">
        <v>0</v>
      </c>
      <c r="M1000" s="409" t="n">
        <v>0.07807030893319131</v>
      </c>
      <c r="N1000" s="378" t="n">
        <v>1962</v>
      </c>
      <c r="Q1000" s="605" t="n">
        <v>12</v>
      </c>
      <c r="R1000" s="605" t="n">
        <v>3</v>
      </c>
      <c r="S1000" s="605" t="n">
        <v>1</v>
      </c>
      <c r="T1000" s="403" t="inlineStr">
        <is>
          <t xml:space="preserve">I1   </t>
        </is>
      </c>
      <c r="U1000" s="403" t="n">
        <v>398</v>
      </c>
      <c r="V1000" s="404" t="n">
        <v>12500</v>
      </c>
      <c r="W1000" s="404" t="n">
        <v>13000</v>
      </c>
      <c r="X1000" s="410" t="inlineStr">
        <is>
          <t>6.3:1</t>
        </is>
      </c>
      <c r="Y1000" s="404">
        <f>ROUND(J1000,-3)</f>
        <v/>
      </c>
      <c r="Z1000" s="403" t="inlineStr">
        <is>
          <t xml:space="preserve">C </t>
        </is>
      </c>
      <c r="AA1000" s="605" t="n">
        <v>3</v>
      </c>
      <c r="AB1000" s="605" t="n">
        <v>3</v>
      </c>
      <c r="AC1000" s="378" t="inlineStr">
        <is>
          <t>33</t>
        </is>
      </c>
      <c r="AD1000" s="384" t="inlineStr">
        <is>
          <t xml:space="preserve">S-W JT'S UPHOLSTERY </t>
        </is>
      </c>
      <c r="AE1000" s="145" t="n"/>
      <c r="AF1000" s="145" t="n"/>
      <c r="AG1000" s="145" t="n"/>
      <c r="AH1000" s="145" t="n"/>
      <c r="AI1000" s="145" t="n"/>
      <c r="AJ1000" s="145" t="n"/>
      <c r="AK1000" s="145" t="inlineStr">
        <is>
          <t xml:space="preserve">S-T WHSE.; 2006 LEASE.                                            </t>
        </is>
      </c>
      <c r="AL1000" s="605">
        <f>IF(AND(ISNUMBER($S1000),$S1000&gt;0,ISNUMBER($K1000),ISNUMBER($J1000)),($K1000*$J1000)/$S1000,"")</f>
        <v/>
      </c>
    </row>
    <row r="1001" ht="12.75" customHeight="1" s="545">
      <c r="A1001" s="388" t="n">
        <v>8</v>
      </c>
      <c r="B1001" s="605" t="n">
        <v>993</v>
      </c>
      <c r="C1001" s="384" t="inlineStr">
        <is>
          <t>2009Q</t>
        </is>
      </c>
      <c r="D1001" s="605" t="inlineStr">
        <is>
          <t xml:space="preserve">05281-17-034-000 </t>
        </is>
      </c>
      <c r="E1001" s="407" t="inlineStr">
        <is>
          <t>Actual</t>
        </is>
      </c>
      <c r="F1001" s="605" t="inlineStr">
        <is>
          <t>2278 S KALAMATH             ST</t>
        </is>
      </c>
      <c r="G1001" s="392" t="n">
        <v>44.2</v>
      </c>
      <c r="H1001" s="378" t="n">
        <v>9506</v>
      </c>
      <c r="I1001" s="403" t="n">
        <v>0</v>
      </c>
      <c r="J1001" s="404" t="n">
        <v>4460</v>
      </c>
      <c r="K1001" s="408" t="n">
        <v>7.53363228699552</v>
      </c>
      <c r="L1001" s="409" t="n">
        <v>0</v>
      </c>
      <c r="M1001" s="409" t="n">
        <v>0.0440178571428571</v>
      </c>
      <c r="N1001" s="378" t="n">
        <v>2000</v>
      </c>
      <c r="O1001" s="393">
        <f>322+288</f>
        <v/>
      </c>
      <c r="Q1001" s="605" t="n">
        <v>18</v>
      </c>
      <c r="R1001" s="605" t="n">
        <v>1</v>
      </c>
      <c r="S1001" s="605" t="n">
        <v>1</v>
      </c>
      <c r="T1001" s="403" t="inlineStr">
        <is>
          <t xml:space="preserve">I1   </t>
        </is>
      </c>
      <c r="U1001" s="403" t="n">
        <v>398</v>
      </c>
      <c r="V1001" s="404" t="n">
        <v>6250</v>
      </c>
      <c r="W1001" s="404" t="n">
        <v>6000</v>
      </c>
      <c r="X1001" s="410" t="inlineStr">
        <is>
          <t>1.4:1</t>
        </is>
      </c>
      <c r="Y1001" s="404">
        <f>ROUND(J1001,-3)</f>
        <v/>
      </c>
      <c r="Z1001" s="403" t="inlineStr">
        <is>
          <t xml:space="preserve">C </t>
        </is>
      </c>
      <c r="AA1001" s="605" t="n">
        <v>3</v>
      </c>
      <c r="AB1001" s="605" t="n">
        <v>3</v>
      </c>
      <c r="AC1001" s="378" t="inlineStr">
        <is>
          <t>33</t>
        </is>
      </c>
      <c r="AD1001" s="384" t="inlineStr">
        <is>
          <t xml:space="preserve">HORST DYNAMICS      </t>
        </is>
      </c>
      <c r="AE1001" s="145" t="n"/>
      <c r="AF1001" s="145" t="n"/>
      <c r="AG1001" s="145" t="n"/>
      <c r="AH1001" s="145" t="n"/>
      <c r="AI1001" s="145" t="n"/>
      <c r="AJ1001" s="145" t="n"/>
      <c r="AK1001" s="145" t="inlineStr">
        <is>
          <t xml:space="preserve">S-T WHSE.; MO-TO-MO LEASE.                                        </t>
        </is>
      </c>
      <c r="AL1001" s="605">
        <f>IF(AND(ISNUMBER($S1001),$S1001&gt;0,ISNUMBER($K1001),ISNUMBER($J1001)),($K1001*$J1001)/$S1001,"")</f>
        <v/>
      </c>
    </row>
    <row r="1002" ht="12.75" customHeight="1" s="545">
      <c r="A1002" s="388" t="n">
        <v>8</v>
      </c>
      <c r="B1002" s="605" t="n">
        <v>994</v>
      </c>
      <c r="C1002" s="384" t="inlineStr">
        <is>
          <t>2009Q</t>
        </is>
      </c>
      <c r="D1002" s="605" t="inlineStr">
        <is>
          <t xml:space="preserve">05282-00-004-000 </t>
        </is>
      </c>
      <c r="E1002" s="407" t="inlineStr">
        <is>
          <t>Actual</t>
        </is>
      </c>
      <c r="F1002" s="605" t="inlineStr">
        <is>
          <t>2190 S RARITAN              ST</t>
        </is>
      </c>
      <c r="G1002" s="392" t="n">
        <v>44.2</v>
      </c>
      <c r="H1002" s="378" t="n">
        <v>9506</v>
      </c>
      <c r="I1002" s="403" t="n">
        <v>0</v>
      </c>
      <c r="J1002" s="404" t="n">
        <v>2400</v>
      </c>
      <c r="K1002" s="408" t="n">
        <v>20</v>
      </c>
      <c r="L1002" s="409" t="n">
        <v>0</v>
      </c>
      <c r="M1002" s="409" t="n">
        <v>0</v>
      </c>
      <c r="N1002" s="378" t="n">
        <v>1964</v>
      </c>
      <c r="O1002" s="404" t="n">
        <v>560</v>
      </c>
      <c r="P1002" s="404" t="n"/>
      <c r="Q1002" s="605" t="n">
        <v>10</v>
      </c>
      <c r="R1002" s="605" t="n">
        <v>7</v>
      </c>
      <c r="S1002" s="605" t="n">
        <v>2</v>
      </c>
      <c r="T1002" s="403" t="inlineStr">
        <is>
          <t xml:space="preserve">I1   </t>
        </is>
      </c>
      <c r="U1002" s="403" t="n">
        <v>332</v>
      </c>
      <c r="V1002" s="404" t="n">
        <v>26000</v>
      </c>
      <c r="W1002" s="404" t="n">
        <v>26000</v>
      </c>
      <c r="X1002" s="410" t="inlineStr">
        <is>
          <t>10.8:1</t>
        </is>
      </c>
      <c r="Y1002" s="404">
        <f>ROUND(J1002,-3)</f>
        <v/>
      </c>
      <c r="Z1002" s="403" t="inlineStr">
        <is>
          <t xml:space="preserve">C </t>
        </is>
      </c>
      <c r="AA1002" s="605" t="n">
        <v>3</v>
      </c>
      <c r="AB1002" s="605" t="n">
        <v>3</v>
      </c>
      <c r="AC1002" s="378" t="n">
        <v>33</v>
      </c>
      <c r="AD1002" s="384" t="inlineStr">
        <is>
          <t xml:space="preserve">CENTENNIAL AUTO 4X4 </t>
        </is>
      </c>
      <c r="AE1002" s="145" t="n"/>
      <c r="AF1002" s="145" t="n"/>
      <c r="AG1002" s="145" t="n"/>
      <c r="AH1002" s="145" t="n"/>
      <c r="AI1002" s="145" t="n"/>
      <c r="AJ1002" s="145" t="n"/>
      <c r="AK1002" s="145" t="inlineStr">
        <is>
          <t xml:space="preserve">BLG RENTED PARTIALLY IN 2007.                                     </t>
        </is>
      </c>
      <c r="AL1002" s="605">
        <f>IF(AND(ISNUMBER($S1002),$S1002&gt;0,ISNUMBER($K1002),ISNUMBER($J1002)),($K1002*$J1002)/$S1002,"")</f>
        <v/>
      </c>
    </row>
    <row r="1003" ht="12.75" customHeight="1" s="545">
      <c r="A1003" s="388" t="n">
        <v>8</v>
      </c>
      <c r="B1003" s="605" t="n">
        <v>995</v>
      </c>
      <c r="C1003" s="384" t="inlineStr">
        <is>
          <t>2009Q</t>
        </is>
      </c>
      <c r="D1003" s="605" t="inlineStr">
        <is>
          <t xml:space="preserve">05282-00-006-000 </t>
        </is>
      </c>
      <c r="E1003" s="407" t="inlineStr">
        <is>
          <t>Actual</t>
        </is>
      </c>
      <c r="F1003" s="605" t="inlineStr">
        <is>
          <t>1696 W EVANS                AV</t>
        </is>
      </c>
      <c r="G1003" s="392" t="n">
        <v>44.1</v>
      </c>
      <c r="H1003" s="378" t="n">
        <v>9506</v>
      </c>
      <c r="I1003" s="403" t="n">
        <v>0</v>
      </c>
      <c r="J1003" s="404" t="n">
        <v>14990</v>
      </c>
      <c r="K1003" s="408" t="n">
        <v>5.66224149432955</v>
      </c>
      <c r="L1003" s="409" t="n">
        <v>0</v>
      </c>
      <c r="M1003" s="409" t="n">
        <v>0.0152809359425993</v>
      </c>
      <c r="N1003" s="378" t="n">
        <v>1980</v>
      </c>
      <c r="O1003" s="393" t="n">
        <v>795</v>
      </c>
      <c r="Q1003" s="605" t="n">
        <v>15</v>
      </c>
      <c r="R1003" s="605" t="n">
        <v>1</v>
      </c>
      <c r="S1003" s="605" t="n">
        <v>1</v>
      </c>
      <c r="T1003" s="403" t="inlineStr">
        <is>
          <t xml:space="preserve">I1   </t>
        </is>
      </c>
      <c r="U1003" s="403" t="n">
        <v>398</v>
      </c>
      <c r="V1003" s="404" t="n">
        <v>18750</v>
      </c>
      <c r="W1003" s="404" t="n">
        <v>19000</v>
      </c>
      <c r="X1003" s="410" t="inlineStr">
        <is>
          <t>1.3:1</t>
        </is>
      </c>
      <c r="Y1003" s="404">
        <f>ROUND(J1003,-3)</f>
        <v/>
      </c>
      <c r="Z1003" s="403" t="inlineStr">
        <is>
          <t xml:space="preserve">C </t>
        </is>
      </c>
      <c r="AA1003" s="605" t="n">
        <v>3</v>
      </c>
      <c r="AB1003" s="605" t="n">
        <v>3</v>
      </c>
      <c r="AC1003" s="378" t="inlineStr">
        <is>
          <t>33</t>
        </is>
      </c>
      <c r="AD1003" s="384" t="inlineStr">
        <is>
          <t>WHSE/OFC FURN  SALES</t>
        </is>
      </c>
      <c r="AE1003" s="145" t="n"/>
      <c r="AF1003" s="145" t="n"/>
      <c r="AG1003" s="145" t="n"/>
      <c r="AH1003" s="145" t="n"/>
      <c r="AI1003" s="145" t="n"/>
      <c r="AJ1003" s="145" t="n"/>
      <c r="AK1003" s="145" t="inlineStr">
        <is>
          <t xml:space="preserve">S-T WHSE.                                                         </t>
        </is>
      </c>
      <c r="AL1003" s="605">
        <f>IF(AND(ISNUMBER($S1003),$S1003&gt;0,ISNUMBER($K1003),ISNUMBER($J1003)),($K1003*$J1003)/$S1003,"")</f>
        <v/>
      </c>
    </row>
    <row r="1004" ht="12.75" customHeight="1" s="545">
      <c r="A1004" s="388" t="n">
        <v>8</v>
      </c>
      <c r="B1004" s="605" t="n">
        <v>996</v>
      </c>
      <c r="C1004" s="384" t="inlineStr">
        <is>
          <t>2009Q</t>
        </is>
      </c>
      <c r="D1004" s="605" t="inlineStr">
        <is>
          <t xml:space="preserve">05282-11-010-000 </t>
        </is>
      </c>
      <c r="E1004" s="407" t="inlineStr">
        <is>
          <t>Actual</t>
        </is>
      </c>
      <c r="F1004" s="605" t="inlineStr">
        <is>
          <t>1801 W EVANS                AV</t>
        </is>
      </c>
      <c r="G1004" s="392" t="n">
        <v>44.2</v>
      </c>
      <c r="H1004" s="378" t="n">
        <v>9506</v>
      </c>
      <c r="I1004" s="403" t="n">
        <v>0</v>
      </c>
      <c r="J1004" s="404" t="n">
        <v>1800</v>
      </c>
      <c r="K1004" s="408" t="n">
        <v>9</v>
      </c>
      <c r="L1004" s="409" t="n">
        <v>0</v>
      </c>
      <c r="M1004" s="409" t="n">
        <v>0.425864197530864</v>
      </c>
      <c r="N1004" s="378" t="n">
        <v>1980</v>
      </c>
      <c r="O1004" s="393">
        <f>735+1470</f>
        <v/>
      </c>
      <c r="Q1004" s="605" t="n">
        <v>19</v>
      </c>
      <c r="R1004" s="605" t="n">
        <v>3</v>
      </c>
      <c r="S1004" s="605" t="n">
        <v>1</v>
      </c>
      <c r="T1004" s="403" t="inlineStr">
        <is>
          <t xml:space="preserve">PUD  </t>
        </is>
      </c>
      <c r="U1004" s="403" t="n">
        <v>398</v>
      </c>
      <c r="V1004" s="404" t="n">
        <v>15960</v>
      </c>
      <c r="W1004" s="404" t="n">
        <v>16000</v>
      </c>
      <c r="X1004" s="410" t="inlineStr">
        <is>
          <t>2.2:1</t>
        </is>
      </c>
      <c r="Y1004" s="404">
        <f>ROUND(J1004,-2)</f>
        <v/>
      </c>
      <c r="Z1004" s="403" t="inlineStr">
        <is>
          <t xml:space="preserve">C </t>
        </is>
      </c>
      <c r="AA1004" s="605" t="n">
        <v>3</v>
      </c>
      <c r="AB1004" s="605" t="n">
        <v>3</v>
      </c>
      <c r="AC1004" s="378" t="inlineStr">
        <is>
          <t>33</t>
        </is>
      </c>
      <c r="AD1004" s="384" t="inlineStr">
        <is>
          <t>VOLVO PARTS &amp; SERVCE</t>
        </is>
      </c>
      <c r="AE1004" s="145" t="n"/>
      <c r="AF1004" s="145" t="n"/>
      <c r="AG1004" s="145" t="n"/>
      <c r="AH1004" s="145" t="n"/>
      <c r="AI1004" s="145" t="n"/>
      <c r="AJ1004" s="145" t="n"/>
      <c r="AK1004" s="145" t="inlineStr">
        <is>
          <t xml:space="preserve">M-T WHSE.; 2 TENANTS - ONE IS OWNER.                              </t>
        </is>
      </c>
      <c r="AL1004" s="605">
        <f>IF(AND(ISNUMBER($S1004),$S1004&gt;0,ISNUMBER($K1004),ISNUMBER($J1004)),($K1004*$J1004)/$S1004,"")</f>
        <v/>
      </c>
    </row>
    <row r="1005" ht="12.75" customHeight="1" s="545">
      <c r="A1005" s="388" t="n">
        <v>8</v>
      </c>
      <c r="B1005" s="605" t="n">
        <v>997</v>
      </c>
      <c r="C1005" s="384" t="inlineStr">
        <is>
          <t>2009Q</t>
        </is>
      </c>
      <c r="D1005" s="605" t="inlineStr">
        <is>
          <t xml:space="preserve">05284-02-010-000 </t>
        </is>
      </c>
      <c r="E1005" s="407" t="inlineStr">
        <is>
          <t>Actual</t>
        </is>
      </c>
      <c r="F1005" s="605" t="inlineStr">
        <is>
          <t>2301 S INCA                 ST</t>
        </is>
      </c>
      <c r="G1005" s="392" t="n">
        <v>44.1</v>
      </c>
      <c r="H1005" s="378" t="n">
        <v>9506</v>
      </c>
      <c r="I1005" s="403" t="n">
        <v>0</v>
      </c>
      <c r="J1005" s="404" t="n">
        <v>10005</v>
      </c>
      <c r="K1005" s="408" t="n">
        <v>5.39730134932534</v>
      </c>
      <c r="L1005" s="409" t="n">
        <v>0</v>
      </c>
      <c r="M1005" s="409" t="n">
        <v>0.0425925925925926</v>
      </c>
      <c r="N1005" s="378" t="n">
        <v>1965</v>
      </c>
      <c r="O1005" s="393" t="n">
        <v>2142</v>
      </c>
      <c r="P1005" s="393">
        <f>1188</f>
        <v/>
      </c>
      <c r="Q1005" s="605" t="n">
        <v>13</v>
      </c>
      <c r="R1005" s="605" t="n">
        <v>1</v>
      </c>
      <c r="S1005" s="605" t="n">
        <v>1</v>
      </c>
      <c r="T1005" s="403" t="inlineStr">
        <is>
          <t xml:space="preserve">I1   </t>
        </is>
      </c>
      <c r="U1005" s="403" t="n">
        <v>398</v>
      </c>
      <c r="V1005" s="404" t="n">
        <v>12500</v>
      </c>
      <c r="W1005" s="404" t="n">
        <v>13000</v>
      </c>
      <c r="X1005" s="410" t="inlineStr">
        <is>
          <t>1.2:1</t>
        </is>
      </c>
      <c r="Y1005" s="404">
        <f>ROUND(J1005,-3)</f>
        <v/>
      </c>
      <c r="Z1005" s="403" t="inlineStr">
        <is>
          <t xml:space="preserve">C </t>
        </is>
      </c>
      <c r="AA1005" s="605" t="n">
        <v>3</v>
      </c>
      <c r="AB1005" s="605" t="n">
        <v>3</v>
      </c>
      <c r="AC1005" s="378" t="inlineStr">
        <is>
          <t>33</t>
        </is>
      </c>
      <c r="AD1005" s="384" t="inlineStr">
        <is>
          <t xml:space="preserve">S-D STRUBLE         </t>
        </is>
      </c>
      <c r="AE1005" s="145" t="n"/>
      <c r="AF1005" s="145" t="n"/>
      <c r="AG1005" s="145" t="n"/>
      <c r="AH1005" s="145" t="n"/>
      <c r="AI1005" s="145" t="n"/>
      <c r="AJ1005" s="145" t="n"/>
      <c r="AK1005" s="145" t="inlineStr">
        <is>
          <t xml:space="preserve">S-T WHSE.                                                         </t>
        </is>
      </c>
      <c r="AL1005" s="605">
        <f>IF(AND(ISNUMBER($S1005),$S1005&gt;0,ISNUMBER($K1005),ISNUMBER($J1005)),($K1005*$J1005)/$S1005,"")</f>
        <v/>
      </c>
    </row>
    <row r="1006" ht="12.75" customHeight="1" s="545">
      <c r="A1006" s="388" t="n">
        <v>8</v>
      </c>
      <c r="B1006" s="605" t="n">
        <v>998</v>
      </c>
      <c r="C1006" s="384" t="inlineStr">
        <is>
          <t>2009Q</t>
        </is>
      </c>
      <c r="D1006" s="605" t="inlineStr">
        <is>
          <t xml:space="preserve">05284-03-018-000 </t>
        </is>
      </c>
      <c r="E1006" s="407" t="inlineStr">
        <is>
          <t>Actual</t>
        </is>
      </c>
      <c r="F1006" s="605" t="inlineStr">
        <is>
          <t>2390 S KALAMATH             ST</t>
        </is>
      </c>
      <c r="G1006" s="392" t="n">
        <v>44.2</v>
      </c>
      <c r="H1006" s="378" t="n">
        <v>9506</v>
      </c>
      <c r="I1006" s="403" t="n">
        <v>0</v>
      </c>
      <c r="J1006" s="404" t="n">
        <v>6000</v>
      </c>
      <c r="K1006" s="408" t="n">
        <v>5.4</v>
      </c>
      <c r="L1006" s="409" t="n">
        <v>0</v>
      </c>
      <c r="M1006" s="409" t="n">
        <v>0.0880864197530864</v>
      </c>
      <c r="N1006" s="378" t="n">
        <v>1973</v>
      </c>
      <c r="O1006" s="393" t="n">
        <v>1440</v>
      </c>
      <c r="Q1006" s="605" t="n">
        <v>14</v>
      </c>
      <c r="R1006" s="605" t="n">
        <v>1</v>
      </c>
      <c r="S1006" s="605" t="n">
        <v>1</v>
      </c>
      <c r="T1006" s="403" t="inlineStr">
        <is>
          <t xml:space="preserve">I1   </t>
        </is>
      </c>
      <c r="U1006" s="403" t="n">
        <v>398</v>
      </c>
      <c r="V1006" s="404" t="n">
        <v>18750</v>
      </c>
      <c r="W1006" s="404" t="n">
        <v>19000</v>
      </c>
      <c r="X1006" s="410" t="inlineStr">
        <is>
          <t>1.6:1</t>
        </is>
      </c>
      <c r="Y1006" s="404">
        <f>ROUND(J1006,-3)</f>
        <v/>
      </c>
      <c r="Z1006" s="403" t="inlineStr">
        <is>
          <t xml:space="preserve">C </t>
        </is>
      </c>
      <c r="AA1006" s="605" t="n">
        <v>3</v>
      </c>
      <c r="AB1006" s="605" t="n">
        <v>3</v>
      </c>
      <c r="AC1006" s="378" t="inlineStr">
        <is>
          <t>33</t>
        </is>
      </c>
      <c r="AD1006" s="384" t="n"/>
      <c r="AE1006" s="145" t="n"/>
      <c r="AF1006" s="145" t="n"/>
      <c r="AG1006" s="145" t="n"/>
      <c r="AH1006" s="145" t="n"/>
      <c r="AI1006" s="145" t="n"/>
      <c r="AJ1006" s="145" t="n"/>
      <c r="AK1006" s="145" t="inlineStr">
        <is>
          <t xml:space="preserve">M-T WHSE.; 3 TENANTS; MO-TO-MO LEASES.                            </t>
        </is>
      </c>
      <c r="AL1006" s="605">
        <f>IF(AND(ISNUMBER($S1006),$S1006&gt;0,ISNUMBER($K1006),ISNUMBER($J1006)),($K1006*$J1006)/$S1006,"")</f>
        <v/>
      </c>
    </row>
    <row r="1007" ht="12.75" customHeight="1" s="545">
      <c r="A1007" s="388" t="n">
        <v>8</v>
      </c>
      <c r="B1007" s="605" t="n">
        <v>999</v>
      </c>
      <c r="C1007" s="384" t="inlineStr">
        <is>
          <t>2009Q</t>
        </is>
      </c>
      <c r="D1007" s="605" t="inlineStr">
        <is>
          <t xml:space="preserve">05284-04-005-000 </t>
        </is>
      </c>
      <c r="E1007" s="407" t="inlineStr">
        <is>
          <t>Actual</t>
        </is>
      </c>
      <c r="F1007" s="605" t="inlineStr">
        <is>
          <t>2390 S LIPAN                ST</t>
        </is>
      </c>
      <c r="G1007" s="392" t="n">
        <v>44.2</v>
      </c>
      <c r="H1007" s="378" t="n">
        <v>9506</v>
      </c>
      <c r="I1007" s="403" t="n">
        <v>0</v>
      </c>
      <c r="J1007" s="404" t="n">
        <v>11090</v>
      </c>
      <c r="K1007" s="408" t="n">
        <v>10.4418394950406</v>
      </c>
      <c r="L1007" s="409" t="n">
        <v>0.360685302073941</v>
      </c>
      <c r="M1007" s="409" t="n">
        <v>0</v>
      </c>
      <c r="N1007" s="378" t="n">
        <v>1995</v>
      </c>
      <c r="O1007" s="393" t="n">
        <v>1671</v>
      </c>
      <c r="P1007" s="393" t="n">
        <v>3922</v>
      </c>
      <c r="Q1007" s="605" t="n">
        <v>15</v>
      </c>
      <c r="R1007" s="605" t="n">
        <v>3</v>
      </c>
      <c r="S1007" s="605" t="n">
        <v>1</v>
      </c>
      <c r="T1007" s="403" t="inlineStr">
        <is>
          <t xml:space="preserve">I1   </t>
        </is>
      </c>
      <c r="U1007" s="403" t="n">
        <v>398</v>
      </c>
      <c r="V1007" s="404" t="n">
        <v>40625</v>
      </c>
      <c r="W1007" s="404" t="n">
        <v>41000</v>
      </c>
      <c r="X1007" s="410" t="inlineStr">
        <is>
          <t>3.7:1</t>
        </is>
      </c>
      <c r="Y1007" s="404">
        <f>ROUND(J1007,-3)</f>
        <v/>
      </c>
      <c r="Z1007" s="403" t="inlineStr">
        <is>
          <t xml:space="preserve">C </t>
        </is>
      </c>
      <c r="AA1007" s="605" t="n">
        <v>3</v>
      </c>
      <c r="AB1007" s="605" t="n">
        <v>3</v>
      </c>
      <c r="AC1007" s="378" t="inlineStr">
        <is>
          <t>33</t>
        </is>
      </c>
      <c r="AD1007" s="384" t="inlineStr">
        <is>
          <t xml:space="preserve">DIST/LAB/SINGLE TN  </t>
        </is>
      </c>
      <c r="AE1007" s="145" t="n"/>
      <c r="AF1007" s="145" t="n"/>
      <c r="AG1007" s="145" t="n"/>
      <c r="AH1007" s="145" t="n"/>
      <c r="AI1007" s="145" t="n"/>
      <c r="AJ1007" s="145" t="n"/>
      <c r="AK1007" s="145" t="inlineStr">
        <is>
          <t xml:space="preserve">S-T WHSE.; LEASE TERMS UNKNOWN.                                   </t>
        </is>
      </c>
      <c r="AL1007" s="605">
        <f>IF(AND(ISNUMBER($S1007),$S1007&gt;0,ISNUMBER($K1007),ISNUMBER($J1007)),($K1007*$J1007)/$S1007,"")</f>
        <v/>
      </c>
    </row>
    <row r="1008" ht="12.75" customHeight="1" s="545">
      <c r="A1008" s="388" t="n">
        <v>8</v>
      </c>
      <c r="B1008" s="605" t="n">
        <v>1000</v>
      </c>
      <c r="C1008" s="384" t="inlineStr">
        <is>
          <t>2009Q</t>
        </is>
      </c>
      <c r="D1008" s="605" t="inlineStr">
        <is>
          <t xml:space="preserve">05284-05-005-000 </t>
        </is>
      </c>
      <c r="E1008" s="407" t="inlineStr">
        <is>
          <t>Actual</t>
        </is>
      </c>
      <c r="F1008" s="605" t="inlineStr">
        <is>
          <t>2323 S LIPAN                ST</t>
        </is>
      </c>
      <c r="G1008" s="392" t="n">
        <v>47.2</v>
      </c>
      <c r="H1008" s="378" t="n">
        <v>9506</v>
      </c>
      <c r="I1008" s="403" t="n">
        <v>0</v>
      </c>
      <c r="J1008" s="404" t="n">
        <v>49245</v>
      </c>
      <c r="K1008" s="408" t="n">
        <v>4.04629911666159</v>
      </c>
      <c r="L1008" s="409" t="n">
        <v>0</v>
      </c>
      <c r="M1008" s="409" t="n">
        <v>0.0561075981130182</v>
      </c>
      <c r="N1008" s="378" t="n">
        <v>1965</v>
      </c>
      <c r="O1008" s="393" t="n">
        <v>5002</v>
      </c>
      <c r="Q1008" s="605" t="n">
        <v>14</v>
      </c>
      <c r="R1008" s="605" t="n">
        <v>1</v>
      </c>
      <c r="S1008" s="605" t="n">
        <v>1</v>
      </c>
      <c r="T1008" s="403" t="inlineStr">
        <is>
          <t xml:space="preserve">I2   </t>
        </is>
      </c>
      <c r="U1008" s="403" t="n">
        <v>401</v>
      </c>
      <c r="V1008" s="404" t="n">
        <v>66500</v>
      </c>
      <c r="W1008" s="404" t="n">
        <v>70000</v>
      </c>
      <c r="X1008" s="410" t="inlineStr">
        <is>
          <t>1.4:1</t>
        </is>
      </c>
      <c r="Y1008" s="404">
        <f>ROUND(J1008,-3)</f>
        <v/>
      </c>
      <c r="Z1008" s="403" t="inlineStr">
        <is>
          <t xml:space="preserve">C </t>
        </is>
      </c>
      <c r="AA1008" s="605" t="n">
        <v>3</v>
      </c>
      <c r="AB1008" s="605" t="n">
        <v>2</v>
      </c>
      <c r="AC1008" s="378" t="inlineStr">
        <is>
          <t>32</t>
        </is>
      </c>
      <c r="AD1008" s="384" t="n"/>
      <c r="AE1008" s="145" t="n"/>
      <c r="AF1008" s="145" t="n"/>
      <c r="AG1008" s="145" t="n"/>
      <c r="AH1008" s="145" t="n"/>
      <c r="AI1008" s="145" t="n"/>
      <c r="AJ1008" s="145" t="n"/>
      <c r="AK1008" s="145" t="inlineStr">
        <is>
          <t xml:space="preserve">S-T INDUSTRIAL BLDG.                                              </t>
        </is>
      </c>
      <c r="AL1008" s="605">
        <f>IF(AND(ISNUMBER($S1008),$S1008&gt;0,ISNUMBER($K1008),ISNUMBER($J1008)),($K1008*$J1008)/$S1008,"")</f>
        <v/>
      </c>
    </row>
    <row r="1009" ht="12.75" customHeight="1" s="545">
      <c r="A1009" s="388" t="n">
        <v>8</v>
      </c>
      <c r="B1009" s="605" t="n">
        <v>1001</v>
      </c>
      <c r="C1009" s="384" t="inlineStr">
        <is>
          <t>2009Q</t>
        </is>
      </c>
      <c r="D1009" s="605" t="inlineStr">
        <is>
          <t xml:space="preserve">06282-02-007-000 </t>
        </is>
      </c>
      <c r="E1009" s="407" t="inlineStr">
        <is>
          <t>Actual</t>
        </is>
      </c>
      <c r="F1009" s="605" t="inlineStr">
        <is>
          <t>1980 S QUEBEC               ST</t>
        </is>
      </c>
      <c r="G1009" s="392" t="n">
        <v>44.2</v>
      </c>
      <c r="H1009" s="378" t="n">
        <v>9603</v>
      </c>
      <c r="I1009" s="403" t="n">
        <v>0</v>
      </c>
      <c r="J1009" s="404" t="n">
        <v>39152</v>
      </c>
      <c r="K1009" s="408" t="n">
        <v>5.94605639558643</v>
      </c>
      <c r="L1009" s="409" t="n">
        <v>0.05</v>
      </c>
      <c r="M1009" s="409" t="n">
        <v>0.442418384879725</v>
      </c>
      <c r="N1009" s="378" t="n">
        <v>1974</v>
      </c>
      <c r="O1009" s="393">
        <f>12488+5868</f>
        <v/>
      </c>
      <c r="Q1009" s="605" t="n">
        <v>22</v>
      </c>
      <c r="R1009" s="605" t="n">
        <v>10</v>
      </c>
      <c r="S1009" s="605" t="n">
        <v>12</v>
      </c>
      <c r="T1009" s="403" t="inlineStr">
        <is>
          <t xml:space="preserve">I1   </t>
        </is>
      </c>
      <c r="U1009" s="403" t="n">
        <v>397</v>
      </c>
      <c r="V1009" s="404" t="n">
        <v>94290</v>
      </c>
      <c r="W1009" s="404" t="n">
        <v>90000</v>
      </c>
      <c r="X1009" s="410" t="inlineStr">
        <is>
          <t>2.4:1</t>
        </is>
      </c>
      <c r="Y1009" s="404">
        <f>ROUND(J1009,-3)</f>
        <v/>
      </c>
      <c r="Z1009" s="403" t="inlineStr">
        <is>
          <t xml:space="preserve">C </t>
        </is>
      </c>
      <c r="AA1009" s="605" t="n">
        <v>3</v>
      </c>
      <c r="AB1009" s="605" t="n">
        <v>3</v>
      </c>
      <c r="AC1009" s="378" t="inlineStr">
        <is>
          <t>33</t>
        </is>
      </c>
      <c r="AD1009" s="384" t="inlineStr">
        <is>
          <t xml:space="preserve">WAREHOUSE           </t>
        </is>
      </c>
      <c r="AE1009" s="145" t="n"/>
      <c r="AF1009" s="145" t="n"/>
      <c r="AG1009" s="145" t="n"/>
      <c r="AH1009" s="145" t="n"/>
      <c r="AI1009" s="145" t="n"/>
      <c r="AJ1009" s="145" t="n"/>
      <c r="AK1009" s="145" t="inlineStr">
        <is>
          <t xml:space="preserve">M-T OFC/WHS; 21 TENANTS; AGE OF LEASES UNKNOWN.                   </t>
        </is>
      </c>
      <c r="AL1009" s="605">
        <f>IF(AND(ISNUMBER($S1009),$S1009&gt;0,ISNUMBER($K1009),ISNUMBER($J1009)),($K1009*$J1009)/$S1009,"")</f>
        <v/>
      </c>
    </row>
    <row r="1010" ht="12.75" customHeight="1" s="545">
      <c r="A1010" s="388" t="n">
        <v>8</v>
      </c>
      <c r="B1010" s="605" t="n">
        <v>1002</v>
      </c>
      <c r="C1010" s="384" t="inlineStr">
        <is>
          <t>2009Q</t>
        </is>
      </c>
      <c r="D1010" s="605" t="inlineStr">
        <is>
          <t xml:space="preserve">06282-02-013-000 </t>
        </is>
      </c>
      <c r="E1010" s="407" t="inlineStr">
        <is>
          <t>Actual</t>
        </is>
      </c>
      <c r="F1010" s="605" t="inlineStr">
        <is>
          <t>1910 S QUEBEC               ST</t>
        </is>
      </c>
      <c r="G1010" s="392" t="n">
        <v>44.1</v>
      </c>
      <c r="H1010" s="378" t="n">
        <v>9603</v>
      </c>
      <c r="I1010" s="403" t="n">
        <v>0</v>
      </c>
      <c r="J1010" s="404" t="n">
        <v>11360</v>
      </c>
      <c r="K1010" s="408" t="n">
        <v>6.64859154929578</v>
      </c>
      <c r="L1010" s="409" t="n">
        <v>0</v>
      </c>
      <c r="M1010" s="409" t="n">
        <v>0.0264802457366804</v>
      </c>
      <c r="N1010" s="378" t="n">
        <v>1976</v>
      </c>
      <c r="O1010" s="393" t="n">
        <v>370</v>
      </c>
      <c r="P1010" s="393" t="n">
        <v>1210</v>
      </c>
      <c r="Q1010" s="605" t="n">
        <v>17</v>
      </c>
      <c r="R1010" s="605" t="n">
        <v>7</v>
      </c>
      <c r="S1010" s="605" t="n">
        <v>1</v>
      </c>
      <c r="T1010" s="403" t="inlineStr">
        <is>
          <t xml:space="preserve">I1   </t>
        </is>
      </c>
      <c r="U1010" s="403" t="n">
        <v>398</v>
      </c>
      <c r="V1010" s="404" t="n">
        <v>22110</v>
      </c>
      <c r="W1010" s="404" t="n">
        <v>22000</v>
      </c>
      <c r="X1010" s="410" t="inlineStr">
        <is>
          <t>1.9:1</t>
        </is>
      </c>
      <c r="Y1010" s="404">
        <f>ROUND(J1010,-3)</f>
        <v/>
      </c>
      <c r="Z1010" s="403" t="inlineStr">
        <is>
          <t xml:space="preserve">C </t>
        </is>
      </c>
      <c r="AA1010" s="605" t="n">
        <v>3</v>
      </c>
      <c r="AB1010" s="605" t="n">
        <v>3</v>
      </c>
      <c r="AC1010" s="378" t="inlineStr">
        <is>
          <t>33</t>
        </is>
      </c>
      <c r="AD1010" s="384" t="inlineStr">
        <is>
          <t xml:space="preserve">GEORGE SANDERS WHSE </t>
        </is>
      </c>
      <c r="AE1010" s="145" t="n"/>
      <c r="AF1010" s="145" t="n"/>
      <c r="AG1010" s="145" t="n"/>
      <c r="AH1010" s="145" t="n"/>
      <c r="AI1010" s="145" t="n"/>
      <c r="AJ1010" s="145" t="n"/>
      <c r="AK1010" s="145" t="inlineStr">
        <is>
          <t xml:space="preserve">S-T WHSE; 2006 LEASE.                                             </t>
        </is>
      </c>
      <c r="AL1010" s="605">
        <f>IF(AND(ISNUMBER($S1010),$S1010&gt;0,ISNUMBER($K1010),ISNUMBER($J1010)),($K1010*$J1010)/$S1010,"")</f>
        <v/>
      </c>
    </row>
    <row r="1011" ht="12.75" customHeight="1" s="545">
      <c r="A1011" s="388" t="n">
        <v>8</v>
      </c>
      <c r="B1011" s="605" t="n">
        <v>1003</v>
      </c>
      <c r="C1011" s="384" t="inlineStr">
        <is>
          <t>2009Q</t>
        </is>
      </c>
      <c r="D1011" s="605" t="inlineStr">
        <is>
          <t xml:space="preserve">06292-00-009-000 </t>
        </is>
      </c>
      <c r="E1011" s="407" t="inlineStr">
        <is>
          <t>Actual</t>
        </is>
      </c>
      <c r="F1011" s="605" t="inlineStr">
        <is>
          <t>6359 E EVANS                AV</t>
        </is>
      </c>
      <c r="G1011" s="392" t="n">
        <v>43.1</v>
      </c>
      <c r="H1011" s="378" t="n">
        <v>9603</v>
      </c>
      <c r="I1011" s="403" t="n">
        <v>7</v>
      </c>
      <c r="J1011" s="404" t="n">
        <v>2700</v>
      </c>
      <c r="K1011" s="408" t="n">
        <v>8.888888888888889</v>
      </c>
      <c r="L1011" s="409" t="n">
        <v>0</v>
      </c>
      <c r="M1011" s="409" t="n">
        <v>0.375</v>
      </c>
      <c r="N1011" s="378" t="n">
        <v>1960</v>
      </c>
      <c r="O1011" s="393" t="n">
        <v>3332</v>
      </c>
      <c r="Q1011" s="605" t="n">
        <v>14</v>
      </c>
      <c r="R1011" s="605" t="n">
        <v>1</v>
      </c>
      <c r="S1011" s="605" t="n">
        <v>1</v>
      </c>
      <c r="T1011" s="403" t="inlineStr">
        <is>
          <t xml:space="preserve">I0   </t>
        </is>
      </c>
      <c r="U1011" s="403" t="n">
        <v>401</v>
      </c>
      <c r="V1011" s="404" t="n">
        <v>24500</v>
      </c>
      <c r="W1011" s="404" t="n">
        <v>25000</v>
      </c>
      <c r="X1011" s="410" t="inlineStr">
        <is>
          <t>4.2:1</t>
        </is>
      </c>
      <c r="Y1011" s="404">
        <f>ROUND(J1011,-3)</f>
        <v/>
      </c>
      <c r="Z1011" s="403" t="inlineStr">
        <is>
          <t xml:space="preserve">C </t>
        </is>
      </c>
      <c r="AA1011" s="605" t="n">
        <v>3</v>
      </c>
      <c r="AB1011" s="605" t="n">
        <v>3</v>
      </c>
      <c r="AC1011" s="378" t="inlineStr">
        <is>
          <t>33</t>
        </is>
      </c>
      <c r="AD1011" s="384" t="n"/>
      <c r="AE1011" s="145" t="n"/>
      <c r="AF1011" s="145" t="n"/>
      <c r="AG1011" s="145" t="n"/>
      <c r="AH1011" s="145" t="n"/>
      <c r="AI1011" s="145" t="n"/>
      <c r="AJ1011" s="145" t="n"/>
      <c r="AK1011" s="145" t="inlineStr">
        <is>
          <t xml:space="preserve">M-T WHSE; AT LEAST 2 UNITS; 2006 LEASE.                           </t>
        </is>
      </c>
      <c r="AL1011" s="605">
        <f>IF(AND(ISNUMBER($S1011),$S1011&gt;0,ISNUMBER($K1011),ISNUMBER($J1011)),($K1011*$J1011)/$S1011,"")</f>
        <v/>
      </c>
    </row>
    <row r="1012" ht="12.75" customHeight="1" s="545">
      <c r="A1012" s="388" t="n">
        <v>8</v>
      </c>
      <c r="B1012" s="605" t="n">
        <v>1004</v>
      </c>
      <c r="C1012" s="384" t="inlineStr">
        <is>
          <t>2009Q</t>
        </is>
      </c>
      <c r="D1012" s="605" t="inlineStr">
        <is>
          <t xml:space="preserve">06292-00-082-000 </t>
        </is>
      </c>
      <c r="E1012" s="407" t="inlineStr">
        <is>
          <t>Actual</t>
        </is>
      </c>
      <c r="F1012" s="605" t="inlineStr">
        <is>
          <t>2117 S JASMINE              ST</t>
        </is>
      </c>
      <c r="G1012" s="392" t="n">
        <v>44.1</v>
      </c>
      <c r="H1012" s="378" t="n">
        <v>9603</v>
      </c>
      <c r="I1012" s="403" t="n">
        <v>0</v>
      </c>
      <c r="J1012" s="404" t="n">
        <v>8684</v>
      </c>
      <c r="K1012" s="408" t="n">
        <v>4.14555504375864</v>
      </c>
      <c r="L1012" s="409" t="n">
        <v>0</v>
      </c>
      <c r="M1012" s="409" t="n">
        <v>0.05</v>
      </c>
      <c r="N1012" s="378" t="n">
        <v>1971</v>
      </c>
      <c r="O1012" s="393" t="n">
        <v>937</v>
      </c>
      <c r="Q1012" s="605" t="n">
        <v>15</v>
      </c>
      <c r="R1012" s="605" t="n">
        <v>3</v>
      </c>
      <c r="S1012" s="605" t="n">
        <v>1</v>
      </c>
      <c r="T1012" s="403" t="inlineStr">
        <is>
          <t xml:space="preserve">I0   </t>
        </is>
      </c>
      <c r="U1012" s="403" t="n">
        <v>398</v>
      </c>
      <c r="V1012" s="404" t="n">
        <v>24969</v>
      </c>
      <c r="W1012" s="404" t="n">
        <v>25000</v>
      </c>
      <c r="X1012" s="410" t="inlineStr">
        <is>
          <t>2.9:1</t>
        </is>
      </c>
      <c r="Y1012" s="404">
        <f>ROUND(J1012,-3)</f>
        <v/>
      </c>
      <c r="Z1012" s="403" t="inlineStr">
        <is>
          <t xml:space="preserve">C </t>
        </is>
      </c>
      <c r="AA1012" s="605" t="n">
        <v>3</v>
      </c>
      <c r="AB1012" s="605" t="n">
        <v>3</v>
      </c>
      <c r="AC1012" s="378" t="inlineStr">
        <is>
          <t>33</t>
        </is>
      </c>
      <c r="AD1012" s="384" t="inlineStr">
        <is>
          <t xml:space="preserve">CAMP BOW WOW        </t>
        </is>
      </c>
      <c r="AE1012" s="145" t="n"/>
      <c r="AF1012" s="145" t="n"/>
      <c r="AG1012" s="145" t="n"/>
      <c r="AH1012" s="145" t="n"/>
      <c r="AI1012" s="145" t="n"/>
      <c r="AJ1012" s="145" t="n"/>
      <c r="AK1012" s="145" t="inlineStr">
        <is>
          <t xml:space="preserve">S-T WHSE; AGE OF LEASE UNKNOWN.                                   </t>
        </is>
      </c>
      <c r="AL1012" s="605">
        <f>IF(AND(ISNUMBER($S1012),$S1012&gt;0,ISNUMBER($K1012),ISNUMBER($J1012)),($K1012*$J1012)/$S1012,"")</f>
        <v/>
      </c>
    </row>
    <row r="1013" ht="12.75" customHeight="1" s="545">
      <c r="A1013" s="388" t="n">
        <v>8</v>
      </c>
      <c r="B1013" s="605" t="n">
        <v>1005</v>
      </c>
      <c r="C1013" s="384" t="inlineStr">
        <is>
          <t>2009Q</t>
        </is>
      </c>
      <c r="D1013" s="605" t="inlineStr">
        <is>
          <t xml:space="preserve">06292-05-006-000 </t>
        </is>
      </c>
      <c r="E1013" s="407" t="inlineStr">
        <is>
          <t>Actual</t>
        </is>
      </c>
      <c r="F1013" s="605" t="inlineStr">
        <is>
          <t>2211 S LEYDEN               ST</t>
        </is>
      </c>
      <c r="G1013" s="392" t="n">
        <v>44.1</v>
      </c>
      <c r="H1013" s="378" t="n">
        <v>9603</v>
      </c>
      <c r="I1013" s="403" t="n">
        <v>0</v>
      </c>
      <c r="J1013" s="404" t="n">
        <v>7241</v>
      </c>
      <c r="K1013" s="408" t="n">
        <v>6.62891865764397</v>
      </c>
      <c r="L1013" s="409" t="n">
        <v>0</v>
      </c>
      <c r="M1013" s="409" t="n">
        <v>0</v>
      </c>
      <c r="N1013" s="378" t="n">
        <v>1973</v>
      </c>
      <c r="P1013" s="393" t="n">
        <v>2537</v>
      </c>
      <c r="Q1013" s="605" t="n">
        <v>19</v>
      </c>
      <c r="R1013" s="605" t="n">
        <v>4</v>
      </c>
      <c r="S1013" s="605" t="n">
        <v>1</v>
      </c>
      <c r="T1013" s="403" t="inlineStr">
        <is>
          <t xml:space="preserve">I0   </t>
        </is>
      </c>
      <c r="U1013" s="403" t="n">
        <v>398</v>
      </c>
      <c r="V1013" s="404" t="n">
        <v>20149</v>
      </c>
      <c r="W1013" s="404" t="n">
        <v>20000</v>
      </c>
      <c r="X1013" s="410" t="inlineStr">
        <is>
          <t>2.8:1</t>
        </is>
      </c>
      <c r="Y1013" s="404">
        <f>ROUND(J1013,-3)</f>
        <v/>
      </c>
      <c r="Z1013" s="403" t="inlineStr">
        <is>
          <t xml:space="preserve">C </t>
        </is>
      </c>
      <c r="AA1013" s="605" t="n">
        <v>3</v>
      </c>
      <c r="AB1013" s="605" t="n">
        <v>3</v>
      </c>
      <c r="AC1013" s="378" t="inlineStr">
        <is>
          <t>33</t>
        </is>
      </c>
      <c r="AD1013" s="384" t="n"/>
      <c r="AE1013" s="145" t="n"/>
      <c r="AF1013" s="145" t="n"/>
      <c r="AG1013" s="145" t="n"/>
      <c r="AH1013" s="145" t="n"/>
      <c r="AI1013" s="145" t="n"/>
      <c r="AJ1013" s="145" t="n"/>
      <c r="AK1013" s="145" t="inlineStr">
        <is>
          <t xml:space="preserve">S-T WHSE; AGE ON LEASE UNKNOWN; TENANT = MONARCH POOLS            </t>
        </is>
      </c>
      <c r="AL1013" s="605">
        <f>IF(AND(ISNUMBER($S1013),$S1013&gt;0,ISNUMBER($K1013),ISNUMBER($J1013)),($K1013*$J1013)/$S1013,"")</f>
        <v/>
      </c>
    </row>
    <row r="1014" ht="12.75" customHeight="1" s="545">
      <c r="A1014" s="388" t="n">
        <v>8</v>
      </c>
      <c r="B1014" s="605" t="n">
        <v>1006</v>
      </c>
      <c r="C1014" s="384" t="inlineStr">
        <is>
          <t>2009Q</t>
        </is>
      </c>
      <c r="D1014" s="605" t="inlineStr">
        <is>
          <t xml:space="preserve">06292-10-004-000 </t>
        </is>
      </c>
      <c r="E1014" s="407" t="inlineStr">
        <is>
          <t>Actual</t>
        </is>
      </c>
      <c r="F1014" s="605" t="inlineStr">
        <is>
          <t>5885 E EVANS                AV</t>
        </is>
      </c>
      <c r="G1014" s="392" t="n">
        <v>44.1</v>
      </c>
      <c r="H1014" s="378" t="n">
        <v>9603</v>
      </c>
      <c r="I1014" s="403" t="n">
        <v>0</v>
      </c>
      <c r="J1014" s="404" t="n">
        <v>12244</v>
      </c>
      <c r="K1014" s="408" t="n">
        <v>8.191767396275729</v>
      </c>
      <c r="L1014" s="409" t="n">
        <v>1</v>
      </c>
      <c r="M1014" s="409" t="n">
        <v>0.0299102691924227</v>
      </c>
      <c r="N1014" s="378" t="n">
        <v>1970</v>
      </c>
      <c r="O1014" s="393" t="n">
        <v>5891</v>
      </c>
      <c r="Q1014" s="605" t="n">
        <v>13</v>
      </c>
      <c r="R1014" s="605" t="n">
        <v>3</v>
      </c>
      <c r="S1014" s="605" t="n">
        <v>1</v>
      </c>
      <c r="T1014" s="403" t="inlineStr">
        <is>
          <t xml:space="preserve">I0   </t>
        </is>
      </c>
      <c r="U1014" s="403" t="n">
        <v>398</v>
      </c>
      <c r="V1014" s="404" t="n">
        <v>43775</v>
      </c>
      <c r="W1014" s="404" t="n">
        <v>44000</v>
      </c>
      <c r="X1014" s="410" t="inlineStr">
        <is>
          <t>3.6:1</t>
        </is>
      </c>
      <c r="Y1014" s="404">
        <f>ROUND(J1014,-3)</f>
        <v/>
      </c>
      <c r="Z1014" s="403" t="inlineStr">
        <is>
          <t xml:space="preserve">C </t>
        </is>
      </c>
      <c r="AA1014" s="605" t="n">
        <v>3</v>
      </c>
      <c r="AB1014" s="605" t="n">
        <v>3</v>
      </c>
      <c r="AC1014" s="378" t="inlineStr">
        <is>
          <t>33</t>
        </is>
      </c>
      <c r="AD1014" s="384" t="inlineStr">
        <is>
          <t xml:space="preserve">PRINTSHOP PLUS      </t>
        </is>
      </c>
      <c r="AE1014" s="145" t="n"/>
      <c r="AF1014" s="145" t="n"/>
      <c r="AG1014" s="145" t="n"/>
      <c r="AH1014" s="145" t="n"/>
      <c r="AI1014" s="145" t="n"/>
      <c r="AJ1014" s="145" t="n"/>
      <c r="AK1014" s="145" t="inlineStr">
        <is>
          <t xml:space="preserve">S-T WHSE.; LEASE DATES FROM 2003.                                 </t>
        </is>
      </c>
      <c r="AL1014" s="605">
        <f>IF(AND(ISNUMBER($S1014),$S1014&gt;0,ISNUMBER($K1014),ISNUMBER($J1014)),($K1014*$J1014)/$S1014,"")</f>
        <v/>
      </c>
    </row>
    <row r="1015" ht="12.75" customHeight="1" s="545">
      <c r="A1015" s="388" t="n">
        <v>8</v>
      </c>
      <c r="B1015" s="605" t="n">
        <v>1007</v>
      </c>
      <c r="C1015" s="384" t="inlineStr">
        <is>
          <t>2009Q</t>
        </is>
      </c>
      <c r="D1015" s="605" t="inlineStr">
        <is>
          <t xml:space="preserve">06292-12-013-000 </t>
        </is>
      </c>
      <c r="E1015" s="407" t="inlineStr">
        <is>
          <t>Actual</t>
        </is>
      </c>
      <c r="F1015" s="605" t="inlineStr">
        <is>
          <t>2180 S IVANHOE              ST</t>
        </is>
      </c>
      <c r="G1015" s="392" t="n">
        <v>44.1</v>
      </c>
      <c r="H1015" s="378" t="n">
        <v>9603</v>
      </c>
      <c r="I1015" s="403" t="n">
        <v>0</v>
      </c>
      <c r="J1015" s="404" t="n">
        <v>18069</v>
      </c>
      <c r="K1015" s="408" t="n">
        <v>6.30195362222591</v>
      </c>
      <c r="L1015" s="409" t="n">
        <v>0</v>
      </c>
      <c r="M1015" s="409" t="n">
        <v>0.0142091859137613</v>
      </c>
      <c r="N1015" s="378" t="n">
        <v>1978</v>
      </c>
      <c r="O1015" s="393" t="n">
        <v>1466</v>
      </c>
      <c r="P1015" s="393">
        <f>1523+3537+3651</f>
        <v/>
      </c>
      <c r="Q1015" s="605" t="n">
        <v>15</v>
      </c>
      <c r="R1015" s="605" t="n">
        <v>10</v>
      </c>
      <c r="S1015" s="605" t="n">
        <v>1</v>
      </c>
      <c r="T1015" s="403" t="inlineStr">
        <is>
          <t xml:space="preserve">I0   </t>
        </is>
      </c>
      <c r="U1015" s="403" t="n">
        <v>398</v>
      </c>
      <c r="V1015" s="404" t="n">
        <v>36834</v>
      </c>
      <c r="W1015" s="404" t="n">
        <v>37000</v>
      </c>
      <c r="X1015" s="410" t="inlineStr">
        <is>
          <t>2.0:1</t>
        </is>
      </c>
      <c r="Y1015" s="404">
        <f>ROUND(J1015,-3)</f>
        <v/>
      </c>
      <c r="Z1015" s="403" t="inlineStr">
        <is>
          <t xml:space="preserve">C </t>
        </is>
      </c>
      <c r="AA1015" s="605" t="n">
        <v>3</v>
      </c>
      <c r="AB1015" s="605" t="n">
        <v>3</v>
      </c>
      <c r="AC1015" s="378" t="inlineStr">
        <is>
          <t>33</t>
        </is>
      </c>
      <c r="AD1015" s="384" t="inlineStr">
        <is>
          <t xml:space="preserve">A.G. WASSENAAR INC. </t>
        </is>
      </c>
      <c r="AE1015" s="145" t="n"/>
      <c r="AF1015" s="145" t="n"/>
      <c r="AG1015" s="145" t="n"/>
      <c r="AH1015" s="145" t="n"/>
      <c r="AI1015" s="145" t="n"/>
      <c r="AJ1015" s="145" t="n"/>
      <c r="AK1015" s="145" t="inlineStr">
        <is>
          <t xml:space="preserve">S-T WHSE.; LEASE DATES FROM 2004.                                 </t>
        </is>
      </c>
      <c r="AL1015" s="605">
        <f>IF(AND(ISNUMBER($S1015),$S1015&gt;0,ISNUMBER($K1015),ISNUMBER($J1015)),($K1015*$J1015)/$S1015,"")</f>
        <v/>
      </c>
    </row>
    <row r="1016" ht="12.75" customHeight="1" s="545">
      <c r="A1016" s="388" t="n">
        <v>8</v>
      </c>
      <c r="B1016" s="605" t="n">
        <v>1008</v>
      </c>
      <c r="C1016" s="384" t="inlineStr">
        <is>
          <t>2009Q</t>
        </is>
      </c>
      <c r="D1016" s="605" t="inlineStr">
        <is>
          <t xml:space="preserve">06292-14-004-000 </t>
        </is>
      </c>
      <c r="E1016" s="407" t="inlineStr">
        <is>
          <t>Actual</t>
        </is>
      </c>
      <c r="F1016" s="605" t="inlineStr">
        <is>
          <t>6300 E EVANS                AV</t>
        </is>
      </c>
      <c r="G1016" s="392" t="n">
        <v>44.1</v>
      </c>
      <c r="H1016" s="378" t="n">
        <v>9603</v>
      </c>
      <c r="I1016" s="403" t="n">
        <v>7</v>
      </c>
      <c r="J1016" s="404" t="n">
        <v>40296</v>
      </c>
      <c r="K1016" s="408" t="n">
        <v>4.52268215207465</v>
      </c>
      <c r="L1016" s="409" t="n">
        <v>0</v>
      </c>
      <c r="M1016" s="409" t="n">
        <v>0.00538832128002809</v>
      </c>
      <c r="N1016" s="378" t="n">
        <v>1963</v>
      </c>
      <c r="O1016" s="393" t="n">
        <v>11042</v>
      </c>
      <c r="P1016" s="393" t="n">
        <v>5161</v>
      </c>
      <c r="Q1016" s="605" t="n">
        <v>15</v>
      </c>
      <c r="R1016" s="605" t="n">
        <v>1</v>
      </c>
      <c r="S1016" s="605" t="n">
        <v>1</v>
      </c>
      <c r="T1016" s="403" t="inlineStr">
        <is>
          <t xml:space="preserve">I0   </t>
        </is>
      </c>
      <c r="U1016" s="403" t="n">
        <v>398</v>
      </c>
      <c r="V1016" s="404" t="n">
        <v>66517</v>
      </c>
      <c r="W1016" s="404" t="n">
        <v>70000</v>
      </c>
      <c r="X1016" s="410" t="inlineStr">
        <is>
          <t>1.7:1</t>
        </is>
      </c>
      <c r="Y1016" s="404">
        <f>ROUND(J1016,-3)</f>
        <v/>
      </c>
      <c r="Z1016" s="403" t="inlineStr">
        <is>
          <t xml:space="preserve">C </t>
        </is>
      </c>
      <c r="AA1016" s="605" t="n">
        <v>3</v>
      </c>
      <c r="AB1016" s="605" t="n">
        <v>3</v>
      </c>
      <c r="AC1016" s="378" t="inlineStr">
        <is>
          <t>33</t>
        </is>
      </c>
      <c r="AD1016" s="384" t="inlineStr">
        <is>
          <t xml:space="preserve">S-W LEWAN SALES     </t>
        </is>
      </c>
      <c r="AE1016" s="145" t="n"/>
      <c r="AF1016" s="145" t="n"/>
      <c r="AG1016" s="145" t="n"/>
      <c r="AH1016" s="145" t="n"/>
      <c r="AI1016" s="145" t="n"/>
      <c r="AJ1016" s="145" t="n"/>
      <c r="AK1016" s="145" t="inlineStr">
        <is>
          <t xml:space="preserve">S-T WHSE; LEASE DATES FROM 2004.                                  </t>
        </is>
      </c>
      <c r="AL1016" s="605">
        <f>IF(AND(ISNUMBER($S1016),$S1016&gt;0,ISNUMBER($K1016),ISNUMBER($J1016)),($K1016*$J1016)/$S1016,"")</f>
        <v/>
      </c>
    </row>
    <row r="1017" ht="12.75" customHeight="1" s="545">
      <c r="A1017" s="388" t="n">
        <v>8</v>
      </c>
      <c r="B1017" s="605" t="n">
        <v>1009</v>
      </c>
      <c r="C1017" s="384" t="inlineStr">
        <is>
          <t>2009Q</t>
        </is>
      </c>
      <c r="D1017" s="605" t="inlineStr">
        <is>
          <t xml:space="preserve">06301-12-009-000 </t>
        </is>
      </c>
      <c r="E1017" s="407" t="inlineStr">
        <is>
          <t>Actual</t>
        </is>
      </c>
      <c r="F1017" s="605" t="inlineStr">
        <is>
          <t>4990 E ASBURY               AV</t>
        </is>
      </c>
      <c r="G1017" s="392" t="n">
        <v>44.2</v>
      </c>
      <c r="H1017" s="378" t="n">
        <v>9603</v>
      </c>
      <c r="I1017" s="403" t="n">
        <v>0</v>
      </c>
      <c r="J1017" s="404" t="n">
        <v>1800</v>
      </c>
      <c r="K1017" s="408" t="n">
        <v>7.93666666666667</v>
      </c>
      <c r="L1017" s="409" t="n">
        <v>0</v>
      </c>
      <c r="M1017" s="409" t="n">
        <v>0.159666806663867</v>
      </c>
      <c r="N1017" s="378" t="n">
        <v>1957</v>
      </c>
      <c r="O1017" s="393" t="n">
        <v>1537</v>
      </c>
      <c r="Q1017" s="605" t="n">
        <v>10</v>
      </c>
      <c r="R1017" s="605" t="n">
        <v>1</v>
      </c>
      <c r="S1017" s="605" t="n">
        <v>1</v>
      </c>
      <c r="T1017" s="403" t="inlineStr">
        <is>
          <t xml:space="preserve">I0   </t>
        </is>
      </c>
      <c r="U1017" s="403" t="n">
        <v>398</v>
      </c>
      <c r="V1017" s="404" t="n">
        <v>16345</v>
      </c>
      <c r="W1017" s="404" t="n">
        <v>16000</v>
      </c>
      <c r="X1017" s="410" t="inlineStr">
        <is>
          <t>3.4:1</t>
        </is>
      </c>
      <c r="Y1017" s="404">
        <f>ROUND(J1017,-2)</f>
        <v/>
      </c>
      <c r="Z1017" s="403" t="inlineStr">
        <is>
          <t xml:space="preserve">C </t>
        </is>
      </c>
      <c r="AA1017" s="605" t="n">
        <v>3</v>
      </c>
      <c r="AB1017" s="605" t="n">
        <v>3</v>
      </c>
      <c r="AC1017" s="378" t="inlineStr">
        <is>
          <t>33</t>
        </is>
      </c>
      <c r="AD1017" s="384" t="inlineStr">
        <is>
          <t xml:space="preserve">USED FOR DEAD STGE  </t>
        </is>
      </c>
      <c r="AE1017" s="145" t="n"/>
      <c r="AF1017" s="145" t="n"/>
      <c r="AG1017" s="145" t="n"/>
      <c r="AH1017" s="145" t="n"/>
      <c r="AI1017" s="145" t="n"/>
      <c r="AJ1017" s="145" t="n"/>
      <c r="AK1017" s="145" t="inlineStr">
        <is>
          <t xml:space="preserve">M-T WHSE; 2 TENANTS.                                              </t>
        </is>
      </c>
      <c r="AL1017" s="605">
        <f>IF(AND(ISNUMBER($S1017),$S1017&gt;0,ISNUMBER($K1017),ISNUMBER($J1017)),($K1017*$J1017)/$S1017,"")</f>
        <v/>
      </c>
    </row>
    <row r="1018" ht="12.75" customHeight="1" s="545">
      <c r="A1018" s="388" t="n">
        <v>8</v>
      </c>
      <c r="B1018" s="605" t="n">
        <v>1010</v>
      </c>
      <c r="C1018" s="384" t="inlineStr">
        <is>
          <t>2009Q</t>
        </is>
      </c>
      <c r="D1018" s="605" t="inlineStr">
        <is>
          <t xml:space="preserve">06301-13-015-000 </t>
        </is>
      </c>
      <c r="E1018" s="407" t="inlineStr">
        <is>
          <t>Actual</t>
        </is>
      </c>
      <c r="F1018" s="605" t="inlineStr">
        <is>
          <t>2000 S DAHLIA               ST</t>
        </is>
      </c>
      <c r="G1018" s="392" t="n">
        <v>44.1</v>
      </c>
      <c r="H1018" s="378" t="n">
        <v>9603</v>
      </c>
      <c r="I1018" s="403" t="n">
        <v>0</v>
      </c>
      <c r="J1018" s="404" t="n">
        <v>7684</v>
      </c>
      <c r="K1018" s="408" t="n">
        <v>7.14354502863092</v>
      </c>
      <c r="L1018" s="409" t="n">
        <v>0</v>
      </c>
      <c r="M1018" s="409" t="n">
        <v>0.164926855039988</v>
      </c>
      <c r="N1018" s="378" t="n">
        <v>1970</v>
      </c>
      <c r="O1018" s="393" t="n">
        <v>1211</v>
      </c>
      <c r="P1018" s="393">
        <f>971+1529+484</f>
        <v/>
      </c>
      <c r="Q1018" s="605" t="n">
        <v>14</v>
      </c>
      <c r="R1018" s="605" t="n">
        <v>1</v>
      </c>
      <c r="S1018" s="605" t="n">
        <v>2</v>
      </c>
      <c r="T1018" s="403" t="inlineStr">
        <is>
          <t xml:space="preserve">I0   </t>
        </is>
      </c>
      <c r="U1018" s="403" t="n">
        <v>398</v>
      </c>
      <c r="V1018" s="404" t="n">
        <v>39818</v>
      </c>
      <c r="W1018" s="404" t="n">
        <v>40000</v>
      </c>
      <c r="X1018" s="410" t="inlineStr">
        <is>
          <t>2.0:1</t>
        </is>
      </c>
      <c r="Y1018" s="404">
        <f>ROUND(J1018,-3)</f>
        <v/>
      </c>
      <c r="Z1018" s="403" t="inlineStr">
        <is>
          <t xml:space="preserve">C </t>
        </is>
      </c>
      <c r="AA1018" s="605" t="n">
        <v>3</v>
      </c>
      <c r="AB1018" s="605" t="n">
        <v>3</v>
      </c>
      <c r="AC1018" s="378" t="inlineStr">
        <is>
          <t>33</t>
        </is>
      </c>
      <c r="AD1018" s="384" t="inlineStr">
        <is>
          <t xml:space="preserve">PASTORE'S ITALIAN   </t>
        </is>
      </c>
      <c r="AE1018" s="145" t="n"/>
      <c r="AF1018" s="145" t="n"/>
      <c r="AG1018" s="145" t="n"/>
      <c r="AH1018" s="145" t="n"/>
      <c r="AI1018" s="145" t="n"/>
      <c r="AJ1018" s="145" t="n"/>
      <c r="AK1018" s="145" t="inlineStr">
        <is>
          <t xml:space="preserve">M-T WHSE.; 2 TENANTS; 2005 LEASE.                                 </t>
        </is>
      </c>
      <c r="AL1018" s="605">
        <f>IF(AND(ISNUMBER($S1018),$S1018&gt;0,ISNUMBER($K1018),ISNUMBER($J1018)),($K1018*$J1018)/$S1018,"")</f>
        <v/>
      </c>
    </row>
    <row r="1019" ht="12.75" customHeight="1" s="545">
      <c r="A1019" s="388" t="n">
        <v>8</v>
      </c>
      <c r="B1019" s="605" t="n">
        <v>1011</v>
      </c>
      <c r="C1019" s="384" t="inlineStr">
        <is>
          <t>2009Q</t>
        </is>
      </c>
      <c r="D1019" s="605" t="inlineStr">
        <is>
          <t xml:space="preserve">06301-21-007-000 </t>
        </is>
      </c>
      <c r="E1019" s="407" t="inlineStr">
        <is>
          <t>Actual</t>
        </is>
      </c>
      <c r="F1019" s="605" t="inlineStr">
        <is>
          <t>2170 S GRAPE                ST</t>
        </is>
      </c>
      <c r="G1019" s="392" t="n">
        <v>44.2</v>
      </c>
      <c r="H1019" s="378" t="n">
        <v>9603</v>
      </c>
      <c r="I1019" s="403" t="n">
        <v>0</v>
      </c>
      <c r="J1019" s="404" t="n">
        <v>11091</v>
      </c>
      <c r="K1019" s="408" t="n">
        <v>7.66315030204671</v>
      </c>
      <c r="L1019" s="409" t="n">
        <v>0</v>
      </c>
      <c r="M1019" s="409" t="n">
        <v>0</v>
      </c>
      <c r="N1019" s="378" t="n">
        <v>1960</v>
      </c>
      <c r="O1019" s="393" t="n">
        <v>6067</v>
      </c>
      <c r="Q1019" s="605" t="n">
        <v>12</v>
      </c>
      <c r="R1019" s="605" t="n">
        <v>1</v>
      </c>
      <c r="S1019" s="605" t="n">
        <v>1</v>
      </c>
      <c r="T1019" s="403" t="inlineStr">
        <is>
          <t xml:space="preserve">I0   </t>
        </is>
      </c>
      <c r="U1019" s="403" t="n">
        <v>398</v>
      </c>
      <c r="V1019" s="404" t="n">
        <v>26900</v>
      </c>
      <c r="W1019" s="404" t="n">
        <v>27000</v>
      </c>
      <c r="X1019" s="410" t="inlineStr">
        <is>
          <t>2.4:1</t>
        </is>
      </c>
      <c r="Y1019" s="404">
        <f>ROUND(J1019,-3)</f>
        <v/>
      </c>
      <c r="Z1019" s="403" t="inlineStr">
        <is>
          <t xml:space="preserve">C </t>
        </is>
      </c>
      <c r="AA1019" s="605" t="n">
        <v>3</v>
      </c>
      <c r="AB1019" s="605" t="n">
        <v>3</v>
      </c>
      <c r="AC1019" s="378" t="inlineStr">
        <is>
          <t>33</t>
        </is>
      </c>
      <c r="AD1019" s="384" t="inlineStr">
        <is>
          <t xml:space="preserve">S-W VISUAL ELECTRON </t>
        </is>
      </c>
      <c r="AE1019" s="145" t="n"/>
      <c r="AF1019" s="145" t="n"/>
      <c r="AG1019" s="145" t="n"/>
      <c r="AH1019" s="145" t="n"/>
      <c r="AI1019" s="145" t="n"/>
      <c r="AJ1019" s="145" t="n"/>
      <c r="AK1019" s="145" t="inlineStr">
        <is>
          <t xml:space="preserve">S-T WHSE.                                                         </t>
        </is>
      </c>
      <c r="AL1019" s="605">
        <f>IF(AND(ISNUMBER($S1019),$S1019&gt;0,ISNUMBER($K1019),ISNUMBER($J1019)),($K1019*$J1019)/$S1019,"")</f>
        <v/>
      </c>
    </row>
  </sheetData>
  <autoFilter ref="A1:AK1019"/>
  <conditionalFormatting sqref="A2:AK1019">
    <cfRule type="expression" priority="2" dxfId="0">
      <formula>MOD(ROW(),2)=0</formula>
    </cfRule>
  </conditionalFormatting>
  <pageMargins left="0" right="0" top="1" bottom="1" header="0.511811023622047" footer="0.511811023622047"/>
  <pageSetup orientation="landscape" paperSize="5" fitToWidth="2" horizontalDpi="300" verticalDpi="300"/>
</worksheet>
</file>

<file path=xl/worksheets/sheet25.xml><?xml version="1.0" encoding="utf-8"?>
<worksheet xmlns="http://schemas.openxmlformats.org/spreadsheetml/2006/main">
  <sheetPr>
    <tabColor rgb="FFD97706"/>
    <outlinePr summaryBelow="1" summaryRight="1"/>
    <pageSetUpPr/>
  </sheetPr>
  <dimension ref="A1:M158"/>
  <sheetViews>
    <sheetView zoomScaleNormal="100" workbookViewId="0">
      <pane ySplit="1" topLeftCell="A2" activePane="bottomLeft" state="frozen"/>
      <selection pane="bottomLeft" activeCell="B63" sqref="B63"/>
    </sheetView>
  </sheetViews>
  <sheetFormatPr baseColWidth="8" defaultColWidth="10.28515625" defaultRowHeight="12"/>
  <cols>
    <col width="6.85546875" customWidth="1" style="107" min="1" max="1"/>
    <col width="31.85546875" customWidth="1" style="545" min="2" max="2"/>
    <col width="12.85546875" customWidth="1" style="545" min="3" max="3"/>
    <col width="8" customWidth="1" style="545" min="4" max="4"/>
    <col width="17.140625" customWidth="1" style="545" min="5" max="5"/>
    <col width="6.140625" customWidth="1" style="545" min="6" max="6"/>
    <col width="19.42578125" customWidth="1" style="545" min="7" max="8"/>
    <col width="6.140625" customWidth="1" style="545" min="9" max="9"/>
    <col width="22" customWidth="1" style="545" min="10" max="10"/>
    <col width="19.140625" customWidth="1" style="545" min="11" max="11"/>
    <col width="8" customWidth="1" style="545" min="12" max="12"/>
  </cols>
  <sheetData>
    <row r="1" ht="12.75" customHeight="1" s="545">
      <c r="A1" s="107" t="n">
        <v>0</v>
      </c>
      <c r="B1" s="292" t="inlineStr">
        <is>
          <t>None</t>
        </is>
      </c>
      <c r="C1" s="292" t="n"/>
      <c r="F1" s="605" t="n"/>
      <c r="G1" s="415" t="inlineStr">
        <is>
          <t>Arvada</t>
        </is>
      </c>
      <c r="H1" s="415" t="inlineStr">
        <is>
          <t>Arvada</t>
        </is>
      </c>
      <c r="J1" s="416" t="n"/>
      <c r="K1" s="416" t="n"/>
      <c r="L1">
        <f>FALSE()</f>
        <v/>
      </c>
      <c r="M1" s="417" t="n"/>
    </row>
    <row r="2" ht="12.75" customHeight="1" s="545">
      <c r="A2" s="107" t="n">
        <v>1</v>
      </c>
      <c r="B2" s="292" t="inlineStr">
        <is>
          <t>Poor</t>
        </is>
      </c>
      <c r="C2" s="418" t="n"/>
      <c r="F2" s="384" t="n"/>
      <c r="G2" s="415" t="inlineStr">
        <is>
          <t>Aurora</t>
        </is>
      </c>
      <c r="H2" s="415" t="inlineStr">
        <is>
          <t>Aurora</t>
        </is>
      </c>
      <c r="J2" s="419" t="n"/>
      <c r="K2" s="420" t="n"/>
      <c r="L2">
        <f>FALSE()</f>
        <v/>
      </c>
    </row>
    <row r="3" ht="12.75" customHeight="1" s="545">
      <c r="A3" s="107" t="n">
        <v>2</v>
      </c>
      <c r="B3" s="292" t="inlineStr">
        <is>
          <t>Fair</t>
        </is>
      </c>
      <c r="C3" s="418" t="n"/>
      <c r="F3" s="605" t="n"/>
      <c r="G3" s="415" t="inlineStr">
        <is>
          <t>Bennett</t>
        </is>
      </c>
      <c r="H3" s="415" t="inlineStr">
        <is>
          <t>Bennett</t>
        </is>
      </c>
      <c r="J3" s="416" t="n"/>
      <c r="K3" s="416" t="n"/>
      <c r="L3">
        <f>FALSE()</f>
        <v/>
      </c>
    </row>
    <row r="4" ht="12.75" customHeight="1" s="545">
      <c r="A4" s="107" t="n">
        <v>3</v>
      </c>
      <c r="B4" s="292" t="inlineStr">
        <is>
          <t>Typical</t>
        </is>
      </c>
      <c r="F4" s="384" t="n"/>
      <c r="G4" s="415" t="inlineStr">
        <is>
          <t>Brighton</t>
        </is>
      </c>
      <c r="H4" s="415" t="inlineStr">
        <is>
          <t>Brighton</t>
        </is>
      </c>
      <c r="J4" s="419" t="n"/>
      <c r="K4" s="420" t="n"/>
      <c r="L4">
        <f>FALSE()</f>
        <v/>
      </c>
    </row>
    <row r="5" ht="12.75" customHeight="1" s="545">
      <c r="A5" s="107" t="n">
        <v>4</v>
      </c>
      <c r="B5" s="292" t="inlineStr">
        <is>
          <t>Good</t>
        </is>
      </c>
      <c r="D5" s="292" t="n"/>
      <c r="E5" s="384" t="n"/>
      <c r="F5" s="384" t="n"/>
      <c r="G5" s="415" t="inlineStr">
        <is>
          <t>Commerce City</t>
        </is>
      </c>
      <c r="H5" s="415" t="inlineStr">
        <is>
          <t>Commerce City</t>
        </is>
      </c>
      <c r="J5" s="416" t="n"/>
      <c r="K5" s="416" t="n"/>
      <c r="L5">
        <f>FALSE()</f>
        <v/>
      </c>
    </row>
    <row r="6" ht="12.75" customHeight="1" s="545">
      <c r="D6" s="292" t="n"/>
      <c r="E6" s="605" t="n"/>
      <c r="F6" s="605" t="n"/>
      <c r="G6" s="415" t="inlineStr">
        <is>
          <t>Federal Heights</t>
        </is>
      </c>
      <c r="H6" s="415" t="inlineStr">
        <is>
          <t>Federal Heights</t>
        </is>
      </c>
      <c r="J6" s="419" t="n"/>
      <c r="K6" s="420" t="n"/>
      <c r="L6">
        <f>FALSE()</f>
        <v/>
      </c>
    </row>
    <row r="7" ht="12.75" customHeight="1" s="545">
      <c r="D7" s="292" t="n"/>
      <c r="E7" s="421" t="n"/>
      <c r="F7" s="605" t="n"/>
      <c r="G7" s="415" t="inlineStr">
        <is>
          <t>Northglenn</t>
        </is>
      </c>
      <c r="H7" s="415" t="inlineStr">
        <is>
          <t>Northglenn</t>
        </is>
      </c>
      <c r="J7" s="419" t="n"/>
      <c r="K7" s="420" t="n"/>
      <c r="L7">
        <f>FALSE()</f>
        <v/>
      </c>
    </row>
    <row r="8" ht="12.75" customHeight="1" s="545">
      <c r="D8" s="292" t="n"/>
      <c r="E8" s="421" t="n"/>
      <c r="F8" s="605" t="n"/>
      <c r="G8" s="415" t="inlineStr">
        <is>
          <t>Highlands Ranch</t>
        </is>
      </c>
      <c r="H8" s="415" t="inlineStr">
        <is>
          <t>Highlands Ranch</t>
        </is>
      </c>
      <c r="J8" s="419" t="n"/>
      <c r="K8" s="420" t="n"/>
      <c r="L8">
        <f>FALSE()</f>
        <v/>
      </c>
    </row>
    <row r="9" ht="12.75" customHeight="1" s="545">
      <c r="D9" s="420" t="n">
        <v>10</v>
      </c>
      <c r="E9" s="420" t="inlineStr">
        <is>
          <t>None</t>
        </is>
      </c>
      <c r="F9" s="605" t="n"/>
      <c r="G9" s="415" t="inlineStr">
        <is>
          <t>Northwest</t>
        </is>
      </c>
      <c r="H9" s="415" t="inlineStr">
        <is>
          <t>Northwest</t>
        </is>
      </c>
      <c r="J9" s="419" t="n"/>
      <c r="K9" s="420" t="n"/>
      <c r="L9">
        <f>FALSE()</f>
        <v/>
      </c>
    </row>
    <row r="10" ht="12.75" customHeight="1" s="545">
      <c r="C10" s="422" t="n"/>
      <c r="D10" s="420" t="n">
        <v>11</v>
      </c>
      <c r="E10" s="420" t="inlineStr">
        <is>
          <t>Very Poor</t>
        </is>
      </c>
      <c r="F10" s="605" t="n"/>
      <c r="G10" s="415" t="inlineStr">
        <is>
          <t>Thornton</t>
        </is>
      </c>
      <c r="H10" s="415" t="inlineStr">
        <is>
          <t>Thornton</t>
        </is>
      </c>
      <c r="J10" s="419" t="n"/>
      <c r="K10" s="420" t="n"/>
      <c r="L10">
        <f>FALSE()</f>
        <v/>
      </c>
    </row>
    <row r="11" ht="12.75" customHeight="1" s="545">
      <c r="B11" s="423" t="n"/>
      <c r="D11" s="420" t="n">
        <v>12</v>
      </c>
      <c r="E11" s="420" t="inlineStr">
        <is>
          <t>Very Poor</t>
        </is>
      </c>
      <c r="F11" s="384" t="n"/>
      <c r="G11" s="415" t="inlineStr">
        <is>
          <t>Westminster</t>
        </is>
      </c>
      <c r="H11" s="415" t="inlineStr">
        <is>
          <t>Westminster</t>
        </is>
      </c>
      <c r="J11" s="419" t="n"/>
      <c r="K11" s="420" t="n"/>
      <c r="L11">
        <f>FALSE()</f>
        <v/>
      </c>
    </row>
    <row r="12" ht="12.75" customHeight="1" s="545">
      <c r="A12" s="107" t="n">
        <v>1</v>
      </c>
      <c r="B12" s="292" t="inlineStr">
        <is>
          <t>Poor</t>
        </is>
      </c>
      <c r="D12" s="420" t="n">
        <v>13</v>
      </c>
      <c r="E12" s="420" t="inlineStr">
        <is>
          <t>Poor</t>
        </is>
      </c>
      <c r="F12" s="384" t="n"/>
      <c r="G12" s="415" t="inlineStr">
        <is>
          <t>Unincorporated</t>
        </is>
      </c>
      <c r="H12" s="415" t="inlineStr">
        <is>
          <t>Unincorporated</t>
        </is>
      </c>
      <c r="J12" s="419" t="n"/>
      <c r="K12" s="420" t="n"/>
      <c r="L12">
        <f>FALSE()</f>
        <v/>
      </c>
    </row>
    <row r="13" ht="12.75" customHeight="1" s="545">
      <c r="A13" s="107" t="n">
        <v>2</v>
      </c>
      <c r="B13" s="292" t="inlineStr">
        <is>
          <t>Fair</t>
        </is>
      </c>
      <c r="D13" s="420" t="n">
        <v>14</v>
      </c>
      <c r="E13" s="419" t="inlineStr">
        <is>
          <t>Poor</t>
        </is>
      </c>
      <c r="F13" s="384" t="n"/>
      <c r="G13" s="415" t="inlineStr">
        <is>
          <t>Southwest</t>
        </is>
      </c>
      <c r="H13" s="415" t="inlineStr">
        <is>
          <t>Southwest</t>
        </is>
      </c>
      <c r="J13" s="419" t="n"/>
      <c r="K13" s="420" t="n"/>
      <c r="L13">
        <f>FALSE()</f>
        <v/>
      </c>
    </row>
    <row r="14" ht="12.75" customHeight="1" s="545">
      <c r="A14" s="107" t="n">
        <v>3</v>
      </c>
      <c r="B14" s="292" t="inlineStr">
        <is>
          <t>Typical</t>
        </is>
      </c>
      <c r="D14" s="420" t="n">
        <v>20</v>
      </c>
      <c r="E14" s="420" t="inlineStr">
        <is>
          <t>Poor</t>
        </is>
      </c>
      <c r="F14" s="384" t="n"/>
      <c r="G14" s="415" t="inlineStr">
        <is>
          <t>West</t>
        </is>
      </c>
      <c r="H14" s="415" t="inlineStr">
        <is>
          <t>West</t>
        </is>
      </c>
      <c r="J14" s="416" t="n"/>
      <c r="K14" s="416" t="n"/>
      <c r="L14">
        <f>FALSE()</f>
        <v/>
      </c>
    </row>
    <row r="15" ht="12.75" customHeight="1" s="545">
      <c r="A15" s="107" t="n">
        <v>4</v>
      </c>
      <c r="B15" s="292" t="inlineStr">
        <is>
          <t>Good</t>
        </is>
      </c>
      <c r="C15" s="422" t="n"/>
      <c r="D15" s="420" t="n">
        <v>21</v>
      </c>
      <c r="E15" s="420" t="inlineStr">
        <is>
          <t>Poor</t>
        </is>
      </c>
      <c r="F15" s="384" t="n"/>
      <c r="G15" s="415" t="n"/>
      <c r="H15" s="415" t="n"/>
      <c r="J15" s="419" t="n"/>
      <c r="K15" s="420" t="n"/>
      <c r="L15">
        <f>FALSE()</f>
        <v/>
      </c>
    </row>
    <row r="16" ht="12.75" customHeight="1" s="545">
      <c r="A16" s="107" t="n">
        <v>5</v>
      </c>
      <c r="B16" s="292" t="inlineStr">
        <is>
          <t>Rehabilitated</t>
        </is>
      </c>
      <c r="C16" s="422" t="n"/>
      <c r="D16" s="420" t="n">
        <v>22</v>
      </c>
      <c r="E16" s="419" t="inlineStr">
        <is>
          <t>Fair</t>
        </is>
      </c>
      <c r="F16" s="384" t="n"/>
      <c r="G16" s="415" t="n"/>
      <c r="H16" s="415" t="n"/>
      <c r="J16" s="419" t="n"/>
      <c r="K16" s="420" t="n"/>
      <c r="L16">
        <f>FALSE()</f>
        <v/>
      </c>
    </row>
    <row r="17" ht="12.75" customHeight="1" s="545">
      <c r="C17" s="422" t="n"/>
      <c r="D17" s="420" t="n">
        <v>23</v>
      </c>
      <c r="E17" s="420" t="inlineStr">
        <is>
          <t>Fair/Average</t>
        </is>
      </c>
      <c r="F17" s="384" t="n"/>
      <c r="G17" s="415" t="n"/>
      <c r="H17" s="415" t="n"/>
      <c r="J17" s="419" t="n"/>
      <c r="K17" s="420" t="n"/>
      <c r="L17">
        <f>FALSE()</f>
        <v/>
      </c>
    </row>
    <row r="18" ht="12.75" customHeight="1" s="545">
      <c r="C18" s="422" t="n"/>
      <c r="D18" s="420" t="n">
        <v>24</v>
      </c>
      <c r="E18" s="420" t="inlineStr">
        <is>
          <t>Fair/Average</t>
        </is>
      </c>
      <c r="F18" s="384" t="n"/>
      <c r="G18" s="415" t="n"/>
      <c r="H18" s="415" t="n"/>
      <c r="J18" s="292" t="n"/>
      <c r="K18" s="292" t="n"/>
      <c r="L18">
        <f>FALSE()</f>
        <v/>
      </c>
    </row>
    <row r="19" ht="12.75" customHeight="1" s="545">
      <c r="A19" s="424" t="n">
        <v>1</v>
      </c>
      <c r="B19" s="425" t="inlineStr">
        <is>
          <t>Retail Store</t>
        </is>
      </c>
      <c r="C19" s="422" t="n"/>
      <c r="D19" s="420" t="n">
        <v>30</v>
      </c>
      <c r="E19" s="420" t="inlineStr">
        <is>
          <t>Poor</t>
        </is>
      </c>
      <c r="F19" s="384" t="n"/>
      <c r="G19" s="415" t="n"/>
      <c r="H19" s="415" t="n"/>
      <c r="J19" s="292" t="n"/>
      <c r="K19" s="292" t="n"/>
      <c r="L19">
        <f>FALSE()</f>
        <v/>
      </c>
    </row>
    <row r="20" ht="12" customHeight="1" s="545">
      <c r="A20" s="424" t="n">
        <v>99</v>
      </c>
      <c r="B20" s="425" t="inlineStr">
        <is>
          <t>Service Garage</t>
        </is>
      </c>
      <c r="C20" s="422" t="n"/>
      <c r="D20" s="420" t="n">
        <v>31</v>
      </c>
      <c r="E20" s="420" t="inlineStr">
        <is>
          <t>Fair</t>
        </is>
      </c>
      <c r="F20" s="426" t="n"/>
      <c r="G20" s="415" t="n"/>
      <c r="H20" s="415" t="n"/>
      <c r="J20" s="419" t="n"/>
      <c r="K20" s="420" t="n"/>
      <c r="L20">
        <f>FALSE()</f>
        <v/>
      </c>
    </row>
    <row r="21" ht="12" customHeight="1" s="545">
      <c r="A21" s="424" t="n">
        <v>100</v>
      </c>
      <c r="B21" s="425" t="inlineStr">
        <is>
          <t>Conversion</t>
        </is>
      </c>
      <c r="C21" s="422" t="n"/>
      <c r="D21" s="420" t="n">
        <v>32</v>
      </c>
      <c r="E21" s="420" t="inlineStr">
        <is>
          <t>Average/Fair</t>
        </is>
      </c>
      <c r="F21" s="426" t="n"/>
      <c r="G21" s="415" t="n"/>
      <c r="H21" s="415" t="n"/>
      <c r="J21" s="419" t="n"/>
      <c r="K21" s="420" t="n"/>
      <c r="L21">
        <f>FALSE()</f>
        <v/>
      </c>
    </row>
    <row r="22" ht="12" customHeight="1" s="545">
      <c r="A22" s="424" t="n">
        <v>118</v>
      </c>
      <c r="B22" s="425" t="inlineStr">
        <is>
          <t>Motel</t>
        </is>
      </c>
      <c r="C22" s="422" t="n"/>
      <c r="D22" s="420" t="n">
        <v>33</v>
      </c>
      <c r="E22" s="420" t="inlineStr">
        <is>
          <t>Average</t>
        </is>
      </c>
      <c r="F22" s="426" t="n"/>
      <c r="G22" s="415" t="n"/>
      <c r="H22" s="415" t="n"/>
      <c r="J22" s="419" t="n"/>
      <c r="K22" s="419" t="n"/>
      <c r="L22">
        <f>FALSE()</f>
        <v/>
      </c>
    </row>
    <row r="23" ht="12" customHeight="1" s="545">
      <c r="A23" s="424" t="n">
        <v>140</v>
      </c>
      <c r="B23" s="425" t="inlineStr">
        <is>
          <t>Modular Office</t>
        </is>
      </c>
      <c r="C23" s="422" t="n"/>
      <c r="D23" s="420" t="n">
        <v>34</v>
      </c>
      <c r="E23" s="420" t="inlineStr">
        <is>
          <t>Average</t>
        </is>
      </c>
      <c r="G23" s="415" t="n"/>
      <c r="H23" s="415" t="n"/>
      <c r="J23" s="419" t="n"/>
      <c r="K23" s="420" t="n"/>
      <c r="L23">
        <f>FALSE()</f>
        <v/>
      </c>
    </row>
    <row r="24" ht="12" customHeight="1" s="545">
      <c r="A24" s="424" t="n">
        <v>186</v>
      </c>
      <c r="B24" s="425" t="inlineStr">
        <is>
          <t>Manufacturing</t>
        </is>
      </c>
      <c r="C24" s="422" t="n"/>
      <c r="D24" s="420" t="n">
        <v>40</v>
      </c>
      <c r="E24" s="420" t="inlineStr">
        <is>
          <t>Average</t>
        </is>
      </c>
      <c r="G24" s="415" t="n"/>
      <c r="H24" s="415" t="n"/>
      <c r="J24" s="419" t="n"/>
      <c r="K24" s="420" t="n"/>
      <c r="L24">
        <f>FALSE()</f>
        <v/>
      </c>
    </row>
    <row r="25" ht="12" customHeight="1" s="545">
      <c r="A25" s="424" t="n">
        <v>209</v>
      </c>
      <c r="B25" s="425" t="inlineStr">
        <is>
          <t>Office Building</t>
        </is>
      </c>
      <c r="C25" s="422" t="n"/>
      <c r="D25" s="420" t="n">
        <v>41</v>
      </c>
      <c r="E25" s="420" t="inlineStr">
        <is>
          <t>Average</t>
        </is>
      </c>
      <c r="G25" s="415" t="n"/>
      <c r="H25" s="427" t="n"/>
      <c r="J25" s="419" t="n"/>
      <c r="K25" s="420" t="n"/>
      <c r="L25">
        <f>FALSE()</f>
        <v/>
      </c>
    </row>
    <row r="26" ht="12" customHeight="1" s="545">
      <c r="A26" s="424" t="n">
        <v>210</v>
      </c>
      <c r="B26" s="425" t="inlineStr">
        <is>
          <t>Ind. Flex Mall</t>
        </is>
      </c>
      <c r="C26" s="422" t="n"/>
      <c r="D26" s="420" t="n">
        <v>42</v>
      </c>
      <c r="E26" s="419" t="inlineStr">
        <is>
          <t>Average/Fair</t>
        </is>
      </c>
      <c r="G26" s="415" t="n"/>
      <c r="H26" s="415" t="n"/>
      <c r="J26" s="419" t="n"/>
      <c r="K26" s="419" t="n"/>
      <c r="L26">
        <f>FALSE()</f>
        <v/>
      </c>
    </row>
    <row r="27" ht="12" customHeight="1" s="545">
      <c r="A27" s="424" t="n">
        <v>213</v>
      </c>
      <c r="B27" s="428" t="inlineStr">
        <is>
          <t>Light Industrial</t>
        </is>
      </c>
      <c r="C27" s="422" t="n"/>
      <c r="D27" s="420" t="n">
        <v>43</v>
      </c>
      <c r="E27" s="420" t="inlineStr">
        <is>
          <t>Good</t>
        </is>
      </c>
      <c r="G27" s="415" t="n"/>
      <c r="H27" s="415" t="n"/>
      <c r="J27" s="416" t="n"/>
      <c r="K27" s="416" t="n"/>
      <c r="L27">
        <f>FALSE()</f>
        <v/>
      </c>
    </row>
    <row r="28" ht="12" customHeight="1" s="545">
      <c r="A28" s="424" t="n">
        <v>304</v>
      </c>
      <c r="B28" s="428" t="inlineStr">
        <is>
          <t>Bank</t>
        </is>
      </c>
      <c r="C28" s="422" t="n"/>
      <c r="D28" s="420" t="n">
        <v>44</v>
      </c>
      <c r="E28" s="420" t="inlineStr">
        <is>
          <t>Good</t>
        </is>
      </c>
      <c r="G28" s="415" t="n"/>
      <c r="H28" s="427" t="n"/>
      <c r="J28" s="419" t="n"/>
      <c r="K28" s="420" t="n"/>
      <c r="L28">
        <f>FALSE()</f>
        <v/>
      </c>
    </row>
    <row r="29" ht="12" customHeight="1" s="545">
      <c r="A29" s="424" t="n">
        <v>306</v>
      </c>
      <c r="B29" s="428" t="inlineStr">
        <is>
          <t>Bowling Alley</t>
        </is>
      </c>
      <c r="C29" s="422" t="n"/>
      <c r="D29" s="420" t="n">
        <v>50</v>
      </c>
      <c r="E29" s="419" t="inlineStr">
        <is>
          <t>Rehab/Poor</t>
        </is>
      </c>
      <c r="G29" s="415" t="n"/>
      <c r="H29" s="415" t="n"/>
      <c r="J29" s="419" t="n"/>
      <c r="K29" s="419" t="n"/>
      <c r="L29">
        <f>FALSE()</f>
        <v/>
      </c>
    </row>
    <row r="30" ht="12" customHeight="1" s="545">
      <c r="A30" s="424" t="n">
        <v>311</v>
      </c>
      <c r="B30" s="428" t="inlineStr">
        <is>
          <t>Clubhouse</t>
        </is>
      </c>
      <c r="C30" s="422" t="n"/>
      <c r="D30" s="420" t="n">
        <v>51</v>
      </c>
      <c r="E30" s="419" t="inlineStr">
        <is>
          <t>Rehab/Fair</t>
        </is>
      </c>
      <c r="G30" s="415" t="n"/>
      <c r="H30" s="415" t="n"/>
      <c r="J30" s="419" t="n"/>
      <c r="K30" s="420" t="n"/>
      <c r="L30">
        <f>FALSE()</f>
        <v/>
      </c>
    </row>
    <row r="31" ht="12" customHeight="1" s="545">
      <c r="A31" s="429" t="n">
        <v>319</v>
      </c>
      <c r="B31" s="425" t="inlineStr">
        <is>
          <t>Discount Store</t>
        </is>
      </c>
      <c r="C31" s="422" t="n"/>
      <c r="D31" s="420" t="n">
        <v>52</v>
      </c>
      <c r="E31" s="420" t="inlineStr">
        <is>
          <t>Rehab/Fair</t>
        </is>
      </c>
      <c r="G31" s="415" t="n"/>
      <c r="H31" s="415" t="n"/>
      <c r="J31" s="419" t="n"/>
      <c r="K31" s="420" t="n"/>
      <c r="L31">
        <f>FALSE()</f>
        <v/>
      </c>
    </row>
    <row r="32" ht="12" customHeight="1" s="545">
      <c r="A32" s="429" t="n">
        <v>321</v>
      </c>
      <c r="B32" s="425" t="inlineStr">
        <is>
          <t>Laboratories</t>
        </is>
      </c>
      <c r="C32" s="422" t="n"/>
      <c r="D32" s="420" t="n">
        <v>53</v>
      </c>
      <c r="E32" s="420" t="inlineStr">
        <is>
          <t>Rehab/Average</t>
        </is>
      </c>
      <c r="G32" s="415" t="n"/>
      <c r="H32" s="415" t="n"/>
      <c r="J32" s="416" t="n"/>
      <c r="K32" s="416" t="n"/>
      <c r="L32">
        <f>FALSE()</f>
        <v/>
      </c>
      <c r="M32" s="417" t="n"/>
    </row>
    <row r="33" ht="12" customHeight="1" s="545">
      <c r="A33" s="429" t="n">
        <v>322</v>
      </c>
      <c r="B33" s="425" t="inlineStr">
        <is>
          <t>Fire Station</t>
        </is>
      </c>
      <c r="C33" s="422" t="n"/>
      <c r="D33" s="420" t="n">
        <v>54</v>
      </c>
      <c r="E33" s="419" t="inlineStr">
        <is>
          <t>Rehab/Good</t>
        </is>
      </c>
      <c r="G33" s="415" t="n"/>
      <c r="H33" s="415" t="n"/>
      <c r="J33" s="416" t="n"/>
      <c r="K33" s="416" t="n"/>
      <c r="L33">
        <f>FALSE()</f>
        <v/>
      </c>
      <c r="M33" s="417" t="n"/>
    </row>
    <row r="34" ht="12" customHeight="1" s="545">
      <c r="A34" s="107" t="n">
        <v>325</v>
      </c>
      <c r="B34" s="425" t="inlineStr">
        <is>
          <t>Service Garage</t>
        </is>
      </c>
      <c r="C34" s="422" t="n"/>
      <c r="D34" s="292" t="n"/>
      <c r="E34" s="420" t="n"/>
      <c r="G34" s="415" t="n"/>
      <c r="H34" s="415" t="n"/>
      <c r="J34" s="416" t="n"/>
      <c r="K34" s="416" t="n"/>
      <c r="L34">
        <f>FALSE()</f>
        <v/>
      </c>
      <c r="M34" s="417" t="n"/>
    </row>
    <row r="35" ht="12" customHeight="1" s="545">
      <c r="A35" s="107" t="n">
        <v>331</v>
      </c>
      <c r="B35" s="425" t="inlineStr">
        <is>
          <t>Hospital</t>
        </is>
      </c>
      <c r="C35" s="422" t="n"/>
      <c r="D35" s="292" t="n"/>
      <c r="E35" s="421" t="n"/>
      <c r="G35" s="415" t="n"/>
      <c r="H35" s="415" t="n"/>
      <c r="J35" s="419" t="n"/>
      <c r="K35" s="420" t="n"/>
      <c r="L35">
        <f>FALSE()</f>
        <v/>
      </c>
      <c r="M35" s="417" t="n"/>
    </row>
    <row r="36" ht="12" customHeight="1" s="545">
      <c r="A36" s="107" t="n">
        <v>332</v>
      </c>
      <c r="B36" s="425" t="inlineStr">
        <is>
          <t>Hotel - Full Service</t>
        </is>
      </c>
      <c r="C36" s="422" t="n"/>
      <c r="D36" s="292" t="n"/>
      <c r="E36" s="421" t="n"/>
      <c r="G36" s="415" t="n"/>
      <c r="H36" s="415" t="n"/>
      <c r="J36" s="419" t="n"/>
      <c r="K36" s="420" t="n"/>
      <c r="L36">
        <f>FALSE()</f>
        <v/>
      </c>
      <c r="M36" s="417" t="n"/>
    </row>
    <row r="37" ht="12" customHeight="1" s="545">
      <c r="A37" s="107" t="n">
        <v>334</v>
      </c>
      <c r="B37" s="425" t="inlineStr">
        <is>
          <t>Indust Light Manufacturing</t>
        </is>
      </c>
      <c r="C37" s="422" t="n"/>
      <c r="D37" s="292" t="n"/>
      <c r="E37" s="421" t="n"/>
      <c r="G37" s="415" t="n"/>
      <c r="H37" s="415" t="n"/>
      <c r="J37" s="419" t="n"/>
      <c r="K37" s="420" t="n"/>
      <c r="L37">
        <f>FALSE()</f>
        <v/>
      </c>
      <c r="M37" s="417" t="n"/>
    </row>
    <row r="38" ht="12" customHeight="1" s="545">
      <c r="A38" s="107" t="n">
        <v>336</v>
      </c>
      <c r="B38" s="425" t="inlineStr">
        <is>
          <t>Laundromat</t>
        </is>
      </c>
      <c r="C38" s="422" t="n"/>
      <c r="D38" s="292" t="n"/>
      <c r="E38" s="421" t="n"/>
      <c r="G38" s="415" t="n"/>
      <c r="H38" s="415" t="n"/>
      <c r="J38" s="419" t="n"/>
      <c r="K38" s="420" t="n"/>
      <c r="L38">
        <f>FALSE()</f>
        <v/>
      </c>
      <c r="M38" s="417" t="n"/>
    </row>
    <row r="39" ht="12" customHeight="1" s="545">
      <c r="A39" s="107" t="n">
        <v>339</v>
      </c>
      <c r="B39" s="425" t="inlineStr">
        <is>
          <t>Lumber Storage</t>
        </is>
      </c>
      <c r="C39" s="422" t="n"/>
      <c r="D39" s="292" t="n"/>
      <c r="E39" s="421" t="n"/>
      <c r="G39" s="415" t="n"/>
      <c r="H39" s="415" t="n"/>
      <c r="J39" s="416" t="n"/>
      <c r="K39" s="416" t="n"/>
      <c r="L39">
        <f>FALSE()</f>
        <v/>
      </c>
      <c r="M39" s="417" t="n"/>
    </row>
    <row r="40" ht="12" customHeight="1" s="545">
      <c r="A40" s="107" t="n">
        <v>340</v>
      </c>
      <c r="B40" s="425" t="inlineStr">
        <is>
          <t>Market</t>
        </is>
      </c>
      <c r="C40" s="422" t="n"/>
      <c r="D40" s="292" t="n"/>
      <c r="E40" s="421" t="n"/>
      <c r="G40" s="415" t="n"/>
      <c r="H40" s="415" t="n"/>
      <c r="J40" s="419" t="n"/>
      <c r="K40" s="420" t="n"/>
      <c r="L40">
        <f>FALSE()</f>
        <v/>
      </c>
      <c r="M40" s="417" t="n"/>
    </row>
    <row r="41" ht="12" customHeight="1" s="545">
      <c r="A41" s="107" t="n">
        <v>341</v>
      </c>
      <c r="B41" s="425" t="inlineStr">
        <is>
          <t>Medical Office</t>
        </is>
      </c>
      <c r="C41" s="422" t="n"/>
      <c r="D41" s="292" t="n"/>
      <c r="E41" s="421" t="n"/>
      <c r="G41" s="415" t="n"/>
      <c r="H41" s="415" t="n"/>
      <c r="J41" s="416" t="n"/>
      <c r="K41" s="416" t="n"/>
      <c r="L41">
        <f>FALSE()</f>
        <v/>
      </c>
      <c r="M41" s="417" t="n"/>
    </row>
    <row r="42" ht="12" customHeight="1" s="545">
      <c r="A42" s="107" t="n">
        <v>342</v>
      </c>
      <c r="B42" s="425" t="inlineStr">
        <is>
          <t>Mortuary</t>
        </is>
      </c>
      <c r="C42" s="422" t="n"/>
      <c r="D42" s="292" t="n"/>
      <c r="E42" s="421" t="n"/>
      <c r="G42" s="415" t="n"/>
      <c r="H42" s="415" t="n"/>
      <c r="J42" s="419" t="n"/>
      <c r="K42" s="420" t="n"/>
      <c r="L42">
        <f>FALSE()</f>
        <v/>
      </c>
      <c r="M42" s="400" t="n"/>
    </row>
    <row r="43" ht="12" customHeight="1" s="545">
      <c r="A43" s="107" t="n">
        <v>343</v>
      </c>
      <c r="B43" s="425" t="inlineStr">
        <is>
          <t>Motel</t>
        </is>
      </c>
      <c r="C43" s="422" t="n"/>
      <c r="D43" s="292" t="n"/>
      <c r="E43" s="421" t="n"/>
      <c r="G43" s="415" t="n"/>
      <c r="H43" s="415" t="n"/>
      <c r="J43" s="419" t="n"/>
      <c r="K43" s="420" t="n"/>
      <c r="L43">
        <f>FALSE()</f>
        <v/>
      </c>
      <c r="M43" s="400" t="n"/>
    </row>
    <row r="44" ht="12" customHeight="1" s="545">
      <c r="A44" s="107" t="n">
        <v>344</v>
      </c>
      <c r="B44" s="425" t="inlineStr">
        <is>
          <t>Office Building</t>
        </is>
      </c>
      <c r="C44" s="422" t="n"/>
      <c r="D44" s="292" t="n"/>
      <c r="E44" s="421" t="n"/>
      <c r="J44" s="419" t="n"/>
      <c r="K44" s="420" t="n"/>
      <c r="L44">
        <f>FALSE()</f>
        <v/>
      </c>
      <c r="M44" s="249" t="n"/>
    </row>
    <row r="45" ht="12" customHeight="1" s="545">
      <c r="A45" s="107" t="n">
        <v>349</v>
      </c>
      <c r="B45" s="425" t="inlineStr">
        <is>
          <t>Fast Food Restaurant</t>
        </is>
      </c>
      <c r="C45" s="422" t="n"/>
      <c r="D45" s="292" t="n"/>
      <c r="E45" s="421" t="n"/>
      <c r="J45" s="416" t="n"/>
      <c r="K45" s="416" t="n"/>
      <c r="L45">
        <f>FALSE()</f>
        <v/>
      </c>
      <c r="M45" s="417" t="n"/>
    </row>
    <row r="46" ht="12" customHeight="1" s="545">
      <c r="A46" s="107" t="n">
        <v>350</v>
      </c>
      <c r="B46" s="425" t="inlineStr">
        <is>
          <t>Restaurant</t>
        </is>
      </c>
      <c r="C46" s="422" t="n"/>
      <c r="D46" s="292" t="n"/>
      <c r="E46" s="421" t="n"/>
      <c r="J46" s="419" t="n"/>
      <c r="K46" s="420" t="n"/>
      <c r="L46">
        <f>FALSE()</f>
        <v/>
      </c>
      <c r="M46" s="417" t="n"/>
    </row>
    <row r="47" ht="12" customHeight="1" s="545">
      <c r="A47" s="107" t="n">
        <v>353</v>
      </c>
      <c r="B47" s="425" t="inlineStr">
        <is>
          <t>Retail Store</t>
        </is>
      </c>
      <c r="C47" s="422" t="n"/>
      <c r="D47" s="292" t="n"/>
      <c r="E47" s="420" t="n"/>
      <c r="J47" s="419" t="n"/>
      <c r="K47" s="420" t="n"/>
      <c r="L47">
        <f>FALSE()</f>
        <v/>
      </c>
      <c r="M47" s="417" t="n"/>
    </row>
    <row r="48" ht="12" customHeight="1" s="545">
      <c r="A48" s="107" t="n">
        <v>359</v>
      </c>
      <c r="B48" s="425" t="inlineStr">
        <is>
          <t>School</t>
        </is>
      </c>
      <c r="C48" s="422" t="n"/>
      <c r="D48" s="292" t="n"/>
      <c r="E48" s="420" t="n"/>
      <c r="J48" s="419" t="n"/>
      <c r="K48" s="420" t="n"/>
      <c r="L48">
        <f>FALSE()</f>
        <v/>
      </c>
      <c r="M48" s="417" t="n"/>
    </row>
    <row r="49" ht="12" customHeight="1" s="545">
      <c r="A49" s="107" t="n">
        <v>381</v>
      </c>
      <c r="B49" s="425" t="inlineStr">
        <is>
          <t>Vet Hospital</t>
        </is>
      </c>
      <c r="C49" s="422" t="n"/>
      <c r="D49" s="292" t="n"/>
      <c r="E49" s="420" t="n"/>
      <c r="J49" s="419" t="n"/>
      <c r="K49" s="420" t="n"/>
      <c r="L49">
        <f>FALSE()</f>
        <v/>
      </c>
      <c r="M49" s="417" t="n"/>
    </row>
    <row r="50" ht="12" customHeight="1" s="545">
      <c r="A50" s="107" t="n">
        <v>386</v>
      </c>
      <c r="B50" s="425" t="inlineStr">
        <is>
          <t>Mini Warehouse</t>
        </is>
      </c>
      <c r="C50" s="422" t="n"/>
      <c r="D50" s="292" t="n"/>
      <c r="E50" s="420" t="n"/>
      <c r="J50" s="419" t="n"/>
      <c r="K50" s="420" t="n"/>
      <c r="L50">
        <f>FALSE()</f>
        <v/>
      </c>
      <c r="M50" s="400" t="n"/>
    </row>
    <row r="51" ht="12" customHeight="1" s="545">
      <c r="A51" s="107" t="n">
        <v>387</v>
      </c>
      <c r="B51" s="425" t="inlineStr">
        <is>
          <t>Transit Warehouse</t>
        </is>
      </c>
      <c r="C51" s="422" t="n"/>
      <c r="D51" s="292" t="n"/>
      <c r="E51" s="420" t="n"/>
      <c r="J51" s="419" t="n"/>
      <c r="K51" s="420" t="n"/>
      <c r="L51">
        <f>FALSE()</f>
        <v/>
      </c>
      <c r="M51" s="400" t="n"/>
    </row>
    <row r="52" ht="12" customHeight="1" s="545">
      <c r="A52" s="107" t="n">
        <v>406</v>
      </c>
      <c r="B52" s="425" t="inlineStr">
        <is>
          <t>Storage Warehouse</t>
        </is>
      </c>
      <c r="C52" s="422" t="n"/>
      <c r="D52" s="292" t="n"/>
      <c r="E52" s="430" t="n"/>
      <c r="J52" s="419" t="n"/>
      <c r="K52" s="420" t="n"/>
      <c r="L52">
        <f>FALSE()</f>
        <v/>
      </c>
      <c r="M52" s="400" t="n"/>
    </row>
    <row r="53" ht="12" customHeight="1" s="545">
      <c r="A53" s="107" t="n">
        <v>407</v>
      </c>
      <c r="B53" s="425" t="inlineStr">
        <is>
          <t>Distribution Warehouse</t>
        </is>
      </c>
      <c r="C53" s="422" t="n"/>
      <c r="D53" s="292" t="n"/>
      <c r="J53" s="419" t="n"/>
      <c r="K53" s="420" t="n"/>
      <c r="L53">
        <f>FALSE()</f>
        <v/>
      </c>
      <c r="M53" s="400" t="n"/>
    </row>
    <row r="54" ht="12" customHeight="1" s="545">
      <c r="A54" s="107" t="n">
        <v>412</v>
      </c>
      <c r="B54" s="425" t="inlineStr">
        <is>
          <t>NBHD Shopping Center</t>
        </is>
      </c>
      <c r="C54" s="422" t="n"/>
      <c r="D54" s="292" t="n"/>
      <c r="E54" s="420" t="n"/>
      <c r="J54" s="419" t="n"/>
      <c r="K54" s="420" t="n"/>
      <c r="L54">
        <f>FALSE()</f>
        <v/>
      </c>
      <c r="M54" s="417" t="n"/>
    </row>
    <row r="55" ht="12" customHeight="1" s="545">
      <c r="A55" s="107" t="n">
        <v>413</v>
      </c>
      <c r="B55" s="425" t="inlineStr">
        <is>
          <t>Community Shoping Center</t>
        </is>
      </c>
      <c r="C55" s="422" t="n"/>
      <c r="D55" s="292" t="n"/>
      <c r="E55" s="430" t="n"/>
      <c r="J55" s="419" t="n"/>
      <c r="K55" s="420" t="n"/>
      <c r="L55">
        <f>FALSE()</f>
        <v/>
      </c>
      <c r="M55" s="417" t="n"/>
    </row>
    <row r="56" ht="12" customHeight="1" s="545">
      <c r="A56" s="107" t="n">
        <v>419</v>
      </c>
      <c r="B56" s="425" t="inlineStr">
        <is>
          <t>Convenience Store</t>
        </is>
      </c>
      <c r="C56" s="422" t="n"/>
      <c r="D56" s="292" t="n"/>
      <c r="E56" s="430" t="n"/>
      <c r="J56" s="419" t="n"/>
      <c r="K56" s="420" t="n"/>
      <c r="L56">
        <f>FALSE()</f>
        <v/>
      </c>
      <c r="M56" s="417" t="n"/>
    </row>
    <row r="57" ht="12" customHeight="1" s="545">
      <c r="A57" s="107" t="n">
        <v>423</v>
      </c>
      <c r="B57" s="425" t="inlineStr">
        <is>
          <t>Mini Lube</t>
        </is>
      </c>
      <c r="C57" s="422" t="n"/>
      <c r="D57" s="292" t="n"/>
      <c r="E57" s="420" t="n"/>
      <c r="J57" s="419" t="n"/>
      <c r="K57" s="420" t="n"/>
      <c r="L57">
        <f>FALSE()</f>
        <v/>
      </c>
      <c r="M57" s="417" t="n"/>
    </row>
    <row r="58" ht="12" customHeight="1" s="545">
      <c r="A58" s="107" t="n">
        <v>425</v>
      </c>
      <c r="B58" s="425" t="inlineStr">
        <is>
          <t>Condo Warehouse</t>
        </is>
      </c>
      <c r="C58" s="422" t="n"/>
      <c r="D58" s="292" t="n"/>
      <c r="E58" s="420" t="n"/>
      <c r="J58" s="419" t="n"/>
      <c r="K58" s="420" t="n"/>
      <c r="L58">
        <f>FALSE()</f>
        <v/>
      </c>
      <c r="M58" s="417" t="n"/>
    </row>
    <row r="59" ht="12" customHeight="1" s="545">
      <c r="A59" s="107" t="n">
        <v>426</v>
      </c>
      <c r="B59" s="425" t="inlineStr">
        <is>
          <t>Day Care Center</t>
        </is>
      </c>
      <c r="C59" s="422" t="n"/>
      <c r="D59" s="292" t="n"/>
      <c r="E59" s="430" t="n"/>
      <c r="J59" s="416" t="n"/>
      <c r="K59" s="416" t="n"/>
      <c r="L59">
        <f>FALSE()</f>
        <v/>
      </c>
      <c r="M59" s="417" t="n"/>
    </row>
    <row r="60" ht="12" customHeight="1" s="545">
      <c r="A60" s="107" t="n">
        <v>434</v>
      </c>
      <c r="B60" s="425" t="inlineStr">
        <is>
          <t>Car Wash</t>
        </is>
      </c>
      <c r="C60" s="422" t="n"/>
      <c r="D60" s="292" t="n"/>
      <c r="E60" s="430" t="n"/>
      <c r="J60" s="419" t="n"/>
      <c r="K60" s="420" t="n"/>
      <c r="L60">
        <f>FALSE()</f>
        <v/>
      </c>
      <c r="M60" s="417" t="n"/>
    </row>
    <row r="61" ht="12" customHeight="1" s="545">
      <c r="A61" s="107" t="n">
        <v>534</v>
      </c>
      <c r="B61" s="425" t="inlineStr">
        <is>
          <t>Warehouse Showroom</t>
        </is>
      </c>
      <c r="C61" s="422" t="n"/>
      <c r="D61" s="292" t="n"/>
      <c r="E61" s="421" t="n"/>
      <c r="J61" s="419" t="n"/>
      <c r="K61" s="420" t="n"/>
      <c r="L61">
        <f>FALSE()</f>
        <v/>
      </c>
      <c r="M61" s="417" t="n"/>
    </row>
    <row r="62" ht="12" customHeight="1" s="545">
      <c r="A62" s="107" t="n">
        <v>584</v>
      </c>
      <c r="B62" s="425" t="inlineStr">
        <is>
          <t>Mega Warehouse</t>
        </is>
      </c>
      <c r="C62" s="422" t="n"/>
      <c r="D62" s="292" t="n"/>
      <c r="E62" s="421" t="n"/>
      <c r="J62" s="419" t="n"/>
      <c r="K62" s="420" t="n"/>
      <c r="L62">
        <f>FALSE()</f>
        <v/>
      </c>
      <c r="M62" s="417" t="n"/>
    </row>
    <row r="63" ht="12.75" customHeight="1" s="545">
      <c r="B63" s="425" t="n"/>
      <c r="C63" s="422" t="n"/>
      <c r="D63" s="292" t="n"/>
      <c r="E63" s="420" t="n"/>
      <c r="F63" s="569" t="n"/>
      <c r="G63" s="415" t="n"/>
      <c r="H63" s="415" t="n"/>
      <c r="I63" s="569" t="n"/>
      <c r="J63" s="419" t="n"/>
      <c r="K63" s="420" t="n"/>
      <c r="L63">
        <f>FALSE()</f>
        <v/>
      </c>
      <c r="M63" s="400" t="n"/>
    </row>
    <row r="64" ht="12.75" customHeight="1" s="545">
      <c r="B64" s="425" t="n"/>
      <c r="C64" s="422" t="n"/>
      <c r="D64" s="292" t="n"/>
      <c r="E64" s="420" t="n"/>
      <c r="F64" s="569" t="n"/>
      <c r="G64" s="415" t="n"/>
      <c r="H64" s="415" t="n"/>
      <c r="I64" s="569" t="n"/>
      <c r="J64" s="419" t="n"/>
      <c r="K64" s="420" t="n"/>
      <c r="L64">
        <f>FALSE()</f>
        <v/>
      </c>
      <c r="M64" s="400" t="n"/>
    </row>
    <row r="65" ht="12.75" customHeight="1" s="545">
      <c r="C65" s="431" t="n"/>
      <c r="D65" s="292" t="n"/>
      <c r="F65" s="569" t="n"/>
      <c r="G65" s="415" t="n"/>
      <c r="H65" s="415" t="n"/>
      <c r="I65" s="569" t="n"/>
      <c r="J65" s="419" t="n"/>
      <c r="K65" s="420" t="n"/>
      <c r="L65">
        <f>FALSE()</f>
        <v/>
      </c>
      <c r="M65" s="400" t="n"/>
    </row>
    <row r="66" ht="12.75" customHeight="1" s="545">
      <c r="C66" s="431" t="n"/>
      <c r="D66" s="292" t="n"/>
      <c r="E66" s="420" t="n"/>
      <c r="F66" s="569" t="n"/>
      <c r="G66" s="415" t="n"/>
      <c r="H66" s="415" t="n"/>
      <c r="I66" s="569" t="n"/>
      <c r="J66" s="419" t="n"/>
      <c r="K66" s="420" t="n"/>
      <c r="L66">
        <f>FALSE()</f>
        <v/>
      </c>
      <c r="M66" s="400" t="n"/>
    </row>
    <row r="67" ht="12.75" customHeight="1" s="545">
      <c r="C67" s="431" t="n"/>
      <c r="D67" s="292" t="n"/>
      <c r="E67" s="430" t="n"/>
      <c r="F67" s="569" t="n"/>
      <c r="G67" s="415" t="n"/>
      <c r="H67" s="415" t="n"/>
      <c r="I67" s="569" t="n"/>
      <c r="J67" s="416" t="n"/>
      <c r="K67" s="416" t="n"/>
      <c r="L67">
        <f>FALSE()</f>
        <v/>
      </c>
      <c r="M67" s="400" t="n"/>
    </row>
    <row r="68" ht="12.75" customHeight="1" s="545">
      <c r="C68" s="431" t="n"/>
      <c r="D68" s="292" t="n"/>
      <c r="E68" s="420" t="n"/>
      <c r="F68" s="569" t="n"/>
      <c r="G68" s="415" t="n"/>
      <c r="H68" s="415" t="n"/>
      <c r="I68" s="569" t="n"/>
      <c r="J68" s="419" t="n"/>
      <c r="K68" s="420" t="n"/>
      <c r="L68">
        <f>FALSE()</f>
        <v/>
      </c>
      <c r="M68" s="400" t="n"/>
    </row>
    <row r="69" ht="12.75" customHeight="1" s="545">
      <c r="C69" s="431" t="n"/>
      <c r="D69" s="292" t="n"/>
      <c r="F69" s="569" t="n"/>
      <c r="G69" s="415" t="n"/>
      <c r="H69" s="415" t="n"/>
      <c r="I69" s="569" t="n"/>
      <c r="J69" s="419" t="n"/>
      <c r="K69" s="420" t="n"/>
      <c r="L69">
        <f>FALSE()</f>
        <v/>
      </c>
      <c r="M69" s="400" t="n"/>
    </row>
    <row r="70" ht="12.75" customHeight="1" s="545">
      <c r="C70" s="431" t="n"/>
      <c r="D70" s="292" t="n"/>
      <c r="E70" s="420" t="n"/>
      <c r="G70" s="415" t="n"/>
      <c r="H70" s="415" t="n"/>
      <c r="J70" s="419" t="n"/>
      <c r="K70" s="420" t="n"/>
      <c r="L70">
        <f>FALSE()</f>
        <v/>
      </c>
      <c r="M70" s="400" t="n"/>
    </row>
    <row r="71" ht="12.75" customHeight="1" s="545">
      <c r="B71" s="425" t="n"/>
      <c r="C71" s="431" t="n"/>
      <c r="D71" s="292" t="n"/>
      <c r="E71" s="420" t="n"/>
      <c r="G71" s="415" t="n"/>
      <c r="H71" s="415" t="n"/>
      <c r="J71" s="419" t="n"/>
      <c r="K71" s="420" t="n"/>
      <c r="L71">
        <f>FALSE()</f>
        <v/>
      </c>
      <c r="M71" s="400" t="n"/>
    </row>
    <row r="72" ht="12" customHeight="1" s="545">
      <c r="B72" s="425" t="n"/>
      <c r="C72" s="422" t="n"/>
      <c r="D72" s="292" t="n"/>
      <c r="E72" s="420" t="n"/>
      <c r="G72" s="415" t="n"/>
      <c r="H72" s="415" t="n"/>
      <c r="J72" s="419" t="n"/>
      <c r="K72" s="420" t="n"/>
      <c r="L72">
        <f>FALSE()</f>
        <v/>
      </c>
      <c r="M72" s="400" t="n"/>
    </row>
    <row r="73" ht="12" customHeight="1" s="545">
      <c r="A73" s="429" t="n"/>
      <c r="B73" s="425" t="n"/>
      <c r="C73" s="422" t="n"/>
      <c r="D73" s="292" t="n"/>
      <c r="E73" s="421" t="n"/>
      <c r="G73" s="415" t="n"/>
      <c r="H73" s="415" t="n"/>
      <c r="J73" s="432" t="n"/>
      <c r="K73" s="432" t="n"/>
      <c r="L73">
        <f>FALSE()</f>
        <v/>
      </c>
      <c r="M73" s="417" t="n"/>
    </row>
    <row r="74" ht="12" customHeight="1" s="545">
      <c r="B74" s="425" t="n"/>
      <c r="C74" s="422" t="n"/>
      <c r="D74" s="292" t="n"/>
      <c r="E74" s="421" t="n"/>
      <c r="G74" s="415" t="n"/>
      <c r="H74" s="415" t="n"/>
      <c r="J74" s="419" t="n"/>
      <c r="K74" s="420" t="n"/>
      <c r="L74">
        <f>FALSE()</f>
        <v/>
      </c>
      <c r="M74" s="249" t="n"/>
    </row>
    <row r="75" ht="12" customHeight="1" s="545">
      <c r="A75" s="429" t="n"/>
      <c r="B75" s="425" t="n"/>
      <c r="C75" s="422" t="n"/>
      <c r="D75" s="292" t="n"/>
      <c r="E75" s="421" t="n"/>
      <c r="J75" s="419" t="n"/>
      <c r="K75" s="420" t="n"/>
      <c r="L75">
        <f>FALSE()</f>
        <v/>
      </c>
      <c r="M75" s="417" t="n"/>
    </row>
    <row r="76" ht="12" customHeight="1" s="545">
      <c r="A76" s="429" t="n"/>
      <c r="B76" s="425" t="n"/>
      <c r="C76" s="422" t="n"/>
      <c r="D76" s="292" t="n"/>
      <c r="E76" s="420" t="n"/>
      <c r="J76" s="419" t="n"/>
      <c r="K76" s="420" t="n"/>
      <c r="L76">
        <f>FALSE()</f>
        <v/>
      </c>
      <c r="M76" s="417" t="n"/>
    </row>
    <row r="77" ht="12.75" customHeight="1" s="545">
      <c r="C77" s="422" t="n"/>
      <c r="D77" s="292" t="n"/>
      <c r="E77" s="420" t="n"/>
      <c r="G77" s="569" t="n"/>
      <c r="H77" s="569" t="n"/>
      <c r="J77" s="432" t="n"/>
      <c r="K77" s="432" t="n"/>
      <c r="L77">
        <f>FALSE()</f>
        <v/>
      </c>
      <c r="M77" s="417" t="n"/>
    </row>
    <row r="78" ht="12.75" customHeight="1" s="545">
      <c r="C78" s="422" t="n"/>
      <c r="D78" s="292" t="n"/>
      <c r="E78" s="420" t="n"/>
      <c r="G78" s="569" t="n"/>
      <c r="H78" s="569" t="n"/>
      <c r="J78" s="432" t="n"/>
      <c r="K78" s="432" t="n"/>
      <c r="L78">
        <f>FALSE()</f>
        <v/>
      </c>
      <c r="M78" s="417" t="n"/>
    </row>
    <row r="79" ht="12.75" customHeight="1" s="545">
      <c r="C79" s="422" t="n"/>
      <c r="D79" s="292" t="n"/>
      <c r="E79" s="430" t="n"/>
      <c r="G79" s="569" t="n"/>
      <c r="H79" s="569" t="n"/>
      <c r="J79" s="419" t="n"/>
      <c r="K79" s="420" t="n"/>
      <c r="L79">
        <f>FALSE()</f>
        <v/>
      </c>
      <c r="M79" s="417" t="n"/>
    </row>
    <row r="80" ht="12.75" customHeight="1" s="545">
      <c r="C80" s="422" t="n"/>
      <c r="D80" s="292" t="n"/>
      <c r="E80" s="430" t="n"/>
      <c r="G80" s="569" t="n"/>
      <c r="H80" s="569" t="n"/>
      <c r="J80" s="416" t="n"/>
      <c r="K80" s="416" t="n"/>
      <c r="L80">
        <f>FALSE()</f>
        <v/>
      </c>
      <c r="M80" s="417" t="n"/>
    </row>
    <row r="81" ht="12.75" customHeight="1" s="545">
      <c r="C81" s="422" t="n"/>
      <c r="D81" s="292" t="n"/>
      <c r="E81" s="430" t="n"/>
      <c r="G81" s="569" t="n"/>
      <c r="H81" s="569" t="n"/>
      <c r="J81" s="419" t="n"/>
      <c r="K81" s="420" t="n"/>
      <c r="L81">
        <f>FALSE()</f>
        <v/>
      </c>
      <c r="M81" s="417" t="n"/>
    </row>
    <row r="82" ht="12.75" customHeight="1" s="545">
      <c r="C82" s="422" t="n"/>
      <c r="D82" s="292" t="n"/>
      <c r="E82" s="430" t="n"/>
      <c r="G82" s="569" t="n"/>
      <c r="H82" s="569" t="n"/>
      <c r="J82" s="419" t="n"/>
      <c r="K82" s="420" t="n"/>
      <c r="L82">
        <f>FALSE()</f>
        <v/>
      </c>
      <c r="M82" s="417" t="n"/>
    </row>
    <row r="83" ht="12.75" customHeight="1" s="545">
      <c r="C83" s="422" t="n"/>
      <c r="D83" s="292" t="n"/>
      <c r="E83" s="430" t="n"/>
      <c r="G83" s="569" t="n"/>
      <c r="H83" s="569" t="n"/>
      <c r="J83" s="419" t="n"/>
      <c r="K83" s="420" t="n"/>
      <c r="L83">
        <f>FALSE()</f>
        <v/>
      </c>
      <c r="M83" s="249" t="n"/>
    </row>
    <row r="84" ht="12" customHeight="1" s="545">
      <c r="C84" s="422" t="n"/>
      <c r="D84" s="292" t="n"/>
      <c r="E84" s="430" t="n"/>
      <c r="J84" s="419" t="n"/>
      <c r="K84" s="420" t="n"/>
      <c r="L84">
        <f>FALSE()</f>
        <v/>
      </c>
      <c r="M84" s="249" t="n"/>
    </row>
    <row r="85" ht="12" customHeight="1" s="545">
      <c r="C85" s="422" t="n"/>
      <c r="D85" s="292" t="n"/>
      <c r="E85" s="430" t="n"/>
      <c r="J85" s="419" t="n"/>
      <c r="K85" s="420" t="n"/>
      <c r="L85">
        <f>FALSE()</f>
        <v/>
      </c>
      <c r="M85" s="249" t="n"/>
    </row>
    <row r="86" ht="12" customHeight="1" s="545">
      <c r="C86" s="422" t="n"/>
      <c r="D86" s="292" t="n"/>
      <c r="E86" s="430" t="n"/>
      <c r="J86" s="419" t="n"/>
      <c r="K86" s="420" t="n"/>
      <c r="L86">
        <f>FALSE()</f>
        <v/>
      </c>
      <c r="M86" s="417" t="n"/>
    </row>
    <row r="87" ht="12" customHeight="1" s="545">
      <c r="C87" s="422" t="n"/>
      <c r="D87" s="292" t="n"/>
      <c r="E87" s="430" t="n"/>
      <c r="J87" s="419" t="n"/>
      <c r="K87" s="420" t="n"/>
      <c r="L87">
        <f>FALSE()</f>
        <v/>
      </c>
      <c r="M87" s="400" t="n"/>
    </row>
    <row r="88" ht="12" customHeight="1" s="545">
      <c r="C88" s="422" t="n"/>
      <c r="D88" s="292" t="n"/>
      <c r="E88" s="430" t="n"/>
      <c r="J88" s="419" t="n"/>
      <c r="K88" s="420" t="n"/>
      <c r="L88">
        <f>FALSE()</f>
        <v/>
      </c>
      <c r="M88" s="400" t="n"/>
    </row>
    <row r="89" ht="12" customHeight="1" s="545">
      <c r="C89" s="422" t="n"/>
      <c r="D89" s="292" t="n"/>
      <c r="E89" s="430" t="n"/>
      <c r="J89" s="419" t="n"/>
      <c r="K89" s="420" t="n"/>
      <c r="M89" s="400" t="n"/>
    </row>
    <row r="90" ht="12" customHeight="1" s="545">
      <c r="C90" s="422" t="n"/>
      <c r="D90" s="292" t="n"/>
      <c r="E90" s="430" t="n"/>
      <c r="J90" s="419" t="n"/>
      <c r="K90" s="420" t="n"/>
      <c r="M90" s="249" t="n"/>
    </row>
    <row r="91" ht="12" customHeight="1" s="545">
      <c r="C91" s="422" t="n"/>
      <c r="D91" s="292" t="n"/>
      <c r="E91" s="430" t="n"/>
      <c r="J91" s="419" t="n"/>
      <c r="K91" s="420" t="n"/>
      <c r="M91" s="417" t="n"/>
    </row>
    <row r="92" ht="12" customHeight="1" s="545">
      <c r="C92" s="422" t="n"/>
      <c r="D92" s="292" t="n"/>
      <c r="E92" s="430" t="n"/>
      <c r="J92" s="419" t="n"/>
      <c r="K92" s="420" t="n"/>
      <c r="M92" s="417" t="n"/>
    </row>
    <row r="93" ht="12" customHeight="1" s="545">
      <c r="A93" s="107" t="inlineStr">
        <is>
          <t>A</t>
        </is>
      </c>
      <c r="B93" s="292" t="inlineStr">
        <is>
          <t>Good</t>
        </is>
      </c>
      <c r="C93" s="422" t="n"/>
      <c r="D93" s="292" t="n"/>
      <c r="E93" s="430" t="n"/>
      <c r="J93" s="419" t="n"/>
      <c r="K93" s="420" t="n"/>
      <c r="M93" s="417" t="n"/>
    </row>
    <row r="94" ht="12" customHeight="1" s="545">
      <c r="A94" s="107" t="inlineStr">
        <is>
          <t>A-</t>
        </is>
      </c>
      <c r="B94" s="292" t="inlineStr">
        <is>
          <t>Good</t>
        </is>
      </c>
      <c r="C94" s="422" t="n"/>
      <c r="D94" s="292" t="n"/>
      <c r="E94" s="430" t="n"/>
      <c r="J94" s="419" t="n"/>
      <c r="K94" s="420" t="n"/>
      <c r="M94" s="400" t="n"/>
    </row>
    <row r="95" ht="12" customHeight="1" s="545">
      <c r="A95" s="107" t="inlineStr">
        <is>
          <t>A+</t>
        </is>
      </c>
      <c r="B95" s="292" t="inlineStr">
        <is>
          <t>Good</t>
        </is>
      </c>
      <c r="D95" s="292" t="n"/>
      <c r="E95" s="430" t="n"/>
      <c r="J95" s="416" t="n"/>
      <c r="K95" s="416" t="n"/>
      <c r="M95" s="417" t="n"/>
    </row>
    <row r="96" ht="12" customHeight="1" s="545">
      <c r="A96" s="107" t="inlineStr">
        <is>
          <t>B</t>
        </is>
      </c>
      <c r="B96" s="292" t="inlineStr">
        <is>
          <t>Above Average</t>
        </is>
      </c>
      <c r="D96" s="292" t="n"/>
      <c r="E96" s="430" t="n"/>
      <c r="J96" s="416" t="n"/>
      <c r="K96" s="416" t="n"/>
      <c r="M96" s="417" t="n"/>
    </row>
    <row r="97" ht="12" customHeight="1" s="545">
      <c r="A97" s="107" t="inlineStr">
        <is>
          <t>B-</t>
        </is>
      </c>
      <c r="B97" s="292" t="inlineStr">
        <is>
          <t>Above Average</t>
        </is>
      </c>
      <c r="D97" s="292" t="n"/>
      <c r="E97" s="430" t="n"/>
      <c r="J97" s="416" t="n"/>
      <c r="K97" s="416" t="n"/>
      <c r="M97" s="417" t="n"/>
    </row>
    <row r="98" ht="12" customHeight="1" s="545">
      <c r="A98" s="107" t="inlineStr">
        <is>
          <t>B+</t>
        </is>
      </c>
      <c r="B98" s="292" t="inlineStr">
        <is>
          <t>Above Average</t>
        </is>
      </c>
      <c r="D98" s="292" t="n"/>
      <c r="E98" s="430" t="n"/>
      <c r="J98" s="416" t="n"/>
      <c r="K98" s="416" t="n"/>
      <c r="M98" s="432" t="n"/>
    </row>
    <row r="99" ht="12" customHeight="1" s="545">
      <c r="A99" s="107" t="inlineStr">
        <is>
          <t>C</t>
        </is>
      </c>
      <c r="B99" s="292" t="inlineStr">
        <is>
          <t>Average</t>
        </is>
      </c>
      <c r="D99" s="292" t="n"/>
      <c r="E99" s="430" t="n"/>
      <c r="J99" s="416" t="n"/>
      <c r="K99" s="416" t="n"/>
      <c r="M99" s="432" t="n"/>
    </row>
    <row r="100" ht="12" customHeight="1" s="545">
      <c r="A100" s="107" t="inlineStr">
        <is>
          <t>C-</t>
        </is>
      </c>
      <c r="B100" s="292" t="inlineStr">
        <is>
          <t>Average</t>
        </is>
      </c>
      <c r="D100" s="292" t="n"/>
      <c r="E100" s="430" t="n"/>
      <c r="J100" s="419" t="n"/>
      <c r="K100" s="419" t="n"/>
      <c r="M100" s="432" t="n"/>
    </row>
    <row r="101" ht="12" customHeight="1" s="545">
      <c r="A101" s="107" t="inlineStr">
        <is>
          <t>C+</t>
        </is>
      </c>
      <c r="B101" s="292" t="inlineStr">
        <is>
          <t>Average</t>
        </is>
      </c>
      <c r="D101" s="292" t="n"/>
      <c r="E101" s="430" t="n"/>
      <c r="J101" s="416" t="n"/>
      <c r="K101" s="416" t="n"/>
      <c r="M101" s="432" t="n"/>
    </row>
    <row r="102" ht="12" customHeight="1" s="545">
      <c r="A102" s="107" t="inlineStr">
        <is>
          <t>X</t>
        </is>
      </c>
      <c r="B102" s="292" t="inlineStr">
        <is>
          <t>Excellent</t>
        </is>
      </c>
      <c r="D102" s="292" t="n"/>
      <c r="E102" s="430" t="n"/>
      <c r="J102" s="416" t="n"/>
      <c r="K102" s="416" t="n"/>
      <c r="M102" s="419" t="n"/>
    </row>
    <row r="103" ht="12" customHeight="1" s="545">
      <c r="A103" s="107" t="inlineStr">
        <is>
          <t>X-</t>
        </is>
      </c>
      <c r="B103" s="292" t="inlineStr">
        <is>
          <t>Excellent</t>
        </is>
      </c>
      <c r="D103" s="292" t="n"/>
      <c r="E103" s="430" t="n"/>
      <c r="J103" s="416" t="n"/>
      <c r="K103" s="416" t="n"/>
      <c r="M103" s="419" t="n"/>
    </row>
    <row r="104" ht="12" customHeight="1" s="545">
      <c r="A104" s="107" t="inlineStr">
        <is>
          <t>X+</t>
        </is>
      </c>
      <c r="B104" s="292" t="inlineStr">
        <is>
          <t>Excellent</t>
        </is>
      </c>
      <c r="J104" s="419" t="n"/>
      <c r="K104" s="419" t="n"/>
      <c r="M104" s="419" t="n"/>
    </row>
    <row r="105" ht="12" customHeight="1" s="545">
      <c r="J105" s="416" t="n"/>
      <c r="K105" s="416" t="n"/>
      <c r="M105" s="419" t="n"/>
    </row>
    <row r="106" ht="12" customHeight="1" s="545">
      <c r="M106" s="419" t="n"/>
    </row>
    <row r="107" ht="12" customHeight="1" s="545">
      <c r="M107" s="419" t="n"/>
    </row>
    <row r="108" ht="12.75" customHeight="1" s="545">
      <c r="A108" s="433" t="n"/>
      <c r="B108" s="423" t="n"/>
      <c r="M108" s="419" t="n"/>
    </row>
    <row r="109" ht="12" customHeight="1" s="545">
      <c r="M109" s="419" t="n"/>
    </row>
    <row r="110" ht="12" customHeight="1" s="545">
      <c r="M110" s="419" t="n"/>
    </row>
    <row r="111" ht="12" customHeight="1" s="545">
      <c r="M111" s="419" t="n"/>
    </row>
    <row r="112" ht="12" customHeight="1" s="545">
      <c r="M112" s="419" t="n"/>
    </row>
    <row r="113" ht="12" customHeight="1" s="545">
      <c r="M113" s="419" t="n"/>
    </row>
    <row r="114" ht="12" customHeight="1" s="545">
      <c r="M114" s="419" t="n"/>
    </row>
    <row r="115" ht="12" customHeight="1" s="545">
      <c r="M115" s="419" t="n"/>
    </row>
    <row r="116" ht="12" customHeight="1" s="545">
      <c r="M116" s="419" t="n"/>
    </row>
    <row r="117" ht="12" customHeight="1" s="545">
      <c r="M117" s="419" t="n"/>
    </row>
    <row r="118" ht="12" customHeight="1" s="545">
      <c r="M118" s="419" t="n"/>
    </row>
    <row r="119" ht="12" customHeight="1" s="545">
      <c r="M119" s="419" t="n"/>
    </row>
    <row r="120" ht="12" customHeight="1" s="545">
      <c r="M120" s="419" t="n"/>
    </row>
    <row r="121" ht="12" customHeight="1" s="545">
      <c r="M121" s="419" t="n"/>
    </row>
    <row r="122" ht="12" customHeight="1" s="545">
      <c r="M122" s="419" t="n"/>
    </row>
    <row r="123" ht="12" customHeight="1" s="545">
      <c r="M123" s="419" t="n"/>
    </row>
    <row r="124" ht="12" customHeight="1" s="545">
      <c r="M124" s="419" t="n"/>
    </row>
    <row r="125" ht="12" customHeight="1" s="545">
      <c r="M125" s="419" t="n"/>
    </row>
    <row r="126" ht="12" customHeight="1" s="545">
      <c r="M126" s="419" t="n"/>
    </row>
    <row r="127" ht="12" customHeight="1" s="545">
      <c r="M127" s="419" t="n"/>
    </row>
    <row r="128" ht="12" customHeight="1" s="545">
      <c r="M128" s="419" t="n"/>
    </row>
    <row r="129" ht="12" customHeight="1" s="545">
      <c r="M129" s="419" t="n"/>
    </row>
    <row r="130" ht="12" customHeight="1" s="545">
      <c r="M130" s="419" t="n"/>
    </row>
    <row r="131" ht="12" customHeight="1" s="545">
      <c r="M131" s="419" t="n"/>
    </row>
    <row r="132" ht="12.75" customHeight="1" s="545">
      <c r="A132" s="433" t="n"/>
      <c r="B132" s="423" t="n"/>
      <c r="M132" s="419" t="n"/>
    </row>
    <row r="133" ht="12.75" customHeight="1" s="545">
      <c r="A133" s="433" t="n"/>
      <c r="B133" s="423" t="n"/>
      <c r="M133" s="419" t="n"/>
    </row>
    <row r="134" ht="12.75" customHeight="1" s="545">
      <c r="A134" s="433" t="n"/>
      <c r="B134" s="423" t="n"/>
      <c r="M134" s="432" t="n"/>
    </row>
    <row r="135" ht="12.75" customHeight="1" s="545">
      <c r="A135" s="433" t="n"/>
      <c r="B135" s="423" t="n"/>
      <c r="M135" s="432" t="n"/>
    </row>
    <row r="136" ht="12.75" customHeight="1" s="545">
      <c r="A136" s="433" t="n"/>
      <c r="B136" s="423" t="n"/>
      <c r="M136" s="432" t="n"/>
    </row>
    <row r="137" ht="12.75" customHeight="1" s="545">
      <c r="A137" s="433" t="n"/>
      <c r="B137" s="423" t="n"/>
      <c r="M137" s="432" t="n"/>
    </row>
    <row r="138" ht="12.75" customHeight="1" s="545">
      <c r="A138" s="433" t="n"/>
      <c r="B138" s="423" t="n"/>
      <c r="M138" s="432" t="n"/>
    </row>
    <row r="139" ht="12" customHeight="1" s="545">
      <c r="M139" s="432" t="n"/>
    </row>
    <row r="140" ht="12" customHeight="1" s="545">
      <c r="M140" s="432" t="n"/>
    </row>
    <row r="141" ht="12" customHeight="1" s="545">
      <c r="M141" s="432" t="n"/>
    </row>
    <row r="142" ht="12" customHeight="1" s="545">
      <c r="M142" s="432" t="n"/>
    </row>
    <row r="143" ht="12" customHeight="1" s="545">
      <c r="M143" s="432" t="n"/>
    </row>
    <row r="144" ht="12" customHeight="1" s="545">
      <c r="M144" s="432" t="n"/>
    </row>
    <row r="145" ht="12" customHeight="1" s="545">
      <c r="M145" s="432" t="n"/>
    </row>
    <row r="146" ht="12" customHeight="1" s="545">
      <c r="M146" s="432" t="n"/>
    </row>
    <row r="147" ht="12" customHeight="1" s="545">
      <c r="M147" s="432" t="n"/>
    </row>
    <row r="148" ht="12" customHeight="1" s="545">
      <c r="M148" s="432" t="n"/>
    </row>
    <row r="149" ht="12" customHeight="1" s="545">
      <c r="M149" s="432" t="n"/>
    </row>
    <row r="150" ht="12" customHeight="1" s="545">
      <c r="M150" s="432" t="n"/>
    </row>
    <row r="151" ht="12" customHeight="1" s="545">
      <c r="M151" s="432" t="n"/>
    </row>
    <row r="152" ht="12" customHeight="1" s="545">
      <c r="M152" s="432" t="n"/>
    </row>
    <row r="153" ht="12" customHeight="1" s="545">
      <c r="M153" s="432" t="n"/>
    </row>
    <row r="154" ht="12" customHeight="1" s="545">
      <c r="M154" s="432" t="n"/>
    </row>
    <row r="155" ht="12" customHeight="1" s="545">
      <c r="M155" s="432" t="n"/>
    </row>
    <row r="156" ht="12" customHeight="1" s="545">
      <c r="M156" s="432" t="n"/>
    </row>
    <row r="157" ht="12" customHeight="1" s="545">
      <c r="M157" s="432" t="n"/>
    </row>
    <row r="158" ht="12" customHeight="1" s="545">
      <c r="M158" s="432" t="n"/>
    </row>
  </sheetData>
  <pageMargins left="0.75" right="0.75" top="1" bottom="1" header="0.511811023622047" footer="0.511811023622047"/>
  <pageSetup orientation="portrait" horizontalDpi="300" verticalDpi="300"/>
</worksheet>
</file>

<file path=xl/worksheets/sheet26.xml><?xml version="1.0" encoding="utf-8"?>
<worksheet xmlns="http://schemas.openxmlformats.org/spreadsheetml/2006/main">
  <sheetPr>
    <tabColor rgb="FFD97706"/>
    <outlinePr summaryBelow="1" summaryRight="1"/>
    <pageSetUpPr/>
  </sheetPr>
  <dimension ref="B1:F199"/>
  <sheetViews>
    <sheetView zoomScaleNormal="100" workbookViewId="0">
      <pane xSplit="1" ySplit="5" topLeftCell="B6" activePane="bottomRight" state="frozen"/>
      <selection pane="topRight" activeCell="B1" sqref="B1"/>
      <selection pane="bottomLeft" activeCell="A6" sqref="A6"/>
      <selection pane="bottomRight" activeCell="A1" sqref="A1"/>
    </sheetView>
  </sheetViews>
  <sheetFormatPr baseColWidth="8" defaultColWidth="10.28515625" defaultRowHeight="12"/>
  <cols>
    <col width="2.28515625" customWidth="1" style="545" min="1" max="1"/>
    <col width="59.28515625" customWidth="1" style="545" min="2" max="2"/>
    <col width="13.7109375" customWidth="1" style="545" min="3" max="3"/>
    <col width="6.85546875" customWidth="1" style="545" min="4" max="4"/>
    <col width="59.28515625" customWidth="1" style="545" min="5" max="5"/>
    <col width="57" customWidth="1" style="545" min="6" max="6"/>
  </cols>
  <sheetData>
    <row r="1" ht="31.5" customHeight="1" s="545">
      <c r="B1" s="242" t="inlineStr">
        <is>
          <t>COUNTY OCCUPANCY CODE (OCC) REFERENCE TABLE</t>
        </is>
      </c>
    </row>
    <row r="2" ht="52.5" customHeight="1" s="545">
      <c r="B2" s="547"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ht="63" customHeight="1" s="545">
      <c r="B3" s="547"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ht="12" customHeight="1" s="545">
      <c r="B5" s="434" t="inlineStr">
        <is>
          <t>OCC Code</t>
        </is>
      </c>
      <c r="C5" s="435" t="inlineStr">
        <is>
          <t>Acct Type</t>
        </is>
      </c>
      <c r="D5" s="435" t="inlineStr">
        <is>
          <t>Account Total (source report)</t>
        </is>
      </c>
      <c r="E5" s="434" t="inlineStr">
        <is>
          <t>Occupancy Description</t>
        </is>
      </c>
      <c r="F5" s="54" t="inlineStr">
        <is>
          <t>Code + Description (dropdown source)</t>
        </is>
      </c>
    </row>
    <row r="6" ht="12" customHeight="1" s="545">
      <c r="B6" s="653" t="n">
        <v>26</v>
      </c>
      <c r="C6" t="inlineStr">
        <is>
          <t>Commercial</t>
        </is>
      </c>
      <c r="D6" t="n">
        <v>1</v>
      </c>
      <c r="E6" s="653" t="inlineStr">
        <is>
          <t>Studio Loft</t>
        </is>
      </c>
      <c r="F6">
        <f>B6&amp;" - "&amp;E6</f>
        <v/>
      </c>
    </row>
    <row r="7" ht="12" customHeight="1" s="545">
      <c r="B7" s="653" t="n">
        <v>90</v>
      </c>
      <c r="C7" t="inlineStr">
        <is>
          <t>Commercial</t>
        </is>
      </c>
      <c r="D7" t="n">
        <v>2</v>
      </c>
      <c r="E7" s="653" t="inlineStr">
        <is>
          <t>Residential Out Structure</t>
        </is>
      </c>
      <c r="F7">
        <f>B7&amp;" - "&amp;E7</f>
        <v/>
      </c>
    </row>
    <row r="8" ht="12" customHeight="1" s="545">
      <c r="B8" s="653" t="n">
        <v>99</v>
      </c>
      <c r="C8" t="inlineStr">
        <is>
          <t>Commercial</t>
        </is>
      </c>
      <c r="D8" t="n">
        <v>6</v>
      </c>
      <c r="E8" s="653" t="inlineStr">
        <is>
          <t>Detached Garage</t>
        </is>
      </c>
      <c r="F8">
        <f>B8&amp;" - "&amp;E8</f>
        <v/>
      </c>
    </row>
    <row r="9" ht="12" customHeight="1" s="545">
      <c r="B9" s="653" t="n">
        <v>100</v>
      </c>
      <c r="C9" t="inlineStr">
        <is>
          <t>Commercial</t>
        </is>
      </c>
      <c r="D9" t="n">
        <v>75</v>
      </c>
      <c r="E9" s="653" t="inlineStr">
        <is>
          <t>Single Family Residential</t>
        </is>
      </c>
      <c r="F9">
        <f>B9&amp;" - "&amp;E9</f>
        <v/>
      </c>
    </row>
    <row r="10" ht="12" customHeight="1" s="545">
      <c r="B10" s="653" t="n">
        <v>100</v>
      </c>
      <c r="C10" t="inlineStr">
        <is>
          <t>Industrial</t>
        </is>
      </c>
      <c r="D10" t="n">
        <v>2</v>
      </c>
      <c r="E10" s="653" t="inlineStr">
        <is>
          <t>Single Family Residential</t>
        </is>
      </c>
      <c r="F10">
        <f>B10&amp;" - "&amp;E10</f>
        <v/>
      </c>
    </row>
    <row r="11" ht="12" customHeight="1" s="545">
      <c r="B11" s="653" t="n">
        <v>101</v>
      </c>
      <c r="C11" t="inlineStr">
        <is>
          <t>Commercial</t>
        </is>
      </c>
      <c r="D11" t="n">
        <v>2</v>
      </c>
      <c r="E11" s="653" t="inlineStr">
        <is>
          <t>Ag Single Family Residential-not integral</t>
        </is>
      </c>
      <c r="F11">
        <f>B11&amp;" - "&amp;E11</f>
        <v/>
      </c>
    </row>
    <row r="12" ht="12" customHeight="1" s="545">
      <c r="B12" s="653" t="n">
        <v>102</v>
      </c>
      <c r="C12" t="inlineStr">
        <is>
          <t>Commercial</t>
        </is>
      </c>
      <c r="D12" t="n">
        <v>1</v>
      </c>
      <c r="E12" s="653" t="inlineStr">
        <is>
          <t>Duplex</t>
        </is>
      </c>
      <c r="F12">
        <f>B12&amp;" - "&amp;E12</f>
        <v/>
      </c>
    </row>
    <row r="13" ht="12" customHeight="1" s="545">
      <c r="B13" s="653" t="n">
        <v>105</v>
      </c>
      <c r="C13" t="inlineStr">
        <is>
          <t>Commercial</t>
        </is>
      </c>
      <c r="D13" t="n">
        <v>6</v>
      </c>
      <c r="E13" s="653" t="inlineStr">
        <is>
          <t>Attached Single Family Residential</t>
        </is>
      </c>
      <c r="F13">
        <f>B13&amp;" - "&amp;E13</f>
        <v/>
      </c>
    </row>
    <row r="14" ht="12" customHeight="1" s="545">
      <c r="B14" s="653" t="n">
        <v>116</v>
      </c>
      <c r="C14" t="inlineStr">
        <is>
          <t>Commercial</t>
        </is>
      </c>
      <c r="D14" t="n">
        <v>3</v>
      </c>
      <c r="E14" s="653" t="inlineStr">
        <is>
          <t>Apartment w/4-8 Units</t>
        </is>
      </c>
      <c r="F14">
        <f>B14&amp;" - "&amp;E14</f>
        <v/>
      </c>
    </row>
    <row r="15" ht="12" customHeight="1" s="545">
      <c r="B15" s="653" t="n">
        <v>118</v>
      </c>
      <c r="C15" t="inlineStr">
        <is>
          <t>Commercial</t>
        </is>
      </c>
      <c r="D15" t="n">
        <v>12</v>
      </c>
      <c r="E15" s="653" t="inlineStr">
        <is>
          <t>Apartment w/9 + Units</t>
        </is>
      </c>
      <c r="F15">
        <f>B15&amp;" - "&amp;E15</f>
        <v/>
      </c>
    </row>
    <row r="16" ht="12" customHeight="1" s="545">
      <c r="B16" s="653" t="n">
        <v>140</v>
      </c>
      <c r="C16" t="inlineStr">
        <is>
          <t>Commercial</t>
        </is>
      </c>
      <c r="D16" t="n">
        <v>66</v>
      </c>
      <c r="E16" s="653" t="inlineStr">
        <is>
          <t>Parking Lot</t>
        </is>
      </c>
      <c r="F16">
        <f>B16&amp;" - "&amp;E16</f>
        <v/>
      </c>
    </row>
    <row r="17" ht="12" customHeight="1" s="545">
      <c r="B17" s="653" t="n">
        <v>140</v>
      </c>
      <c r="C17" t="inlineStr">
        <is>
          <t>Industrial</t>
        </is>
      </c>
      <c r="D17" t="n">
        <v>1</v>
      </c>
      <c r="E17" s="653" t="inlineStr">
        <is>
          <t>Parking Lot</t>
        </is>
      </c>
      <c r="F17">
        <f>B17&amp;" - "&amp;E17</f>
        <v/>
      </c>
    </row>
    <row r="18" ht="12" customHeight="1" s="545">
      <c r="B18" s="653" t="n">
        <v>186</v>
      </c>
      <c r="C18" t="inlineStr">
        <is>
          <t>Industrial</t>
        </is>
      </c>
      <c r="D18" t="n">
        <v>2</v>
      </c>
      <c r="E18" s="653" t="inlineStr">
        <is>
          <t>Light Commercial - Manufacturing Utility Bldg</t>
        </is>
      </c>
      <c r="F18">
        <f>B18&amp;" - "&amp;E18</f>
        <v/>
      </c>
    </row>
    <row r="19" ht="12" customHeight="1" s="545">
      <c r="B19" s="653" t="n">
        <v>204</v>
      </c>
      <c r="C19" t="inlineStr">
        <is>
          <t>Commercial</t>
        </is>
      </c>
      <c r="D19" t="n">
        <v>1</v>
      </c>
      <c r="E19" s="653" t="inlineStr">
        <is>
          <t>Computer Centers</t>
        </is>
      </c>
      <c r="F19">
        <f>B19&amp;" - "&amp;E19</f>
        <v/>
      </c>
    </row>
    <row r="20" ht="12" customHeight="1" s="545">
      <c r="B20" s="653" t="n">
        <v>207</v>
      </c>
      <c r="C20" t="inlineStr">
        <is>
          <t>Commercial</t>
        </is>
      </c>
      <c r="D20" t="n">
        <v>1</v>
      </c>
      <c r="E20" s="653" t="inlineStr">
        <is>
          <t>Firing Range Buildings</t>
        </is>
      </c>
      <c r="F20">
        <f>B20&amp;" - "&amp;E20</f>
        <v/>
      </c>
    </row>
    <row r="21" ht="12" customHeight="1" s="545">
      <c r="B21" s="653" t="n">
        <v>208</v>
      </c>
      <c r="C21" t="inlineStr">
        <is>
          <t>Commercial</t>
        </is>
      </c>
      <c r="D21" t="n">
        <v>14</v>
      </c>
      <c r="E21" s="653" t="inlineStr">
        <is>
          <t>Golf Course *CODE</t>
        </is>
      </c>
      <c r="F21">
        <f>B21&amp;" - "&amp;E21</f>
        <v/>
      </c>
    </row>
    <row r="22" ht="12" customHeight="1" s="545">
      <c r="B22" s="653" t="n">
        <v>209</v>
      </c>
      <c r="C22" t="inlineStr">
        <is>
          <t>Commercial</t>
        </is>
      </c>
      <c r="D22" t="n">
        <v>2</v>
      </c>
      <c r="E22" s="653" t="inlineStr">
        <is>
          <t>Nursery/Greenhouse</t>
        </is>
      </c>
      <c r="F22">
        <f>B22&amp;" - "&amp;E22</f>
        <v/>
      </c>
    </row>
    <row r="23" ht="12" customHeight="1" s="545">
      <c r="B23" s="653" t="n">
        <v>210</v>
      </c>
      <c r="C23" t="inlineStr">
        <is>
          <t>Commercial</t>
        </is>
      </c>
      <c r="D23" t="n">
        <v>35</v>
      </c>
      <c r="E23" s="653" t="inlineStr">
        <is>
          <t>Industrial Flex Mall Building</t>
        </is>
      </c>
      <c r="F23">
        <f>B23&amp;" - "&amp;E23</f>
        <v/>
      </c>
    </row>
    <row r="24" ht="12" customHeight="1" s="545">
      <c r="B24" s="653" t="n">
        <v>210</v>
      </c>
      <c r="C24" t="inlineStr">
        <is>
          <t>Industrial</t>
        </is>
      </c>
      <c r="D24" t="n">
        <v>14</v>
      </c>
      <c r="E24" s="653" t="inlineStr">
        <is>
          <t>Industrial Flex Mall Building</t>
        </is>
      </c>
      <c r="F24">
        <f>B24&amp;" - "&amp;E24</f>
        <v/>
      </c>
    </row>
    <row r="25" ht="12" customHeight="1" s="545">
      <c r="B25" s="653" t="n">
        <v>211</v>
      </c>
      <c r="C25" t="inlineStr">
        <is>
          <t>Industrial</t>
        </is>
      </c>
      <c r="D25" t="n">
        <v>2</v>
      </c>
      <c r="E25" s="653" t="inlineStr">
        <is>
          <t>Industiral Interior Office Space</t>
        </is>
      </c>
      <c r="F25">
        <f>B25&amp;" - "&amp;E25</f>
        <v/>
      </c>
    </row>
    <row r="26" ht="12" customHeight="1" s="545">
      <c r="B26" s="653" t="n">
        <v>212</v>
      </c>
      <c r="C26" t="inlineStr">
        <is>
          <t>Industrial</t>
        </is>
      </c>
      <c r="D26" t="n">
        <v>2</v>
      </c>
      <c r="E26" s="653" t="inlineStr">
        <is>
          <t>Laboratories</t>
        </is>
      </c>
      <c r="F26">
        <f>B26&amp;" - "&amp;E26</f>
        <v/>
      </c>
    </row>
    <row r="27" ht="12" customHeight="1" s="545">
      <c r="B27" s="653" t="n">
        <v>213</v>
      </c>
      <c r="C27" t="inlineStr">
        <is>
          <t>Commercial</t>
        </is>
      </c>
      <c r="D27" t="n">
        <v>1</v>
      </c>
      <c r="E27" s="653" t="inlineStr">
        <is>
          <t>Light Industrial Shell Buildings</t>
        </is>
      </c>
      <c r="F27">
        <f>B27&amp;" - "&amp;E27</f>
        <v/>
      </c>
    </row>
    <row r="28" ht="12" customHeight="1" s="545">
      <c r="B28" s="653" t="n">
        <v>213</v>
      </c>
      <c r="C28" t="inlineStr">
        <is>
          <t>Industrial</t>
        </is>
      </c>
      <c r="D28" t="n">
        <v>2</v>
      </c>
      <c r="E28" s="653" t="inlineStr">
        <is>
          <t>Light Industrial Shell Buildings</t>
        </is>
      </c>
      <c r="F28">
        <f>B28&amp;" - "&amp;E28</f>
        <v/>
      </c>
    </row>
    <row r="29" ht="12" customHeight="1" s="545">
      <c r="B29" s="653" t="n">
        <v>217</v>
      </c>
      <c r="C29" t="inlineStr">
        <is>
          <t>Commercial</t>
        </is>
      </c>
      <c r="D29" t="n">
        <v>1</v>
      </c>
      <c r="E29" s="653" t="inlineStr">
        <is>
          <t>Miscellaneous OB</t>
        </is>
      </c>
      <c r="F29">
        <f>B29&amp;" - "&amp;E29</f>
        <v/>
      </c>
    </row>
    <row r="30" ht="12" customHeight="1" s="545">
      <c r="B30" s="653" t="n">
        <v>220</v>
      </c>
      <c r="C30" t="inlineStr">
        <is>
          <t>Commercial</t>
        </is>
      </c>
      <c r="D30" t="n">
        <v>1</v>
      </c>
      <c r="E30" s="653" t="inlineStr">
        <is>
          <t>Recreational Pool Enclosure</t>
        </is>
      </c>
      <c r="F30">
        <f>B30&amp;" - "&amp;E30</f>
        <v/>
      </c>
    </row>
    <row r="31" ht="12" customHeight="1" s="545">
      <c r="B31" s="653" t="n">
        <v>227</v>
      </c>
      <c r="C31" t="inlineStr">
        <is>
          <t>Commercial</t>
        </is>
      </c>
      <c r="D31" t="n">
        <v>20</v>
      </c>
      <c r="E31" s="653" t="inlineStr">
        <is>
          <t>Complete Auto Dealership</t>
        </is>
      </c>
      <c r="F31">
        <f>B31&amp;" - "&amp;E31</f>
        <v/>
      </c>
    </row>
    <row r="32" ht="12" customHeight="1" s="545">
      <c r="B32" s="653" t="n">
        <v>228</v>
      </c>
      <c r="C32" t="inlineStr">
        <is>
          <t>Commercial</t>
        </is>
      </c>
      <c r="D32" t="n">
        <v>3</v>
      </c>
      <c r="E32" s="653" t="inlineStr">
        <is>
          <t>Kennel</t>
        </is>
      </c>
      <c r="F32">
        <f>B32&amp;" - "&amp;E32</f>
        <v/>
      </c>
    </row>
    <row r="33" ht="12" customHeight="1" s="545">
      <c r="B33" s="653" t="n">
        <v>228</v>
      </c>
      <c r="C33" t="inlineStr">
        <is>
          <t>Industrial</t>
        </is>
      </c>
      <c r="D33" t="n">
        <v>1</v>
      </c>
      <c r="E33" s="653" t="inlineStr">
        <is>
          <t>Kennel</t>
        </is>
      </c>
      <c r="F33">
        <f>B33&amp;" - "&amp;E33</f>
        <v/>
      </c>
    </row>
    <row r="34" ht="12" customHeight="1" s="545">
      <c r="B34" s="653" t="n">
        <v>300</v>
      </c>
      <c r="C34" t="inlineStr">
        <is>
          <t>Commercial</t>
        </is>
      </c>
      <c r="D34" t="n">
        <v>1</v>
      </c>
      <c r="E34" s="653" t="inlineStr">
        <is>
          <t>Apartments (Hi-Rise)</t>
        </is>
      </c>
      <c r="F34">
        <f>B34&amp;" - "&amp;E34</f>
        <v/>
      </c>
    </row>
    <row r="35" ht="12" customHeight="1" s="545">
      <c r="B35" s="653" t="n">
        <v>302</v>
      </c>
      <c r="C35" t="inlineStr">
        <is>
          <t>Commercial</t>
        </is>
      </c>
      <c r="D35" t="n">
        <v>2</v>
      </c>
      <c r="E35" s="653" t="inlineStr">
        <is>
          <t>Auditorium</t>
        </is>
      </c>
      <c r="F35">
        <f>B35&amp;" - "&amp;E35</f>
        <v/>
      </c>
    </row>
    <row r="36" ht="12" customHeight="1" s="545">
      <c r="B36" s="653" t="n">
        <v>303</v>
      </c>
      <c r="C36" t="inlineStr">
        <is>
          <t>Commercial</t>
        </is>
      </c>
      <c r="D36" t="n">
        <v>11</v>
      </c>
      <c r="E36" s="653" t="inlineStr">
        <is>
          <t>Showroom</t>
        </is>
      </c>
      <c r="F36">
        <f>B36&amp;" - "&amp;E36</f>
        <v/>
      </c>
    </row>
    <row r="37" ht="12" customHeight="1" s="545">
      <c r="B37" s="653" t="n">
        <v>304</v>
      </c>
      <c r="C37" t="inlineStr">
        <is>
          <t>Commercial</t>
        </is>
      </c>
      <c r="D37" t="n">
        <v>89</v>
      </c>
      <c r="E37" s="653" t="inlineStr">
        <is>
          <t>Bank</t>
        </is>
      </c>
      <c r="F37">
        <f>B37&amp;" - "&amp;E37</f>
        <v/>
      </c>
    </row>
    <row r="38" ht="12" customHeight="1" s="545">
      <c r="B38" s="653" t="n">
        <v>305</v>
      </c>
      <c r="C38" t="inlineStr">
        <is>
          <t>Commercial</t>
        </is>
      </c>
      <c r="D38" t="n">
        <v>1</v>
      </c>
      <c r="E38" s="653" t="inlineStr">
        <is>
          <t>Drive-up Mini Banks</t>
        </is>
      </c>
      <c r="F38">
        <f>B38&amp;" - "&amp;E38</f>
        <v/>
      </c>
    </row>
    <row r="39" ht="12" customHeight="1" s="545">
      <c r="B39" s="653" t="n">
        <v>306</v>
      </c>
      <c r="C39" t="inlineStr">
        <is>
          <t>Commercial</t>
        </is>
      </c>
      <c r="D39" t="n">
        <v>6</v>
      </c>
      <c r="E39" s="653" t="inlineStr">
        <is>
          <t>Bowling Alley</t>
        </is>
      </c>
      <c r="F39">
        <f>B39&amp;" - "&amp;E39</f>
        <v/>
      </c>
    </row>
    <row r="40" ht="12" customHeight="1" s="545">
      <c r="B40" s="653" t="n">
        <v>309</v>
      </c>
      <c r="C40" t="inlineStr">
        <is>
          <t>Commercial</t>
        </is>
      </c>
      <c r="D40" t="n">
        <v>18</v>
      </c>
      <c r="E40" s="653" t="inlineStr">
        <is>
          <t>Church</t>
        </is>
      </c>
      <c r="F40">
        <f>B40&amp;" - "&amp;E40</f>
        <v/>
      </c>
    </row>
    <row r="41" ht="12" customHeight="1" s="545">
      <c r="B41" s="653" t="n">
        <v>310</v>
      </c>
      <c r="C41" t="inlineStr">
        <is>
          <t>Commercial</t>
        </is>
      </c>
      <c r="D41" t="n">
        <v>1</v>
      </c>
      <c r="E41" s="653" t="inlineStr">
        <is>
          <t>City Club</t>
        </is>
      </c>
      <c r="F41">
        <f>B41&amp;" - "&amp;E41</f>
        <v/>
      </c>
    </row>
    <row r="42" ht="12" customHeight="1" s="545">
      <c r="B42" s="653" t="n">
        <v>311</v>
      </c>
      <c r="C42" t="inlineStr">
        <is>
          <t>Commercial</t>
        </is>
      </c>
      <c r="D42" t="n">
        <v>5</v>
      </c>
      <c r="E42" s="653" t="inlineStr">
        <is>
          <t>Clubhouse</t>
        </is>
      </c>
      <c r="F42">
        <f>B42&amp;" - "&amp;E42</f>
        <v/>
      </c>
    </row>
    <row r="43" ht="12" customHeight="1" s="545">
      <c r="B43" s="653" t="n">
        <v>313</v>
      </c>
      <c r="C43" t="inlineStr">
        <is>
          <t>Commercial</t>
        </is>
      </c>
      <c r="D43" t="n">
        <v>1</v>
      </c>
      <c r="E43" s="653" t="inlineStr">
        <is>
          <t>Convlsnt Hosp Nursing Home</t>
        </is>
      </c>
      <c r="F43">
        <f>B43&amp;" - "&amp;E43</f>
        <v/>
      </c>
    </row>
    <row r="44" ht="12" customHeight="1" s="545">
      <c r="B44" s="653" t="n">
        <v>314</v>
      </c>
      <c r="C44" t="inlineStr">
        <is>
          <t>Commercial</t>
        </is>
      </c>
      <c r="D44" t="n">
        <v>1</v>
      </c>
      <c r="E44" s="653" t="inlineStr">
        <is>
          <t>Country Club</t>
        </is>
      </c>
      <c r="F44">
        <f>B44&amp;" - "&amp;E44</f>
        <v/>
      </c>
    </row>
    <row r="45" ht="12" customHeight="1" s="545">
      <c r="B45" s="653" t="n">
        <v>318</v>
      </c>
      <c r="C45" t="inlineStr">
        <is>
          <t>Commercial</t>
        </is>
      </c>
      <c r="D45" t="n">
        <v>3</v>
      </c>
      <c r="E45" s="653" t="inlineStr">
        <is>
          <t>Department Store</t>
        </is>
      </c>
      <c r="F45">
        <f>B45&amp;" - "&amp;E45</f>
        <v/>
      </c>
    </row>
    <row r="46" ht="12" customHeight="1" s="545">
      <c r="B46" s="653" t="n">
        <v>319</v>
      </c>
      <c r="C46" t="inlineStr">
        <is>
          <t>Commercial</t>
        </is>
      </c>
      <c r="D46" t="n">
        <v>47</v>
      </c>
      <c r="E46" s="653" t="inlineStr">
        <is>
          <t>Discount Store</t>
        </is>
      </c>
      <c r="F46">
        <f>B46&amp;" - "&amp;E46</f>
        <v/>
      </c>
    </row>
    <row r="47" ht="12" customHeight="1" s="545">
      <c r="B47" s="653" t="n">
        <v>320</v>
      </c>
      <c r="C47" t="inlineStr">
        <is>
          <t>Commercial</t>
        </is>
      </c>
      <c r="D47" t="n">
        <v>3</v>
      </c>
      <c r="E47" s="653" t="inlineStr">
        <is>
          <t>Dispensary</t>
        </is>
      </c>
      <c r="F47">
        <f>B47&amp;" - "&amp;E47</f>
        <v/>
      </c>
    </row>
    <row r="48" ht="12" customHeight="1" s="545">
      <c r="B48" s="653" t="n">
        <v>320</v>
      </c>
      <c r="C48" t="inlineStr">
        <is>
          <t>Industrial</t>
        </is>
      </c>
      <c r="D48" t="n">
        <v>1</v>
      </c>
      <c r="E48" s="653" t="inlineStr">
        <is>
          <t>Dispensary</t>
        </is>
      </c>
      <c r="F48">
        <f>B48&amp;" - "&amp;E48</f>
        <v/>
      </c>
    </row>
    <row r="49" ht="12" customHeight="1" s="545">
      <c r="B49" s="653" t="n">
        <v>321</v>
      </c>
      <c r="C49" t="inlineStr">
        <is>
          <t>Commercial</t>
        </is>
      </c>
      <c r="D49" t="n">
        <v>1</v>
      </c>
      <c r="E49" s="653" t="inlineStr">
        <is>
          <t>Dormitory Residence Halls</t>
        </is>
      </c>
      <c r="F49">
        <f>B49&amp;" - "&amp;E49</f>
        <v/>
      </c>
    </row>
    <row r="50" ht="12" customHeight="1" s="545">
      <c r="B50" s="653" t="n">
        <v>323</v>
      </c>
      <c r="C50" t="inlineStr">
        <is>
          <t>Commercial</t>
        </is>
      </c>
      <c r="D50" t="n">
        <v>5</v>
      </c>
      <c r="E50" s="653" t="inlineStr">
        <is>
          <t>Fraternal Building</t>
        </is>
      </c>
      <c r="F50">
        <f>B50&amp;" - "&amp;E50</f>
        <v/>
      </c>
    </row>
    <row r="51" ht="12" customHeight="1" s="545">
      <c r="B51" s="653" t="n">
        <v>325</v>
      </c>
      <c r="C51" t="inlineStr">
        <is>
          <t>Commercial</t>
        </is>
      </c>
      <c r="D51" t="n">
        <v>573</v>
      </c>
      <c r="E51" s="653" t="inlineStr">
        <is>
          <t>Service Garage</t>
        </is>
      </c>
      <c r="F51">
        <f>B51&amp;" - "&amp;E51</f>
        <v/>
      </c>
    </row>
    <row r="52" ht="12" customHeight="1" s="545">
      <c r="B52" s="653" t="n">
        <v>325</v>
      </c>
      <c r="C52" t="inlineStr">
        <is>
          <t>Industrial</t>
        </is>
      </c>
      <c r="D52" t="n">
        <v>38</v>
      </c>
      <c r="E52" s="653" t="inlineStr">
        <is>
          <t>Service Garage</t>
        </is>
      </c>
      <c r="F52">
        <f>B52&amp;" - "&amp;E52</f>
        <v/>
      </c>
    </row>
    <row r="53" ht="12" customHeight="1" s="545">
      <c r="B53" s="653" t="n">
        <v>326</v>
      </c>
      <c r="C53" t="inlineStr">
        <is>
          <t>Commercial</t>
        </is>
      </c>
      <c r="D53" t="n">
        <v>28</v>
      </c>
      <c r="E53" s="653" t="inlineStr">
        <is>
          <t>Storage Garage</t>
        </is>
      </c>
      <c r="F53">
        <f>B53&amp;" - "&amp;E53</f>
        <v/>
      </c>
    </row>
    <row r="54" ht="12" customHeight="1" s="545">
      <c r="B54" s="653" t="n">
        <v>326</v>
      </c>
      <c r="C54" t="inlineStr">
        <is>
          <t>Industrial</t>
        </is>
      </c>
      <c r="D54" t="n">
        <v>4</v>
      </c>
      <c r="E54" s="653" t="inlineStr">
        <is>
          <t>Storage Garage</t>
        </is>
      </c>
      <c r="F54">
        <f>B54&amp;" - "&amp;E54</f>
        <v/>
      </c>
    </row>
    <row r="55" ht="12" customHeight="1" s="545">
      <c r="B55" s="653" t="n">
        <v>328</v>
      </c>
      <c r="C55" t="inlineStr">
        <is>
          <t>Commercial</t>
        </is>
      </c>
      <c r="D55" t="n">
        <v>163</v>
      </c>
      <c r="E55" s="653" t="inlineStr">
        <is>
          <t>Storage Hanger</t>
        </is>
      </c>
      <c r="F55">
        <f>B55&amp;" - "&amp;E55</f>
        <v/>
      </c>
    </row>
    <row r="56" ht="12" customHeight="1" s="545">
      <c r="B56" s="653" t="n">
        <v>331</v>
      </c>
      <c r="C56" t="inlineStr">
        <is>
          <t>Commercial</t>
        </is>
      </c>
      <c r="D56" t="n">
        <v>4</v>
      </c>
      <c r="E56" s="653" t="inlineStr">
        <is>
          <t>Hospital</t>
        </is>
      </c>
      <c r="F56">
        <f>B56&amp;" - "&amp;E56</f>
        <v/>
      </c>
    </row>
    <row r="57" ht="12" customHeight="1" s="545">
      <c r="B57" s="653" t="n">
        <v>332</v>
      </c>
      <c r="C57" t="inlineStr">
        <is>
          <t>Commercial</t>
        </is>
      </c>
      <c r="D57" t="n">
        <v>13</v>
      </c>
      <c r="E57" s="653" t="inlineStr">
        <is>
          <t>Hotel - Full Service</t>
        </is>
      </c>
      <c r="F57">
        <f>B57&amp;" - "&amp;E57</f>
        <v/>
      </c>
    </row>
    <row r="58" ht="12" customHeight="1" s="545">
      <c r="B58" s="653" t="n">
        <v>333</v>
      </c>
      <c r="C58" t="inlineStr">
        <is>
          <t>Commercial</t>
        </is>
      </c>
      <c r="D58" t="n">
        <v>2</v>
      </c>
      <c r="E58" s="653" t="inlineStr">
        <is>
          <t>Indust Heavy Manufacturing</t>
        </is>
      </c>
      <c r="F58">
        <f>B58&amp;" - "&amp;E58</f>
        <v/>
      </c>
    </row>
    <row r="59" ht="12" customHeight="1" s="545">
      <c r="B59" s="653" t="n">
        <v>333</v>
      </c>
      <c r="C59" t="inlineStr">
        <is>
          <t>Industrial</t>
        </is>
      </c>
      <c r="D59" t="n">
        <v>1</v>
      </c>
      <c r="E59" s="653" t="inlineStr">
        <is>
          <t>Indust Heavy Manufacturing</t>
        </is>
      </c>
      <c r="F59">
        <f>B59&amp;" - "&amp;E59</f>
        <v/>
      </c>
    </row>
    <row r="60" ht="12" customHeight="1" s="545">
      <c r="B60" s="653" t="n">
        <v>334</v>
      </c>
      <c r="C60" t="inlineStr">
        <is>
          <t>Commercial</t>
        </is>
      </c>
      <c r="D60" t="n">
        <v>47</v>
      </c>
      <c r="E60" s="653" t="inlineStr">
        <is>
          <t>Indust Lght Manufacturing</t>
        </is>
      </c>
      <c r="F60">
        <f>B60&amp;" - "&amp;E60</f>
        <v/>
      </c>
    </row>
    <row r="61" ht="12" customHeight="1" s="545">
      <c r="B61" s="653" t="n">
        <v>334</v>
      </c>
      <c r="C61" t="inlineStr">
        <is>
          <t>Industrial</t>
        </is>
      </c>
      <c r="D61" t="n">
        <v>79</v>
      </c>
      <c r="E61" s="653" t="inlineStr">
        <is>
          <t>Indust Lght Manufacturing</t>
        </is>
      </c>
      <c r="F61">
        <f>B61&amp;" - "&amp;E61</f>
        <v/>
      </c>
    </row>
    <row r="62" ht="12" customHeight="1" s="545">
      <c r="B62" s="653" t="n">
        <v>335</v>
      </c>
      <c r="C62" t="inlineStr">
        <is>
          <t>Commercial</t>
        </is>
      </c>
      <c r="D62" t="n">
        <v>1</v>
      </c>
      <c r="E62" s="653" t="inlineStr">
        <is>
          <t>Jail - Correctional Facility</t>
        </is>
      </c>
      <c r="F62">
        <f>B62&amp;" - "&amp;E62</f>
        <v/>
      </c>
    </row>
    <row r="63" ht="12" customHeight="1" s="545">
      <c r="B63" s="653" t="n">
        <v>336</v>
      </c>
      <c r="C63" t="inlineStr">
        <is>
          <t>Commercial</t>
        </is>
      </c>
      <c r="D63" t="n">
        <v>5</v>
      </c>
      <c r="E63" s="653" t="inlineStr">
        <is>
          <t>Laundromat</t>
        </is>
      </c>
      <c r="F63">
        <f>B63&amp;" - "&amp;E63</f>
        <v/>
      </c>
    </row>
    <row r="64" ht="12" customHeight="1" s="545">
      <c r="B64" s="653" t="n">
        <v>339</v>
      </c>
      <c r="C64" t="inlineStr">
        <is>
          <t>Commercial</t>
        </is>
      </c>
      <c r="D64" t="n">
        <v>16</v>
      </c>
      <c r="E64" s="653" t="inlineStr">
        <is>
          <t>Lumber Storage - Horizontal</t>
        </is>
      </c>
      <c r="F64">
        <f>B64&amp;" - "&amp;E64</f>
        <v/>
      </c>
    </row>
    <row r="65" ht="12" customHeight="1" s="545">
      <c r="B65" s="653" t="n">
        <v>339</v>
      </c>
      <c r="C65" t="inlineStr">
        <is>
          <t>Industrial</t>
        </is>
      </c>
      <c r="D65" t="n">
        <v>2</v>
      </c>
      <c r="E65" s="653" t="inlineStr">
        <is>
          <t>Lumber Storage - Horizontal</t>
        </is>
      </c>
      <c r="F65">
        <f>B65&amp;" - "&amp;E65</f>
        <v/>
      </c>
    </row>
    <row r="66" ht="12" customHeight="1" s="545">
      <c r="B66" s="653" t="n">
        <v>340</v>
      </c>
      <c r="C66" t="inlineStr">
        <is>
          <t>Commercial</t>
        </is>
      </c>
      <c r="D66" t="n">
        <v>9</v>
      </c>
      <c r="E66" s="653" t="inlineStr">
        <is>
          <t>Market</t>
        </is>
      </c>
      <c r="F66">
        <f>B66&amp;" - "&amp;E66</f>
        <v/>
      </c>
    </row>
    <row r="67" ht="12" customHeight="1" s="545">
      <c r="B67" s="653" t="n">
        <v>341</v>
      </c>
      <c r="C67" t="inlineStr">
        <is>
          <t>Commercial</t>
        </is>
      </c>
      <c r="D67" t="n">
        <v>307</v>
      </c>
      <c r="E67" s="653" t="inlineStr">
        <is>
          <t>Medical Offices</t>
        </is>
      </c>
      <c r="F67">
        <f>B67&amp;" - "&amp;E67</f>
        <v/>
      </c>
    </row>
    <row r="68" ht="12" customHeight="1" s="545">
      <c r="B68" s="653" t="n">
        <v>342</v>
      </c>
      <c r="C68" t="inlineStr">
        <is>
          <t>Commercial</t>
        </is>
      </c>
      <c r="D68" t="n">
        <v>6</v>
      </c>
      <c r="E68" s="653" t="inlineStr">
        <is>
          <t>Mortuary</t>
        </is>
      </c>
      <c r="F68">
        <f>B68&amp;" - "&amp;E68</f>
        <v/>
      </c>
    </row>
    <row r="69" ht="12" customHeight="1" s="545">
      <c r="B69" s="653" t="n">
        <v>343</v>
      </c>
      <c r="C69" t="inlineStr">
        <is>
          <t>Commercial</t>
        </is>
      </c>
      <c r="D69" t="n">
        <v>16</v>
      </c>
      <c r="E69" s="653" t="inlineStr">
        <is>
          <t>Motel</t>
        </is>
      </c>
      <c r="F69">
        <f>B69&amp;" - "&amp;E69</f>
        <v/>
      </c>
    </row>
    <row r="70" ht="12" customHeight="1" s="545">
      <c r="B70" s="653" t="n">
        <v>344</v>
      </c>
      <c r="C70" t="inlineStr">
        <is>
          <t>Commercial</t>
        </is>
      </c>
      <c r="D70" t="n">
        <v>509</v>
      </c>
      <c r="E70" s="653" t="inlineStr">
        <is>
          <t>Office Building</t>
        </is>
      </c>
      <c r="F70">
        <f>B70&amp;" - "&amp;E70</f>
        <v/>
      </c>
    </row>
    <row r="71" ht="12" customHeight="1" s="545">
      <c r="B71" s="653" t="n">
        <v>344</v>
      </c>
      <c r="C71" t="inlineStr">
        <is>
          <t>Industrial</t>
        </is>
      </c>
      <c r="D71" t="n">
        <v>57</v>
      </c>
      <c r="E71" s="653" t="inlineStr">
        <is>
          <t>Office Building</t>
        </is>
      </c>
      <c r="F71">
        <f>B71&amp;" - "&amp;E71</f>
        <v/>
      </c>
    </row>
    <row r="72" ht="12" customHeight="1" s="545">
      <c r="B72" s="653" t="n">
        <v>345</v>
      </c>
      <c r="C72" t="inlineStr">
        <is>
          <t>Commercial</t>
        </is>
      </c>
      <c r="D72" t="n">
        <v>5</v>
      </c>
      <c r="E72" s="653" t="inlineStr">
        <is>
          <t>Parking Structure</t>
        </is>
      </c>
      <c r="F72">
        <f>B72&amp;" - "&amp;E72</f>
        <v/>
      </c>
    </row>
    <row r="73" ht="12" customHeight="1" s="545">
      <c r="B73" s="653" t="n">
        <v>345</v>
      </c>
      <c r="C73" t="inlineStr">
        <is>
          <t>Industrial</t>
        </is>
      </c>
      <c r="D73" t="n">
        <v>1</v>
      </c>
      <c r="E73" s="653" t="inlineStr">
        <is>
          <t>Parking Structure</t>
        </is>
      </c>
      <c r="F73">
        <f>B73&amp;" - "&amp;E73</f>
        <v/>
      </c>
    </row>
    <row r="74" ht="12" customHeight="1" s="545">
      <c r="B74" s="653" t="n">
        <v>346</v>
      </c>
      <c r="C74" t="inlineStr">
        <is>
          <t>Commercial</t>
        </is>
      </c>
      <c r="D74" t="n">
        <v>12</v>
      </c>
      <c r="E74" s="653" t="inlineStr">
        <is>
          <t>Post Office</t>
        </is>
      </c>
      <c r="F74">
        <f>B74&amp;" - "&amp;E74</f>
        <v/>
      </c>
    </row>
    <row r="75" ht="12" customHeight="1" s="545">
      <c r="B75" s="653" t="n">
        <v>349</v>
      </c>
      <c r="C75" t="inlineStr">
        <is>
          <t>Commercial</t>
        </is>
      </c>
      <c r="D75" t="n">
        <v>194</v>
      </c>
      <c r="E75" s="653" t="inlineStr">
        <is>
          <t>Fast Food Restaurant</t>
        </is>
      </c>
      <c r="F75">
        <f>B75&amp;" - "&amp;E75</f>
        <v/>
      </c>
    </row>
    <row r="76" ht="12" customHeight="1" s="545">
      <c r="B76" s="653" t="n">
        <v>350</v>
      </c>
      <c r="C76" t="inlineStr">
        <is>
          <t>Commercial</t>
        </is>
      </c>
      <c r="D76" t="n">
        <v>186</v>
      </c>
      <c r="E76" s="653" t="inlineStr">
        <is>
          <t>Restaurant</t>
        </is>
      </c>
      <c r="F76">
        <f>B76&amp;" - "&amp;E76</f>
        <v/>
      </c>
    </row>
    <row r="77" ht="12" customHeight="1" s="545">
      <c r="B77" s="653" t="n">
        <v>352</v>
      </c>
      <c r="C77" t="inlineStr">
        <is>
          <t>Commercial</t>
        </is>
      </c>
      <c r="D77" t="n">
        <v>6</v>
      </c>
      <c r="E77" s="653" t="inlineStr">
        <is>
          <t>Multiple - Residential</t>
        </is>
      </c>
      <c r="F77">
        <f>B77&amp;" - "&amp;E77</f>
        <v/>
      </c>
    </row>
    <row r="78" ht="12" customHeight="1" s="545">
      <c r="B78" s="653" t="n">
        <v>352</v>
      </c>
      <c r="C78" t="inlineStr">
        <is>
          <t>Industrial</t>
        </is>
      </c>
      <c r="D78" t="n">
        <v>1</v>
      </c>
      <c r="E78" s="653" t="inlineStr">
        <is>
          <t>Multiple - Residential</t>
        </is>
      </c>
      <c r="F78">
        <f>B78&amp;" - "&amp;E78</f>
        <v/>
      </c>
    </row>
    <row r="79" ht="12" customHeight="1" s="545">
      <c r="B79" s="653" t="n">
        <v>353</v>
      </c>
      <c r="C79" t="inlineStr">
        <is>
          <t>Commercial</t>
        </is>
      </c>
      <c r="D79" t="n">
        <v>698</v>
      </c>
      <c r="E79" s="653" t="inlineStr">
        <is>
          <t>Retail Store</t>
        </is>
      </c>
      <c r="F79">
        <f>B79&amp;" - "&amp;E79</f>
        <v/>
      </c>
    </row>
    <row r="80" ht="12" customHeight="1" s="545">
      <c r="B80" s="653" t="n">
        <v>353</v>
      </c>
      <c r="C80" t="inlineStr">
        <is>
          <t>Industrial</t>
        </is>
      </c>
      <c r="D80" t="n">
        <v>2</v>
      </c>
      <c r="E80" s="653" t="inlineStr">
        <is>
          <t>Retail Store</t>
        </is>
      </c>
      <c r="F80">
        <f>B80&amp;" - "&amp;E80</f>
        <v/>
      </c>
    </row>
    <row r="81" ht="12" customHeight="1" s="545">
      <c r="B81" s="653" t="n">
        <v>356</v>
      </c>
      <c r="C81" t="inlineStr">
        <is>
          <t>Commercial</t>
        </is>
      </c>
      <c r="D81" t="n">
        <v>1</v>
      </c>
      <c r="E81" s="653" t="inlineStr">
        <is>
          <t>School - Classroom</t>
        </is>
      </c>
      <c r="F81">
        <f>B81&amp;" - "&amp;E81</f>
        <v/>
      </c>
    </row>
    <row r="82" ht="12" customHeight="1" s="545">
      <c r="B82" s="653" t="n">
        <v>358</v>
      </c>
      <c r="C82" t="inlineStr">
        <is>
          <t>Commercial</t>
        </is>
      </c>
      <c r="D82" t="n">
        <v>5</v>
      </c>
      <c r="E82" s="653" t="inlineStr">
        <is>
          <t>School - Gymnasium</t>
        </is>
      </c>
      <c r="F82">
        <f>B82&amp;" - "&amp;E82</f>
        <v/>
      </c>
    </row>
    <row r="83" ht="12" customHeight="1" s="545">
      <c r="B83" s="653" t="n">
        <v>359</v>
      </c>
      <c r="C83" t="inlineStr">
        <is>
          <t>Commercial</t>
        </is>
      </c>
      <c r="D83" t="n">
        <v>2</v>
      </c>
      <c r="E83" s="653" t="inlineStr">
        <is>
          <t>School - Lecture Hall</t>
        </is>
      </c>
      <c r="F83">
        <f>B83&amp;" - "&amp;E83</f>
        <v/>
      </c>
    </row>
    <row r="84" ht="12" customHeight="1" s="545">
      <c r="B84" s="653" t="n">
        <v>361</v>
      </c>
      <c r="C84" t="inlineStr">
        <is>
          <t>Commercial</t>
        </is>
      </c>
      <c r="D84" t="n">
        <v>2</v>
      </c>
      <c r="E84" s="653" t="inlineStr">
        <is>
          <t>School - Manual Arts</t>
        </is>
      </c>
      <c r="F84">
        <f>B84&amp;" - "&amp;E84</f>
        <v/>
      </c>
    </row>
    <row r="85" ht="12" customHeight="1" s="545">
      <c r="B85" s="653" t="n">
        <v>368</v>
      </c>
      <c r="C85" t="inlineStr">
        <is>
          <t>Commercial</t>
        </is>
      </c>
      <c r="D85" t="n">
        <v>2</v>
      </c>
      <c r="E85" s="653" t="inlineStr">
        <is>
          <t>College - Classrooms</t>
        </is>
      </c>
      <c r="F85">
        <f>B85&amp;" - "&amp;E85</f>
        <v/>
      </c>
    </row>
    <row r="86" ht="12" customHeight="1" s="545">
      <c r="B86" s="653" t="n">
        <v>378</v>
      </c>
      <c r="C86" t="inlineStr">
        <is>
          <t>Commercial</t>
        </is>
      </c>
      <c r="D86" t="n">
        <v>1</v>
      </c>
      <c r="E86" s="653" t="inlineStr">
        <is>
          <t>Stable</t>
        </is>
      </c>
      <c r="F86">
        <f>B86&amp;" - "&amp;E86</f>
        <v/>
      </c>
    </row>
    <row r="87" ht="12" customHeight="1" s="545">
      <c r="B87" s="653" t="n">
        <v>380</v>
      </c>
      <c r="C87" t="inlineStr">
        <is>
          <t>Commercial</t>
        </is>
      </c>
      <c r="D87" t="n">
        <v>2</v>
      </c>
      <c r="E87" s="653" t="inlineStr">
        <is>
          <t>Theatre - Motion</t>
        </is>
      </c>
      <c r="F87">
        <f>B87&amp;" - "&amp;E87</f>
        <v/>
      </c>
    </row>
    <row r="88" ht="12" customHeight="1" s="545">
      <c r="B88" s="653" t="n">
        <v>381</v>
      </c>
      <c r="C88" t="inlineStr">
        <is>
          <t>Commercial</t>
        </is>
      </c>
      <c r="D88" t="n">
        <v>21</v>
      </c>
      <c r="E88" s="653" t="inlineStr">
        <is>
          <t>Veterinary Hospital</t>
        </is>
      </c>
      <c r="F88">
        <f>B88&amp;" - "&amp;E88</f>
        <v/>
      </c>
    </row>
    <row r="89" ht="12" customHeight="1" s="545">
      <c r="B89" s="653" t="n">
        <v>382</v>
      </c>
      <c r="C89" t="inlineStr">
        <is>
          <t>Commercial</t>
        </is>
      </c>
      <c r="D89" t="n">
        <v>1</v>
      </c>
      <c r="E89" s="653" t="inlineStr">
        <is>
          <t>Medical Office Buildings</t>
        </is>
      </c>
      <c r="F89">
        <f>B89&amp;" - "&amp;E89</f>
        <v/>
      </c>
    </row>
    <row r="90" ht="12" customHeight="1" s="545">
      <c r="B90" s="653" t="n">
        <v>384</v>
      </c>
      <c r="C90" t="inlineStr">
        <is>
          <t>Commercial</t>
        </is>
      </c>
      <c r="D90" t="n">
        <v>9</v>
      </c>
      <c r="E90" s="653" t="inlineStr">
        <is>
          <t>Barber/Beauty Shop</t>
        </is>
      </c>
      <c r="F90">
        <f>B90&amp;" - "&amp;E90</f>
        <v/>
      </c>
    </row>
    <row r="91" ht="12" customHeight="1" s="545">
      <c r="B91" s="653" t="n">
        <v>386</v>
      </c>
      <c r="C91" t="inlineStr">
        <is>
          <t>Commercial</t>
        </is>
      </c>
      <c r="D91" t="n">
        <v>77</v>
      </c>
      <c r="E91" s="653" t="inlineStr">
        <is>
          <t>Mini Warehouse</t>
        </is>
      </c>
      <c r="F91">
        <f>B91&amp;" - "&amp;E91</f>
        <v/>
      </c>
    </row>
    <row r="92" ht="12" customHeight="1" s="545">
      <c r="B92" s="653" t="n">
        <v>386</v>
      </c>
      <c r="C92" t="inlineStr">
        <is>
          <t>Industrial</t>
        </is>
      </c>
      <c r="D92" t="n">
        <v>4</v>
      </c>
      <c r="E92" s="653" t="inlineStr">
        <is>
          <t>Mini Warehouse</t>
        </is>
      </c>
      <c r="F92">
        <f>B92&amp;" - "&amp;E92</f>
        <v/>
      </c>
    </row>
    <row r="93" ht="12" customHeight="1" s="545">
      <c r="B93" s="653" t="n">
        <v>387</v>
      </c>
      <c r="C93" t="inlineStr">
        <is>
          <t>Commercial</t>
        </is>
      </c>
      <c r="D93" t="n">
        <v>27</v>
      </c>
      <c r="E93" s="653" t="inlineStr">
        <is>
          <t>Transit Warehouse</t>
        </is>
      </c>
      <c r="F93">
        <f>B93&amp;" - "&amp;E93</f>
        <v/>
      </c>
    </row>
    <row r="94" ht="12" customHeight="1" s="545">
      <c r="B94" s="653" t="n">
        <v>387</v>
      </c>
      <c r="C94" t="inlineStr">
        <is>
          <t>Industrial</t>
        </is>
      </c>
      <c r="D94" t="n">
        <v>4</v>
      </c>
      <c r="E94" s="653" t="inlineStr">
        <is>
          <t>Transit Warehouse</t>
        </is>
      </c>
      <c r="F94">
        <f>B94&amp;" - "&amp;E94</f>
        <v/>
      </c>
    </row>
    <row r="95" ht="12" customHeight="1" s="545">
      <c r="B95" s="653" t="n">
        <v>389</v>
      </c>
      <c r="C95" t="inlineStr">
        <is>
          <t>Commercial</t>
        </is>
      </c>
      <c r="D95" t="n">
        <v>7</v>
      </c>
      <c r="E95" s="653" t="inlineStr">
        <is>
          <t>Equipment Implement</t>
        </is>
      </c>
      <c r="F95">
        <f>B95&amp;" - "&amp;E95</f>
        <v/>
      </c>
    </row>
    <row r="96" ht="12" customHeight="1" s="545">
      <c r="B96" s="653" t="n">
        <v>389</v>
      </c>
      <c r="C96" t="inlineStr">
        <is>
          <t>Industrial</t>
        </is>
      </c>
      <c r="D96" t="n">
        <v>3</v>
      </c>
      <c r="E96" s="653" t="inlineStr">
        <is>
          <t>Equipment Implement</t>
        </is>
      </c>
      <c r="F96">
        <f>B96&amp;" - "&amp;E96</f>
        <v/>
      </c>
    </row>
    <row r="97" ht="12" customHeight="1" s="545">
      <c r="B97" s="653" t="n">
        <v>390</v>
      </c>
      <c r="C97" t="inlineStr">
        <is>
          <t>Commercial</t>
        </is>
      </c>
      <c r="D97" t="n">
        <v>4</v>
      </c>
      <c r="E97" s="653" t="inlineStr">
        <is>
          <t>Lumber Storage - Vertical</t>
        </is>
      </c>
      <c r="F97">
        <f>B97&amp;" - "&amp;E97</f>
        <v/>
      </c>
    </row>
    <row r="98" ht="12" customHeight="1" s="545">
      <c r="B98" s="653" t="n">
        <v>391</v>
      </c>
      <c r="C98" t="inlineStr">
        <is>
          <t>Commercial</t>
        </is>
      </c>
      <c r="D98" t="n">
        <v>10</v>
      </c>
      <c r="E98" s="653" t="inlineStr">
        <is>
          <t>Storage - Material</t>
        </is>
      </c>
      <c r="F98">
        <f>B98&amp;" - "&amp;E98</f>
        <v/>
      </c>
    </row>
    <row r="99" ht="12" customHeight="1" s="545">
      <c r="B99" s="653" t="n">
        <v>391</v>
      </c>
      <c r="C99" t="inlineStr">
        <is>
          <t>Industrial</t>
        </is>
      </c>
      <c r="D99" t="n">
        <v>3</v>
      </c>
      <c r="E99" s="653" t="inlineStr">
        <is>
          <t>Storage - Material</t>
        </is>
      </c>
      <c r="F99">
        <f>B99&amp;" - "&amp;E99</f>
        <v/>
      </c>
    </row>
    <row r="100" ht="12" customHeight="1" s="545">
      <c r="B100" s="653" t="n">
        <v>392</v>
      </c>
      <c r="C100" t="inlineStr">
        <is>
          <t>Commercial</t>
        </is>
      </c>
      <c r="D100" t="n">
        <v>2</v>
      </c>
      <c r="E100" s="653" t="inlineStr">
        <is>
          <t>Industrial Engineering &amp; Research</t>
        </is>
      </c>
      <c r="F100">
        <f>B100&amp;" - "&amp;E100</f>
        <v/>
      </c>
    </row>
    <row r="101" ht="12" customHeight="1" s="545">
      <c r="B101" s="653" t="n">
        <v>392</v>
      </c>
      <c r="C101" t="inlineStr">
        <is>
          <t>Industrial</t>
        </is>
      </c>
      <c r="D101" t="n">
        <v>2</v>
      </c>
      <c r="E101" s="653" t="inlineStr">
        <is>
          <t>Industrial Engineering &amp; Research</t>
        </is>
      </c>
      <c r="F101">
        <f>B101&amp;" - "&amp;E101</f>
        <v/>
      </c>
    </row>
    <row r="102" ht="12" customHeight="1" s="545">
      <c r="B102" s="653" t="n">
        <v>397</v>
      </c>
      <c r="C102" t="inlineStr">
        <is>
          <t>Commercial</t>
        </is>
      </c>
      <c r="D102" t="n">
        <v>2</v>
      </c>
      <c r="E102" s="653" t="inlineStr">
        <is>
          <t>Barn</t>
        </is>
      </c>
      <c r="F102">
        <f>B102&amp;" - "&amp;E102</f>
        <v/>
      </c>
    </row>
    <row r="103" ht="12" customHeight="1" s="545">
      <c r="B103" s="653" t="n">
        <v>401</v>
      </c>
      <c r="C103" t="inlineStr">
        <is>
          <t>Commercial</t>
        </is>
      </c>
      <c r="D103" t="n">
        <v>16</v>
      </c>
      <c r="E103" s="653" t="inlineStr">
        <is>
          <t>Shed - Equipment</t>
        </is>
      </c>
      <c r="F103">
        <f>B103&amp;" - "&amp;E103</f>
        <v/>
      </c>
    </row>
    <row r="104" ht="12" customHeight="1" s="545">
      <c r="B104" s="653" t="n">
        <v>401</v>
      </c>
      <c r="C104" t="inlineStr">
        <is>
          <t>Industrial</t>
        </is>
      </c>
      <c r="D104" t="n">
        <v>5</v>
      </c>
      <c r="E104" s="653" t="inlineStr">
        <is>
          <t>Shed - Equipment</t>
        </is>
      </c>
      <c r="F104">
        <f>B104&amp;" - "&amp;E104</f>
        <v/>
      </c>
    </row>
    <row r="105" ht="12" customHeight="1" s="545">
      <c r="B105" s="653" t="n">
        <v>403</v>
      </c>
      <c r="C105" t="inlineStr">
        <is>
          <t>Commercial</t>
        </is>
      </c>
      <c r="D105" t="n">
        <v>2</v>
      </c>
      <c r="E105" s="653" t="inlineStr">
        <is>
          <t>Shower Building</t>
        </is>
      </c>
      <c r="F105">
        <f>B105&amp;" - "&amp;E105</f>
        <v/>
      </c>
    </row>
    <row r="106" ht="12" customHeight="1" s="545">
      <c r="B106" s="653" t="n">
        <v>403</v>
      </c>
      <c r="C106" t="inlineStr">
        <is>
          <t>Industrial</t>
        </is>
      </c>
      <c r="D106" t="n">
        <v>2</v>
      </c>
      <c r="E106" s="653" t="inlineStr">
        <is>
          <t>Shower Building</t>
        </is>
      </c>
      <c r="F106">
        <f>B106&amp;" - "&amp;E106</f>
        <v/>
      </c>
    </row>
    <row r="107" ht="12" customHeight="1" s="545">
      <c r="B107" s="653" t="n">
        <v>404</v>
      </c>
      <c r="C107" t="inlineStr">
        <is>
          <t>Commercial</t>
        </is>
      </c>
      <c r="D107" t="n">
        <v>28</v>
      </c>
      <c r="E107" s="653" t="inlineStr">
        <is>
          <t>Farm Utility Building</t>
        </is>
      </c>
      <c r="F107">
        <f>B107&amp;" - "&amp;E107</f>
        <v/>
      </c>
    </row>
    <row r="108" ht="12" customHeight="1" s="545">
      <c r="B108" s="653" t="n">
        <v>404</v>
      </c>
      <c r="C108" t="inlineStr">
        <is>
          <t>Industrial</t>
        </is>
      </c>
      <c r="D108" t="n">
        <v>6</v>
      </c>
      <c r="E108" s="653" t="inlineStr">
        <is>
          <t>Farm Utility Building</t>
        </is>
      </c>
      <c r="F108">
        <f>B108&amp;" - "&amp;E108</f>
        <v/>
      </c>
    </row>
    <row r="109" ht="12" customHeight="1" s="545">
      <c r="B109" s="653" t="n">
        <v>405</v>
      </c>
      <c r="C109" t="inlineStr">
        <is>
          <t>Commercial</t>
        </is>
      </c>
      <c r="D109" t="n">
        <v>2</v>
      </c>
      <c r="E109" s="653" t="inlineStr">
        <is>
          <t>Skating Rink</t>
        </is>
      </c>
      <c r="F109">
        <f>B109&amp;" - "&amp;E109</f>
        <v/>
      </c>
    </row>
    <row r="110" ht="12" customHeight="1" s="545">
      <c r="B110" s="653" t="n">
        <v>406</v>
      </c>
      <c r="C110" t="inlineStr">
        <is>
          <t>Commercial</t>
        </is>
      </c>
      <c r="D110" t="n">
        <v>642</v>
      </c>
      <c r="E110" s="653" t="inlineStr">
        <is>
          <t>Storage Warehouse</t>
        </is>
      </c>
      <c r="F110">
        <f>B110&amp;" - "&amp;E110</f>
        <v/>
      </c>
    </row>
    <row r="111" ht="12" customHeight="1" s="545">
      <c r="B111" s="653" t="n">
        <v>406</v>
      </c>
      <c r="C111" t="inlineStr">
        <is>
          <t>Industrial</t>
        </is>
      </c>
      <c r="D111" t="n">
        <v>75</v>
      </c>
      <c r="E111" s="653" t="inlineStr">
        <is>
          <t>Storage Warehouse</t>
        </is>
      </c>
      <c r="F111">
        <f>B111&amp;" - "&amp;E111</f>
        <v/>
      </c>
    </row>
    <row r="112" ht="12" customHeight="1" s="545">
      <c r="B112" s="653" t="n">
        <v>407</v>
      </c>
      <c r="C112" t="inlineStr">
        <is>
          <t>Commercial</t>
        </is>
      </c>
      <c r="D112" t="n">
        <v>501</v>
      </c>
      <c r="E112" s="653" t="inlineStr">
        <is>
          <t>Distribution Warehouse</t>
        </is>
      </c>
      <c r="F112">
        <f>B112&amp;" - "&amp;E112</f>
        <v/>
      </c>
    </row>
    <row r="113" ht="12" customHeight="1" s="545">
      <c r="B113" s="653" t="n">
        <v>407</v>
      </c>
      <c r="C113" t="inlineStr">
        <is>
          <t>Industrial</t>
        </is>
      </c>
      <c r="D113" t="n">
        <v>154</v>
      </c>
      <c r="E113" s="653" t="inlineStr">
        <is>
          <t>Distribution Warehouse</t>
        </is>
      </c>
      <c r="F113">
        <f>B113&amp;" - "&amp;E113</f>
        <v/>
      </c>
    </row>
    <row r="114" ht="12" customHeight="1" s="545">
      <c r="B114" s="653" t="n">
        <v>408</v>
      </c>
      <c r="C114" t="inlineStr">
        <is>
          <t>Commercial</t>
        </is>
      </c>
      <c r="D114" t="n">
        <v>10</v>
      </c>
      <c r="E114" s="653" t="inlineStr">
        <is>
          <t>Service Station</t>
        </is>
      </c>
      <c r="F114">
        <f>B114&amp;" - "&amp;E114</f>
        <v/>
      </c>
    </row>
    <row r="115" ht="12" customHeight="1" s="545">
      <c r="B115" s="653" t="n">
        <v>409</v>
      </c>
      <c r="C115" t="inlineStr">
        <is>
          <t>Commercial</t>
        </is>
      </c>
      <c r="D115" t="n">
        <v>23</v>
      </c>
      <c r="E115" s="653" t="inlineStr">
        <is>
          <t>T-Hanger</t>
        </is>
      </c>
      <c r="F115">
        <f>B115&amp;" - "&amp;E115</f>
        <v/>
      </c>
    </row>
    <row r="116" ht="12" customHeight="1" s="545">
      <c r="B116" s="653" t="n">
        <v>410</v>
      </c>
      <c r="C116" t="inlineStr">
        <is>
          <t>Commercial</t>
        </is>
      </c>
      <c r="D116" t="n">
        <v>7</v>
      </c>
      <c r="E116" s="653" t="inlineStr">
        <is>
          <t>Automotive Center</t>
        </is>
      </c>
      <c r="F116">
        <f>B116&amp;" - "&amp;E116</f>
        <v/>
      </c>
    </row>
    <row r="117" ht="12" customHeight="1" s="545">
      <c r="B117" s="653" t="n">
        <v>412</v>
      </c>
      <c r="C117" t="inlineStr">
        <is>
          <t>Commercial</t>
        </is>
      </c>
      <c r="D117" t="n">
        <v>43</v>
      </c>
      <c r="E117" s="653" t="inlineStr">
        <is>
          <t>Neighborhood Shopping Center</t>
        </is>
      </c>
      <c r="F117">
        <f>B117&amp;" - "&amp;E117</f>
        <v/>
      </c>
    </row>
    <row r="118" ht="12" customHeight="1" s="545">
      <c r="B118" s="653" t="n">
        <v>413</v>
      </c>
      <c r="C118" t="inlineStr">
        <is>
          <t>Commercial</t>
        </is>
      </c>
      <c r="D118" t="n">
        <v>20</v>
      </c>
      <c r="E118" s="653" t="inlineStr">
        <is>
          <t>Community Shopping Center</t>
        </is>
      </c>
      <c r="F118">
        <f>B118&amp;" - "&amp;E118</f>
        <v/>
      </c>
    </row>
    <row r="119" ht="12" customHeight="1" s="545">
      <c r="B119" s="653" t="n">
        <v>414</v>
      </c>
      <c r="C119" t="inlineStr">
        <is>
          <t>Commercial</t>
        </is>
      </c>
      <c r="D119" t="n">
        <v>8</v>
      </c>
      <c r="E119" s="653" t="inlineStr">
        <is>
          <t>Regional Shopping Center</t>
        </is>
      </c>
      <c r="F119">
        <f>B119&amp;" - "&amp;E119</f>
        <v/>
      </c>
    </row>
    <row r="120" ht="12" customHeight="1" s="545">
      <c r="B120" s="653" t="n">
        <v>415</v>
      </c>
      <c r="C120" t="inlineStr">
        <is>
          <t>Commercial</t>
        </is>
      </c>
      <c r="D120" t="n">
        <v>2</v>
      </c>
      <c r="E120" s="653" t="inlineStr">
        <is>
          <t>Utility Bldg Res</t>
        </is>
      </c>
      <c r="F120">
        <f>B120&amp;" - "&amp;E120</f>
        <v/>
      </c>
    </row>
    <row r="121" ht="12" customHeight="1" s="545">
      <c r="B121" s="653" t="n">
        <v>418</v>
      </c>
      <c r="C121" t="inlineStr">
        <is>
          <t>Commercial</t>
        </is>
      </c>
      <c r="D121" t="n">
        <v>2</v>
      </c>
      <c r="E121" s="653" t="inlineStr">
        <is>
          <t>Health Club</t>
        </is>
      </c>
      <c r="F121">
        <f>B121&amp;" - "&amp;E121</f>
        <v/>
      </c>
    </row>
    <row r="122" ht="12" customHeight="1" s="545">
      <c r="B122" s="653" t="n">
        <v>419</v>
      </c>
      <c r="C122" t="inlineStr">
        <is>
          <t>Commercial</t>
        </is>
      </c>
      <c r="D122" t="n">
        <v>139</v>
      </c>
      <c r="E122" s="653" t="inlineStr">
        <is>
          <t>Convenience Store</t>
        </is>
      </c>
      <c r="F122">
        <f>B122&amp;" - "&amp;E122</f>
        <v/>
      </c>
    </row>
    <row r="123" ht="12" customHeight="1" s="545">
      <c r="B123" s="653" t="n">
        <v>419</v>
      </c>
      <c r="C123" t="inlineStr">
        <is>
          <t>Industrial</t>
        </is>
      </c>
      <c r="D123" t="n">
        <v>1</v>
      </c>
      <c r="E123" s="653" t="inlineStr">
        <is>
          <t>Convenience Store</t>
        </is>
      </c>
      <c r="F123">
        <f>B123&amp;" - "&amp;E123</f>
        <v/>
      </c>
    </row>
    <row r="124" ht="12" customHeight="1" s="545">
      <c r="B124" s="653" t="n">
        <v>421</v>
      </c>
      <c r="C124" t="inlineStr">
        <is>
          <t>Commercial</t>
        </is>
      </c>
      <c r="D124" t="n">
        <v>1</v>
      </c>
      <c r="E124" s="653" t="inlineStr">
        <is>
          <t>Shed - Tool</t>
        </is>
      </c>
      <c r="F124">
        <f>B124&amp;" - "&amp;E124</f>
        <v/>
      </c>
    </row>
    <row r="125" ht="12" customHeight="1" s="545">
      <c r="B125" s="653" t="n">
        <v>423</v>
      </c>
      <c r="C125" t="inlineStr">
        <is>
          <t>Commercial</t>
        </is>
      </c>
      <c r="D125" t="n">
        <v>23</v>
      </c>
      <c r="E125" s="653" t="inlineStr">
        <is>
          <t>Mini Lube Garage</t>
        </is>
      </c>
      <c r="F125">
        <f>B125&amp;" - "&amp;E125</f>
        <v/>
      </c>
    </row>
    <row r="126" ht="12" customHeight="1" s="545">
      <c r="B126" s="653" t="n">
        <v>425</v>
      </c>
      <c r="C126" t="inlineStr">
        <is>
          <t>Commercial</t>
        </is>
      </c>
      <c r="D126" t="n">
        <v>356</v>
      </c>
      <c r="E126" s="653" t="inlineStr">
        <is>
          <t>Industrial WH Condo</t>
        </is>
      </c>
      <c r="F126">
        <f>B126&amp;" - "&amp;E126</f>
        <v/>
      </c>
    </row>
    <row r="127" ht="12" customHeight="1" s="545">
      <c r="B127" s="653" t="n">
        <v>425</v>
      </c>
      <c r="C127" t="inlineStr">
        <is>
          <t>Industrial</t>
        </is>
      </c>
      <c r="D127" t="n">
        <v>12</v>
      </c>
      <c r="E127" s="653" t="inlineStr">
        <is>
          <t>Industrial WH Condo</t>
        </is>
      </c>
      <c r="F127">
        <f>B127&amp;" - "&amp;E127</f>
        <v/>
      </c>
    </row>
    <row r="128" ht="12" customHeight="1" s="545">
      <c r="B128" s="653" t="n">
        <v>426</v>
      </c>
      <c r="C128" t="inlineStr">
        <is>
          <t>Commercial</t>
        </is>
      </c>
      <c r="D128" t="n">
        <v>35</v>
      </c>
      <c r="E128" s="653" t="inlineStr">
        <is>
          <t>Day Care Center</t>
        </is>
      </c>
      <c r="F128">
        <f>B128&amp;" - "&amp;E128</f>
        <v/>
      </c>
    </row>
    <row r="129" ht="12" customHeight="1" s="545">
      <c r="B129" s="653" t="n">
        <v>430</v>
      </c>
      <c r="C129" t="inlineStr">
        <is>
          <t>Industrial</t>
        </is>
      </c>
      <c r="D129" t="n">
        <v>1</v>
      </c>
      <c r="E129" s="653" t="inlineStr">
        <is>
          <t>Storage - Utility Grain</t>
        </is>
      </c>
      <c r="F129">
        <f>B129&amp;" - "&amp;E129</f>
        <v/>
      </c>
    </row>
    <row r="130" ht="12" customHeight="1" s="545">
      <c r="B130" s="653" t="n">
        <v>431</v>
      </c>
      <c r="C130" t="inlineStr">
        <is>
          <t>Commercial</t>
        </is>
      </c>
      <c r="D130" t="n">
        <v>1</v>
      </c>
      <c r="E130" s="653" t="inlineStr">
        <is>
          <t>Surgical Center - Out patient</t>
        </is>
      </c>
      <c r="F130">
        <f>B130&amp;" - "&amp;E130</f>
        <v/>
      </c>
    </row>
    <row r="131" ht="12" customHeight="1" s="545">
      <c r="B131" s="653" t="n">
        <v>432</v>
      </c>
      <c r="C131" t="inlineStr">
        <is>
          <t>Industrial</t>
        </is>
      </c>
      <c r="D131" t="n">
        <v>1</v>
      </c>
      <c r="E131" s="653" t="inlineStr">
        <is>
          <t>Restroom Building/Concessions</t>
        </is>
      </c>
      <c r="F131">
        <f>B131&amp;" - "&amp;E131</f>
        <v/>
      </c>
    </row>
    <row r="132" ht="12" customHeight="1" s="545">
      <c r="B132" s="653" t="n">
        <v>434</v>
      </c>
      <c r="C132" t="inlineStr">
        <is>
          <t>Commercial</t>
        </is>
      </c>
      <c r="D132" t="n">
        <v>55</v>
      </c>
      <c r="E132" s="653" t="inlineStr">
        <is>
          <t>Car Wash - Self Service</t>
        </is>
      </c>
      <c r="F132">
        <f>B132&amp;" - "&amp;E132</f>
        <v/>
      </c>
    </row>
    <row r="133" ht="12" customHeight="1" s="545">
      <c r="B133" s="653" t="n">
        <v>434</v>
      </c>
      <c r="C133" t="inlineStr">
        <is>
          <t>Industrial</t>
        </is>
      </c>
      <c r="D133" t="n">
        <v>1</v>
      </c>
      <c r="E133" s="653" t="inlineStr">
        <is>
          <t>Car Wash - Self Service</t>
        </is>
      </c>
      <c r="F133">
        <f>B133&amp;" - "&amp;E133</f>
        <v/>
      </c>
    </row>
    <row r="134" ht="12" customHeight="1" s="545">
      <c r="B134" s="653" t="n">
        <v>435</v>
      </c>
      <c r="C134" t="inlineStr">
        <is>
          <t>Commercial</t>
        </is>
      </c>
      <c r="D134" t="n">
        <v>22</v>
      </c>
      <c r="E134" s="653" t="inlineStr">
        <is>
          <t>Car Wash - Drive thru</t>
        </is>
      </c>
      <c r="F134">
        <f>B134&amp;" - "&amp;E134</f>
        <v/>
      </c>
    </row>
    <row r="135" ht="12" customHeight="1" s="545">
      <c r="B135" s="653" t="n">
        <v>436</v>
      </c>
      <c r="C135" t="inlineStr">
        <is>
          <t>Commercial</t>
        </is>
      </c>
      <c r="D135" t="n">
        <v>52</v>
      </c>
      <c r="E135" s="653" t="inlineStr">
        <is>
          <t>Car Wash - Automatic</t>
        </is>
      </c>
      <c r="F135">
        <f>B135&amp;" - "&amp;E135</f>
        <v/>
      </c>
    </row>
    <row r="136" ht="12" customHeight="1" s="545">
      <c r="B136" s="653" t="n">
        <v>438</v>
      </c>
      <c r="C136" t="inlineStr">
        <is>
          <t>Industrial</t>
        </is>
      </c>
      <c r="D136" t="n">
        <v>1</v>
      </c>
      <c r="E136" s="653" t="inlineStr">
        <is>
          <t>Prefab Metal Building *CODE</t>
        </is>
      </c>
      <c r="F136">
        <f>B136&amp;" - "&amp;E136</f>
        <v/>
      </c>
    </row>
    <row r="137" ht="12" customHeight="1" s="545">
      <c r="B137" s="653" t="n">
        <v>441</v>
      </c>
      <c r="C137" t="inlineStr">
        <is>
          <t>Commercial</t>
        </is>
      </c>
      <c r="D137" t="n">
        <v>2</v>
      </c>
      <c r="E137" s="653" t="inlineStr">
        <is>
          <t>Cocktail Lounge</t>
        </is>
      </c>
      <c r="F137">
        <f>B137&amp;" - "&amp;E137</f>
        <v/>
      </c>
    </row>
    <row r="138" ht="12" customHeight="1" s="545">
      <c r="B138" s="653" t="n">
        <v>442</v>
      </c>
      <c r="C138" t="inlineStr">
        <is>
          <t>Commercial</t>
        </is>
      </c>
      <c r="D138" t="n">
        <v>41</v>
      </c>
      <c r="E138" s="653" t="inlineStr">
        <is>
          <t>Bar/Tavern</t>
        </is>
      </c>
      <c r="F138">
        <f>B138&amp;" - "&amp;E138</f>
        <v/>
      </c>
    </row>
    <row r="139" ht="12" customHeight="1" s="545">
      <c r="B139" s="653" t="n">
        <v>442</v>
      </c>
      <c r="C139" t="inlineStr">
        <is>
          <t>Industrial</t>
        </is>
      </c>
      <c r="D139" t="n">
        <v>1</v>
      </c>
      <c r="E139" s="653" t="inlineStr">
        <is>
          <t>Bar/Tavern</t>
        </is>
      </c>
      <c r="F139">
        <f>B139&amp;" - "&amp;E139</f>
        <v/>
      </c>
    </row>
    <row r="140" ht="12" customHeight="1" s="545">
      <c r="B140" s="653" t="n">
        <v>444</v>
      </c>
      <c r="C140" t="inlineStr">
        <is>
          <t>Commercial</t>
        </is>
      </c>
      <c r="D140" t="n">
        <v>18</v>
      </c>
      <c r="E140" s="653" t="inlineStr">
        <is>
          <t>Dental Office/ Clinic</t>
        </is>
      </c>
      <c r="F140">
        <f>B140&amp;" - "&amp;E140</f>
        <v/>
      </c>
    </row>
    <row r="141" ht="12" customHeight="1" s="545">
      <c r="B141" s="653" t="n">
        <v>446</v>
      </c>
      <c r="C141" t="inlineStr">
        <is>
          <t>Commercial</t>
        </is>
      </c>
      <c r="D141" t="n">
        <v>30</v>
      </c>
      <c r="E141" s="653" t="inlineStr">
        <is>
          <t>SuperMarket</t>
        </is>
      </c>
      <c r="F141">
        <f>B141&amp;" - "&amp;E141</f>
        <v/>
      </c>
    </row>
    <row r="142" ht="12" customHeight="1" s="545">
      <c r="B142" s="653" t="n">
        <v>447</v>
      </c>
      <c r="C142" t="inlineStr">
        <is>
          <t>Commercial</t>
        </is>
      </c>
      <c r="D142" t="n">
        <v>8</v>
      </c>
      <c r="E142" s="653" t="inlineStr">
        <is>
          <t>Cold Storage Warehouse</t>
        </is>
      </c>
      <c r="F142">
        <f>B142&amp;" - "&amp;E142</f>
        <v/>
      </c>
    </row>
    <row r="143" ht="12" customHeight="1" s="545">
      <c r="B143" s="653" t="n">
        <v>447</v>
      </c>
      <c r="C143" t="inlineStr">
        <is>
          <t>Industrial</t>
        </is>
      </c>
      <c r="D143" t="n">
        <v>2</v>
      </c>
      <c r="E143" s="653" t="inlineStr">
        <is>
          <t>Cold Storage Warehouse</t>
        </is>
      </c>
      <c r="F143">
        <f>B143&amp;" - "&amp;E143</f>
        <v/>
      </c>
    </row>
    <row r="144" ht="12" customHeight="1" s="545">
      <c r="B144" s="653" t="n">
        <v>448</v>
      </c>
      <c r="C144" t="inlineStr">
        <is>
          <t>Commercial</t>
        </is>
      </c>
      <c r="D144" t="n">
        <v>7</v>
      </c>
      <c r="E144" s="653" t="inlineStr">
        <is>
          <t>Self Service Booth</t>
        </is>
      </c>
      <c r="F144">
        <f>B144&amp;" - "&amp;E144</f>
        <v/>
      </c>
    </row>
    <row r="145" ht="12" customHeight="1" s="545">
      <c r="B145" s="653" t="n">
        <v>451</v>
      </c>
      <c r="C145" t="inlineStr">
        <is>
          <t>Commercial</t>
        </is>
      </c>
      <c r="D145" t="n">
        <v>2</v>
      </c>
      <c r="E145" s="653" t="inlineStr">
        <is>
          <t>Grain Elevator Concrete</t>
        </is>
      </c>
      <c r="F145">
        <f>B145&amp;" - "&amp;E145</f>
        <v/>
      </c>
    </row>
    <row r="146" ht="12" customHeight="1" s="545">
      <c r="B146" s="653" t="n">
        <v>452</v>
      </c>
      <c r="C146" t="inlineStr">
        <is>
          <t>Commercial</t>
        </is>
      </c>
      <c r="D146" t="n">
        <v>1</v>
      </c>
      <c r="E146" s="653" t="inlineStr">
        <is>
          <t>Grain Elevator Conc Annex</t>
        </is>
      </c>
      <c r="F146">
        <f>B146&amp;" - "&amp;E146</f>
        <v/>
      </c>
    </row>
    <row r="147" ht="12" customHeight="1" s="545">
      <c r="B147" s="653" t="n">
        <v>464</v>
      </c>
      <c r="C147" t="inlineStr">
        <is>
          <t>Commercial</t>
        </is>
      </c>
      <c r="D147" t="n">
        <v>2</v>
      </c>
      <c r="E147" s="653" t="inlineStr">
        <is>
          <t>Grain Elevator Low</t>
        </is>
      </c>
      <c r="F147">
        <f>B147&amp;" - "&amp;E147</f>
        <v/>
      </c>
    </row>
    <row r="148" ht="12" customHeight="1" s="545">
      <c r="B148" s="653" t="n">
        <v>465</v>
      </c>
      <c r="C148" t="inlineStr">
        <is>
          <t>Commercial</t>
        </is>
      </c>
      <c r="D148" t="n">
        <v>3</v>
      </c>
      <c r="E148" s="653" t="inlineStr">
        <is>
          <t>Grain Elevator Average</t>
        </is>
      </c>
      <c r="F148">
        <f>B148&amp;" - "&amp;E148</f>
        <v/>
      </c>
    </row>
    <row r="149" ht="12" customHeight="1" s="545">
      <c r="B149" s="653" t="n">
        <v>468</v>
      </c>
      <c r="C149" t="inlineStr">
        <is>
          <t>Commercial</t>
        </is>
      </c>
      <c r="D149" t="n">
        <v>1</v>
      </c>
      <c r="E149" s="653" t="inlineStr">
        <is>
          <t>Farm Office</t>
        </is>
      </c>
      <c r="F149">
        <f>B149&amp;" - "&amp;E149</f>
        <v/>
      </c>
    </row>
    <row r="150" ht="12" customHeight="1" s="545">
      <c r="B150" s="653" t="n">
        <v>468</v>
      </c>
      <c r="C150" t="inlineStr">
        <is>
          <t>Industrial</t>
        </is>
      </c>
      <c r="D150" t="n">
        <v>1</v>
      </c>
      <c r="E150" s="653" t="inlineStr">
        <is>
          <t>Farm Office</t>
        </is>
      </c>
      <c r="F150">
        <f>B150&amp;" - "&amp;E150</f>
        <v/>
      </c>
    </row>
    <row r="151" ht="12" customHeight="1" s="545">
      <c r="B151" s="653" t="n">
        <v>473</v>
      </c>
      <c r="C151" t="inlineStr">
        <is>
          <t>Commercial</t>
        </is>
      </c>
      <c r="D151" t="n">
        <v>9</v>
      </c>
      <c r="E151" s="653" t="inlineStr">
        <is>
          <t>Equipment Building</t>
        </is>
      </c>
      <c r="F151">
        <f>B151&amp;" - "&amp;E151</f>
        <v/>
      </c>
    </row>
    <row r="152" ht="12" customHeight="1" s="545">
      <c r="B152" s="653" t="n">
        <v>473</v>
      </c>
      <c r="C152" t="inlineStr">
        <is>
          <t>Industrial</t>
        </is>
      </c>
      <c r="D152" t="n">
        <v>1</v>
      </c>
      <c r="E152" s="653" t="inlineStr">
        <is>
          <t>Equipment Building</t>
        </is>
      </c>
      <c r="F152">
        <f>B152&amp;" - "&amp;E152</f>
        <v/>
      </c>
    </row>
    <row r="153" ht="12" customHeight="1" s="545">
      <c r="B153" s="653" t="n">
        <v>474</v>
      </c>
      <c r="C153" t="inlineStr">
        <is>
          <t>Commercial</t>
        </is>
      </c>
      <c r="D153" t="n">
        <v>19</v>
      </c>
      <c r="E153" s="653" t="inlineStr">
        <is>
          <t>Modular Office</t>
        </is>
      </c>
      <c r="F153">
        <f>B153&amp;" - "&amp;E153</f>
        <v/>
      </c>
    </row>
    <row r="154" ht="12" customHeight="1" s="545">
      <c r="B154" s="653" t="n">
        <v>474</v>
      </c>
      <c r="C154" t="inlineStr">
        <is>
          <t>Industrial</t>
        </is>
      </c>
      <c r="D154" t="n">
        <v>4</v>
      </c>
      <c r="E154" s="653" t="inlineStr">
        <is>
          <t>Modular Office</t>
        </is>
      </c>
      <c r="F154">
        <f>B154&amp;" - "&amp;E154</f>
        <v/>
      </c>
    </row>
    <row r="155" ht="12" customHeight="1" s="545">
      <c r="B155" s="653" t="n">
        <v>480</v>
      </c>
      <c r="C155" t="inlineStr">
        <is>
          <t>Commercial</t>
        </is>
      </c>
      <c r="D155" t="n">
        <v>1</v>
      </c>
      <c r="E155" s="653" t="inlineStr">
        <is>
          <t>Vegetable Building</t>
        </is>
      </c>
      <c r="F155">
        <f>B155&amp;" - "&amp;E155</f>
        <v/>
      </c>
    </row>
    <row r="156" ht="12" customHeight="1" s="545">
      <c r="B156" s="653" t="n">
        <v>482</v>
      </c>
      <c r="C156" t="inlineStr">
        <is>
          <t>Commercial</t>
        </is>
      </c>
      <c r="D156" t="n">
        <v>3</v>
      </c>
      <c r="E156" s="653" t="inlineStr">
        <is>
          <t>Convention Center</t>
        </is>
      </c>
      <c r="F156">
        <f>B156&amp;" - "&amp;E156</f>
        <v/>
      </c>
    </row>
    <row r="157" ht="12" customHeight="1" s="545">
      <c r="B157" s="653" t="n">
        <v>483</v>
      </c>
      <c r="C157" t="inlineStr">
        <is>
          <t>Commercial</t>
        </is>
      </c>
      <c r="D157" t="n">
        <v>4</v>
      </c>
      <c r="E157" s="653" t="inlineStr">
        <is>
          <t>Fitness Center</t>
        </is>
      </c>
      <c r="F157">
        <f>B157&amp;" - "&amp;E157</f>
        <v/>
      </c>
    </row>
    <row r="158" ht="12" customHeight="1" s="545">
      <c r="B158" s="653" t="n">
        <v>499</v>
      </c>
      <c r="C158" t="inlineStr">
        <is>
          <t>Commercial</t>
        </is>
      </c>
      <c r="D158" t="n">
        <v>3</v>
      </c>
      <c r="E158" s="653" t="inlineStr">
        <is>
          <t>Salvage</t>
        </is>
      </c>
      <c r="F158">
        <f>B158&amp;" - "&amp;E158</f>
        <v/>
      </c>
    </row>
    <row r="159" ht="12" customHeight="1" s="545">
      <c r="B159" s="653" t="n">
        <v>500</v>
      </c>
      <c r="C159" t="inlineStr">
        <is>
          <t>Commercial</t>
        </is>
      </c>
      <c r="D159" t="n">
        <v>3</v>
      </c>
      <c r="E159" s="653" t="inlineStr">
        <is>
          <t>R V Parks *CODE</t>
        </is>
      </c>
      <c r="F159">
        <f>B159&amp;" - "&amp;E159</f>
        <v/>
      </c>
    </row>
    <row r="160" ht="12" customHeight="1" s="545">
      <c r="B160" s="653" t="n">
        <v>501</v>
      </c>
      <c r="C160" t="inlineStr">
        <is>
          <t>Commercial</t>
        </is>
      </c>
      <c r="D160" t="n">
        <v>13</v>
      </c>
      <c r="E160" s="653" t="inlineStr">
        <is>
          <t>Mini-Mart Convenience Stores</t>
        </is>
      </c>
      <c r="F160">
        <f>B160&amp;" - "&amp;E160</f>
        <v/>
      </c>
    </row>
    <row r="161" ht="12" customHeight="1" s="545">
      <c r="B161" s="653" t="n">
        <v>501</v>
      </c>
      <c r="C161" t="inlineStr">
        <is>
          <t>Industrial</t>
        </is>
      </c>
      <c r="D161" t="n">
        <v>2</v>
      </c>
      <c r="E161" s="653" t="inlineStr">
        <is>
          <t>Miscellaneous OB</t>
        </is>
      </c>
      <c r="F161">
        <f>B161&amp;" - "&amp;E161</f>
        <v/>
      </c>
    </row>
    <row r="162" ht="12" customHeight="1" s="545">
      <c r="B162" s="653" t="n">
        <v>519</v>
      </c>
      <c r="C162" t="inlineStr">
        <is>
          <t>Commercial</t>
        </is>
      </c>
      <c r="D162" t="n">
        <v>1</v>
      </c>
      <c r="E162" s="653" t="inlineStr">
        <is>
          <t>Greenhouse Shade Shelters</t>
        </is>
      </c>
      <c r="F162">
        <f>B162&amp;" - "&amp;E162</f>
        <v/>
      </c>
    </row>
    <row r="163" ht="12" customHeight="1" s="545">
      <c r="B163" s="653" t="n">
        <v>523</v>
      </c>
      <c r="C163" t="inlineStr">
        <is>
          <t>Commercial</t>
        </is>
      </c>
      <c r="D163" t="n">
        <v>1</v>
      </c>
      <c r="E163" s="653" t="inlineStr">
        <is>
          <t>Golf Cart Storage Bldgs</t>
        </is>
      </c>
      <c r="F163">
        <f>B163&amp;" - "&amp;E163</f>
        <v/>
      </c>
    </row>
    <row r="164" ht="12" customHeight="1" s="545">
      <c r="B164" s="653" t="n">
        <v>525</v>
      </c>
      <c r="C164" t="inlineStr">
        <is>
          <t>Commercial</t>
        </is>
      </c>
      <c r="D164" t="n">
        <v>1</v>
      </c>
      <c r="E164" s="653" t="inlineStr">
        <is>
          <t>Mini Warehouse Hi-rise</t>
        </is>
      </c>
      <c r="F164">
        <f>B164&amp;" - "&amp;E164</f>
        <v/>
      </c>
    </row>
    <row r="165" ht="12" customHeight="1" s="545">
      <c r="B165" s="653" t="n">
        <v>526</v>
      </c>
      <c r="C165" t="inlineStr">
        <is>
          <t>Commercial</t>
        </is>
      </c>
      <c r="D165" t="n">
        <v>3</v>
      </c>
      <c r="E165" s="653" t="inlineStr">
        <is>
          <t>Service Garage Sheds</t>
        </is>
      </c>
      <c r="F165">
        <f>B165&amp;" - "&amp;E165</f>
        <v/>
      </c>
    </row>
    <row r="166" ht="12" customHeight="1" s="545">
      <c r="B166" s="653" t="n">
        <v>529</v>
      </c>
      <c r="C166" t="inlineStr">
        <is>
          <t>Commercial</t>
        </is>
      </c>
      <c r="D166" t="n">
        <v>1</v>
      </c>
      <c r="E166" s="653" t="inlineStr">
        <is>
          <t>Snack Bar</t>
        </is>
      </c>
      <c r="F166">
        <f>B166&amp;" - "&amp;E166</f>
        <v/>
      </c>
    </row>
    <row r="167" ht="12" customHeight="1" s="545">
      <c r="B167" s="653" t="n">
        <v>531</v>
      </c>
      <c r="C167" t="inlineStr">
        <is>
          <t>Commercial</t>
        </is>
      </c>
      <c r="D167" t="n">
        <v>2</v>
      </c>
      <c r="E167" s="653" t="inlineStr">
        <is>
          <t>Mobile Home Parks *CODE</t>
        </is>
      </c>
      <c r="F167">
        <f>B167&amp;" - "&amp;E167</f>
        <v/>
      </c>
    </row>
    <row r="168" ht="12" customHeight="1" s="545">
      <c r="B168" s="653" t="n">
        <v>533</v>
      </c>
      <c r="C168" t="inlineStr">
        <is>
          <t>Commercial</t>
        </is>
      </c>
      <c r="D168" t="n">
        <v>2</v>
      </c>
      <c r="E168" s="653" t="inlineStr">
        <is>
          <t>Warehouse Food Store</t>
        </is>
      </c>
      <c r="F168">
        <f>B168&amp;" - "&amp;E168</f>
        <v/>
      </c>
    </row>
    <row r="169" ht="12" customHeight="1" s="545">
      <c r="B169" s="653" t="n">
        <v>534</v>
      </c>
      <c r="C169" t="inlineStr">
        <is>
          <t>Commercial</t>
        </is>
      </c>
      <c r="D169" t="n">
        <v>10</v>
      </c>
      <c r="E169" s="653" t="inlineStr">
        <is>
          <t>Warehouse Showroom Store</t>
        </is>
      </c>
      <c r="F169">
        <f>B169&amp;" - "&amp;E169</f>
        <v/>
      </c>
    </row>
    <row r="170" ht="12" customHeight="1" s="545">
      <c r="B170" s="653" t="n">
        <v>534</v>
      </c>
      <c r="C170" t="inlineStr">
        <is>
          <t>Industrial</t>
        </is>
      </c>
      <c r="D170" t="n">
        <v>1</v>
      </c>
      <c r="E170" s="653" t="inlineStr">
        <is>
          <t>Warehouse Showroom Store</t>
        </is>
      </c>
      <c r="F170">
        <f>B170&amp;" - "&amp;E170</f>
        <v/>
      </c>
    </row>
    <row r="171" ht="12" customHeight="1" s="545">
      <c r="B171" s="653" t="n">
        <v>540</v>
      </c>
      <c r="C171" t="inlineStr">
        <is>
          <t>Commercial</t>
        </is>
      </c>
      <c r="D171" t="n">
        <v>1</v>
      </c>
      <c r="E171" s="653" t="inlineStr">
        <is>
          <t>Motel Guest Rooms</t>
        </is>
      </c>
      <c r="F171">
        <f>B171&amp;" - "&amp;E171</f>
        <v/>
      </c>
    </row>
    <row r="172" ht="12" customHeight="1" s="545">
      <c r="B172" s="653" t="n">
        <v>544</v>
      </c>
      <c r="C172" t="inlineStr">
        <is>
          <t>Commercial</t>
        </is>
      </c>
      <c r="D172" t="n">
        <v>4</v>
      </c>
      <c r="E172" s="653" t="inlineStr">
        <is>
          <t>Office-Apartment</t>
        </is>
      </c>
      <c r="F172">
        <f>B172&amp;" - "&amp;E172</f>
        <v/>
      </c>
    </row>
    <row r="173" ht="12" customHeight="1" s="545">
      <c r="B173" s="653" t="n">
        <v>557</v>
      </c>
      <c r="C173" t="inlineStr">
        <is>
          <t>Commercial</t>
        </is>
      </c>
      <c r="D173" t="n">
        <v>2</v>
      </c>
      <c r="E173" s="653" t="inlineStr">
        <is>
          <t>Arch-Rib Quonset Utility</t>
        </is>
      </c>
      <c r="F173">
        <f>B173&amp;" - "&amp;E173</f>
        <v/>
      </c>
    </row>
    <row r="174" ht="12" customHeight="1" s="545">
      <c r="B174" s="653" t="n">
        <v>558</v>
      </c>
      <c r="C174" t="inlineStr">
        <is>
          <t>Commercial</t>
        </is>
      </c>
      <c r="D174" t="n">
        <v>1</v>
      </c>
      <c r="E174" s="653" t="inlineStr">
        <is>
          <t>Arch-Rib Quonset Farm Implement</t>
        </is>
      </c>
      <c r="F174">
        <f>B174&amp;" - "&amp;E174</f>
        <v/>
      </c>
    </row>
    <row r="175" ht="12" customHeight="1" s="545">
      <c r="B175" s="653" t="n">
        <v>573</v>
      </c>
      <c r="C175" t="inlineStr">
        <is>
          <t>Commercial</t>
        </is>
      </c>
      <c r="D175" t="n">
        <v>1</v>
      </c>
      <c r="E175" s="653" t="inlineStr">
        <is>
          <t>Arcade</t>
        </is>
      </c>
      <c r="F175">
        <f>B175&amp;" - "&amp;E175</f>
        <v/>
      </c>
    </row>
    <row r="176" ht="12" customHeight="1" s="545">
      <c r="B176" s="653" t="n">
        <v>580</v>
      </c>
      <c r="C176" t="inlineStr">
        <is>
          <t>Commercial</t>
        </is>
      </c>
      <c r="D176" t="n">
        <v>2</v>
      </c>
      <c r="E176" s="653" t="inlineStr">
        <is>
          <t>Truck Stop Restaurant</t>
        </is>
      </c>
      <c r="F176">
        <f>B176&amp;" - "&amp;E176</f>
        <v/>
      </c>
    </row>
    <row r="177" ht="12" customHeight="1" s="545">
      <c r="B177" s="653" t="n">
        <v>582</v>
      </c>
      <c r="C177" t="inlineStr">
        <is>
          <t>Commercial</t>
        </is>
      </c>
      <c r="D177" t="n">
        <v>1</v>
      </c>
      <c r="E177" s="653" t="inlineStr">
        <is>
          <t>Branch Post Office</t>
        </is>
      </c>
      <c r="F177">
        <f>B177&amp;" - "&amp;E177</f>
        <v/>
      </c>
    </row>
    <row r="178" ht="12" customHeight="1" s="545">
      <c r="B178" s="653" t="n">
        <v>584</v>
      </c>
      <c r="C178" t="inlineStr">
        <is>
          <t>Commercial</t>
        </is>
      </c>
      <c r="D178" t="n">
        <v>56</v>
      </c>
      <c r="E178" s="653" t="inlineStr">
        <is>
          <t>Mega Warehouse</t>
        </is>
      </c>
      <c r="F178">
        <f>B178&amp;" - "&amp;E178</f>
        <v/>
      </c>
    </row>
    <row r="179" ht="12" customHeight="1" s="545">
      <c r="B179" s="653" t="n">
        <v>584</v>
      </c>
      <c r="C179" t="inlineStr">
        <is>
          <t>Industrial</t>
        </is>
      </c>
      <c r="D179" t="n">
        <v>21</v>
      </c>
      <c r="E179" s="653" t="inlineStr">
        <is>
          <t>Mega Warehouse</t>
        </is>
      </c>
      <c r="F179">
        <f>B179&amp;" - "&amp;E179</f>
        <v/>
      </c>
    </row>
    <row r="180" ht="12" customHeight="1" s="545">
      <c r="B180" s="653" t="n">
        <v>718</v>
      </c>
      <c r="C180" t="inlineStr">
        <is>
          <t>Commercial</t>
        </is>
      </c>
      <c r="D180" t="n">
        <v>3</v>
      </c>
      <c r="E180" s="653" t="inlineStr">
        <is>
          <t>Banquet Halls</t>
        </is>
      </c>
      <c r="F180">
        <f>B180&amp;" - "&amp;E180</f>
        <v/>
      </c>
    </row>
    <row r="181" ht="12" customHeight="1" s="545">
      <c r="B181" s="653" t="n">
        <v>1104</v>
      </c>
      <c r="C181" t="inlineStr">
        <is>
          <t>Commercial</t>
        </is>
      </c>
      <c r="D181" t="n">
        <v>1</v>
      </c>
      <c r="E181" s="653" t="inlineStr">
        <is>
          <t>Light Commercial-Commodity Warehouse</t>
        </is>
      </c>
      <c r="F181">
        <f>B181&amp;" - "&amp;E181</f>
        <v/>
      </c>
    </row>
    <row r="182" ht="12" customHeight="1" s="545">
      <c r="B182" s="653" t="n">
        <v>1104</v>
      </c>
      <c r="C182" t="inlineStr">
        <is>
          <t>Industrial</t>
        </is>
      </c>
      <c r="D182" t="n">
        <v>1</v>
      </c>
      <c r="E182" s="653" t="inlineStr">
        <is>
          <t>Light Commercial-Commodity Warehouse</t>
        </is>
      </c>
      <c r="F182">
        <f>B182&amp;" - "&amp;E182</f>
        <v/>
      </c>
    </row>
    <row r="183" ht="12" customHeight="1" s="545">
      <c r="B183" s="653" t="n">
        <v>1111</v>
      </c>
      <c r="C183" t="inlineStr">
        <is>
          <t>Commercial</t>
        </is>
      </c>
      <c r="D183" t="n">
        <v>2</v>
      </c>
      <c r="E183" s="653" t="inlineStr">
        <is>
          <t>Parking Lot</t>
        </is>
      </c>
      <c r="F183">
        <f>B183&amp;" - "&amp;E183</f>
        <v/>
      </c>
    </row>
    <row r="184" ht="12" customHeight="1" s="545">
      <c r="B184" s="653" t="n">
        <v>1112</v>
      </c>
      <c r="C184" t="inlineStr">
        <is>
          <t>Commercial</t>
        </is>
      </c>
      <c r="D184" t="n">
        <v>1</v>
      </c>
      <c r="E184" s="653" t="inlineStr">
        <is>
          <t>Parking Lot Income Producing</t>
        </is>
      </c>
      <c r="F184">
        <f>B184&amp;" - "&amp;E184</f>
        <v/>
      </c>
    </row>
    <row r="185" ht="12" customHeight="1" s="545">
      <c r="B185" s="653" t="n">
        <v>1157</v>
      </c>
      <c r="C185" t="inlineStr">
        <is>
          <t>Commercial</t>
        </is>
      </c>
      <c r="D185" t="n">
        <v>2</v>
      </c>
      <c r="E185" s="653" t="inlineStr">
        <is>
          <t>Maintenance (Storage) Buildings</t>
        </is>
      </c>
      <c r="F185">
        <f>B185&amp;" - "&amp;E185</f>
        <v/>
      </c>
    </row>
    <row r="186" ht="12" customHeight="1" s="545">
      <c r="B186" s="653" t="n">
        <v>1332</v>
      </c>
      <c r="C186" t="inlineStr">
        <is>
          <t>Commercial</t>
        </is>
      </c>
      <c r="D186" t="n">
        <v>39</v>
      </c>
      <c r="E186" s="653" t="inlineStr">
        <is>
          <t>Hotels - Limited Service</t>
        </is>
      </c>
      <c r="F186">
        <f>B186&amp;" - "&amp;E186</f>
        <v/>
      </c>
    </row>
    <row r="187" ht="12" customHeight="1" s="545">
      <c r="B187" s="653" t="n">
        <v>1332</v>
      </c>
      <c r="C187" t="inlineStr">
        <is>
          <t>Industrial</t>
        </is>
      </c>
      <c r="D187" t="n">
        <v>1</v>
      </c>
      <c r="E187" s="653" t="inlineStr">
        <is>
          <t>Hotels - Limited Service</t>
        </is>
      </c>
      <c r="F187">
        <f>B187&amp;" - "&amp;E187</f>
        <v/>
      </c>
    </row>
    <row r="188" ht="12" customHeight="1" s="545">
      <c r="B188" s="653" t="n">
        <v>1343</v>
      </c>
      <c r="C188" t="inlineStr">
        <is>
          <t>Commercial</t>
        </is>
      </c>
      <c r="D188" t="n">
        <v>4</v>
      </c>
      <c r="E188" s="653" t="inlineStr">
        <is>
          <t>Extended Stay Motels</t>
        </is>
      </c>
      <c r="F188">
        <f>B188&amp;" - "&amp;E188</f>
        <v/>
      </c>
    </row>
    <row r="189" ht="12" customHeight="1" s="545">
      <c r="B189" s="653" t="n">
        <v>1344</v>
      </c>
      <c r="C189" t="inlineStr">
        <is>
          <t>Commercial</t>
        </is>
      </c>
      <c r="D189" t="n">
        <v>173</v>
      </c>
      <c r="E189" s="653" t="inlineStr">
        <is>
          <t>Office Building - Condo</t>
        </is>
      </c>
      <c r="F189">
        <f>B189&amp;" - "&amp;E189</f>
        <v/>
      </c>
    </row>
    <row r="190" ht="12" customHeight="1" s="545">
      <c r="B190" s="653" t="n">
        <v>1353</v>
      </c>
      <c r="C190" t="inlineStr">
        <is>
          <t>Commercial</t>
        </is>
      </c>
      <c r="D190" t="n">
        <v>20</v>
      </c>
      <c r="E190" s="653" t="inlineStr">
        <is>
          <t>Retail Store - Condo</t>
        </is>
      </c>
      <c r="F190">
        <f>B190&amp;" - "&amp;E190</f>
        <v/>
      </c>
    </row>
    <row r="191" ht="12" customHeight="1" s="545">
      <c r="B191" s="653" t="n">
        <v>1458</v>
      </c>
      <c r="C191" t="inlineStr">
        <is>
          <t>Commercial</t>
        </is>
      </c>
      <c r="D191" t="n">
        <v>8</v>
      </c>
      <c r="E191" s="653" t="inlineStr">
        <is>
          <t>Warehouse Discount Store</t>
        </is>
      </c>
      <c r="F191">
        <f>B191&amp;" - "&amp;E191</f>
        <v/>
      </c>
    </row>
    <row r="192" ht="12" customHeight="1" s="545">
      <c r="B192" s="653" t="n">
        <v>1467</v>
      </c>
      <c r="C192" t="inlineStr">
        <is>
          <t>Commercial</t>
        </is>
      </c>
      <c r="D192" t="n">
        <v>2</v>
      </c>
      <c r="E192" s="653" t="inlineStr">
        <is>
          <t>Boat Storage Buildings</t>
        </is>
      </c>
      <c r="F192">
        <f>B192&amp;" - "&amp;E192</f>
        <v/>
      </c>
    </row>
    <row r="193" ht="12" customHeight="1" s="545">
      <c r="B193" s="653" t="n">
        <v>1468</v>
      </c>
      <c r="C193" t="inlineStr">
        <is>
          <t>Commercial</t>
        </is>
      </c>
      <c r="D193" t="n">
        <v>7</v>
      </c>
      <c r="E193" s="653" t="inlineStr">
        <is>
          <t>Material Storage Sheds</t>
        </is>
      </c>
      <c r="F193">
        <f>B193&amp;" - "&amp;E193</f>
        <v/>
      </c>
    </row>
    <row r="194" ht="12" customHeight="1" s="545">
      <c r="B194" s="653" t="n">
        <v>1468</v>
      </c>
      <c r="C194" t="inlineStr">
        <is>
          <t>Industrial</t>
        </is>
      </c>
      <c r="D194" t="n">
        <v>1</v>
      </c>
      <c r="E194" s="653" t="inlineStr">
        <is>
          <t>Material Storage Sheds</t>
        </is>
      </c>
      <c r="F194">
        <f>B194&amp;" - "&amp;E194</f>
        <v/>
      </c>
    </row>
    <row r="195" ht="12" customHeight="1" s="545">
      <c r="B195" s="653" t="n">
        <v>1471</v>
      </c>
      <c r="C195" t="inlineStr">
        <is>
          <t>Commercial</t>
        </is>
      </c>
      <c r="D195" t="n">
        <v>1</v>
      </c>
      <c r="E195" s="653" t="inlineStr">
        <is>
          <t>Light Commercial Utility</t>
        </is>
      </c>
      <c r="F195">
        <f>B195&amp;" - "&amp;E195</f>
        <v/>
      </c>
    </row>
    <row r="196" ht="12" customHeight="1" s="545">
      <c r="B196" s="653" t="n">
        <v>1473</v>
      </c>
      <c r="C196" t="inlineStr">
        <is>
          <t>Commercial</t>
        </is>
      </c>
      <c r="D196" t="n">
        <v>5</v>
      </c>
      <c r="E196" s="653" t="inlineStr">
        <is>
          <t>Material Shelters</t>
        </is>
      </c>
      <c r="F196">
        <f>B196&amp;" - "&amp;E196</f>
        <v/>
      </c>
    </row>
    <row r="197" ht="12" customHeight="1" s="545">
      <c r="B197" s="653" t="n">
        <v>1473</v>
      </c>
      <c r="C197" t="inlineStr">
        <is>
          <t>Industrial</t>
        </is>
      </c>
      <c r="D197" t="n">
        <v>1</v>
      </c>
      <c r="E197" s="653" t="inlineStr">
        <is>
          <t>Material Shelters</t>
        </is>
      </c>
      <c r="F197">
        <f>B197&amp;" - "&amp;E197</f>
        <v/>
      </c>
    </row>
    <row r="198" ht="12" customHeight="1" s="545">
      <c r="B198" s="653" t="n">
        <v>1513</v>
      </c>
      <c r="C198" t="inlineStr">
        <is>
          <t>Commercial</t>
        </is>
      </c>
      <c r="D198" t="n">
        <v>4</v>
      </c>
      <c r="E198" s="653" t="inlineStr">
        <is>
          <t>Regional Discount Shopping Centers</t>
        </is>
      </c>
      <c r="F198">
        <f>B198&amp;" - "&amp;E198</f>
        <v/>
      </c>
    </row>
    <row r="199" ht="12" customHeight="1" s="545">
      <c r="B199" s="653" t="n">
        <v>3441</v>
      </c>
      <c r="C199" t="inlineStr">
        <is>
          <t>Commercial</t>
        </is>
      </c>
      <c r="D199" t="n">
        <v>41</v>
      </c>
      <c r="E199" s="653" t="inlineStr">
        <is>
          <t>Office Conversion</t>
        </is>
      </c>
      <c r="F199">
        <f>B199&amp;" - "&amp;E199</f>
        <v/>
      </c>
    </row>
  </sheetData>
  <pageMargins left="0.75" right="0.75" top="1" bottom="1" header="0.511811023622047" footer="0.511811023622047"/>
  <pageSetup orientation="portrait" paperSize="9" horizontalDpi="300" verticalDpi="300"/>
</worksheet>
</file>

<file path=xl/worksheets/sheet27.xml><?xml version="1.0" encoding="utf-8"?>
<worksheet xmlns="http://schemas.openxmlformats.org/spreadsheetml/2006/main">
  <sheetPr>
    <tabColor rgb="FFD97706"/>
    <outlinePr summaryBelow="1" summaryRight="1"/>
    <pageSetUpPr/>
  </sheetPr>
  <dimension ref="B1:M108"/>
  <sheetViews>
    <sheetView zoomScaleNormal="100" workbookViewId="0">
      <pane xSplit="1" ySplit="4" topLeftCell="B5" activePane="bottomRight" state="frozen"/>
      <selection pane="topRight" activeCell="B1" sqref="B1"/>
      <selection pane="bottomLeft" activeCell="A5" sqref="A5"/>
      <selection pane="bottomRight" activeCell="A1" sqref="A1"/>
    </sheetView>
  </sheetViews>
  <sheetFormatPr baseColWidth="8" defaultColWidth="10.28515625" defaultRowHeight="12"/>
  <cols>
    <col width="29.5703125" customWidth="1" style="545" min="2" max="2"/>
    <col width="16" customWidth="1" style="545" min="6" max="6"/>
    <col width="11.42578125" customWidth="1" style="545" min="7" max="7"/>
    <col width="18.28515625" customWidth="1" style="545" min="8" max="9"/>
    <col width="13.7109375" customWidth="1" style="545" min="10" max="10"/>
    <col width="16" customWidth="1" style="545" min="11" max="11"/>
    <col width="27.42578125" customWidth="1" style="545" min="12" max="12"/>
    <col width="14.85546875" customWidth="1" style="545" min="13" max="13"/>
  </cols>
  <sheetData>
    <row r="1" ht="15.75" customHeight="1" s="545">
      <c r="B1" s="436" t="inlineStr">
        <is>
          <t>ZONING -- INTERIM LIST</t>
        </is>
      </c>
    </row>
    <row r="2" ht="39.75" customHeight="1" s="545">
      <c r="B2" s="567"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ht="12" customHeight="1" s="545">
      <c r="B4" s="54" t="inlineStr">
        <is>
          <t>Zone Value</t>
        </is>
      </c>
      <c r="D4" s="54" t="inlineStr">
        <is>
          <t>City-Filtered Zone Lists (for the Subject Property dropdown)</t>
        </is>
      </c>
    </row>
    <row r="5" ht="12" customHeight="1" s="545">
      <c r="D5" s="63" t="inlineStr">
        <is>
          <t>ARVADA</t>
        </is>
      </c>
      <c r="E5" s="63" t="inlineStr">
        <is>
          <t>AURORA</t>
        </is>
      </c>
      <c r="F5" s="63" t="inlineStr">
        <is>
          <t>BENNETT</t>
        </is>
      </c>
      <c r="G5" s="63" t="inlineStr">
        <is>
          <t>BRIGHTON</t>
        </is>
      </c>
      <c r="H5" s="63" t="inlineStr">
        <is>
          <t>COMMERCE CITY</t>
        </is>
      </c>
      <c r="I5" s="63" t="inlineStr">
        <is>
          <t>FEDERAL HEIGHTS</t>
        </is>
      </c>
      <c r="J5" s="63" t="inlineStr">
        <is>
          <t>NORTHGLENN</t>
        </is>
      </c>
      <c r="K5" s="63" t="inlineStr">
        <is>
          <t>STRASBURG</t>
        </is>
      </c>
      <c r="L5" s="63" t="inlineStr">
        <is>
          <t>THORNTON</t>
        </is>
      </c>
      <c r="M5" s="63" t="inlineStr">
        <is>
          <t>WESTMINSTER</t>
        </is>
      </c>
    </row>
    <row r="6" ht="12" customHeight="1" s="545">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ht="12" customHeight="1" s="545">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ht="12" customHeight="1" s="545">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ht="12" customHeight="1" s="545">
      <c r="B9" t="inlineStr">
        <is>
          <t>B-2-Arv</t>
        </is>
      </c>
      <c r="E9" t="inlineStr">
        <is>
          <t>E-470</t>
        </is>
      </c>
      <c r="G9" t="inlineStr">
        <is>
          <t>C-3-Bri</t>
        </is>
      </c>
      <c r="H9" t="inlineStr">
        <is>
          <t>Commerce City</t>
        </is>
      </c>
      <c r="J9" t="inlineStr">
        <is>
          <t>C-5-Nor</t>
        </is>
      </c>
      <c r="L9" t="inlineStr">
        <is>
          <t>Eastlake Services</t>
        </is>
      </c>
      <c r="M9" t="inlineStr">
        <is>
          <t>PUD-Wes</t>
        </is>
      </c>
    </row>
    <row r="10" ht="12" customHeight="1" s="545">
      <c r="B10" t="inlineStr">
        <is>
          <t>B-3-Aur</t>
        </is>
      </c>
      <c r="E10" t="inlineStr">
        <is>
          <t>FBA</t>
        </is>
      </c>
      <c r="G10" t="inlineStr">
        <is>
          <t>C-O</t>
        </is>
      </c>
      <c r="H10" t="inlineStr">
        <is>
          <t>I-1-Com</t>
        </is>
      </c>
      <c r="J10" t="inlineStr">
        <is>
          <t>I-2-Nor</t>
        </is>
      </c>
      <c r="L10" t="inlineStr">
        <is>
          <t>Planned Development</t>
        </is>
      </c>
      <c r="M10" t="inlineStr">
        <is>
          <t>SPD</t>
        </is>
      </c>
    </row>
    <row r="11" ht="12" customHeight="1" s="545">
      <c r="B11" t="inlineStr">
        <is>
          <t>B-4-Aur</t>
        </is>
      </c>
      <c r="E11" t="inlineStr">
        <is>
          <t>M-1-Aur</t>
        </is>
      </c>
      <c r="G11" t="inlineStr">
        <is>
          <t>DT</t>
        </is>
      </c>
      <c r="H11" t="inlineStr">
        <is>
          <t>I-1S</t>
        </is>
      </c>
      <c r="J11" t="inlineStr">
        <is>
          <t>Northglenn</t>
        </is>
      </c>
      <c r="L11" t="inlineStr">
        <is>
          <t>Regional Commercial</t>
        </is>
      </c>
      <c r="M11" t="inlineStr">
        <is>
          <t>Westminster</t>
        </is>
      </c>
    </row>
    <row r="12" ht="12" customHeight="1" s="545">
      <c r="B12" t="inlineStr">
        <is>
          <t>B2</t>
        </is>
      </c>
      <c r="E12" t="inlineStr">
        <is>
          <t>M-2</t>
        </is>
      </c>
      <c r="G12" t="inlineStr">
        <is>
          <t>I-1-Bri</t>
        </is>
      </c>
      <c r="H12" t="inlineStr">
        <is>
          <t>I-2-Com</t>
        </is>
      </c>
      <c r="J12" t="inlineStr">
        <is>
          <t>PUD-Nor</t>
        </is>
      </c>
      <c r="L12" t="inlineStr">
        <is>
          <t>Single Family Detached</t>
        </is>
      </c>
    </row>
    <row r="13" ht="12" customHeight="1" s="545">
      <c r="B13" t="inlineStr">
        <is>
          <t>B4</t>
        </is>
      </c>
      <c r="E13" t="inlineStr">
        <is>
          <t>M-3</t>
        </is>
      </c>
      <c r="G13" t="inlineStr">
        <is>
          <t>PUD-Bri</t>
        </is>
      </c>
      <c r="H13" t="inlineStr">
        <is>
          <t>I-3-Com</t>
        </is>
      </c>
      <c r="J13" t="inlineStr">
        <is>
          <t>R-1-B-Nor</t>
        </is>
      </c>
      <c r="L13" t="inlineStr">
        <is>
          <t>Thornton</t>
        </is>
      </c>
    </row>
    <row r="14" ht="12" customHeight="1" s="545">
      <c r="B14" t="inlineStr">
        <is>
          <t>B8</t>
        </is>
      </c>
      <c r="E14" t="inlineStr">
        <is>
          <t>OA-G</t>
        </is>
      </c>
      <c r="G14" t="inlineStr">
        <is>
          <t>R-2-Bri</t>
        </is>
      </c>
      <c r="H14" t="inlineStr">
        <is>
          <t>Industrial</t>
        </is>
      </c>
      <c r="J14" t="inlineStr">
        <is>
          <t>R-1-C-Nor</t>
        </is>
      </c>
    </row>
    <row r="15" ht="12" customHeight="1" s="545">
      <c r="B15" t="inlineStr">
        <is>
          <t>B8A</t>
        </is>
      </c>
      <c r="E15" t="inlineStr">
        <is>
          <t>OA-MS</t>
        </is>
      </c>
      <c r="H15" t="inlineStr">
        <is>
          <t>PUD-Com</t>
        </is>
      </c>
      <c r="J15" t="inlineStr">
        <is>
          <t>R-4-Nor</t>
        </is>
      </c>
    </row>
    <row r="16" ht="12" customHeight="1" s="545">
      <c r="B16" t="inlineStr">
        <is>
          <t>B8G</t>
        </is>
      </c>
      <c r="E16" t="inlineStr">
        <is>
          <t>PD</t>
        </is>
      </c>
      <c r="H16" t="inlineStr">
        <is>
          <t>R-2-Com</t>
        </is>
      </c>
    </row>
    <row r="17" ht="12" customHeight="1" s="545">
      <c r="B17" t="inlineStr">
        <is>
          <t>Bennett</t>
        </is>
      </c>
    </row>
    <row r="18" ht="12" customHeight="1" s="545">
      <c r="B18" t="inlineStr">
        <is>
          <t>Brighton</t>
        </is>
      </c>
    </row>
    <row r="19" ht="12" customHeight="1" s="545">
      <c r="B19" t="inlineStr">
        <is>
          <t>Business Park</t>
        </is>
      </c>
    </row>
    <row r="20" ht="12" customHeight="1" s="545">
      <c r="B20" t="inlineStr">
        <is>
          <t>C-0-Nor</t>
        </is>
      </c>
    </row>
    <row r="21" ht="12" customHeight="1" s="545">
      <c r="B21" t="inlineStr">
        <is>
          <t>C-1-Bri</t>
        </is>
      </c>
    </row>
    <row r="22" ht="12" customHeight="1" s="545">
      <c r="B22" t="inlineStr">
        <is>
          <t>C-1-Com</t>
        </is>
      </c>
    </row>
    <row r="23" ht="12" customHeight="1" s="545">
      <c r="B23" t="inlineStr">
        <is>
          <t>C-1-Fed</t>
        </is>
      </c>
    </row>
    <row r="24" ht="12" customHeight="1" s="545">
      <c r="B24" t="inlineStr">
        <is>
          <t>C-1-Wes</t>
        </is>
      </c>
    </row>
    <row r="25" ht="12" customHeight="1" s="545">
      <c r="B25" t="inlineStr">
        <is>
          <t>C-2-Bri</t>
        </is>
      </c>
    </row>
    <row r="26" ht="12" customHeight="1" s="545">
      <c r="B26" t="inlineStr">
        <is>
          <t>C-2-Com</t>
        </is>
      </c>
    </row>
    <row r="27" ht="12" customHeight="1" s="545">
      <c r="B27" t="inlineStr">
        <is>
          <t>C-3-Bri</t>
        </is>
      </c>
    </row>
    <row r="28" ht="12" customHeight="1" s="545">
      <c r="B28" t="inlineStr">
        <is>
          <t>C-3-Com</t>
        </is>
      </c>
    </row>
    <row r="29" ht="12" customHeight="1" s="545">
      <c r="B29" t="inlineStr">
        <is>
          <t>C-3-Nor</t>
        </is>
      </c>
    </row>
    <row r="30" ht="12" customHeight="1" s="545">
      <c r="B30" t="inlineStr">
        <is>
          <t>C-4-Nor</t>
        </is>
      </c>
    </row>
    <row r="31" ht="12" customHeight="1" s="545">
      <c r="B31" t="inlineStr">
        <is>
          <t>C-5-Nor</t>
        </is>
      </c>
    </row>
    <row r="32" ht="12" customHeight="1" s="545">
      <c r="B32" t="inlineStr">
        <is>
          <t>C-MS-8</t>
        </is>
      </c>
    </row>
    <row r="33" ht="12" customHeight="1" s="545">
      <c r="B33" t="inlineStr">
        <is>
          <t>C-MU-30</t>
        </is>
      </c>
    </row>
    <row r="34" ht="12" customHeight="1" s="545">
      <c r="B34" t="inlineStr">
        <is>
          <t>C-MX-12</t>
        </is>
      </c>
    </row>
    <row r="35" ht="12" customHeight="1" s="545">
      <c r="B35" t="inlineStr">
        <is>
          <t>C-MX-5</t>
        </is>
      </c>
    </row>
    <row r="36" ht="12" customHeight="1" s="545">
      <c r="B36" t="inlineStr">
        <is>
          <t>C-MX-8</t>
        </is>
      </c>
    </row>
    <row r="37" ht="12" customHeight="1" s="545">
      <c r="B37" t="inlineStr">
        <is>
          <t>C-O</t>
        </is>
      </c>
    </row>
    <row r="38" ht="12" customHeight="1" s="545">
      <c r="B38" t="inlineStr">
        <is>
          <t>CMU30</t>
        </is>
      </c>
    </row>
    <row r="39" ht="12" customHeight="1" s="545">
      <c r="B39" t="inlineStr">
        <is>
          <t>City Center</t>
        </is>
      </c>
    </row>
    <row r="40" ht="12" customHeight="1" s="545">
      <c r="B40" t="inlineStr">
        <is>
          <t>Commerce City</t>
        </is>
      </c>
    </row>
    <row r="41" ht="12" customHeight="1" s="545">
      <c r="B41" t="inlineStr">
        <is>
          <t>Commercial</t>
        </is>
      </c>
    </row>
    <row r="42" ht="12" customHeight="1" s="545">
      <c r="B42" t="inlineStr">
        <is>
          <t>Community Retail</t>
        </is>
      </c>
    </row>
    <row r="43" ht="12" customHeight="1" s="545">
      <c r="B43" t="inlineStr">
        <is>
          <t>D-AS</t>
        </is>
      </c>
    </row>
    <row r="44" ht="12" customHeight="1" s="545">
      <c r="B44" t="inlineStr">
        <is>
          <t>DT</t>
        </is>
      </c>
    </row>
    <row r="45" ht="12" customHeight="1" s="545">
      <c r="B45" t="inlineStr">
        <is>
          <t>E-470</t>
        </is>
      </c>
    </row>
    <row r="46" ht="12" customHeight="1" s="545">
      <c r="B46" t="inlineStr">
        <is>
          <t>E-CC-3</t>
        </is>
      </c>
    </row>
    <row r="47" ht="12" customHeight="1" s="545">
      <c r="B47" t="inlineStr">
        <is>
          <t>E-SU-D1X</t>
        </is>
      </c>
    </row>
    <row r="48" ht="12" customHeight="1" s="545">
      <c r="B48" t="inlineStr">
        <is>
          <t>Eastlake Services</t>
        </is>
      </c>
    </row>
    <row r="49" ht="12" customHeight="1" s="545">
      <c r="B49" t="inlineStr">
        <is>
          <t>FBA</t>
        </is>
      </c>
    </row>
    <row r="50" ht="12" customHeight="1" s="545">
      <c r="B50" t="inlineStr">
        <is>
          <t>Federal Heights</t>
        </is>
      </c>
    </row>
    <row r="51" ht="12" customHeight="1" s="545">
      <c r="B51" t="inlineStr">
        <is>
          <t>G-MX-3</t>
        </is>
      </c>
    </row>
    <row r="52" ht="12" customHeight="1" s="545">
      <c r="B52" t="inlineStr">
        <is>
          <t>I-0</t>
        </is>
      </c>
    </row>
    <row r="53" ht="12" customHeight="1" s="545">
      <c r="B53" t="inlineStr">
        <is>
          <t>I-1-Arv</t>
        </is>
      </c>
    </row>
    <row r="54" ht="12" customHeight="1" s="545">
      <c r="B54" t="inlineStr">
        <is>
          <t>I-1-Bri</t>
        </is>
      </c>
    </row>
    <row r="55" ht="12" customHeight="1" s="545">
      <c r="B55" t="inlineStr">
        <is>
          <t>I-1-Com</t>
        </is>
      </c>
    </row>
    <row r="56" ht="12" customHeight="1" s="545">
      <c r="B56" t="inlineStr">
        <is>
          <t>I-1S</t>
        </is>
      </c>
    </row>
    <row r="57" ht="12" customHeight="1" s="545">
      <c r="B57" t="inlineStr">
        <is>
          <t>I-2-Arv</t>
        </is>
      </c>
    </row>
    <row r="58" ht="12" customHeight="1" s="545">
      <c r="B58" t="inlineStr">
        <is>
          <t>I-2-Com</t>
        </is>
      </c>
    </row>
    <row r="59" ht="12" customHeight="1" s="545">
      <c r="B59" t="inlineStr">
        <is>
          <t>I-2-Nor</t>
        </is>
      </c>
    </row>
    <row r="60" ht="12" customHeight="1" s="545">
      <c r="B60" t="inlineStr">
        <is>
          <t>I-3-Com</t>
        </is>
      </c>
    </row>
    <row r="61" ht="12" customHeight="1" s="545">
      <c r="B61" t="inlineStr">
        <is>
          <t>I-A</t>
        </is>
      </c>
    </row>
    <row r="62" ht="12" customHeight="1" s="545">
      <c r="B62" t="inlineStr">
        <is>
          <t>I-B</t>
        </is>
      </c>
    </row>
    <row r="63" ht="12" customHeight="1" s="545">
      <c r="B63" t="inlineStr">
        <is>
          <t>I-MX-3</t>
        </is>
      </c>
    </row>
    <row r="64" ht="12" customHeight="1" s="545">
      <c r="B64" t="inlineStr">
        <is>
          <t>I-MX-5</t>
        </is>
      </c>
    </row>
    <row r="65" ht="12" customHeight="1" s="545">
      <c r="B65" t="inlineStr">
        <is>
          <t>I-MX-8</t>
        </is>
      </c>
    </row>
    <row r="66" ht="12" customHeight="1" s="545">
      <c r="B66" t="inlineStr">
        <is>
          <t>I0</t>
        </is>
      </c>
    </row>
    <row r="67" ht="12" customHeight="1" s="545">
      <c r="B67" t="inlineStr">
        <is>
          <t>I1</t>
        </is>
      </c>
    </row>
    <row r="68" ht="12" customHeight="1" s="545">
      <c r="B68" t="inlineStr">
        <is>
          <t>I2</t>
        </is>
      </c>
    </row>
    <row r="69" ht="12" customHeight="1" s="545">
      <c r="B69" t="inlineStr">
        <is>
          <t>I2 I1</t>
        </is>
      </c>
    </row>
    <row r="70" ht="12" customHeight="1" s="545">
      <c r="B70" t="inlineStr">
        <is>
          <t>Industrial</t>
        </is>
      </c>
    </row>
    <row r="71" ht="12" customHeight="1" s="545">
      <c r="B71" t="inlineStr">
        <is>
          <t>M-1-Aur</t>
        </is>
      </c>
    </row>
    <row r="72" ht="12" customHeight="1" s="545">
      <c r="B72" t="inlineStr">
        <is>
          <t>M-1-Wes</t>
        </is>
      </c>
    </row>
    <row r="73" ht="12" customHeight="1" s="545">
      <c r="B73" t="inlineStr">
        <is>
          <t>M-2</t>
        </is>
      </c>
    </row>
    <row r="74" ht="12" customHeight="1" s="545">
      <c r="B74" t="inlineStr">
        <is>
          <t>M-3</t>
        </is>
      </c>
    </row>
    <row r="75" ht="12" customHeight="1" s="545">
      <c r="B75" t="inlineStr">
        <is>
          <t>MS1</t>
        </is>
      </c>
    </row>
    <row r="76" ht="12" customHeight="1" s="545">
      <c r="B76" t="inlineStr">
        <is>
          <t>Northglenn</t>
        </is>
      </c>
    </row>
    <row r="77" ht="12" customHeight="1" s="545">
      <c r="B77" t="inlineStr">
        <is>
          <t>OA-G</t>
        </is>
      </c>
    </row>
    <row r="78" ht="12" customHeight="1" s="545">
      <c r="B78" t="inlineStr">
        <is>
          <t>OA-MS</t>
        </is>
      </c>
    </row>
    <row r="79" ht="12" customHeight="1" s="545">
      <c r="B79" t="inlineStr">
        <is>
          <t>PD</t>
        </is>
      </c>
    </row>
    <row r="80" ht="12" customHeight="1" s="545">
      <c r="B80" t="inlineStr">
        <is>
          <t>PRV</t>
        </is>
      </c>
    </row>
    <row r="81" ht="12" customHeight="1" s="545">
      <c r="B81" t="inlineStr">
        <is>
          <t>PUD</t>
        </is>
      </c>
    </row>
    <row r="82" ht="12" customHeight="1" s="545">
      <c r="B82" t="inlineStr">
        <is>
          <t>PUD-Bri</t>
        </is>
      </c>
    </row>
    <row r="83" ht="12" customHeight="1" s="545">
      <c r="B83" t="inlineStr">
        <is>
          <t>PUD-Com</t>
        </is>
      </c>
    </row>
    <row r="84" ht="12" customHeight="1" s="545">
      <c r="B84" t="inlineStr">
        <is>
          <t>PUD-Nor</t>
        </is>
      </c>
    </row>
    <row r="85" ht="12" customHeight="1" s="545">
      <c r="B85" t="inlineStr">
        <is>
          <t>PUD-Wes</t>
        </is>
      </c>
    </row>
    <row r="86" ht="12" customHeight="1" s="545">
      <c r="B86" t="inlineStr">
        <is>
          <t>Planned Development</t>
        </is>
      </c>
    </row>
    <row r="87" ht="12" customHeight="1" s="545">
      <c r="B87" t="inlineStr">
        <is>
          <t>Planned Unit Development</t>
        </is>
      </c>
    </row>
    <row r="88" ht="12" customHeight="1" s="545">
      <c r="B88" t="inlineStr">
        <is>
          <t>R-1-B-Nor</t>
        </is>
      </c>
    </row>
    <row r="89" ht="12" customHeight="1" s="545">
      <c r="B89" t="inlineStr">
        <is>
          <t>R-1-C-Nor</t>
        </is>
      </c>
    </row>
    <row r="90" ht="12" customHeight="1" s="545">
      <c r="B90" t="inlineStr">
        <is>
          <t>R-2-Bri</t>
        </is>
      </c>
    </row>
    <row r="91" ht="12" customHeight="1" s="545">
      <c r="B91" t="inlineStr">
        <is>
          <t>R-2-Com</t>
        </is>
      </c>
    </row>
    <row r="92" ht="12" customHeight="1" s="545">
      <c r="B92" t="inlineStr">
        <is>
          <t>R-4-Nor</t>
        </is>
      </c>
    </row>
    <row r="93" ht="12" customHeight="1" s="545">
      <c r="B93" t="inlineStr">
        <is>
          <t>R-MU-30</t>
        </is>
      </c>
    </row>
    <row r="94" ht="12" customHeight="1" s="545">
      <c r="B94" t="inlineStr">
        <is>
          <t>R1</t>
        </is>
      </c>
    </row>
    <row r="95" ht="12" customHeight="1" s="545">
      <c r="B95" t="inlineStr">
        <is>
          <t>R2</t>
        </is>
      </c>
    </row>
    <row r="96" ht="12" customHeight="1" s="545">
      <c r="B96" t="inlineStr">
        <is>
          <t>R3</t>
        </is>
      </c>
    </row>
    <row r="97" ht="12" customHeight="1" s="545">
      <c r="B97" t="inlineStr">
        <is>
          <t>R30MU</t>
        </is>
      </c>
    </row>
    <row r="98" ht="12" customHeight="1" s="545">
      <c r="B98" t="inlineStr">
        <is>
          <t>Regional Commercial</t>
        </is>
      </c>
    </row>
    <row r="99" ht="12" customHeight="1" s="545">
      <c r="B99" t="inlineStr">
        <is>
          <t>Residential</t>
        </is>
      </c>
    </row>
    <row r="100" ht="12" customHeight="1" s="545">
      <c r="B100" t="inlineStr">
        <is>
          <t>SPD</t>
        </is>
      </c>
    </row>
    <row r="101" ht="12" customHeight="1" s="545">
      <c r="B101" t="inlineStr">
        <is>
          <t>Single Family Detached</t>
        </is>
      </c>
    </row>
    <row r="102" ht="12" customHeight="1" s="545">
      <c r="B102" t="inlineStr">
        <is>
          <t>Thornton</t>
        </is>
      </c>
    </row>
    <row r="103" ht="12" customHeight="1" s="545">
      <c r="B103" t="inlineStr">
        <is>
          <t>U-MS-2</t>
        </is>
      </c>
    </row>
    <row r="104" ht="12" customHeight="1" s="545">
      <c r="B104" t="inlineStr">
        <is>
          <t>U-MS-3</t>
        </is>
      </c>
    </row>
    <row r="105" ht="12" customHeight="1" s="545">
      <c r="B105" t="inlineStr">
        <is>
          <t>U-MS-5</t>
        </is>
      </c>
    </row>
    <row r="106" ht="12" customHeight="1" s="545">
      <c r="B106" t="inlineStr">
        <is>
          <t>U-MX-3</t>
        </is>
      </c>
    </row>
    <row r="107" ht="12" customHeight="1" s="545">
      <c r="B107" t="inlineStr">
        <is>
          <t>Westminster</t>
        </is>
      </c>
    </row>
    <row r="108" ht="12" customHeight="1" s="545">
      <c r="B108" t="inlineStr">
        <is>
          <t>i2</t>
        </is>
      </c>
    </row>
  </sheetData>
  <mergeCells count="1">
    <mergeCell ref="B2:E2"/>
  </mergeCells>
  <pageMargins left="0.75" right="0.75" top="1" bottom="1" header="0.511811023622047" footer="0.511811023622047"/>
  <pageSetup orientation="portrait" paperSize="9" horizontalDpi="300" verticalDpi="300"/>
</worksheet>
</file>

<file path=xl/worksheets/sheet28.xml><?xml version="1.0" encoding="utf-8"?>
<worksheet xmlns="http://schemas.openxmlformats.org/spreadsheetml/2006/main">
  <sheetPr>
    <tabColor rgb="FFC55A11"/>
    <outlinePr summaryBelow="1" summaryRight="1"/>
    <pageSetUpPr/>
  </sheetPr>
  <dimension ref="B1:Y56"/>
  <sheetViews>
    <sheetView zoomScaleNormal="100" workbookViewId="0">
      <pane ySplit="3" topLeftCell="A15" activePane="bottomLeft" state="frozen"/>
      <selection pane="bottomLeft" activeCell="E50" sqref="E50"/>
    </sheetView>
  </sheetViews>
  <sheetFormatPr baseColWidth="8" defaultColWidth="10.28515625" defaultRowHeight="12"/>
  <cols>
    <col width="2.28515625" customWidth="1" style="545" min="1" max="1"/>
    <col width="41" customWidth="1" style="545" min="2" max="2"/>
    <col width="25.140625" customWidth="1" style="545" min="3" max="3"/>
    <col width="22.85546875" customWidth="1" style="545" min="4" max="5"/>
    <col width="25.140625" customWidth="1" style="545" min="6" max="6"/>
    <col width="20.5703125" customWidth="1" style="545" min="7" max="7"/>
    <col width="16" customWidth="1" style="545" min="8" max="8"/>
    <col width="22.85546875" customWidth="1" style="545" min="9" max="10"/>
    <col width="18.28515625" customWidth="1" style="545" min="11" max="11"/>
    <col width="13.7109375" customWidth="1" style="545" min="12" max="12"/>
    <col width="11.42578125" customWidth="1" style="545" min="13" max="13"/>
    <col width="52.42578125" customWidth="1" style="545" min="14" max="14"/>
    <col hidden="1" width="14.85546875" customWidth="1" style="545" min="16" max="25"/>
  </cols>
  <sheetData>
    <row r="1" ht="19.5" customHeight="1" s="545">
      <c r="B1" s="81" t="inlineStr">
        <is>
          <t>PROPERTY RESOURCES — Adams County, Colorado</t>
        </is>
      </c>
    </row>
    <row r="2" ht="52.5" customHeight="1" s="545">
      <c r="B2" s="653" t="inlineStr">
        <is>
          <t>Pick the jurisdiction the property sits in (step 1 below) and every link you need appears. A mailing city is NOT always the land-use jurisdiction — when unsure, check the parcel on the county GIS map first.</t>
        </is>
      </c>
    </row>
    <row r="4" ht="12" customHeight="1" s="545">
      <c r="B4" s="211" t="inlineStr">
        <is>
          <t>STEP 1 — Where is the property?</t>
        </is>
      </c>
      <c r="C4" s="437" t="n"/>
      <c r="D4" s="437" t="n"/>
      <c r="E4" s="437" t="n"/>
      <c r="F4" s="437" t="n"/>
    </row>
    <row r="5" ht="15.75" customHeight="1" s="545">
      <c r="B5" s="63" t="inlineStr">
        <is>
          <t>Jurisdiction (pick from list):</t>
        </is>
      </c>
      <c r="C5" s="438" t="inlineStr">
        <is>
          <t>Unincorporated Adams County</t>
        </is>
      </c>
      <c r="E5">
        <f>IF(Subj_Address="","", "Subject Property on file: "&amp;Subj_Address)</f>
        <v/>
      </c>
    </row>
    <row r="6" ht="12" customHeight="1" s="545">
      <c r="B6" s="653">
        <f>INDEX(RES_MATRIX_NOTE,MATCH($C$5,RES_MATRIX_JUR,0))</f>
        <v/>
      </c>
    </row>
    <row r="8" ht="12" customHeight="1" s="545">
      <c r="B8" s="211" t="inlineStr">
        <is>
          <t>STEP 2 — Jurisdiction links (zoning, planning, permits, hearings for the pick above)</t>
        </is>
      </c>
      <c r="C8" s="437" t="n"/>
      <c r="D8" s="437" t="n"/>
      <c r="E8" s="437" t="n"/>
      <c r="F8" s="437" t="n"/>
    </row>
    <row r="9" ht="12" customHeight="1" s="545">
      <c r="B9" s="439" t="inlineStr">
        <is>
          <t>Official website</t>
        </is>
      </c>
      <c r="C9" s="651">
        <f>HYPERLINK(INDEX(RES_MATRIX_C,MATCH($C$5,RES_MATRIX_JUR,0)),INDEX(RES_MATRIX_C,MATCH($C$5,RES_MATRIX_JUR,0)))</f>
        <v/>
      </c>
      <c r="D9" s="652" t="n"/>
      <c r="E9" s="652" t="n"/>
      <c r="F9" s="652" t="n"/>
    </row>
    <row r="10" ht="12" customHeight="1" s="545">
      <c r="B10" s="439" t="inlineStr">
        <is>
          <t>Property / GIS maps</t>
        </is>
      </c>
      <c r="C10" s="651">
        <f>HYPERLINK(INDEX(RES_MATRIX_D,MATCH($C$5,RES_MATRIX_JUR,0)),INDEX(RES_MATRIX_D,MATCH($C$5,RES_MATRIX_JUR,0)))</f>
        <v/>
      </c>
      <c r="D10" s="652" t="n"/>
      <c r="E10" s="652" t="n"/>
      <c r="F10" s="652" t="n"/>
    </row>
    <row r="11" ht="12" customHeight="1" s="545">
      <c r="B11" s="439" t="inlineStr">
        <is>
          <t>Zoning / land-use code</t>
        </is>
      </c>
      <c r="C11" s="651">
        <f>HYPERLINK(INDEX(RES_MATRIX_E,MATCH($C$5,RES_MATRIX_JUR,0)),INDEX(RES_MATRIX_E,MATCH($C$5,RES_MATRIX_JUR,0)))</f>
        <v/>
      </c>
      <c r="D11" s="652" t="n"/>
      <c r="E11" s="652" t="n"/>
      <c r="F11" s="652" t="n"/>
    </row>
    <row r="12" ht="12" customHeight="1" s="545">
      <c r="B12" s="439" t="inlineStr">
        <is>
          <t>Planning department</t>
        </is>
      </c>
      <c r="C12" s="651">
        <f>HYPERLINK(INDEX(RES_MATRIX_F,MATCH($C$5,RES_MATRIX_JUR,0)),INDEX(RES_MATRIX_F,MATCH($C$5,RES_MATRIX_JUR,0)))</f>
        <v/>
      </c>
      <c r="D12" s="652" t="n"/>
      <c r="E12" s="652" t="n"/>
      <c r="F12" s="652" t="n"/>
    </row>
    <row r="13" ht="12" customHeight="1" s="545">
      <c r="B13" s="439" t="inlineStr">
        <is>
          <t>Active development / projects</t>
        </is>
      </c>
      <c r="C13" s="651">
        <f>HYPERLINK(INDEX(RES_MATRIX_G,MATCH($C$5,RES_MATRIX_JUR,0)),INDEX(RES_MATRIX_G,MATCH($C$5,RES_MATRIX_JUR,0)))</f>
        <v/>
      </c>
      <c r="D13" s="652" t="n"/>
      <c r="E13" s="652" t="n"/>
      <c r="F13" s="652" t="n"/>
    </row>
    <row r="14" ht="12" customHeight="1" s="545">
      <c r="B14" s="439" t="inlineStr">
        <is>
          <t>Permits</t>
        </is>
      </c>
      <c r="C14" s="651">
        <f>HYPERLINK(INDEX(RES_MATRIX_H,MATCH($C$5,RES_MATRIX_JUR,0)),INDEX(RES_MATRIX_H,MATCH($C$5,RES_MATRIX_JUR,0)))</f>
        <v/>
      </c>
      <c r="D14" s="652" t="n"/>
      <c r="E14" s="652" t="n"/>
      <c r="F14" s="652" t="n"/>
    </row>
    <row r="15" ht="12" customHeight="1" s="545">
      <c r="B15" s="439" t="inlineStr">
        <is>
          <t>Long-range / comprehensive plan</t>
        </is>
      </c>
      <c r="C15" s="651">
        <f>HYPERLINK(INDEX(RES_MATRIX_I,MATCH($C$5,RES_MATRIX_JUR,0)),INDEX(RES_MATRIX_I,MATCH($C$5,RES_MATRIX_JUR,0)))</f>
        <v/>
      </c>
      <c r="D15" s="652" t="n"/>
      <c r="E15" s="652" t="n"/>
      <c r="F15" s="652" t="n"/>
    </row>
    <row r="16" ht="12" customHeight="1" s="545">
      <c r="B16" s="439" t="inlineStr">
        <is>
          <t>Agendas &amp; meetings</t>
        </is>
      </c>
      <c r="C16" s="651">
        <f>HYPERLINK(INDEX(RES_MATRIX_J,MATCH($C$5,RES_MATRIX_JUR,0)),INDEX(RES_MATRIX_J,MATCH($C$5,RES_MATRIX_JUR,0)))</f>
        <v/>
      </c>
      <c r="D16" s="652" t="n"/>
      <c r="E16" s="652" t="n"/>
      <c r="F16" s="652" t="n"/>
    </row>
    <row r="17" ht="12" customHeight="1" s="545">
      <c r="B17" s="439" t="inlineStr">
        <is>
          <t>Public / legal notices</t>
        </is>
      </c>
      <c r="C17" s="651">
        <f>HYPERLINK(INDEX(RES_MATRIX_K,MATCH($C$5,RES_MATRIX_JUR,0)),INDEX(RES_MATRIX_K,MATCH($C$5,RES_MATRIX_JUR,0)))</f>
        <v/>
      </c>
      <c r="D17" s="652" t="n"/>
      <c r="E17" s="652" t="n"/>
      <c r="F17" s="652" t="n"/>
    </row>
    <row r="18" ht="12" customHeight="1" s="545">
      <c r="B18" s="439" t="inlineStr">
        <is>
          <t>News</t>
        </is>
      </c>
      <c r="C18" s="651">
        <f>HYPERLINK(INDEX(RES_MATRIX_L,MATCH($C$5,RES_MATRIX_JUR,0)),INDEX(RES_MATRIX_L,MATCH($C$5,RES_MATRIX_JUR,0)))</f>
        <v/>
      </c>
      <c r="D18" s="652" t="n"/>
      <c r="E18" s="652" t="n"/>
      <c r="F18" s="652" t="n"/>
    </row>
    <row r="20" ht="12" customHeight="1" s="545">
      <c r="B20" s="211" t="inlineStr">
        <is>
          <t>STEP 3 — County records (work for ANY Adams County property, regardless of city)</t>
        </is>
      </c>
      <c r="C20" s="437" t="n"/>
      <c r="D20" s="437" t="n"/>
      <c r="E20" s="437" t="n"/>
      <c r="F20" s="437" t="n"/>
    </row>
    <row r="21" ht="12" customHeight="1" s="545">
      <c r="B21" s="439" t="inlineStr">
        <is>
          <t>Parcel / owner / value search</t>
        </is>
      </c>
      <c r="C21" s="651" t="inlineStr">
        <is>
          <t>https://adamscountyco.gov/service/search-real-property/</t>
        </is>
      </c>
      <c r="D21" s="652" t="n"/>
      <c r="E21" s="652" t="n"/>
      <c r="F21" s="652" t="n"/>
    </row>
    <row r="22" ht="12" customHeight="1" s="545">
      <c r="B22" s="439" t="inlineStr">
        <is>
          <t>Fast parcel lookup (GIS)</t>
        </is>
      </c>
      <c r="C22" s="651" t="inlineStr">
        <is>
          <t>https://gisapp.adcogov.org/quicksearch/</t>
        </is>
      </c>
      <c r="D22" s="652" t="n"/>
      <c r="E22" s="652" t="n"/>
      <c r="F22" s="652" t="n"/>
    </row>
    <row r="23" ht="12" customHeight="1" s="545">
      <c r="B23" s="439" t="inlineStr">
        <is>
          <t>Interactive county maps</t>
        </is>
      </c>
      <c r="C23" s="651" t="inlineStr">
        <is>
          <t>https://adamscountyco.gov/service/gis-interactive-maps/</t>
        </is>
      </c>
      <c r="D23" s="652" t="n"/>
      <c r="E23" s="652" t="n"/>
      <c r="F23" s="652" t="n"/>
    </row>
    <row r="24" ht="12" customHeight="1" s="545">
      <c r="B24" s="439" t="inlineStr">
        <is>
          <t>Recorded deeds &amp; documents</t>
        </is>
      </c>
      <c r="C24" s="651" t="inlineStr">
        <is>
          <t>https://recording.adamscountyco.gov/landmarkweb/</t>
        </is>
      </c>
      <c r="D24" s="652" t="n"/>
      <c r="E24" s="652" t="n"/>
      <c r="F24" s="652" t="n"/>
    </row>
    <row r="25" ht="12" customHeight="1" s="545">
      <c r="B25" s="439" t="inlineStr">
        <is>
          <t>Survey plats</t>
        </is>
      </c>
      <c r="C25" s="651" t="inlineStr">
        <is>
          <t>https://adamscountyco.gov/our-county/elected-officials/clerk-recorder/recording/land-survey-plats/</t>
        </is>
      </c>
      <c r="D25" s="652" t="n"/>
      <c r="E25" s="652" t="n"/>
      <c r="F25" s="652" t="n"/>
    </row>
    <row r="26" ht="12" customHeight="1" s="545">
      <c r="B26" s="439" t="inlineStr">
        <is>
          <t>Property taxes / balances</t>
        </is>
      </c>
      <c r="C26" s="651" t="inlineStr">
        <is>
          <t>https://adcotax.com/</t>
        </is>
      </c>
      <c r="D26" s="652" t="n"/>
      <c r="E26" s="652" t="n"/>
      <c r="F26" s="652" t="n"/>
    </row>
    <row r="27" ht="12" customHeight="1" s="545">
      <c r="B27" s="439" t="inlineStr">
        <is>
          <t>Foreclosure records</t>
        </is>
      </c>
      <c r="C27" s="651" t="inlineStr">
        <is>
          <t>https://apps.adcogov.org/PTForeclosureSearch/?ds=1</t>
        </is>
      </c>
      <c r="D27" s="652" t="n"/>
      <c r="E27" s="652" t="n"/>
      <c r="F27" s="652" t="n"/>
    </row>
    <row r="28" ht="12" customHeight="1" s="545">
      <c r="B28" s="439" t="inlineStr">
        <is>
          <t>Unincorporated planning &amp; zoning</t>
        </is>
      </c>
      <c r="C28" s="651" t="inlineStr">
        <is>
          <t>https://adamscountyco.gov/our-county/community-economic-development/planning-development/</t>
        </is>
      </c>
      <c r="D28" s="652" t="n"/>
      <c r="E28" s="652" t="n"/>
      <c r="F28" s="652" t="n"/>
    </row>
    <row r="29" ht="12" customHeight="1" s="545">
      <c r="B29" s="439" t="inlineStr">
        <is>
          <t>Pending land-use cases &amp; hearings</t>
        </is>
      </c>
      <c r="C29" s="651" t="inlineStr">
        <is>
          <t>https://adamscountyco.gov/our-county/community-economic-development/planning-development/current-land-use-cases/</t>
        </is>
      </c>
      <c r="D29" s="652" t="n"/>
      <c r="E29" s="652" t="n"/>
      <c r="F29" s="652" t="n"/>
    </row>
    <row r="30" ht="12" customHeight="1" s="545">
      <c r="B30" s="439" t="inlineStr">
        <is>
          <t>Unincorporated building permits</t>
        </is>
      </c>
      <c r="C30" s="651" t="inlineStr">
        <is>
          <t>https://adamscountyco.gov/our-county/community-economic-development/building-safety/building-permit/</t>
        </is>
      </c>
      <c r="D30" s="652" t="n"/>
      <c r="E30" s="652" t="n"/>
      <c r="F30" s="652" t="n"/>
    </row>
    <row r="32" ht="12" customHeight="1" s="545">
      <c r="B32" s="211" t="inlineStr">
        <is>
          <t>STEP 4 — State &amp; federal checks (apply everywhere)</t>
        </is>
      </c>
      <c r="C32" s="437" t="n"/>
      <c r="D32" s="437" t="n"/>
      <c r="E32" s="437" t="n"/>
      <c r="F32" s="437" t="n"/>
    </row>
    <row r="33" ht="12" customHeight="1" s="545">
      <c r="B33" s="439" t="inlineStr">
        <is>
          <t>Who owns the LLC? (Secretary of State)</t>
        </is>
      </c>
      <c r="C33" s="651" t="inlineStr">
        <is>
          <t>https://co.colorado.gov/search-business-records</t>
        </is>
      </c>
      <c r="D33" s="652" t="n"/>
      <c r="E33" s="652" t="n"/>
      <c r="F33" s="652" t="n"/>
    </row>
    <row r="34" ht="12" customHeight="1" s="545">
      <c r="B34" s="439" t="inlineStr">
        <is>
          <t>Municipal boundary map (DOLA)</t>
        </is>
      </c>
      <c r="C34" s="651" t="inlineStr">
        <is>
          <t>https://gis.dola.colorado.gov/CO_SpecialDistrict/</t>
        </is>
      </c>
      <c r="D34" s="652" t="n"/>
      <c r="E34" s="652" t="n"/>
      <c r="F34" s="652" t="n"/>
    </row>
    <row r="35" ht="12" customHeight="1" s="545">
      <c r="B35" s="439" t="inlineStr">
        <is>
          <t>Special / metro districts (DOLA)</t>
        </is>
      </c>
      <c r="C35" s="651" t="inlineStr">
        <is>
          <t>https://gis.dola.colorado.gov/CO_SpecialDistrict/</t>
        </is>
      </c>
      <c r="D35" s="652" t="n"/>
      <c r="E35" s="652" t="n"/>
      <c r="F35" s="652" t="n"/>
    </row>
    <row r="36" ht="12" customHeight="1" s="545">
      <c r="B36" s="439" t="inlineStr">
        <is>
          <t>Water rights, wells &amp; structures (DWR)</t>
        </is>
      </c>
      <c r="C36" s="651" t="inlineStr">
        <is>
          <t>https://gis.dola.colorado.gov/CO_SpecialDistrict/</t>
        </is>
      </c>
      <c r="D36" s="652" t="n"/>
      <c r="E36" s="652" t="n"/>
      <c r="F36" s="652" t="n"/>
    </row>
    <row r="37" ht="12" customHeight="1" s="545">
      <c r="B37" s="439" t="inlineStr">
        <is>
          <t>Oil &amp; gas wells (ECMC)</t>
        </is>
      </c>
      <c r="C37" s="651" t="inlineStr">
        <is>
          <t>https://ecmc.state.co.us/maps.html</t>
        </is>
      </c>
      <c r="D37" s="652" t="n"/>
      <c r="E37" s="652" t="n"/>
      <c r="F37" s="652" t="n"/>
    </row>
    <row r="38" ht="12" customHeight="1" s="545">
      <c r="B38" s="439" t="inlineStr">
        <is>
          <t>FEMA flood map</t>
        </is>
      </c>
      <c r="C38" s="651" t="inlineStr">
        <is>
          <t>https://www.fema.gov/flood-maps</t>
        </is>
      </c>
      <c r="D38" s="652" t="n"/>
      <c r="E38" s="652" t="n"/>
      <c r="F38" s="652" t="n"/>
    </row>
    <row r="39" ht="12" customHeight="1" s="545">
      <c r="B39" s="439" t="inlineStr">
        <is>
          <t>Environmental records (CDPHE)</t>
        </is>
      </c>
      <c r="C39" s="651" t="inlineStr">
        <is>
          <t>https://cdphe.colorado.gov/maps-and-gis-for-health-and-environment</t>
        </is>
      </c>
      <c r="D39" s="652" t="n"/>
      <c r="E39" s="652" t="n"/>
      <c r="F39" s="652" t="n"/>
    </row>
    <row r="40" ht="12" customHeight="1" s="545">
      <c r="B40" s="439" t="inlineStr">
        <is>
          <t>Soils survey (USDA NRCS)</t>
        </is>
      </c>
      <c r="C40" s="651" t="inlineStr">
        <is>
          <t>https://websoilsurvey.nrcs.usda.gov/</t>
        </is>
      </c>
      <c r="D40" s="652" t="n"/>
      <c r="E40" s="652" t="n"/>
      <c r="F40" s="652" t="n"/>
    </row>
    <row r="41" ht="12" customHeight="1" s="545">
      <c r="B41" s="439" t="inlineStr">
        <is>
          <t>State highway access (CDOT)</t>
        </is>
      </c>
      <c r="C41" s="651" t="inlineStr">
        <is>
          <t>https://dtdapps.codot.gov/otis</t>
        </is>
      </c>
      <c r="D41" s="652" t="n"/>
      <c r="E41" s="652" t="n"/>
      <c r="F41" s="652" t="n"/>
    </row>
    <row r="42" ht="12" customHeight="1" s="545">
      <c r="B42" s="441" t="inlineStr">
        <is>
          <t>Full list of every curated source (300+) and the step-by-step due-diligence checklist: see the Resource Directory tab.</t>
        </is>
      </c>
    </row>
    <row r="44" ht="12" customHeight="1" s="545">
      <c r="B44" s="211" t="inlineStr">
        <is>
          <t>ALL JURISDICTIONS AT A GLANCE (the picker above reads from this table)</t>
        </is>
      </c>
      <c r="C44" s="437" t="n"/>
      <c r="D44" s="437" t="n"/>
      <c r="E44" s="437" t="n"/>
      <c r="F44" s="437" t="n"/>
      <c r="G44" s="437" t="n"/>
      <c r="H44" s="437" t="n"/>
      <c r="I44" s="437" t="n"/>
      <c r="J44" s="437" t="n"/>
      <c r="K44" s="437" t="n"/>
      <c r="L44" s="437" t="n"/>
      <c r="M44" s="437" t="n"/>
    </row>
    <row r="45" ht="12" customHeight="1" s="545">
      <c r="B45" s="212" t="inlineStr">
        <is>
          <t>Jurisdiction</t>
        </is>
      </c>
      <c r="C45" s="212" t="inlineStr">
        <is>
          <t>Type</t>
        </is>
      </c>
      <c r="D45" s="212" t="inlineStr">
        <is>
          <t>Official Home</t>
        </is>
      </c>
      <c r="E45" s="212" t="inlineStr">
        <is>
          <t>Property / GIS</t>
        </is>
      </c>
      <c r="F45" s="212" t="inlineStr">
        <is>
          <t>Zoning / Code</t>
        </is>
      </c>
      <c r="G45" s="212" t="inlineStr">
        <is>
          <t>Planning</t>
        </is>
      </c>
      <c r="H45" s="212" t="inlineStr">
        <is>
          <t>Development / Projects</t>
        </is>
      </c>
      <c r="I45" s="212" t="inlineStr">
        <is>
          <t>Permits</t>
        </is>
      </c>
      <c r="J45" s="212" t="inlineStr">
        <is>
          <t>Long-Range Plan</t>
        </is>
      </c>
      <c r="K45" s="212" t="inlineStr">
        <is>
          <t>Agendas / Meetings</t>
        </is>
      </c>
      <c r="L45" s="212" t="inlineStr">
        <is>
          <t>Public Notices</t>
        </is>
      </c>
      <c r="M45" s="212" t="inlineStr">
        <is>
          <t>News</t>
        </is>
      </c>
      <c r="N45" s="212" t="inlineStr">
        <is>
          <t>Boundary / Use Note</t>
        </is>
      </c>
      <c r="P45" s="442" t="inlineStr">
        <is>
          <t>(raw URLs feeding the Step-2 links — do not delete)</t>
        </is>
      </c>
    </row>
    <row r="46" ht="21" customHeight="1" s="545">
      <c r="B46" s="439" t="inlineStr">
        <is>
          <t>Unincorporated Adams County</t>
        </is>
      </c>
      <c r="C46" s="652" t="inlineStr">
        <is>
          <t>County jurisdiction</t>
        </is>
      </c>
      <c r="D46" s="651" t="inlineStr">
        <is>
          <t>Official Home</t>
        </is>
      </c>
      <c r="E46" s="651" t="inlineStr">
        <is>
          <t>Property / GIS</t>
        </is>
      </c>
      <c r="F46" s="651" t="inlineStr">
        <is>
          <t>Zoning / Code</t>
        </is>
      </c>
      <c r="G46" s="651" t="inlineStr">
        <is>
          <t>Planning</t>
        </is>
      </c>
      <c r="H46" s="651" t="inlineStr">
        <is>
          <t>Development / Projects</t>
        </is>
      </c>
      <c r="I46" s="651" t="inlineStr">
        <is>
          <t>Permits</t>
        </is>
      </c>
      <c r="J46" s="651" t="inlineStr">
        <is>
          <t>Long-Range Plan</t>
        </is>
      </c>
      <c r="K46" s="651" t="inlineStr">
        <is>
          <t>Agendas / Meetings</t>
        </is>
      </c>
      <c r="L46" s="651" t="inlineStr">
        <is>
          <t>Public Notices</t>
        </is>
      </c>
      <c r="M46" s="651" t="inlineStr">
        <is>
          <t>News</t>
        </is>
      </c>
      <c r="N46" s="444"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ht="21" customHeight="1" s="545">
      <c r="B47" s="439" t="inlineStr">
        <is>
          <t>Arvada</t>
        </is>
      </c>
      <c r="C47" s="652" t="inlineStr">
        <is>
          <t>City</t>
        </is>
      </c>
      <c r="D47" s="651" t="inlineStr">
        <is>
          <t>Official Home</t>
        </is>
      </c>
      <c r="E47" s="651" t="inlineStr">
        <is>
          <t>Property / GIS</t>
        </is>
      </c>
      <c r="F47" s="651" t="inlineStr">
        <is>
          <t>Zoning / Code</t>
        </is>
      </c>
      <c r="G47" s="651" t="inlineStr">
        <is>
          <t>Planning</t>
        </is>
      </c>
      <c r="H47" s="651" t="inlineStr">
        <is>
          <t>Development / Projects</t>
        </is>
      </c>
      <c r="I47" s="651" t="inlineStr">
        <is>
          <t>Permits</t>
        </is>
      </c>
      <c r="J47" s="651" t="inlineStr">
        <is>
          <t>Long-Range Plan</t>
        </is>
      </c>
      <c r="K47" s="651" t="inlineStr">
        <is>
          <t>Agendas / Meetings</t>
        </is>
      </c>
      <c r="L47" s="651" t="inlineStr">
        <is>
          <t>Public Notices</t>
        </is>
      </c>
      <c r="M47" s="651" t="inlineStr">
        <is>
          <t>News</t>
        </is>
      </c>
      <c r="N47" s="444"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ht="21" customHeight="1" s="545">
      <c r="B48" s="439" t="inlineStr">
        <is>
          <t>Aurora</t>
        </is>
      </c>
      <c r="C48" s="652" t="inlineStr">
        <is>
          <t>City</t>
        </is>
      </c>
      <c r="D48" s="651" t="inlineStr">
        <is>
          <t>Official Home</t>
        </is>
      </c>
      <c r="E48" s="651" t="inlineStr">
        <is>
          <t>Property / GIS</t>
        </is>
      </c>
      <c r="F48" s="651" t="inlineStr">
        <is>
          <t>Zoning / Code</t>
        </is>
      </c>
      <c r="G48" s="651" t="inlineStr">
        <is>
          <t>Planning</t>
        </is>
      </c>
      <c r="H48" s="651" t="inlineStr">
        <is>
          <t>Development / Projects</t>
        </is>
      </c>
      <c r="I48" s="651" t="inlineStr">
        <is>
          <t>Permits</t>
        </is>
      </c>
      <c r="J48" s="651" t="inlineStr">
        <is>
          <t>Long-Range Plan</t>
        </is>
      </c>
      <c r="K48" s="651" t="inlineStr">
        <is>
          <t>Agendas / Meetings</t>
        </is>
      </c>
      <c r="L48" s="651" t="inlineStr">
        <is>
          <t>Public Notices</t>
        </is>
      </c>
      <c r="M48" s="651" t="inlineStr">
        <is>
          <t>News</t>
        </is>
      </c>
      <c r="N48" s="444"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ht="21" customHeight="1" s="545">
      <c r="B49" s="439" t="inlineStr">
        <is>
          <t>Bennett</t>
        </is>
      </c>
      <c r="C49" s="652" t="inlineStr">
        <is>
          <t>Town</t>
        </is>
      </c>
      <c r="D49" s="651" t="inlineStr">
        <is>
          <t>Official Home</t>
        </is>
      </c>
      <c r="E49" s="651" t="inlineStr">
        <is>
          <t>Property / GIS</t>
        </is>
      </c>
      <c r="F49" s="651" t="inlineStr">
        <is>
          <t>Zoning / Code</t>
        </is>
      </c>
      <c r="G49" s="651" t="inlineStr">
        <is>
          <t>Planning</t>
        </is>
      </c>
      <c r="H49" s="651" t="inlineStr">
        <is>
          <t>Development / Projects</t>
        </is>
      </c>
      <c r="I49" s="651" t="inlineStr">
        <is>
          <t>Permits</t>
        </is>
      </c>
      <c r="J49" s="651" t="inlineStr">
        <is>
          <t>Long-Range Plan</t>
        </is>
      </c>
      <c r="K49" s="651" t="inlineStr">
        <is>
          <t>Agendas / Meetings</t>
        </is>
      </c>
      <c r="L49" s="651" t="inlineStr">
        <is>
          <t>Public Notices</t>
        </is>
      </c>
      <c r="M49" s="651" t="inlineStr">
        <is>
          <t>News</t>
        </is>
      </c>
      <c r="N49" s="444"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ht="21" customHeight="1" s="545">
      <c r="B50" s="439" t="inlineStr">
        <is>
          <t>Brighton</t>
        </is>
      </c>
      <c r="C50" s="652" t="inlineStr">
        <is>
          <t>City</t>
        </is>
      </c>
      <c r="D50" s="651" t="inlineStr">
        <is>
          <t>Official Home</t>
        </is>
      </c>
      <c r="E50" s="651" t="inlineStr">
        <is>
          <t>Property / GIS</t>
        </is>
      </c>
      <c r="F50" s="651" t="inlineStr">
        <is>
          <t>Zoning / Code</t>
        </is>
      </c>
      <c r="G50" s="651" t="inlineStr">
        <is>
          <t>Planning</t>
        </is>
      </c>
      <c r="H50" s="651" t="inlineStr">
        <is>
          <t>Development / Projects</t>
        </is>
      </c>
      <c r="I50" s="651" t="inlineStr">
        <is>
          <t>Permits</t>
        </is>
      </c>
      <c r="J50" s="651" t="inlineStr">
        <is>
          <t>Long-Range Plan</t>
        </is>
      </c>
      <c r="K50" s="651" t="inlineStr">
        <is>
          <t>Agendas / Meetings</t>
        </is>
      </c>
      <c r="L50" s="651" t="inlineStr">
        <is>
          <t>Public Notices</t>
        </is>
      </c>
      <c r="M50" s="651" t="inlineStr">
        <is>
          <t>News</t>
        </is>
      </c>
      <c r="N50" s="444"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ht="31.5" customHeight="1" s="545">
      <c r="B51" s="439" t="inlineStr">
        <is>
          <t>Commerce City</t>
        </is>
      </c>
      <c r="C51" s="652" t="inlineStr">
        <is>
          <t>City</t>
        </is>
      </c>
      <c r="D51" s="651" t="inlineStr">
        <is>
          <t>Official Home</t>
        </is>
      </c>
      <c r="E51" s="651" t="inlineStr">
        <is>
          <t>Property / GIS</t>
        </is>
      </c>
      <c r="F51" s="651" t="inlineStr">
        <is>
          <t>Zoning / Code</t>
        </is>
      </c>
      <c r="G51" s="651" t="inlineStr">
        <is>
          <t>Planning</t>
        </is>
      </c>
      <c r="H51" s="651" t="inlineStr">
        <is>
          <t>Development / Projects</t>
        </is>
      </c>
      <c r="I51" s="651" t="inlineStr">
        <is>
          <t>Permits</t>
        </is>
      </c>
      <c r="J51" s="651" t="inlineStr">
        <is>
          <t>Long-Range Plan</t>
        </is>
      </c>
      <c r="K51" s="651" t="inlineStr">
        <is>
          <t>Agendas / Meetings</t>
        </is>
      </c>
      <c r="L51" s="651" t="inlineStr">
        <is>
          <t>Public Notices</t>
        </is>
      </c>
      <c r="M51" s="651" t="inlineStr">
        <is>
          <t>News</t>
        </is>
      </c>
      <c r="N51" s="444"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ht="21" customHeight="1" s="545">
      <c r="B52" s="439" t="inlineStr">
        <is>
          <t>Federal Heights</t>
        </is>
      </c>
      <c r="C52" s="652" t="inlineStr">
        <is>
          <t>City</t>
        </is>
      </c>
      <c r="D52" s="651" t="inlineStr">
        <is>
          <t>Official Home</t>
        </is>
      </c>
      <c r="E52" s="651" t="inlineStr">
        <is>
          <t>Property / GIS</t>
        </is>
      </c>
      <c r="F52" s="651" t="inlineStr">
        <is>
          <t>Zoning / Code</t>
        </is>
      </c>
      <c r="G52" s="651" t="inlineStr">
        <is>
          <t>Planning</t>
        </is>
      </c>
      <c r="H52" s="651" t="inlineStr">
        <is>
          <t>Development / Projects</t>
        </is>
      </c>
      <c r="I52" s="651" t="inlineStr">
        <is>
          <t>Permits</t>
        </is>
      </c>
      <c r="J52" s="651" t="inlineStr">
        <is>
          <t>Long-Range Plan</t>
        </is>
      </c>
      <c r="K52" s="651" t="inlineStr">
        <is>
          <t>Agendas / Meetings</t>
        </is>
      </c>
      <c r="L52" s="651" t="inlineStr">
        <is>
          <t>Public Notices</t>
        </is>
      </c>
      <c r="M52" s="651" t="inlineStr">
        <is>
          <t>News</t>
        </is>
      </c>
      <c r="N52" s="444"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ht="21" customHeight="1" s="545">
      <c r="B53" s="439" t="inlineStr">
        <is>
          <t>Lochbuie</t>
        </is>
      </c>
      <c r="C53" s="652" t="inlineStr">
        <is>
          <t>Town</t>
        </is>
      </c>
      <c r="D53" s="651" t="inlineStr">
        <is>
          <t>Official Home</t>
        </is>
      </c>
      <c r="E53" s="651" t="inlineStr">
        <is>
          <t>Property / GIS</t>
        </is>
      </c>
      <c r="F53" s="651" t="inlineStr">
        <is>
          <t>Zoning / Code</t>
        </is>
      </c>
      <c r="G53" s="651" t="inlineStr">
        <is>
          <t>Planning</t>
        </is>
      </c>
      <c r="H53" s="651" t="inlineStr">
        <is>
          <t>Development / Projects</t>
        </is>
      </c>
      <c r="I53" s="651" t="inlineStr">
        <is>
          <t>Permits</t>
        </is>
      </c>
      <c r="J53" s="651" t="inlineStr">
        <is>
          <t>Long-Range Plan</t>
        </is>
      </c>
      <c r="K53" s="651" t="inlineStr">
        <is>
          <t>Agendas / Meetings</t>
        </is>
      </c>
      <c r="L53" s="651" t="inlineStr">
        <is>
          <t>Public Notices</t>
        </is>
      </c>
      <c r="M53" s="651" t="inlineStr">
        <is>
          <t>News</t>
        </is>
      </c>
      <c r="N53" s="444"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ht="21" customHeight="1" s="545">
      <c r="B54" s="439" t="inlineStr">
        <is>
          <t>Northglenn</t>
        </is>
      </c>
      <c r="C54" s="652" t="inlineStr">
        <is>
          <t>City</t>
        </is>
      </c>
      <c r="D54" s="651" t="inlineStr">
        <is>
          <t>Official Home</t>
        </is>
      </c>
      <c r="E54" s="651" t="inlineStr">
        <is>
          <t>Property / GIS</t>
        </is>
      </c>
      <c r="F54" s="651" t="inlineStr">
        <is>
          <t>Zoning / Code</t>
        </is>
      </c>
      <c r="G54" s="651" t="inlineStr">
        <is>
          <t>Planning</t>
        </is>
      </c>
      <c r="H54" s="651" t="inlineStr">
        <is>
          <t>Development / Projects</t>
        </is>
      </c>
      <c r="I54" s="651" t="inlineStr">
        <is>
          <t>Permits</t>
        </is>
      </c>
      <c r="J54" s="651" t="inlineStr">
        <is>
          <t>Long-Range Plan</t>
        </is>
      </c>
      <c r="K54" s="651" t="inlineStr">
        <is>
          <t>Agendas / Meetings</t>
        </is>
      </c>
      <c r="L54" s="651" t="inlineStr">
        <is>
          <t>Public Notices</t>
        </is>
      </c>
      <c r="M54" s="651" t="inlineStr">
        <is>
          <t>News</t>
        </is>
      </c>
      <c r="N54" s="444"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ht="21" customHeight="1" s="545">
      <c r="B55" s="439" t="inlineStr">
        <is>
          <t>Thornton</t>
        </is>
      </c>
      <c r="C55" s="652" t="inlineStr">
        <is>
          <t>City</t>
        </is>
      </c>
      <c r="D55" s="651" t="inlineStr">
        <is>
          <t>Official Home</t>
        </is>
      </c>
      <c r="E55" s="651" t="inlineStr">
        <is>
          <t>Property / GIS</t>
        </is>
      </c>
      <c r="F55" s="651" t="inlineStr">
        <is>
          <t>Zoning / Code</t>
        </is>
      </c>
      <c r="G55" s="651" t="inlineStr">
        <is>
          <t>Planning</t>
        </is>
      </c>
      <c r="H55" s="651" t="inlineStr">
        <is>
          <t>Development / Projects</t>
        </is>
      </c>
      <c r="I55" s="651" t="inlineStr">
        <is>
          <t>Permits</t>
        </is>
      </c>
      <c r="J55" s="651" t="inlineStr">
        <is>
          <t>Long-Range Plan</t>
        </is>
      </c>
      <c r="K55" s="651" t="inlineStr">
        <is>
          <t>Agendas / Meetings</t>
        </is>
      </c>
      <c r="L55" s="651" t="inlineStr">
        <is>
          <t>Public Notices</t>
        </is>
      </c>
      <c r="M55" s="651" t="inlineStr">
        <is>
          <t>News</t>
        </is>
      </c>
      <c r="N55" s="444"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ht="21" customHeight="1" s="545">
      <c r="B56" s="439" t="inlineStr">
        <is>
          <t>Westminster</t>
        </is>
      </c>
      <c r="C56" s="652" t="inlineStr">
        <is>
          <t>City</t>
        </is>
      </c>
      <c r="D56" s="651" t="inlineStr">
        <is>
          <t>Official Home</t>
        </is>
      </c>
      <c r="E56" s="651" t="inlineStr">
        <is>
          <t>Property / GIS</t>
        </is>
      </c>
      <c r="F56" s="651" t="inlineStr">
        <is>
          <t>Zoning / Code</t>
        </is>
      </c>
      <c r="G56" s="651" t="inlineStr">
        <is>
          <t>Planning</t>
        </is>
      </c>
      <c r="H56" s="651" t="inlineStr">
        <is>
          <t>Development / Projects</t>
        </is>
      </c>
      <c r="I56" s="651" t="inlineStr">
        <is>
          <t>Permits</t>
        </is>
      </c>
      <c r="J56" s="651" t="inlineStr">
        <is>
          <t>Long-Range Plan</t>
        </is>
      </c>
      <c r="K56" s="651" t="inlineStr">
        <is>
          <t>Agendas / Meetings</t>
        </is>
      </c>
      <c r="L56" s="651" t="inlineStr">
        <is>
          <t>Public Notices</t>
        </is>
      </c>
      <c r="M56" s="651" t="inlineStr">
        <is>
          <t>News</t>
        </is>
      </c>
      <c r="N56" s="444"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41:F41"/>
    <mergeCell ref="C10:F10"/>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formula2>0</formula2>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11811023622047" footer="0.511811023622047"/>
  <pageSetup orientation="portrait" paperSize="9" horizontalDpi="300" verticalDpi="300"/>
</worksheet>
</file>

<file path=xl/worksheets/sheet29.xml><?xml version="1.0" encoding="utf-8"?>
<worksheet xmlns="http://schemas.openxmlformats.org/spreadsheetml/2006/main">
  <sheetPr>
    <tabColor rgb="FFC55A11"/>
    <outlinePr summaryBelow="1" summaryRight="1"/>
    <pageSetUpPr/>
  </sheetPr>
  <dimension ref="B1:J332"/>
  <sheetViews>
    <sheetView zoomScaleNormal="100" workbookViewId="0">
      <pane xSplit="1" ySplit="4" topLeftCell="B5" activePane="bottomRight" state="frozen"/>
      <selection pane="topRight" activeCell="B1" sqref="B1"/>
      <selection pane="bottomLeft" activeCell="A5" sqref="A5"/>
      <selection pane="bottomRight" activeCell="A1" sqref="A1"/>
    </sheetView>
  </sheetViews>
  <sheetFormatPr baseColWidth="8" defaultColWidth="10.28515625" defaultRowHeight="12"/>
  <cols>
    <col width="2.28515625" customWidth="1" style="545" min="1" max="1"/>
    <col width="29.5703125" customWidth="1" style="545" min="2" max="2"/>
    <col width="27.42578125" customWidth="1" style="545" min="3" max="3"/>
    <col width="38.7109375" customWidth="1" style="545" min="4" max="4"/>
    <col width="52.42578125" customWidth="1" style="545" min="5" max="6"/>
    <col width="59.28515625" customWidth="1" style="545" min="7" max="7"/>
    <col width="13.7109375" customWidth="1" style="545" min="8" max="8"/>
    <col width="16" customWidth="1" style="545" min="9" max="9"/>
    <col width="27.42578125" customWidth="1" style="545" min="10" max="10"/>
  </cols>
  <sheetData>
    <row r="1" ht="19.5" customHeight="1" s="545">
      <c r="B1" s="81" t="inlineStr">
        <is>
          <t>RESOURCE DIRECTORY — every curated source in one filterable table</t>
        </is>
      </c>
    </row>
    <row r="2" ht="126" customHeight="1" s="545">
      <c r="B2" s="653"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ht="12" customHeight="1" s="545">
      <c r="B4" s="212" t="inlineStr">
        <is>
          <t>Jurisdiction / Agency</t>
        </is>
      </c>
      <c r="C4" s="212" t="inlineStr">
        <is>
          <t>Category</t>
        </is>
      </c>
      <c r="D4" s="212" t="inlineStr">
        <is>
          <t>Resource</t>
        </is>
      </c>
      <c r="E4" s="212" t="inlineStr">
        <is>
          <t>What It Provides</t>
        </is>
      </c>
      <c r="F4" s="212" t="inlineStr">
        <is>
          <t>Best Use / Why It Matters</t>
        </is>
      </c>
      <c r="G4" s="212" t="inlineStr">
        <is>
          <t>Link</t>
        </is>
      </c>
      <c r="H4" s="212" t="inlineStr">
        <is>
          <t>Priority</t>
        </is>
      </c>
    </row>
    <row r="5" ht="31.5" customHeight="1" s="545">
      <c r="B5" s="652" t="inlineStr">
        <is>
          <t>Adams County</t>
        </is>
      </c>
      <c r="C5" s="652" t="inlineStr">
        <is>
          <t>Jurisdictions</t>
        </is>
      </c>
      <c r="D5" s="652" t="inlineStr">
        <is>
          <t>Cities &amp; Towns in Adams County</t>
        </is>
      </c>
      <c r="E5" s="444" t="inlineStr">
        <is>
          <t>Official county list of municipalities with territory in Adams County and named unincorporated communities.</t>
        </is>
      </c>
      <c r="F5" s="444" t="inlineStr">
        <is>
          <t>Confirm which municipal websites belong in the search set.</t>
        </is>
      </c>
      <c r="G5" s="651" t="inlineStr">
        <is>
          <t>https://adamscountyco.gov/about-adams-county/cities-towns/</t>
        </is>
      </c>
      <c r="H5" s="652" t="inlineStr">
        <is>
          <t>Critical</t>
        </is>
      </c>
    </row>
    <row r="6" ht="21" customHeight="1" s="545">
      <c r="B6" s="652" t="inlineStr">
        <is>
          <t>Adams County</t>
        </is>
      </c>
      <c r="C6" s="652" t="inlineStr">
        <is>
          <t>Property Search</t>
        </is>
      </c>
      <c r="D6" s="652" t="inlineStr">
        <is>
          <t>Search Real Property</t>
        </is>
      </c>
      <c r="E6" s="444" t="inlineStr">
        <is>
          <t>County assessor entry page for parcel, owner, address, account and assessment research.</t>
        </is>
      </c>
      <c r="F6" s="444" t="inlineStr">
        <is>
          <t>Start every Adams County property investigation and obtain the parcel/account number.</t>
        </is>
      </c>
      <c r="G6" s="651" t="inlineStr">
        <is>
          <t>https://adamscountyco.gov/service/search-real-property/</t>
        </is>
      </c>
      <c r="H6" s="652" t="inlineStr">
        <is>
          <t>Critical</t>
        </is>
      </c>
    </row>
    <row r="7" ht="21" customHeight="1" s="545">
      <c r="B7" s="652" t="inlineStr">
        <is>
          <t>Adams County</t>
        </is>
      </c>
      <c r="C7" s="652" t="inlineStr">
        <is>
          <t>Property Search</t>
        </is>
      </c>
      <c r="D7" s="652" t="inlineStr">
        <is>
          <t>Assessor Quick Search</t>
        </is>
      </c>
      <c r="E7" s="444" t="inlineStr">
        <is>
          <t>Direct assessor/GIS parcel lookup.</t>
        </is>
      </c>
      <c r="F7" s="444" t="inlineStr">
        <is>
          <t>Search by owner, address, parcel or account number and view assessment attributes.</t>
        </is>
      </c>
      <c r="G7" s="651" t="inlineStr">
        <is>
          <t>https://gisapp.adcogov.org/quicksearch/</t>
        </is>
      </c>
      <c r="H7" s="652" t="inlineStr">
        <is>
          <t>Critical</t>
        </is>
      </c>
    </row>
    <row r="8" ht="21" customHeight="1" s="545">
      <c r="B8" s="652" t="inlineStr">
        <is>
          <t>Adams County</t>
        </is>
      </c>
      <c r="C8" s="652" t="inlineStr">
        <is>
          <t>Assessor</t>
        </is>
      </c>
      <c r="D8" s="652" t="inlineStr">
        <is>
          <t>Assessor Office</t>
        </is>
      </c>
      <c r="E8" s="444" t="inlineStr">
        <is>
          <t>Assessment, valuation, exemptions, appeals and ownership record guidance.</t>
        </is>
      </c>
      <c r="F8" s="444" t="inlineStr">
        <is>
          <t>Resolve valuation or ownership questions and locate appeal information.</t>
        </is>
      </c>
      <c r="G8" s="651" t="inlineStr">
        <is>
          <t>https://adamscountyco.gov/our-county/elected-officials/assessor/</t>
        </is>
      </c>
      <c r="H8" s="652" t="inlineStr">
        <is>
          <t>High</t>
        </is>
      </c>
    </row>
    <row r="9" ht="21" customHeight="1" s="545">
      <c r="B9" s="652" t="inlineStr">
        <is>
          <t>Adams County</t>
        </is>
      </c>
      <c r="C9" s="652" t="inlineStr">
        <is>
          <t>GIS / Data</t>
        </is>
      </c>
      <c r="D9" s="652" t="inlineStr">
        <is>
          <t>Assessor Maps &amp; Data</t>
        </is>
      </c>
      <c r="E9" s="444" t="inlineStr">
        <is>
          <t>Assessor mapping and downloadable property-related data resources.</t>
        </is>
      </c>
      <c r="F9" s="444" t="inlineStr">
        <is>
          <t>Cross-check parcel geometry, neighborhood and assessment map data.</t>
        </is>
      </c>
      <c r="G9" s="651" t="inlineStr">
        <is>
          <t>https://adamscountyco.gov/our-county/elected-officials/assessor/maps-data/</t>
        </is>
      </c>
      <c r="H9" s="652" t="inlineStr">
        <is>
          <t>High</t>
        </is>
      </c>
    </row>
    <row r="10" ht="21" customHeight="1" s="545">
      <c r="B10" s="652" t="inlineStr">
        <is>
          <t>Adams County</t>
        </is>
      </c>
      <c r="C10" s="652" t="inlineStr">
        <is>
          <t>GIS / Data</t>
        </is>
      </c>
      <c r="D10" s="652" t="inlineStr">
        <is>
          <t>GIS Interactive Maps</t>
        </is>
      </c>
      <c r="E10" s="444" t="inlineStr">
        <is>
          <t>County interactive mapping applications.</t>
        </is>
      </c>
      <c r="F10" s="444" t="inlineStr">
        <is>
          <t>Screen parcels, boundaries, services, hazards and other mapped county data.</t>
        </is>
      </c>
      <c r="G10" s="651" t="inlineStr">
        <is>
          <t>https://adamscountyco.gov/service/gis-interactive-maps/</t>
        </is>
      </c>
      <c r="H10" s="652" t="inlineStr">
        <is>
          <t>Critical</t>
        </is>
      </c>
    </row>
    <row r="11" ht="21" customHeight="1" s="545">
      <c r="B11" s="652" t="inlineStr">
        <is>
          <t>Adams County</t>
        </is>
      </c>
      <c r="C11" s="652" t="inlineStr">
        <is>
          <t>GIS / Data</t>
        </is>
      </c>
      <c r="D11" s="652" t="inlineStr">
        <is>
          <t>Geographic Information Systems</t>
        </is>
      </c>
      <c r="E11" s="444" t="inlineStr">
        <is>
          <t>County GIS program overview and limitations.</t>
        </is>
      </c>
      <c r="F11" s="444" t="inlineStr">
        <is>
          <t>Understand map sources and remember that GIS parcel lines are not a legal survey.</t>
        </is>
      </c>
      <c r="G11" s="651" t="inlineStr">
        <is>
          <t>https://adamscountyco.gov/our-county/information-technology-innovation/geographic-information-systems/</t>
        </is>
      </c>
      <c r="H11" s="652" t="inlineStr">
        <is>
          <t>High</t>
        </is>
      </c>
    </row>
    <row r="12" ht="21" customHeight="1" s="545">
      <c r="B12" s="652" t="inlineStr">
        <is>
          <t>Adams County</t>
        </is>
      </c>
      <c r="C12" s="652" t="inlineStr">
        <is>
          <t>Recorded Documents</t>
        </is>
      </c>
      <c r="D12" s="652" t="inlineStr">
        <is>
          <t>Find Public Records / Recorded Documents</t>
        </is>
      </c>
      <c r="E12" s="444" t="inlineStr">
        <is>
          <t>Guide to recorded real estate documents, search methods and copies.</t>
        </is>
      </c>
      <c r="F12" s="444" t="inlineStr">
        <is>
          <t>Learn how to search deeds, deeds of trust, releases, easements, liens, plats and related filings.</t>
        </is>
      </c>
      <c r="G12" s="651" t="inlineStr">
        <is>
          <t>https://adamscountyco.gov/service/find-public-records-recorded-documents/</t>
        </is>
      </c>
      <c r="H12" s="652" t="inlineStr">
        <is>
          <t>Critical</t>
        </is>
      </c>
    </row>
    <row r="13" ht="21" customHeight="1" s="545">
      <c r="B13" s="652" t="inlineStr">
        <is>
          <t>Adams County</t>
        </is>
      </c>
      <c r="C13" s="652" t="inlineStr">
        <is>
          <t>Recorded Documents</t>
        </is>
      </c>
      <c r="D13" s="652" t="inlineStr">
        <is>
          <t>Landmark Web Recording Search</t>
        </is>
      </c>
      <c r="E13" s="444" t="inlineStr">
        <is>
          <t>Direct public index for recorded documents.</t>
        </is>
      </c>
      <c r="F13" s="444" t="inlineStr">
        <is>
          <t>Search the grantor/grantee index, legal description references and document numbers.</t>
        </is>
      </c>
      <c r="G13" s="651" t="inlineStr">
        <is>
          <t>https://recording.adamscountyco.gov/landmarkweb/</t>
        </is>
      </c>
      <c r="H13" s="652" t="inlineStr">
        <is>
          <t>Critical</t>
        </is>
      </c>
    </row>
    <row r="14" ht="21" customHeight="1" s="545">
      <c r="B14" s="652" t="inlineStr">
        <is>
          <t>Adams County</t>
        </is>
      </c>
      <c r="C14" s="652" t="inlineStr">
        <is>
          <t>Recorded Documents</t>
        </is>
      </c>
      <c r="D14" s="652" t="inlineStr">
        <is>
          <t>Recording Division</t>
        </is>
      </c>
      <c r="E14" s="444" t="inlineStr">
        <is>
          <t>Recorder services, fees, document standards and contact information.</t>
        </is>
      </c>
      <c r="F14" s="444" t="inlineStr">
        <is>
          <t>Order copies or resolve questions about recorded instruments.</t>
        </is>
      </c>
      <c r="G14" s="651" t="inlineStr">
        <is>
          <t>https://adamscountyco.gov/our-county/elected-officials/clerk-recorder/recording/</t>
        </is>
      </c>
      <c r="H14" s="652" t="inlineStr">
        <is>
          <t>High</t>
        </is>
      </c>
    </row>
    <row r="15" ht="21" customHeight="1" s="545">
      <c r="B15" s="652" t="inlineStr">
        <is>
          <t>Adams County</t>
        </is>
      </c>
      <c r="C15" s="652" t="inlineStr">
        <is>
          <t>Survey / Plat</t>
        </is>
      </c>
      <c r="D15" s="652" t="inlineStr">
        <is>
          <t>Land Survey Plats</t>
        </is>
      </c>
      <c r="E15" s="444" t="inlineStr">
        <is>
          <t>Recorded survey plat resources and filing information.</t>
        </is>
      </c>
      <c r="F15" s="444" t="inlineStr">
        <is>
          <t>Research recorded surveys and surveyor filings; still obtain a current survey when required.</t>
        </is>
      </c>
      <c r="G15" s="651" t="inlineStr">
        <is>
          <t>https://adamscountyco.gov/our-county/elected-officials/clerk-recorder/recording/land-survey-plats/</t>
        </is>
      </c>
      <c r="H15" s="652" t="inlineStr">
        <is>
          <t>High</t>
        </is>
      </c>
    </row>
    <row r="16" ht="21" customHeight="1" s="545">
      <c r="B16" s="652" t="inlineStr">
        <is>
          <t>Adams County</t>
        </is>
      </c>
      <c r="C16" s="652" t="inlineStr">
        <is>
          <t>Public Postings</t>
        </is>
      </c>
      <c r="D16" s="652" t="inlineStr">
        <is>
          <t>Public Document Postings</t>
        </is>
      </c>
      <c r="E16" s="444" t="inlineStr">
        <is>
          <t>Publicly posted documents maintained through the recording division.</t>
        </is>
      </c>
      <c r="F16" s="444" t="inlineStr">
        <is>
          <t>Check statutory postings and other public documents relevant to a parcel or entity.</t>
        </is>
      </c>
      <c r="G16" s="651" t="inlineStr">
        <is>
          <t>https://adamscountyco.gov/our-county/elected-officials/clerk-recorder/recording/public-document-postings/</t>
        </is>
      </c>
      <c r="H16" s="652" t="inlineStr">
        <is>
          <t>Useful</t>
        </is>
      </c>
    </row>
    <row r="17" ht="21" customHeight="1" s="545">
      <c r="B17" s="652" t="inlineStr">
        <is>
          <t>Adams County</t>
        </is>
      </c>
      <c r="C17" s="652" t="inlineStr">
        <is>
          <t>Property Tax</t>
        </is>
      </c>
      <c r="D17" s="652" t="inlineStr">
        <is>
          <t>Adams County Tax Portal</t>
        </is>
      </c>
      <c r="E17" s="444" t="inlineStr">
        <is>
          <t>Direct tax account search and payment portal.</t>
        </is>
      </c>
      <c r="F17" s="444" t="inlineStr">
        <is>
          <t>Verify current taxes, balances, tax history and payment status.</t>
        </is>
      </c>
      <c r="G17" s="651" t="inlineStr">
        <is>
          <t>https://adcotax.com/</t>
        </is>
      </c>
      <c r="H17" s="652" t="inlineStr">
        <is>
          <t>Critical</t>
        </is>
      </c>
    </row>
    <row r="18" ht="21" customHeight="1" s="545">
      <c r="B18" s="652" t="inlineStr">
        <is>
          <t>Adams County</t>
        </is>
      </c>
      <c r="C18" s="652" t="inlineStr">
        <is>
          <t>Property Tax</t>
        </is>
      </c>
      <c r="D18" s="652" t="inlineStr">
        <is>
          <t>Treasurer Division</t>
        </is>
      </c>
      <c r="E18" s="444" t="inlineStr">
        <is>
          <t>Treasurer services and property-tax administration information.</t>
        </is>
      </c>
      <c r="F18" s="444" t="inlineStr">
        <is>
          <t>Resolve tax bills, payment questions and certificates.</t>
        </is>
      </c>
      <c r="G18" s="651" t="inlineStr">
        <is>
          <t>https://adamscountyco.gov/our-county/elected-officials/treasurer-public-trustee/treasurer-division/</t>
        </is>
      </c>
      <c r="H18" s="652" t="inlineStr">
        <is>
          <t>High</t>
        </is>
      </c>
    </row>
    <row r="19" ht="21" customHeight="1" s="545">
      <c r="B19" s="652" t="inlineStr">
        <is>
          <t>Adams County</t>
        </is>
      </c>
      <c r="C19" s="652" t="inlineStr">
        <is>
          <t>Property Tax</t>
        </is>
      </c>
      <c r="D19" s="652" t="inlineStr">
        <is>
          <t>Property Tax Information</t>
        </is>
      </c>
      <c r="E19" s="444" t="inlineStr">
        <is>
          <t>Property tax timelines, payment methods and frequently used tax information.</t>
        </is>
      </c>
      <c r="F19" s="444" t="inlineStr">
        <is>
          <t>Understand due dates, delinquency and tax account procedures.</t>
        </is>
      </c>
      <c r="G19" s="651" t="inlineStr">
        <is>
          <t>https://adamscountyco.gov/our-county/elected-officials/treasurer-public-trustee/treasurer-division/property-tax-information/</t>
        </is>
      </c>
      <c r="H19" s="652" t="inlineStr">
        <is>
          <t>High</t>
        </is>
      </c>
    </row>
    <row r="20" ht="12" customHeight="1" s="545">
      <c r="B20" s="652" t="inlineStr">
        <is>
          <t>Adams County</t>
        </is>
      </c>
      <c r="C20" s="652" t="inlineStr">
        <is>
          <t>Tax Lien</t>
        </is>
      </c>
      <c r="D20" s="652" t="inlineStr">
        <is>
          <t>Tax Lien Sale</t>
        </is>
      </c>
      <c r="E20" s="444" t="inlineStr">
        <is>
          <t>County tax lien sale process and related information.</t>
        </is>
      </c>
      <c r="F20" s="444" t="inlineStr">
        <is>
          <t>Research delinquent tax liens and sale procedures.</t>
        </is>
      </c>
      <c r="G20" s="651" t="inlineStr">
        <is>
          <t>https://adamscountyco.gov/our-county/elected-officials/treasurer-public-trustee/treasurer-division/tax-lien-sale/</t>
        </is>
      </c>
      <c r="H20" s="652" t="inlineStr">
        <is>
          <t>High</t>
        </is>
      </c>
    </row>
    <row r="21" ht="21" customHeight="1" s="545">
      <c r="B21" s="652" t="inlineStr">
        <is>
          <t>Adams County</t>
        </is>
      </c>
      <c r="C21" s="652" t="inlineStr">
        <is>
          <t>Tax Lien</t>
        </is>
      </c>
      <c r="D21" s="652" t="inlineStr">
        <is>
          <t>Treasurer's Deed</t>
        </is>
      </c>
      <c r="E21" s="444" t="inlineStr">
        <is>
          <t>Information on the treasurer's deed process after a tax lien.</t>
        </is>
      </c>
      <c r="F21" s="444" t="inlineStr">
        <is>
          <t>Investigate tax-deed procedures and required notices.</t>
        </is>
      </c>
      <c r="G21" s="651" t="inlineStr">
        <is>
          <t>https://adamscountyco.gov/our-county/elected-officials/treasurer-public-trustee/treasurer-division/tax-lien-sale/treasurers-deed/</t>
        </is>
      </c>
      <c r="H21" s="652" t="inlineStr">
        <is>
          <t>High</t>
        </is>
      </c>
    </row>
    <row r="22" ht="21" customHeight="1" s="545">
      <c r="B22" s="652" t="inlineStr">
        <is>
          <t>Adams County</t>
        </is>
      </c>
      <c r="C22" s="652" t="inlineStr">
        <is>
          <t>Foreclosure</t>
        </is>
      </c>
      <c r="D22" s="652" t="inlineStr">
        <is>
          <t>Public Trustee Division</t>
        </is>
      </c>
      <c r="E22" s="444" t="inlineStr">
        <is>
          <t>County public trustee functions for deeds of trust and foreclosure administration.</t>
        </is>
      </c>
      <c r="F22" s="444" t="inlineStr">
        <is>
          <t>Understand foreclosure, releases and public trustee procedures.</t>
        </is>
      </c>
      <c r="G22" s="651" t="inlineStr">
        <is>
          <t>https://adamscountyco.gov/our-county/elected-officials/treasurer-public-trustee/public-trustee-division/</t>
        </is>
      </c>
      <c r="H22" s="652" t="inlineStr">
        <is>
          <t>High</t>
        </is>
      </c>
    </row>
    <row r="23" ht="21" customHeight="1" s="545">
      <c r="B23" s="652" t="inlineStr">
        <is>
          <t>Adams County</t>
        </is>
      </c>
      <c r="C23" s="652" t="inlineStr">
        <is>
          <t>Foreclosure</t>
        </is>
      </c>
      <c r="D23" s="652" t="inlineStr">
        <is>
          <t>Foreclosure Search</t>
        </is>
      </c>
      <c r="E23" s="444" t="inlineStr">
        <is>
          <t>Direct search of Adams County public trustee foreclosure records.</t>
        </is>
      </c>
      <c r="F23" s="444" t="inlineStr">
        <is>
          <t>Check pending and historical foreclosure activity associated with a borrower or property.</t>
        </is>
      </c>
      <c r="G23" s="651" t="inlineStr">
        <is>
          <t>https://apps.adcogov.org/PTForeclosureSearch/?ds=1</t>
        </is>
      </c>
      <c r="H23" s="652" t="inlineStr">
        <is>
          <t>Critical</t>
        </is>
      </c>
    </row>
    <row r="24" ht="12" customHeight="1" s="545">
      <c r="B24" s="652" t="inlineStr">
        <is>
          <t>Adams County</t>
        </is>
      </c>
      <c r="C24" s="652" t="inlineStr">
        <is>
          <t>Foreclosure</t>
        </is>
      </c>
      <c r="D24" s="652" t="inlineStr">
        <is>
          <t>Foreclosure Reports</t>
        </is>
      </c>
      <c r="E24" s="444" t="inlineStr">
        <is>
          <t>Public trustee foreclosure reports.</t>
        </is>
      </c>
      <c r="F24" s="444" t="inlineStr">
        <is>
          <t>Monitor foreclosure filings and sale-related reports.</t>
        </is>
      </c>
      <c r="G24" s="651" t="inlineStr">
        <is>
          <t>https://apps.adcogov.org/PTForeclosureSearch/reports</t>
        </is>
      </c>
      <c r="H24" s="652" t="inlineStr">
        <is>
          <t>High</t>
        </is>
      </c>
    </row>
    <row r="25" ht="21" customHeight="1" s="545">
      <c r="B25" s="652" t="inlineStr">
        <is>
          <t>Adams County</t>
        </is>
      </c>
      <c r="C25" s="652" t="inlineStr">
        <is>
          <t>Planning / Zoning</t>
        </is>
      </c>
      <c r="D25" s="652" t="inlineStr">
        <is>
          <t>Planning &amp; Development</t>
        </is>
      </c>
      <c r="E25" s="444" t="inlineStr">
        <is>
          <t>County planning, zoning and development review for unincorporated Adams County.</t>
        </is>
      </c>
      <c r="F25" s="444" t="inlineStr">
        <is>
          <t>Use only for unincorporated parcels; incorporated parcels are governed by their city or town.</t>
        </is>
      </c>
      <c r="G25" s="651" t="inlineStr">
        <is>
          <t>https://adamscountyco.gov/our-county/community-economic-development/planning-development/</t>
        </is>
      </c>
      <c r="H25" s="652" t="inlineStr">
        <is>
          <t>Critical</t>
        </is>
      </c>
    </row>
    <row r="26" ht="31.5" customHeight="1" s="545">
      <c r="B26" s="652" t="inlineStr">
        <is>
          <t>Adams County</t>
        </is>
      </c>
      <c r="C26" s="652" t="inlineStr">
        <is>
          <t>Planning / Zoning</t>
        </is>
      </c>
      <c r="D26" s="652" t="inlineStr">
        <is>
          <t>Development Standards &amp; Regulations</t>
        </is>
      </c>
      <c r="E26" s="444" t="inlineStr">
        <is>
          <t>Current county land-use and development regulations.</t>
        </is>
      </c>
      <c r="F26" s="444" t="inlineStr">
        <is>
          <t>Research zone districts, allowed uses, overlays, subdivisions and application standards in unincorporated areas.</t>
        </is>
      </c>
      <c r="G26" s="651" t="inlineStr">
        <is>
          <t>https://adamscountyco.gov/our-county/community-economic-development/planning-development/development-standards-regulations/</t>
        </is>
      </c>
      <c r="H26" s="652" t="inlineStr">
        <is>
          <t>Critical</t>
        </is>
      </c>
    </row>
    <row r="27" ht="21" customHeight="1" s="545">
      <c r="B27" s="652" t="inlineStr">
        <is>
          <t>Adams County</t>
        </is>
      </c>
      <c r="C27" s="652" t="inlineStr">
        <is>
          <t>Planning / Zoning</t>
        </is>
      </c>
      <c r="D27" s="652" t="inlineStr">
        <is>
          <t>Current Land Use Cases</t>
        </is>
      </c>
      <c r="E27" s="444" t="inlineStr">
        <is>
          <t>Scheduled land-use cases, public hearings and recent decisions.</t>
        </is>
      </c>
      <c r="F27" s="444" t="inlineStr">
        <is>
          <t>Identify rezonings, conditional uses, plats, variances and nearby proposals before final approval.</t>
        </is>
      </c>
      <c r="G27" s="651" t="inlineStr">
        <is>
          <t>https://adamscountyco.gov/our-county/community-economic-development/planning-development/current-land-use-cases/</t>
        </is>
      </c>
      <c r="H27" s="652" t="inlineStr">
        <is>
          <t>Critical</t>
        </is>
      </c>
    </row>
    <row r="28" ht="21" customHeight="1" s="545">
      <c r="B28" s="652" t="inlineStr">
        <is>
          <t>Adams County</t>
        </is>
      </c>
      <c r="C28" s="652" t="inlineStr">
        <is>
          <t>Long-Range Planning</t>
        </is>
      </c>
      <c r="D28" s="652" t="inlineStr">
        <is>
          <t>Advancing Adams Comprehensive Plan</t>
        </is>
      </c>
      <c r="E28" s="444" t="inlineStr">
        <is>
          <t>Countywide policy plan and future land-use maps for unincorporated Adams County.</t>
        </is>
      </c>
      <c r="F28" s="444" t="inlineStr">
        <is>
          <t>Evaluate future land-use direction, policy context and long-range growth patterns.</t>
        </is>
      </c>
      <c r="G28" s="651" t="inlineStr">
        <is>
          <t>https://adamscountyco.gov/our-county/community-economic-development/advancing-adams/comprehensive-plan/</t>
        </is>
      </c>
      <c r="H28" s="652" t="inlineStr">
        <is>
          <t>High</t>
        </is>
      </c>
    </row>
    <row r="29" ht="21" customHeight="1" s="545">
      <c r="B29" s="652" t="inlineStr">
        <is>
          <t>Adams County</t>
        </is>
      </c>
      <c r="C29" s="652" t="inlineStr">
        <is>
          <t>Long-Range Planning</t>
        </is>
      </c>
      <c r="D29" s="652" t="inlineStr">
        <is>
          <t>Long Range Planning</t>
        </is>
      </c>
      <c r="E29" s="444" t="inlineStr">
        <is>
          <t>Adopted plans and ongoing long-range planning work.</t>
        </is>
      </c>
      <c r="F29" s="444" t="inlineStr">
        <is>
          <t>Find subarea, transportation and other adopted planning documents.</t>
        </is>
      </c>
      <c r="G29" s="651" t="inlineStr">
        <is>
          <t>https://adamscountyco.gov/our-county/community-economic-development/planning-development/long-range-planning/</t>
        </is>
      </c>
      <c r="H29" s="652" t="inlineStr">
        <is>
          <t>High</t>
        </is>
      </c>
    </row>
    <row r="30" ht="21" customHeight="1" s="545">
      <c r="B30" s="652" t="inlineStr">
        <is>
          <t>Adams County</t>
        </is>
      </c>
      <c r="C30" s="652" t="inlineStr">
        <is>
          <t>Permits</t>
        </is>
      </c>
      <c r="D30" s="652" t="inlineStr">
        <is>
          <t>Permits &amp; Licensing</t>
        </is>
      </c>
      <c r="E30" s="444" t="inlineStr">
        <is>
          <t>County permit, license and Eye on Adams resources for unincorporated property.</t>
        </is>
      </c>
      <c r="F30" s="444" t="inlineStr">
        <is>
          <t>Find permit tools, licensing information and code-related records.</t>
        </is>
      </c>
      <c r="G30" s="651" t="inlineStr">
        <is>
          <t>https://adamscountyco.gov/our-county/community-economic-development/permits-licensing/</t>
        </is>
      </c>
      <c r="H30" s="652" t="inlineStr">
        <is>
          <t>Critical</t>
        </is>
      </c>
    </row>
    <row r="31" ht="21" customHeight="1" s="545">
      <c r="B31" s="652" t="inlineStr">
        <is>
          <t>Adams County</t>
        </is>
      </c>
      <c r="C31" s="652" t="inlineStr">
        <is>
          <t>Permits</t>
        </is>
      </c>
      <c r="D31" s="652" t="inlineStr">
        <is>
          <t>Building Permit</t>
        </is>
      </c>
      <c r="E31" s="444" t="inlineStr">
        <is>
          <t>Building-permit application, review, payment and permit-tracking guidance.</t>
        </is>
      </c>
      <c r="F31" s="444" t="inlineStr">
        <is>
          <t>Research or apply for building permits in unincorporated Adams County.</t>
        </is>
      </c>
      <c r="G31" s="651" t="inlineStr">
        <is>
          <t>https://adamscountyco.gov/our-county/community-economic-development/building-safety/building-permit/</t>
        </is>
      </c>
      <c r="H31" s="652" t="inlineStr">
        <is>
          <t>Critical</t>
        </is>
      </c>
    </row>
    <row r="32" ht="21" customHeight="1" s="545">
      <c r="B32" s="652" t="inlineStr">
        <is>
          <t>Adams County</t>
        </is>
      </c>
      <c r="C32" s="652" t="inlineStr">
        <is>
          <t>Permits</t>
        </is>
      </c>
      <c r="D32" s="652" t="inlineStr">
        <is>
          <t>Apply for a Building Permit</t>
        </is>
      </c>
      <c r="E32" s="444" t="inlineStr">
        <is>
          <t>Service guide to the building-permit process and required resources.</t>
        </is>
      </c>
      <c r="F32" s="444" t="inlineStr">
        <is>
          <t>Use as a concise application starting point.</t>
        </is>
      </c>
      <c r="G32" s="651" t="inlineStr">
        <is>
          <t>https://adamscountyco.gov/service/apply-for-a-building-permit/</t>
        </is>
      </c>
      <c r="H32" s="652" t="inlineStr">
        <is>
          <t>High</t>
        </is>
      </c>
    </row>
    <row r="33" ht="21" customHeight="1" s="545">
      <c r="B33" s="652" t="inlineStr">
        <is>
          <t>Adams County</t>
        </is>
      </c>
      <c r="C33" s="652" t="inlineStr">
        <is>
          <t>Permits</t>
        </is>
      </c>
      <c r="D33" s="652" t="inlineStr">
        <is>
          <t>Permit Fees &amp; Contractor Registration</t>
        </is>
      </c>
      <c r="E33" s="444" t="inlineStr">
        <is>
          <t>Permit fee and contractor licensing information.</t>
        </is>
      </c>
      <c r="F33" s="444" t="inlineStr">
        <is>
          <t>Estimate administrative requirements and verify contractor registration procedures.</t>
        </is>
      </c>
      <c r="G33" s="651" t="inlineStr">
        <is>
          <t>https://adamscountyco.gov/our-county/community-economic-development/building-safety/permit-fees-contractor-registration/</t>
        </is>
      </c>
      <c r="H33" s="652" t="inlineStr">
        <is>
          <t>Useful</t>
        </is>
      </c>
    </row>
    <row r="34" ht="12" customHeight="1" s="545">
      <c r="B34" s="652" t="inlineStr">
        <is>
          <t>Adams County</t>
        </is>
      </c>
      <c r="C34" s="652" t="inlineStr">
        <is>
          <t>Permits</t>
        </is>
      </c>
      <c r="D34" s="652" t="inlineStr">
        <is>
          <t>Submittal Checklists</t>
        </is>
      </c>
      <c r="E34" s="444" t="inlineStr">
        <is>
          <t>Checklists for development and building submittals.</t>
        </is>
      </c>
      <c r="F34" s="444" t="inlineStr">
        <is>
          <t>Confirm required documents before filing an application.</t>
        </is>
      </c>
      <c r="G34" s="651" t="inlineStr">
        <is>
          <t>https://adamscountyco.gov/our-county/community-economic-development/submittal-checklists/</t>
        </is>
      </c>
      <c r="H34" s="652" t="inlineStr">
        <is>
          <t>High</t>
        </is>
      </c>
    </row>
    <row r="35" ht="21" customHeight="1" s="545">
      <c r="B35" s="652" t="inlineStr">
        <is>
          <t>Adams County</t>
        </is>
      </c>
      <c r="C35" s="652" t="inlineStr">
        <is>
          <t>Codes</t>
        </is>
      </c>
      <c r="D35" s="652" t="inlineStr">
        <is>
          <t>Codes &amp; Information</t>
        </is>
      </c>
      <c r="E35" s="444" t="inlineStr">
        <is>
          <t>Building codes, development regulations and related compliance resources.</t>
        </is>
      </c>
      <c r="F35" s="444" t="inlineStr">
        <is>
          <t>Verify current construction and land-use standards before design or acquisition.</t>
        </is>
      </c>
      <c r="G35" s="651" t="inlineStr">
        <is>
          <t>https://adamscountyco.gov/our-county/community-economic-development/permits-licensing/codes-information/</t>
        </is>
      </c>
      <c r="H35" s="652" t="inlineStr">
        <is>
          <t>High</t>
        </is>
      </c>
    </row>
    <row r="36" ht="21" customHeight="1" s="545">
      <c r="B36" s="652" t="inlineStr">
        <is>
          <t>Adams County</t>
        </is>
      </c>
      <c r="C36" s="652" t="inlineStr">
        <is>
          <t>Online Tools</t>
        </is>
      </c>
      <c r="D36" s="652" t="inlineStr">
        <is>
          <t>Community &amp; Economic Development Online Resources</t>
        </is>
      </c>
      <c r="E36" s="444" t="inlineStr">
        <is>
          <t>Online research and application resources for planning, building and permits.</t>
        </is>
      </c>
      <c r="F36" s="444" t="inlineStr">
        <is>
          <t>Use as a consolidated starting point for development services.</t>
        </is>
      </c>
      <c r="G36" s="651" t="inlineStr">
        <is>
          <t>https://adamscountyco.gov/our-county/community-economic-development/online-resources/</t>
        </is>
      </c>
      <c r="H36" s="652" t="inlineStr">
        <is>
          <t>Useful</t>
        </is>
      </c>
    </row>
    <row r="37" ht="21" customHeight="1" s="545">
      <c r="B37" s="652" t="inlineStr">
        <is>
          <t>Adams County</t>
        </is>
      </c>
      <c r="C37" s="652" t="inlineStr">
        <is>
          <t>Road / Access</t>
        </is>
      </c>
      <c r="D37" s="652" t="inlineStr">
        <is>
          <t>Public Works</t>
        </is>
      </c>
      <c r="E37" s="444" t="inlineStr">
        <is>
          <t>County roads, right-of-way, access, stormwater and infrastructure permit information.</t>
        </is>
      </c>
      <c r="F37" s="444" t="inlineStr">
        <is>
          <t>Check county road jurisdiction, access permits and public works projects.</t>
        </is>
      </c>
      <c r="G37" s="651" t="inlineStr">
        <is>
          <t>https://adamscountyco.gov/our-county/public-works/</t>
        </is>
      </c>
      <c r="H37" s="652" t="inlineStr">
        <is>
          <t>High</t>
        </is>
      </c>
    </row>
    <row r="38" ht="21" customHeight="1" s="545">
      <c r="B38" s="652" t="inlineStr">
        <is>
          <t>Adams County</t>
        </is>
      </c>
      <c r="C38" s="652" t="inlineStr">
        <is>
          <t>Meetings</t>
        </is>
      </c>
      <c r="D38" s="652" t="inlineStr">
        <is>
          <t>Public Meetings</t>
        </is>
      </c>
      <c r="E38" s="444" t="inlineStr">
        <is>
          <t>County boards, commissions, hearings and public participation links.</t>
        </is>
      </c>
      <c r="F38" s="444" t="inlineStr">
        <is>
          <t>Monitor decisions and public-comment opportunities.</t>
        </is>
      </c>
      <c r="G38" s="651" t="inlineStr">
        <is>
          <t>https://adamscountyco.gov/about-adams-county/public-meetings/</t>
        </is>
      </c>
      <c r="H38" s="652" t="inlineStr">
        <is>
          <t>High</t>
        </is>
      </c>
    </row>
    <row r="39" ht="21" customHeight="1" s="545">
      <c r="B39" s="652" t="inlineStr">
        <is>
          <t>Adams County</t>
        </is>
      </c>
      <c r="C39" s="652" t="inlineStr">
        <is>
          <t>Meetings</t>
        </is>
      </c>
      <c r="D39" s="652" t="inlineStr">
        <is>
          <t>Current Meeting Agendas &amp; Archives</t>
        </is>
      </c>
      <c r="E39" s="444" t="inlineStr">
        <is>
          <t>Board of County Commissioners agendas, minutes, audio and public hearing information.</t>
        </is>
      </c>
      <c r="F39" s="444" t="inlineStr">
        <is>
          <t>Track pending and completed county actions.</t>
        </is>
      </c>
      <c r="G39" s="651" t="inlineStr">
        <is>
          <t>https://adamscountyco.gov/our-county/elected-officials/board-of-county-commissioners/current-meeting-agendas-archives/</t>
        </is>
      </c>
      <c r="H39" s="652" t="inlineStr">
        <is>
          <t>High</t>
        </is>
      </c>
    </row>
    <row r="40" ht="21" customHeight="1" s="545">
      <c r="B40" s="652" t="inlineStr">
        <is>
          <t>Adams County</t>
        </is>
      </c>
      <c r="C40" s="652" t="inlineStr">
        <is>
          <t>News</t>
        </is>
      </c>
      <c r="D40" s="652" t="inlineStr">
        <is>
          <t>Adams County News</t>
        </is>
      </c>
      <c r="E40" s="444" t="inlineStr">
        <is>
          <t>Official county news and announcements.</t>
        </is>
      </c>
      <c r="F40" s="444" t="inlineStr">
        <is>
          <t>Monitor code updates, projects, hearings, public programs and policy changes.</t>
        </is>
      </c>
      <c r="G40" s="651" t="inlineStr">
        <is>
          <t>https://adamscountyco.gov/about-adams-county/news/</t>
        </is>
      </c>
      <c r="H40" s="652" t="inlineStr">
        <is>
          <t>High</t>
        </is>
      </c>
    </row>
    <row r="41" ht="21" customHeight="1" s="545">
      <c r="B41" s="652" t="inlineStr">
        <is>
          <t>Adams County</t>
        </is>
      </c>
      <c r="C41" s="652" t="inlineStr">
        <is>
          <t>News</t>
        </is>
      </c>
      <c r="D41" s="652" t="inlineStr">
        <is>
          <t>Planning &amp; Development News &amp; Updates</t>
        </is>
      </c>
      <c r="E41" s="444" t="inlineStr">
        <is>
          <t>Updates from the county planning and development division.</t>
        </is>
      </c>
      <c r="F41" s="444" t="inlineStr">
        <is>
          <t>Watch for development-regulation changes and planning initiatives.</t>
        </is>
      </c>
      <c r="G41" s="651" t="inlineStr">
        <is>
          <t>https://adamscountyco.gov/our-county/community-economic-development/planning-development/news-updates/</t>
        </is>
      </c>
      <c r="H41" s="652" t="inlineStr">
        <is>
          <t>High</t>
        </is>
      </c>
    </row>
    <row r="42" ht="12" customHeight="1" s="545">
      <c r="B42" s="652" t="inlineStr">
        <is>
          <t>Arvada</t>
        </is>
      </c>
      <c r="C42" s="652" t="inlineStr">
        <is>
          <t>Official Website</t>
        </is>
      </c>
      <c r="D42" s="652" t="inlineStr">
        <is>
          <t>City of Arvada</t>
        </is>
      </c>
      <c r="E42" s="444" t="inlineStr">
        <is>
          <t>Main city website and departmental navigation.</t>
        </is>
      </c>
      <c r="F42" s="444" t="inlineStr">
        <is>
          <t>Verify current city contacts and services.</t>
        </is>
      </c>
      <c r="G42" s="651" t="inlineStr">
        <is>
          <t>https://www.arvadaco.gov/</t>
        </is>
      </c>
      <c r="H42" s="652" t="inlineStr">
        <is>
          <t>Reference</t>
        </is>
      </c>
    </row>
    <row r="43" ht="12" customHeight="1" s="545">
      <c r="B43" s="652" t="inlineStr">
        <is>
          <t>Arvada</t>
        </is>
      </c>
      <c r="C43" s="652" t="inlineStr">
        <is>
          <t>GIS / Property</t>
        </is>
      </c>
      <c r="D43" s="652" t="inlineStr">
        <is>
          <t>Maps and Property Search</t>
        </is>
      </c>
      <c r="E43" s="444" t="inlineStr">
        <is>
          <t>City maps and parcel/property research links.</t>
        </is>
      </c>
      <c r="F43" s="444" t="inlineStr">
        <is>
          <t>Locate parcels, zoning and mapped city information.</t>
        </is>
      </c>
      <c r="G43" s="651" t="inlineStr">
        <is>
          <t>https://www.arvadaco.gov/702/Maps-and-Property-Search</t>
        </is>
      </c>
      <c r="H43" s="652" t="inlineStr">
        <is>
          <t>Critical</t>
        </is>
      </c>
    </row>
    <row r="44" ht="12" customHeight="1" s="545">
      <c r="B44" s="652" t="inlineStr">
        <is>
          <t>Arvada</t>
        </is>
      </c>
      <c r="C44" s="652" t="inlineStr">
        <is>
          <t>Zoning</t>
        </is>
      </c>
      <c r="D44" s="652" t="inlineStr">
        <is>
          <t>Zoning</t>
        </is>
      </c>
      <c r="E44" s="444" t="inlineStr">
        <is>
          <t>Zoning districts, regulations and zoning information.</t>
        </is>
      </c>
      <c r="F44" s="444" t="inlineStr">
        <is>
          <t>Confirm district and permitted-use rules.</t>
        </is>
      </c>
      <c r="G44" s="651" t="inlineStr">
        <is>
          <t>https://www.arvadaco.gov/168/Zoning</t>
        </is>
      </c>
      <c r="H44" s="652" t="inlineStr">
        <is>
          <t>Critical</t>
        </is>
      </c>
    </row>
    <row r="45" ht="21" customHeight="1" s="545">
      <c r="B45" s="652" t="inlineStr">
        <is>
          <t>Arvada</t>
        </is>
      </c>
      <c r="C45" s="652" t="inlineStr">
        <is>
          <t>Planning</t>
        </is>
      </c>
      <c r="D45" s="652" t="inlineStr">
        <is>
          <t>Planning and Development</t>
        </is>
      </c>
      <c r="E45" s="444" t="inlineStr">
        <is>
          <t>Planning, land use, development review and long-range resources.</t>
        </is>
      </c>
      <c r="F45" s="444" t="inlineStr">
        <is>
          <t>Start development or entitlement research.</t>
        </is>
      </c>
      <c r="G45" s="651" t="inlineStr">
        <is>
          <t>https://www.arvadaco.gov/1369/Planning-and-Development</t>
        </is>
      </c>
      <c r="H45" s="652" t="inlineStr">
        <is>
          <t>Critical</t>
        </is>
      </c>
    </row>
    <row r="46" ht="12" customHeight="1" s="545">
      <c r="B46" s="652" t="inlineStr">
        <is>
          <t>Arvada</t>
        </is>
      </c>
      <c r="C46" s="652" t="inlineStr">
        <is>
          <t>Code</t>
        </is>
      </c>
      <c r="D46" s="652" t="inlineStr">
        <is>
          <t>Land Development Code</t>
        </is>
      </c>
      <c r="E46" s="444" t="inlineStr">
        <is>
          <t>Current land-development regulations.</t>
        </is>
      </c>
      <c r="F46" s="444" t="inlineStr">
        <is>
          <t>Review use, dimensional, design and review standards.</t>
        </is>
      </c>
      <c r="G46" s="651" t="inlineStr">
        <is>
          <t>https://www.arvadaco.gov/1397/Land-Development-Code</t>
        </is>
      </c>
      <c r="H46" s="652" t="inlineStr">
        <is>
          <t>Critical</t>
        </is>
      </c>
    </row>
    <row r="47" ht="21" customHeight="1" s="545">
      <c r="B47" s="652" t="inlineStr">
        <is>
          <t>Arvada</t>
        </is>
      </c>
      <c r="C47" s="652" t="inlineStr">
        <is>
          <t>Development</t>
        </is>
      </c>
      <c r="D47" s="652" t="inlineStr">
        <is>
          <t>Active Development Projects</t>
        </is>
      </c>
      <c r="E47" s="444" t="inlineStr">
        <is>
          <t>Map/list of current development projects.</t>
        </is>
      </c>
      <c r="F47" s="444" t="inlineStr">
        <is>
          <t>Identify pending or active projects near a target property.</t>
        </is>
      </c>
      <c r="G47" s="651" t="inlineStr">
        <is>
          <t>https://www.arvadaco.gov/1394/Active-Development-Projects</t>
        </is>
      </c>
      <c r="H47" s="652" t="inlineStr">
        <is>
          <t>High</t>
        </is>
      </c>
    </row>
    <row r="48" ht="12" customHeight="1" s="545">
      <c r="B48" s="652" t="inlineStr">
        <is>
          <t>Arvada</t>
        </is>
      </c>
      <c r="C48" s="652" t="inlineStr">
        <is>
          <t>Development</t>
        </is>
      </c>
      <c r="D48" s="652" t="inlineStr">
        <is>
          <t>Development Review Process</t>
        </is>
      </c>
      <c r="E48" s="444" t="inlineStr">
        <is>
          <t>Explanation of land-use and development review steps.</t>
        </is>
      </c>
      <c r="F48" s="444" t="inlineStr">
        <is>
          <t>Estimate entitlement path and required approvals.</t>
        </is>
      </c>
      <c r="G48" s="651" t="inlineStr">
        <is>
          <t>https://www.arvadaco.gov/1393/Development-Review-Process</t>
        </is>
      </c>
      <c r="H48" s="652" t="inlineStr">
        <is>
          <t>High</t>
        </is>
      </c>
    </row>
    <row r="49" ht="21" customHeight="1" s="545">
      <c r="B49" s="652" t="inlineStr">
        <is>
          <t>Arvada</t>
        </is>
      </c>
      <c r="C49" s="652" t="inlineStr">
        <is>
          <t>Planning Documents</t>
        </is>
      </c>
      <c r="D49" s="652" t="inlineStr">
        <is>
          <t>Documents and Downloads</t>
        </is>
      </c>
      <c r="E49" s="444" t="inlineStr">
        <is>
          <t>Applications, checklists, plans and planning documents.</t>
        </is>
      </c>
      <c r="F49" s="444" t="inlineStr">
        <is>
          <t>Collect forms and supporting standards.</t>
        </is>
      </c>
      <c r="G49" s="651" t="inlineStr">
        <is>
          <t>https://www.arvadaco.gov/363/Documents-and-Downloads</t>
        </is>
      </c>
      <c r="H49" s="652" t="inlineStr">
        <is>
          <t>Useful</t>
        </is>
      </c>
    </row>
    <row r="50" ht="12" customHeight="1" s="545">
      <c r="B50" s="652" t="inlineStr">
        <is>
          <t>Arvada</t>
        </is>
      </c>
      <c r="C50" s="652" t="inlineStr">
        <is>
          <t>Permits</t>
        </is>
      </c>
      <c r="D50" s="652" t="inlineStr">
        <is>
          <t>Permits</t>
        </is>
      </c>
      <c r="E50" s="444" t="inlineStr">
        <is>
          <t>City permit portal and permit categories.</t>
        </is>
      </c>
      <c r="F50" s="444" t="inlineStr">
        <is>
          <t>Find applicable city permits.</t>
        </is>
      </c>
      <c r="G50" s="651" t="inlineStr">
        <is>
          <t>https://www.arvadaco.gov/330/Permits</t>
        </is>
      </c>
      <c r="H50" s="652" t="inlineStr">
        <is>
          <t>High</t>
        </is>
      </c>
    </row>
    <row r="51" ht="12" customHeight="1" s="545">
      <c r="B51" s="652" t="inlineStr">
        <is>
          <t>Arvada</t>
        </is>
      </c>
      <c r="C51" s="652" t="inlineStr">
        <is>
          <t>Permits</t>
        </is>
      </c>
      <c r="D51" s="652" t="inlineStr">
        <is>
          <t>Building Permits</t>
        </is>
      </c>
      <c r="E51" s="444" t="inlineStr">
        <is>
          <t>Building-permit requirements and guidance.</t>
        </is>
      </c>
      <c r="F51" s="444" t="inlineStr">
        <is>
          <t>Research construction permit needs.</t>
        </is>
      </c>
      <c r="G51" s="651" t="inlineStr">
        <is>
          <t>https://www.arvadaco.gov/332/Building-Permits</t>
        </is>
      </c>
      <c r="H51" s="652" t="inlineStr">
        <is>
          <t>Critical</t>
        </is>
      </c>
    </row>
    <row r="52" ht="12" customHeight="1" s="545">
      <c r="B52" s="652" t="inlineStr">
        <is>
          <t>Arvada</t>
        </is>
      </c>
      <c r="C52" s="652" t="inlineStr">
        <is>
          <t>Permits</t>
        </is>
      </c>
      <c r="D52" s="652" t="inlineStr">
        <is>
          <t>eTRAKiT Help</t>
        </is>
      </c>
      <c r="E52" s="444" t="inlineStr">
        <is>
          <t>Online permit and project portal help.</t>
        </is>
      </c>
      <c r="F52" s="444" t="inlineStr">
        <is>
          <t>Search or manage permits and development cases.</t>
        </is>
      </c>
      <c r="G52" s="651" t="inlineStr">
        <is>
          <t>https://www.arvadaco.gov/593/eTRAKiT-Help/permithelp</t>
        </is>
      </c>
      <c r="H52" s="652" t="inlineStr">
        <is>
          <t>High</t>
        </is>
      </c>
    </row>
    <row r="53" ht="12" customHeight="1" s="545">
      <c r="B53" s="652" t="inlineStr">
        <is>
          <t>Arvada</t>
        </is>
      </c>
      <c r="C53" s="652" t="inlineStr">
        <is>
          <t>Permit History</t>
        </is>
      </c>
      <c r="D53" s="652" t="inlineStr">
        <is>
          <t>Researching Permits</t>
        </is>
      </c>
      <c r="E53" s="444" t="inlineStr">
        <is>
          <t>Instructions for researching historical permits.</t>
        </is>
      </c>
      <c r="F53" s="444" t="inlineStr">
        <is>
          <t>Check prior construction and permit records.</t>
        </is>
      </c>
      <c r="G53" s="651" t="inlineStr">
        <is>
          <t>https://www.arvadaco.gov/627/Researching-Permits</t>
        </is>
      </c>
      <c r="H53" s="652" t="inlineStr">
        <is>
          <t>High</t>
        </is>
      </c>
    </row>
    <row r="54" ht="12" customHeight="1" s="545">
      <c r="B54" s="652" t="inlineStr">
        <is>
          <t>Arvada</t>
        </is>
      </c>
      <c r="C54" s="652" t="inlineStr">
        <is>
          <t>Long-Range Planning</t>
        </is>
      </c>
      <c r="D54" s="652" t="inlineStr">
        <is>
          <t>2026-27 Comprehensive Plan</t>
        </is>
      </c>
      <c r="E54" s="444" t="inlineStr">
        <is>
          <t>Current comprehensive-plan update information.</t>
        </is>
      </c>
      <c r="F54" s="444" t="inlineStr">
        <is>
          <t>Track future land-use policy and plan changes.</t>
        </is>
      </c>
      <c r="G54" s="651" t="inlineStr">
        <is>
          <t>https://www.arvadaco.gov/1374/2026-27-Comprehensive-Plan</t>
        </is>
      </c>
      <c r="H54" s="652" t="inlineStr">
        <is>
          <t>High</t>
        </is>
      </c>
    </row>
    <row r="55" ht="12" customHeight="1" s="545">
      <c r="B55" s="652" t="inlineStr">
        <is>
          <t>Arvada</t>
        </is>
      </c>
      <c r="C55" s="652" t="inlineStr">
        <is>
          <t>Plans</t>
        </is>
      </c>
      <c r="D55" s="652" t="inlineStr">
        <is>
          <t>City Plans</t>
        </is>
      </c>
      <c r="E55" s="444" t="inlineStr">
        <is>
          <t>Adopted and ongoing city plans.</t>
        </is>
      </c>
      <c r="F55" s="444" t="inlineStr">
        <is>
          <t>Review subarea and long-range policy documents.</t>
        </is>
      </c>
      <c r="G55" s="651" t="inlineStr">
        <is>
          <t>https://www.arvadaco.gov/304/City-Plans</t>
        </is>
      </c>
      <c r="H55" s="652" t="inlineStr">
        <is>
          <t>Useful</t>
        </is>
      </c>
    </row>
    <row r="56" ht="21" customHeight="1" s="545">
      <c r="B56" s="652" t="inlineStr">
        <is>
          <t>Arvada</t>
        </is>
      </c>
      <c r="C56" s="652" t="inlineStr">
        <is>
          <t>Meetings</t>
        </is>
      </c>
      <c r="D56" s="652" t="inlineStr">
        <is>
          <t>Planning Commission</t>
        </is>
      </c>
      <c r="E56" s="444" t="inlineStr">
        <is>
          <t>Planning Commission information and meeting resources.</t>
        </is>
      </c>
      <c r="F56" s="444" t="inlineStr">
        <is>
          <t>Monitor land-use recommendations and hearings.</t>
        </is>
      </c>
      <c r="G56" s="651" t="inlineStr">
        <is>
          <t>https://www.arvadaco.gov/276/Planning-Commission</t>
        </is>
      </c>
      <c r="H56" s="652" t="inlineStr">
        <is>
          <t>High</t>
        </is>
      </c>
    </row>
    <row r="57" ht="12" customHeight="1" s="545">
      <c r="B57" s="652" t="inlineStr">
        <is>
          <t>Arvada</t>
        </is>
      </c>
      <c r="C57" s="652" t="inlineStr">
        <is>
          <t>Meetings</t>
        </is>
      </c>
      <c r="D57" s="652" t="inlineStr">
        <is>
          <t>Agenda Center</t>
        </is>
      </c>
      <c r="E57" s="444" t="inlineStr">
        <is>
          <t>Agendas and minutes for city boards and council.</t>
        </is>
      </c>
      <c r="F57" s="444" t="inlineStr">
        <is>
          <t>Track official actions and hearing dates.</t>
        </is>
      </c>
      <c r="G57" s="651" t="inlineStr">
        <is>
          <t>https://www.arvadaco.gov/AgendaCenter</t>
        </is>
      </c>
      <c r="H57" s="652" t="inlineStr">
        <is>
          <t>High</t>
        </is>
      </c>
    </row>
    <row r="58" ht="12" customHeight="1" s="545">
      <c r="B58" s="652" t="inlineStr">
        <is>
          <t>Arvada</t>
        </is>
      </c>
      <c r="C58" s="652" t="inlineStr">
        <is>
          <t>Public Notices</t>
        </is>
      </c>
      <c r="D58" s="652" t="inlineStr">
        <is>
          <t>Meetings and Other Legal Notices</t>
        </is>
      </c>
      <c r="E58" s="444" t="inlineStr">
        <is>
          <t>Official notices and public-hearing information.</t>
        </is>
      </c>
      <c r="F58" s="444" t="inlineStr">
        <is>
          <t>Confirm formal notice and comment deadlines.</t>
        </is>
      </c>
      <c r="G58" s="651" t="inlineStr">
        <is>
          <t>https://www.arvadaco.gov/245/Meetings-and-Other-Legal-Notices</t>
        </is>
      </c>
      <c r="H58" s="652" t="inlineStr">
        <is>
          <t>High</t>
        </is>
      </c>
    </row>
    <row r="59" ht="21" customHeight="1" s="545">
      <c r="B59" s="652" t="inlineStr">
        <is>
          <t>Arvada</t>
        </is>
      </c>
      <c r="C59" s="652" t="inlineStr">
        <is>
          <t>News</t>
        </is>
      </c>
      <c r="D59" s="652" t="inlineStr">
        <is>
          <t>News Releases</t>
        </is>
      </c>
      <c r="E59" s="444" t="inlineStr">
        <is>
          <t>Official city news releases.</t>
        </is>
      </c>
      <c r="F59" s="444" t="inlineStr">
        <is>
          <t>Monitor city projects, policy and development announcements.</t>
        </is>
      </c>
      <c r="G59" s="651" t="inlineStr">
        <is>
          <t>https://www.arvadaco.gov/908/News-Releases</t>
        </is>
      </c>
      <c r="H59" s="652" t="inlineStr">
        <is>
          <t>Useful</t>
        </is>
      </c>
    </row>
    <row r="60" ht="12" customHeight="1" s="545">
      <c r="B60" s="652" t="inlineStr">
        <is>
          <t>Arvada</t>
        </is>
      </c>
      <c r="C60" s="652" t="inlineStr">
        <is>
          <t>Public Records</t>
        </is>
      </c>
      <c r="D60" s="652" t="inlineStr">
        <is>
          <t>Records and Requests</t>
        </is>
      </c>
      <c r="E60" s="444" t="inlineStr">
        <is>
          <t>Public records request information.</t>
        </is>
      </c>
      <c r="F60" s="444" t="inlineStr">
        <is>
          <t>Request records not available in online systems.</t>
        </is>
      </c>
      <c r="G60" s="651" t="inlineStr">
        <is>
          <t>https://www.arvadaco.gov/247/Records-and-Requests</t>
        </is>
      </c>
      <c r="H60" s="652" t="inlineStr">
        <is>
          <t>High</t>
        </is>
      </c>
    </row>
    <row r="61" ht="12" customHeight="1" s="545">
      <c r="B61" s="652" t="inlineStr">
        <is>
          <t>Aurora</t>
        </is>
      </c>
      <c r="C61" s="652" t="inlineStr">
        <is>
          <t>Official Website</t>
        </is>
      </c>
      <c r="D61" s="652" t="inlineStr">
        <is>
          <t>City of Aurora</t>
        </is>
      </c>
      <c r="E61" s="444" t="inlineStr">
        <is>
          <t>Main city website.</t>
        </is>
      </c>
      <c r="F61" s="444" t="inlineStr">
        <is>
          <t>Navigate city departments and services.</t>
        </is>
      </c>
      <c r="G61" s="651" t="inlineStr">
        <is>
          <t>https://www.auroragov.org/</t>
        </is>
      </c>
      <c r="H61" s="652" t="inlineStr">
        <is>
          <t>Reference</t>
        </is>
      </c>
    </row>
    <row r="62" ht="21" customHeight="1" s="545">
      <c r="B62" s="652" t="inlineStr">
        <is>
          <t>Aurora</t>
        </is>
      </c>
      <c r="C62" s="652" t="inlineStr">
        <is>
          <t>GIS / Property</t>
        </is>
      </c>
      <c r="D62" s="652" t="inlineStr">
        <is>
          <t>Planning and Zoning Maps</t>
        </is>
      </c>
      <c r="E62" s="444" t="inlineStr">
        <is>
          <t>Planning, zoning and related interactive maps.</t>
        </is>
      </c>
      <c r="F62" s="444" t="inlineStr">
        <is>
          <t>Locate zoning, plan areas and mapped land-use information.</t>
        </is>
      </c>
      <c r="G62" s="651" t="inlineStr">
        <is>
          <t>https://www.auroragov.org/city_hall/maps/planning_and_zoning_maps</t>
        </is>
      </c>
      <c r="H62" s="652" t="inlineStr">
        <is>
          <t>Critical</t>
        </is>
      </c>
    </row>
    <row r="63" ht="12" customHeight="1" s="545">
      <c r="B63" s="652" t="inlineStr">
        <is>
          <t>Aurora</t>
        </is>
      </c>
      <c r="C63" s="652" t="inlineStr">
        <is>
          <t>GIS / Open Data</t>
        </is>
      </c>
      <c r="D63" s="652" t="inlineStr">
        <is>
          <t>Aurora Open Data Map Services</t>
        </is>
      </c>
      <c r="E63" s="444" t="inlineStr">
        <is>
          <t>City GIS open-data map services.</t>
        </is>
      </c>
      <c r="F63" s="444" t="inlineStr">
        <is>
          <t>Use detailed GIS layers or connect mapping software.</t>
        </is>
      </c>
      <c r="G63" s="651" t="inlineStr">
        <is>
          <t>https://ags.auroragov.org/aurora/rest/services/OpenData/MapServer</t>
        </is>
      </c>
      <c r="H63" s="652" t="inlineStr">
        <is>
          <t>Useful</t>
        </is>
      </c>
    </row>
    <row r="64" ht="12" customHeight="1" s="545">
      <c r="B64" s="652" t="inlineStr">
        <is>
          <t>Aurora</t>
        </is>
      </c>
      <c r="C64" s="652" t="inlineStr">
        <is>
          <t>Zoning</t>
        </is>
      </c>
      <c r="D64" s="652" t="inlineStr">
        <is>
          <t>Zoning Navigator</t>
        </is>
      </c>
      <c r="E64" s="444" t="inlineStr">
        <is>
          <t>Interactive zoning and development-code navigation.</t>
        </is>
      </c>
      <c r="F64" s="444" t="inlineStr">
        <is>
          <t>Research district standards and applicable regulations.</t>
        </is>
      </c>
      <c r="G64" s="651" t="inlineStr">
        <is>
          <t>https://zoning.auroragov.org/</t>
        </is>
      </c>
      <c r="H64" s="652" t="inlineStr">
        <is>
          <t>Critical</t>
        </is>
      </c>
    </row>
    <row r="65" ht="21" customHeight="1" s="545">
      <c r="B65" s="652" t="inlineStr">
        <is>
          <t>Aurora</t>
        </is>
      </c>
      <c r="C65" s="652" t="inlineStr">
        <is>
          <t>Planning</t>
        </is>
      </c>
      <c r="D65" s="652" t="inlineStr">
        <is>
          <t>Planning</t>
        </is>
      </c>
      <c r="E65" s="444" t="inlineStr">
        <is>
          <t>Planning division resources, plans and land-use services.</t>
        </is>
      </c>
      <c r="F65" s="444" t="inlineStr">
        <is>
          <t>Start zoning or planning research.</t>
        </is>
      </c>
      <c r="G65" s="651" t="inlineStr">
        <is>
          <t>https://www.auroragov.org/business_services/planning</t>
        </is>
      </c>
      <c r="H65" s="652" t="inlineStr">
        <is>
          <t>Critical</t>
        </is>
      </c>
    </row>
    <row r="66" ht="21" customHeight="1" s="545">
      <c r="B66" s="652" t="inlineStr">
        <is>
          <t>Aurora</t>
        </is>
      </c>
      <c r="C66" s="652" t="inlineStr">
        <is>
          <t>Planning</t>
        </is>
      </c>
      <c r="D66" s="652" t="inlineStr">
        <is>
          <t>Planning &amp; Development Services</t>
        </is>
      </c>
      <c r="E66" s="444" t="inlineStr">
        <is>
          <t>Department-level planning, building and development services.</t>
        </is>
      </c>
      <c r="F66" s="444" t="inlineStr">
        <is>
          <t>Navigate project review and development departments.</t>
        </is>
      </c>
      <c r="G66" s="651" t="inlineStr">
        <is>
          <t>https://www.auroragov.org/city_hall/departments/planning___development_services</t>
        </is>
      </c>
      <c r="H66" s="652" t="inlineStr">
        <is>
          <t>High</t>
        </is>
      </c>
    </row>
    <row r="67" ht="21" customHeight="1" s="545">
      <c r="B67" s="652" t="inlineStr">
        <is>
          <t>Aurora</t>
        </is>
      </c>
      <c r="C67" s="652" t="inlineStr">
        <is>
          <t>Code</t>
        </is>
      </c>
      <c r="D67" s="652" t="inlineStr">
        <is>
          <t>Unified Development Ordinance</t>
        </is>
      </c>
      <c r="E67" s="444" t="inlineStr">
        <is>
          <t>Aurora's land-use and zoning ordinance.</t>
        </is>
      </c>
      <c r="F67" s="444" t="inlineStr">
        <is>
          <t>Review permitted uses, districts and development standards.</t>
        </is>
      </c>
      <c r="G67" s="651" t="inlineStr">
        <is>
          <t>https://www.auroragov.org/business_services/development_center/codes_rules/building___zoning_code/unified_development_ordinance</t>
        </is>
      </c>
      <c r="H67" s="652" t="inlineStr">
        <is>
          <t>Critical</t>
        </is>
      </c>
    </row>
    <row r="68" ht="12" customHeight="1" s="545">
      <c r="B68" s="652" t="inlineStr">
        <is>
          <t>Aurora</t>
        </is>
      </c>
      <c r="C68" s="652" t="inlineStr">
        <is>
          <t>Codes</t>
        </is>
      </c>
      <c r="D68" s="652" t="inlineStr">
        <is>
          <t>Building &amp; Zoning Code</t>
        </is>
      </c>
      <c r="E68" s="444" t="inlineStr">
        <is>
          <t>Building and zoning code resources.</t>
        </is>
      </c>
      <c r="F68" s="444" t="inlineStr">
        <is>
          <t>Verify construction and zoning requirements.</t>
        </is>
      </c>
      <c r="G68" s="651" t="inlineStr">
        <is>
          <t>https://www.auroragov.org/business_services/development_center/codes_rules/building___zoning_code</t>
        </is>
      </c>
      <c r="H68" s="652" t="inlineStr">
        <is>
          <t>High</t>
        </is>
      </c>
    </row>
    <row r="69" ht="12" customHeight="1" s="545">
      <c r="B69" s="652" t="inlineStr">
        <is>
          <t>Aurora</t>
        </is>
      </c>
      <c r="C69" s="652" t="inlineStr">
        <is>
          <t>Development</t>
        </is>
      </c>
      <c r="D69" s="652" t="inlineStr">
        <is>
          <t>Project Status Search</t>
        </is>
      </c>
      <c r="E69" s="444" t="inlineStr">
        <is>
          <t>Online search for development project status.</t>
        </is>
      </c>
      <c r="F69" s="444" t="inlineStr">
        <is>
          <t>Check active or historical development review cases.</t>
        </is>
      </c>
      <c r="G69" s="651" t="inlineStr">
        <is>
          <t>https://coaapps.auroragov.org/ProjectStatus/search.aspx</t>
        </is>
      </c>
      <c r="H69" s="652" t="inlineStr">
        <is>
          <t>Critical</t>
        </is>
      </c>
    </row>
    <row r="70" ht="12" customHeight="1" s="545">
      <c r="B70" s="652" t="inlineStr">
        <is>
          <t>Aurora</t>
        </is>
      </c>
      <c r="C70" s="652" t="inlineStr">
        <is>
          <t>Development</t>
        </is>
      </c>
      <c r="D70" s="652" t="inlineStr">
        <is>
          <t>Forms and Applications</t>
        </is>
      </c>
      <c r="E70" s="444" t="inlineStr">
        <is>
          <t>Development-center forms and applications.</t>
        </is>
      </c>
      <c r="F70" s="444" t="inlineStr">
        <is>
          <t>Identify required land-use and development submittals.</t>
        </is>
      </c>
      <c r="G70" s="651" t="inlineStr">
        <is>
          <t>https://www.auroragov.org/business_services/development_center/development_process/forms_and_applications</t>
        </is>
      </c>
      <c r="H70" s="652" t="inlineStr">
        <is>
          <t>High</t>
        </is>
      </c>
    </row>
    <row r="71" ht="12" customHeight="1" s="545">
      <c r="B71" s="652" t="inlineStr">
        <is>
          <t>Aurora</t>
        </is>
      </c>
      <c r="C71" s="652" t="inlineStr">
        <is>
          <t>Development</t>
        </is>
      </c>
      <c r="D71" s="652" t="inlineStr">
        <is>
          <t>Projects, Plans &amp; Studies</t>
        </is>
      </c>
      <c r="E71" s="444" t="inlineStr">
        <is>
          <t>Current and adopted planning projects and studies.</t>
        </is>
      </c>
      <c r="F71" s="444" t="inlineStr">
        <is>
          <t>Track area plans, corridor studies and policy changes.</t>
        </is>
      </c>
      <c r="G71" s="651" t="inlineStr">
        <is>
          <t>https://www.auroragov.org/business_services/planning/projects__plans___studies</t>
        </is>
      </c>
      <c r="H71" s="652" t="inlineStr">
        <is>
          <t>High</t>
        </is>
      </c>
    </row>
    <row r="72" ht="12" customHeight="1" s="545">
      <c r="B72" s="652" t="inlineStr">
        <is>
          <t>Aurora</t>
        </is>
      </c>
      <c r="C72" s="652" t="inlineStr">
        <is>
          <t>Long-Range Planning</t>
        </is>
      </c>
      <c r="D72" s="652" t="inlineStr">
        <is>
          <t>Comprehensive Plan</t>
        </is>
      </c>
      <c r="E72" s="444" t="inlineStr">
        <is>
          <t>Aurora comprehensive-plan resources.</t>
        </is>
      </c>
      <c r="F72" s="444" t="inlineStr">
        <is>
          <t>Evaluate future land-use and policy direction.</t>
        </is>
      </c>
      <c r="G72" s="651" t="inlineStr">
        <is>
          <t>https://www.auroragov.org/business_services/planning/projects__plans___studies/comprehensive_plan</t>
        </is>
      </c>
      <c r="H72" s="652" t="inlineStr">
        <is>
          <t>High</t>
        </is>
      </c>
    </row>
    <row r="73" ht="12" customHeight="1" s="545">
      <c r="B73" s="652" t="inlineStr">
        <is>
          <t>Aurora</t>
        </is>
      </c>
      <c r="C73" s="652" t="inlineStr">
        <is>
          <t>Neighborhood Planning</t>
        </is>
      </c>
      <c r="D73" s="652" t="inlineStr">
        <is>
          <t>Neighborhood Planning</t>
        </is>
      </c>
      <c r="E73" s="444" t="inlineStr">
        <is>
          <t>Area and neighborhood plan information.</t>
        </is>
      </c>
      <c r="F73" s="444" t="inlineStr">
        <is>
          <t>Research smaller-area plans affecting a parcel.</t>
        </is>
      </c>
      <c r="G73" s="651" t="inlineStr">
        <is>
          <t>https://www.auroragov.org/residents/neighborhood_planning</t>
        </is>
      </c>
      <c r="H73" s="652" t="inlineStr">
        <is>
          <t>Useful</t>
        </is>
      </c>
    </row>
    <row r="74" ht="12" customHeight="1" s="545">
      <c r="B74" s="652" t="inlineStr">
        <is>
          <t>Aurora</t>
        </is>
      </c>
      <c r="C74" s="652" t="inlineStr">
        <is>
          <t>Permits</t>
        </is>
      </c>
      <c r="D74" s="652" t="inlineStr">
        <is>
          <t>Building Permits</t>
        </is>
      </c>
      <c r="E74" s="444" t="inlineStr">
        <is>
          <t>Building permit information and application guidance.</t>
        </is>
      </c>
      <c r="F74" s="444" t="inlineStr">
        <is>
          <t>Check permit requirements and application paths.</t>
        </is>
      </c>
      <c r="G74" s="651" t="inlineStr">
        <is>
          <t>https://www.auroragov.org/business_services/building_division/permits</t>
        </is>
      </c>
      <c r="H74" s="652" t="inlineStr">
        <is>
          <t>Critical</t>
        </is>
      </c>
    </row>
    <row r="75" ht="12" customHeight="1" s="545">
      <c r="B75" s="652" t="inlineStr">
        <is>
          <t>Aurora</t>
        </is>
      </c>
      <c r="C75" s="652" t="inlineStr">
        <is>
          <t>Permits</t>
        </is>
      </c>
      <c r="D75" s="652" t="inlineStr">
        <is>
          <t>Development Center Permitting</t>
        </is>
      </c>
      <c r="E75" s="444" t="inlineStr">
        <is>
          <t>Development permitting and online processes.</t>
        </is>
      </c>
      <c r="F75" s="444" t="inlineStr">
        <is>
          <t>Manage or research development-related permits.</t>
        </is>
      </c>
      <c r="G75" s="651" t="inlineStr">
        <is>
          <t>https://www.auroragov.org/business_services/development_center/permitting</t>
        </is>
      </c>
      <c r="H75" s="652" t="inlineStr">
        <is>
          <t>High</t>
        </is>
      </c>
    </row>
    <row r="76" ht="12" customHeight="1" s="545">
      <c r="B76" s="652" t="inlineStr">
        <is>
          <t>Aurora</t>
        </is>
      </c>
      <c r="C76" s="652" t="inlineStr">
        <is>
          <t>Online Portal</t>
        </is>
      </c>
      <c r="D76" s="652" t="inlineStr">
        <is>
          <t>Aurora4Biz</t>
        </is>
      </c>
      <c r="E76" s="444" t="inlineStr">
        <is>
          <t>Online business, permit and licensing services.</t>
        </is>
      </c>
      <c r="F76" s="444" t="inlineStr">
        <is>
          <t>Access city permitting and business services.</t>
        </is>
      </c>
      <c r="G76" s="651" t="inlineStr">
        <is>
          <t>https://www.auroragov.org/business_services/aurora4biz</t>
        </is>
      </c>
      <c r="H76" s="652" t="inlineStr">
        <is>
          <t>High</t>
        </is>
      </c>
    </row>
    <row r="77" ht="21" customHeight="1" s="545">
      <c r="B77" s="652" t="inlineStr">
        <is>
          <t>Aurora</t>
        </is>
      </c>
      <c r="C77" s="652" t="inlineStr">
        <is>
          <t>Meetings</t>
        </is>
      </c>
      <c r="D77" s="652" t="inlineStr">
        <is>
          <t>Planning &amp; Zoning Commission</t>
        </is>
      </c>
      <c r="E77" s="444" t="inlineStr">
        <is>
          <t>Commission schedules, records and participation information.</t>
        </is>
      </c>
      <c r="F77" s="444" t="inlineStr">
        <is>
          <t>Monitor land-use hearings and recommendations.</t>
        </is>
      </c>
      <c r="G77" s="651" t="inlineStr">
        <is>
          <t>https://www.auroragov.org/city_hall/boards___commissions/planning___zoning_commission</t>
        </is>
      </c>
      <c r="H77" s="652" t="inlineStr">
        <is>
          <t>High</t>
        </is>
      </c>
    </row>
    <row r="78" ht="12" customHeight="1" s="545">
      <c r="B78" s="652" t="inlineStr">
        <is>
          <t>Aurora</t>
        </is>
      </c>
      <c r="C78" s="652" t="inlineStr">
        <is>
          <t>Meetings</t>
        </is>
      </c>
      <c r="D78" s="652" t="inlineStr">
        <is>
          <t>City Council Meetings</t>
        </is>
      </c>
      <c r="E78" s="444" t="inlineStr">
        <is>
          <t>Council meeting agendas and records.</t>
        </is>
      </c>
      <c r="F78" s="444" t="inlineStr">
        <is>
          <t>Track final legislative and land-use actions.</t>
        </is>
      </c>
      <c r="G78" s="651" t="inlineStr">
        <is>
          <t>https://www.auroragov.org/city_hall/mayor___city_council/council_meetings</t>
        </is>
      </c>
      <c r="H78" s="652" t="inlineStr">
        <is>
          <t>High</t>
        </is>
      </c>
    </row>
    <row r="79" ht="21" customHeight="1" s="545">
      <c r="B79" s="652" t="inlineStr">
        <is>
          <t>Aurora</t>
        </is>
      </c>
      <c r="C79" s="652" t="inlineStr">
        <is>
          <t>Public Notices</t>
        </is>
      </c>
      <c r="D79" s="652" t="inlineStr">
        <is>
          <t>Public Hearings</t>
        </is>
      </c>
      <c r="E79" s="444" t="inlineStr">
        <is>
          <t>Official public-hearing notices.</t>
        </is>
      </c>
      <c r="F79" s="444" t="inlineStr">
        <is>
          <t>Confirm hearing dates, applications and public-comment opportunities.</t>
        </is>
      </c>
      <c r="G79" s="651" t="inlineStr">
        <is>
          <t>https://www.auroragov.org/city_hall/public_records/legal_notices/public_hearings</t>
        </is>
      </c>
      <c r="H79" s="652" t="inlineStr">
        <is>
          <t>High</t>
        </is>
      </c>
    </row>
    <row r="80" ht="21" customHeight="1" s="545">
      <c r="B80" s="652" t="inlineStr">
        <is>
          <t>Aurora</t>
        </is>
      </c>
      <c r="C80" s="652" t="inlineStr">
        <is>
          <t>Public Records</t>
        </is>
      </c>
      <c r="D80" s="652" t="inlineStr">
        <is>
          <t>Public Records</t>
        </is>
      </c>
      <c r="E80" s="444" t="inlineStr">
        <is>
          <t>Codes, ordinances, records and legal-notice navigation.</t>
        </is>
      </c>
      <c r="F80" s="444" t="inlineStr">
        <is>
          <t>Request or retrieve official city records.</t>
        </is>
      </c>
      <c r="G80" s="651" t="inlineStr">
        <is>
          <t>https://www.auroragov.org/city_hall/public_records</t>
        </is>
      </c>
      <c r="H80" s="652" t="inlineStr">
        <is>
          <t>High</t>
        </is>
      </c>
    </row>
    <row r="81" ht="12" customHeight="1" s="545">
      <c r="B81" s="652" t="inlineStr">
        <is>
          <t>Aurora</t>
        </is>
      </c>
      <c r="C81" s="652" t="inlineStr">
        <is>
          <t>News</t>
        </is>
      </c>
      <c r="D81" s="652" t="inlineStr">
        <is>
          <t>What's New</t>
        </is>
      </c>
      <c r="E81" s="444" t="inlineStr">
        <is>
          <t>Official city news and announcements.</t>
        </is>
      </c>
      <c r="F81" s="444" t="inlineStr">
        <is>
          <t>Monitor city changes, projects and public initiatives.</t>
        </is>
      </c>
      <c r="G81" s="651" t="inlineStr">
        <is>
          <t>https://www.auroragov.org/news/whats_new</t>
        </is>
      </c>
      <c r="H81" s="652" t="inlineStr">
        <is>
          <t>Useful</t>
        </is>
      </c>
    </row>
    <row r="82" ht="12" customHeight="1" s="545">
      <c r="B82" s="652" t="inlineStr">
        <is>
          <t>Bennett</t>
        </is>
      </c>
      <c r="C82" s="652" t="inlineStr">
        <is>
          <t>Official Website</t>
        </is>
      </c>
      <c r="D82" s="652" t="inlineStr">
        <is>
          <t>Town of Bennett</t>
        </is>
      </c>
      <c r="E82" s="444" t="inlineStr">
        <is>
          <t>Main town website.</t>
        </is>
      </c>
      <c r="F82" s="444" t="inlineStr">
        <is>
          <t>Navigate municipal services and updates.</t>
        </is>
      </c>
      <c r="G82" s="651" t="inlineStr">
        <is>
          <t>https://www.bennettco.gov/</t>
        </is>
      </c>
      <c r="H82" s="652" t="inlineStr">
        <is>
          <t>Reference</t>
        </is>
      </c>
    </row>
    <row r="83" ht="12" customHeight="1" s="545">
      <c r="B83" s="652" t="inlineStr">
        <is>
          <t>Bennett</t>
        </is>
      </c>
      <c r="C83" s="652" t="inlineStr">
        <is>
          <t>Zoning</t>
        </is>
      </c>
      <c r="D83" s="652" t="inlineStr">
        <is>
          <t>Bennett Zoning Map</t>
        </is>
      </c>
      <c r="E83" s="444" t="inlineStr">
        <is>
          <t>Official town zoning map.</t>
        </is>
      </c>
      <c r="F83" s="444" t="inlineStr">
        <is>
          <t>Identify the zoning district for a property.</t>
        </is>
      </c>
      <c r="G83" s="651" t="inlineStr">
        <is>
          <t>https://www.bennettco.gov/business/page/bennett-zoning-map</t>
        </is>
      </c>
      <c r="H83" s="652" t="inlineStr">
        <is>
          <t>Critical</t>
        </is>
      </c>
    </row>
    <row r="84" ht="12" customHeight="1" s="545">
      <c r="B84" s="652" t="inlineStr">
        <is>
          <t>Bennett</t>
        </is>
      </c>
      <c r="C84" s="652" t="inlineStr">
        <is>
          <t>Planning</t>
        </is>
      </c>
      <c r="D84" s="652" t="inlineStr">
        <is>
          <t>Planning and Zoning</t>
        </is>
      </c>
      <c r="E84" s="444" t="inlineStr">
        <is>
          <t>Planning and zoning services, forms and guidance.</t>
        </is>
      </c>
      <c r="F84" s="444" t="inlineStr">
        <is>
          <t>Start land-use and entitlement research.</t>
        </is>
      </c>
      <c r="G84" s="651" t="inlineStr">
        <is>
          <t>https://www.bennettco.gov/planning-economic-development/page/planning-and-zoning</t>
        </is>
      </c>
      <c r="H84" s="652" t="inlineStr">
        <is>
          <t>Critical</t>
        </is>
      </c>
    </row>
    <row r="85" ht="21" customHeight="1" s="545">
      <c r="B85" s="652" t="inlineStr">
        <is>
          <t>Bennett</t>
        </is>
      </c>
      <c r="C85" s="652" t="inlineStr">
        <is>
          <t>Planning</t>
        </is>
      </c>
      <c r="D85" s="652" t="inlineStr">
        <is>
          <t>Planning &amp; Economic Development</t>
        </is>
      </c>
      <c r="E85" s="444" t="inlineStr">
        <is>
          <t>Department-level planning and economic-development resources.</t>
        </is>
      </c>
      <c r="F85" s="444" t="inlineStr">
        <is>
          <t>Find staff, plans and development assistance.</t>
        </is>
      </c>
      <c r="G85" s="651" t="inlineStr">
        <is>
          <t>https://www.bennettco.gov/planning-economic-development</t>
        </is>
      </c>
      <c r="H85" s="652" t="inlineStr">
        <is>
          <t>High</t>
        </is>
      </c>
    </row>
    <row r="86" ht="21" customHeight="1" s="545">
      <c r="B86" s="652" t="inlineStr">
        <is>
          <t>Bennett</t>
        </is>
      </c>
      <c r="C86" s="652" t="inlineStr">
        <is>
          <t>Code</t>
        </is>
      </c>
      <c r="D86" s="652" t="inlineStr">
        <is>
          <t>Zoning and Subdivision Regulations</t>
        </is>
      </c>
      <c r="E86" s="444" t="inlineStr">
        <is>
          <t>Town zoning and subdivision regulations.</t>
        </is>
      </c>
      <c r="F86" s="444" t="inlineStr">
        <is>
          <t>Review allowed uses, lot standards and subdivision rules.</t>
        </is>
      </c>
      <c r="G86" s="651" t="inlineStr">
        <is>
          <t>https://www.bennettco.gov/planning-economic-development/page/zoning-and-subdivision-regulations</t>
        </is>
      </c>
      <c r="H86" s="652" t="inlineStr">
        <is>
          <t>Critical</t>
        </is>
      </c>
    </row>
    <row r="87" ht="12" customHeight="1" s="545">
      <c r="B87" s="652" t="inlineStr">
        <is>
          <t>Bennett</t>
        </is>
      </c>
      <c r="C87" s="652" t="inlineStr">
        <is>
          <t>Development</t>
        </is>
      </c>
      <c r="D87" s="652" t="inlineStr">
        <is>
          <t>Development Portal</t>
        </is>
      </c>
      <c r="E87" s="444" t="inlineStr">
        <is>
          <t>Development applications, projects and related tools.</t>
        </is>
      </c>
      <c r="F87" s="444" t="inlineStr">
        <is>
          <t>Begin project and entitlement research.</t>
        </is>
      </c>
      <c r="G87" s="651" t="inlineStr">
        <is>
          <t>https://www.bennettco.gov/development</t>
        </is>
      </c>
      <c r="H87" s="652" t="inlineStr">
        <is>
          <t>High</t>
        </is>
      </c>
    </row>
    <row r="88" ht="12" customHeight="1" s="545">
      <c r="B88" s="652" t="inlineStr">
        <is>
          <t>Bennett</t>
        </is>
      </c>
      <c r="C88" s="652" t="inlineStr">
        <is>
          <t>Development</t>
        </is>
      </c>
      <c r="D88" s="652" t="inlineStr">
        <is>
          <t>Active Projects</t>
        </is>
      </c>
      <c r="E88" s="444" t="inlineStr">
        <is>
          <t>Current town projects and development information.</t>
        </is>
      </c>
      <c r="F88" s="444" t="inlineStr">
        <is>
          <t>Monitor infrastructure and development activity.</t>
        </is>
      </c>
      <c r="G88" s="651" t="inlineStr">
        <is>
          <t>https://www.bennettco.gov/projects</t>
        </is>
      </c>
      <c r="H88" s="652" t="inlineStr">
        <is>
          <t>High</t>
        </is>
      </c>
    </row>
    <row r="89" ht="12" customHeight="1" s="545">
      <c r="B89" s="652" t="inlineStr">
        <is>
          <t>Bennett</t>
        </is>
      </c>
      <c r="C89" s="652" t="inlineStr">
        <is>
          <t>Development</t>
        </is>
      </c>
      <c r="D89" s="652" t="inlineStr">
        <is>
          <t>Applicant Guides</t>
        </is>
      </c>
      <c r="E89" s="444" t="inlineStr">
        <is>
          <t>Guides for planning and development applications.</t>
        </is>
      </c>
      <c r="F89" s="444" t="inlineStr">
        <is>
          <t>Understand application standards and submittals.</t>
        </is>
      </c>
      <c r="G89" s="651" t="inlineStr">
        <is>
          <t>https://www.bennettco.gov/planning-economic-development/page/applicant-guides</t>
        </is>
      </c>
      <c r="H89" s="652" t="inlineStr">
        <is>
          <t>High</t>
        </is>
      </c>
    </row>
    <row r="90" ht="12" customHeight="1" s="545">
      <c r="B90" s="652" t="inlineStr">
        <is>
          <t>Bennett</t>
        </is>
      </c>
      <c r="C90" s="652" t="inlineStr">
        <is>
          <t>Permits</t>
        </is>
      </c>
      <c r="D90" s="652" t="inlineStr">
        <is>
          <t>Self-Service Guide: Permits and Zoning</t>
        </is>
      </c>
      <c r="E90" s="444" t="inlineStr">
        <is>
          <t>Online guidance for permits and zoning services.</t>
        </is>
      </c>
      <c r="F90" s="444" t="inlineStr">
        <is>
          <t>Navigate permit and zoning requests.</t>
        </is>
      </c>
      <c r="G90" s="651" t="inlineStr">
        <is>
          <t>https://www.bennettco.gov/community-development/page/self-service-guide-permits-and-zoning</t>
        </is>
      </c>
      <c r="H90" s="652" t="inlineStr">
        <is>
          <t>High</t>
        </is>
      </c>
    </row>
    <row r="91" ht="12" customHeight="1" s="545">
      <c r="B91" s="652" t="inlineStr">
        <is>
          <t>Bennett</t>
        </is>
      </c>
      <c r="C91" s="652" t="inlineStr">
        <is>
          <t>Permits</t>
        </is>
      </c>
      <c r="D91" s="652" t="inlineStr">
        <is>
          <t>Building Department</t>
        </is>
      </c>
      <c r="E91" s="444" t="inlineStr">
        <is>
          <t>Building permits, inspections and code information.</t>
        </is>
      </c>
      <c r="F91" s="444" t="inlineStr">
        <is>
          <t>Research construction permitting.</t>
        </is>
      </c>
      <c r="G91" s="651" t="inlineStr">
        <is>
          <t>https://www.bennettco.gov/community-development/page/building-department</t>
        </is>
      </c>
      <c r="H91" s="652" t="inlineStr">
        <is>
          <t>Critical</t>
        </is>
      </c>
    </row>
    <row r="92" ht="12" customHeight="1" s="545">
      <c r="B92" s="652" t="inlineStr">
        <is>
          <t>Bennett</t>
        </is>
      </c>
      <c r="C92" s="652" t="inlineStr">
        <is>
          <t>Permits</t>
        </is>
      </c>
      <c r="D92" s="652" t="inlineStr">
        <is>
          <t>How to Obtain a Permit</t>
        </is>
      </c>
      <c r="E92" s="444" t="inlineStr">
        <is>
          <t>Step-by-step permit guidance.</t>
        </is>
      </c>
      <c r="F92" s="444" t="inlineStr">
        <is>
          <t>Prepare a building permit application.</t>
        </is>
      </c>
      <c r="G92" s="651" t="inlineStr">
        <is>
          <t>https://www.bennettco.gov/community-development/page/how-obtain-permit</t>
        </is>
      </c>
      <c r="H92" s="652" t="inlineStr">
        <is>
          <t>High</t>
        </is>
      </c>
    </row>
    <row r="93" ht="12" customHeight="1" s="545">
      <c r="B93" s="652" t="inlineStr">
        <is>
          <t>Bennett</t>
        </is>
      </c>
      <c r="C93" s="652" t="inlineStr">
        <is>
          <t>Long-Range Planning</t>
        </is>
      </c>
      <c r="D93" s="652" t="inlineStr">
        <is>
          <t>Master Plans and Guiding Documents</t>
        </is>
      </c>
      <c r="E93" s="444" t="inlineStr">
        <is>
          <t>Town master plans and policy documents.</t>
        </is>
      </c>
      <c r="F93" s="444" t="inlineStr">
        <is>
          <t>Evaluate future land-use and infrastructure direction.</t>
        </is>
      </c>
      <c r="G93" s="651" t="inlineStr">
        <is>
          <t>https://www.bennettco.gov/planning-economic-development/page/master-plans-and-guiding-documents</t>
        </is>
      </c>
      <c r="H93" s="652" t="inlineStr">
        <is>
          <t>High</t>
        </is>
      </c>
    </row>
    <row r="94" ht="12" customHeight="1" s="545">
      <c r="B94" s="652" t="inlineStr">
        <is>
          <t>Bennett</t>
        </is>
      </c>
      <c r="C94" s="652" t="inlineStr">
        <is>
          <t>Meetings</t>
        </is>
      </c>
      <c r="D94" s="652" t="inlineStr">
        <is>
          <t>Planning &amp; Zoning Commission</t>
        </is>
      </c>
      <c r="E94" s="444" t="inlineStr">
        <is>
          <t>Commission information and meeting resources.</t>
        </is>
      </c>
      <c r="F94" s="444" t="inlineStr">
        <is>
          <t>Monitor planning hearings and recommendations.</t>
        </is>
      </c>
      <c r="G94" s="651" t="inlineStr">
        <is>
          <t>https://www.bennettco.gov/planning-and-zoning-commission</t>
        </is>
      </c>
      <c r="H94" s="652" t="inlineStr">
        <is>
          <t>High</t>
        </is>
      </c>
    </row>
    <row r="95" ht="12" customHeight="1" s="545">
      <c r="B95" s="652" t="inlineStr">
        <is>
          <t>Bennett</t>
        </is>
      </c>
      <c r="C95" s="652" t="inlineStr">
        <is>
          <t>Meetings</t>
        </is>
      </c>
      <c r="D95" s="652" t="inlineStr">
        <is>
          <t>Recent Meetings</t>
        </is>
      </c>
      <c r="E95" s="444" t="inlineStr">
        <is>
          <t>Agendas and meeting records.</t>
        </is>
      </c>
      <c r="F95" s="444" t="inlineStr">
        <is>
          <t>Track board and commission actions.</t>
        </is>
      </c>
      <c r="G95" s="651" t="inlineStr">
        <is>
          <t>https://www.bennettco.gov/meetings/recent</t>
        </is>
      </c>
      <c r="H95" s="652" t="inlineStr">
        <is>
          <t>High</t>
        </is>
      </c>
    </row>
    <row r="96" ht="12" customHeight="1" s="545">
      <c r="B96" s="652" t="inlineStr">
        <is>
          <t>Bennett</t>
        </is>
      </c>
      <c r="C96" s="652" t="inlineStr">
        <is>
          <t>Public Records</t>
        </is>
      </c>
      <c r="D96" s="652" t="inlineStr">
        <is>
          <t>Public Records</t>
        </is>
      </c>
      <c r="E96" s="444" t="inlineStr">
        <is>
          <t>Town public-records request information.</t>
        </is>
      </c>
      <c r="F96" s="444" t="inlineStr">
        <is>
          <t>Obtain records not posted online.</t>
        </is>
      </c>
      <c r="G96" s="651" t="inlineStr">
        <is>
          <t>https://www.bennettco.gov/town-clerk/page/public-records</t>
        </is>
      </c>
      <c r="H96" s="652" t="inlineStr">
        <is>
          <t>High</t>
        </is>
      </c>
    </row>
    <row r="97" ht="21" customHeight="1" s="545">
      <c r="B97" s="652" t="inlineStr">
        <is>
          <t>Bennett</t>
        </is>
      </c>
      <c r="C97" s="652" t="inlineStr">
        <is>
          <t>News</t>
        </is>
      </c>
      <c r="D97" s="652" t="inlineStr">
        <is>
          <t>Town News</t>
        </is>
      </c>
      <c r="E97" s="444" t="inlineStr">
        <is>
          <t>Official Bennett news and notices.</t>
        </is>
      </c>
      <c r="F97" s="444" t="inlineStr">
        <is>
          <t>Monitor code, permit, project and public-service updates.</t>
        </is>
      </c>
      <c r="G97" s="651" t="inlineStr">
        <is>
          <t>https://www.bennettco.gov/news</t>
        </is>
      </c>
      <c r="H97" s="652" t="inlineStr">
        <is>
          <t>High</t>
        </is>
      </c>
    </row>
    <row r="98" ht="12" customHeight="1" s="545">
      <c r="B98" s="652" t="inlineStr">
        <is>
          <t>Brighton</t>
        </is>
      </c>
      <c r="C98" s="652" t="inlineStr">
        <is>
          <t>Official Website</t>
        </is>
      </c>
      <c r="D98" s="652" t="inlineStr">
        <is>
          <t>City of Brighton</t>
        </is>
      </c>
      <c r="E98" s="444" t="inlineStr">
        <is>
          <t>Main city website.</t>
        </is>
      </c>
      <c r="F98" s="444" t="inlineStr">
        <is>
          <t>Navigate city services and departments.</t>
        </is>
      </c>
      <c r="G98" s="651" t="inlineStr">
        <is>
          <t>https://www.brightonco.gov/</t>
        </is>
      </c>
      <c r="H98" s="652" t="inlineStr">
        <is>
          <t>Reference</t>
        </is>
      </c>
    </row>
    <row r="99" ht="21" customHeight="1" s="545">
      <c r="B99" s="652" t="inlineStr">
        <is>
          <t>Brighton</t>
        </is>
      </c>
      <c r="C99" s="652" t="inlineStr">
        <is>
          <t>GIS / Property</t>
        </is>
      </c>
      <c r="D99" s="652" t="inlineStr">
        <is>
          <t>Geographic Information Systems</t>
        </is>
      </c>
      <c r="E99" s="444" t="inlineStr">
        <is>
          <t>City GIS maps and data.</t>
        </is>
      </c>
      <c r="F99" s="444" t="inlineStr">
        <is>
          <t>Research parcels, infrastructure and municipal mapping.</t>
        </is>
      </c>
      <c r="G99" s="651" t="inlineStr">
        <is>
          <t>https://www.brightonco.gov/248/Geographic-Information-Systems</t>
        </is>
      </c>
      <c r="H99" s="652" t="inlineStr">
        <is>
          <t>Critical</t>
        </is>
      </c>
    </row>
    <row r="100" ht="12" customHeight="1" s="545">
      <c r="B100" s="652" t="inlineStr">
        <is>
          <t>Brighton</t>
        </is>
      </c>
      <c r="C100" s="652" t="inlineStr">
        <is>
          <t>Zoning / Planning</t>
        </is>
      </c>
      <c r="D100" s="652" t="inlineStr">
        <is>
          <t>Planning &amp; Zoning</t>
        </is>
      </c>
      <c r="E100" s="444" t="inlineStr">
        <is>
          <t>Planning, zoning, applications and staff resources.</t>
        </is>
      </c>
      <c r="F100" s="444" t="inlineStr">
        <is>
          <t>Start zoning and entitlement research.</t>
        </is>
      </c>
      <c r="G100" s="651" t="inlineStr">
        <is>
          <t>https://www.brightonco.gov/224/Planning-Zoning</t>
        </is>
      </c>
      <c r="H100" s="652" t="inlineStr">
        <is>
          <t>Critical</t>
        </is>
      </c>
    </row>
    <row r="101" ht="21" customHeight="1" s="545">
      <c r="B101" s="652" t="inlineStr">
        <is>
          <t>Brighton</t>
        </is>
      </c>
      <c r="C101" s="652" t="inlineStr">
        <is>
          <t>Code</t>
        </is>
      </c>
      <c r="D101" s="652" t="inlineStr">
        <is>
          <t>Land Use &amp; Development Code</t>
        </is>
      </c>
      <c r="E101" s="444" t="inlineStr">
        <is>
          <t>Current city land-use and development code.</t>
        </is>
      </c>
      <c r="F101" s="444" t="inlineStr">
        <is>
          <t>Review zoning districts, uses and development standards.</t>
        </is>
      </c>
      <c r="G101" s="651" t="inlineStr">
        <is>
          <t>https://www.brightonco.gov/363/Land-Use-Development-Code</t>
        </is>
      </c>
      <c r="H101" s="652" t="inlineStr">
        <is>
          <t>Critical</t>
        </is>
      </c>
    </row>
    <row r="102" ht="12" customHeight="1" s="545">
      <c r="B102" s="652" t="inlineStr">
        <is>
          <t>Brighton</t>
        </is>
      </c>
      <c r="C102" s="652" t="inlineStr">
        <is>
          <t>Development</t>
        </is>
      </c>
      <c r="D102" s="652" t="inlineStr">
        <is>
          <t>Land Use &amp; Development Applications</t>
        </is>
      </c>
      <c r="E102" s="444" t="inlineStr">
        <is>
          <t>Applications and procedural information.</t>
        </is>
      </c>
      <c r="F102" s="444" t="inlineStr">
        <is>
          <t>Identify entitlement types and application requirements.</t>
        </is>
      </c>
      <c r="G102" s="651" t="inlineStr">
        <is>
          <t>https://www.brightonco.gov/1142/Land-Use-Development-Applications</t>
        </is>
      </c>
      <c r="H102" s="652" t="inlineStr">
        <is>
          <t>High</t>
        </is>
      </c>
    </row>
    <row r="103" ht="12" customHeight="1" s="545">
      <c r="B103" s="652" t="inlineStr">
        <is>
          <t>Brighton</t>
        </is>
      </c>
      <c r="C103" s="652" t="inlineStr">
        <is>
          <t>Development</t>
        </is>
      </c>
      <c r="D103" s="652" t="inlineStr">
        <is>
          <t>Interactive Development Map</t>
        </is>
      </c>
      <c r="E103" s="444" t="inlineStr">
        <is>
          <t>Interactive map of development activity.</t>
        </is>
      </c>
      <c r="F103" s="444" t="inlineStr">
        <is>
          <t>Find active projects near a target property.</t>
        </is>
      </c>
      <c r="G103" s="651" t="inlineStr">
        <is>
          <t>https://www.brightonco.gov/1596/Interactive-Development-Map</t>
        </is>
      </c>
      <c r="H103" s="652" t="inlineStr">
        <is>
          <t>Critical</t>
        </is>
      </c>
    </row>
    <row r="104" ht="21" customHeight="1" s="545">
      <c r="B104" s="652" t="inlineStr">
        <is>
          <t>Brighton</t>
        </is>
      </c>
      <c r="C104" s="652" t="inlineStr">
        <is>
          <t>Development</t>
        </is>
      </c>
      <c r="D104" s="652" t="inlineStr">
        <is>
          <t>Development Resources</t>
        </is>
      </c>
      <c r="E104" s="444" t="inlineStr">
        <is>
          <t>Development standards, guides and applicant resources.</t>
        </is>
      </c>
      <c r="F104" s="444" t="inlineStr">
        <is>
          <t>Plan a development submittal or feasibility review.</t>
        </is>
      </c>
      <c r="G104" s="651" t="inlineStr">
        <is>
          <t>https://www.brightonco.gov/1146/Development-Resources</t>
        </is>
      </c>
      <c r="H104" s="652" t="inlineStr">
        <is>
          <t>High</t>
        </is>
      </c>
    </row>
    <row r="105" ht="12" customHeight="1" s="545">
      <c r="B105" s="652" t="inlineStr">
        <is>
          <t>Brighton</t>
        </is>
      </c>
      <c r="C105" s="652" t="inlineStr">
        <is>
          <t>Permits</t>
        </is>
      </c>
      <c r="D105" s="652" t="inlineStr">
        <is>
          <t>Permitting</t>
        </is>
      </c>
      <c r="E105" s="444" t="inlineStr">
        <is>
          <t>City permitting resources and online services.</t>
        </is>
      </c>
      <c r="F105" s="444" t="inlineStr">
        <is>
          <t>Research permit requirements and status.</t>
        </is>
      </c>
      <c r="G105" s="651" t="inlineStr">
        <is>
          <t>https://www.brightonco.gov/222/Permitting</t>
        </is>
      </c>
      <c r="H105" s="652" t="inlineStr">
        <is>
          <t>Critical</t>
        </is>
      </c>
    </row>
    <row r="106" ht="12" customHeight="1" s="545">
      <c r="B106" s="652" t="inlineStr">
        <is>
          <t>Brighton</t>
        </is>
      </c>
      <c r="C106" s="652" t="inlineStr">
        <is>
          <t>Codes</t>
        </is>
      </c>
      <c r="D106" s="652" t="inlineStr">
        <is>
          <t>Codes</t>
        </is>
      </c>
      <c r="E106" s="444" t="inlineStr">
        <is>
          <t>Building and municipal code resources.</t>
        </is>
      </c>
      <c r="F106" s="444" t="inlineStr">
        <is>
          <t>Confirm adopted construction and municipal standards.</t>
        </is>
      </c>
      <c r="G106" s="651" t="inlineStr">
        <is>
          <t>https://www.brightonco.gov/1194/Codes</t>
        </is>
      </c>
      <c r="H106" s="652" t="inlineStr">
        <is>
          <t>High</t>
        </is>
      </c>
    </row>
    <row r="107" ht="12" customHeight="1" s="545">
      <c r="B107" s="652" t="inlineStr">
        <is>
          <t>Brighton</t>
        </is>
      </c>
      <c r="C107" s="652" t="inlineStr">
        <is>
          <t>Long-Range Planning</t>
        </is>
      </c>
      <c r="D107" s="652" t="inlineStr">
        <is>
          <t>Long Range Planning</t>
        </is>
      </c>
      <c r="E107" s="444" t="inlineStr">
        <is>
          <t>Comprehensive and area planning resources.</t>
        </is>
      </c>
      <c r="F107" s="444" t="inlineStr">
        <is>
          <t>Research future land use and long-range initiatives.</t>
        </is>
      </c>
      <c r="G107" s="651" t="inlineStr">
        <is>
          <t>https://www.brightonco.gov/553/Long-Range-Planning</t>
        </is>
      </c>
      <c r="H107" s="652" t="inlineStr">
        <is>
          <t>High</t>
        </is>
      </c>
    </row>
    <row r="108" ht="12" customHeight="1" s="545">
      <c r="B108" s="652" t="inlineStr">
        <is>
          <t>Brighton</t>
        </is>
      </c>
      <c r="C108" s="652" t="inlineStr">
        <is>
          <t>Meetings</t>
        </is>
      </c>
      <c r="D108" s="652" t="inlineStr">
        <is>
          <t>Planning Commission</t>
        </is>
      </c>
      <c r="E108" s="444" t="inlineStr">
        <is>
          <t>Planning Commission information.</t>
        </is>
      </c>
      <c r="F108" s="444" t="inlineStr">
        <is>
          <t>Monitor land-use hearings and recommendations.</t>
        </is>
      </c>
      <c r="G108" s="651" t="inlineStr">
        <is>
          <t>https://www.brightonco.gov/197/Planning-Commission</t>
        </is>
      </c>
      <c r="H108" s="652" t="inlineStr">
        <is>
          <t>High</t>
        </is>
      </c>
    </row>
    <row r="109" ht="12" customHeight="1" s="545">
      <c r="B109" s="652" t="inlineStr">
        <is>
          <t>Brighton</t>
        </is>
      </c>
      <c r="C109" s="652" t="inlineStr">
        <is>
          <t>Meetings</t>
        </is>
      </c>
      <c r="D109" s="652" t="inlineStr">
        <is>
          <t>Agenda Center</t>
        </is>
      </c>
      <c r="E109" s="444" t="inlineStr">
        <is>
          <t>Agendas, minutes and meeting records.</t>
        </is>
      </c>
      <c r="F109" s="444" t="inlineStr">
        <is>
          <t>Track official city decisions.</t>
        </is>
      </c>
      <c r="G109" s="651" t="inlineStr">
        <is>
          <t>https://www.brightonco.gov/agendacenter</t>
        </is>
      </c>
      <c r="H109" s="652" t="inlineStr">
        <is>
          <t>High</t>
        </is>
      </c>
    </row>
    <row r="110" ht="12" customHeight="1" s="545">
      <c r="B110" s="652" t="inlineStr">
        <is>
          <t>Brighton</t>
        </is>
      </c>
      <c r="C110" s="652" t="inlineStr">
        <is>
          <t>Public Notices</t>
        </is>
      </c>
      <c r="D110" s="652" t="inlineStr">
        <is>
          <t>Legal Notices</t>
        </is>
      </c>
      <c r="E110" s="444" t="inlineStr">
        <is>
          <t>Official legal notices and hearing postings.</t>
        </is>
      </c>
      <c r="F110" s="444" t="inlineStr">
        <is>
          <t>Confirm formal notices and deadlines.</t>
        </is>
      </c>
      <c r="G110" s="651" t="inlineStr">
        <is>
          <t>https://www.brightonco.gov/453/Legal-Notices</t>
        </is>
      </c>
      <c r="H110" s="652" t="inlineStr">
        <is>
          <t>High</t>
        </is>
      </c>
    </row>
    <row r="111" ht="12" customHeight="1" s="545">
      <c r="B111" s="652" t="inlineStr">
        <is>
          <t>Brighton</t>
        </is>
      </c>
      <c r="C111" s="652" t="inlineStr">
        <is>
          <t>News</t>
        </is>
      </c>
      <c r="D111" s="652" t="inlineStr">
        <is>
          <t>City News</t>
        </is>
      </c>
      <c r="E111" s="444" t="inlineStr">
        <is>
          <t>Official city news and announcements.</t>
        </is>
      </c>
      <c r="F111" s="444" t="inlineStr">
        <is>
          <t>Monitor projects, policy and community changes.</t>
        </is>
      </c>
      <c r="G111" s="651" t="inlineStr">
        <is>
          <t>https://www.brightonco.gov/175/News</t>
        </is>
      </c>
      <c r="H111" s="652" t="inlineStr">
        <is>
          <t>Useful</t>
        </is>
      </c>
    </row>
    <row r="112" ht="12" customHeight="1" s="545">
      <c r="B112" s="652" t="inlineStr">
        <is>
          <t>Brighton</t>
        </is>
      </c>
      <c r="C112" s="652" t="inlineStr">
        <is>
          <t>Alerts</t>
        </is>
      </c>
      <c r="D112" s="652" t="inlineStr">
        <is>
          <t>Notify Me</t>
        </is>
      </c>
      <c r="E112" s="444" t="inlineStr">
        <is>
          <t>Email subscription categories and alerts.</t>
        </is>
      </c>
      <c r="F112" s="444" t="inlineStr">
        <is>
          <t>Subscribe to meeting, project and news updates.</t>
        </is>
      </c>
      <c r="G112" s="651" t="inlineStr">
        <is>
          <t>https://www.brightonco.gov/notifyme</t>
        </is>
      </c>
      <c r="H112" s="652" t="inlineStr">
        <is>
          <t>Useful</t>
        </is>
      </c>
    </row>
    <row r="113" ht="12" customHeight="1" s="545">
      <c r="B113" s="652" t="inlineStr">
        <is>
          <t>Commerce City</t>
        </is>
      </c>
      <c r="C113" s="652" t="inlineStr">
        <is>
          <t>Official Website</t>
        </is>
      </c>
      <c r="D113" s="652" t="inlineStr">
        <is>
          <t>Commerce City</t>
        </is>
      </c>
      <c r="E113" s="444" t="inlineStr">
        <is>
          <t>Main city website.</t>
        </is>
      </c>
      <c r="F113" s="444" t="inlineStr">
        <is>
          <t>Navigate city departments and services.</t>
        </is>
      </c>
      <c r="G113" s="651" t="inlineStr">
        <is>
          <t>https://www.c3gov.com/Home</t>
        </is>
      </c>
      <c r="H113" s="652" t="inlineStr">
        <is>
          <t>Reference</t>
        </is>
      </c>
    </row>
    <row r="114" ht="21" customHeight="1" s="545">
      <c r="B114" s="652" t="inlineStr">
        <is>
          <t>Commerce City</t>
        </is>
      </c>
      <c r="C114" s="652" t="inlineStr">
        <is>
          <t>GIS / Property</t>
        </is>
      </c>
      <c r="D114" s="652" t="inlineStr">
        <is>
          <t>Maps, Data &amp; GIS</t>
        </is>
      </c>
      <c r="E114" s="444" t="inlineStr">
        <is>
          <t>City maps, data and GIS resources.</t>
        </is>
      </c>
      <c r="F114" s="444" t="inlineStr">
        <is>
          <t>Research zoning, parcels, boundaries and infrastructure.</t>
        </is>
      </c>
      <c r="G114" s="651" t="inlineStr">
        <is>
          <t>https://www.c3gov.com/Residents/Maps-Data-GIS</t>
        </is>
      </c>
      <c r="H114" s="652" t="inlineStr">
        <is>
          <t>Critical</t>
        </is>
      </c>
    </row>
    <row r="115" ht="21" customHeight="1" s="545">
      <c r="B115" s="652" t="inlineStr">
        <is>
          <t>Commerce City</t>
        </is>
      </c>
      <c r="C115" s="652" t="inlineStr">
        <is>
          <t>Code</t>
        </is>
      </c>
      <c r="D115" s="652" t="inlineStr">
        <is>
          <t>Land Development Code</t>
        </is>
      </c>
      <c r="E115" s="444" t="inlineStr">
        <is>
          <t>City land-development regulations.</t>
        </is>
      </c>
      <c r="F115" s="444" t="inlineStr">
        <is>
          <t>Review zoning, use, subdivision and development standards.</t>
        </is>
      </c>
      <c r="G115" s="651" t="inlineStr">
        <is>
          <t>https://www.c3gov.com/Government/City-Codes/Land-Development-Code</t>
        </is>
      </c>
      <c r="H115" s="652" t="inlineStr">
        <is>
          <t>Critical</t>
        </is>
      </c>
    </row>
    <row r="116" ht="21" customHeight="1" s="545">
      <c r="B116" s="652" t="inlineStr">
        <is>
          <t>Commerce City</t>
        </is>
      </c>
      <c r="C116" s="652" t="inlineStr">
        <is>
          <t>Code</t>
        </is>
      </c>
      <c r="D116" s="652" t="inlineStr">
        <is>
          <t>Land Development Code Transition</t>
        </is>
      </c>
      <c r="E116" s="444" t="inlineStr">
        <is>
          <t>Information on current code changes and transition rules.</t>
        </is>
      </c>
      <c r="F116" s="444" t="inlineStr">
        <is>
          <t>Check which code version applies to a project.</t>
        </is>
      </c>
      <c r="G116" s="651" t="inlineStr">
        <is>
          <t>https://www.c3gov.com/Government/City-Codes/Land-Development-Code/Land-Development-Code-Transition</t>
        </is>
      </c>
      <c r="H116" s="652" t="inlineStr">
        <is>
          <t>High</t>
        </is>
      </c>
    </row>
    <row r="117" ht="12" customHeight="1" s="545">
      <c r="B117" s="652" t="inlineStr">
        <is>
          <t>Commerce City</t>
        </is>
      </c>
      <c r="C117" s="652" t="inlineStr">
        <is>
          <t>Zoning / Standards</t>
        </is>
      </c>
      <c r="D117" s="652" t="inlineStr">
        <is>
          <t>Land Use Standards</t>
        </is>
      </c>
      <c r="E117" s="444" t="inlineStr">
        <is>
          <t>Land-use and development standards.</t>
        </is>
      </c>
      <c r="F117" s="444" t="inlineStr">
        <is>
          <t>Confirm site and use requirements.</t>
        </is>
      </c>
      <c r="G117" s="651" t="inlineStr">
        <is>
          <t>https://www.c3gov.com/Business-Development/Developing-in-Commerce-City/Land-Use-Standards</t>
        </is>
      </c>
      <c r="H117" s="652" t="inlineStr">
        <is>
          <t>Critical</t>
        </is>
      </c>
    </row>
    <row r="118" ht="21" customHeight="1" s="545">
      <c r="B118" s="652" t="inlineStr">
        <is>
          <t>Commerce City</t>
        </is>
      </c>
      <c r="C118" s="652" t="inlineStr">
        <is>
          <t>Planning</t>
        </is>
      </c>
      <c r="D118" s="652" t="inlineStr">
        <is>
          <t>Community Development</t>
        </is>
      </c>
      <c r="E118" s="444" t="inlineStr">
        <is>
          <t>Planning, building and development department resources.</t>
        </is>
      </c>
      <c r="F118" s="444" t="inlineStr">
        <is>
          <t>Start land-use and development research.</t>
        </is>
      </c>
      <c r="G118" s="651" t="inlineStr">
        <is>
          <t>https://www.c3gov.com/Government/Departments-Divisions/Community-Development</t>
        </is>
      </c>
      <c r="H118" s="652" t="inlineStr">
        <is>
          <t>High</t>
        </is>
      </c>
    </row>
    <row r="119" ht="12" customHeight="1" s="545">
      <c r="B119" s="652" t="inlineStr">
        <is>
          <t>Commerce City</t>
        </is>
      </c>
      <c r="C119" s="652" t="inlineStr">
        <is>
          <t>Development</t>
        </is>
      </c>
      <c r="D119" s="652" t="inlineStr">
        <is>
          <t>Developing in Commerce City</t>
        </is>
      </c>
      <c r="E119" s="444" t="inlineStr">
        <is>
          <t>Development-process overview and resources.</t>
        </is>
      </c>
      <c r="F119" s="444" t="inlineStr">
        <is>
          <t>Understand approvals, standards and contacts.</t>
        </is>
      </c>
      <c r="G119" s="651" t="inlineStr">
        <is>
          <t>https://www.c3gov.com/Business-Development/Developing-in-Commerce-City</t>
        </is>
      </c>
      <c r="H119" s="652" t="inlineStr">
        <is>
          <t>High</t>
        </is>
      </c>
    </row>
    <row r="120" ht="12" customHeight="1" s="545">
      <c r="B120" s="652" t="inlineStr">
        <is>
          <t>Commerce City</t>
        </is>
      </c>
      <c r="C120" s="652" t="inlineStr">
        <is>
          <t>Development</t>
        </is>
      </c>
      <c r="D120" s="652" t="inlineStr">
        <is>
          <t>Land Use Approvals</t>
        </is>
      </c>
      <c r="E120" s="444" t="inlineStr">
        <is>
          <t>Land-use approval types and application guidance.</t>
        </is>
      </c>
      <c r="F120" s="444" t="inlineStr">
        <is>
          <t>Determine the entitlement process for a proposal.</t>
        </is>
      </c>
      <c r="G120" s="651" t="inlineStr">
        <is>
          <t>https://www.c3gov.com/Business-Development/Developing-in-Commerce-City/Land-Use-Approvals</t>
        </is>
      </c>
      <c r="H120" s="652" t="inlineStr">
        <is>
          <t>High</t>
        </is>
      </c>
    </row>
    <row r="121" ht="12" customHeight="1" s="545">
      <c r="B121" s="652" t="inlineStr">
        <is>
          <t>Commerce City</t>
        </is>
      </c>
      <c r="C121" s="652" t="inlineStr">
        <is>
          <t>Development</t>
        </is>
      </c>
      <c r="D121" s="652" t="inlineStr">
        <is>
          <t>Development Projects Map</t>
        </is>
      </c>
      <c r="E121" s="444" t="inlineStr">
        <is>
          <t>Map of active development projects.</t>
        </is>
      </c>
      <c r="F121" s="444" t="inlineStr">
        <is>
          <t>Identify projects near a property and monitor status.</t>
        </is>
      </c>
      <c r="G121" s="651" t="inlineStr">
        <is>
          <t>https://www.c3gov.com/Business-Development/Development-Projects-Map</t>
        </is>
      </c>
      <c r="H121" s="652" t="inlineStr">
        <is>
          <t>Critical</t>
        </is>
      </c>
    </row>
    <row r="122" ht="12" customHeight="1" s="545">
      <c r="B122" s="652" t="inlineStr">
        <is>
          <t>Commerce City</t>
        </is>
      </c>
      <c r="C122" s="652" t="inlineStr">
        <is>
          <t>Permits</t>
        </is>
      </c>
      <c r="D122" s="652" t="inlineStr">
        <is>
          <t>Building Permits &amp; Inspections</t>
        </is>
      </c>
      <c r="E122" s="444" t="inlineStr">
        <is>
          <t>Building-permit and inspection information.</t>
        </is>
      </c>
      <c r="F122" s="444" t="inlineStr">
        <is>
          <t>Research construction permits and inspections.</t>
        </is>
      </c>
      <c r="G122" s="651" t="inlineStr">
        <is>
          <t>https://www.c3gov.com/Business-Development/Building-Permits-Inspections</t>
        </is>
      </c>
      <c r="H122" s="652" t="inlineStr">
        <is>
          <t>Critical</t>
        </is>
      </c>
    </row>
    <row r="123" ht="12" customHeight="1" s="545">
      <c r="B123" s="652" t="inlineStr">
        <is>
          <t>Commerce City</t>
        </is>
      </c>
      <c r="C123" s="652" t="inlineStr">
        <is>
          <t>Online Portal</t>
        </is>
      </c>
      <c r="D123" s="652" t="inlineStr">
        <is>
          <t>eTRAKiT Portal</t>
        </is>
      </c>
      <c r="E123" s="444" t="inlineStr">
        <is>
          <t>Online permitting and project portal.</t>
        </is>
      </c>
      <c r="F123" s="444" t="inlineStr">
        <is>
          <t>Search or manage permits and development cases.</t>
        </is>
      </c>
      <c r="G123" s="651" t="inlineStr">
        <is>
          <t>https://www.c3gov.com/Business-Development/eTRAKiT-Portal</t>
        </is>
      </c>
      <c r="H123" s="652" t="inlineStr">
        <is>
          <t>High</t>
        </is>
      </c>
    </row>
    <row r="124" ht="12" customHeight="1" s="545">
      <c r="B124" s="652" t="inlineStr">
        <is>
          <t>Commerce City</t>
        </is>
      </c>
      <c r="C124" s="652" t="inlineStr">
        <is>
          <t>Long-Range Planning</t>
        </is>
      </c>
      <c r="D124" s="652" t="inlineStr">
        <is>
          <t>Comprehensive Plan</t>
        </is>
      </c>
      <c r="E124" s="444" t="inlineStr">
        <is>
          <t>City comprehensive plan and related documents.</t>
        </is>
      </c>
      <c r="F124" s="444" t="inlineStr">
        <is>
          <t>Evaluate future land use and city policy.</t>
        </is>
      </c>
      <c r="G124" s="651" t="inlineStr">
        <is>
          <t>https://www.c3gov.com/Government/City-Charter-Master-Plans/Comprehensive-Plan</t>
        </is>
      </c>
      <c r="H124" s="652" t="inlineStr">
        <is>
          <t>High</t>
        </is>
      </c>
    </row>
    <row r="125" ht="12" customHeight="1" s="545">
      <c r="B125" s="652" t="inlineStr">
        <is>
          <t>Commerce City</t>
        </is>
      </c>
      <c r="C125" s="652" t="inlineStr">
        <is>
          <t>Meetings</t>
        </is>
      </c>
      <c r="D125" s="652" t="inlineStr">
        <is>
          <t>Planning Commission</t>
        </is>
      </c>
      <c r="E125" s="444" t="inlineStr">
        <is>
          <t>Planning Commission information and meetings.</t>
        </is>
      </c>
      <c r="F125" s="444" t="inlineStr">
        <is>
          <t>Monitor planning hearings and recommendations.</t>
        </is>
      </c>
      <c r="G125" s="651" t="inlineStr">
        <is>
          <t>https://www.c3gov.com/Government/Boards-Commissions/Planning-Commission</t>
        </is>
      </c>
      <c r="H125" s="652" t="inlineStr">
        <is>
          <t>High</t>
        </is>
      </c>
    </row>
    <row r="126" ht="12" customHeight="1" s="545">
      <c r="B126" s="652" t="inlineStr">
        <is>
          <t>Commerce City</t>
        </is>
      </c>
      <c r="C126" s="652" t="inlineStr">
        <is>
          <t>Meetings</t>
        </is>
      </c>
      <c r="D126" s="652" t="inlineStr">
        <is>
          <t>Meeting Agendas and Schedules</t>
        </is>
      </c>
      <c r="E126" s="444" t="inlineStr">
        <is>
          <t>Agendas, schedules and public meeting records.</t>
        </is>
      </c>
      <c r="F126" s="444" t="inlineStr">
        <is>
          <t>Track city council and board action.</t>
        </is>
      </c>
      <c r="G126" s="651" t="inlineStr">
        <is>
          <t>https://www.c3gov.com/Site-Footer/Footer-Widgets/Quick-Links/Meeting-Agendas-and-Schedules</t>
        </is>
      </c>
      <c r="H126" s="652" t="inlineStr">
        <is>
          <t>High</t>
        </is>
      </c>
    </row>
    <row r="127" ht="21" customHeight="1" s="545">
      <c r="B127" s="652" t="inlineStr">
        <is>
          <t>Commerce City</t>
        </is>
      </c>
      <c r="C127" s="652" t="inlineStr">
        <is>
          <t>Public Notices</t>
        </is>
      </c>
      <c r="D127" s="652" t="inlineStr">
        <is>
          <t>Legal Notices &amp; Ordinances</t>
        </is>
      </c>
      <c r="E127" s="444" t="inlineStr">
        <is>
          <t>Official legal notices and ordinances.</t>
        </is>
      </c>
      <c r="F127" s="444" t="inlineStr">
        <is>
          <t>Confirm hearings, ordinances and public-notice deadlines.</t>
        </is>
      </c>
      <c r="G127" s="651" t="inlineStr">
        <is>
          <t>https://www.c3gov.com/Government/Departments-Divisions/City-Clerks-Office/Legal-Notices-Ordinances</t>
        </is>
      </c>
      <c r="H127" s="652" t="inlineStr">
        <is>
          <t>High</t>
        </is>
      </c>
    </row>
    <row r="128" ht="12" customHeight="1" s="545">
      <c r="B128" s="652" t="inlineStr">
        <is>
          <t>Commerce City</t>
        </is>
      </c>
      <c r="C128" s="652" t="inlineStr">
        <is>
          <t>News</t>
        </is>
      </c>
      <c r="D128" s="652" t="inlineStr">
        <is>
          <t>News &amp; Announcements</t>
        </is>
      </c>
      <c r="E128" s="444" t="inlineStr">
        <is>
          <t>Official city news and announcements.</t>
        </is>
      </c>
      <c r="F128" s="444" t="inlineStr">
        <is>
          <t>Monitor projects, policies and public updates.</t>
        </is>
      </c>
      <c r="G128" s="651" t="inlineStr">
        <is>
          <t>https://www.c3gov.com/Government/Media-News/News-Announcements</t>
        </is>
      </c>
      <c r="H128" s="652" t="inlineStr">
        <is>
          <t>Useful</t>
        </is>
      </c>
    </row>
    <row r="129" ht="12" customHeight="1" s="545">
      <c r="B129" s="652" t="inlineStr">
        <is>
          <t>Federal Heights</t>
        </is>
      </c>
      <c r="C129" s="652" t="inlineStr">
        <is>
          <t>Official Website</t>
        </is>
      </c>
      <c r="D129" s="652" t="inlineStr">
        <is>
          <t>City of Federal Heights</t>
        </is>
      </c>
      <c r="E129" s="444" t="inlineStr">
        <is>
          <t>Main city website.</t>
        </is>
      </c>
      <c r="F129" s="444" t="inlineStr">
        <is>
          <t>Navigate city services and departments.</t>
        </is>
      </c>
      <c r="G129" s="651" t="inlineStr">
        <is>
          <t>https://www.fedheights.org/</t>
        </is>
      </c>
      <c r="H129" s="652" t="inlineStr">
        <is>
          <t>Reference</t>
        </is>
      </c>
    </row>
    <row r="130" ht="12" customHeight="1" s="545">
      <c r="B130" s="652" t="inlineStr">
        <is>
          <t>Federal Heights</t>
        </is>
      </c>
      <c r="C130" s="652" t="inlineStr">
        <is>
          <t>GIS / Property</t>
        </is>
      </c>
      <c r="D130" s="652" t="inlineStr">
        <is>
          <t>City Maps and GIS Data</t>
        </is>
      </c>
      <c r="E130" s="444" t="inlineStr">
        <is>
          <t>City maps, zoning map and GIS resources.</t>
        </is>
      </c>
      <c r="F130" s="444" t="inlineStr">
        <is>
          <t>Identify municipal boundaries and mapped information.</t>
        </is>
      </c>
      <c r="G130" s="651" t="inlineStr">
        <is>
          <t>https://www.fedheights.org/index.asp?SEC=D1A883BE-0C29-4602-8CC9-5D6A08DA5503</t>
        </is>
      </c>
      <c r="H130" s="652" t="inlineStr">
        <is>
          <t>Critical</t>
        </is>
      </c>
    </row>
    <row r="131" ht="12" customHeight="1" s="545">
      <c r="B131" s="652" t="inlineStr">
        <is>
          <t>Federal Heights</t>
        </is>
      </c>
      <c r="C131" s="652" t="inlineStr">
        <is>
          <t>Zoning</t>
        </is>
      </c>
      <c r="D131" s="652" t="inlineStr">
        <is>
          <t>Zoning Information</t>
        </is>
      </c>
      <c r="E131" s="444" t="inlineStr">
        <is>
          <t>Zoning district and zoning process information.</t>
        </is>
      </c>
      <c r="F131" s="444" t="inlineStr">
        <is>
          <t>Confirm zoning rules and contacts.</t>
        </is>
      </c>
      <c r="G131" s="651" t="inlineStr">
        <is>
          <t>https://www.fedheights.org/index.asp?SEC=D7AA9940-8607-468A-8215-7308DD3BF799</t>
        </is>
      </c>
      <c r="H131" s="652" t="inlineStr">
        <is>
          <t>Critical</t>
        </is>
      </c>
    </row>
    <row r="132" ht="12" customHeight="1" s="545">
      <c r="B132" s="652" t="inlineStr">
        <is>
          <t>Federal Heights</t>
        </is>
      </c>
      <c r="C132" s="652" t="inlineStr">
        <is>
          <t>Planning</t>
        </is>
      </c>
      <c r="D132" s="652" t="inlineStr">
        <is>
          <t>Planning</t>
        </is>
      </c>
      <c r="E132" s="444" t="inlineStr">
        <is>
          <t>Planning services and land-use information.</t>
        </is>
      </c>
      <c r="F132" s="444" t="inlineStr">
        <is>
          <t>Start zoning or development research.</t>
        </is>
      </c>
      <c r="G132" s="651" t="inlineStr">
        <is>
          <t>https://www.fedheights.org/planning</t>
        </is>
      </c>
      <c r="H132" s="652" t="inlineStr">
        <is>
          <t>Critical</t>
        </is>
      </c>
    </row>
    <row r="133" ht="12" customHeight="1" s="545">
      <c r="B133" s="652" t="inlineStr">
        <is>
          <t>Federal Heights</t>
        </is>
      </c>
      <c r="C133" s="652" t="inlineStr">
        <is>
          <t>Code</t>
        </is>
      </c>
      <c r="D133" s="652" t="inlineStr">
        <is>
          <t>Municipal Code and Charter</t>
        </is>
      </c>
      <c r="E133" s="444" t="inlineStr">
        <is>
          <t>Municipal code and charter resources.</t>
        </is>
      </c>
      <c r="F133" s="444" t="inlineStr">
        <is>
          <t>Review official local regulations.</t>
        </is>
      </c>
      <c r="G133" s="651" t="inlineStr">
        <is>
          <t>https://www.fedheights.org/index.asp?SEC=E0D5E6BC-02A8-4AEF-88A1-9093297C3662</t>
        </is>
      </c>
      <c r="H133" s="652" t="inlineStr">
        <is>
          <t>High</t>
        </is>
      </c>
    </row>
    <row r="134" ht="12" customHeight="1" s="545">
      <c r="B134" s="652" t="inlineStr">
        <is>
          <t>Federal Heights</t>
        </is>
      </c>
      <c r="C134" s="652" t="inlineStr">
        <is>
          <t>Permits</t>
        </is>
      </c>
      <c r="D134" s="652" t="inlineStr">
        <is>
          <t>Building Department</t>
        </is>
      </c>
      <c r="E134" s="444" t="inlineStr">
        <is>
          <t>Building permits, inspections and adopted codes.</t>
        </is>
      </c>
      <c r="F134" s="444" t="inlineStr">
        <is>
          <t>Research building-permit requirements.</t>
        </is>
      </c>
      <c r="G134" s="651" t="inlineStr">
        <is>
          <t>https://www.fedheights.org/index.asp?SEC=D1CB6EB6-9C4B-4FA8-B119-EF1785E54CB6</t>
        </is>
      </c>
      <c r="H134" s="652" t="inlineStr">
        <is>
          <t>Critical</t>
        </is>
      </c>
    </row>
    <row r="135" ht="12" customHeight="1" s="545">
      <c r="B135" s="652" t="inlineStr">
        <is>
          <t>Federal Heights</t>
        </is>
      </c>
      <c r="C135" s="652" t="inlineStr">
        <is>
          <t>Permits</t>
        </is>
      </c>
      <c r="D135" s="652" t="inlineStr">
        <is>
          <t>Building Guides</t>
        </is>
      </c>
      <c r="E135" s="444" t="inlineStr">
        <is>
          <t>Building and permit guidance documents.</t>
        </is>
      </c>
      <c r="F135" s="444" t="inlineStr">
        <is>
          <t>Prepare a permit submittal.</t>
        </is>
      </c>
      <c r="G135" s="651" t="inlineStr">
        <is>
          <t>https://www.fedheights.org/index.asp?SEC=%7BCB7135BC-846F-468B-B85D-0ECE8B03FFCD%7D&amp;persistdesign=none</t>
        </is>
      </c>
      <c r="H135" s="652" t="inlineStr">
        <is>
          <t>High</t>
        </is>
      </c>
    </row>
    <row r="136" ht="12" customHeight="1" s="545">
      <c r="B136" s="652" t="inlineStr">
        <is>
          <t>Federal Heights</t>
        </is>
      </c>
      <c r="C136" s="652" t="inlineStr">
        <is>
          <t>Permit History</t>
        </is>
      </c>
      <c r="D136" s="652" t="inlineStr">
        <is>
          <t>Monthly Permit Reports</t>
        </is>
      </c>
      <c r="E136" s="444" t="inlineStr">
        <is>
          <t>Monthly building-permit reports.</t>
        </is>
      </c>
      <c r="F136" s="444" t="inlineStr">
        <is>
          <t>Review recent permit activity and construction trends.</t>
        </is>
      </c>
      <c r="G136" s="651" t="inlineStr">
        <is>
          <t>https://www.fedheights.org/index.asp?SEC=%7B76F23E1D-0819-4BAB-BD73-23D6092E8A3B%7D&amp;persistdesign=none</t>
        </is>
      </c>
      <c r="H136" s="652" t="inlineStr">
        <is>
          <t>High</t>
        </is>
      </c>
    </row>
    <row r="137" ht="12" customHeight="1" s="545">
      <c r="B137" s="652" t="inlineStr">
        <is>
          <t>Federal Heights</t>
        </is>
      </c>
      <c r="C137" s="652" t="inlineStr">
        <is>
          <t>Long-Range Planning</t>
        </is>
      </c>
      <c r="D137" s="652" t="inlineStr">
        <is>
          <t>Comprehensive Plan</t>
        </is>
      </c>
      <c r="E137" s="444" t="inlineStr">
        <is>
          <t>Comprehensive-plan information.</t>
        </is>
      </c>
      <c r="F137" s="444" t="inlineStr">
        <is>
          <t>Evaluate future land use and policy direction.</t>
        </is>
      </c>
      <c r="G137" s="651" t="inlineStr">
        <is>
          <t>https://www.fedheights.org/index.asp?SEC=%7B5CF1D2C4-3E29-4A1A-BBFA-2BE19B3ABFD0%7D</t>
        </is>
      </c>
      <c r="H137" s="652" t="inlineStr">
        <is>
          <t>High</t>
        </is>
      </c>
    </row>
    <row r="138" ht="12" customHeight="1" s="545">
      <c r="B138" s="652" t="inlineStr">
        <is>
          <t>Federal Heights</t>
        </is>
      </c>
      <c r="C138" s="652" t="inlineStr">
        <is>
          <t>Meetings</t>
        </is>
      </c>
      <c r="D138" s="652" t="inlineStr">
        <is>
          <t>Meetings and Study Sessions</t>
        </is>
      </c>
      <c r="E138" s="444" t="inlineStr">
        <is>
          <t>Council minutes and audio recordings.</t>
        </is>
      </c>
      <c r="F138" s="444" t="inlineStr">
        <is>
          <t>Track council decisions and discussions.</t>
        </is>
      </c>
      <c r="G138" s="651" t="inlineStr">
        <is>
          <t>https://www.fedheights.org/index.asp?SEC=%7BE66D34DF-8290-4807-83DA-3AF56D110C00%7D</t>
        </is>
      </c>
      <c r="H138" s="652" t="inlineStr">
        <is>
          <t>High</t>
        </is>
      </c>
    </row>
    <row r="139" ht="21" customHeight="1" s="545">
      <c r="B139" s="652" t="inlineStr">
        <is>
          <t>Federal Heights</t>
        </is>
      </c>
      <c r="C139" s="652" t="inlineStr">
        <is>
          <t>Public Records</t>
        </is>
      </c>
      <c r="D139" s="652" t="inlineStr">
        <is>
          <t>Public Records</t>
        </is>
      </c>
      <c r="E139" s="444" t="inlineStr">
        <is>
          <t>Public records request process.</t>
        </is>
      </c>
      <c r="F139" s="444" t="inlineStr">
        <is>
          <t>Request planning, permit or city records not posted online.</t>
        </is>
      </c>
      <c r="G139" s="651" t="inlineStr">
        <is>
          <t>https://www.fedheights.org/index.asp?SEC=%7B13723B89-BA4A-47C1-9634-50363F8CD1D2%7D&amp;persistdesign=none</t>
        </is>
      </c>
      <c r="H139" s="652" t="inlineStr">
        <is>
          <t>High</t>
        </is>
      </c>
    </row>
    <row r="140" ht="12" customHeight="1" s="545">
      <c r="B140" s="652" t="inlineStr">
        <is>
          <t>Federal Heights</t>
        </is>
      </c>
      <c r="C140" s="652" t="inlineStr">
        <is>
          <t>News</t>
        </is>
      </c>
      <c r="D140" s="652" t="inlineStr">
        <is>
          <t>News and Events</t>
        </is>
      </c>
      <c r="E140" s="444" t="inlineStr">
        <is>
          <t>Official news and city calendar.</t>
        </is>
      </c>
      <c r="F140" s="444" t="inlineStr">
        <is>
          <t>Monitor meetings, announcements and city activity.</t>
        </is>
      </c>
      <c r="G140" s="651" t="inlineStr">
        <is>
          <t>https://www.fedheights.org/index.asp?SEC=407F7286-34E9-495F-B5F7-88E905D7C9A5</t>
        </is>
      </c>
      <c r="H140" s="652" t="inlineStr">
        <is>
          <t>Useful</t>
        </is>
      </c>
    </row>
    <row r="141" ht="12" customHeight="1" s="545">
      <c r="B141" s="652" t="inlineStr">
        <is>
          <t>Federal Heights</t>
        </is>
      </c>
      <c r="C141" s="652" t="inlineStr">
        <is>
          <t>Newsletter</t>
        </is>
      </c>
      <c r="D141" s="652" t="inlineStr">
        <is>
          <t>The Federal Heights Focus</t>
        </is>
      </c>
      <c r="E141" s="444" t="inlineStr">
        <is>
          <t>Quarterly official city newsletter.</t>
        </is>
      </c>
      <c r="F141" s="444" t="inlineStr">
        <is>
          <t>Monitor policy, infrastructure and community updates.</t>
        </is>
      </c>
      <c r="G141" s="651" t="inlineStr">
        <is>
          <t>https://www.fedheights.org/index.asp?SEC=%7B2E7DCCA1-1FEF-4EA7-8AE7-6C3F92D19EF3%7D&amp;persistdesign=none</t>
        </is>
      </c>
      <c r="H141" s="652" t="inlineStr">
        <is>
          <t>Useful</t>
        </is>
      </c>
    </row>
    <row r="142" ht="12" customHeight="1" s="545">
      <c r="B142" s="652" t="inlineStr">
        <is>
          <t>Lochbuie</t>
        </is>
      </c>
      <c r="C142" s="652" t="inlineStr">
        <is>
          <t>Official Website</t>
        </is>
      </c>
      <c r="D142" s="652" t="inlineStr">
        <is>
          <t>Town of Lochbuie</t>
        </is>
      </c>
      <c r="E142" s="444" t="inlineStr">
        <is>
          <t>Main town website.</t>
        </is>
      </c>
      <c r="F142" s="444" t="inlineStr">
        <is>
          <t>Navigate municipal services and updates.</t>
        </is>
      </c>
      <c r="G142" s="651" t="inlineStr">
        <is>
          <t>https://www.lochbuie.org/</t>
        </is>
      </c>
      <c r="H142" s="652" t="inlineStr">
        <is>
          <t>Reference</t>
        </is>
      </c>
    </row>
    <row r="143" ht="12" customHeight="1" s="545">
      <c r="B143" s="652" t="inlineStr">
        <is>
          <t>Lochbuie</t>
        </is>
      </c>
      <c r="C143" s="652" t="inlineStr">
        <is>
          <t>GIS / Property</t>
        </is>
      </c>
      <c r="D143" s="652" t="inlineStr">
        <is>
          <t>Interactive Land Use Map</t>
        </is>
      </c>
      <c r="E143" s="444" t="inlineStr">
        <is>
          <t>Interactive land-use and planning map.</t>
        </is>
      </c>
      <c r="F143" s="444" t="inlineStr">
        <is>
          <t>Research zoning and land-use information.</t>
        </is>
      </c>
      <c r="G143" s="651" t="inlineStr">
        <is>
          <t>https://www.lochbuie.org/community-dev/page/interactive-land-use-map</t>
        </is>
      </c>
      <c r="H143" s="652" t="inlineStr">
        <is>
          <t>Critical</t>
        </is>
      </c>
    </row>
    <row r="144" ht="12" customHeight="1" s="545">
      <c r="B144" s="652" t="inlineStr">
        <is>
          <t>Lochbuie</t>
        </is>
      </c>
      <c r="C144" s="652" t="inlineStr">
        <is>
          <t>GIS / Maps</t>
        </is>
      </c>
      <c r="D144" s="652" t="inlineStr">
        <is>
          <t>Maps</t>
        </is>
      </c>
      <c r="E144" s="444" t="inlineStr">
        <is>
          <t>Town mapping resources.</t>
        </is>
      </c>
      <c r="F144" s="444" t="inlineStr">
        <is>
          <t>Confirm planning areas and municipal map information.</t>
        </is>
      </c>
      <c r="G144" s="651" t="inlineStr">
        <is>
          <t>https://www.lochbuie.org/community-dev/page/maps</t>
        </is>
      </c>
      <c r="H144" s="652" t="inlineStr">
        <is>
          <t>High</t>
        </is>
      </c>
    </row>
    <row r="145" ht="12" customHeight="1" s="545">
      <c r="B145" s="652" t="inlineStr">
        <is>
          <t>Lochbuie</t>
        </is>
      </c>
      <c r="C145" s="652" t="inlineStr">
        <is>
          <t>Zoning</t>
        </is>
      </c>
      <c r="D145" s="652" t="inlineStr">
        <is>
          <t>Zoning Map</t>
        </is>
      </c>
      <c r="E145" s="444" t="inlineStr">
        <is>
          <t>Official town zoning map.</t>
        </is>
      </c>
      <c r="F145" s="444" t="inlineStr">
        <is>
          <t>Identify a property's zoning district.</t>
        </is>
      </c>
      <c r="G145" s="651" t="inlineStr">
        <is>
          <t>https://www.lochbuie.org/administration/page/zoning-map</t>
        </is>
      </c>
      <c r="H145" s="652" t="inlineStr">
        <is>
          <t>Critical</t>
        </is>
      </c>
    </row>
    <row r="146" ht="12" customHeight="1" s="545">
      <c r="B146" s="652" t="inlineStr">
        <is>
          <t>Lochbuie</t>
        </is>
      </c>
      <c r="C146" s="652" t="inlineStr">
        <is>
          <t>Planning</t>
        </is>
      </c>
      <c r="D146" s="652" t="inlineStr">
        <is>
          <t>Current Planning</t>
        </is>
      </c>
      <c r="E146" s="444" t="inlineStr">
        <is>
          <t>Current planning applications and services.</t>
        </is>
      </c>
      <c r="F146" s="444" t="inlineStr">
        <is>
          <t>Research ongoing land-use review.</t>
        </is>
      </c>
      <c r="G146" s="651" t="inlineStr">
        <is>
          <t>https://www.lochbuie.org/community-dev/page/current-planning</t>
        </is>
      </c>
      <c r="H146" s="652" t="inlineStr">
        <is>
          <t>Critical</t>
        </is>
      </c>
    </row>
    <row r="147" ht="12" customHeight="1" s="545">
      <c r="B147" s="652" t="inlineStr">
        <is>
          <t>Lochbuie</t>
        </is>
      </c>
      <c r="C147" s="652" t="inlineStr">
        <is>
          <t>Planning</t>
        </is>
      </c>
      <c r="D147" s="652" t="inlineStr">
        <is>
          <t>Community Development</t>
        </is>
      </c>
      <c r="E147" s="444" t="inlineStr">
        <is>
          <t>Planning, building and development resources.</t>
        </is>
      </c>
      <c r="F147" s="444" t="inlineStr">
        <is>
          <t>Start project feasibility and entitlement research.</t>
        </is>
      </c>
      <c r="G147" s="651" t="inlineStr">
        <is>
          <t>https://www.lochbuie.org/community-dev</t>
        </is>
      </c>
      <c r="H147" s="652" t="inlineStr">
        <is>
          <t>High</t>
        </is>
      </c>
    </row>
    <row r="148" ht="12" customHeight="1" s="545">
      <c r="B148" s="652" t="inlineStr">
        <is>
          <t>Lochbuie</t>
        </is>
      </c>
      <c r="C148" s="652" t="inlineStr">
        <is>
          <t>Development</t>
        </is>
      </c>
      <c r="D148" s="652" t="inlineStr">
        <is>
          <t>Land Use Applications</t>
        </is>
      </c>
      <c r="E148" s="444" t="inlineStr">
        <is>
          <t>Land-use applications and procedural resources.</t>
        </is>
      </c>
      <c r="F148" s="444" t="inlineStr">
        <is>
          <t>Determine application types and requirements.</t>
        </is>
      </c>
      <c r="G148" s="651" t="inlineStr">
        <is>
          <t>https://www.lochbuie.org/community-dev/page/land-use-applications</t>
        </is>
      </c>
      <c r="H148" s="652" t="inlineStr">
        <is>
          <t>High</t>
        </is>
      </c>
    </row>
    <row r="149" ht="12" customHeight="1" s="545">
      <c r="B149" s="652" t="inlineStr">
        <is>
          <t>Lochbuie</t>
        </is>
      </c>
      <c r="C149" s="652" t="inlineStr">
        <is>
          <t>Development</t>
        </is>
      </c>
      <c r="D149" s="652" t="inlineStr">
        <is>
          <t>Development Resources</t>
        </is>
      </c>
      <c r="E149" s="444" t="inlineStr">
        <is>
          <t>Development forms, standards and guidance.</t>
        </is>
      </c>
      <c r="F149" s="444" t="inlineStr">
        <is>
          <t>Prepare a development submittal.</t>
        </is>
      </c>
      <c r="G149" s="651" t="inlineStr">
        <is>
          <t>https://www.lochbuie.org/community-dev/page/development-resources</t>
        </is>
      </c>
      <c r="H149" s="652" t="inlineStr">
        <is>
          <t>High</t>
        </is>
      </c>
    </row>
    <row r="150" ht="12" customHeight="1" s="545">
      <c r="B150" s="652" t="inlineStr">
        <is>
          <t>Lochbuie</t>
        </is>
      </c>
      <c r="C150" s="652" t="inlineStr">
        <is>
          <t>Development</t>
        </is>
      </c>
      <c r="D150" s="652" t="inlineStr">
        <is>
          <t>Active Projects</t>
        </is>
      </c>
      <c r="E150" s="444" t="inlineStr">
        <is>
          <t>Current town projects.</t>
        </is>
      </c>
      <c r="F150" s="444" t="inlineStr">
        <is>
          <t>Monitor development and infrastructure activity.</t>
        </is>
      </c>
      <c r="G150" s="651" t="inlineStr">
        <is>
          <t>https://www.lochbuie.org/projects</t>
        </is>
      </c>
      <c r="H150" s="652" t="inlineStr">
        <is>
          <t>High</t>
        </is>
      </c>
    </row>
    <row r="151" ht="12" customHeight="1" s="545">
      <c r="B151" s="652" t="inlineStr">
        <is>
          <t>Lochbuie</t>
        </is>
      </c>
      <c r="C151" s="652" t="inlineStr">
        <is>
          <t>Permits</t>
        </is>
      </c>
      <c r="D151" s="652" t="inlineStr">
        <is>
          <t>Building Permits and Inspections</t>
        </is>
      </c>
      <c r="E151" s="444" t="inlineStr">
        <is>
          <t>Building permit and inspection guidance.</t>
        </is>
      </c>
      <c r="F151" s="444" t="inlineStr">
        <is>
          <t>Research construction permitting.</t>
        </is>
      </c>
      <c r="G151" s="651" t="inlineStr">
        <is>
          <t>https://www.lochbuie.org/community-dev/page/building-permits-and-inspections</t>
        </is>
      </c>
      <c r="H151" s="652" t="inlineStr">
        <is>
          <t>Critical</t>
        </is>
      </c>
    </row>
    <row r="152" ht="21" customHeight="1" s="545">
      <c r="B152" s="652" t="inlineStr">
        <is>
          <t>Lochbuie</t>
        </is>
      </c>
      <c r="C152" s="652" t="inlineStr">
        <is>
          <t>Long-Range Planning</t>
        </is>
      </c>
      <c r="D152" s="652" t="inlineStr">
        <is>
          <t>Documents / Comprehensive Plan</t>
        </is>
      </c>
      <c r="E152" s="444" t="inlineStr">
        <is>
          <t>Adopted planning documents, including the current comprehensive plan.</t>
        </is>
      </c>
      <c r="F152" s="444" t="inlineStr">
        <is>
          <t>Evaluate future land-use and policy direction.</t>
        </is>
      </c>
      <c r="G152" s="651" t="inlineStr">
        <is>
          <t>https://www.lochbuie.org/community-dev/page/documents</t>
        </is>
      </c>
      <c r="H152" s="652" t="inlineStr">
        <is>
          <t>High</t>
        </is>
      </c>
    </row>
    <row r="153" ht="12" customHeight="1" s="545">
      <c r="B153" s="652" t="inlineStr">
        <is>
          <t>Lochbuie</t>
        </is>
      </c>
      <c r="C153" s="652" t="inlineStr">
        <is>
          <t>Long-Range Planning</t>
        </is>
      </c>
      <c r="D153" s="652" t="inlineStr">
        <is>
          <t>Long-Range Planning</t>
        </is>
      </c>
      <c r="E153" s="444" t="inlineStr">
        <is>
          <t>Long-range planning initiatives and plans.</t>
        </is>
      </c>
      <c r="F153" s="444" t="inlineStr">
        <is>
          <t>Track policy and growth planning.</t>
        </is>
      </c>
      <c r="G153" s="651" t="inlineStr">
        <is>
          <t>https://www.lochbuie.org/community-dev/page/long-range-planning</t>
        </is>
      </c>
      <c r="H153" s="652" t="inlineStr">
        <is>
          <t>High</t>
        </is>
      </c>
    </row>
    <row r="154" ht="12" customHeight="1" s="545">
      <c r="B154" s="652" t="inlineStr">
        <is>
          <t>Lochbuie</t>
        </is>
      </c>
      <c r="C154" s="652" t="inlineStr">
        <is>
          <t>Code</t>
        </is>
      </c>
      <c r="D154" s="652" t="inlineStr">
        <is>
          <t>Ordinances</t>
        </is>
      </c>
      <c r="E154" s="444" t="inlineStr">
        <is>
          <t>Town ordinances and adopted regulations.</t>
        </is>
      </c>
      <c r="F154" s="444" t="inlineStr">
        <is>
          <t>Review recent legal changes and local rules.</t>
        </is>
      </c>
      <c r="G154" s="651" t="inlineStr">
        <is>
          <t>https://www.lochbuie.org/publicnotice/page/ordinances</t>
        </is>
      </c>
      <c r="H154" s="652" t="inlineStr">
        <is>
          <t>High</t>
        </is>
      </c>
    </row>
    <row r="155" ht="12" customHeight="1" s="545">
      <c r="B155" s="652" t="inlineStr">
        <is>
          <t>Lochbuie</t>
        </is>
      </c>
      <c r="C155" s="652" t="inlineStr">
        <is>
          <t>Meetings</t>
        </is>
      </c>
      <c r="D155" s="652" t="inlineStr">
        <is>
          <t>Upcoming Meetings</t>
        </is>
      </c>
      <c r="E155" s="444" t="inlineStr">
        <is>
          <t>Upcoming board and commission meetings.</t>
        </is>
      </c>
      <c r="F155" s="444" t="inlineStr">
        <is>
          <t>Monitor hearing dates and agendas.</t>
        </is>
      </c>
      <c r="G155" s="651" t="inlineStr">
        <is>
          <t>https://www.lochbuie.org/meetings</t>
        </is>
      </c>
      <c r="H155" s="652" t="inlineStr">
        <is>
          <t>High</t>
        </is>
      </c>
    </row>
    <row r="156" ht="12" customHeight="1" s="545">
      <c r="B156" s="652" t="inlineStr">
        <is>
          <t>Lochbuie</t>
        </is>
      </c>
      <c r="C156" s="652" t="inlineStr">
        <is>
          <t>Public Notices</t>
        </is>
      </c>
      <c r="D156" s="652" t="inlineStr">
        <is>
          <t>Public Notices</t>
        </is>
      </c>
      <c r="E156" s="444" t="inlineStr">
        <is>
          <t>Official public notices.</t>
        </is>
      </c>
      <c r="F156" s="444" t="inlineStr">
        <is>
          <t>Confirm hearings, ordinances and deadlines.</t>
        </is>
      </c>
      <c r="G156" s="651" t="inlineStr">
        <is>
          <t>https://www.lochbuie.org/publicnotice</t>
        </is>
      </c>
      <c r="H156" s="652" t="inlineStr">
        <is>
          <t>High</t>
        </is>
      </c>
    </row>
    <row r="157" ht="12" customHeight="1" s="545">
      <c r="B157" s="652" t="inlineStr">
        <is>
          <t>Lochbuie</t>
        </is>
      </c>
      <c r="C157" s="652" t="inlineStr">
        <is>
          <t>News</t>
        </is>
      </c>
      <c r="D157" s="652" t="inlineStr">
        <is>
          <t>Town News</t>
        </is>
      </c>
      <c r="E157" s="444" t="inlineStr">
        <is>
          <t>Official town news.</t>
        </is>
      </c>
      <c r="F157" s="444" t="inlineStr">
        <is>
          <t>Monitor development and municipal announcements.</t>
        </is>
      </c>
      <c r="G157" s="651" t="inlineStr">
        <is>
          <t>https://www.lochbuie.org/news</t>
        </is>
      </c>
      <c r="H157" s="652" t="inlineStr">
        <is>
          <t>Useful</t>
        </is>
      </c>
    </row>
    <row r="158" ht="12" customHeight="1" s="545">
      <c r="B158" s="652" t="inlineStr">
        <is>
          <t>Lochbuie</t>
        </is>
      </c>
      <c r="C158" s="652" t="inlineStr">
        <is>
          <t>Alerts</t>
        </is>
      </c>
      <c r="D158" s="652" t="inlineStr">
        <is>
          <t>Resident Portal / Alerts</t>
        </is>
      </c>
      <c r="E158" s="444" t="inlineStr">
        <is>
          <t>Town alert and portal resources.</t>
        </is>
      </c>
      <c r="F158" s="444" t="inlineStr">
        <is>
          <t>Subscribe to current notices and updates.</t>
        </is>
      </c>
      <c r="G158" s="651" t="inlineStr">
        <is>
          <t>https://www.lochbuie.org/portal</t>
        </is>
      </c>
      <c r="H158" s="652" t="inlineStr">
        <is>
          <t>Useful</t>
        </is>
      </c>
    </row>
    <row r="159" ht="12" customHeight="1" s="545">
      <c r="B159" s="652" t="inlineStr">
        <is>
          <t>Northglenn</t>
        </is>
      </c>
      <c r="C159" s="652" t="inlineStr">
        <is>
          <t>Official Website</t>
        </is>
      </c>
      <c r="D159" s="652" t="inlineStr">
        <is>
          <t>City of Northglenn</t>
        </is>
      </c>
      <c r="E159" s="444" t="inlineStr">
        <is>
          <t>Main city website.</t>
        </is>
      </c>
      <c r="F159" s="444" t="inlineStr">
        <is>
          <t>Navigate city services and departments.</t>
        </is>
      </c>
      <c r="G159" s="651" t="inlineStr">
        <is>
          <t>https://www.northglenn.org/</t>
        </is>
      </c>
      <c r="H159" s="652" t="inlineStr">
        <is>
          <t>Reference</t>
        </is>
      </c>
    </row>
    <row r="160" ht="21" customHeight="1" s="545">
      <c r="B160" s="652" t="inlineStr">
        <is>
          <t>Northglenn</t>
        </is>
      </c>
      <c r="C160" s="652" t="inlineStr">
        <is>
          <t>Planning</t>
        </is>
      </c>
      <c r="D160" s="652" t="inlineStr">
        <is>
          <t>Planning &amp; Development</t>
        </is>
      </c>
      <c r="E160" s="444" t="inlineStr">
        <is>
          <t>Planning, development review and economic-development resources.</t>
        </is>
      </c>
      <c r="F160" s="444" t="inlineStr">
        <is>
          <t>Start land-use and development research.</t>
        </is>
      </c>
      <c r="G160" s="651" t="inlineStr">
        <is>
          <t>https://www.northglenn.org/government/departments/planning_development/index.php</t>
        </is>
      </c>
      <c r="H160" s="652" t="inlineStr">
        <is>
          <t>Critical</t>
        </is>
      </c>
    </row>
    <row r="161" ht="12" customHeight="1" s="545">
      <c r="B161" s="652" t="inlineStr">
        <is>
          <t>Northglenn</t>
        </is>
      </c>
      <c r="C161" s="652" t="inlineStr">
        <is>
          <t>Zoning</t>
        </is>
      </c>
      <c r="D161" s="652" t="inlineStr">
        <is>
          <t>Land Use &amp; Zoning</t>
        </is>
      </c>
      <c r="E161" s="444" t="inlineStr">
        <is>
          <t>Zoning, land-use code and applications.</t>
        </is>
      </c>
      <c r="F161" s="444" t="inlineStr">
        <is>
          <t>Confirm district rules and application options.</t>
        </is>
      </c>
      <c r="G161" s="651" t="inlineStr">
        <is>
          <t>https://www.northglenn.org/government/land_use_zoning/index.php</t>
        </is>
      </c>
      <c r="H161" s="652" t="inlineStr">
        <is>
          <t>Critical</t>
        </is>
      </c>
    </row>
    <row r="162" ht="12" customHeight="1" s="545">
      <c r="B162" s="652" t="inlineStr">
        <is>
          <t>Northglenn</t>
        </is>
      </c>
      <c r="C162" s="652" t="inlineStr">
        <is>
          <t>GIS / Zoning</t>
        </is>
      </c>
      <c r="D162" s="652" t="inlineStr">
        <is>
          <t>Zoning Map</t>
        </is>
      </c>
      <c r="E162" s="444" t="inlineStr">
        <is>
          <t>Official zoning map.</t>
        </is>
      </c>
      <c r="F162" s="444" t="inlineStr">
        <is>
          <t>Identify parcel zoning.</t>
        </is>
      </c>
      <c r="G162" s="651" t="inlineStr">
        <is>
          <t>https://www.northglenn.org/government/land_use_zoning/zoning_map.php</t>
        </is>
      </c>
      <c r="H162" s="652" t="inlineStr">
        <is>
          <t>Critical</t>
        </is>
      </c>
    </row>
    <row r="163" ht="12" customHeight="1" s="545">
      <c r="B163" s="652" t="inlineStr">
        <is>
          <t>Northglenn</t>
        </is>
      </c>
      <c r="C163" s="652" t="inlineStr">
        <is>
          <t>GIS / Property</t>
        </is>
      </c>
      <c r="D163" s="652" t="inlineStr">
        <is>
          <t>QuickZone</t>
        </is>
      </c>
      <c r="E163" s="444" t="inlineStr">
        <is>
          <t>Interactive zoning/property lookup.</t>
        </is>
      </c>
      <c r="F163" s="444" t="inlineStr">
        <is>
          <t>Search an address and retrieve zoning information.</t>
        </is>
      </c>
      <c r="G163" s="651" t="inlineStr">
        <is>
          <t>https://biz.northglenn.org/quickzone</t>
        </is>
      </c>
      <c r="H163" s="652" t="inlineStr">
        <is>
          <t>Critical</t>
        </is>
      </c>
    </row>
    <row r="164" ht="21" customHeight="1" s="545">
      <c r="B164" s="652" t="inlineStr">
        <is>
          <t>Northglenn</t>
        </is>
      </c>
      <c r="C164" s="652" t="inlineStr">
        <is>
          <t>Code</t>
        </is>
      </c>
      <c r="D164" s="652" t="inlineStr">
        <is>
          <t>Unified Development Ordinance</t>
        </is>
      </c>
      <c r="E164" s="444" t="inlineStr">
        <is>
          <t>Northglenn land-use and development code.</t>
        </is>
      </c>
      <c r="F164" s="444" t="inlineStr">
        <is>
          <t>Review permitted uses, design and development standards.</t>
        </is>
      </c>
      <c r="G164" s="651" t="inlineStr">
        <is>
          <t>https://www.northglenn.org/government/land_use_zoning/new_code_northglenn.php</t>
        </is>
      </c>
      <c r="H164" s="652" t="inlineStr">
        <is>
          <t>Critical</t>
        </is>
      </c>
    </row>
    <row r="165" ht="12" customHeight="1" s="545">
      <c r="B165" s="652" t="inlineStr">
        <is>
          <t>Northglenn</t>
        </is>
      </c>
      <c r="C165" s="652" t="inlineStr">
        <is>
          <t>Development</t>
        </is>
      </c>
      <c r="D165" s="652" t="inlineStr">
        <is>
          <t>Land Use Applications</t>
        </is>
      </c>
      <c r="E165" s="444" t="inlineStr">
        <is>
          <t>Land-use application types and materials.</t>
        </is>
      </c>
      <c r="F165" s="444" t="inlineStr">
        <is>
          <t>Determine entitlement requirements.</t>
        </is>
      </c>
      <c r="G165" s="651" t="inlineStr">
        <is>
          <t>https://www.northglenn.org/government/land_use_zoning/land_use_applications.php</t>
        </is>
      </c>
      <c r="H165" s="652" t="inlineStr">
        <is>
          <t>High</t>
        </is>
      </c>
    </row>
    <row r="166" ht="12" customHeight="1" s="545">
      <c r="B166" s="652" t="inlineStr">
        <is>
          <t>Northglenn</t>
        </is>
      </c>
      <c r="C166" s="652" t="inlineStr">
        <is>
          <t>Development</t>
        </is>
      </c>
      <c r="D166" s="652" t="inlineStr">
        <is>
          <t>Development Review Process</t>
        </is>
      </c>
      <c r="E166" s="444" t="inlineStr">
        <is>
          <t>Development review process and steps.</t>
        </is>
      </c>
      <c r="F166" s="444" t="inlineStr">
        <is>
          <t>Estimate project path and review timing.</t>
        </is>
      </c>
      <c r="G166" s="651" t="inlineStr">
        <is>
          <t>https://www.northglenn.org/government/departments/planning_development/development_review_process.php</t>
        </is>
      </c>
      <c r="H166" s="652" t="inlineStr">
        <is>
          <t>High</t>
        </is>
      </c>
    </row>
    <row r="167" ht="12" customHeight="1" s="545">
      <c r="B167" s="652" t="inlineStr">
        <is>
          <t>Northglenn</t>
        </is>
      </c>
      <c r="C167" s="652" t="inlineStr">
        <is>
          <t>Development</t>
        </is>
      </c>
      <c r="D167" s="652" t="inlineStr">
        <is>
          <t>Project Updates</t>
        </is>
      </c>
      <c r="E167" s="444" t="inlineStr">
        <is>
          <t>City project and construction updates.</t>
        </is>
      </c>
      <c r="F167" s="444" t="inlineStr">
        <is>
          <t>Monitor development and public infrastructure projects.</t>
        </is>
      </c>
      <c r="G167" s="651" t="inlineStr">
        <is>
          <t>https://www.northglenn.org/government/project_updates/</t>
        </is>
      </c>
      <c r="H167" s="652" t="inlineStr">
        <is>
          <t>High</t>
        </is>
      </c>
    </row>
    <row r="168" ht="12" customHeight="1" s="545">
      <c r="B168" s="652" t="inlineStr">
        <is>
          <t>Northglenn</t>
        </is>
      </c>
      <c r="C168" s="652" t="inlineStr">
        <is>
          <t>Permits</t>
        </is>
      </c>
      <c r="D168" s="652" t="inlineStr">
        <is>
          <t>Licenses and Permits</t>
        </is>
      </c>
      <c r="E168" s="444" t="inlineStr">
        <is>
          <t>City licensing and permit resources.</t>
        </is>
      </c>
      <c r="F168" s="444" t="inlineStr">
        <is>
          <t>Locate applicable permits and application links.</t>
        </is>
      </c>
      <c r="G168" s="651" t="inlineStr">
        <is>
          <t>https://www.northglenn.org/services/licenses_and_permits/index.php</t>
        </is>
      </c>
      <c r="H168" s="652" t="inlineStr">
        <is>
          <t>High</t>
        </is>
      </c>
    </row>
    <row r="169" ht="12" customHeight="1" s="545">
      <c r="B169" s="652" t="inlineStr">
        <is>
          <t>Northglenn</t>
        </is>
      </c>
      <c r="C169" s="652" t="inlineStr">
        <is>
          <t>Permits</t>
        </is>
      </c>
      <c r="D169" s="652" t="inlineStr">
        <is>
          <t>Pull a Permit</t>
        </is>
      </c>
      <c r="E169" s="444" t="inlineStr">
        <is>
          <t>Building-permit application guidance.</t>
        </is>
      </c>
      <c r="F169" s="444" t="inlineStr">
        <is>
          <t>Apply for or research building permits.</t>
        </is>
      </c>
      <c r="G169" s="651" t="inlineStr">
        <is>
          <t>https://www.northglenn.org/government/departments/building/pull_a_permit.php</t>
        </is>
      </c>
      <c r="H169" s="652" t="inlineStr">
        <is>
          <t>Critical</t>
        </is>
      </c>
    </row>
    <row r="170" ht="12" customHeight="1" s="545">
      <c r="B170" s="652" t="inlineStr">
        <is>
          <t>Northglenn</t>
        </is>
      </c>
      <c r="C170" s="652" t="inlineStr">
        <is>
          <t>Long-Range Planning</t>
        </is>
      </c>
      <c r="D170" s="652" t="inlineStr">
        <is>
          <t>Comprehensive Plan</t>
        </is>
      </c>
      <c r="E170" s="444" t="inlineStr">
        <is>
          <t>Comprehensive-plan resources.</t>
        </is>
      </c>
      <c r="F170" s="444" t="inlineStr">
        <is>
          <t>Evaluate future land use and city policy.</t>
        </is>
      </c>
      <c r="G170" s="651" t="inlineStr">
        <is>
          <t>https://www.northglenn.org/government/land_use_zoning/comprehensive_plan.php</t>
        </is>
      </c>
      <c r="H170" s="652" t="inlineStr">
        <is>
          <t>High</t>
        </is>
      </c>
    </row>
    <row r="171" ht="12" customHeight="1" s="545">
      <c r="B171" s="652" t="inlineStr">
        <is>
          <t>Northglenn</t>
        </is>
      </c>
      <c r="C171" s="652" t="inlineStr">
        <is>
          <t>Plans</t>
        </is>
      </c>
      <c r="D171" s="652" t="inlineStr">
        <is>
          <t>Area Plans</t>
        </is>
      </c>
      <c r="E171" s="444" t="inlineStr">
        <is>
          <t>Adopted small-area and corridor plans.</t>
        </is>
      </c>
      <c r="F171" s="444" t="inlineStr">
        <is>
          <t>Research area-specific policies affecting a property.</t>
        </is>
      </c>
      <c r="G171" s="651" t="inlineStr">
        <is>
          <t>https://www.northglenn.org/government/land_use_zoning/area_plans/index.php</t>
        </is>
      </c>
      <c r="H171" s="652" t="inlineStr">
        <is>
          <t>Useful</t>
        </is>
      </c>
    </row>
    <row r="172" ht="12" customHeight="1" s="545">
      <c r="B172" s="652" t="inlineStr">
        <is>
          <t>Northglenn</t>
        </is>
      </c>
      <c r="C172" s="652" t="inlineStr">
        <is>
          <t>Meetings</t>
        </is>
      </c>
      <c r="D172" s="652" t="inlineStr">
        <is>
          <t>Planning Commission</t>
        </is>
      </c>
      <c r="E172" s="444" t="inlineStr">
        <is>
          <t>Planning Commission information.</t>
        </is>
      </c>
      <c r="F172" s="444" t="inlineStr">
        <is>
          <t>Monitor land-use hearings and recommendations.</t>
        </is>
      </c>
      <c r="G172" s="651" t="inlineStr">
        <is>
          <t>https://www.northglenn.org/government/boards_commissions/planning_commission.php</t>
        </is>
      </c>
      <c r="H172" s="652" t="inlineStr">
        <is>
          <t>High</t>
        </is>
      </c>
    </row>
    <row r="173" ht="21" customHeight="1" s="545">
      <c r="B173" s="652" t="inlineStr">
        <is>
          <t>Northglenn</t>
        </is>
      </c>
      <c r="C173" s="652" t="inlineStr">
        <is>
          <t>Meetings / Records</t>
        </is>
      </c>
      <c r="D173" s="652" t="inlineStr">
        <is>
          <t>Public Meeting Records</t>
        </is>
      </c>
      <c r="E173" s="444" t="inlineStr">
        <is>
          <t>Searchable agendas, minutes and public meeting documents.</t>
        </is>
      </c>
      <c r="F173" s="444" t="inlineStr">
        <is>
          <t>Track city council and board actions.</t>
        </is>
      </c>
      <c r="G173" s="651" t="inlineStr">
        <is>
          <t>https://webdocs.northglenn.org/</t>
        </is>
      </c>
      <c r="H173" s="652" t="inlineStr">
        <is>
          <t>High</t>
        </is>
      </c>
    </row>
    <row r="174" ht="12" customHeight="1" s="545">
      <c r="B174" s="652" t="inlineStr">
        <is>
          <t>Northglenn</t>
        </is>
      </c>
      <c r="C174" s="652" t="inlineStr">
        <is>
          <t>News</t>
        </is>
      </c>
      <c r="D174" s="652" t="inlineStr">
        <is>
          <t>City News Listings</t>
        </is>
      </c>
      <c r="E174" s="444" t="inlineStr">
        <is>
          <t>Official city news and announcements.</t>
        </is>
      </c>
      <c r="F174" s="444" t="inlineStr">
        <is>
          <t>Monitor projects, hearings and municipal changes.</t>
        </is>
      </c>
      <c r="G174" s="651" t="inlineStr">
        <is>
          <t>https://www.northglenn.org/newslist.php</t>
        </is>
      </c>
      <c r="H174" s="652" t="inlineStr">
        <is>
          <t>Useful</t>
        </is>
      </c>
    </row>
    <row r="175" ht="21" customHeight="1" s="545">
      <c r="B175" s="652" t="inlineStr">
        <is>
          <t>Northglenn</t>
        </is>
      </c>
      <c r="C175" s="652" t="inlineStr">
        <is>
          <t>Alerts</t>
        </is>
      </c>
      <c r="D175" s="652" t="inlineStr">
        <is>
          <t>TextMyGov Notifications</t>
        </is>
      </c>
      <c r="E175" s="444" t="inlineStr">
        <is>
          <t>Text alerts for council, utilities and city updates.</t>
        </is>
      </c>
      <c r="F175" s="444" t="inlineStr">
        <is>
          <t>Subscribe to hearings, road closures and government notices.</t>
        </is>
      </c>
      <c r="G175" s="651" t="inlineStr">
        <is>
          <t>https://www.northglenn.org/community/communications/textmygov.php</t>
        </is>
      </c>
      <c r="H175" s="652" t="inlineStr">
        <is>
          <t>Useful</t>
        </is>
      </c>
    </row>
    <row r="176" ht="12" customHeight="1" s="545">
      <c r="B176" s="652" t="inlineStr">
        <is>
          <t>Thornton</t>
        </is>
      </c>
      <c r="C176" s="652" t="inlineStr">
        <is>
          <t>Official Website</t>
        </is>
      </c>
      <c r="D176" s="652" t="inlineStr">
        <is>
          <t>City of Thornton</t>
        </is>
      </c>
      <c r="E176" s="444" t="inlineStr">
        <is>
          <t>Main city website.</t>
        </is>
      </c>
      <c r="F176" s="444" t="inlineStr">
        <is>
          <t>Navigate city services and departments.</t>
        </is>
      </c>
      <c r="G176" s="651" t="inlineStr">
        <is>
          <t>https://www.thorntonco.gov/</t>
        </is>
      </c>
      <c r="H176" s="652" t="inlineStr">
        <is>
          <t>Reference</t>
        </is>
      </c>
    </row>
    <row r="177" ht="21" customHeight="1" s="545">
      <c r="B177" s="652" t="inlineStr">
        <is>
          <t>Thornton</t>
        </is>
      </c>
      <c r="C177" s="652" t="inlineStr">
        <is>
          <t>Planning</t>
        </is>
      </c>
      <c r="D177" s="652" t="inlineStr">
        <is>
          <t>City Development</t>
        </is>
      </c>
      <c r="E177" s="444" t="inlineStr">
        <is>
          <t>Planning, building, development engineering and long-range resources.</t>
        </is>
      </c>
      <c r="F177" s="444" t="inlineStr">
        <is>
          <t>Start land-use, permitting and development research.</t>
        </is>
      </c>
      <c r="G177" s="651" t="inlineStr">
        <is>
          <t>https://www.thorntonco.gov/business-development/city-development</t>
        </is>
      </c>
      <c r="H177" s="652" t="inlineStr">
        <is>
          <t>Critical</t>
        </is>
      </c>
    </row>
    <row r="178" ht="21" customHeight="1" s="545">
      <c r="B178" s="652" t="inlineStr">
        <is>
          <t>Thornton</t>
        </is>
      </c>
      <c r="C178" s="652" t="inlineStr">
        <is>
          <t>Zoning</t>
        </is>
      </c>
      <c r="D178" s="652" t="inlineStr">
        <is>
          <t>Current Planning &amp; Zoning</t>
        </is>
      </c>
      <c r="E178" s="444" t="inlineStr">
        <is>
          <t>Zoning, development applications and current planning.</t>
        </is>
      </c>
      <c r="F178" s="444" t="inlineStr">
        <is>
          <t>Confirm zoning and active entitlement processes.</t>
        </is>
      </c>
      <c r="G178" s="651" t="inlineStr">
        <is>
          <t>https://www.thorntonco.gov/business-development/city-development/current-planning-zoning</t>
        </is>
      </c>
      <c r="H178" s="652" t="inlineStr">
        <is>
          <t>Critical</t>
        </is>
      </c>
    </row>
    <row r="179" ht="12" customHeight="1" s="545">
      <c r="B179" s="652" t="inlineStr">
        <is>
          <t>Thornton</t>
        </is>
      </c>
      <c r="C179" s="652" t="inlineStr">
        <is>
          <t>Zoning</t>
        </is>
      </c>
      <c r="D179" s="652" t="inlineStr">
        <is>
          <t>Zoning Districts, Uses and Regulations</t>
        </is>
      </c>
      <c r="E179" s="444" t="inlineStr">
        <is>
          <t>District standards and use regulations.</t>
        </is>
      </c>
      <c r="F179" s="444" t="inlineStr">
        <is>
          <t>Evaluate allowed uses and dimensional standards.</t>
        </is>
      </c>
      <c r="G179" s="651" t="inlineStr">
        <is>
          <t>https://www.thorntonco.gov/business-development/city-development/current-planning-zoning/zoning-districts-uses-and-regulations</t>
        </is>
      </c>
      <c r="H179" s="652" t="inlineStr">
        <is>
          <t>Critical</t>
        </is>
      </c>
    </row>
    <row r="180" ht="21" customHeight="1" s="545">
      <c r="B180" s="652" t="inlineStr">
        <is>
          <t>Thornton</t>
        </is>
      </c>
      <c r="C180" s="652" t="inlineStr">
        <is>
          <t>GIS / Property</t>
        </is>
      </c>
      <c r="D180" s="652" t="inlineStr">
        <is>
          <t>Interactive Zoning / Property Map</t>
        </is>
      </c>
      <c r="E180" s="444" t="inlineStr">
        <is>
          <t>Interactive city zoning and parcel map.</t>
        </is>
      </c>
      <c r="F180" s="444" t="inlineStr">
        <is>
          <t>Locate a parcel and screen zoning and mapped attributes.</t>
        </is>
      </c>
      <c r="G180" s="651" t="inlineStr">
        <is>
          <t>https://cityofthornton.maps.arcgis.com/apps/webappviewer/index.html?id=643abe02e8b8446586b6eb6d8ed43f84</t>
        </is>
      </c>
      <c r="H180" s="652" t="inlineStr">
        <is>
          <t>Critical</t>
        </is>
      </c>
    </row>
    <row r="181" ht="12" customHeight="1" s="545">
      <c r="B181" s="652" t="inlineStr">
        <is>
          <t>Thornton</t>
        </is>
      </c>
      <c r="C181" s="652" t="inlineStr">
        <is>
          <t>GIS / Open Data</t>
        </is>
      </c>
      <c r="D181" s="652" t="inlineStr">
        <is>
          <t>Thornton GIS Open Data</t>
        </is>
      </c>
      <c r="E181" s="444" t="inlineStr">
        <is>
          <t>Downloadable city GIS layers and maps.</t>
        </is>
      </c>
      <c r="F181" s="444" t="inlineStr">
        <is>
          <t>Perform advanced mapping and spatial analysis.</t>
        </is>
      </c>
      <c r="G181" s="651" t="inlineStr">
        <is>
          <t>https://data-cityofthornton.opendata.arcgis.com/</t>
        </is>
      </c>
      <c r="H181" s="652" t="inlineStr">
        <is>
          <t>Useful</t>
        </is>
      </c>
    </row>
    <row r="182" ht="12" customHeight="1" s="545">
      <c r="B182" s="652" t="inlineStr">
        <is>
          <t>Thornton</t>
        </is>
      </c>
      <c r="C182" s="652" t="inlineStr">
        <is>
          <t>Development</t>
        </is>
      </c>
      <c r="D182" s="652" t="inlineStr">
        <is>
          <t>Planning Application Search</t>
        </is>
      </c>
      <c r="E182" s="444" t="inlineStr">
        <is>
          <t>CityView search for planning applications.</t>
        </is>
      </c>
      <c r="F182" s="444" t="inlineStr">
        <is>
          <t>Check planning cases and application records.</t>
        </is>
      </c>
      <c r="G182" s="651" t="inlineStr">
        <is>
          <t>https://cityviewportal.thorntonco.gov/Planning/Locator</t>
        </is>
      </c>
      <c r="H182" s="652" t="inlineStr">
        <is>
          <t>Critical</t>
        </is>
      </c>
    </row>
    <row r="183" ht="12" customHeight="1" s="545">
      <c r="B183" s="652" t="inlineStr">
        <is>
          <t>Thornton</t>
        </is>
      </c>
      <c r="C183" s="652" t="inlineStr">
        <is>
          <t>Development</t>
        </is>
      </c>
      <c r="D183" s="652" t="inlineStr">
        <is>
          <t>Active Development</t>
        </is>
      </c>
      <c r="E183" s="444" t="inlineStr">
        <is>
          <t>Current development projects and related information.</t>
        </is>
      </c>
      <c r="F183" s="444" t="inlineStr">
        <is>
          <t>Identify nearby development and status.</t>
        </is>
      </c>
      <c r="G183" s="651" t="inlineStr">
        <is>
          <t>https://www.thorntonco.gov/business-development/active-development</t>
        </is>
      </c>
      <c r="H183" s="652" t="inlineStr">
        <is>
          <t>Critical</t>
        </is>
      </c>
    </row>
    <row r="184" ht="12" customHeight="1" s="545">
      <c r="B184" s="652" t="inlineStr">
        <is>
          <t>Thornton</t>
        </is>
      </c>
      <c r="C184" s="652" t="inlineStr">
        <is>
          <t>Development</t>
        </is>
      </c>
      <c r="D184" s="652" t="inlineStr">
        <is>
          <t>Development Applications</t>
        </is>
      </c>
      <c r="E184" s="444" t="inlineStr">
        <is>
          <t>Application types and development review resources.</t>
        </is>
      </c>
      <c r="F184" s="444" t="inlineStr">
        <is>
          <t>Determine entitlement and submittal requirements.</t>
        </is>
      </c>
      <c r="G184" s="651" t="inlineStr">
        <is>
          <t>https://www.thorntonco.gov/business-development/city-development/current-planning-zoning/development-applications</t>
        </is>
      </c>
      <c r="H184" s="652" t="inlineStr">
        <is>
          <t>High</t>
        </is>
      </c>
    </row>
    <row r="185" ht="21" customHeight="1" s="545">
      <c r="B185" s="652" t="inlineStr">
        <is>
          <t>Thornton</t>
        </is>
      </c>
      <c r="C185" s="652" t="inlineStr">
        <is>
          <t>Development</t>
        </is>
      </c>
      <c r="D185" s="652" t="inlineStr">
        <is>
          <t>Development Engineering &amp; Construction</t>
        </is>
      </c>
      <c r="E185" s="444" t="inlineStr">
        <is>
          <t>Engineering, construction and infrastructure review.</t>
        </is>
      </c>
      <c r="F185" s="444" t="inlineStr">
        <is>
          <t>Research civil plans, access and construction requirements.</t>
        </is>
      </c>
      <c r="G185" s="651" t="inlineStr">
        <is>
          <t>https://www.thorntonco.gov/business-development/city-development/development-engineering-construction</t>
        </is>
      </c>
      <c r="H185" s="652" t="inlineStr">
        <is>
          <t>High</t>
        </is>
      </c>
    </row>
    <row r="186" ht="12" customHeight="1" s="545">
      <c r="B186" s="652" t="inlineStr">
        <is>
          <t>Thornton</t>
        </is>
      </c>
      <c r="C186" s="652" t="inlineStr">
        <is>
          <t>Permits</t>
        </is>
      </c>
      <c r="D186" s="652" t="inlineStr">
        <is>
          <t>Building Permits &amp; Inspections</t>
        </is>
      </c>
      <c r="E186" s="444" t="inlineStr">
        <is>
          <t>Building permits, inspections and contractor information.</t>
        </is>
      </c>
      <c r="F186" s="444" t="inlineStr">
        <is>
          <t>Research construction permits.</t>
        </is>
      </c>
      <c r="G186" s="651" t="inlineStr">
        <is>
          <t>https://www.thorntonco.gov/business-development/city-development/building-permits-inspections</t>
        </is>
      </c>
      <c r="H186" s="652" t="inlineStr">
        <is>
          <t>Critical</t>
        </is>
      </c>
    </row>
    <row r="187" ht="12" customHeight="1" s="545">
      <c r="B187" s="652" t="inlineStr">
        <is>
          <t>Thornton</t>
        </is>
      </c>
      <c r="C187" s="652" t="inlineStr">
        <is>
          <t>Permits</t>
        </is>
      </c>
      <c r="D187" s="652" t="inlineStr">
        <is>
          <t>Permit Search</t>
        </is>
      </c>
      <c r="E187" s="444" t="inlineStr">
        <is>
          <t>CityView permit and submittal search.</t>
        </is>
      </c>
      <c r="F187" s="444" t="inlineStr">
        <is>
          <t>Check permit records and status.</t>
        </is>
      </c>
      <c r="G187" s="651" t="inlineStr">
        <is>
          <t>https://cityviewportal.thorntonco.gov/Permit/LocatorSubmittals</t>
        </is>
      </c>
      <c r="H187" s="652" t="inlineStr">
        <is>
          <t>Critical</t>
        </is>
      </c>
    </row>
    <row r="188" ht="12" customHeight="1" s="545">
      <c r="B188" s="652" t="inlineStr">
        <is>
          <t>Thornton</t>
        </is>
      </c>
      <c r="C188" s="652" t="inlineStr">
        <is>
          <t>Online Portal</t>
        </is>
      </c>
      <c r="D188" s="652" t="inlineStr">
        <is>
          <t>Thornton Permit Portal</t>
        </is>
      </c>
      <c r="E188" s="444" t="inlineStr">
        <is>
          <t>Online permit application portal.</t>
        </is>
      </c>
      <c r="F188" s="444" t="inlineStr">
        <is>
          <t>Submit or manage permits.</t>
        </is>
      </c>
      <c r="G188" s="651" t="inlineStr">
        <is>
          <t>https://permits.thorntonco.gov/</t>
        </is>
      </c>
      <c r="H188" s="652" t="inlineStr">
        <is>
          <t>High</t>
        </is>
      </c>
    </row>
    <row r="189" ht="12" customHeight="1" s="545">
      <c r="B189" s="652" t="inlineStr">
        <is>
          <t>Thornton</t>
        </is>
      </c>
      <c r="C189" s="652" t="inlineStr">
        <is>
          <t>Long-Range Planning</t>
        </is>
      </c>
      <c r="D189" s="652" t="inlineStr">
        <is>
          <t>Long Range Planning</t>
        </is>
      </c>
      <c r="E189" s="444" t="inlineStr">
        <is>
          <t>Long-range planning programs and resources.</t>
        </is>
      </c>
      <c r="F189" s="444" t="inlineStr">
        <is>
          <t>Evaluate future growth and policy context.</t>
        </is>
      </c>
      <c r="G189" s="651" t="inlineStr">
        <is>
          <t>https://www.thorntonco.gov/business-development/city-development/long-range-planning</t>
        </is>
      </c>
      <c r="H189" s="652" t="inlineStr">
        <is>
          <t>High</t>
        </is>
      </c>
    </row>
    <row r="190" ht="12" customHeight="1" s="545">
      <c r="B190" s="652" t="inlineStr">
        <is>
          <t>Thornton</t>
        </is>
      </c>
      <c r="C190" s="652" t="inlineStr">
        <is>
          <t>Long-Range Planning</t>
        </is>
      </c>
      <c r="D190" s="652" t="inlineStr">
        <is>
          <t>Thornton Comprehensive Plan</t>
        </is>
      </c>
      <c r="E190" s="444" t="inlineStr">
        <is>
          <t>Current comprehensive-plan resources.</t>
        </is>
      </c>
      <c r="F190" s="444" t="inlineStr">
        <is>
          <t>Review future land use and citywide policy.</t>
        </is>
      </c>
      <c r="G190" s="651" t="inlineStr">
        <is>
          <t>https://www.thorntonco.gov/business-development/city-development/long-range-planning/plans/thornton-comprehensive-plan</t>
        </is>
      </c>
      <c r="H190" s="652" t="inlineStr">
        <is>
          <t>High</t>
        </is>
      </c>
    </row>
    <row r="191" ht="12" customHeight="1" s="545">
      <c r="B191" s="652" t="inlineStr">
        <is>
          <t>Thornton</t>
        </is>
      </c>
      <c r="C191" s="652" t="inlineStr">
        <is>
          <t>Long-Range Planning</t>
        </is>
      </c>
      <c r="D191" s="652" t="inlineStr">
        <is>
          <t>Current Long-Range Projects</t>
        </is>
      </c>
      <c r="E191" s="444" t="inlineStr">
        <is>
          <t>Current planning initiatives and plan updates.</t>
        </is>
      </c>
      <c r="F191" s="444" t="inlineStr">
        <is>
          <t>Track future policy changes affecting property.</t>
        </is>
      </c>
      <c r="G191" s="651" t="inlineStr">
        <is>
          <t>https://www.thorntonco.gov/business-development/city-development/long-range-planning/current-projects</t>
        </is>
      </c>
      <c r="H191" s="652" t="inlineStr">
        <is>
          <t>High</t>
        </is>
      </c>
    </row>
    <row r="192" ht="12" customHeight="1" s="545">
      <c r="B192" s="652" t="inlineStr">
        <is>
          <t>Thornton</t>
        </is>
      </c>
      <c r="C192" s="652" t="inlineStr">
        <is>
          <t>Meetings</t>
        </is>
      </c>
      <c r="D192" s="652" t="inlineStr">
        <is>
          <t>Planning Commission / Board of Adjustment</t>
        </is>
      </c>
      <c r="E192" s="444" t="inlineStr">
        <is>
          <t>Board and commission information.</t>
        </is>
      </c>
      <c r="F192" s="444" t="inlineStr">
        <is>
          <t>Monitor land-use hearings, variances and appeals.</t>
        </is>
      </c>
      <c r="G192" s="651" t="inlineStr">
        <is>
          <t>https://www.thorntonco.gov/government/boards-commissions/planning-commission-board-adjustment</t>
        </is>
      </c>
      <c r="H192" s="652" t="inlineStr">
        <is>
          <t>High</t>
        </is>
      </c>
    </row>
    <row r="193" ht="12" customHeight="1" s="545">
      <c r="B193" s="652" t="inlineStr">
        <is>
          <t>Thornton</t>
        </is>
      </c>
      <c r="C193" s="652" t="inlineStr">
        <is>
          <t>Meetings</t>
        </is>
      </c>
      <c r="D193" s="652" t="inlineStr">
        <is>
          <t>Upcoming Meetings</t>
        </is>
      </c>
      <c r="E193" s="444" t="inlineStr">
        <is>
          <t>City council and public meeting calendar.</t>
        </is>
      </c>
      <c r="F193" s="444" t="inlineStr">
        <is>
          <t>Track meeting dates and agenda publication.</t>
        </is>
      </c>
      <c r="G193" s="651" t="inlineStr">
        <is>
          <t>https://www.thorntonco.gov/government/mayor-council/upcoming-meetings</t>
        </is>
      </c>
      <c r="H193" s="652" t="inlineStr">
        <is>
          <t>High</t>
        </is>
      </c>
    </row>
    <row r="194" ht="21" customHeight="1" s="545">
      <c r="B194" s="652" t="inlineStr">
        <is>
          <t>Thornton</t>
        </is>
      </c>
      <c r="C194" s="652" t="inlineStr">
        <is>
          <t>Public Notices</t>
        </is>
      </c>
      <c r="D194" s="652" t="inlineStr">
        <is>
          <t>Public Notices</t>
        </is>
      </c>
      <c r="E194" s="444" t="inlineStr">
        <is>
          <t>Approved ordinances, hearing notices and other public notices.</t>
        </is>
      </c>
      <c r="F194" s="444" t="inlineStr">
        <is>
          <t>Confirm formal hearings and legal actions.</t>
        </is>
      </c>
      <c r="G194" s="651" t="inlineStr">
        <is>
          <t>https://www.thorntonco.gov/government/public-notices</t>
        </is>
      </c>
      <c r="H194" s="652" t="inlineStr">
        <is>
          <t>High</t>
        </is>
      </c>
    </row>
    <row r="195" ht="12" customHeight="1" s="545">
      <c r="B195" s="652" t="inlineStr">
        <is>
          <t>Thornton</t>
        </is>
      </c>
      <c r="C195" s="652" t="inlineStr">
        <is>
          <t>News</t>
        </is>
      </c>
      <c r="D195" s="652" t="inlineStr">
        <is>
          <t>Thornton News</t>
        </is>
      </c>
      <c r="E195" s="444" t="inlineStr">
        <is>
          <t>Official city news and City Voice items.</t>
        </is>
      </c>
      <c r="F195" s="444" t="inlineStr">
        <is>
          <t>Monitor projects, council actions and city updates.</t>
        </is>
      </c>
      <c r="G195" s="651" t="inlineStr">
        <is>
          <t>https://www.thorntonco.gov/news</t>
        </is>
      </c>
      <c r="H195" s="652" t="inlineStr">
        <is>
          <t>Useful</t>
        </is>
      </c>
    </row>
    <row r="196" ht="21" customHeight="1" s="545">
      <c r="B196" s="652" t="inlineStr">
        <is>
          <t>Thornton</t>
        </is>
      </c>
      <c r="C196" s="652" t="inlineStr">
        <is>
          <t>Alerts</t>
        </is>
      </c>
      <c r="D196" s="652" t="inlineStr">
        <is>
          <t>T-Alerts</t>
        </is>
      </c>
      <c r="E196" s="444" t="inlineStr">
        <is>
          <t>Email subscriptions for meetings, development and city topics.</t>
        </is>
      </c>
      <c r="F196" s="444" t="inlineStr">
        <is>
          <t>Subscribe to current updates and meeting documents.</t>
        </is>
      </c>
      <c r="G196" s="651" t="inlineStr">
        <is>
          <t>https://talerts.thorntonco.gov/</t>
        </is>
      </c>
      <c r="H196" s="652" t="inlineStr">
        <is>
          <t>Useful</t>
        </is>
      </c>
    </row>
    <row r="197" ht="12" customHeight="1" s="545">
      <c r="B197" s="652" t="inlineStr">
        <is>
          <t>Westminster</t>
        </is>
      </c>
      <c r="C197" s="652" t="inlineStr">
        <is>
          <t>Official Website</t>
        </is>
      </c>
      <c r="D197" s="652" t="inlineStr">
        <is>
          <t>City of Westminster</t>
        </is>
      </c>
      <c r="E197" s="444" t="inlineStr">
        <is>
          <t>Main city website.</t>
        </is>
      </c>
      <c r="F197" s="444" t="inlineStr">
        <is>
          <t>Navigate city services and departments.</t>
        </is>
      </c>
      <c r="G197" s="651" t="inlineStr">
        <is>
          <t>https://www.westminsterco.gov/</t>
        </is>
      </c>
      <c r="H197" s="652" t="inlineStr">
        <is>
          <t>Reference</t>
        </is>
      </c>
    </row>
    <row r="198" ht="12" customHeight="1" s="545">
      <c r="B198" s="652" t="inlineStr">
        <is>
          <t>Westminster</t>
        </is>
      </c>
      <c r="C198" s="652" t="inlineStr">
        <is>
          <t>GIS / Property</t>
        </is>
      </c>
      <c r="D198" s="652" t="inlineStr">
        <is>
          <t>Maps</t>
        </is>
      </c>
      <c r="E198" s="444" t="inlineStr">
        <is>
          <t>City maps and GIS resources.</t>
        </is>
      </c>
      <c r="F198" s="444" t="inlineStr">
        <is>
          <t>Research zoning, parcels, utilities and city boundaries.</t>
        </is>
      </c>
      <c r="G198" s="651" t="inlineStr">
        <is>
          <t>https://www.westminsterco.gov/471/Maps</t>
        </is>
      </c>
      <c r="H198" s="652" t="inlineStr">
        <is>
          <t>Critical</t>
        </is>
      </c>
    </row>
    <row r="199" ht="12" customHeight="1" s="545">
      <c r="B199" s="652" t="inlineStr">
        <is>
          <t>Westminster</t>
        </is>
      </c>
      <c r="C199" s="652" t="inlineStr">
        <is>
          <t>Zoning</t>
        </is>
      </c>
      <c r="D199" s="652" t="inlineStr">
        <is>
          <t>Zoning</t>
        </is>
      </c>
      <c r="E199" s="444" t="inlineStr">
        <is>
          <t>Zoning map, districts and zoning resources.</t>
        </is>
      </c>
      <c r="F199" s="444" t="inlineStr">
        <is>
          <t>Confirm zoning and use standards.</t>
        </is>
      </c>
      <c r="G199" s="651" t="inlineStr">
        <is>
          <t>https://www.westminsterco.gov/727/Zoning</t>
        </is>
      </c>
      <c r="H199" s="652" t="inlineStr">
        <is>
          <t>Critical</t>
        </is>
      </c>
    </row>
    <row r="200" ht="12" customHeight="1" s="545">
      <c r="B200" s="652" t="inlineStr">
        <is>
          <t>Westminster</t>
        </is>
      </c>
      <c r="C200" s="652" t="inlineStr">
        <is>
          <t>Planning</t>
        </is>
      </c>
      <c r="D200" s="652" t="inlineStr">
        <is>
          <t>Planning</t>
        </is>
      </c>
      <c r="E200" s="444" t="inlineStr">
        <is>
          <t>Planning services, plans and development review.</t>
        </is>
      </c>
      <c r="F200" s="444" t="inlineStr">
        <is>
          <t>Start land-use and entitlement research.</t>
        </is>
      </c>
      <c r="G200" s="651" t="inlineStr">
        <is>
          <t>https://www.westminsterco.gov/707/Planning</t>
        </is>
      </c>
      <c r="H200" s="652" t="inlineStr">
        <is>
          <t>Critical</t>
        </is>
      </c>
    </row>
    <row r="201" ht="12" customHeight="1" s="545">
      <c r="B201" s="652" t="inlineStr">
        <is>
          <t>Westminster</t>
        </is>
      </c>
      <c r="C201" s="652" t="inlineStr">
        <is>
          <t>Development</t>
        </is>
      </c>
      <c r="D201" s="652" t="inlineStr">
        <is>
          <t>Develop in Westminster</t>
        </is>
      </c>
      <c r="E201" s="444" t="inlineStr">
        <is>
          <t>Development process, applications and standards.</t>
        </is>
      </c>
      <c r="F201" s="444" t="inlineStr">
        <is>
          <t>Understand approvals and development requirements.</t>
        </is>
      </c>
      <c r="G201" s="651" t="inlineStr">
        <is>
          <t>https://www.westminsterco.gov/703/Develop-in-Westminster</t>
        </is>
      </c>
      <c r="H201" s="652" t="inlineStr">
        <is>
          <t>High</t>
        </is>
      </c>
    </row>
    <row r="202" ht="12" customHeight="1" s="545">
      <c r="B202" s="652" t="inlineStr">
        <is>
          <t>Westminster</t>
        </is>
      </c>
      <c r="C202" s="652" t="inlineStr">
        <is>
          <t>Development</t>
        </is>
      </c>
      <c r="D202" s="652" t="inlineStr">
        <is>
          <t>Current Development Project Map</t>
        </is>
      </c>
      <c r="E202" s="444" t="inlineStr">
        <is>
          <t>Interactive map of current development projects.</t>
        </is>
      </c>
      <c r="F202" s="444" t="inlineStr">
        <is>
          <t>Identify active projects near a property.</t>
        </is>
      </c>
      <c r="G202" s="651" t="inlineStr">
        <is>
          <t>https://www.westminsterco.gov/855/Current-Development-Project-Map</t>
        </is>
      </c>
      <c r="H202" s="652" t="inlineStr">
        <is>
          <t>Critical</t>
        </is>
      </c>
    </row>
    <row r="203" ht="12" customHeight="1" s="545">
      <c r="B203" s="652" t="inlineStr">
        <is>
          <t>Westminster</t>
        </is>
      </c>
      <c r="C203" s="652" t="inlineStr">
        <is>
          <t>Development</t>
        </is>
      </c>
      <c r="D203" s="652" t="inlineStr">
        <is>
          <t>Redevelopment</t>
        </is>
      </c>
      <c r="E203" s="444" t="inlineStr">
        <is>
          <t>Redevelopment plans and initiatives.</t>
        </is>
      </c>
      <c r="F203" s="444" t="inlineStr">
        <is>
          <t>Research targeted redevelopment areas and programs.</t>
        </is>
      </c>
      <c r="G203" s="651" t="inlineStr">
        <is>
          <t>https://www.westminsterco.gov/1060/Redevelopment</t>
        </is>
      </c>
      <c r="H203" s="652" t="inlineStr">
        <is>
          <t>High</t>
        </is>
      </c>
    </row>
    <row r="204" ht="12" customHeight="1" s="545">
      <c r="B204" s="652" t="inlineStr">
        <is>
          <t>Westminster</t>
        </is>
      </c>
      <c r="C204" s="652" t="inlineStr">
        <is>
          <t>Permits</t>
        </is>
      </c>
      <c r="D204" s="652" t="inlineStr">
        <is>
          <t>Permits &amp; Licenses</t>
        </is>
      </c>
      <c r="E204" s="444" t="inlineStr">
        <is>
          <t>Permit and licensing resources.</t>
        </is>
      </c>
      <c r="F204" s="444" t="inlineStr">
        <is>
          <t>Find applicable city permits and licenses.</t>
        </is>
      </c>
      <c r="G204" s="651" t="inlineStr">
        <is>
          <t>https://www.westminsterco.gov/833/Permits-Licenses</t>
        </is>
      </c>
      <c r="H204" s="652" t="inlineStr">
        <is>
          <t>High</t>
        </is>
      </c>
    </row>
    <row r="205" ht="12" customHeight="1" s="545">
      <c r="B205" s="652" t="inlineStr">
        <is>
          <t>Westminster</t>
        </is>
      </c>
      <c r="C205" s="652" t="inlineStr">
        <is>
          <t>Permits</t>
        </is>
      </c>
      <c r="D205" s="652" t="inlineStr">
        <is>
          <t>Apply for a Permit / Project</t>
        </is>
      </c>
      <c r="E205" s="444" t="inlineStr">
        <is>
          <t>Online permit and project application guidance.</t>
        </is>
      </c>
      <c r="F205" s="444" t="inlineStr">
        <is>
          <t>Apply for or research permits and projects.</t>
        </is>
      </c>
      <c r="G205" s="651" t="inlineStr">
        <is>
          <t>https://www.westminsterco.gov/617/Apply-for-a-Permit-Project</t>
        </is>
      </c>
      <c r="H205" s="652" t="inlineStr">
        <is>
          <t>Critical</t>
        </is>
      </c>
    </row>
    <row r="206" ht="12" customHeight="1" s="545">
      <c r="B206" s="652" t="inlineStr">
        <is>
          <t>Westminster</t>
        </is>
      </c>
      <c r="C206" s="652" t="inlineStr">
        <is>
          <t>Long-Range Planning</t>
        </is>
      </c>
      <c r="D206" s="652" t="inlineStr">
        <is>
          <t>Comprehensive Plan (November 2025)</t>
        </is>
      </c>
      <c r="E206" s="444" t="inlineStr">
        <is>
          <t>Current city comprehensive plan PDF.</t>
        </is>
      </c>
      <c r="F206" s="444" t="inlineStr">
        <is>
          <t>Evaluate future land use, policy and growth direction.</t>
        </is>
      </c>
      <c r="G206" s="651" t="inlineStr">
        <is>
          <t>https://www.westminsterco.gov/DocumentCenter/View/5605/Comprehensive-Plan_November2025-LR</t>
        </is>
      </c>
      <c r="H206" s="652" t="inlineStr">
        <is>
          <t>High</t>
        </is>
      </c>
    </row>
    <row r="207" ht="21" customHeight="1" s="545">
      <c r="B207" s="652" t="inlineStr">
        <is>
          <t>Westminster</t>
        </is>
      </c>
      <c r="C207" s="652" t="inlineStr">
        <is>
          <t>Standards</t>
        </is>
      </c>
      <c r="D207" s="652" t="inlineStr">
        <is>
          <t>City Standards &amp; Specifications</t>
        </is>
      </c>
      <c r="E207" s="444" t="inlineStr">
        <is>
          <t>Engineering and development standards.</t>
        </is>
      </c>
      <c r="F207" s="444" t="inlineStr">
        <is>
          <t>Review technical requirements for construction and infrastructure.</t>
        </is>
      </c>
      <c r="G207" s="651" t="inlineStr">
        <is>
          <t>https://www.westminsterco.gov/747/City-Standards-Specifications</t>
        </is>
      </c>
      <c r="H207" s="652" t="inlineStr">
        <is>
          <t>High</t>
        </is>
      </c>
    </row>
    <row r="208" ht="12" customHeight="1" s="545">
      <c r="B208" s="652" t="inlineStr">
        <is>
          <t>Westminster</t>
        </is>
      </c>
      <c r="C208" s="652" t="inlineStr">
        <is>
          <t>Code Enforcement</t>
        </is>
      </c>
      <c r="D208" s="652" t="inlineStr">
        <is>
          <t>Code Enforcement</t>
        </is>
      </c>
      <c r="E208" s="444" t="inlineStr">
        <is>
          <t>Property and municipal code compliance information.</t>
        </is>
      </c>
      <c r="F208" s="444" t="inlineStr">
        <is>
          <t>Research complaint and compliance processes.</t>
        </is>
      </c>
      <c r="G208" s="651" t="inlineStr">
        <is>
          <t>https://www.westminsterco.gov/639/Code-Enforcement</t>
        </is>
      </c>
      <c r="H208" s="652" t="inlineStr">
        <is>
          <t>Useful</t>
        </is>
      </c>
    </row>
    <row r="209" ht="12" customHeight="1" s="545">
      <c r="B209" s="652" t="inlineStr">
        <is>
          <t>Westminster</t>
        </is>
      </c>
      <c r="C209" s="652" t="inlineStr">
        <is>
          <t>Meetings</t>
        </is>
      </c>
      <c r="D209" s="652" t="inlineStr">
        <is>
          <t>Planning Commission</t>
        </is>
      </c>
      <c r="E209" s="444" t="inlineStr">
        <is>
          <t>Planning Commission information and meetings.</t>
        </is>
      </c>
      <c r="F209" s="444" t="inlineStr">
        <is>
          <t>Monitor land-use hearings and recommendations.</t>
        </is>
      </c>
      <c r="G209" s="651" t="inlineStr">
        <is>
          <t>https://www.westminsterco.gov/614/Planning-Commission</t>
        </is>
      </c>
      <c r="H209" s="652" t="inlineStr">
        <is>
          <t>High</t>
        </is>
      </c>
    </row>
    <row r="210" ht="12" customHeight="1" s="545">
      <c r="B210" s="652" t="inlineStr">
        <is>
          <t>Westminster</t>
        </is>
      </c>
      <c r="C210" s="652" t="inlineStr">
        <is>
          <t>Meetings</t>
        </is>
      </c>
      <c r="D210" s="652" t="inlineStr">
        <is>
          <t>Agenda Center</t>
        </is>
      </c>
      <c r="E210" s="444" t="inlineStr">
        <is>
          <t>Agendas and minutes for boards and council.</t>
        </is>
      </c>
      <c r="F210" s="444" t="inlineStr">
        <is>
          <t>Track official decisions and meeting records.</t>
        </is>
      </c>
      <c r="G210" s="651" t="inlineStr">
        <is>
          <t>https://www.westminsterco.gov/AgendaCenter</t>
        </is>
      </c>
      <c r="H210" s="652" t="inlineStr">
        <is>
          <t>High</t>
        </is>
      </c>
    </row>
    <row r="211" ht="12" customHeight="1" s="545">
      <c r="B211" s="652" t="inlineStr">
        <is>
          <t>Westminster</t>
        </is>
      </c>
      <c r="C211" s="652" t="inlineStr">
        <is>
          <t>Public Notices</t>
        </is>
      </c>
      <c r="D211" s="652" t="inlineStr">
        <is>
          <t>Public Notices</t>
        </is>
      </c>
      <c r="E211" s="444" t="inlineStr">
        <is>
          <t>Official public and legal notices.</t>
        </is>
      </c>
      <c r="F211" s="444" t="inlineStr">
        <is>
          <t>Confirm hearings, ordinances and notice deadlines.</t>
        </is>
      </c>
      <c r="G211" s="651" t="inlineStr">
        <is>
          <t>https://www.westminsterco.gov/1098/Public-Notices</t>
        </is>
      </c>
      <c r="H211" s="652" t="inlineStr">
        <is>
          <t>High</t>
        </is>
      </c>
    </row>
    <row r="212" ht="12" customHeight="1" s="545">
      <c r="B212" s="652" t="inlineStr">
        <is>
          <t>Westminster</t>
        </is>
      </c>
      <c r="C212" s="652" t="inlineStr">
        <is>
          <t>News</t>
        </is>
      </c>
      <c r="D212" s="652" t="inlineStr">
        <is>
          <t>City News</t>
        </is>
      </c>
      <c r="E212" s="444" t="inlineStr">
        <is>
          <t>Official city news releases and updates.</t>
        </is>
      </c>
      <c r="F212" s="444" t="inlineStr">
        <is>
          <t>Monitor development, policy and public projects.</t>
        </is>
      </c>
      <c r="G212" s="651" t="inlineStr">
        <is>
          <t>https://www.westminsterco.gov/m/NewsFlash</t>
        </is>
      </c>
      <c r="H212" s="652" t="inlineStr">
        <is>
          <t>Useful</t>
        </is>
      </c>
    </row>
    <row r="213" ht="12" customHeight="1" s="545">
      <c r="B213" s="652" t="inlineStr">
        <is>
          <t>Westminster</t>
        </is>
      </c>
      <c r="C213" s="652" t="inlineStr">
        <is>
          <t>Public Records</t>
        </is>
      </c>
      <c r="D213" s="652" t="inlineStr">
        <is>
          <t>Public Records Request</t>
        </is>
      </c>
      <c r="E213" s="444" t="inlineStr">
        <is>
          <t>City public-records request information.</t>
        </is>
      </c>
      <c r="F213" s="444" t="inlineStr">
        <is>
          <t>Request planning, permit and other official records.</t>
        </is>
      </c>
      <c r="G213" s="651" t="inlineStr">
        <is>
          <t>https://www.westminsterco.gov/565/Public-Records-Request</t>
        </is>
      </c>
      <c r="H213" s="652" t="inlineStr">
        <is>
          <t>High</t>
        </is>
      </c>
    </row>
    <row r="214" ht="21" customHeight="1" s="545">
      <c r="B214" s="652" t="inlineStr">
        <is>
          <t>Adams County</t>
        </is>
      </c>
      <c r="C214" s="652" t="inlineStr">
        <is>
          <t>Meetings/News – Public meetings</t>
        </is>
      </c>
      <c r="D214" s="652" t="inlineStr">
        <is>
          <t>County Public Meetings</t>
        </is>
      </c>
      <c r="E214" s="444" t="inlineStr">
        <is>
          <t>Central page for county boards, commissions and hearings.</t>
        </is>
      </c>
      <c r="F214" s="444" t="inlineStr">
        <is>
          <t>Review weekly and before any due-diligence deadline.</t>
        </is>
      </c>
      <c r="G214" s="651" t="inlineStr">
        <is>
          <t>https://adamscountyco.gov/about-adams-county/public-meetings/</t>
        </is>
      </c>
      <c r="H214" s="652" t="inlineStr">
        <is>
          <t>Critical</t>
        </is>
      </c>
    </row>
    <row r="215" ht="21" customHeight="1" s="545">
      <c r="B215" s="652" t="inlineStr">
        <is>
          <t>Adams County</t>
        </is>
      </c>
      <c r="C215" s="652" t="inlineStr">
        <is>
          <t>Meetings/News – Land-use cases</t>
        </is>
      </c>
      <c r="D215" s="652" t="inlineStr">
        <is>
          <t>Current Land Use Cases</t>
        </is>
      </c>
      <c r="E215" s="444" t="inlineStr">
        <is>
          <t>Shows scheduled land-use cases requiring hearings and recent decisions.</t>
        </is>
      </c>
      <c r="F215" s="444" t="inlineStr">
        <is>
          <t>Check by location, case number and hearing body.</t>
        </is>
      </c>
      <c r="G215" s="651" t="inlineStr">
        <is>
          <t>https://adamscountyco.gov/our-county/community-economic-development/planning-development/current-land-use-cases/</t>
        </is>
      </c>
      <c r="H215" s="652" t="inlineStr">
        <is>
          <t>Critical</t>
        </is>
      </c>
    </row>
    <row r="216" ht="12" customHeight="1" s="545">
      <c r="B216" s="652" t="inlineStr">
        <is>
          <t>Adams County</t>
        </is>
      </c>
      <c r="C216" s="652" t="inlineStr">
        <is>
          <t>Meetings/News – Agendas</t>
        </is>
      </c>
      <c r="D216" s="652" t="inlineStr">
        <is>
          <t>Current Meeting Agendas &amp; Archives</t>
        </is>
      </c>
      <c r="E216" s="444" t="inlineStr">
        <is>
          <t>BOCC agendas, minutes, audio and public comments.</t>
        </is>
      </c>
      <c r="F216" s="444" t="inlineStr">
        <is>
          <t>Search agendas for address, applicant or project name.</t>
        </is>
      </c>
      <c r="G216" s="651" t="inlineStr">
        <is>
          <t>https://adamscountyco.gov/our-county/elected-officials/board-of-county-commissioners/current-meeting-agendas-archives/</t>
        </is>
      </c>
      <c r="H216" s="652" t="inlineStr">
        <is>
          <t>Critical</t>
        </is>
      </c>
    </row>
    <row r="217" ht="21" customHeight="1" s="545">
      <c r="B217" s="652" t="inlineStr">
        <is>
          <t>Adams County</t>
        </is>
      </c>
      <c r="C217" s="652" t="inlineStr">
        <is>
          <t>Meetings/News – Archives</t>
        </is>
      </c>
      <c r="D217" s="652" t="inlineStr">
        <is>
          <t>Archived Hearing Agendas &amp; Audio</t>
        </is>
      </c>
      <c r="E217" s="444" t="inlineStr">
        <is>
          <t>Archived BOCC, Board of Adjustment and Planning Commission records.</t>
        </is>
      </c>
      <c r="F217" s="444" t="inlineStr">
        <is>
          <t>Use for entitlement history and past decisions.</t>
        </is>
      </c>
      <c r="G217" s="651" t="inlineStr">
        <is>
          <t>https://adamscountyco.gov/about-adams-county/public-meetings/archived-hearing-agendas-audio/</t>
        </is>
      </c>
      <c r="H217" s="652" t="inlineStr">
        <is>
          <t>High</t>
        </is>
      </c>
    </row>
    <row r="218" ht="21" customHeight="1" s="545">
      <c r="B218" s="652" t="inlineStr">
        <is>
          <t>Adams County</t>
        </is>
      </c>
      <c r="C218" s="652" t="inlineStr">
        <is>
          <t>Meetings/News – Official news</t>
        </is>
      </c>
      <c r="D218" s="652" t="inlineStr">
        <is>
          <t>Adams County News</t>
        </is>
      </c>
      <c r="E218" s="444" t="inlineStr">
        <is>
          <t>County announcements, policy changes and project updates.</t>
        </is>
      </c>
      <c r="F218" s="444" t="inlineStr">
        <is>
          <t>Subscribe or review regularly.</t>
        </is>
      </c>
      <c r="G218" s="651" t="inlineStr">
        <is>
          <t>https://adamscountyco.gov/about-adams-county/news/</t>
        </is>
      </c>
      <c r="H218" s="652" t="inlineStr">
        <is>
          <t>High</t>
        </is>
      </c>
    </row>
    <row r="219" ht="21" customHeight="1" s="545">
      <c r="B219" s="652" t="inlineStr">
        <is>
          <t>Adams County</t>
        </is>
      </c>
      <c r="C219" s="652" t="inlineStr">
        <is>
          <t>Meetings/News – Planning updates</t>
        </is>
      </c>
      <c r="D219" s="652" t="inlineStr">
        <is>
          <t>Planning &amp; Development News</t>
        </is>
      </c>
      <c r="E219" s="444" t="inlineStr">
        <is>
          <t>Planning initiatives, code amendments and development updates.</t>
        </is>
      </c>
      <c r="F219" s="444" t="inlineStr">
        <is>
          <t>Review for code-update and plan-update notices.</t>
        </is>
      </c>
      <c r="G219" s="651" t="inlineStr">
        <is>
          <t>https://adamscountyco.gov/our-county/community-economic-development/planning-development/news-updates/</t>
        </is>
      </c>
      <c r="H219" s="652" t="inlineStr">
        <is>
          <t>High</t>
        </is>
      </c>
    </row>
    <row r="220" ht="12" customHeight="1" s="545">
      <c r="B220" s="652" t="inlineStr">
        <is>
          <t>Adams County</t>
        </is>
      </c>
      <c r="C220" s="652" t="inlineStr">
        <is>
          <t>Meetings/News – Public documents</t>
        </is>
      </c>
      <c r="D220" s="652" t="inlineStr">
        <is>
          <t>Public Document Postings</t>
        </is>
      </c>
      <c r="E220" s="444" t="inlineStr">
        <is>
          <t>Recorded/public postings and notices.</t>
        </is>
      </c>
      <c r="F220" s="444" t="inlineStr">
        <is>
          <t>Search relevant names and legal descriptions.</t>
        </is>
      </c>
      <c r="G220" s="651" t="inlineStr">
        <is>
          <t>https://adamscountyco.gov/our-county/elected-officials/clerk-recorder/recording/public-document-postings/</t>
        </is>
      </c>
      <c r="H220" s="652" t="inlineStr">
        <is>
          <t>Useful</t>
        </is>
      </c>
    </row>
    <row r="221" ht="21" customHeight="1" s="545">
      <c r="B221" s="652" t="inlineStr">
        <is>
          <t>Arvada</t>
        </is>
      </c>
      <c r="C221" s="652" t="inlineStr">
        <is>
          <t>Meetings/News – Agendas</t>
        </is>
      </c>
      <c r="D221" s="652" t="inlineStr">
        <is>
          <t>Agenda Center</t>
        </is>
      </c>
      <c r="E221" s="444" t="inlineStr">
        <is>
          <t>City council, boards and commission agendas and minutes.</t>
        </is>
      </c>
      <c r="F221" s="444" t="inlineStr">
        <is>
          <t>Search project name, address and case number.</t>
        </is>
      </c>
      <c r="G221" s="651" t="inlineStr">
        <is>
          <t>https://www.arvadaco.gov/AgendaCenter</t>
        </is>
      </c>
      <c r="H221" s="652" t="inlineStr">
        <is>
          <t>High</t>
        </is>
      </c>
    </row>
    <row r="222" ht="12" customHeight="1" s="545">
      <c r="B222" s="652" t="inlineStr">
        <is>
          <t>Arvada</t>
        </is>
      </c>
      <c r="C222" s="652" t="inlineStr">
        <is>
          <t>Meetings/News – Legal notices</t>
        </is>
      </c>
      <c r="D222" s="652" t="inlineStr">
        <is>
          <t>Meetings and Other Legal Notices</t>
        </is>
      </c>
      <c r="E222" s="444" t="inlineStr">
        <is>
          <t>Formal meeting and legal notices.</t>
        </is>
      </c>
      <c r="F222" s="444" t="inlineStr">
        <is>
          <t>Review before relying on an application status.</t>
        </is>
      </c>
      <c r="G222" s="651" t="inlineStr">
        <is>
          <t>https://www.arvadaco.gov/245/Meetings-and-Other-Legal-Notices</t>
        </is>
      </c>
      <c r="H222" s="652" t="inlineStr">
        <is>
          <t>High</t>
        </is>
      </c>
    </row>
    <row r="223" ht="12" customHeight="1" s="545">
      <c r="B223" s="652" t="inlineStr">
        <is>
          <t>Arvada</t>
        </is>
      </c>
      <c r="C223" s="652" t="inlineStr">
        <is>
          <t>Meetings/News – Official news</t>
        </is>
      </c>
      <c r="D223" s="652" t="inlineStr">
        <is>
          <t>News Releases</t>
        </is>
      </c>
      <c r="E223" s="444" t="inlineStr">
        <is>
          <t>Official city announcements.</t>
        </is>
      </c>
      <c r="F223" s="444" t="inlineStr">
        <is>
          <t>Monitor weekly for project and policy changes.</t>
        </is>
      </c>
      <c r="G223" s="651" t="inlineStr">
        <is>
          <t>https://www.arvadaco.gov/908/News-Releases</t>
        </is>
      </c>
      <c r="H223" s="652" t="inlineStr">
        <is>
          <t>Useful</t>
        </is>
      </c>
    </row>
    <row r="224" ht="21" customHeight="1" s="545">
      <c r="B224" s="652" t="inlineStr">
        <is>
          <t>Aurora</t>
        </is>
      </c>
      <c r="C224" s="652" t="inlineStr">
        <is>
          <t>Meetings/News – Planning meetings</t>
        </is>
      </c>
      <c r="D224" s="652" t="inlineStr">
        <is>
          <t>Planning &amp; Zoning Commission</t>
        </is>
      </c>
      <c r="E224" s="444" t="inlineStr">
        <is>
          <t>Commission records and public participation information.</t>
        </is>
      </c>
      <c r="F224" s="444" t="inlineStr">
        <is>
          <t>Check agendas for land-use cases.</t>
        </is>
      </c>
      <c r="G224" s="651" t="inlineStr">
        <is>
          <t>https://www.auroragov.org/city_hall/boards___commissions/planning___zoning_commission</t>
        </is>
      </c>
      <c r="H224" s="652" t="inlineStr">
        <is>
          <t>High</t>
        </is>
      </c>
    </row>
    <row r="225" ht="12" customHeight="1" s="545">
      <c r="B225" s="652" t="inlineStr">
        <is>
          <t>Aurora</t>
        </is>
      </c>
      <c r="C225" s="652" t="inlineStr">
        <is>
          <t>Meetings/News – Council meetings</t>
        </is>
      </c>
      <c r="D225" s="652" t="inlineStr">
        <is>
          <t>City Council Meetings</t>
        </is>
      </c>
      <c r="E225" s="444" t="inlineStr">
        <is>
          <t>Council agendas and records.</t>
        </is>
      </c>
      <c r="F225" s="444" t="inlineStr">
        <is>
          <t>Track final approvals and ordinances.</t>
        </is>
      </c>
      <c r="G225" s="651" t="inlineStr">
        <is>
          <t>https://www.auroragov.org/city_hall/mayor___city_council/council_meetings</t>
        </is>
      </c>
      <c r="H225" s="652" t="inlineStr">
        <is>
          <t>High</t>
        </is>
      </c>
    </row>
    <row r="226" ht="12" customHeight="1" s="545">
      <c r="B226" s="652" t="inlineStr">
        <is>
          <t>Aurora</t>
        </is>
      </c>
      <c r="C226" s="652" t="inlineStr">
        <is>
          <t>Meetings/News – Public hearings</t>
        </is>
      </c>
      <c r="D226" s="652" t="inlineStr">
        <is>
          <t>Public Hearings</t>
        </is>
      </c>
      <c r="E226" s="444" t="inlineStr">
        <is>
          <t>Official notices of public hearings.</t>
        </is>
      </c>
      <c r="F226" s="444" t="inlineStr">
        <is>
          <t>Check frequently during an active application.</t>
        </is>
      </c>
      <c r="G226" s="651" t="inlineStr">
        <is>
          <t>https://www.auroragov.org/city_hall/public_records/legal_notices/public_hearings</t>
        </is>
      </c>
      <c r="H226" s="652" t="inlineStr">
        <is>
          <t>Critical</t>
        </is>
      </c>
    </row>
    <row r="227" ht="12" customHeight="1" s="545">
      <c r="B227" s="652" t="inlineStr">
        <is>
          <t>Aurora</t>
        </is>
      </c>
      <c r="C227" s="652" t="inlineStr">
        <is>
          <t>Meetings/News – Official news</t>
        </is>
      </c>
      <c r="D227" s="652" t="inlineStr">
        <is>
          <t>What's New</t>
        </is>
      </c>
      <c r="E227" s="444" t="inlineStr">
        <is>
          <t>Official city news feed.</t>
        </is>
      </c>
      <c r="F227" s="444" t="inlineStr">
        <is>
          <t>Monitor citywide projects and policy changes.</t>
        </is>
      </c>
      <c r="G227" s="651" t="inlineStr">
        <is>
          <t>https://www.auroragov.org/news/whats_new</t>
        </is>
      </c>
      <c r="H227" s="652" t="inlineStr">
        <is>
          <t>Useful</t>
        </is>
      </c>
    </row>
    <row r="228" ht="12" customHeight="1" s="545">
      <c r="B228" s="652" t="inlineStr">
        <is>
          <t>Bennett</t>
        </is>
      </c>
      <c r="C228" s="652" t="inlineStr">
        <is>
          <t>Meetings/News – Meetings</t>
        </is>
      </c>
      <c r="D228" s="652" t="inlineStr">
        <is>
          <t>Recent Meetings</t>
        </is>
      </c>
      <c r="E228" s="444" t="inlineStr">
        <is>
          <t>Board and commission agendas and minutes.</t>
        </is>
      </c>
      <c r="F228" s="444" t="inlineStr">
        <is>
          <t>Search planning and board records.</t>
        </is>
      </c>
      <c r="G228" s="651" t="inlineStr">
        <is>
          <t>https://www.bennettco.gov/meetings/recent</t>
        </is>
      </c>
      <c r="H228" s="652" t="inlineStr">
        <is>
          <t>High</t>
        </is>
      </c>
    </row>
    <row r="229" ht="12" customHeight="1" s="545">
      <c r="B229" s="652" t="inlineStr">
        <is>
          <t>Bennett</t>
        </is>
      </c>
      <c r="C229" s="652" t="inlineStr">
        <is>
          <t>Meetings/News – Planning meetings</t>
        </is>
      </c>
      <c r="D229" s="652" t="inlineStr">
        <is>
          <t>Planning &amp; Zoning Commission</t>
        </is>
      </c>
      <c r="E229" s="444" t="inlineStr">
        <is>
          <t>Planning commission information and records.</t>
        </is>
      </c>
      <c r="F229" s="444" t="inlineStr">
        <is>
          <t>Review upcoming land-use hearings.</t>
        </is>
      </c>
      <c r="G229" s="651" t="inlineStr">
        <is>
          <t>https://www.bennettco.gov/planning-and-zoning-commission</t>
        </is>
      </c>
      <c r="H229" s="652" t="inlineStr">
        <is>
          <t>High</t>
        </is>
      </c>
    </row>
    <row r="230" ht="12" customHeight="1" s="545">
      <c r="B230" s="652" t="inlineStr">
        <is>
          <t>Bennett</t>
        </is>
      </c>
      <c r="C230" s="652" t="inlineStr">
        <is>
          <t>Meetings/News – Official news</t>
        </is>
      </c>
      <c r="D230" s="652" t="inlineStr">
        <is>
          <t>Town News</t>
        </is>
      </c>
      <c r="E230" s="444" t="inlineStr">
        <is>
          <t>Town announcements and current notices.</t>
        </is>
      </c>
      <c r="F230" s="444" t="inlineStr">
        <is>
          <t>Review regularly for code and permit changes.</t>
        </is>
      </c>
      <c r="G230" s="651" t="inlineStr">
        <is>
          <t>https://www.bennettco.gov/news</t>
        </is>
      </c>
      <c r="H230" s="652" t="inlineStr">
        <is>
          <t>High</t>
        </is>
      </c>
    </row>
    <row r="231" ht="12" customHeight="1" s="545">
      <c r="B231" s="652" t="inlineStr">
        <is>
          <t>Brighton</t>
        </is>
      </c>
      <c r="C231" s="652" t="inlineStr">
        <is>
          <t>Meetings/News – Agendas</t>
        </is>
      </c>
      <c r="D231" s="652" t="inlineStr">
        <is>
          <t>Agenda Center</t>
        </is>
      </c>
      <c r="E231" s="444" t="inlineStr">
        <is>
          <t>Council and board agendas and minutes.</t>
        </is>
      </c>
      <c r="F231" s="444" t="inlineStr">
        <is>
          <t>Search address, project or applicant.</t>
        </is>
      </c>
      <c r="G231" s="651" t="inlineStr">
        <is>
          <t>https://www.brightonco.gov/agendacenter</t>
        </is>
      </c>
      <c r="H231" s="652" t="inlineStr">
        <is>
          <t>High</t>
        </is>
      </c>
    </row>
    <row r="232" ht="12" customHeight="1" s="545">
      <c r="B232" s="652" t="inlineStr">
        <is>
          <t>Brighton</t>
        </is>
      </c>
      <c r="C232" s="652" t="inlineStr">
        <is>
          <t>Meetings/News – Legal notices</t>
        </is>
      </c>
      <c r="D232" s="652" t="inlineStr">
        <is>
          <t>Legal Notices</t>
        </is>
      </c>
      <c r="E232" s="444" t="inlineStr">
        <is>
          <t>Official legal and hearing notices.</t>
        </is>
      </c>
      <c r="F232" s="444" t="inlineStr">
        <is>
          <t>Confirm hearing dates and comment periods.</t>
        </is>
      </c>
      <c r="G232" s="651" t="inlineStr">
        <is>
          <t>https://www.brightonco.gov/453/Legal-Notices</t>
        </is>
      </c>
      <c r="H232" s="652" t="inlineStr">
        <is>
          <t>Critical</t>
        </is>
      </c>
    </row>
    <row r="233" ht="12" customHeight="1" s="545">
      <c r="B233" s="652" t="inlineStr">
        <is>
          <t>Brighton</t>
        </is>
      </c>
      <c r="C233" s="652" t="inlineStr">
        <is>
          <t>Meetings/News – Official news</t>
        </is>
      </c>
      <c r="D233" s="652" t="inlineStr">
        <is>
          <t>City News</t>
        </is>
      </c>
      <c r="E233" s="444" t="inlineStr">
        <is>
          <t>Official city announcements.</t>
        </is>
      </c>
      <c r="F233" s="444" t="inlineStr">
        <is>
          <t>Monitor development and infrastructure updates.</t>
        </is>
      </c>
      <c r="G233" s="651" t="inlineStr">
        <is>
          <t>https://www.brightonco.gov/175/News</t>
        </is>
      </c>
      <c r="H233" s="652" t="inlineStr">
        <is>
          <t>Useful</t>
        </is>
      </c>
    </row>
    <row r="234" ht="12" customHeight="1" s="545">
      <c r="B234" s="652" t="inlineStr">
        <is>
          <t>Brighton</t>
        </is>
      </c>
      <c r="C234" s="652" t="inlineStr">
        <is>
          <t>Meetings/News – Subscriptions</t>
        </is>
      </c>
      <c r="D234" s="652" t="inlineStr">
        <is>
          <t>Notify Me</t>
        </is>
      </c>
      <c r="E234" s="444" t="inlineStr">
        <is>
          <t>Email subscriptions for agendas, notices and news.</t>
        </is>
      </c>
      <c r="F234" s="444" t="inlineStr">
        <is>
          <t>Subscribe to planning and city council categories.</t>
        </is>
      </c>
      <c r="G234" s="651" t="inlineStr">
        <is>
          <t>https://www.brightonco.gov/notifyme</t>
        </is>
      </c>
      <c r="H234" s="652" t="inlineStr">
        <is>
          <t>Useful</t>
        </is>
      </c>
    </row>
    <row r="235" ht="12" customHeight="1" s="545">
      <c r="B235" s="652" t="inlineStr">
        <is>
          <t>Commerce City</t>
        </is>
      </c>
      <c r="C235" s="652" t="inlineStr">
        <is>
          <t>Meetings/News – Agendas</t>
        </is>
      </c>
      <c r="D235" s="652" t="inlineStr">
        <is>
          <t>Meeting Agendas and Schedules</t>
        </is>
      </c>
      <c r="E235" s="444" t="inlineStr">
        <is>
          <t>Council and board agendas, meetings and schedules.</t>
        </is>
      </c>
      <c r="F235" s="444" t="inlineStr">
        <is>
          <t>Search all meeting records for project terms.</t>
        </is>
      </c>
      <c r="G235" s="651" t="inlineStr">
        <is>
          <t>https://www.c3gov.com/Site-Footer/Footer-Widgets/Quick-Links/Meeting-Agendas-and-Schedules</t>
        </is>
      </c>
      <c r="H235" s="652" t="inlineStr">
        <is>
          <t>High</t>
        </is>
      </c>
    </row>
    <row r="236" ht="12" customHeight="1" s="545">
      <c r="B236" s="652" t="inlineStr">
        <is>
          <t>Commerce City</t>
        </is>
      </c>
      <c r="C236" s="652" t="inlineStr">
        <is>
          <t>Meetings/News – Legal notices</t>
        </is>
      </c>
      <c r="D236" s="652" t="inlineStr">
        <is>
          <t>Legal Notices &amp; Ordinances</t>
        </is>
      </c>
      <c r="E236" s="444" t="inlineStr">
        <is>
          <t>Formal notices and ordinance postings.</t>
        </is>
      </c>
      <c r="F236" s="444" t="inlineStr">
        <is>
          <t>Confirm legal notice and adoption status.</t>
        </is>
      </c>
      <c r="G236" s="651" t="inlineStr">
        <is>
          <t>https://www.c3gov.com/Government/Departments-Divisions/City-Clerks-Office/Legal-Notices-Ordinances</t>
        </is>
      </c>
      <c r="H236" s="652" t="inlineStr">
        <is>
          <t>Critical</t>
        </is>
      </c>
    </row>
    <row r="237" ht="12" customHeight="1" s="545">
      <c r="B237" s="652" t="inlineStr">
        <is>
          <t>Commerce City</t>
        </is>
      </c>
      <c r="C237" s="652" t="inlineStr">
        <is>
          <t>Meetings/News – Official news</t>
        </is>
      </c>
      <c r="D237" s="652" t="inlineStr">
        <is>
          <t>News &amp; Announcements</t>
        </is>
      </c>
      <c r="E237" s="444" t="inlineStr">
        <is>
          <t>Official city news feed.</t>
        </is>
      </c>
      <c r="F237" s="444" t="inlineStr">
        <is>
          <t>Monitor projects, code changes and public programs.</t>
        </is>
      </c>
      <c r="G237" s="651" t="inlineStr">
        <is>
          <t>https://www.c3gov.com/Government/Media-News/News-Announcements</t>
        </is>
      </c>
      <c r="H237" s="652" t="inlineStr">
        <is>
          <t>Useful</t>
        </is>
      </c>
    </row>
    <row r="238" ht="12" customHeight="1" s="545">
      <c r="B238" s="652" t="inlineStr">
        <is>
          <t>Federal Heights</t>
        </is>
      </c>
      <c r="C238" s="652" t="inlineStr">
        <is>
          <t>Meetings/News – Meetings</t>
        </is>
      </c>
      <c r="D238" s="652" t="inlineStr">
        <is>
          <t>Meetings and Study Sessions</t>
        </is>
      </c>
      <c r="E238" s="444" t="inlineStr">
        <is>
          <t>Minutes and audio recordings.</t>
        </is>
      </c>
      <c r="F238" s="444" t="inlineStr">
        <is>
          <t>Review council records for property-related actions.</t>
        </is>
      </c>
      <c r="G238" s="651" t="inlineStr">
        <is>
          <t>https://www.fedheights.org/index.asp?SEC=%7BE66D34DF-8290-4807-83DA-3AF56D110C00%7D</t>
        </is>
      </c>
      <c r="H238" s="652" t="inlineStr">
        <is>
          <t>High</t>
        </is>
      </c>
    </row>
    <row r="239" ht="12" customHeight="1" s="545">
      <c r="B239" s="652" t="inlineStr">
        <is>
          <t>Federal Heights</t>
        </is>
      </c>
      <c r="C239" s="652" t="inlineStr">
        <is>
          <t>Meetings/News – Official news</t>
        </is>
      </c>
      <c r="D239" s="652" t="inlineStr">
        <is>
          <t>News and Events</t>
        </is>
      </c>
      <c r="E239" s="444" t="inlineStr">
        <is>
          <t>Official calendar and announcements.</t>
        </is>
      </c>
      <c r="F239" s="444" t="inlineStr">
        <is>
          <t>Review current calendar and notices.</t>
        </is>
      </c>
      <c r="G239" s="651" t="inlineStr">
        <is>
          <t>https://www.fedheights.org/index.asp?SEC=407F7286-34E9-495F-B5F7-88E905D7C9A5</t>
        </is>
      </c>
      <c r="H239" s="652" t="inlineStr">
        <is>
          <t>Useful</t>
        </is>
      </c>
    </row>
    <row r="240" ht="12" customHeight="1" s="545">
      <c r="B240" s="652" t="inlineStr">
        <is>
          <t>Federal Heights</t>
        </is>
      </c>
      <c r="C240" s="652" t="inlineStr">
        <is>
          <t>Meetings/News – Newsletter</t>
        </is>
      </c>
      <c r="D240" s="652" t="inlineStr">
        <is>
          <t>Federal Heights Focus</t>
        </is>
      </c>
      <c r="E240" s="444" t="inlineStr">
        <is>
          <t>Quarterly city newsletter.</t>
        </is>
      </c>
      <c r="F240" s="444" t="inlineStr">
        <is>
          <t>Use for longer-term city project updates.</t>
        </is>
      </c>
      <c r="G240" s="651" t="inlineStr">
        <is>
          <t>https://www.fedheights.org/index.asp?SEC=%7B2E7DCCA1-1FEF-4EA7-8AE7-6C3F92D19EF3%7D&amp;persistdesign=none</t>
        </is>
      </c>
      <c r="H240" s="652" t="inlineStr">
        <is>
          <t>Useful</t>
        </is>
      </c>
    </row>
    <row r="241" ht="12" customHeight="1" s="545">
      <c r="B241" s="652" t="inlineStr">
        <is>
          <t>Lochbuie</t>
        </is>
      </c>
      <c r="C241" s="652" t="inlineStr">
        <is>
          <t>Meetings/News – Meetings</t>
        </is>
      </c>
      <c r="D241" s="652" t="inlineStr">
        <is>
          <t>Upcoming Meetings</t>
        </is>
      </c>
      <c r="E241" s="444" t="inlineStr">
        <is>
          <t>Upcoming town meetings.</t>
        </is>
      </c>
      <c r="F241" s="444" t="inlineStr">
        <is>
          <t>Review agendas before board action.</t>
        </is>
      </c>
      <c r="G241" s="651" t="inlineStr">
        <is>
          <t>https://www.lochbuie.org/meetings</t>
        </is>
      </c>
      <c r="H241" s="652" t="inlineStr">
        <is>
          <t>High</t>
        </is>
      </c>
    </row>
    <row r="242" ht="12" customHeight="1" s="545">
      <c r="B242" s="652" t="inlineStr">
        <is>
          <t>Lochbuie</t>
        </is>
      </c>
      <c r="C242" s="652" t="inlineStr">
        <is>
          <t>Meetings/News – Public notices</t>
        </is>
      </c>
      <c r="D242" s="652" t="inlineStr">
        <is>
          <t>Public Notices</t>
        </is>
      </c>
      <c r="E242" s="444" t="inlineStr">
        <is>
          <t>Formal town notices.</t>
        </is>
      </c>
      <c r="F242" s="444" t="inlineStr">
        <is>
          <t>Confirm hearings and ordinance notices.</t>
        </is>
      </c>
      <c r="G242" s="651" t="inlineStr">
        <is>
          <t>https://www.lochbuie.org/publicnotice</t>
        </is>
      </c>
      <c r="H242" s="652" t="inlineStr">
        <is>
          <t>Critical</t>
        </is>
      </c>
    </row>
    <row r="243" ht="12" customHeight="1" s="545">
      <c r="B243" s="652" t="inlineStr">
        <is>
          <t>Lochbuie</t>
        </is>
      </c>
      <c r="C243" s="652" t="inlineStr">
        <is>
          <t>Meetings/News – Official news</t>
        </is>
      </c>
      <c r="D243" s="652" t="inlineStr">
        <is>
          <t>Town News</t>
        </is>
      </c>
      <c r="E243" s="444" t="inlineStr">
        <is>
          <t>Official town news feed.</t>
        </is>
      </c>
      <c r="F243" s="444" t="inlineStr">
        <is>
          <t>Monitor development and infrastructure changes.</t>
        </is>
      </c>
      <c r="G243" s="651" t="inlineStr">
        <is>
          <t>https://www.lochbuie.org/news</t>
        </is>
      </c>
      <c r="H243" s="652" t="inlineStr">
        <is>
          <t>Useful</t>
        </is>
      </c>
    </row>
    <row r="244" ht="21" customHeight="1" s="545">
      <c r="B244" s="652" t="inlineStr">
        <is>
          <t>Northglenn</t>
        </is>
      </c>
      <c r="C244" s="652" t="inlineStr">
        <is>
          <t>Meetings/News – Meeting records</t>
        </is>
      </c>
      <c r="D244" s="652" t="inlineStr">
        <is>
          <t>Public Meeting Records</t>
        </is>
      </c>
      <c r="E244" s="444" t="inlineStr">
        <is>
          <t>Searchable agendas, minutes and hearing documents.</t>
        </is>
      </c>
      <c r="F244" s="444" t="inlineStr">
        <is>
          <t>Search address, case number, ordinance and applicant.</t>
        </is>
      </c>
      <c r="G244" s="651" t="inlineStr">
        <is>
          <t>https://webdocs.northglenn.org/</t>
        </is>
      </c>
      <c r="H244" s="652" t="inlineStr">
        <is>
          <t>Critical</t>
        </is>
      </c>
    </row>
    <row r="245" ht="12" customHeight="1" s="545">
      <c r="B245" s="652" t="inlineStr">
        <is>
          <t>Northglenn</t>
        </is>
      </c>
      <c r="C245" s="652" t="inlineStr">
        <is>
          <t>Meetings/News – Official news</t>
        </is>
      </c>
      <c r="D245" s="652" t="inlineStr">
        <is>
          <t>City News Listings</t>
        </is>
      </c>
      <c r="E245" s="444" t="inlineStr">
        <is>
          <t>Official city news feed.</t>
        </is>
      </c>
      <c r="F245" s="444" t="inlineStr">
        <is>
          <t>Monitor citywide projects and policy updates.</t>
        </is>
      </c>
      <c r="G245" s="651" t="inlineStr">
        <is>
          <t>https://www.northglenn.org/newslist.php</t>
        </is>
      </c>
      <c r="H245" s="652" t="inlineStr">
        <is>
          <t>Useful</t>
        </is>
      </c>
    </row>
    <row r="246" ht="12" customHeight="1" s="545">
      <c r="B246" s="652" t="inlineStr">
        <is>
          <t>Northglenn</t>
        </is>
      </c>
      <c r="C246" s="652" t="inlineStr">
        <is>
          <t>Meetings/News – Alerts</t>
        </is>
      </c>
      <c r="D246" s="652" t="inlineStr">
        <is>
          <t>TextMyGov</t>
        </is>
      </c>
      <c r="E246" s="444" t="inlineStr">
        <is>
          <t>Text notifications for council, utilities and city topics.</t>
        </is>
      </c>
      <c r="F246" s="444" t="inlineStr">
        <is>
          <t>Subscribe to City Council and Utilities alerts.</t>
        </is>
      </c>
      <c r="G246" s="651" t="inlineStr">
        <is>
          <t>https://www.northglenn.org/community/communications/textmygov.php</t>
        </is>
      </c>
      <c r="H246" s="652" t="inlineStr">
        <is>
          <t>Useful</t>
        </is>
      </c>
    </row>
    <row r="247" ht="12" customHeight="1" s="545">
      <c r="B247" s="652" t="inlineStr">
        <is>
          <t>Thornton</t>
        </is>
      </c>
      <c r="C247" s="652" t="inlineStr">
        <is>
          <t>Meetings/News – Meetings</t>
        </is>
      </c>
      <c r="D247" s="652" t="inlineStr">
        <is>
          <t>Upcoming Meetings</t>
        </is>
      </c>
      <c r="E247" s="444" t="inlineStr">
        <is>
          <t>Council and public meeting calendar.</t>
        </is>
      </c>
      <c r="F247" s="444" t="inlineStr">
        <is>
          <t>Open meeting details and linked documents.</t>
        </is>
      </c>
      <c r="G247" s="651" t="inlineStr">
        <is>
          <t>https://www.thorntonco.gov/government/mayor-council/upcoming-meetings</t>
        </is>
      </c>
      <c r="H247" s="652" t="inlineStr">
        <is>
          <t>High</t>
        </is>
      </c>
    </row>
    <row r="248" ht="21" customHeight="1" s="545">
      <c r="B248" s="652" t="inlineStr">
        <is>
          <t>Thornton</t>
        </is>
      </c>
      <c r="C248" s="652" t="inlineStr">
        <is>
          <t>Meetings/News – Public notices</t>
        </is>
      </c>
      <c r="D248" s="652" t="inlineStr">
        <is>
          <t>Public Notices</t>
        </is>
      </c>
      <c r="E248" s="444" t="inlineStr">
        <is>
          <t>Hearing notices, approved ordinances and other notices.</t>
        </is>
      </c>
      <c r="F248" s="444" t="inlineStr">
        <is>
          <t>Confirm current hearing and ordinance status.</t>
        </is>
      </c>
      <c r="G248" s="651" t="inlineStr">
        <is>
          <t>https://www.thorntonco.gov/government/public-notices</t>
        </is>
      </c>
      <c r="H248" s="652" t="inlineStr">
        <is>
          <t>Critical</t>
        </is>
      </c>
    </row>
    <row r="249" ht="21" customHeight="1" s="545">
      <c r="B249" s="652" t="inlineStr">
        <is>
          <t>Thornton</t>
        </is>
      </c>
      <c r="C249" s="652" t="inlineStr">
        <is>
          <t>Meetings/News – Official news</t>
        </is>
      </c>
      <c r="D249" s="652" t="inlineStr">
        <is>
          <t>Thornton News</t>
        </is>
      </c>
      <c r="E249" s="444" t="inlineStr">
        <is>
          <t>Official news and City Voice feed.</t>
        </is>
      </c>
      <c r="F249" s="444" t="inlineStr">
        <is>
          <t>Monitor council, development and infrastructure updates.</t>
        </is>
      </c>
      <c r="G249" s="651" t="inlineStr">
        <is>
          <t>https://www.thorntonco.gov/news</t>
        </is>
      </c>
      <c r="H249" s="652" t="inlineStr">
        <is>
          <t>Useful</t>
        </is>
      </c>
    </row>
    <row r="250" ht="21" customHeight="1" s="545">
      <c r="B250" s="652" t="inlineStr">
        <is>
          <t>Thornton</t>
        </is>
      </c>
      <c r="C250" s="652" t="inlineStr">
        <is>
          <t>Meetings/News – Subscriptions</t>
        </is>
      </c>
      <c r="D250" s="652" t="inlineStr">
        <is>
          <t>T-Alerts</t>
        </is>
      </c>
      <c r="E250" s="444" t="inlineStr">
        <is>
          <t>Email subscriptions including city council documents and business topics.</t>
        </is>
      </c>
      <c r="F250" s="444" t="inlineStr">
        <is>
          <t>Subscribe to City Council Meeting Documents and Thornton News.</t>
        </is>
      </c>
      <c r="G250" s="651" t="inlineStr">
        <is>
          <t>https://talerts.thorntonco.gov/</t>
        </is>
      </c>
      <c r="H250" s="652" t="inlineStr">
        <is>
          <t>Useful</t>
        </is>
      </c>
    </row>
    <row r="251" ht="12" customHeight="1" s="545">
      <c r="B251" s="652" t="inlineStr">
        <is>
          <t>Westminster</t>
        </is>
      </c>
      <c r="C251" s="652" t="inlineStr">
        <is>
          <t>Meetings/News – Agendas</t>
        </is>
      </c>
      <c r="D251" s="652" t="inlineStr">
        <is>
          <t>Agenda Center</t>
        </is>
      </c>
      <c r="E251" s="444" t="inlineStr">
        <is>
          <t>Council and board agendas and minutes.</t>
        </is>
      </c>
      <c r="F251" s="444" t="inlineStr">
        <is>
          <t>Search project names and land-use cases.</t>
        </is>
      </c>
      <c r="G251" s="651" t="inlineStr">
        <is>
          <t>https://www.westminsterco.gov/AgendaCenter</t>
        </is>
      </c>
      <c r="H251" s="652" t="inlineStr">
        <is>
          <t>High</t>
        </is>
      </c>
    </row>
    <row r="252" ht="21" customHeight="1" s="545">
      <c r="B252" s="652" t="inlineStr">
        <is>
          <t>Westminster</t>
        </is>
      </c>
      <c r="C252" s="652" t="inlineStr">
        <is>
          <t>Meetings/News – Public notices</t>
        </is>
      </c>
      <c r="D252" s="652" t="inlineStr">
        <is>
          <t>Public Notices</t>
        </is>
      </c>
      <c r="E252" s="444" t="inlineStr">
        <is>
          <t>Formal notices and public-hearing information.</t>
        </is>
      </c>
      <c r="F252" s="444" t="inlineStr">
        <is>
          <t>Review during any active entitlement or code amendment.</t>
        </is>
      </c>
      <c r="G252" s="651" t="inlineStr">
        <is>
          <t>https://www.westminsterco.gov/1098/Public-Notices</t>
        </is>
      </c>
      <c r="H252" s="652" t="inlineStr">
        <is>
          <t>Critical</t>
        </is>
      </c>
    </row>
    <row r="253" ht="21" customHeight="1" s="545">
      <c r="B253" s="652" t="inlineStr">
        <is>
          <t>Westminster</t>
        </is>
      </c>
      <c r="C253" s="652" t="inlineStr">
        <is>
          <t>Meetings/News – Official news</t>
        </is>
      </c>
      <c r="D253" s="652" t="inlineStr">
        <is>
          <t>City News</t>
        </is>
      </c>
      <c r="E253" s="444" t="inlineStr">
        <is>
          <t>Official city news feed.</t>
        </is>
      </c>
      <c r="F253" s="444" t="inlineStr">
        <is>
          <t>Monitor development, policy and infrastructure announcements.</t>
        </is>
      </c>
      <c r="G253" s="651" t="inlineStr">
        <is>
          <t>https://www.westminsterco.gov/m/NewsFlash</t>
        </is>
      </c>
      <c r="H253" s="652" t="inlineStr">
        <is>
          <t>Useful</t>
        </is>
      </c>
    </row>
    <row r="254" ht="21" customHeight="1" s="545">
      <c r="B254" s="652" t="inlineStr">
        <is>
          <t>Aurora / Adams County</t>
        </is>
      </c>
      <c r="C254" s="652" t="inlineStr">
        <is>
          <t>Meetings/News – Independent local news</t>
        </is>
      </c>
      <c r="D254" s="652" t="inlineStr">
        <is>
          <t>Sentinel Colorado</t>
        </is>
      </c>
      <c r="E254" s="444" t="inlineStr">
        <is>
          <t>Independent reporting on Aurora and the surrounding region.</t>
        </is>
      </c>
      <c r="F254" s="444" t="inlineStr">
        <is>
          <t>Use for context; verify hearings and legal status on official city/county pages.</t>
        </is>
      </c>
      <c r="G254" s="651" t="inlineStr">
        <is>
          <t>https://sentinelcolorado.com/</t>
        </is>
      </c>
      <c r="H254" s="652" t="inlineStr">
        <is>
          <t>Useful</t>
        </is>
      </c>
    </row>
    <row r="255" ht="21" customHeight="1" s="545">
      <c r="B255" s="652" t="inlineStr">
        <is>
          <t>Bennett / Strasburg / Watkins</t>
        </is>
      </c>
      <c r="C255" s="652" t="inlineStr">
        <is>
          <t>Meetings/News – Independent local news</t>
        </is>
      </c>
      <c r="D255" s="652" t="inlineStr">
        <is>
          <t>I-70 Scout &amp; Eastern Colorado News</t>
        </is>
      </c>
      <c r="E255" s="444" t="inlineStr">
        <is>
          <t>Local reporting along the eastern I-70 corridor.</t>
        </is>
      </c>
      <c r="F255" s="444" t="inlineStr">
        <is>
          <t>Use for local context and project reporting; verify with official notices.</t>
        </is>
      </c>
      <c r="G255" s="651" t="inlineStr">
        <is>
          <t>https://i-70scout.com/blog/</t>
        </is>
      </c>
      <c r="H255" s="652" t="inlineStr">
        <is>
          <t>Useful</t>
        </is>
      </c>
    </row>
    <row r="256" ht="21" customHeight="1" s="545">
      <c r="B256" s="652" t="inlineStr">
        <is>
          <t>Arvada</t>
        </is>
      </c>
      <c r="C256" s="652" t="inlineStr">
        <is>
          <t>Meetings/News – Independent local news</t>
        </is>
      </c>
      <c r="D256" s="652" t="inlineStr">
        <is>
          <t>Arvada Press</t>
        </is>
      </c>
      <c r="E256" s="444" t="inlineStr">
        <is>
          <t>Community news focused on Arvada.</t>
        </is>
      </c>
      <c r="F256" s="444" t="inlineStr">
        <is>
          <t>Use for context; verify land-use decisions in city records.</t>
        </is>
      </c>
      <c r="G256" s="651" t="inlineStr">
        <is>
          <t>https://arvadapress.presspatron.com/</t>
        </is>
      </c>
      <c r="H256" s="652" t="inlineStr">
        <is>
          <t>Useful</t>
        </is>
      </c>
    </row>
    <row r="257" ht="21" customHeight="1" s="545">
      <c r="B257" s="652" t="inlineStr">
        <is>
          <t>Brighton / Commerce City / Northglenn / Thornton / Westminster</t>
        </is>
      </c>
      <c r="C257" s="652" t="inlineStr">
        <is>
          <t>Meetings/News – Independent local news</t>
        </is>
      </c>
      <c r="D257" s="652" t="inlineStr">
        <is>
          <t>Colorado Community Media Local Guide</t>
        </is>
      </c>
      <c r="E257" s="444" t="inlineStr">
        <is>
          <t>Gateway to local community-news outlets and editions.</t>
        </is>
      </c>
      <c r="F257" s="444" t="inlineStr">
        <is>
          <t>Use for context and reporting; verify legal notices and approvals officially.</t>
        </is>
      </c>
      <c r="G257" s="651" t="inlineStr">
        <is>
          <t>https://local.coloradocommunitymedia.com/</t>
        </is>
      </c>
      <c r="H257" s="652" t="inlineStr">
        <is>
          <t>Useful</t>
        </is>
      </c>
    </row>
    <row r="258" ht="21" customHeight="1" s="545">
      <c r="B258" s="652" t="inlineStr">
        <is>
          <t>Westminster</t>
        </is>
      </c>
      <c r="C258" s="652" t="inlineStr">
        <is>
          <t>Meetings/News – Independent local news</t>
        </is>
      </c>
      <c r="D258" s="652" t="inlineStr">
        <is>
          <t>Westminster Window Colorado Trust</t>
        </is>
      </c>
      <c r="E258" s="444" t="inlineStr">
        <is>
          <t>Community and government-news newsletter focused on Westminster.</t>
        </is>
      </c>
      <c r="F258" s="444" t="inlineStr">
        <is>
          <t>Use as a secondary monitoring source.</t>
        </is>
      </c>
      <c r="G258" s="651" t="inlineStr">
        <is>
          <t>https://westminster-window-colorado-trust.beehiiv.com/</t>
        </is>
      </c>
      <c r="H258" s="652" t="inlineStr">
        <is>
          <t>Useful</t>
        </is>
      </c>
    </row>
    <row r="259" ht="21" customHeight="1" s="545">
      <c r="B259" s="652" t="inlineStr">
        <is>
          <t>Colorado Secretary of State</t>
        </is>
      </c>
      <c r="C259" s="652" t="inlineStr">
        <is>
          <t>Business Entities</t>
        </is>
      </c>
      <c r="D259" s="652" t="inlineStr">
        <is>
          <t>Search Business Records</t>
        </is>
      </c>
      <c r="E259" s="444" t="inlineStr">
        <is>
          <t>Search corporations, LLCs, trade names and filing documents.</t>
        </is>
      </c>
      <c r="F259" s="444" t="inlineStr">
        <is>
          <t>Identify owners, applicants, developers, lenders and registered agents.</t>
        </is>
      </c>
      <c r="G259" s="651" t="inlineStr">
        <is>
          <t>https://co.colorado.gov/search-business-records</t>
        </is>
      </c>
      <c r="H259" s="652" t="inlineStr">
        <is>
          <t>High</t>
        </is>
      </c>
    </row>
    <row r="260" ht="21" customHeight="1" s="545">
      <c r="B260" s="652" t="inlineStr">
        <is>
          <t>Colorado Secretary of State</t>
        </is>
      </c>
      <c r="C260" s="652" t="inlineStr">
        <is>
          <t>UCC / Liens</t>
        </is>
      </c>
      <c r="D260" s="652" t="inlineStr">
        <is>
          <t>UCC Records Search</t>
        </is>
      </c>
      <c r="E260" s="444" t="inlineStr">
        <is>
          <t>Search UCC financing statements and related secured-transaction records.</t>
        </is>
      </c>
      <c r="F260" s="444" t="inlineStr">
        <is>
          <t>Screen for UCC filings and certain statutory liens associated with a debtor.</t>
        </is>
      </c>
      <c r="G260" s="651" t="inlineStr">
        <is>
          <t>https://www.sos.state.co.us/ucc/pages/home.xhtml</t>
        </is>
      </c>
      <c r="H260" s="652" t="inlineStr">
        <is>
          <t>High</t>
        </is>
      </c>
    </row>
    <row r="261" ht="21" customHeight="1" s="545">
      <c r="B261" s="652" t="inlineStr">
        <is>
          <t>Colorado DOLA</t>
        </is>
      </c>
      <c r="C261" s="652" t="inlineStr">
        <is>
          <t>Special Districts</t>
        </is>
      </c>
      <c r="D261" s="652" t="inlineStr">
        <is>
          <t>Colorado Special Districts Map</t>
        </is>
      </c>
      <c r="E261" s="444" t="inlineStr">
        <is>
          <t>Map and information for special-district boundaries.</t>
        </is>
      </c>
      <c r="F261" s="444" t="inlineStr">
        <is>
          <t>Identify water, sanitation, fire, metro and other districts that may tax or serve a property.</t>
        </is>
      </c>
      <c r="G261" s="651" t="inlineStr">
        <is>
          <t>https://gis.dola.colorado.gov/CO_SpecialDistrict/</t>
        </is>
      </c>
      <c r="H261" s="652" t="inlineStr">
        <is>
          <t>Critical</t>
        </is>
      </c>
    </row>
    <row r="262" ht="21" customHeight="1" s="545">
      <c r="B262" s="652" t="inlineStr">
        <is>
          <t>Colorado DOLA</t>
        </is>
      </c>
      <c r="C262" s="652" t="inlineStr">
        <is>
          <t>Local Governments</t>
        </is>
      </c>
      <c r="D262" s="652" t="inlineStr">
        <is>
          <t>Local Government Information System</t>
        </is>
      </c>
      <c r="E262" s="444" t="inlineStr">
        <is>
          <t>Local-government contacts, budgets and election filings.</t>
        </is>
      </c>
      <c r="F262" s="444" t="inlineStr">
        <is>
          <t>Research special districts and other local-government entities.</t>
        </is>
      </c>
      <c r="G262" s="651" t="inlineStr">
        <is>
          <t>https://dola.colorado.gov/dlg_lgis_ui_pu/</t>
        </is>
      </c>
      <c r="H262" s="652" t="inlineStr">
        <is>
          <t>High</t>
        </is>
      </c>
    </row>
    <row r="263" ht="21" customHeight="1" s="545">
      <c r="B263" s="652" t="inlineStr">
        <is>
          <t>Colorado DOLA</t>
        </is>
      </c>
      <c r="C263" s="652" t="inlineStr">
        <is>
          <t>Taxing Entities</t>
        </is>
      </c>
      <c r="D263" s="652" t="inlineStr">
        <is>
          <t>Search Colorado Property Tax Entities</t>
        </is>
      </c>
      <c r="E263" s="444" t="inlineStr">
        <is>
          <t>Search entities associated with property taxation.</t>
        </is>
      </c>
      <c r="F263" s="444" t="inlineStr">
        <is>
          <t>Understand tax districts and locate entity information; verify mill levies with county offices.</t>
        </is>
      </c>
      <c r="G263" s="651" t="inlineStr">
        <is>
          <t>https://dola.colorado.gov/dlg_lgis_ui_pu/publicLGTaxEntities.jsf</t>
        </is>
      </c>
      <c r="H263" s="652" t="inlineStr">
        <is>
          <t>High</t>
        </is>
      </c>
    </row>
    <row r="264" ht="21" customHeight="1" s="545">
      <c r="B264" s="652" t="inlineStr">
        <is>
          <t>Colorado DOLA</t>
        </is>
      </c>
      <c r="C264" s="652" t="inlineStr">
        <is>
          <t>Municipal Boundaries</t>
        </is>
      </c>
      <c r="D264" s="652" t="inlineStr">
        <is>
          <t>Colorado Municipal Boundaries</t>
        </is>
      </c>
      <c r="E264" s="444" t="inlineStr">
        <is>
          <t>State municipal boundary map.</t>
        </is>
      </c>
      <c r="F264" s="444" t="inlineStr">
        <is>
          <t>Confirm whether a parcel is incorporated and identify the municipality.</t>
        </is>
      </c>
      <c r="G264" s="651" t="inlineStr">
        <is>
          <t>https://gis.dola.colorado.gov/CO_Muni/</t>
        </is>
      </c>
      <c r="H264" s="652" t="inlineStr">
        <is>
          <t>Critical</t>
        </is>
      </c>
    </row>
    <row r="265" ht="21" customHeight="1" s="545">
      <c r="B265" s="652" t="inlineStr">
        <is>
          <t>Colorado DOLA</t>
        </is>
      </c>
      <c r="C265" s="652" t="inlineStr">
        <is>
          <t>GIS Downloads</t>
        </is>
      </c>
      <c r="D265" s="652" t="inlineStr">
        <is>
          <t>GIS Data Sources</t>
        </is>
      </c>
      <c r="E265" s="444" t="inlineStr">
        <is>
          <t>State-maintained boundary and demographic GIS datasets.</t>
        </is>
      </c>
      <c r="F265" s="444" t="inlineStr">
        <is>
          <t>Download municipal, annexation and special-district data.</t>
        </is>
      </c>
      <c r="G265" s="651" t="inlineStr">
        <is>
          <t>https://demography.dola.colorado.gov/assets/html/gis_data.html</t>
        </is>
      </c>
      <c r="H265" s="652" t="inlineStr">
        <is>
          <t>Useful</t>
        </is>
      </c>
    </row>
    <row r="266" ht="12" customHeight="1" s="545">
      <c r="B266" s="652" t="inlineStr">
        <is>
          <t>Colorado State Demography Office</t>
        </is>
      </c>
      <c r="C266" s="652" t="inlineStr">
        <is>
          <t>Demographics</t>
        </is>
      </c>
      <c r="D266" s="652" t="inlineStr">
        <is>
          <t>Data Bundle Lookup</t>
        </is>
      </c>
      <c r="E266" s="444" t="inlineStr">
        <is>
          <t>Population, housing and demographic data bundles.</t>
        </is>
      </c>
      <c r="F266" s="444" t="inlineStr">
        <is>
          <t>Support market, planning and growth analysis.</t>
        </is>
      </c>
      <c r="G266" s="651" t="inlineStr">
        <is>
          <t>https://demography.dola.colorado.gov/assets/lookups/dashboard_lookup.html</t>
        </is>
      </c>
      <c r="H266" s="652" t="inlineStr">
        <is>
          <t>Useful</t>
        </is>
      </c>
    </row>
    <row r="267" ht="21" customHeight="1" s="545">
      <c r="B267" s="652" t="inlineStr">
        <is>
          <t>Colorado Geospatial Portal</t>
        </is>
      </c>
      <c r="C267" s="652" t="inlineStr">
        <is>
          <t>GIS / Open Data</t>
        </is>
      </c>
      <c r="D267" s="652" t="inlineStr">
        <is>
          <t>Colorado Geospatial Portal</t>
        </is>
      </c>
      <c r="E267" s="444" t="inlineStr">
        <is>
          <t>Statewide open GIS datasets and maps.</t>
        </is>
      </c>
      <c r="F267" s="444" t="inlineStr">
        <is>
          <t>Find state layers for environment, transportation, boundaries and natural resources.</t>
        </is>
      </c>
      <c r="G267" s="651" t="inlineStr">
        <is>
          <t>https://geodata.colorado.gov/</t>
        </is>
      </c>
      <c r="H267" s="652" t="inlineStr">
        <is>
          <t>High</t>
        </is>
      </c>
    </row>
    <row r="268" ht="12" customHeight="1" s="545">
      <c r="B268" s="652" t="inlineStr">
        <is>
          <t>Colorado OIT</t>
        </is>
      </c>
      <c r="C268" s="652" t="inlineStr">
        <is>
          <t>GIS Viewer</t>
        </is>
      </c>
      <c r="D268" s="652" t="inlineStr">
        <is>
          <t>Colorado State Map Viewer</t>
        </is>
      </c>
      <c r="E268" s="444" t="inlineStr">
        <is>
          <t>Statewide interactive map viewer.</t>
        </is>
      </c>
      <c r="F268" s="444" t="inlineStr">
        <is>
          <t>Screen state datasets without desktop GIS.</t>
        </is>
      </c>
      <c r="G268" s="651" t="inlineStr">
        <is>
          <t>https://gis.colorado.gov/viewer/?page=Home</t>
        </is>
      </c>
      <c r="H268" s="652" t="inlineStr">
        <is>
          <t>Useful</t>
        </is>
      </c>
    </row>
    <row r="269" ht="21" customHeight="1" s="545">
      <c r="B269" s="652" t="inlineStr">
        <is>
          <t>DRCOG</t>
        </is>
      </c>
      <c r="C269" s="652" t="inlineStr">
        <is>
          <t>Regional GIS / Planning</t>
        </is>
      </c>
      <c r="D269" s="652" t="inlineStr">
        <is>
          <t>Data, Maps &amp; Modeling</t>
        </is>
      </c>
      <c r="E269" s="444" t="inlineStr">
        <is>
          <t>Denver-region data, maps, forecasts and modeling resources.</t>
        </is>
      </c>
      <c r="F269" s="444" t="inlineStr">
        <is>
          <t>Research regional growth, transportation, parcels and planning context.</t>
        </is>
      </c>
      <c r="G269" s="651" t="inlineStr">
        <is>
          <t>https://drcog.org/data-maps-modeling</t>
        </is>
      </c>
      <c r="H269" s="652" t="inlineStr">
        <is>
          <t>High</t>
        </is>
      </c>
    </row>
    <row r="270" ht="21" customHeight="1" s="545">
      <c r="B270" s="652" t="inlineStr">
        <is>
          <t>Colorado Division of Water Resources</t>
        </is>
      </c>
      <c r="C270" s="652" t="inlineStr">
        <is>
          <t>Water</t>
        </is>
      </c>
      <c r="D270" s="652" t="inlineStr">
        <is>
          <t>CDSS / DWR Tools</t>
        </is>
      </c>
      <c r="E270" s="444" t="inlineStr">
        <is>
          <t>Water-rights, structures, hydrography and decision-support tools.</t>
        </is>
      </c>
      <c r="F270" s="444" t="inlineStr">
        <is>
          <t>Research water rights, ditches, structures and hydrologic data.</t>
        </is>
      </c>
      <c r="G270" s="651" t="inlineStr">
        <is>
          <t>https://dwr.state.co.us/Tools</t>
        </is>
      </c>
      <c r="H270" s="652" t="inlineStr">
        <is>
          <t>Critical</t>
        </is>
      </c>
    </row>
    <row r="271" ht="12" customHeight="1" s="545">
      <c r="B271" s="652" t="inlineStr">
        <is>
          <t>Colorado Division of Water Resources</t>
        </is>
      </c>
      <c r="C271" s="652" t="inlineStr">
        <is>
          <t>Wells</t>
        </is>
      </c>
      <c r="D271" s="652" t="inlineStr">
        <is>
          <t>Well Permits</t>
        </is>
      </c>
      <c r="E271" s="444" t="inlineStr">
        <is>
          <t>Well permit search and information.</t>
        </is>
      </c>
      <c r="F271" s="444" t="inlineStr">
        <is>
          <t>Check permitted wells and well records near a parcel.</t>
        </is>
      </c>
      <c r="G271" s="651" t="inlineStr">
        <is>
          <t>https://dwr.state.co.us/Tools/WellPermits</t>
        </is>
      </c>
      <c r="H271" s="652" t="inlineStr">
        <is>
          <t>Critical</t>
        </is>
      </c>
    </row>
    <row r="272" ht="21" customHeight="1" s="545">
      <c r="B272" s="652" t="inlineStr">
        <is>
          <t>Colorado Energy &amp; Carbon Management Commission</t>
        </is>
      </c>
      <c r="C272" s="652" t="inlineStr">
        <is>
          <t>Oil &amp; Gas</t>
        </is>
      </c>
      <c r="D272" s="652" t="inlineStr">
        <is>
          <t>ECMC Maps</t>
        </is>
      </c>
      <c r="E272" s="444" t="inlineStr">
        <is>
          <t>Oil and gas wells, facilities and regulatory map tools.</t>
        </is>
      </c>
      <c r="F272" s="444" t="inlineStr">
        <is>
          <t>Screen nearby oil/gas infrastructure, setbacks and regulatory records.</t>
        </is>
      </c>
      <c r="G272" s="651" t="inlineStr">
        <is>
          <t>https://ecmc.state.co.us/maps.html</t>
        </is>
      </c>
      <c r="H272" s="652" t="inlineStr">
        <is>
          <t>Critical</t>
        </is>
      </c>
    </row>
    <row r="273" ht="12" customHeight="1" s="545">
      <c r="B273" s="652" t="inlineStr">
        <is>
          <t>Colorado Energy &amp; Carbon Management Commission</t>
        </is>
      </c>
      <c r="C273" s="652" t="inlineStr">
        <is>
          <t>Oil &amp; Gas Data</t>
        </is>
      </c>
      <c r="D273" s="652" t="inlineStr">
        <is>
          <t>ECMC Data</t>
        </is>
      </c>
      <c r="E273" s="444" t="inlineStr">
        <is>
          <t>Downloadable oil and gas data and records.</t>
        </is>
      </c>
      <c r="F273" s="444" t="inlineStr">
        <is>
          <t>Perform detailed facility and well research.</t>
        </is>
      </c>
      <c r="G273" s="651" t="inlineStr">
        <is>
          <t>https://ecmc.state.co.us/data.html</t>
        </is>
      </c>
      <c r="H273" s="652" t="inlineStr">
        <is>
          <t>High</t>
        </is>
      </c>
    </row>
    <row r="274" ht="21" customHeight="1" s="545">
      <c r="B274" s="652" t="inlineStr">
        <is>
          <t>CDPHE</t>
        </is>
      </c>
      <c r="C274" s="652" t="inlineStr">
        <is>
          <t>Environmental</t>
        </is>
      </c>
      <c r="D274" s="652" t="inlineStr">
        <is>
          <t>Maps and GIS for Health and Environment</t>
        </is>
      </c>
      <c r="E274" s="444" t="inlineStr">
        <is>
          <t>Environmental, health, cleanup and facility mapping resources.</t>
        </is>
      </c>
      <c r="F274" s="444" t="inlineStr">
        <is>
          <t>Screen environmental and public-health conditions.</t>
        </is>
      </c>
      <c r="G274" s="651" t="inlineStr">
        <is>
          <t>https://cdphe.colorado.gov/maps-and-gis-for-health-and-environment</t>
        </is>
      </c>
      <c r="H274" s="652" t="inlineStr">
        <is>
          <t>Critical</t>
        </is>
      </c>
    </row>
    <row r="275" ht="21" customHeight="1" s="545">
      <c r="B275" s="652" t="inlineStr">
        <is>
          <t>CDPHE</t>
        </is>
      </c>
      <c r="C275" s="652" t="inlineStr">
        <is>
          <t>Contamination</t>
        </is>
      </c>
      <c r="D275" s="652" t="inlineStr">
        <is>
          <t>Environmental Maps and GIS Data</t>
        </is>
      </c>
      <c r="E275" s="444" t="inlineStr">
        <is>
          <t>Hazardous Materials and Waste Management map portal and records search.</t>
        </is>
      </c>
      <c r="F275" s="444" t="inlineStr">
        <is>
          <t>Locate regulated facilities, waste sites and associated records.</t>
        </is>
      </c>
      <c r="G275" s="651" t="inlineStr">
        <is>
          <t>https://cdphe.colorado.gov/hm/gis-data</t>
        </is>
      </c>
      <c r="H275" s="652" t="inlineStr">
        <is>
          <t>Critical</t>
        </is>
      </c>
    </row>
    <row r="276" ht="21" customHeight="1" s="545">
      <c r="B276" s="652" t="inlineStr">
        <is>
          <t>CDPHE</t>
        </is>
      </c>
      <c r="C276" s="652" t="inlineStr">
        <is>
          <t>Contamination</t>
        </is>
      </c>
      <c r="D276" s="652" t="inlineStr">
        <is>
          <t>How to Find Out if a Site Is Contaminated</t>
        </is>
      </c>
      <c r="E276" s="444" t="inlineStr">
        <is>
          <t>Guide to cleanup, covenant, tank and federal environmental databases.</t>
        </is>
      </c>
      <c r="F276" s="444" t="inlineStr">
        <is>
          <t>Build an environmental-screening search plan.</t>
        </is>
      </c>
      <c r="G276" s="651" t="inlineStr">
        <is>
          <t>https://cdphe.colorado.gov/hm/if-site-contaminated</t>
        </is>
      </c>
      <c r="H276" s="652" t="inlineStr">
        <is>
          <t>High</t>
        </is>
      </c>
    </row>
    <row r="277" ht="21" customHeight="1" s="545">
      <c r="B277" s="652" t="inlineStr">
        <is>
          <t>CDPHE</t>
        </is>
      </c>
      <c r="C277" s="652" t="inlineStr">
        <is>
          <t>Water Quality</t>
        </is>
      </c>
      <c r="D277" s="652" t="inlineStr">
        <is>
          <t>Clean Water GIS Maps</t>
        </is>
      </c>
      <c r="E277" s="444" t="inlineStr">
        <is>
          <t>Impaired waters, stream segments, TMDLs and watershed-plan maps.</t>
        </is>
      </c>
      <c r="F277" s="444" t="inlineStr">
        <is>
          <t>Screen nearby surface-water quality and regulatory context.</t>
        </is>
      </c>
      <c r="G277" s="651" t="inlineStr">
        <is>
          <t>https://cdphe.colorado.gov/clean-water-gis-maps</t>
        </is>
      </c>
      <c r="H277" s="652" t="inlineStr">
        <is>
          <t>High</t>
        </is>
      </c>
    </row>
    <row r="278" ht="12" customHeight="1" s="545">
      <c r="B278" s="652" t="inlineStr">
        <is>
          <t>CDPHE</t>
        </is>
      </c>
      <c r="C278" s="652" t="inlineStr">
        <is>
          <t>PFAS</t>
        </is>
      </c>
      <c r="D278" s="652" t="inlineStr">
        <is>
          <t>PFAS Mapping</t>
        </is>
      </c>
      <c r="E278" s="444" t="inlineStr">
        <is>
          <t>PFAS sampling and vulnerability mapping resources.</t>
        </is>
      </c>
      <c r="F278" s="444" t="inlineStr">
        <is>
          <t>Screen known sampling and modeled PFAS concerns.</t>
        </is>
      </c>
      <c r="G278" s="651" t="inlineStr">
        <is>
          <t>https://cdphe.colorado.gov/pfas/mapping</t>
        </is>
      </c>
      <c r="H278" s="652" t="inlineStr">
        <is>
          <t>Useful</t>
        </is>
      </c>
    </row>
    <row r="279" ht="12" customHeight="1" s="545">
      <c r="B279" s="652" t="inlineStr">
        <is>
          <t>FEMA</t>
        </is>
      </c>
      <c r="C279" s="652" t="inlineStr">
        <is>
          <t>Flood</t>
        </is>
      </c>
      <c r="D279" s="652" t="inlineStr">
        <is>
          <t>Flood Maps</t>
        </is>
      </c>
      <c r="E279" s="444" t="inlineStr">
        <is>
          <t>FEMA flood-hazard mapping overview and resources.</t>
        </is>
      </c>
      <c r="F279" s="444" t="inlineStr">
        <is>
          <t>Understand official flood-map products and updates.</t>
        </is>
      </c>
      <c r="G279" s="651" t="inlineStr">
        <is>
          <t>https://www.fema.gov/flood-maps</t>
        </is>
      </c>
      <c r="H279" s="652" t="inlineStr">
        <is>
          <t>Critical</t>
        </is>
      </c>
    </row>
    <row r="280" ht="21" customHeight="1" s="545">
      <c r="B280" s="652" t="inlineStr">
        <is>
          <t>FEMA</t>
        </is>
      </c>
      <c r="C280" s="652" t="inlineStr">
        <is>
          <t>Flood</t>
        </is>
      </c>
      <c r="D280" s="652" t="inlineStr">
        <is>
          <t>Flood Map Service Center</t>
        </is>
      </c>
      <c r="E280" s="444" t="inlineStr">
        <is>
          <t>Official address and map search for effective flood maps.</t>
        </is>
      </c>
      <c r="F280" s="444" t="inlineStr">
        <is>
          <t>Search flood zones, panels and Letters of Map Change.</t>
        </is>
      </c>
      <c r="G280" s="651" t="inlineStr">
        <is>
          <t>https://msc.fema.gov/portal/search</t>
        </is>
      </c>
      <c r="H280" s="652" t="inlineStr">
        <is>
          <t>Critical</t>
        </is>
      </c>
    </row>
    <row r="281" ht="12" customHeight="1" s="545">
      <c r="B281" s="652" t="inlineStr">
        <is>
          <t>FEMA</t>
        </is>
      </c>
      <c r="C281" s="652" t="inlineStr">
        <is>
          <t>Flood / GIS</t>
        </is>
      </c>
      <c r="D281" s="652" t="inlineStr">
        <is>
          <t>National Flood Hazard Layer</t>
        </is>
      </c>
      <c r="E281" s="444" t="inlineStr">
        <is>
          <t>GIS representation of current flood-hazard information.</t>
        </is>
      </c>
      <c r="F281" s="444" t="inlineStr">
        <is>
          <t>Overlay flood data in mapping workflows.</t>
        </is>
      </c>
      <c r="G281" s="651" t="inlineStr">
        <is>
          <t>https://www.fema.gov/flood-maps/national-flood-hazard-layer</t>
        </is>
      </c>
      <c r="H281" s="652" t="inlineStr">
        <is>
          <t>High</t>
        </is>
      </c>
    </row>
    <row r="282" ht="12" customHeight="1" s="545">
      <c r="B282" s="652" t="inlineStr">
        <is>
          <t>U.S. EPA</t>
        </is>
      </c>
      <c r="C282" s="652" t="inlineStr">
        <is>
          <t>Environmental</t>
        </is>
      </c>
      <c r="D282" s="652" t="inlineStr">
        <is>
          <t>Cleanups in My Community</t>
        </is>
      </c>
      <c r="E282" s="444" t="inlineStr">
        <is>
          <t>Map of federal and state cleanup sites and programs.</t>
        </is>
      </c>
      <c r="F282" s="444" t="inlineStr">
        <is>
          <t>Screen nearby cleanup and regulated sites.</t>
        </is>
      </c>
      <c r="G282" s="651" t="inlineStr">
        <is>
          <t>https://www.epa.gov/cleanups/cleanups-my-community</t>
        </is>
      </c>
      <c r="H282" s="652" t="inlineStr">
        <is>
          <t>Critical</t>
        </is>
      </c>
    </row>
    <row r="283" ht="12" customHeight="1" s="545">
      <c r="B283" s="652" t="inlineStr">
        <is>
          <t>U.S. EPA</t>
        </is>
      </c>
      <c r="C283" s="652" t="inlineStr">
        <is>
          <t>Environmental</t>
        </is>
      </c>
      <c r="D283" s="652" t="inlineStr">
        <is>
          <t>Direct Cleanup Map</t>
        </is>
      </c>
      <c r="E283" s="444" t="inlineStr">
        <is>
          <t>Interactive cleanup-site map.</t>
        </is>
      </c>
      <c r="F283" s="444" t="inlineStr">
        <is>
          <t>Search a specific address or area for cleanup records.</t>
        </is>
      </c>
      <c r="G283" s="651" t="inlineStr">
        <is>
          <t>https://map22.epa.gov/cimc/</t>
        </is>
      </c>
      <c r="H283" s="652" t="inlineStr">
        <is>
          <t>High</t>
        </is>
      </c>
    </row>
    <row r="284" ht="21" customHeight="1" s="545">
      <c r="B284" s="652" t="inlineStr">
        <is>
          <t>U.S. EPA</t>
        </is>
      </c>
      <c r="C284" s="652" t="inlineStr">
        <is>
          <t>Superfund</t>
        </is>
      </c>
      <c r="D284" s="652" t="inlineStr">
        <is>
          <t>Search Superfund Sites</t>
        </is>
      </c>
      <c r="E284" s="444" t="inlineStr">
        <is>
          <t>Superfund and National Priorities List search resources.</t>
        </is>
      </c>
      <c r="F284" s="444" t="inlineStr">
        <is>
          <t>Check nearby federal Superfund sites and site documents.</t>
        </is>
      </c>
      <c r="G284" s="651" t="inlineStr">
        <is>
          <t>https://www.epa.gov/superfund/search-superfund-sites-where-you-live</t>
        </is>
      </c>
      <c r="H284" s="652" t="inlineStr">
        <is>
          <t>High</t>
        </is>
      </c>
    </row>
    <row r="285" ht="21" customHeight="1" s="545">
      <c r="B285" s="652" t="inlineStr">
        <is>
          <t>USDA NRCS</t>
        </is>
      </c>
      <c r="C285" s="652" t="inlineStr">
        <is>
          <t>Soils</t>
        </is>
      </c>
      <c r="D285" s="652" t="inlineStr">
        <is>
          <t>Web Soil Survey</t>
        </is>
      </c>
      <c r="E285" s="444" t="inlineStr">
        <is>
          <t>Authoritative soil maps and interpretations.</t>
        </is>
      </c>
      <c r="F285" s="444" t="inlineStr">
        <is>
          <t>Evaluate soil type, drainage, engineering and agricultural characteristics.</t>
        </is>
      </c>
      <c r="G285" s="651" t="inlineStr">
        <is>
          <t>https://websoilsurvey.nrcs.usda.gov/</t>
        </is>
      </c>
      <c r="H285" s="652" t="inlineStr">
        <is>
          <t>Critical</t>
        </is>
      </c>
    </row>
    <row r="286" ht="21" customHeight="1" s="545">
      <c r="B286" s="652" t="inlineStr">
        <is>
          <t>U.S. Fish &amp; Wildlife Service</t>
        </is>
      </c>
      <c r="C286" s="652" t="inlineStr">
        <is>
          <t>Wetlands</t>
        </is>
      </c>
      <c r="D286" s="652" t="inlineStr">
        <is>
          <t>National Wetlands Inventory Mapper</t>
        </is>
      </c>
      <c r="E286" s="444" t="inlineStr">
        <is>
          <t>Mapped wetland and aquatic-resource information.</t>
        </is>
      </c>
      <c r="F286" s="444" t="inlineStr">
        <is>
          <t>Screen for potential wetlands; field verification may still be required.</t>
        </is>
      </c>
      <c r="G286" s="651" t="inlineStr">
        <is>
          <t>https://www.fws.gov/program/national-wetlands-inventory/wetlands-mapper</t>
        </is>
      </c>
      <c r="H286" s="652" t="inlineStr">
        <is>
          <t>High</t>
        </is>
      </c>
    </row>
    <row r="287" ht="21" customHeight="1" s="545">
      <c r="B287" s="652" t="inlineStr">
        <is>
          <t>CDOT</t>
        </is>
      </c>
      <c r="C287" s="652" t="inlineStr">
        <is>
          <t>Transportation</t>
        </is>
      </c>
      <c r="D287" s="652" t="inlineStr">
        <is>
          <t>Online Transportation Information System</t>
        </is>
      </c>
      <c r="E287" s="444" t="inlineStr">
        <is>
          <t>Traffic, highway attributes, planning and geographic data.</t>
        </is>
      </c>
      <c r="F287" s="444" t="inlineStr">
        <is>
          <t>Research state-highway context and transportation planning.</t>
        </is>
      </c>
      <c r="G287" s="651" t="inlineStr">
        <is>
          <t>https://dtdapps.codot.gov/otis</t>
        </is>
      </c>
      <c r="H287" s="652" t="inlineStr">
        <is>
          <t>Critical</t>
        </is>
      </c>
    </row>
    <row r="288" ht="21" customHeight="1" s="545">
      <c r="B288" s="652" t="inlineStr">
        <is>
          <t>CDOT</t>
        </is>
      </c>
      <c r="C288" s="652" t="inlineStr">
        <is>
          <t>Transportation</t>
        </is>
      </c>
      <c r="D288" s="652" t="inlineStr">
        <is>
          <t>Highway Data Explorer</t>
        </is>
      </c>
      <c r="E288" s="444" t="inlineStr">
        <is>
          <t>Map-based state highway data and attributes.</t>
        </is>
      </c>
      <c r="F288" s="444" t="inlineStr">
        <is>
          <t>Review highway classification, geometry and related data.</t>
        </is>
      </c>
      <c r="G288" s="651" t="inlineStr">
        <is>
          <t>https://dtdapps.codot.gov/otis/HighwayData</t>
        </is>
      </c>
      <c r="H288" s="652" t="inlineStr">
        <is>
          <t>High</t>
        </is>
      </c>
    </row>
    <row r="289" ht="12" customHeight="1" s="545">
      <c r="B289" s="652" t="inlineStr">
        <is>
          <t>CDOT</t>
        </is>
      </c>
      <c r="C289" s="652" t="inlineStr">
        <is>
          <t>Traffic</t>
        </is>
      </c>
      <c r="D289" s="652" t="inlineStr">
        <is>
          <t>Traffic Data Explorer</t>
        </is>
      </c>
      <c r="E289" s="444" t="inlineStr">
        <is>
          <t>Traffic stations, AADT and projected traffic data.</t>
        </is>
      </c>
      <c r="F289" s="444" t="inlineStr">
        <is>
          <t>Support access, development and market analysis.</t>
        </is>
      </c>
      <c r="G289" s="651" t="inlineStr">
        <is>
          <t>https://dtdapps.codot.gov/otis/TrafficData</t>
        </is>
      </c>
      <c r="H289" s="652" t="inlineStr">
        <is>
          <t>High</t>
        </is>
      </c>
    </row>
    <row r="290" ht="21" customHeight="1" s="545">
      <c r="B290" s="652" t="inlineStr">
        <is>
          <t>History Colorado</t>
        </is>
      </c>
      <c r="C290" s="652" t="inlineStr">
        <is>
          <t>Historic Properties</t>
        </is>
      </c>
      <c r="D290" s="652" t="inlineStr">
        <is>
          <t>Compass Information</t>
        </is>
      </c>
      <c r="E290" s="444" t="inlineStr">
        <is>
          <t>State cultural-resource inventory and research guidance.</t>
        </is>
      </c>
      <c r="F290" s="444" t="inlineStr">
        <is>
          <t>Screen historic resources and understand access to cultural-resource data.</t>
        </is>
      </c>
      <c r="G290" s="651" t="inlineStr">
        <is>
          <t>https://www.historycolorado.org/compass-information</t>
        </is>
      </c>
      <c r="H290" s="652" t="inlineStr">
        <is>
          <t>High</t>
        </is>
      </c>
    </row>
    <row r="291" ht="12" customHeight="1" s="545">
      <c r="B291" s="652" t="inlineStr">
        <is>
          <t>History Colorado</t>
        </is>
      </c>
      <c r="C291" s="652" t="inlineStr">
        <is>
          <t>Historic Properties</t>
        </is>
      </c>
      <c r="D291" s="652" t="inlineStr">
        <is>
          <t>National &amp; State Register Listed Properties</t>
        </is>
      </c>
      <c r="E291" s="444" t="inlineStr">
        <is>
          <t>Lists and records of registered historic properties.</t>
        </is>
      </c>
      <c r="F291" s="444" t="inlineStr">
        <is>
          <t>Check whether a property or nearby resource is listed.</t>
        </is>
      </c>
      <c r="G291" s="651" t="inlineStr">
        <is>
          <t>https://www.historycolorado.org/national-state-register-listed-properties</t>
        </is>
      </c>
      <c r="H291" s="652" t="inlineStr">
        <is>
          <t>High</t>
        </is>
      </c>
    </row>
    <row r="292" ht="21" customHeight="1" s="545">
      <c r="B292" s="652" t="inlineStr">
        <is>
          <t>Colorado Division of Real Estate</t>
        </is>
      </c>
      <c r="C292" s="652" t="inlineStr">
        <is>
          <t>HOA</t>
        </is>
      </c>
      <c r="D292" s="652" t="inlineStr">
        <is>
          <t>HOA Center</t>
        </is>
      </c>
      <c r="E292" s="444" t="inlineStr">
        <is>
          <t>Information about common-interest communities, CCIOA and HOA resources.</t>
        </is>
      </c>
      <c r="F292" s="444" t="inlineStr">
        <is>
          <t>Understand HOA registration and common-interest community issues.</t>
        </is>
      </c>
      <c r="G292" s="651" t="inlineStr">
        <is>
          <t>https://dre.colorado.gov/hoa-center</t>
        </is>
      </c>
      <c r="H292" s="652" t="inlineStr">
        <is>
          <t>High</t>
        </is>
      </c>
    </row>
    <row r="293" ht="21" customHeight="1" s="545">
      <c r="B293" s="652" t="inlineStr">
        <is>
          <t>Colorado Division of Real Estate</t>
        </is>
      </c>
      <c r="C293" s="652" t="inlineStr">
        <is>
          <t>HOA</t>
        </is>
      </c>
      <c r="D293" s="652" t="inlineStr">
        <is>
          <t>HOA Registration Services</t>
        </is>
      </c>
      <c r="E293" s="444" t="inlineStr">
        <is>
          <t>HOA registration lookup guidance and registration resources.</t>
        </is>
      </c>
      <c r="F293" s="444" t="inlineStr">
        <is>
          <t>Check an association's registration status and identify contacts.</t>
        </is>
      </c>
      <c r="G293" s="651" t="inlineStr">
        <is>
          <t>https://dre.colorado.gov/hoa-registration-services</t>
        </is>
      </c>
      <c r="H293" s="652" t="inlineStr">
        <is>
          <t>High</t>
        </is>
      </c>
    </row>
    <row r="294" ht="21" customHeight="1" s="545">
      <c r="B294" s="652" t="inlineStr">
        <is>
          <t>Colorado DORA</t>
        </is>
      </c>
      <c r="C294" s="652" t="inlineStr">
        <is>
          <t>Professional Licenses</t>
        </is>
      </c>
      <c r="D294" s="652" t="inlineStr">
        <is>
          <t>Verify a Professional or Business License</t>
        </is>
      </c>
      <c r="E294" s="444" t="inlineStr">
        <is>
          <t>Search licenses for brokers, engineers, architects and other regulated professionals.</t>
        </is>
      </c>
      <c r="F294" s="444" t="inlineStr">
        <is>
          <t>Verify people and firms involved in a transaction or project.</t>
        </is>
      </c>
      <c r="G294" s="651" t="inlineStr">
        <is>
          <t>https://co.colorado.gov/verify-status-professionals-license</t>
        </is>
      </c>
      <c r="H294" s="652" t="inlineStr">
        <is>
          <t>Useful</t>
        </is>
      </c>
    </row>
    <row r="295" ht="21" customHeight="1" s="545">
      <c r="B295" s="652" t="inlineStr">
        <is>
          <t>Colorado State Land Board</t>
        </is>
      </c>
      <c r="C295" s="652" t="inlineStr">
        <is>
          <t>State Trust Land</t>
        </is>
      </c>
      <c r="D295" s="652" t="inlineStr">
        <is>
          <t>State Land Board Online Services</t>
        </is>
      </c>
      <c r="E295" s="444" t="inlineStr">
        <is>
          <t>State trust land and lease-related online services.</t>
        </is>
      </c>
      <c r="F295" s="444" t="inlineStr">
        <is>
          <t>Screen potential state trust land interests and obtain state land information.</t>
        </is>
      </c>
      <c r="G295" s="651" t="inlineStr">
        <is>
          <t>https://secure.slb.colorado.gov/</t>
        </is>
      </c>
      <c r="H295" s="652" t="inlineStr">
        <is>
          <t>Useful</t>
        </is>
      </c>
    </row>
    <row r="296" ht="12" customHeight="1" s="545">
      <c r="B296" s="652" t="inlineStr">
        <is>
          <t>BLM</t>
        </is>
      </c>
      <c r="C296" s="652" t="inlineStr">
        <is>
          <t>Federal Land / GIS</t>
        </is>
      </c>
      <c r="D296" s="652" t="inlineStr">
        <is>
          <t>Colorado GIS Datasets</t>
        </is>
      </c>
      <c r="E296" s="444" t="inlineStr">
        <is>
          <t>Federal land and resource GIS datasets.</t>
        </is>
      </c>
      <c r="F296" s="444" t="inlineStr">
        <is>
          <t>Screen federal land status and download BLM layers.</t>
        </is>
      </c>
      <c r="G296" s="651" t="inlineStr">
        <is>
          <t>https://www.blm.gov/maps/frequently-requested/colorado/gis-datasets</t>
        </is>
      </c>
      <c r="H296" s="652" t="inlineStr">
        <is>
          <t>Useful</t>
        </is>
      </c>
    </row>
    <row r="299" ht="12" customHeight="1" s="545">
      <c r="B299" s="211" t="inlineStr">
        <is>
          <t>PROPERTY DUE-DILIGENCE CHECKLIST — one copy per property; set Status as you go</t>
        </is>
      </c>
      <c r="C299" s="437" t="n"/>
      <c r="D299" s="437" t="n"/>
      <c r="E299" s="437" t="n"/>
      <c r="F299" s="437" t="n"/>
      <c r="G299" s="437" t="n"/>
      <c r="H299" s="437" t="n"/>
      <c r="I299" s="437" t="n"/>
    </row>
    <row r="300" ht="12" customHeight="1" s="545">
      <c r="B300" s="212" t="inlineStr">
        <is>
          <t>Step</t>
        </is>
      </c>
      <c r="C300" s="212" t="inlineStr">
        <is>
          <t>Topic</t>
        </is>
      </c>
      <c r="D300" s="212" t="inlineStr">
        <is>
          <t>Question / Action</t>
        </is>
      </c>
      <c r="E300" s="212" t="inlineStr">
        <is>
          <t>Primary Resource</t>
        </is>
      </c>
      <c r="F300" s="212" t="inlineStr">
        <is>
          <t>Link</t>
        </is>
      </c>
      <c r="G300" s="212" t="inlineStr">
        <is>
          <t>Evidence to Save</t>
        </is>
      </c>
      <c r="H300" s="212" t="inlineStr">
        <is>
          <t>Red Flags / Follow-up</t>
        </is>
      </c>
      <c r="I300" s="212" t="inlineStr">
        <is>
          <t>Status</t>
        </is>
      </c>
      <c r="J300" s="212" t="inlineStr">
        <is>
          <t>Notes</t>
        </is>
      </c>
    </row>
    <row r="301" ht="73.5" customHeight="1" s="545">
      <c r="B301" s="652" t="n">
        <v>1</v>
      </c>
      <c r="C301" s="652" t="inlineStr">
        <is>
          <t>Parcel identity</t>
        </is>
      </c>
      <c r="D301" s="444" t="inlineStr">
        <is>
          <t>Normalize the street address and obtain the Adams County parcel/account number.</t>
        </is>
      </c>
      <c r="E301" s="444" t="inlineStr">
        <is>
          <t>Adams County Search Real Property</t>
        </is>
      </c>
      <c r="F301" s="651" t="inlineStr">
        <is>
          <t>Open</t>
        </is>
      </c>
      <c r="G301" s="444" t="inlineStr">
        <is>
          <t>Property summary, APN/account number and screenshot/PDF</t>
        </is>
      </c>
      <c r="H301" s="444" t="inlineStr">
        <is>
          <t>Address mismatch, multiple parcels, condominium unit confusion</t>
        </is>
      </c>
      <c r="I301" s="652" t="inlineStr">
        <is>
          <t>Not Started</t>
        </is>
      </c>
      <c r="J301" s="652" t="n"/>
    </row>
    <row r="302" ht="63" customHeight="1" s="545">
      <c r="B302" s="652" t="n">
        <v>2</v>
      </c>
      <c r="C302" s="652" t="inlineStr">
        <is>
          <t>Jurisdiction</t>
        </is>
      </c>
      <c r="D302" s="444" t="inlineStr">
        <is>
          <t>Confirm the parcel's county, municipal boundary and whether it is unincorporated.</t>
        </is>
      </c>
      <c r="E302" s="444" t="inlineStr">
        <is>
          <t>County Cities &amp; Towns + Colorado Municipal Boundaries</t>
        </is>
      </c>
      <c r="F302" s="651" t="inlineStr">
        <is>
          <t>Open</t>
        </is>
      </c>
      <c r="G302" s="444" t="inlineStr">
        <is>
          <t>Boundary map and jurisdiction note</t>
        </is>
      </c>
      <c r="H302" s="444" t="inlineStr">
        <is>
          <t>Mailing city differs from legal jurisdiction; recent annexation</t>
        </is>
      </c>
      <c r="I302" s="652" t="inlineStr">
        <is>
          <t>Not Started</t>
        </is>
      </c>
      <c r="J302" s="652" t="n"/>
    </row>
    <row r="303" ht="52.5" customHeight="1" s="545">
      <c r="B303" s="652" t="n">
        <v>3</v>
      </c>
      <c r="C303" s="652" t="inlineStr">
        <is>
          <t>Ownership</t>
        </is>
      </c>
      <c r="D303" s="444" t="inlineStr">
        <is>
          <t>Verify current owner name, mailing address, legal description and assessment record.</t>
        </is>
      </c>
      <c r="E303" s="444" t="inlineStr">
        <is>
          <t>Adams County Assessor Quick Search</t>
        </is>
      </c>
      <c r="F303" s="651" t="inlineStr">
        <is>
          <t>Open</t>
        </is>
      </c>
      <c r="G303" s="444" t="inlineStr">
        <is>
          <t>Assessor property detail</t>
        </is>
      </c>
      <c r="H303" s="444" t="inlineStr">
        <is>
          <t>Owner entity name differs from contract; stale mailing address</t>
        </is>
      </c>
      <c r="I303" s="652" t="inlineStr">
        <is>
          <t>Not Started</t>
        </is>
      </c>
      <c r="J303" s="652" t="n"/>
    </row>
    <row r="304" ht="63" customHeight="1" s="545">
      <c r="B304" s="652" t="n">
        <v>4</v>
      </c>
      <c r="C304" s="652" t="inlineStr">
        <is>
          <t>Legal description</t>
        </is>
      </c>
      <c r="D304" s="444" t="inlineStr">
        <is>
          <t>Compare the assessor legal description with the deed and survey/plat.</t>
        </is>
      </c>
      <c r="E304" s="444" t="inlineStr">
        <is>
          <t>Adams County Landmark Web</t>
        </is>
      </c>
      <c r="F304" s="651" t="inlineStr">
        <is>
          <t>Open</t>
        </is>
      </c>
      <c r="G304" s="444" t="inlineStr">
        <is>
          <t>Latest vesting deed and legal description</t>
        </is>
      </c>
      <c r="H304" s="444" t="inlineStr">
        <is>
          <t>Abbreviated assessor description, omitted tract, exception or easement</t>
        </is>
      </c>
      <c r="I304" s="652" t="inlineStr">
        <is>
          <t>Not Started</t>
        </is>
      </c>
      <c r="J304" s="652" t="n"/>
    </row>
    <row r="305" ht="84" customHeight="1" s="545">
      <c r="B305" s="652" t="n">
        <v>5</v>
      </c>
      <c r="C305" s="652" t="inlineStr">
        <is>
          <t>Deed chain</t>
        </is>
      </c>
      <c r="D305" s="444" t="inlineStr">
        <is>
          <t>Pull the current vesting deed and prior deeds needed to understand title history.</t>
        </is>
      </c>
      <c r="E305" s="444" t="inlineStr">
        <is>
          <t>Adams County Landmark Web</t>
        </is>
      </c>
      <c r="F305" s="651" t="inlineStr">
        <is>
          <t>Open</t>
        </is>
      </c>
      <c r="G305" s="444" t="inlineStr">
        <is>
          <t>Recorded deed images and document numbers</t>
        </is>
      </c>
      <c r="H305" s="444" t="inlineStr">
        <is>
          <t>Quitclaim transfers, estate/probate issues, entity changes, recording gaps</t>
        </is>
      </c>
      <c r="I305" s="652" t="inlineStr">
        <is>
          <t>Not Started</t>
        </is>
      </c>
      <c r="J305" s="652" t="n"/>
    </row>
    <row r="306" ht="73.5" customHeight="1" s="545">
      <c r="B306" s="652" t="n">
        <v>6</v>
      </c>
      <c r="C306" s="652" t="inlineStr">
        <is>
          <t>Recorded encumbrances</t>
        </is>
      </c>
      <c r="D306" s="444" t="inlineStr">
        <is>
          <t>Search for deeds of trust, releases, easements, covenants, liens, notices and agreements.</t>
        </is>
      </c>
      <c r="E306" s="444" t="inlineStr">
        <is>
          <t>Adams County Recorded Documents</t>
        </is>
      </c>
      <c r="F306" s="651" t="inlineStr">
        <is>
          <t>Open</t>
        </is>
      </c>
      <c r="G306" s="444" t="inlineStr">
        <is>
          <t>Index results and relevant document images</t>
        </is>
      </c>
      <c r="H306" s="444" t="inlineStr">
        <is>
          <t>Unreleased liens, access easements, restrictive covenants, notices of default</t>
        </is>
      </c>
      <c r="I306" s="652" t="inlineStr">
        <is>
          <t>Not Started</t>
        </is>
      </c>
      <c r="J306" s="652" t="n"/>
    </row>
    <row r="307" ht="84" customHeight="1" s="545">
      <c r="B307" s="652" t="n">
        <v>7</v>
      </c>
      <c r="C307" s="652" t="inlineStr">
        <is>
          <t>Title</t>
        </is>
      </c>
      <c r="D307" s="444" t="inlineStr">
        <is>
          <t>Order a title commitment and compare exceptions with independently found records.</t>
        </is>
      </c>
      <c r="E307" s="444" t="inlineStr">
        <is>
          <t>Licensed title company / attorney</t>
        </is>
      </c>
      <c r="F307" s="652" t="n"/>
      <c r="G307" s="444" t="inlineStr">
        <is>
          <t>Current title commitment and exception documents</t>
        </is>
      </c>
      <c r="H307" s="444" t="inlineStr">
        <is>
          <t>Unresolved requirements, gap risk, standard exceptions that need survey evidence</t>
        </is>
      </c>
      <c r="I307" s="652" t="inlineStr">
        <is>
          <t>Not Started</t>
        </is>
      </c>
      <c r="J307" s="652" t="n"/>
    </row>
    <row r="308" ht="42" customHeight="1" s="545">
      <c r="B308" s="652" t="n">
        <v>8</v>
      </c>
      <c r="C308" s="652" t="inlineStr">
        <is>
          <t>Taxes</t>
        </is>
      </c>
      <c r="D308" s="444" t="inlineStr">
        <is>
          <t>Verify current and prior property-tax status, delinquency and payment history.</t>
        </is>
      </c>
      <c r="E308" s="444" t="inlineStr">
        <is>
          <t>Adams County Tax Portal</t>
        </is>
      </c>
      <c r="F308" s="651" t="inlineStr">
        <is>
          <t>Open</t>
        </is>
      </c>
      <c r="G308" s="444" t="inlineStr">
        <is>
          <t>Tax statement and payment history</t>
        </is>
      </c>
      <c r="H308" s="444" t="inlineStr">
        <is>
          <t>Delinquent taxes, omitted taxes, special assessments</t>
        </is>
      </c>
      <c r="I308" s="652" t="inlineStr">
        <is>
          <t>Not Started</t>
        </is>
      </c>
      <c r="J308" s="652" t="n"/>
    </row>
    <row r="309" ht="63" customHeight="1" s="545">
      <c r="B309" s="652" t="n">
        <v>9</v>
      </c>
      <c r="C309" s="652" t="inlineStr">
        <is>
          <t>Tax liens / deed</t>
        </is>
      </c>
      <c r="D309" s="444" t="inlineStr">
        <is>
          <t>Check tax-lien sale and treasurer's deed information when delinquency appears.</t>
        </is>
      </c>
      <c r="E309" s="444" t="inlineStr">
        <is>
          <t>Adams County Tax Lien Sale</t>
        </is>
      </c>
      <c r="F309" s="651" t="inlineStr">
        <is>
          <t>Open</t>
        </is>
      </c>
      <c r="G309" s="444" t="inlineStr">
        <is>
          <t>Tax-lien research notes</t>
        </is>
      </c>
      <c r="H309" s="444" t="inlineStr">
        <is>
          <t>Outstanding certificates, redemption deadlines, treasurer's deed process</t>
        </is>
      </c>
      <c r="I309" s="652" t="inlineStr">
        <is>
          <t>Not Started</t>
        </is>
      </c>
      <c r="J309" s="652" t="n"/>
    </row>
    <row r="310" ht="73.5" customHeight="1" s="545">
      <c r="B310" s="652" t="n">
        <v>10</v>
      </c>
      <c r="C310" s="652" t="inlineStr">
        <is>
          <t>Foreclosure</t>
        </is>
      </c>
      <c r="D310" s="444" t="inlineStr">
        <is>
          <t>Search public trustee foreclosure records and reports.</t>
        </is>
      </c>
      <c r="E310" s="444" t="inlineStr">
        <is>
          <t>Adams County Foreclosure Search</t>
        </is>
      </c>
      <c r="F310" s="651" t="inlineStr">
        <is>
          <t>Open</t>
        </is>
      </c>
      <c r="G310" s="444" t="inlineStr">
        <is>
          <t>Foreclosure search results</t>
        </is>
      </c>
      <c r="H310" s="444" t="inlineStr">
        <is>
          <t>Active case, sale date, withdrawn/restarted case, borrower-name variants</t>
        </is>
      </c>
      <c r="I310" s="652" t="inlineStr">
        <is>
          <t>Not Started</t>
        </is>
      </c>
      <c r="J310" s="652" t="n"/>
    </row>
    <row r="311" ht="73.5" customHeight="1" s="545">
      <c r="B311" s="652" t="n">
        <v>11</v>
      </c>
      <c r="C311" s="652" t="inlineStr">
        <is>
          <t>Survey / plat</t>
        </is>
      </c>
      <c r="D311" s="444" t="inlineStr">
        <is>
          <t>Locate recorded plats and surveys; obtain a current survey if boundaries or improvements matter.</t>
        </is>
      </c>
      <c r="E311" s="444" t="inlineStr">
        <is>
          <t>Adams County Land Survey Plats</t>
        </is>
      </c>
      <c r="F311" s="651" t="inlineStr">
        <is>
          <t>Open</t>
        </is>
      </c>
      <c r="G311" s="444" t="inlineStr">
        <is>
          <t>Recorded plat/survey and current field survey when appropriate</t>
        </is>
      </c>
      <c r="H311" s="444" t="inlineStr">
        <is>
          <t>Encroachments, gaps/overlaps, fence conflicts, unrecorded access</t>
        </is>
      </c>
      <c r="I311" s="652" t="inlineStr">
        <is>
          <t>Not Started</t>
        </is>
      </c>
      <c r="J311" s="652" t="n"/>
    </row>
    <row r="312" ht="73.5" customHeight="1" s="545">
      <c r="B312" s="652" t="n">
        <v>12</v>
      </c>
      <c r="C312" s="652" t="inlineStr">
        <is>
          <t>Zoning district</t>
        </is>
      </c>
      <c r="D312" s="444" t="inlineStr">
        <is>
          <t>Confirm zoning with the correct city/town or Adams County for an unincorporated parcel.</t>
        </is>
      </c>
      <c r="E312" s="444" t="inlineStr">
        <is>
          <t>Quick Matrix / local zoning page</t>
        </is>
      </c>
      <c r="F312" s="652" t="n"/>
      <c r="G312" s="444" t="inlineStr">
        <is>
          <t>Zoning map screenshot and written zoning confirmation when material</t>
        </is>
      </c>
      <c r="H312" s="444" t="inlineStr">
        <is>
          <t>Split zoning, overlay district, pending rezoning, map/code conflict</t>
        </is>
      </c>
      <c r="I312" s="652" t="inlineStr">
        <is>
          <t>Not Started</t>
        </is>
      </c>
      <c r="J312" s="652" t="n"/>
    </row>
    <row r="313" ht="63" customHeight="1" s="545">
      <c r="B313" s="652" t="n">
        <v>13</v>
      </c>
      <c r="C313" s="652" t="inlineStr">
        <is>
          <t>Allowed use</t>
        </is>
      </c>
      <c r="D313" s="444" t="inlineStr">
        <is>
          <t>Read the current code for permitted, conditional, accessory and prohibited uses.</t>
        </is>
      </c>
      <c r="E313" s="444" t="inlineStr">
        <is>
          <t>Local land-use code</t>
        </is>
      </c>
      <c r="F313" s="652" t="n"/>
      <c r="G313" s="444" t="inlineStr">
        <is>
          <t>Code sections and planner confirmation</t>
        </is>
      </c>
      <c r="H313" s="444" t="inlineStr">
        <is>
          <t>Use requires hearing, spacing/separation rule, nonconforming status</t>
        </is>
      </c>
      <c r="I313" s="652" t="inlineStr">
        <is>
          <t>Not Started</t>
        </is>
      </c>
      <c r="J313" s="652" t="n"/>
    </row>
    <row r="314" ht="52.5" customHeight="1" s="545">
      <c r="B314" s="652" t="n">
        <v>14</v>
      </c>
      <c r="C314" s="652" t="inlineStr">
        <is>
          <t>Dimensional / design standards</t>
        </is>
      </c>
      <c r="D314" s="444" t="inlineStr">
        <is>
          <t>Check setbacks, height, lot coverage, parking, landscaping, design and sign rules.</t>
        </is>
      </c>
      <c r="E314" s="444" t="inlineStr">
        <is>
          <t>Local zoning/development code</t>
        </is>
      </c>
      <c r="F314" s="652" t="n"/>
      <c r="G314" s="444" t="inlineStr">
        <is>
          <t>Applicable standard excerpts</t>
        </is>
      </c>
      <c r="H314" s="444" t="inlineStr">
        <is>
          <t>Existing or proposed improvements do not comply</t>
        </is>
      </c>
      <c r="I314" s="652" t="inlineStr">
        <is>
          <t>Not Started</t>
        </is>
      </c>
      <c r="J314" s="652" t="n"/>
    </row>
    <row r="315" ht="52.5" customHeight="1" s="545">
      <c r="B315" s="652" t="n">
        <v>15</v>
      </c>
      <c r="C315" s="652" t="inlineStr">
        <is>
          <t>Overlays / constraints</t>
        </is>
      </c>
      <c r="D315" s="444" t="inlineStr">
        <is>
          <t>Check airport, flood, historic, oil/gas, design, corridor and other overlay districts.</t>
        </is>
      </c>
      <c r="E315" s="444" t="inlineStr">
        <is>
          <t>Local GIS + county/state tools</t>
        </is>
      </c>
      <c r="F315" s="652" t="n"/>
      <c r="G315" s="444" t="inlineStr">
        <is>
          <t>Overlay maps and applicable standards</t>
        </is>
      </c>
      <c r="H315" s="444" t="inlineStr">
        <is>
          <t>Overlay adds approval, disclosure or construction limits</t>
        </is>
      </c>
      <c r="I315" s="652" t="inlineStr">
        <is>
          <t>Not Started</t>
        </is>
      </c>
      <c r="J315" s="652" t="n"/>
    </row>
    <row r="316" ht="84" customHeight="1" s="545">
      <c r="B316" s="652" t="n">
        <v>16</v>
      </c>
      <c r="C316" s="652" t="inlineStr">
        <is>
          <t>Future land use</t>
        </is>
      </c>
      <c r="D316" s="444" t="inlineStr">
        <is>
          <t>Review the comprehensive plan, future land-use map and adopted area/corridor plans.</t>
        </is>
      </c>
      <c r="E316" s="444" t="inlineStr">
        <is>
          <t>Local comprehensive/long-range plan</t>
        </is>
      </c>
      <c r="F316" s="652" t="n"/>
      <c r="G316" s="444" t="inlineStr">
        <is>
          <t>Future land-use designation and policy notes</t>
        </is>
      </c>
      <c r="H316" s="444" t="inlineStr">
        <is>
          <t>Future designation conflicts with intended use; planned roadway or redevelopment area</t>
        </is>
      </c>
      <c r="I316" s="652" t="inlineStr">
        <is>
          <t>Not Started</t>
        </is>
      </c>
      <c r="J316" s="652" t="n"/>
    </row>
    <row r="317" ht="94.5" customHeight="1" s="545">
      <c r="B317" s="652" t="n">
        <v>17</v>
      </c>
      <c r="C317" s="652" t="inlineStr">
        <is>
          <t>Active development</t>
        </is>
      </c>
      <c r="D317" s="444" t="inlineStr">
        <is>
          <t>Search active development maps and project-status portals near the parcel.</t>
        </is>
      </c>
      <c r="E317" s="444" t="inlineStr">
        <is>
          <t>Local development projects page</t>
        </is>
      </c>
      <c r="F317" s="652" t="n"/>
      <c r="G317" s="444" t="inlineStr">
        <is>
          <t>Nearby project list/map</t>
        </is>
      </c>
      <c r="H317" s="444" t="inlineStr">
        <is>
          <t>Large pending project changes traffic, drainage, views, demand or compatibility</t>
        </is>
      </c>
      <c r="I317" s="652" t="inlineStr">
        <is>
          <t>Not Started</t>
        </is>
      </c>
      <c r="J317" s="652" t="n"/>
    </row>
    <row r="318" ht="73.5" customHeight="1" s="545">
      <c r="B318" s="652" t="n">
        <v>18</v>
      </c>
      <c r="C318" s="652" t="inlineStr">
        <is>
          <t>Hearings / cases</t>
        </is>
      </c>
      <c r="D318" s="444" t="inlineStr">
        <is>
          <t>Search current land-use cases, agendas and public notices by address, owner and project name.</t>
        </is>
      </c>
      <c r="E318" s="444" t="inlineStr">
        <is>
          <t>Meetings &amp; News sheet</t>
        </is>
      </c>
      <c r="F318" s="652" t="n"/>
      <c r="G318" s="444" t="inlineStr">
        <is>
          <t>Agendas, staff reports and hearing notices</t>
        </is>
      </c>
      <c r="H318" s="444" t="inlineStr">
        <is>
          <t>Pending rezoning, variance, annexation, subdivision or code amendment</t>
        </is>
      </c>
      <c r="I318" s="652" t="inlineStr">
        <is>
          <t>Not Started</t>
        </is>
      </c>
      <c r="J318" s="652" t="n"/>
    </row>
    <row r="319" ht="73.5" customHeight="1" s="545">
      <c r="B319" s="652" t="n">
        <v>19</v>
      </c>
      <c r="C319" s="652" t="inlineStr">
        <is>
          <t>Permit history</t>
        </is>
      </c>
      <c r="D319" s="444" t="inlineStr">
        <is>
          <t>Search building and development permits; request older records when online data is incomplete.</t>
        </is>
      </c>
      <c r="E319" s="444" t="inlineStr">
        <is>
          <t>Local permit portal / public records</t>
        </is>
      </c>
      <c r="F319" s="652" t="n"/>
      <c r="G319" s="444" t="inlineStr">
        <is>
          <t>Permit list, plans, certificates and inspection history</t>
        </is>
      </c>
      <c r="H319" s="444" t="inlineStr">
        <is>
          <t>Unpermitted work, open permit, failed inspection, missing certificate of occupancy</t>
        </is>
      </c>
      <c r="I319" s="652" t="inlineStr">
        <is>
          <t>Not Started</t>
        </is>
      </c>
      <c r="J319" s="652" t="n"/>
    </row>
    <row r="320" ht="73.5" customHeight="1" s="545">
      <c r="B320" s="652" t="n">
        <v>20</v>
      </c>
      <c r="C320" s="652" t="inlineStr">
        <is>
          <t>Code compliance</t>
        </is>
      </c>
      <c r="D320" s="444" t="inlineStr">
        <is>
          <t>Check for open code cases, violations and nuisance/unsafe-building records.</t>
        </is>
      </c>
      <c r="E320" s="444" t="inlineStr">
        <is>
          <t>Local code enforcement / records request</t>
        </is>
      </c>
      <c r="F320" s="652" t="n"/>
      <c r="G320" s="444" t="inlineStr">
        <is>
          <t>Code case history and clearance confirmation</t>
        </is>
      </c>
      <c r="H320" s="444" t="inlineStr">
        <is>
          <t>Open violation, repeat complaint, abatement lien or unsafe condition</t>
        </is>
      </c>
      <c r="I320" s="652" t="inlineStr">
        <is>
          <t>Not Started</t>
        </is>
      </c>
      <c r="J320" s="652" t="n"/>
    </row>
    <row r="321" ht="63" customHeight="1" s="545">
      <c r="B321" s="652" t="n">
        <v>21</v>
      </c>
      <c r="C321" s="652" t="inlineStr">
        <is>
          <t>Utilities / districts</t>
        </is>
      </c>
      <c r="D321" s="444" t="inlineStr">
        <is>
          <t>Identify water, sewer, fire, metro and other special districts; verify service and fees.</t>
        </is>
      </c>
      <c r="E321" s="444" t="inlineStr">
        <is>
          <t>Colorado Special Districts Map</t>
        </is>
      </c>
      <c r="F321" s="651" t="inlineStr">
        <is>
          <t>Open</t>
        </is>
      </c>
      <c r="G321" s="444" t="inlineStr">
        <is>
          <t>District list, service letters, fee schedules</t>
        </is>
      </c>
      <c r="H321" s="444" t="inlineStr">
        <is>
          <t>No committed service, high tap fees, multiple mill levies, private system</t>
        </is>
      </c>
      <c r="I321" s="652" t="inlineStr">
        <is>
          <t>Not Started</t>
        </is>
      </c>
      <c r="J321" s="652" t="n"/>
    </row>
    <row r="322" ht="63" customHeight="1" s="545">
      <c r="B322" s="652" t="n">
        <v>22</v>
      </c>
      <c r="C322" s="652" t="inlineStr">
        <is>
          <t>Water rights / wells</t>
        </is>
      </c>
      <c r="D322" s="444" t="inlineStr">
        <is>
          <t>Search wells, water rights, ditches and structures that may affect or serve the property.</t>
        </is>
      </c>
      <c r="E322" s="444" t="inlineStr">
        <is>
          <t>Colorado DWR Tools</t>
        </is>
      </c>
      <c r="F322" s="651" t="inlineStr">
        <is>
          <t>Open</t>
        </is>
      </c>
      <c r="G322" s="444" t="inlineStr">
        <is>
          <t>Well permit and water-right/structure records</t>
        </is>
      </c>
      <c r="H322" s="444" t="inlineStr">
        <is>
          <t>Unpermitted well, limited use, ditch easement, no transferable water</t>
        </is>
      </c>
      <c r="I322" s="652" t="inlineStr">
        <is>
          <t>Not Started</t>
        </is>
      </c>
      <c r="J322" s="652" t="n"/>
    </row>
    <row r="323" ht="84" customHeight="1" s="545">
      <c r="B323" s="652" t="n">
        <v>23</v>
      </c>
      <c r="C323" s="652" t="inlineStr">
        <is>
          <t>Flood / drainage</t>
        </is>
      </c>
      <c r="D323" s="444" t="inlineStr">
        <is>
          <t>Check FEMA maps, local floodplain layers, drainage studies and Letters of Map Change.</t>
        </is>
      </c>
      <c r="E323" s="444" t="inlineStr">
        <is>
          <t>FEMA Flood Map Service Center</t>
        </is>
      </c>
      <c r="F323" s="651" t="inlineStr">
        <is>
          <t>Open</t>
        </is>
      </c>
      <c r="G323" s="444" t="inlineStr">
        <is>
          <t>FIRM panel, flood zone, LOMC and local drainage information</t>
        </is>
      </c>
      <c r="H323" s="444" t="inlineStr">
        <is>
          <t>Special Flood Hazard Area, floodway, shallow flooding, required elevation/floodproofing</t>
        </is>
      </c>
      <c r="I323" s="652" t="inlineStr">
        <is>
          <t>Not Started</t>
        </is>
      </c>
      <c r="J323" s="652" t="n"/>
    </row>
    <row r="324" ht="63" customHeight="1" s="545">
      <c r="B324" s="652" t="n">
        <v>24</v>
      </c>
      <c r="C324" s="652" t="inlineStr">
        <is>
          <t>Soils / geotechnical</t>
        </is>
      </c>
      <c r="D324" s="444" t="inlineStr">
        <is>
          <t>Review Web Soil Survey and obtain geotechnical information appropriate to the project.</t>
        </is>
      </c>
      <c r="E324" s="444" t="inlineStr">
        <is>
          <t>USDA Web Soil Survey</t>
        </is>
      </c>
      <c r="F324" s="651" t="inlineStr">
        <is>
          <t>Open</t>
        </is>
      </c>
      <c r="G324" s="444" t="inlineStr">
        <is>
          <t>Soil report and geotechnical report when needed</t>
        </is>
      </c>
      <c r="H324" s="444" t="inlineStr">
        <is>
          <t>Expansive/collapsible soils, high water table, poor bearing or drainage</t>
        </is>
      </c>
      <c r="I324" s="652" t="inlineStr">
        <is>
          <t>Not Started</t>
        </is>
      </c>
      <c r="J324" s="652" t="n"/>
    </row>
    <row r="325" ht="63" customHeight="1" s="545">
      <c r="B325" s="652" t="n">
        <v>25</v>
      </c>
      <c r="C325" s="652" t="inlineStr">
        <is>
          <t>Wetlands / waters</t>
        </is>
      </c>
      <c r="D325" s="444" t="inlineStr">
        <is>
          <t>Screen wetlands and surface waters; determine whether delineation or permits are needed.</t>
        </is>
      </c>
      <c r="E325" s="444" t="inlineStr">
        <is>
          <t>National Wetlands Inventory</t>
        </is>
      </c>
      <c r="F325" s="651" t="inlineStr">
        <is>
          <t>Open</t>
        </is>
      </c>
      <c r="G325" s="444" t="inlineStr">
        <is>
          <t>Wetland map and consultant/agency determination if needed</t>
        </is>
      </c>
      <c r="H325" s="444" t="inlineStr">
        <is>
          <t>Mapped or field-indicated wetlands, jurisdictional waters, buffers</t>
        </is>
      </c>
      <c r="I325" s="652" t="inlineStr">
        <is>
          <t>Not Started</t>
        </is>
      </c>
      <c r="J325" s="652" t="n"/>
    </row>
    <row r="326" ht="73.5" customHeight="1" s="545">
      <c r="B326" s="652" t="n">
        <v>26</v>
      </c>
      <c r="C326" s="652" t="inlineStr">
        <is>
          <t>Environmental</t>
        </is>
      </c>
      <c r="D326" s="444" t="inlineStr">
        <is>
          <t>Search state and federal cleanup, waste, tank, covenant and Superfund databases.</t>
        </is>
      </c>
      <c r="E326" s="444" t="inlineStr">
        <is>
          <t>CDPHE Environmental Maps</t>
        </is>
      </c>
      <c r="F326" s="651" t="inlineStr">
        <is>
          <t>Open</t>
        </is>
      </c>
      <c r="G326" s="444" t="inlineStr">
        <is>
          <t>Database results and environmental reports</t>
        </is>
      </c>
      <c r="H326" s="444" t="inlineStr">
        <is>
          <t>Cleanup site, environmental covenant, leaking tank, landfill or hazardous facility</t>
        </is>
      </c>
      <c r="I326" s="652" t="inlineStr">
        <is>
          <t>Not Started</t>
        </is>
      </c>
      <c r="J326" s="652" t="n"/>
    </row>
    <row r="327" ht="84" customHeight="1" s="545">
      <c r="B327" s="652" t="n">
        <v>27</v>
      </c>
      <c r="C327" s="652" t="inlineStr">
        <is>
          <t>Oil and gas</t>
        </is>
      </c>
      <c r="D327" s="444" t="inlineStr">
        <is>
          <t>Check ECMC maps for wells, facilities, pipelines and regulatory records.</t>
        </is>
      </c>
      <c r="E327" s="444" t="inlineStr">
        <is>
          <t>ECMC Maps</t>
        </is>
      </c>
      <c r="F327" s="651" t="inlineStr">
        <is>
          <t>Open</t>
        </is>
      </c>
      <c r="G327" s="444" t="inlineStr">
        <is>
          <t>Facility map and relevant records</t>
        </is>
      </c>
      <c r="H327" s="444" t="inlineStr">
        <is>
          <t>Active/abandoned well, flowline, setback issue, remediation or access obligations</t>
        </is>
      </c>
      <c r="I327" s="652" t="inlineStr">
        <is>
          <t>Not Started</t>
        </is>
      </c>
      <c r="J327" s="652" t="n"/>
    </row>
    <row r="328" ht="94.5" customHeight="1" s="545">
      <c r="B328" s="652" t="n">
        <v>28</v>
      </c>
      <c r="C328" s="652" t="inlineStr">
        <is>
          <t>Access / roads / traffic</t>
        </is>
      </c>
      <c r="D328" s="444" t="inlineStr">
        <is>
          <t>Confirm legal and physical access, road jurisdiction, access permits and traffic conditions.</t>
        </is>
      </c>
      <c r="E328" s="444" t="inlineStr">
        <is>
          <t>Local public works + CDOT OTIS</t>
        </is>
      </c>
      <c r="F328" s="651" t="inlineStr">
        <is>
          <t>Open</t>
        </is>
      </c>
      <c r="G328" s="444" t="inlineStr">
        <is>
          <t>Access documents, road data and agency correspondence</t>
        </is>
      </c>
      <c r="H328" s="444" t="inlineStr">
        <is>
          <t>No legal access, private-road maintenance, access-control restriction, future widening</t>
        </is>
      </c>
      <c r="I328" s="652" t="inlineStr">
        <is>
          <t>Not Started</t>
        </is>
      </c>
      <c r="J328" s="652" t="n"/>
    </row>
    <row r="329" ht="63" customHeight="1" s="545">
      <c r="B329" s="652" t="n">
        <v>29</v>
      </c>
      <c r="C329" s="652" t="inlineStr">
        <is>
          <t>Historic / cultural</t>
        </is>
      </c>
      <c r="D329" s="444" t="inlineStr">
        <is>
          <t>Check local historic overlays and state listed-property/cultural-resource tools.</t>
        </is>
      </c>
      <c r="E329" s="444" t="inlineStr">
        <is>
          <t>History Colorado Listed Properties</t>
        </is>
      </c>
      <c r="F329" s="651" t="inlineStr">
        <is>
          <t>Open</t>
        </is>
      </c>
      <c r="G329" s="444" t="inlineStr">
        <is>
          <t>Historic-status records and review requirements</t>
        </is>
      </c>
      <c r="H329" s="444" t="inlineStr">
        <is>
          <t>Designation or eligible resource limits demolition/alteration</t>
        </is>
      </c>
      <c r="I329" s="652" t="inlineStr">
        <is>
          <t>Not Started</t>
        </is>
      </c>
      <c r="J329" s="652" t="n"/>
    </row>
    <row r="330" ht="73.5" customHeight="1" s="545">
      <c r="B330" s="652" t="n">
        <v>30</v>
      </c>
      <c r="C330" s="652" t="inlineStr">
        <is>
          <t>HOA / covenants</t>
        </is>
      </c>
      <c r="D330" s="444" t="inlineStr">
        <is>
          <t>Search recorded declarations and confirm HOA registration, governing documents, dues and violations.</t>
        </is>
      </c>
      <c r="E330" s="444" t="inlineStr">
        <is>
          <t>Colorado HOA Center + county recorder</t>
        </is>
      </c>
      <c r="F330" s="651" t="inlineStr">
        <is>
          <t>Open</t>
        </is>
      </c>
      <c r="G330" s="444" t="inlineStr">
        <is>
          <t>Declarations, bylaws, budgets, status letter and registration</t>
        </is>
      </c>
      <c r="H330" s="444" t="inlineStr">
        <is>
          <t>Unregistered association, litigation, special assessment, rental/use restrictions</t>
        </is>
      </c>
      <c r="I330" s="652" t="inlineStr">
        <is>
          <t>Not Started</t>
        </is>
      </c>
      <c r="J330" s="652" t="n"/>
    </row>
    <row r="331" ht="73.5" customHeight="1" s="545">
      <c r="B331" s="652" t="n">
        <v>31</v>
      </c>
      <c r="C331" s="652" t="inlineStr">
        <is>
          <t>Entities / UCC</t>
        </is>
      </c>
      <c r="D331" s="444" t="inlineStr">
        <is>
          <t>Research seller/owner/applicant entities and UCC records where relevant.</t>
        </is>
      </c>
      <c r="E331" s="444" t="inlineStr">
        <is>
          <t>Colorado business and UCC searches</t>
        </is>
      </c>
      <c r="F331" s="651" t="inlineStr">
        <is>
          <t>Open</t>
        </is>
      </c>
      <c r="G331" s="444" t="inlineStr">
        <is>
          <t>Entity filings, good-standing information and UCC results</t>
        </is>
      </c>
      <c r="H331" s="444" t="inlineStr">
        <is>
          <t>Dissolved entity, authority problem, secured filing, name mismatch</t>
        </is>
      </c>
      <c r="I331" s="652" t="inlineStr">
        <is>
          <t>Not Started</t>
        </is>
      </c>
      <c r="J331" s="652" t="n"/>
    </row>
    <row r="332" ht="63" customHeight="1" s="545">
      <c r="B332" s="652" t="n">
        <v>32</v>
      </c>
      <c r="C332" s="652" t="inlineStr">
        <is>
          <t>Final verification</t>
        </is>
      </c>
      <c r="D332" s="444" t="inlineStr">
        <is>
          <t>Confirm material conclusions with the responsible agency, title company, surveyor, engineer, planner and legal counsel.</t>
        </is>
      </c>
      <c r="E332" s="444" t="inlineStr">
        <is>
          <t>Responsible professionals and agencies</t>
        </is>
      </c>
      <c r="F332" s="652" t="n"/>
      <c r="G332" s="444" t="inlineStr">
        <is>
          <t>Written confirmations and final diligence memo</t>
        </is>
      </c>
      <c r="H332" s="444" t="inlineStr">
        <is>
          <t>Reliance only on GIS or informal web information; unresolved conflicts</t>
        </is>
      </c>
      <c r="I332" s="652" t="inlineStr">
        <is>
          <t>Not Started</t>
        </is>
      </c>
      <c r="J332" s="652" t="n"/>
    </row>
  </sheetData>
  <autoFilter ref="B4:H296"/>
  <dataValidations count="1">
    <dataValidation sqref="I301:I332" showDropDown="0" showInputMessage="0" showErrorMessage="0" allowBlank="1" type="list">
      <formula1>"Not Started,In Progress,Complete,N/A"</formula1>
      <formula2>0</formula2>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11811023622047" footer="0.511811023622047"/>
  <pageSetup orientation="portrait" paperSize="9" horizontalDpi="300" verticalDpi="300"/>
</worksheet>
</file>

<file path=xl/worksheets/sheet30.xml><?xml version="1.0" encoding="utf-8"?>
<worksheet xmlns="http://schemas.openxmlformats.org/spreadsheetml/2006/main">
  <sheetPr>
    <tabColor rgb="FFD97706"/>
    <outlinePr summaryBelow="1" summaryRight="1"/>
    <pageSetUpPr/>
  </sheetPr>
  <dimension ref="A1:Q107"/>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4.85546875" customWidth="1" style="545" min="9" max="9"/>
    <col width="31.85546875" customWidth="1" style="545" min="12" max="12"/>
    <col width="36.42578125" customWidth="1" style="545" min="13" max="13"/>
    <col width="59.28515625" customWidth="1" style="545" min="14" max="14"/>
    <col width="13.7109375" customWidth="1" style="545" min="15" max="15"/>
    <col width="59.28515625" customWidth="1" style="545" min="16" max="16"/>
    <col width="34.140625" customWidth="1" style="545" min="17" max="17"/>
  </cols>
  <sheetData>
    <row r="1" ht="24" customHeight="1" s="545">
      <c r="A1" s="655" t="inlineStr">
        <is>
          <t>COMMERCIAL PROPERTY EXPENSE DATABASE ? PROPERTY REGISTRY</t>
        </is>
      </c>
    </row>
    <row r="2" ht="15.75" customHeight="1" s="545">
      <c r="A2" s="654" t="inlineStr">
        <is>
          <t>Adams County Assessor | Add one row per property | Used to track all expense comp submissions</t>
        </is>
      </c>
    </row>
    <row r="3" ht="30" customHeight="1" s="545">
      <c r="A3" s="445" t="inlineStr">
        <is>
          <t>Prop ID</t>
        </is>
      </c>
      <c r="B3" s="446" t="inlineStr">
        <is>
          <t>Occ Code</t>
        </is>
      </c>
      <c r="C3" s="446" t="inlineStr">
        <is>
          <t>Account #</t>
        </is>
      </c>
      <c r="D3" s="447" t="inlineStr">
        <is>
          <t>Address</t>
        </is>
      </c>
      <c r="E3" s="445" t="inlineStr">
        <is>
          <t>City</t>
        </is>
      </c>
      <c r="F3" s="445" t="inlineStr">
        <is>
          <t>State</t>
        </is>
      </c>
      <c r="G3" s="445" t="inlineStr">
        <is>
          <t>Property Type</t>
        </is>
      </c>
      <c r="H3" s="447" t="inlineStr">
        <is>
          <t>Subtype</t>
        </is>
      </c>
      <c r="I3" s="445" t="inlineStr">
        <is>
          <t>Year Built</t>
        </is>
      </c>
      <c r="J3" s="445" t="inlineStr">
        <is>
          <t>Bldg SF</t>
        </is>
      </c>
      <c r="K3" s="445" t="inlineStr">
        <is>
          <t>Land SF</t>
        </is>
      </c>
      <c r="L3" s="445" t="inlineStr">
        <is>
          <t>Parcel / Schedule #</t>
        </is>
      </c>
      <c r="M3" s="445" t="inlineStr">
        <is>
          <t>Owner</t>
        </is>
      </c>
      <c r="N3" s="447" t="inlineStr">
        <is>
          <t>Data Source</t>
        </is>
      </c>
      <c r="O3" s="445" t="inlineStr">
        <is>
          <t>Date Added</t>
        </is>
      </c>
      <c r="P3" s="447" t="inlineStr">
        <is>
          <t>Notes</t>
        </is>
      </c>
      <c r="Q3" s="54" t="inlineStr">
        <is>
          <t>Occ Description (auto)</t>
        </is>
      </c>
    </row>
    <row r="4" ht="42" customHeight="1" s="545">
      <c r="A4" s="448" t="inlineStr">
        <is>
          <t>P001</t>
        </is>
      </c>
      <c r="B4" s="449" t="n">
        <v>407</v>
      </c>
      <c r="C4" s="450" t="inlineStr">
        <is>
          <t>R0157664</t>
        </is>
      </c>
      <c r="D4" s="448" t="inlineStr">
        <is>
          <t>6045 E. 76th Avenue</t>
        </is>
      </c>
      <c r="E4" s="448" t="inlineStr">
        <is>
          <t>Commerce City</t>
        </is>
      </c>
      <c r="F4" s="448" t="inlineStr">
        <is>
          <t>CO</t>
        </is>
      </c>
      <c r="G4" s="448" t="inlineStr">
        <is>
          <t>Light Industrial</t>
        </is>
      </c>
      <c r="H4" s="448" t="inlineStr">
        <is>
          <t>Distribution Warehouse</t>
        </is>
      </c>
      <c r="I4" s="451" t="n">
        <v>1988</v>
      </c>
      <c r="J4" s="451" t="n">
        <v>21000</v>
      </c>
      <c r="K4" s="451" t="n">
        <v>66700</v>
      </c>
      <c r="L4" s="448" t="inlineStr">
        <is>
          <t>R0157664 / 0172132216014</t>
        </is>
      </c>
      <c r="M4" s="448" t="inlineStr">
        <is>
          <t>4711 West Tennessee Avenue LLC</t>
        </is>
      </c>
      <c r="N4" s="448" t="inlineStr">
        <is>
          <t>Owner P&amp;L + RH Jacobson Analysis</t>
        </is>
      </c>
      <c r="O4" s="448" t="inlineStr">
        <is>
          <t>2026-06-01</t>
        </is>
      </c>
      <c r="P4" s="448" t="inlineStr">
        <is>
          <t>28.5% vacancy; inferior access through 2 adjoining parcels; appeal tax year 2025-26</t>
        </is>
      </c>
      <c r="Q4" s="256">
        <f>IF(B4="","",IFERROR(INDEX(OCC_TABLE_DESC,MATCH(B4,OCC_TABLE_CODE,0)),"Unrecognized code"))</f>
        <v/>
      </c>
    </row>
    <row r="5" ht="39.75" customHeight="1" s="545">
      <c r="A5" s="448" t="inlineStr">
        <is>
          <t>P002</t>
        </is>
      </c>
      <c r="B5" s="449" t="n">
        <v>344</v>
      </c>
      <c r="C5" s="450" t="inlineStr">
        <is>
          <t>Unknown</t>
        </is>
      </c>
      <c r="D5" s="448" t="inlineStr">
        <is>
          <t>13659 E. 104th Ave</t>
        </is>
      </c>
      <c r="E5" s="448" t="inlineStr">
        <is>
          <t>Adams County</t>
        </is>
      </c>
      <c r="F5" s="448" t="inlineStr">
        <is>
          <t>CO</t>
        </is>
      </c>
      <c r="G5" s="448" t="inlineStr">
        <is>
          <t>Office/Commercial</t>
        </is>
      </c>
      <c r="H5" s="448" t="inlineStr">
        <is>
          <t>Multi-tenant</t>
        </is>
      </c>
      <c r="I5" s="448" t="n"/>
      <c r="J5" s="448" t="n"/>
      <c r="K5" s="448" t="n"/>
      <c r="L5" s="448" t="inlineStr">
        <is>
          <t>Unknown</t>
        </is>
      </c>
      <c r="M5" s="448" t="inlineStr">
        <is>
          <t>PMC-managed HOA structure</t>
        </is>
      </c>
      <c r="N5" s="448" t="inlineStr">
        <is>
          <t>Owner Operating Statements (BAA CASES root)</t>
        </is>
      </c>
      <c r="O5" s="448" t="inlineStr">
        <is>
          <t>2026-06-01</t>
        </is>
      </c>
      <c r="P5" s="448" t="inlineStr">
        <is>
          <t>SF unknown; 2023-2024 actuals from operating statement submitted in BAA appeal</t>
        </is>
      </c>
      <c r="Q5" s="256">
        <f>IF(B5="","",IFERROR(INDEX(OCC_TABLE_DESC,MATCH(B5,OCC_TABLE_CODE,0)),"Unrecognized code"))</f>
        <v/>
      </c>
    </row>
    <row r="6" ht="39.75" customHeight="1" s="545">
      <c r="A6" s="448" t="inlineStr">
        <is>
          <t>P003</t>
        </is>
      </c>
      <c r="B6" s="449" t="n">
        <v>344</v>
      </c>
      <c r="C6" s="450" t="inlineStr">
        <is>
          <t>R0024063</t>
        </is>
      </c>
      <c r="D6" s="448" t="inlineStr">
        <is>
          <t>Park Centre - Wells Fargo Bldg (12000 N Pecos area)</t>
        </is>
      </c>
      <c r="E6" s="448" t="inlineStr">
        <is>
          <t>Westminster</t>
        </is>
      </c>
      <c r="F6" s="448" t="inlineStr">
        <is>
          <t>CO</t>
        </is>
      </c>
      <c r="G6" s="448" t="inlineStr">
        <is>
          <t>Office</t>
        </is>
      </c>
      <c r="H6" s="448" t="inlineStr">
        <is>
          <t>Class B Multi-tenant</t>
        </is>
      </c>
      <c r="I6" s="448" t="n"/>
      <c r="J6" s="451" t="n">
        <v>49479</v>
      </c>
      <c r="K6" s="448" t="n"/>
      <c r="L6" s="448" t="inlineStr">
        <is>
          <t>R0024063</t>
        </is>
      </c>
      <c r="M6" s="448" t="inlineStr">
        <is>
          <t>Westfield Managed</t>
        </is>
      </c>
      <c r="N6" s="448" t="inlineStr">
        <is>
          <t>FINANCIALS.pdf + PROFORMA REVISED.xlsx</t>
        </is>
      </c>
      <c r="O6" s="448" t="inlineStr">
        <is>
          <t>2026-06-01</t>
        </is>
      </c>
      <c r="P6" s="448" t="inlineStr">
        <is>
          <t>49,479 SF leasable; complex multi-tenant office; Westfield managed; BAA appeal case</t>
        </is>
      </c>
      <c r="Q6" s="256">
        <f>IF(B6="","",IFERROR(INDEX(OCC_TABLE_DESC,MATCH(B6,OCC_TABLE_CODE,0)),"Unrecognized code"))</f>
        <v/>
      </c>
    </row>
    <row r="7" ht="39.75" customHeight="1" s="545">
      <c r="A7" s="448" t="inlineStr">
        <is>
          <t>P004</t>
        </is>
      </c>
      <c r="B7" s="449" t="n">
        <v>412</v>
      </c>
      <c r="C7" s="450" t="inlineStr">
        <is>
          <t>R0050221</t>
        </is>
      </c>
      <c r="D7" s="448" t="inlineStr">
        <is>
          <t>8860 Federal Blvd</t>
        </is>
      </c>
      <c r="E7" s="448" t="inlineStr">
        <is>
          <t>Adams County</t>
        </is>
      </c>
      <c r="F7" s="448" t="inlineStr">
        <is>
          <t>CO</t>
        </is>
      </c>
      <c r="G7" s="448" t="inlineStr">
        <is>
          <t>Retail</t>
        </is>
      </c>
      <c r="H7" s="448" t="inlineStr">
        <is>
          <t>Strip/Multi-tenant</t>
        </is>
      </c>
      <c r="I7" s="448" t="n"/>
      <c r="J7" s="451" t="n">
        <v>65850</v>
      </c>
      <c r="K7" s="448" t="n"/>
      <c r="L7" s="448" t="inlineStr">
        <is>
          <t>R0050221</t>
        </is>
      </c>
      <c r="M7" s="448" t="inlineStr">
        <is>
          <t>Enger Family Partnership LLLP</t>
        </is>
      </c>
      <c r="N7" s="448" t="inlineStr">
        <is>
          <t>ACTUALS.pdf (BAA CASES)</t>
        </is>
      </c>
      <c r="O7" s="448" t="inlineStr">
        <is>
          <t>2026-06-01</t>
        </is>
      </c>
      <c r="P7" s="448" t="inlineStr">
        <is>
          <t>65,850 SF retail strip; triple-net structure with CAM recoveries; 2023-2024 actuals</t>
        </is>
      </c>
      <c r="Q7" s="256">
        <f>IF(B7="","",IFERROR(INDEX(OCC_TABLE_DESC,MATCH(B7,OCC_TABLE_CODE,0)),"Unrecognized code"))</f>
        <v/>
      </c>
    </row>
    <row r="8" ht="39.75" customHeight="1" s="545">
      <c r="A8" s="448" t="inlineStr">
        <is>
          <t>P005</t>
        </is>
      </c>
      <c r="B8" s="449" t="n">
        <v>344</v>
      </c>
      <c r="C8" s="450" t="inlineStr">
        <is>
          <t>R0050977</t>
        </is>
      </c>
      <c r="D8" s="448" t="inlineStr">
        <is>
          <t>9351 Grant St (Horizon Terrace)</t>
        </is>
      </c>
      <c r="E8" s="448" t="inlineStr">
        <is>
          <t>Thornton</t>
        </is>
      </c>
      <c r="F8" s="448" t="inlineStr">
        <is>
          <t>CO</t>
        </is>
      </c>
      <c r="G8" s="448" t="inlineStr">
        <is>
          <t>Office</t>
        </is>
      </c>
      <c r="H8" s="448" t="inlineStr">
        <is>
          <t>Class B Multi-story Multi-tenant</t>
        </is>
      </c>
      <c r="I8" s="448" t="n"/>
      <c r="J8" s="451" t="n">
        <v>91646</v>
      </c>
      <c r="K8" s="448" t="n"/>
      <c r="L8" s="448" t="inlineStr">
        <is>
          <t>R0050977</t>
        </is>
      </c>
      <c r="M8" s="448" t="inlineStr">
        <is>
          <t>Horizon Terrace</t>
        </is>
      </c>
      <c r="N8" s="448" t="inlineStr">
        <is>
          <t>Income Statements 2023 &amp; 2024 PDFs</t>
        </is>
      </c>
      <c r="O8" s="448" t="inlineStr">
        <is>
          <t>2026-06-01</t>
        </is>
      </c>
      <c r="P8" s="448" t="inlineStr">
        <is>
          <t>91,646 SF; full-service multi-tenant office with janitorial, security, elevator; Westfield managed</t>
        </is>
      </c>
      <c r="Q8" s="256">
        <f>IF(B8="","",IFERROR(INDEX(OCC_TABLE_DESC,MATCH(B8,OCC_TABLE_CODE,0)),"Unrecognized code"))</f>
        <v/>
      </c>
    </row>
    <row r="9" ht="39.75" customHeight="1" s="545">
      <c r="A9" s="448" t="inlineStr">
        <is>
          <t>P006</t>
        </is>
      </c>
      <c r="B9" s="449" t="n">
        <v>210</v>
      </c>
      <c r="C9" s="450" t="inlineStr">
        <is>
          <t>R0062937</t>
        </is>
      </c>
      <c r="D9" s="448" t="inlineStr">
        <is>
          <t>8670 Wolff Ct (Sheridan Park 8)</t>
        </is>
      </c>
      <c r="E9" s="448" t="inlineStr">
        <is>
          <t>Westminster</t>
        </is>
      </c>
      <c r="F9" s="448" t="inlineStr">
        <is>
          <t>CO</t>
        </is>
      </c>
      <c r="G9" s="448" t="inlineStr">
        <is>
          <t>Office/Flex</t>
        </is>
      </c>
      <c r="H9" s="448" t="inlineStr">
        <is>
          <t>Multi-tenant</t>
        </is>
      </c>
      <c r="I9" s="448" t="n"/>
      <c r="J9" s="451" t="n">
        <v>37078</v>
      </c>
      <c r="K9" s="448" t="n"/>
      <c r="L9" s="448" t="inlineStr">
        <is>
          <t>R0062937</t>
        </is>
      </c>
      <c r="M9" s="448" t="inlineStr">
        <is>
          <t>Unknown</t>
        </is>
      </c>
      <c r="N9" s="448" t="inlineStr">
        <is>
          <t>Operating Expense History DYCO.pdf</t>
        </is>
      </c>
      <c r="O9" s="448" t="inlineStr">
        <is>
          <t>2026-06-01</t>
        </is>
      </c>
      <c r="P9" s="448" t="inlineStr">
        <is>
          <t>~37,078 SF (derived from PSF); CAM reimbursable expense structure; 2020-2024 expense history</t>
        </is>
      </c>
      <c r="Q9" s="256">
        <f>IF(B9="","",IFERROR(INDEX(OCC_TABLE_DESC,MATCH(B9,OCC_TABLE_CODE,0)),"Unrecognized code"))</f>
        <v/>
      </c>
    </row>
    <row r="10" ht="39.75" customHeight="1" s="545">
      <c r="A10" s="448" t="inlineStr">
        <is>
          <t>P007</t>
        </is>
      </c>
      <c r="B10" s="449" t="n">
        <v>341</v>
      </c>
      <c r="C10" s="450" t="inlineStr">
        <is>
          <t>R0062944</t>
        </is>
      </c>
      <c r="D10" s="448" t="inlineStr">
        <is>
          <t>8787 (medical office complex)</t>
        </is>
      </c>
      <c r="E10" s="448" t="inlineStr">
        <is>
          <t>Adams County</t>
        </is>
      </c>
      <c r="F10" s="448" t="inlineStr">
        <is>
          <t>CO</t>
        </is>
      </c>
      <c r="G10" s="448" t="inlineStr">
        <is>
          <t>Medical Office</t>
        </is>
      </c>
      <c r="H10" s="448" t="inlineStr">
        <is>
          <t>Multi-tenant</t>
        </is>
      </c>
      <c r="I10" s="448" t="n"/>
      <c r="J10" s="451" t="n">
        <v>19430</v>
      </c>
      <c r="K10" s="448" t="n"/>
      <c r="L10" s="448" t="inlineStr">
        <is>
          <t>R0062944</t>
        </is>
      </c>
      <c r="M10" s="448" t="inlineStr">
        <is>
          <t>MENDI-CO II LLC</t>
        </is>
      </c>
      <c r="N10" s="448" t="inlineStr">
        <is>
          <t>2023 OPS.xlsx + 2024 OPS.xlsx</t>
        </is>
      </c>
      <c r="O10" s="448" t="inlineStr">
        <is>
          <t>2026-06-01</t>
        </is>
      </c>
      <c r="P10" s="448" t="inlineStr">
        <is>
          <t>~19,430 SF (derived); tenants: Denver Springs, Access VP, Colorado Net, Westminster Eye; 2023-2024 actuals</t>
        </is>
      </c>
      <c r="Q10" s="256">
        <f>IF(B10="","",IFERROR(INDEX(OCC_TABLE_DESC,MATCH(B10,OCC_TABLE_CODE,0)),"Unrecognized code"))</f>
        <v/>
      </c>
    </row>
    <row r="11" ht="39.75" customHeight="1" s="545">
      <c r="A11" s="448" t="inlineStr">
        <is>
          <t>P008</t>
        </is>
      </c>
      <c r="B11" s="449" t="n">
        <v>210</v>
      </c>
      <c r="C11" s="450" t="inlineStr">
        <is>
          <t>R0070622</t>
        </is>
      </c>
      <c r="D11" s="448" t="inlineStr">
        <is>
          <t>460-550 E. 76th Ave (WPC Corporate)</t>
        </is>
      </c>
      <c r="E11" s="448" t="inlineStr">
        <is>
          <t>Adams County</t>
        </is>
      </c>
      <c r="F11" s="448" t="inlineStr">
        <is>
          <t>CO</t>
        </is>
      </c>
      <c r="G11" s="448" t="inlineStr">
        <is>
          <t>Industrial</t>
        </is>
      </c>
      <c r="H11" s="448" t="inlineStr">
        <is>
          <t>Distribution/Flex Multi-tenant</t>
        </is>
      </c>
      <c r="I11" s="448" t="n"/>
      <c r="J11" s="451" t="n">
        <v>330935</v>
      </c>
      <c r="K11" s="448" t="n"/>
      <c r="L11" s="448" t="inlineStr">
        <is>
          <t>R0070622</t>
        </is>
      </c>
      <c r="M11" s="448" t="inlineStr">
        <is>
          <t>WPC Corporate LLC</t>
        </is>
      </c>
      <c r="N11" s="448" t="inlineStr">
        <is>
          <t>ACTUALS.pdf (BAA CASES)</t>
        </is>
      </c>
      <c r="O11" s="448" t="inlineStr">
        <is>
          <t>2026-06-01</t>
        </is>
      </c>
      <c r="P11" s="448" t="inlineStr">
        <is>
          <t>330,935 SF industrial; 2024 actuals only; large multi-tenant distribution complex</t>
        </is>
      </c>
      <c r="Q11" s="256">
        <f>IF(B11="","",IFERROR(INDEX(OCC_TABLE_DESC,MATCH(B11,OCC_TABLE_CODE,0)),"Unrecognized code"))</f>
        <v/>
      </c>
    </row>
    <row r="12" ht="39.75" customHeight="1" s="545">
      <c r="A12" s="448" t="inlineStr">
        <is>
          <t>P009</t>
        </is>
      </c>
      <c r="B12" s="449" t="n">
        <v>407</v>
      </c>
      <c r="C12" s="450" t="inlineStr">
        <is>
          <t>R0075212</t>
        </is>
      </c>
      <c r="D12" s="448" t="inlineStr">
        <is>
          <t>10500 Havana Court</t>
        </is>
      </c>
      <c r="E12" s="448" t="inlineStr">
        <is>
          <t>Adams County</t>
        </is>
      </c>
      <c r="F12" s="448" t="inlineStr">
        <is>
          <t>CO</t>
        </is>
      </c>
      <c r="G12" s="448" t="inlineStr">
        <is>
          <t>Industrial</t>
        </is>
      </c>
      <c r="H12" s="448" t="inlineStr">
        <is>
          <t>NNN Single-tenant</t>
        </is>
      </c>
      <c r="I12" s="448" t="n"/>
      <c r="J12" s="448" t="n"/>
      <c r="K12" s="448" t="n"/>
      <c r="L12" s="448" t="inlineStr">
        <is>
          <t>R0075212</t>
        </is>
      </c>
      <c r="M12" s="448" t="inlineStr">
        <is>
          <t>Jellison Street LLP</t>
        </is>
      </c>
      <c r="N12" s="448" t="inlineStr">
        <is>
          <t>PLEA USING ACTUALS AND TAX LOAD.pdf</t>
        </is>
      </c>
      <c r="O12" s="448" t="inlineStr">
        <is>
          <t>2026-06-01</t>
        </is>
      </c>
      <c r="P12" s="448" t="inlineStr">
        <is>
          <t>SF unknown; NNN lease structure; P&amp;L includes depreciation/mortgage (excluded from NOI calc); 2023-2024</t>
        </is>
      </c>
      <c r="Q12" s="256">
        <f>IF(B12="","",IFERROR(INDEX(OCC_TABLE_DESC,MATCH(B12,OCC_TABLE_CODE,0)),"Unrecognized code"))</f>
        <v/>
      </c>
    </row>
    <row r="13" ht="39.75" customHeight="1" s="545">
      <c r="A13" s="448" t="inlineStr">
        <is>
          <t>P010</t>
        </is>
      </c>
      <c r="B13" s="449" t="n">
        <v>210</v>
      </c>
      <c r="C13" s="450" t="inlineStr">
        <is>
          <t>R0098225</t>
        </is>
      </c>
      <c r="D13" s="448" t="inlineStr">
        <is>
          <t>Broadway Business Center (7040B Broadway)</t>
        </is>
      </c>
      <c r="E13" s="448" t="inlineStr">
        <is>
          <t>Denver</t>
        </is>
      </c>
      <c r="F13" s="448" t="inlineStr">
        <is>
          <t>CO</t>
        </is>
      </c>
      <c r="G13" s="448" t="inlineStr">
        <is>
          <t>Flex/Industrial</t>
        </is>
      </c>
      <c r="H13" s="448" t="inlineStr">
        <is>
          <t>Multi-tenant CAM</t>
        </is>
      </c>
      <c r="I13" s="448" t="n"/>
      <c r="J13" s="451" t="n">
        <v>105000</v>
      </c>
      <c r="K13" s="448" t="n"/>
      <c r="L13" s="448" t="inlineStr">
        <is>
          <t>R0098225</t>
        </is>
      </c>
      <c r="M13" s="448" t="inlineStr">
        <is>
          <t>Broadway Business Center</t>
        </is>
      </c>
      <c r="N13" s="448" t="inlineStr">
        <is>
          <t>2023 OPS.xlsx + 2024 OPS.xlsx</t>
        </is>
      </c>
      <c r="O13" s="448" t="inlineStr">
        <is>
          <t>2026-06-01</t>
        </is>
      </c>
      <c r="P13" s="448" t="inlineStr">
        <is>
          <t>~105,000 SF estimated; CAM-recoverable structure; 2024 RE Tax inflated by $111,314 prior-yr catchup; 2023-2024 actuals</t>
        </is>
      </c>
      <c r="Q13" s="256">
        <f>IF(B13="","",IFERROR(INDEX(OCC_TABLE_DESC,MATCH(B13,OCC_TABLE_CODE,0)),"Unrecognized code"))</f>
        <v/>
      </c>
    </row>
    <row r="14" ht="39.75" customHeight="1" s="545">
      <c r="A14" s="448" t="inlineStr">
        <is>
          <t>P011</t>
        </is>
      </c>
      <c r="B14" s="449" t="n">
        <v>210</v>
      </c>
      <c r="C14" s="450" t="inlineStr">
        <is>
          <t>R0103767</t>
        </is>
      </c>
      <c r="D14" s="448" t="inlineStr">
        <is>
          <t>5650 Washington St (Washington Business Park)</t>
        </is>
      </c>
      <c r="E14" s="448" t="inlineStr">
        <is>
          <t>Adams County</t>
        </is>
      </c>
      <c r="F14" s="448" t="inlineStr">
        <is>
          <t>CO</t>
        </is>
      </c>
      <c r="G14" s="448" t="inlineStr">
        <is>
          <t>Industrial/Flex</t>
        </is>
      </c>
      <c r="H14" s="448" t="inlineStr">
        <is>
          <t>Multi-tenant</t>
        </is>
      </c>
      <c r="I14" s="448" t="n"/>
      <c r="J14" s="448" t="n"/>
      <c r="K14" s="448" t="n"/>
      <c r="L14" s="448" t="inlineStr">
        <is>
          <t>R0103767</t>
        </is>
      </c>
      <c r="M14" s="448" t="inlineStr">
        <is>
          <t>Unknown</t>
        </is>
      </c>
      <c r="N14" s="448" t="inlineStr">
        <is>
          <t>Operating Statement (sans rent roll).pdf</t>
        </is>
      </c>
      <c r="O14" s="448" t="inlineStr">
        <is>
          <t>2026-06-01</t>
        </is>
      </c>
      <c r="P14" s="448" t="inlineStr">
        <is>
          <t>SF unknown; 2022-2024 actuals; management fee $54,025 in 2022 not shown in later years</t>
        </is>
      </c>
      <c r="Q14" s="256">
        <f>IF(B14="","",IFERROR(INDEX(OCC_TABLE_DESC,MATCH(B14,OCC_TABLE_CODE,0)),"Unrecognized code"))</f>
        <v/>
      </c>
    </row>
    <row r="15" ht="39.75" customHeight="1" s="545">
      <c r="A15" s="448" t="inlineStr">
        <is>
          <t>P012</t>
        </is>
      </c>
      <c r="B15" s="449" t="n">
        <v>344</v>
      </c>
      <c r="C15" s="450" t="inlineStr">
        <is>
          <t>R0124385</t>
        </is>
      </c>
      <c r="D15" s="448" t="inlineStr">
        <is>
          <t>Unknown (Tax District 555)</t>
        </is>
      </c>
      <c r="E15" s="448" t="inlineStr">
        <is>
          <t>Adams County</t>
        </is>
      </c>
      <c r="F15" s="448" t="inlineStr">
        <is>
          <t>CO</t>
        </is>
      </c>
      <c r="G15" s="448" t="inlineStr">
        <is>
          <t>Office</t>
        </is>
      </c>
      <c r="H15" s="448" t="inlineStr">
        <is>
          <t>Multi-tenant</t>
        </is>
      </c>
      <c r="I15" s="448" t="n"/>
      <c r="J15" s="451" t="n">
        <v>20170</v>
      </c>
      <c r="K15" s="448" t="n"/>
      <c r="L15" s="448" t="inlineStr">
        <is>
          <t>R0124385</t>
        </is>
      </c>
      <c r="M15" s="448" t="inlineStr">
        <is>
          <t>Unknown</t>
        </is>
      </c>
      <c r="N15" s="448" t="inlineStr">
        <is>
          <t>PROFORMA BASIS FOR OFFER.xlsx (actuals section)</t>
        </is>
      </c>
      <c r="O15" s="448" t="inlineStr">
        <is>
          <t>2026-06-01</t>
        </is>
      </c>
      <c r="P15" s="448" t="inlineStr">
        <is>
          <t>20,170 SF; 2023-2024 actuals extracted from proforma submission; limited line-item detail</t>
        </is>
      </c>
      <c r="Q15" s="256">
        <f>IF(B15="","",IFERROR(INDEX(OCC_TABLE_DESC,MATCH(B15,OCC_TABLE_CODE,0)),"Unrecognized code"))</f>
        <v/>
      </c>
    </row>
    <row r="16" ht="39.75" customHeight="1" s="545">
      <c r="A16" s="448" t="inlineStr">
        <is>
          <t>P013</t>
        </is>
      </c>
      <c r="B16" s="449" t="n">
        <v>353</v>
      </c>
      <c r="C16" s="450" t="inlineStr">
        <is>
          <t>R0169176</t>
        </is>
      </c>
      <c r="D16" s="448" t="inlineStr">
        <is>
          <t>Unknown (new construction, opened Oct 2023)</t>
        </is>
      </c>
      <c r="E16" s="448" t="inlineStr">
        <is>
          <t>Adams County</t>
        </is>
      </c>
      <c r="F16" s="448" t="inlineStr">
        <is>
          <t>CO</t>
        </is>
      </c>
      <c r="G16" s="448" t="inlineStr">
        <is>
          <t>Retail/Office</t>
        </is>
      </c>
      <c r="H16" s="448" t="inlineStr">
        <is>
          <t>Multi-tenant</t>
        </is>
      </c>
      <c r="I16" s="451" t="n">
        <v>2023</v>
      </c>
      <c r="J16" s="448" t="n"/>
      <c r="K16" s="448" t="n"/>
      <c r="L16" s="448" t="inlineStr">
        <is>
          <t>R0169176</t>
        </is>
      </c>
      <c r="M16" s="448" t="inlineStr">
        <is>
          <t>Unknown</t>
        </is>
      </c>
      <c r="N16" s="448" t="inlineStr">
        <is>
          <t>Income Statement 2023.xlsx + 2024.xlsx</t>
        </is>
      </c>
      <c r="O16" s="448" t="inlineStr">
        <is>
          <t>2026-06-01</t>
        </is>
      </c>
      <c r="P16" s="448" t="inlineStr">
        <is>
          <t>SF unknown; 2023 partial year (opened Oct 2023); 2024 full year; large RE tax load typical of new construction</t>
        </is>
      </c>
      <c r="Q16" s="256">
        <f>IF(B16="","",IFERROR(INDEX(OCC_TABLE_DESC,MATCH(B16,OCC_TABLE_CODE,0)),"Unrecognized code"))</f>
        <v/>
      </c>
    </row>
    <row r="17" ht="39.75" customHeight="1" s="545">
      <c r="A17" s="448" t="inlineStr">
        <is>
          <t>P014</t>
        </is>
      </c>
      <c r="B17" s="449" t="n">
        <v>407</v>
      </c>
      <c r="C17" s="450" t="inlineStr">
        <is>
          <t>R0198530</t>
        </is>
      </c>
      <c r="D17" s="448" t="inlineStr">
        <is>
          <t>Amazon DEN7 Distribution Center</t>
        </is>
      </c>
      <c r="E17" s="448" t="inlineStr">
        <is>
          <t>Aurora</t>
        </is>
      </c>
      <c r="F17" s="448" t="inlineStr">
        <is>
          <t>CO</t>
        </is>
      </c>
      <c r="G17" s="448" t="inlineStr">
        <is>
          <t>Industrial/Distribution</t>
        </is>
      </c>
      <c r="H17" s="448" t="inlineStr">
        <is>
          <t>Single-tenant NNN</t>
        </is>
      </c>
      <c r="I17" s="448" t="n"/>
      <c r="J17" s="451" t="n">
        <v>555840</v>
      </c>
      <c r="K17" s="448" t="n"/>
      <c r="L17" s="448" t="inlineStr">
        <is>
          <t>R0198530</t>
        </is>
      </c>
      <c r="M17" s="448" t="inlineStr">
        <is>
          <t>Amazon (tenant)</t>
        </is>
      </c>
      <c r="N17" s="448" t="inlineStr">
        <is>
          <t>CAM Reconciliation 2023 &amp; 2024 OPS.pdf</t>
        </is>
      </c>
      <c r="O17" s="448" t="inlineStr">
        <is>
          <t>2026-06-01</t>
        </is>
      </c>
      <c r="P17" s="448" t="inlineStr">
        <is>
          <t>555,840 SF Amazon fulfillment center; NNN ? expenses = LL CAM billed to tenant; RE Tax dominant expense; 2023-2024</t>
        </is>
      </c>
      <c r="Q17" s="256">
        <f>IF(B17="","",IFERROR(INDEX(OCC_TABLE_DESC,MATCH(B17,OCC_TABLE_CODE,0)),"Unrecognized code"))</f>
        <v/>
      </c>
    </row>
    <row r="18" ht="12.75" customHeight="1" s="545">
      <c r="A18" s="452" t="inlineStr">
        <is>
          <t>P015</t>
        </is>
      </c>
      <c r="B18" s="449" t="n">
        <v>407</v>
      </c>
      <c r="C18" s="450" t="inlineStr">
        <is>
          <t>R0180894</t>
        </is>
      </c>
      <c r="D18" s="453" t="inlineStr">
        <is>
          <t>1910 N Gun Club Rd</t>
        </is>
      </c>
      <c r="E18" s="452" t="inlineStr">
        <is>
          <t>Aurora</t>
        </is>
      </c>
      <c r="F18" s="452" t="inlineStr">
        <is>
          <t>CO</t>
        </is>
      </c>
      <c r="G18" s="452" t="inlineStr">
        <is>
          <t>Industrial</t>
        </is>
      </c>
      <c r="H18" s="453" t="inlineStr">
        <is>
          <t>Distribution Warehouse Multi-Tenant NNN</t>
        </is>
      </c>
      <c r="I18" s="452" t="n">
        <v>2019</v>
      </c>
      <c r="J18" s="452" t="n">
        <v>163386</v>
      </c>
      <c r="K18" s="452" t="n"/>
      <c r="L18" s="452" t="inlineStr">
        <is>
          <t>R0180894</t>
        </is>
      </c>
      <c r="M18" s="452" t="n"/>
      <c r="N18" s="453" t="inlineStr">
        <is>
          <t>MHE 2025 BAA – Owner submitted P&amp;L</t>
        </is>
      </c>
      <c r="O18" s="452" t="inlineStr">
        <is>
          <t>2026-06-01</t>
        </is>
      </c>
      <c r="P18" s="453" t="inlineStr">
        <is>
          <t>Actual accrual income; 2023–2024</t>
        </is>
      </c>
      <c r="Q18" s="256">
        <f>IF(B18="","",IFERROR(INDEX(OCC_TABLE_DESC,MATCH(B18,OCC_TABLE_CODE,0)),"Unrecognized code"))</f>
        <v/>
      </c>
    </row>
    <row r="19" ht="12.75" customHeight="1" s="545">
      <c r="A19" s="454" t="inlineStr">
        <is>
          <t>P016</t>
        </is>
      </c>
      <c r="B19" s="449" t="n">
        <v>584</v>
      </c>
      <c r="C19" s="450" t="inlineStr">
        <is>
          <t>R0212546/R0212547</t>
        </is>
      </c>
      <c r="D19" s="455" t="inlineStr">
        <is>
          <t>2780 N Tower Rd</t>
        </is>
      </c>
      <c r="E19" s="454" t="inlineStr">
        <is>
          <t>Aurora</t>
        </is>
      </c>
      <c r="F19" s="454" t="inlineStr">
        <is>
          <t>CO</t>
        </is>
      </c>
      <c r="G19" s="454" t="inlineStr">
        <is>
          <t>Industrial</t>
        </is>
      </c>
      <c r="H19" s="455" t="inlineStr">
        <is>
          <t>Mega Warehouse NNN</t>
        </is>
      </c>
      <c r="I19" s="454" t="n">
        <v>1983</v>
      </c>
      <c r="J19" s="454" t="n">
        <v>384953</v>
      </c>
      <c r="K19" s="454" t="n"/>
      <c r="L19" s="454" t="inlineStr">
        <is>
          <t>R0212546/R0212547</t>
        </is>
      </c>
      <c r="M19" s="454" t="n"/>
      <c r="N19" s="455" t="inlineStr">
        <is>
          <t>MHE 2025 BAA – County proforma</t>
        </is>
      </c>
      <c r="O19" s="454" t="inlineStr">
        <is>
          <t>2026-06-01</t>
        </is>
      </c>
      <c r="P19" s="455" t="inlineStr">
        <is>
          <t>County proforma; 2024 only</t>
        </is>
      </c>
      <c r="Q19" s="256">
        <f>IF(B19="","",IFERROR(INDEX(OCC_TABLE_DESC,MATCH(B19,OCC_TABLE_CODE,0)),"Unrecognized code"))</f>
        <v/>
      </c>
    </row>
    <row r="20" ht="12.75" customHeight="1" s="545">
      <c r="A20" s="452" t="inlineStr">
        <is>
          <t>P017</t>
        </is>
      </c>
      <c r="B20" s="449" t="n">
        <v>210</v>
      </c>
      <c r="C20" s="450" t="inlineStr">
        <is>
          <t>R0098098</t>
        </is>
      </c>
      <c r="D20" s="453" t="inlineStr">
        <is>
          <t>1445 E 68th Ave</t>
        </is>
      </c>
      <c r="E20" s="452" t="inlineStr">
        <is>
          <t>Denver</t>
        </is>
      </c>
      <c r="F20" s="452" t="inlineStr">
        <is>
          <t>CO</t>
        </is>
      </c>
      <c r="G20" s="452" t="inlineStr">
        <is>
          <t>Industrial</t>
        </is>
      </c>
      <c r="H20" s="453" t="inlineStr">
        <is>
          <t>Industrial Office Mix</t>
        </is>
      </c>
      <c r="I20" s="452" t="n">
        <v>1972</v>
      </c>
      <c r="J20" s="452" t="n">
        <v>63348</v>
      </c>
      <c r="K20" s="452" t="n"/>
      <c r="L20" s="452" t="inlineStr">
        <is>
          <t>R0098098</t>
        </is>
      </c>
      <c r="M20" s="452" t="n"/>
      <c r="N20" s="453" t="inlineStr">
        <is>
          <t>MHE 2025 BAA – County proforma</t>
        </is>
      </c>
      <c r="O20" s="452" t="inlineStr">
        <is>
          <t>2026-06-01</t>
        </is>
      </c>
      <c r="P20" s="453" t="inlineStr">
        <is>
          <t>YOC 1972/2006/2023; county proforma 2024</t>
        </is>
      </c>
      <c r="Q20" s="256">
        <f>IF(B20="","",IFERROR(INDEX(OCC_TABLE_DESC,MATCH(B20,OCC_TABLE_CODE,0)),"Unrecognized code"))</f>
        <v/>
      </c>
    </row>
    <row r="21" ht="12.75" customHeight="1" s="545">
      <c r="A21" s="454" t="inlineStr">
        <is>
          <t>P018</t>
        </is>
      </c>
      <c r="B21" s="449" t="n">
        <v>406</v>
      </c>
      <c r="C21" s="450" t="inlineStr">
        <is>
          <t>R0103783</t>
        </is>
      </c>
      <c r="D21" s="455" t="inlineStr">
        <is>
          <t>2031 E 58th Ave</t>
        </is>
      </c>
      <c r="E21" s="454" t="inlineStr">
        <is>
          <t>Denver</t>
        </is>
      </c>
      <c r="F21" s="454" t="inlineStr">
        <is>
          <t>CO</t>
        </is>
      </c>
      <c r="G21" s="454" t="inlineStr">
        <is>
          <t>Industrial</t>
        </is>
      </c>
      <c r="H21" s="455" t="inlineStr">
        <is>
          <t>Storage Warehouse / Mod Office NNN</t>
        </is>
      </c>
      <c r="I21" s="454" t="n">
        <v>2004</v>
      </c>
      <c r="J21" s="454" t="n">
        <v>18720</v>
      </c>
      <c r="K21" s="454" t="n"/>
      <c r="L21" s="454" t="inlineStr">
        <is>
          <t>R0103783</t>
        </is>
      </c>
      <c r="M21" s="454" t="n"/>
      <c r="N21" s="455" t="inlineStr">
        <is>
          <t>MHE 2025 BAA – NNN billed charges</t>
        </is>
      </c>
      <c r="O21" s="454" t="inlineStr">
        <is>
          <t>2026-06-01</t>
        </is>
      </c>
      <c r="P21" s="455" t="inlineStr">
        <is>
          <t>NNN actual billed charges 2019–2024</t>
        </is>
      </c>
      <c r="Q21" s="256">
        <f>IF(B21="","",IFERROR(INDEX(OCC_TABLE_DESC,MATCH(B21,OCC_TABLE_CODE,0)),"Unrecognized code"))</f>
        <v/>
      </c>
    </row>
    <row r="22" ht="12.75" customHeight="1" s="545">
      <c r="A22" s="452" t="inlineStr">
        <is>
          <t>P019</t>
        </is>
      </c>
      <c r="B22" s="449" t="n">
        <v>407</v>
      </c>
      <c r="C22" s="450" t="inlineStr">
        <is>
          <t>R0210402/R0210403</t>
        </is>
      </c>
      <c r="D22" s="453" t="inlineStr">
        <is>
          <t>17190 E 85th Ave</t>
        </is>
      </c>
      <c r="E22" s="452" t="inlineStr">
        <is>
          <t>Commerce City</t>
        </is>
      </c>
      <c r="F22" s="452" t="inlineStr">
        <is>
          <t>CO</t>
        </is>
      </c>
      <c r="G22" s="452" t="inlineStr">
        <is>
          <t>Industrial</t>
        </is>
      </c>
      <c r="H22" s="453" t="inlineStr">
        <is>
          <t>Industrial Warehouse NNN</t>
        </is>
      </c>
      <c r="I22" s="452" t="n">
        <v>2021</v>
      </c>
      <c r="J22" s="452" t="n">
        <v>329940</v>
      </c>
      <c r="K22" s="452" t="n"/>
      <c r="L22" s="452" t="inlineStr">
        <is>
          <t>R0210402/R0210403</t>
        </is>
      </c>
      <c r="M22" s="452" t="n"/>
      <c r="N22" s="453" t="inlineStr">
        <is>
          <t>MHE 2025 BAA – Petitioner proforma</t>
        </is>
      </c>
      <c r="O22" s="452" t="inlineStr">
        <is>
          <t>2026-06-01</t>
        </is>
      </c>
      <c r="P22" s="453" t="inlineStr">
        <is>
          <t>Petitioner proforma 2024/25</t>
        </is>
      </c>
      <c r="Q22" s="256">
        <f>IF(B22="","",IFERROR(INDEX(OCC_TABLE_DESC,MATCH(B22,OCC_TABLE_CODE,0)),"Unrecognized code"))</f>
        <v/>
      </c>
    </row>
    <row r="23" ht="25.5" customHeight="1" s="545">
      <c r="A23" s="454" t="inlineStr">
        <is>
          <t>P020</t>
        </is>
      </c>
      <c r="B23" s="449" t="n">
        <v>584</v>
      </c>
      <c r="C23" s="450" t="inlineStr">
        <is>
          <t>R0209679</t>
        </is>
      </c>
      <c r="D23" s="455" t="inlineStr">
        <is>
          <t>17501 E 84th Ave</t>
        </is>
      </c>
      <c r="E23" s="454" t="inlineStr">
        <is>
          <t>Commerce City</t>
        </is>
      </c>
      <c r="F23" s="454" t="inlineStr">
        <is>
          <t>CO</t>
        </is>
      </c>
      <c r="G23" s="454" t="inlineStr">
        <is>
          <t>Industrial</t>
        </is>
      </c>
      <c r="H23" s="455" t="inlineStr">
        <is>
          <t>Mega Warehouse / Distribution Center NNN (Lowe's)</t>
        </is>
      </c>
      <c r="I23" s="454" t="n">
        <v>2021</v>
      </c>
      <c r="J23" s="454" t="n">
        <v>999780</v>
      </c>
      <c r="K23" s="454" t="n"/>
      <c r="L23" s="454" t="inlineStr">
        <is>
          <t>R0209679</t>
        </is>
      </c>
      <c r="M23" s="454" t="n"/>
      <c r="N23" s="455" t="inlineStr">
        <is>
          <t>MHE 2025 BAA – Owner submitted P&amp;L</t>
        </is>
      </c>
      <c r="O23" s="454" t="inlineStr">
        <is>
          <t>2026-06-01</t>
        </is>
      </c>
      <c r="P23" s="455" t="inlineStr">
        <is>
          <t>Actual accrual; 2023 NOI inflated by ~$2.8M prior-yr tax adj</t>
        </is>
      </c>
      <c r="Q23" s="256">
        <f>IF(B23="","",IFERROR(INDEX(OCC_TABLE_DESC,MATCH(B23,OCC_TABLE_CODE,0)),"Unrecognized code"))</f>
        <v/>
      </c>
    </row>
    <row r="24" ht="12.75" customHeight="1" s="545">
      <c r="A24" s="452" t="inlineStr">
        <is>
          <t>P021</t>
        </is>
      </c>
      <c r="B24" s="449" t="n">
        <v>210</v>
      </c>
      <c r="C24" s="450" t="inlineStr">
        <is>
          <t>R0091931</t>
        </is>
      </c>
      <c r="D24" s="453" t="inlineStr">
        <is>
          <t>6300 E. 58th Ave</t>
        </is>
      </c>
      <c r="E24" s="452" t="inlineStr">
        <is>
          <t>Commerce City</t>
        </is>
      </c>
      <c r="F24" s="452" t="inlineStr">
        <is>
          <t>CO</t>
        </is>
      </c>
      <c r="G24" s="452" t="inlineStr">
        <is>
          <t>Industrial</t>
        </is>
      </c>
      <c r="H24" s="453" t="inlineStr">
        <is>
          <t>Multi-Tenant Industrial/Flex</t>
        </is>
      </c>
      <c r="I24" s="452" t="n">
        <v>1999</v>
      </c>
      <c r="J24" s="452" t="n">
        <v>90000</v>
      </c>
      <c r="K24" s="452" t="n"/>
      <c r="L24" s="452" t="inlineStr">
        <is>
          <t>R0091931</t>
        </is>
      </c>
      <c r="M24" s="452" t="n"/>
      <c r="N24" s="453" t="inlineStr">
        <is>
          <t>MHE 2025 BOE – Owner actual P&amp;L</t>
        </is>
      </c>
      <c r="O24" s="452" t="inlineStr">
        <is>
          <t>2026-06-02</t>
        </is>
      </c>
      <c r="P24" s="453" t="inlineStr">
        <is>
          <t>Actual accrual 2023+2024; YOC 1999–2001</t>
        </is>
      </c>
      <c r="Q24" s="256">
        <f>IF(B24="","",IFERROR(INDEX(OCC_TABLE_DESC,MATCH(B24,OCC_TABLE_CODE,0)),"Unrecognized code"))</f>
        <v/>
      </c>
    </row>
    <row r="25" ht="25.5" customHeight="1" s="545">
      <c r="A25" s="454" t="inlineStr">
        <is>
          <t>P022</t>
        </is>
      </c>
      <c r="B25" s="449" t="n">
        <v>210</v>
      </c>
      <c r="C25" s="450" t="inlineStr">
        <is>
          <t>R0111559</t>
        </is>
      </c>
      <c r="D25" s="455" t="inlineStr">
        <is>
          <t>3590 N. Himalaya Rd (Bldg 6)</t>
        </is>
      </c>
      <c r="E25" s="454" t="inlineStr">
        <is>
          <t>Aurora</t>
        </is>
      </c>
      <c r="F25" s="454" t="inlineStr">
        <is>
          <t>CO</t>
        </is>
      </c>
      <c r="G25" s="454" t="inlineStr">
        <is>
          <t>Industrial</t>
        </is>
      </c>
      <c r="H25" s="455" t="inlineStr">
        <is>
          <t>Multi-Tenant Industrial/Flex NNN</t>
        </is>
      </c>
      <c r="I25" s="454" t="n"/>
      <c r="J25" s="454" t="n"/>
      <c r="K25" s="454" t="n"/>
      <c r="L25" s="454" t="inlineStr">
        <is>
          <t>R0111559</t>
        </is>
      </c>
      <c r="M25" s="454" t="n"/>
      <c r="N25" s="455" t="inlineStr">
        <is>
          <t>MHE 2025 BOE – Sterling actual P&amp;L</t>
        </is>
      </c>
      <c r="O25" s="454" t="inlineStr">
        <is>
          <t>2026-06-02</t>
        </is>
      </c>
      <c r="P25" s="455" t="inlineStr">
        <is>
          <t>2023 transitional (vacancy); 2024 new tenant in place; SF not confirmed</t>
        </is>
      </c>
      <c r="Q25" s="256">
        <f>IF(B25="","",IFERROR(INDEX(OCC_TABLE_DESC,MATCH(B25,OCC_TABLE_CODE,0)),"Unrecognized code"))</f>
        <v/>
      </c>
    </row>
    <row r="26" ht="25.5" customHeight="1" s="545">
      <c r="A26" s="452" t="inlineStr">
        <is>
          <t>P023</t>
        </is>
      </c>
      <c r="B26" s="449" t="n">
        <v>407</v>
      </c>
      <c r="C26" s="450" t="inlineStr">
        <is>
          <t>R0191098</t>
        </is>
      </c>
      <c r="D26" s="453" t="inlineStr">
        <is>
          <t>19754 E. 35th Dr (Bldg 4)</t>
        </is>
      </c>
      <c r="E26" s="452" t="inlineStr">
        <is>
          <t>Aurora</t>
        </is>
      </c>
      <c r="F26" s="452" t="inlineStr">
        <is>
          <t>CO</t>
        </is>
      </c>
      <c r="G26" s="452" t="inlineStr">
        <is>
          <t>Industrial</t>
        </is>
      </c>
      <c r="H26" s="453" t="inlineStr">
        <is>
          <t>Single-Tenant Industrial NNN</t>
        </is>
      </c>
      <c r="I26" s="452" t="n"/>
      <c r="J26" s="452" t="n">
        <v>155033</v>
      </c>
      <c r="K26" s="452" t="n"/>
      <c r="L26" s="452" t="inlineStr">
        <is>
          <t>R0191098</t>
        </is>
      </c>
      <c r="M26" s="452" t="n"/>
      <c r="N26" s="453" t="inlineStr">
        <is>
          <t>MHE 2025 BOE – Sterling actual P&amp;L</t>
        </is>
      </c>
      <c r="O26" s="452" t="inlineStr">
        <is>
          <t>2026-06-02</t>
        </is>
      </c>
      <c r="P26" s="453" t="inlineStr">
        <is>
          <t>Single-tenant NNN (Quality Custom Distribution); lease thru 12/31/2029</t>
        </is>
      </c>
      <c r="Q26" s="256">
        <f>IF(B26="","",IFERROR(INDEX(OCC_TABLE_DESC,MATCH(B26,OCC_TABLE_CODE,0)),"Unrecognized code"))</f>
        <v/>
      </c>
    </row>
    <row r="27" ht="25.5" customHeight="1" s="545">
      <c r="A27" s="454" t="inlineStr">
        <is>
          <t>P024</t>
        </is>
      </c>
      <c r="B27" s="449" t="n">
        <v>407</v>
      </c>
      <c r="C27" s="450" t="inlineStr">
        <is>
          <t>R0111560</t>
        </is>
      </c>
      <c r="D27" s="455" t="inlineStr">
        <is>
          <t>20320 E. 36th Dr (Bldg 7)</t>
        </is>
      </c>
      <c r="E27" s="454" t="inlineStr">
        <is>
          <t>Aurora</t>
        </is>
      </c>
      <c r="F27" s="454" t="inlineStr">
        <is>
          <t>CO</t>
        </is>
      </c>
      <c r="G27" s="454" t="inlineStr">
        <is>
          <t>Industrial</t>
        </is>
      </c>
      <c r="H27" s="455" t="inlineStr">
        <is>
          <t>Single-Tenant Industrial NNN</t>
        </is>
      </c>
      <c r="I27" s="454" t="n"/>
      <c r="J27" s="454" t="n">
        <v>200000</v>
      </c>
      <c r="K27" s="454" t="n"/>
      <c r="L27" s="454" t="inlineStr">
        <is>
          <t>R0111560</t>
        </is>
      </c>
      <c r="M27" s="454" t="n"/>
      <c r="N27" s="455" t="inlineStr">
        <is>
          <t>MHE 2025 BOE – Sterling actual P&amp;L</t>
        </is>
      </c>
      <c r="O27" s="454" t="inlineStr">
        <is>
          <t>2026-06-02</t>
        </is>
      </c>
      <c r="P27" s="455" t="inlineStr">
        <is>
          <t>FedEx NNN; lease expired 4/30/2024 – 2023 only usable</t>
        </is>
      </c>
      <c r="Q27" s="256">
        <f>IF(B27="","",IFERROR(INDEX(OCC_TABLE_DESC,MATCH(B27,OCC_TABLE_CODE,0)),"Unrecognized code"))</f>
        <v/>
      </c>
    </row>
    <row r="28" ht="12.75" customHeight="1" s="545">
      <c r="A28" s="452" t="inlineStr">
        <is>
          <t>P025</t>
        </is>
      </c>
      <c r="B28" s="449" t="n">
        <v>210</v>
      </c>
      <c r="C28" s="450" t="inlineStr">
        <is>
          <t>R0191099</t>
        </is>
      </c>
      <c r="D28" s="453" t="inlineStr">
        <is>
          <t>3559 N. Himalaya Rd (Bldg 5)</t>
        </is>
      </c>
      <c r="E28" s="452" t="inlineStr">
        <is>
          <t>Aurora</t>
        </is>
      </c>
      <c r="F28" s="452" t="inlineStr">
        <is>
          <t>CO</t>
        </is>
      </c>
      <c r="G28" s="452" t="inlineStr">
        <is>
          <t>Industrial</t>
        </is>
      </c>
      <c r="H28" s="453" t="inlineStr">
        <is>
          <t>Multi-Tenant Industrial NNN</t>
        </is>
      </c>
      <c r="I28" s="452" t="n"/>
      <c r="J28" s="452" t="n">
        <v>159047</v>
      </c>
      <c r="K28" s="452" t="n"/>
      <c r="L28" s="452" t="inlineStr">
        <is>
          <t>R0191099</t>
        </is>
      </c>
      <c r="M28" s="452" t="n"/>
      <c r="N28" s="453" t="inlineStr">
        <is>
          <t>MHE 2025 BOE – Sterling actual P&amp;L</t>
        </is>
      </c>
      <c r="O28" s="452" t="inlineStr">
        <is>
          <t>2026-06-02</t>
        </is>
      </c>
      <c r="P28" s="453" t="inlineStr">
        <is>
          <t>Multi-tenant NNN; 3 tenants; 2023+2024</t>
        </is>
      </c>
      <c r="Q28" s="256">
        <f>IF(B28="","",IFERROR(INDEX(OCC_TABLE_DESC,MATCH(B28,OCC_TABLE_CODE,0)),"Unrecognized code"))</f>
        <v/>
      </c>
    </row>
    <row r="29" ht="25.5" customHeight="1" s="545">
      <c r="A29" s="454" t="inlineStr">
        <is>
          <t>P026</t>
        </is>
      </c>
      <c r="B29" s="449" t="n">
        <v>406</v>
      </c>
      <c r="C29" s="450" t="inlineStr">
        <is>
          <t>R0092667</t>
        </is>
      </c>
      <c r="D29" s="455" t="inlineStr">
        <is>
          <t>4901 Locust St</t>
        </is>
      </c>
      <c r="E29" s="454" t="inlineStr">
        <is>
          <t>Commerce City</t>
        </is>
      </c>
      <c r="F29" s="454" t="inlineStr">
        <is>
          <t>CO</t>
        </is>
      </c>
      <c r="G29" s="454" t="inlineStr">
        <is>
          <t>Industrial</t>
        </is>
      </c>
      <c r="H29" s="455" t="inlineStr">
        <is>
          <t>Industrial Warehouse</t>
        </is>
      </c>
      <c r="I29" s="454" t="n"/>
      <c r="J29" s="454" t="n">
        <v>29512</v>
      </c>
      <c r="K29" s="454" t="n"/>
      <c r="L29" s="454" t="inlineStr">
        <is>
          <t>R0092667</t>
        </is>
      </c>
      <c r="M29" s="454" t="n"/>
      <c r="N29" s="455" t="inlineStr">
        <is>
          <t>MHE 2025 BOE – Newmark appraisal proforma</t>
        </is>
      </c>
      <c r="O29" s="454" t="inlineStr">
        <is>
          <t>2026-06-02</t>
        </is>
      </c>
      <c r="P29" s="455" t="inlineStr">
        <is>
          <t>Stabilized proforma; Newmark V&amp;A appraisal 6/30/2024</t>
        </is>
      </c>
      <c r="Q29" s="256">
        <f>IF(B29="","",IFERROR(INDEX(OCC_TABLE_DESC,MATCH(B29,OCC_TABLE_CODE,0)),"Unrecognized code"))</f>
        <v/>
      </c>
    </row>
    <row r="30" ht="12.75" customHeight="1" s="545">
      <c r="A30" s="452" t="inlineStr">
        <is>
          <t>P027</t>
        </is>
      </c>
      <c r="B30" s="449" t="n">
        <v>407</v>
      </c>
      <c r="C30" s="450" t="inlineStr">
        <is>
          <t>R0132030</t>
        </is>
      </c>
      <c r="D30" s="453" t="inlineStr">
        <is>
          <t>Majestic Commercenter (R0132030)</t>
        </is>
      </c>
      <c r="E30" s="452" t="inlineStr">
        <is>
          <t>Commerce City</t>
        </is>
      </c>
      <c r="F30" s="452" t="inlineStr">
        <is>
          <t>CO</t>
        </is>
      </c>
      <c r="G30" s="452" t="inlineStr">
        <is>
          <t>Industrial</t>
        </is>
      </c>
      <c r="H30" s="453" t="inlineStr">
        <is>
          <t>Warehouse NNN</t>
        </is>
      </c>
      <c r="I30" s="452" t="n">
        <v>2001</v>
      </c>
      <c r="J30" s="452" t="n">
        <v>200094</v>
      </c>
      <c r="K30" s="452" t="n"/>
      <c r="L30" s="452" t="inlineStr">
        <is>
          <t>R0132030</t>
        </is>
      </c>
      <c r="M30" s="452" t="n"/>
      <c r="N30" s="453" t="inlineStr">
        <is>
          <t>AXG – Whse Expenses PSF.xlsx</t>
        </is>
      </c>
      <c r="O30" s="452" t="inlineStr">
        <is>
          <t>2026-06-02</t>
        </is>
      </c>
      <c r="P30" s="453" t="inlineStr">
        <is>
          <t>NNN landlord expenses only; 2021–2022</t>
        </is>
      </c>
      <c r="Q30" s="256">
        <f>IF(B30="","",IFERROR(INDEX(OCC_TABLE_DESC,MATCH(B30,OCC_TABLE_CODE,0)),"Unrecognized code"))</f>
        <v/>
      </c>
    </row>
    <row r="31" ht="12.75" customHeight="1" s="545">
      <c r="A31" s="454" t="inlineStr">
        <is>
          <t>P028</t>
        </is>
      </c>
      <c r="B31" s="449" t="n">
        <v>407</v>
      </c>
      <c r="C31" s="450" t="inlineStr">
        <is>
          <t>R0084040</t>
        </is>
      </c>
      <c r="D31" s="455" t="inlineStr">
        <is>
          <t>Majestic Commercenter (R0084040)</t>
        </is>
      </c>
      <c r="E31" s="454" t="inlineStr">
        <is>
          <t>Commerce City</t>
        </is>
      </c>
      <c r="F31" s="454" t="inlineStr">
        <is>
          <t>CO</t>
        </is>
      </c>
      <c r="G31" s="454" t="inlineStr">
        <is>
          <t>Industrial</t>
        </is>
      </c>
      <c r="H31" s="455" t="inlineStr">
        <is>
          <t>Warehouse NNN</t>
        </is>
      </c>
      <c r="I31" s="454" t="n">
        <v>1997</v>
      </c>
      <c r="J31" s="454" t="n">
        <v>177736</v>
      </c>
      <c r="K31" s="454" t="n"/>
      <c r="L31" s="454" t="inlineStr">
        <is>
          <t>R0084040</t>
        </is>
      </c>
      <c r="M31" s="454" t="n"/>
      <c r="N31" s="455" t="inlineStr">
        <is>
          <t>AXG – Whse Expenses PSF.xlsx</t>
        </is>
      </c>
      <c r="O31" s="454" t="inlineStr">
        <is>
          <t>2026-06-02</t>
        </is>
      </c>
      <c r="P31" s="455" t="inlineStr">
        <is>
          <t>NNN landlord expenses only; 2021–2022</t>
        </is>
      </c>
      <c r="Q31" s="256">
        <f>IF(B31="","",IFERROR(INDEX(OCC_TABLE_DESC,MATCH(B31,OCC_TABLE_CODE,0)),"Unrecognized code"))</f>
        <v/>
      </c>
    </row>
    <row r="32" ht="12.75" customHeight="1" s="545">
      <c r="A32" s="452" t="inlineStr">
        <is>
          <t>P029</t>
        </is>
      </c>
      <c r="B32" s="449" t="n">
        <v>407</v>
      </c>
      <c r="C32" s="450" t="inlineStr">
        <is>
          <t>R0084041</t>
        </is>
      </c>
      <c r="D32" s="453" t="inlineStr">
        <is>
          <t>Majestic Commercenter (R0084041)</t>
        </is>
      </c>
      <c r="E32" s="452" t="inlineStr">
        <is>
          <t>Commerce City</t>
        </is>
      </c>
      <c r="F32" s="452" t="inlineStr">
        <is>
          <t>CO</t>
        </is>
      </c>
      <c r="G32" s="452" t="inlineStr">
        <is>
          <t>Industrial</t>
        </is>
      </c>
      <c r="H32" s="453" t="inlineStr">
        <is>
          <t>Warehouse NNN</t>
        </is>
      </c>
      <c r="I32" s="452" t="n">
        <v>1997</v>
      </c>
      <c r="J32" s="452" t="n">
        <v>200371</v>
      </c>
      <c r="K32" s="452" t="n"/>
      <c r="L32" s="452" t="inlineStr">
        <is>
          <t>R0084041</t>
        </is>
      </c>
      <c r="M32" s="452" t="n"/>
      <c r="N32" s="453" t="inlineStr">
        <is>
          <t>AXG – Whse Expenses PSF.xlsx</t>
        </is>
      </c>
      <c r="O32" s="452" t="inlineStr">
        <is>
          <t>2026-06-02</t>
        </is>
      </c>
      <c r="P32" s="453" t="inlineStr">
        <is>
          <t>NNN landlord expenses only; 2021–2022</t>
        </is>
      </c>
      <c r="Q32" s="256">
        <f>IF(B32="","",IFERROR(INDEX(OCC_TABLE_DESC,MATCH(B32,OCC_TABLE_CODE,0)),"Unrecognized code"))</f>
        <v/>
      </c>
    </row>
    <row r="33" ht="12.75" customHeight="1" s="545">
      <c r="A33" s="454" t="inlineStr">
        <is>
          <t>P030</t>
        </is>
      </c>
      <c r="B33" s="449" t="n">
        <v>584</v>
      </c>
      <c r="C33" s="450" t="inlineStr">
        <is>
          <t>R0217015</t>
        </is>
      </c>
      <c r="D33" s="455" t="inlineStr">
        <is>
          <t>Majestic Commercenter (R0217015)</t>
        </is>
      </c>
      <c r="E33" s="454" t="inlineStr">
        <is>
          <t>Commerce City</t>
        </is>
      </c>
      <c r="F33" s="454" t="inlineStr">
        <is>
          <t>CO</t>
        </is>
      </c>
      <c r="G33" s="454" t="inlineStr">
        <is>
          <t>Industrial</t>
        </is>
      </c>
      <c r="H33" s="455" t="inlineStr">
        <is>
          <t>Mega Warehouse NNN</t>
        </is>
      </c>
      <c r="I33" s="454" t="n">
        <v>2021</v>
      </c>
      <c r="J33" s="454" t="n">
        <v>548510</v>
      </c>
      <c r="K33" s="454" t="n"/>
      <c r="L33" s="454" t="inlineStr">
        <is>
          <t>R0217015</t>
        </is>
      </c>
      <c r="M33" s="454" t="n"/>
      <c r="N33" s="455" t="inlineStr">
        <is>
          <t>AXG – Whse Expenses PSF.xlsx</t>
        </is>
      </c>
      <c r="O33" s="454" t="inlineStr">
        <is>
          <t>2026-06-02</t>
        </is>
      </c>
      <c r="P33" s="455" t="inlineStr">
        <is>
          <t>NNN landlord expenses only; 2022 only</t>
        </is>
      </c>
      <c r="Q33" s="256">
        <f>IF(B33="","",IFERROR(INDEX(OCC_TABLE_DESC,MATCH(B33,OCC_TABLE_CODE,0)),"Unrecognized code"))</f>
        <v/>
      </c>
    </row>
    <row r="34" ht="12.75" customHeight="1" s="545">
      <c r="A34" s="452" t="inlineStr">
        <is>
          <t>P031</t>
        </is>
      </c>
      <c r="B34" s="449" t="n">
        <v>407</v>
      </c>
      <c r="C34" s="450" t="inlineStr">
        <is>
          <t>R0111562</t>
        </is>
      </c>
      <c r="D34" s="453" t="inlineStr">
        <is>
          <t>Majestic Commercenter (R0111562)</t>
        </is>
      </c>
      <c r="E34" s="452" t="inlineStr">
        <is>
          <t>Commerce City</t>
        </is>
      </c>
      <c r="F34" s="452" t="inlineStr">
        <is>
          <t>CO</t>
        </is>
      </c>
      <c r="G34" s="452" t="inlineStr">
        <is>
          <t>Industrial</t>
        </is>
      </c>
      <c r="H34" s="453" t="inlineStr">
        <is>
          <t>Warehouse NNN</t>
        </is>
      </c>
      <c r="I34" s="452" t="n">
        <v>2000</v>
      </c>
      <c r="J34" s="452" t="n">
        <v>149175</v>
      </c>
      <c r="K34" s="452" t="n"/>
      <c r="L34" s="452" t="inlineStr">
        <is>
          <t>R0111562</t>
        </is>
      </c>
      <c r="M34" s="452" t="n"/>
      <c r="N34" s="453" t="inlineStr">
        <is>
          <t>AXG – Whse Expenses PSF.xlsx</t>
        </is>
      </c>
      <c r="O34" s="452" t="inlineStr">
        <is>
          <t>2026-06-02</t>
        </is>
      </c>
      <c r="P34" s="453" t="inlineStr">
        <is>
          <t>NNN landlord expenses only; 2019–2020</t>
        </is>
      </c>
      <c r="Q34" s="256">
        <f>IF(B34="","",IFERROR(INDEX(OCC_TABLE_DESC,MATCH(B34,OCC_TABLE_CODE,0)),"Unrecognized code"))</f>
        <v/>
      </c>
    </row>
    <row r="35" ht="12.75" customHeight="1" s="545">
      <c r="A35" s="454" t="inlineStr">
        <is>
          <t>P032</t>
        </is>
      </c>
      <c r="B35" s="449" t="n">
        <v>407</v>
      </c>
      <c r="C35" s="450" t="inlineStr">
        <is>
          <t>R0118875</t>
        </is>
      </c>
      <c r="D35" s="455" t="inlineStr">
        <is>
          <t>Majestic Commercenter (R0118875)</t>
        </is>
      </c>
      <c r="E35" s="454" t="inlineStr">
        <is>
          <t>Commerce City</t>
        </is>
      </c>
      <c r="F35" s="454" t="inlineStr">
        <is>
          <t>CO</t>
        </is>
      </c>
      <c r="G35" s="454" t="inlineStr">
        <is>
          <t>Industrial</t>
        </is>
      </c>
      <c r="H35" s="455" t="inlineStr">
        <is>
          <t>Warehouse NNN</t>
        </is>
      </c>
      <c r="I35" s="454" t="n">
        <v>1999</v>
      </c>
      <c r="J35" s="454" t="n">
        <v>279640</v>
      </c>
      <c r="K35" s="454" t="n"/>
      <c r="L35" s="454" t="inlineStr">
        <is>
          <t>R0118875</t>
        </is>
      </c>
      <c r="M35" s="454" t="n"/>
      <c r="N35" s="455" t="inlineStr">
        <is>
          <t>AXG – Whse Expenses PSF.xlsx</t>
        </is>
      </c>
      <c r="O35" s="454" t="inlineStr">
        <is>
          <t>2026-06-02</t>
        </is>
      </c>
      <c r="P35" s="455" t="inlineStr">
        <is>
          <t>NNN landlord expenses only; 2021–2022</t>
        </is>
      </c>
      <c r="Q35" s="256">
        <f>IF(B35="","",IFERROR(INDEX(OCC_TABLE_DESC,MATCH(B35,OCC_TABLE_CODE,0)),"Unrecognized code"))</f>
        <v/>
      </c>
    </row>
    <row r="36" ht="12.75" customHeight="1" s="545">
      <c r="A36" s="452" t="inlineStr">
        <is>
          <t>P033</t>
        </is>
      </c>
      <c r="B36" s="449" t="n">
        <v>407</v>
      </c>
      <c r="C36" s="450" t="inlineStr">
        <is>
          <t>R0132031</t>
        </is>
      </c>
      <c r="D36" s="453" t="inlineStr">
        <is>
          <t>Majestic Commercenter (R0132031)</t>
        </is>
      </c>
      <c r="E36" s="452" t="inlineStr">
        <is>
          <t>Commerce City</t>
        </is>
      </c>
      <c r="F36" s="452" t="inlineStr">
        <is>
          <t>CO</t>
        </is>
      </c>
      <c r="G36" s="452" t="inlineStr">
        <is>
          <t>Industrial</t>
        </is>
      </c>
      <c r="H36" s="453" t="inlineStr">
        <is>
          <t>Warehouse NNN</t>
        </is>
      </c>
      <c r="I36" s="452" t="n">
        <v>2002</v>
      </c>
      <c r="J36" s="452" t="n">
        <v>280098</v>
      </c>
      <c r="K36" s="452" t="n"/>
      <c r="L36" s="452" t="inlineStr">
        <is>
          <t>R0132031</t>
        </is>
      </c>
      <c r="M36" s="452" t="n"/>
      <c r="N36" s="453" t="inlineStr">
        <is>
          <t>AXG – Whse Expenses PSF.xlsx</t>
        </is>
      </c>
      <c r="O36" s="452" t="inlineStr">
        <is>
          <t>2026-06-02</t>
        </is>
      </c>
      <c r="P36" s="453" t="inlineStr">
        <is>
          <t>NNN landlord expenses only; 2021–2022</t>
        </is>
      </c>
      <c r="Q36" s="256">
        <f>IF(B36="","",IFERROR(INDEX(OCC_TABLE_DESC,MATCH(B36,OCC_TABLE_CODE,0)),"Unrecognized code"))</f>
        <v/>
      </c>
    </row>
    <row r="37" ht="12.75" customHeight="1" s="545">
      <c r="A37" s="454" t="inlineStr">
        <is>
          <t>P034</t>
        </is>
      </c>
      <c r="B37" s="449" t="n">
        <v>407</v>
      </c>
      <c r="C37" s="450" t="inlineStr">
        <is>
          <t>R0172865</t>
        </is>
      </c>
      <c r="D37" s="455" t="inlineStr">
        <is>
          <t>Majestic Commercenter (R0172865)</t>
        </is>
      </c>
      <c r="E37" s="454" t="inlineStr">
        <is>
          <t>Commerce City</t>
        </is>
      </c>
      <c r="F37" s="454" t="inlineStr">
        <is>
          <t>CO</t>
        </is>
      </c>
      <c r="G37" s="454" t="inlineStr">
        <is>
          <t>Industrial</t>
        </is>
      </c>
      <c r="H37" s="455" t="inlineStr">
        <is>
          <t>Warehouse NNN</t>
        </is>
      </c>
      <c r="I37" s="454" t="n">
        <v>2008</v>
      </c>
      <c r="J37" s="454" t="n">
        <v>215461</v>
      </c>
      <c r="K37" s="454" t="n"/>
      <c r="L37" s="454" t="inlineStr">
        <is>
          <t>R0172865</t>
        </is>
      </c>
      <c r="M37" s="454" t="n"/>
      <c r="N37" s="455" t="inlineStr">
        <is>
          <t>AXG – Whse Expenses PSF.xlsx</t>
        </is>
      </c>
      <c r="O37" s="454" t="inlineStr">
        <is>
          <t>2026-06-02</t>
        </is>
      </c>
      <c r="P37" s="455" t="inlineStr">
        <is>
          <t>NNN landlord expenses only; 2021–2022</t>
        </is>
      </c>
      <c r="Q37" s="256">
        <f>IF(B37="","",IFERROR(INDEX(OCC_TABLE_DESC,MATCH(B37,OCC_TABLE_CODE,0)),"Unrecognized code"))</f>
        <v/>
      </c>
    </row>
    <row r="38" ht="12.75" customHeight="1" s="545">
      <c r="A38" s="452" t="inlineStr">
        <is>
          <t>P035</t>
        </is>
      </c>
      <c r="B38" s="449" t="n">
        <v>407</v>
      </c>
      <c r="C38" s="450" t="inlineStr">
        <is>
          <t>R0172867</t>
        </is>
      </c>
      <c r="D38" s="453" t="inlineStr">
        <is>
          <t>Majestic Commercenter (R0172867)</t>
        </is>
      </c>
      <c r="E38" s="452" t="inlineStr">
        <is>
          <t>Commerce City</t>
        </is>
      </c>
      <c r="F38" s="452" t="inlineStr">
        <is>
          <t>CO</t>
        </is>
      </c>
      <c r="G38" s="452" t="inlineStr">
        <is>
          <t>Industrial</t>
        </is>
      </c>
      <c r="H38" s="453" t="inlineStr">
        <is>
          <t>Warehouse NNN</t>
        </is>
      </c>
      <c r="I38" s="452" t="n">
        <v>2007</v>
      </c>
      <c r="J38" s="452" t="n">
        <v>215560</v>
      </c>
      <c r="K38" s="452" t="n"/>
      <c r="L38" s="452" t="inlineStr">
        <is>
          <t>R0172867</t>
        </is>
      </c>
      <c r="M38" s="452" t="n"/>
      <c r="N38" s="453" t="inlineStr">
        <is>
          <t>AXG – Whse Expenses PSF.xlsx</t>
        </is>
      </c>
      <c r="O38" s="452" t="inlineStr">
        <is>
          <t>2026-06-02</t>
        </is>
      </c>
      <c r="P38" s="453" t="inlineStr">
        <is>
          <t>NNN landlord expenses only; 2021–2022</t>
        </is>
      </c>
      <c r="Q38" s="256">
        <f>IF(B38="","",IFERROR(INDEX(OCC_TABLE_DESC,MATCH(B38,OCC_TABLE_CODE,0)),"Unrecognized code"))</f>
        <v/>
      </c>
    </row>
    <row r="39" ht="12.75" customHeight="1" s="545">
      <c r="A39" s="454" t="inlineStr">
        <is>
          <t>P036</t>
        </is>
      </c>
      <c r="B39" s="449" t="n">
        <v>407</v>
      </c>
      <c r="C39" s="450" t="inlineStr">
        <is>
          <t>R0172868</t>
        </is>
      </c>
      <c r="D39" s="455" t="inlineStr">
        <is>
          <t>Majestic Commercenter (R0172868)</t>
        </is>
      </c>
      <c r="E39" s="454" t="inlineStr">
        <is>
          <t>Commerce City</t>
        </is>
      </c>
      <c r="F39" s="454" t="inlineStr">
        <is>
          <t>CO</t>
        </is>
      </c>
      <c r="G39" s="454" t="inlineStr">
        <is>
          <t>Industrial</t>
        </is>
      </c>
      <c r="H39" s="455" t="inlineStr">
        <is>
          <t>Warehouse NNN</t>
        </is>
      </c>
      <c r="I39" s="454" t="n">
        <v>2007</v>
      </c>
      <c r="J39" s="454" t="n">
        <v>202091</v>
      </c>
      <c r="K39" s="454" t="n"/>
      <c r="L39" s="454" t="inlineStr">
        <is>
          <t>R0172868</t>
        </is>
      </c>
      <c r="M39" s="454" t="n"/>
      <c r="N39" s="455" t="inlineStr">
        <is>
          <t>AXG – Whse Expenses PSF.xlsx</t>
        </is>
      </c>
      <c r="O39" s="454" t="inlineStr">
        <is>
          <t>2026-06-02</t>
        </is>
      </c>
      <c r="P39" s="455" t="inlineStr">
        <is>
          <t>NNN landlord expenses only; 2021–2022</t>
        </is>
      </c>
      <c r="Q39" s="256">
        <f>IF(B39="","",IFERROR(INDEX(OCC_TABLE_DESC,MATCH(B39,OCC_TABLE_CODE,0)),"Unrecognized code"))</f>
        <v/>
      </c>
    </row>
    <row r="40" ht="12.75" customHeight="1" s="545">
      <c r="A40" s="452" t="inlineStr">
        <is>
          <t>P037</t>
        </is>
      </c>
      <c r="B40" s="449" t="n">
        <v>407</v>
      </c>
      <c r="C40" s="450" t="inlineStr">
        <is>
          <t>R0145680</t>
        </is>
      </c>
      <c r="D40" s="453" t="inlineStr">
        <is>
          <t>Majestic Commercenter (R0145680)</t>
        </is>
      </c>
      <c r="E40" s="452" t="inlineStr">
        <is>
          <t>Commerce City</t>
        </is>
      </c>
      <c r="F40" s="452" t="inlineStr">
        <is>
          <t>CO</t>
        </is>
      </c>
      <c r="G40" s="452" t="inlineStr">
        <is>
          <t>Industrial</t>
        </is>
      </c>
      <c r="H40" s="453" t="inlineStr">
        <is>
          <t>Warehouse NNN</t>
        </is>
      </c>
      <c r="I40" s="452" t="n">
        <v>2001</v>
      </c>
      <c r="J40" s="452" t="n">
        <v>150027</v>
      </c>
      <c r="K40" s="452" t="n"/>
      <c r="L40" s="452" t="inlineStr">
        <is>
          <t>R0145680</t>
        </is>
      </c>
      <c r="M40" s="452" t="n"/>
      <c r="N40" s="453" t="inlineStr">
        <is>
          <t>AXG – Whse Expenses PSF.xlsx</t>
        </is>
      </c>
      <c r="O40" s="452" t="inlineStr">
        <is>
          <t>2026-06-02</t>
        </is>
      </c>
      <c r="P40" s="453" t="inlineStr">
        <is>
          <t>NNN landlord expenses only; 2021–2022</t>
        </is>
      </c>
      <c r="Q40" s="256">
        <f>IF(B40="","",IFERROR(INDEX(OCC_TABLE_DESC,MATCH(B40,OCC_TABLE_CODE,0)),"Unrecognized code"))</f>
        <v/>
      </c>
    </row>
    <row r="41" ht="12.75" customHeight="1" s="545">
      <c r="A41" s="454" t="inlineStr">
        <is>
          <t>P038</t>
        </is>
      </c>
      <c r="B41" s="449" t="n">
        <v>584</v>
      </c>
      <c r="C41" s="450" t="inlineStr">
        <is>
          <t>R0181787</t>
        </is>
      </c>
      <c r="D41" s="455" t="inlineStr">
        <is>
          <t>Majestic Commercenter (R0181787)</t>
        </is>
      </c>
      <c r="E41" s="454" t="inlineStr">
        <is>
          <t>Commerce City</t>
        </is>
      </c>
      <c r="F41" s="454" t="inlineStr">
        <is>
          <t>CO</t>
        </is>
      </c>
      <c r="G41" s="454" t="inlineStr">
        <is>
          <t>Industrial</t>
        </is>
      </c>
      <c r="H41" s="455" t="inlineStr">
        <is>
          <t>Mega Warehouse NNN</t>
        </is>
      </c>
      <c r="I41" s="454" t="n">
        <v>2013</v>
      </c>
      <c r="J41" s="454" t="n">
        <v>500358</v>
      </c>
      <c r="K41" s="454" t="n"/>
      <c r="L41" s="454" t="inlineStr">
        <is>
          <t>R0181787</t>
        </is>
      </c>
      <c r="M41" s="454" t="n"/>
      <c r="N41" s="455" t="inlineStr">
        <is>
          <t>AXG – Whse Expenses PSF.xlsx</t>
        </is>
      </c>
      <c r="O41" s="454" t="inlineStr">
        <is>
          <t>2026-06-02</t>
        </is>
      </c>
      <c r="P41" s="455" t="inlineStr">
        <is>
          <t>NNN landlord expenses only; 2021–2022</t>
        </is>
      </c>
      <c r="Q41" s="256">
        <f>IF(B41="","",IFERROR(INDEX(OCC_TABLE_DESC,MATCH(B41,OCC_TABLE_CODE,0)),"Unrecognized code"))</f>
        <v/>
      </c>
    </row>
    <row r="42" ht="12.75" customHeight="1" s="545">
      <c r="A42" s="452" t="inlineStr">
        <is>
          <t>P039</t>
        </is>
      </c>
      <c r="B42" s="449" t="n">
        <v>584</v>
      </c>
      <c r="C42" s="450" t="inlineStr">
        <is>
          <t>R0191101</t>
        </is>
      </c>
      <c r="D42" s="453" t="inlineStr">
        <is>
          <t>Majestic Commercenter (R0191101)</t>
        </is>
      </c>
      <c r="E42" s="452" t="inlineStr">
        <is>
          <t>Commerce City</t>
        </is>
      </c>
      <c r="F42" s="452" t="inlineStr">
        <is>
          <t>CO</t>
        </is>
      </c>
      <c r="G42" s="452" t="inlineStr">
        <is>
          <t>Industrial</t>
        </is>
      </c>
      <c r="H42" s="453" t="inlineStr">
        <is>
          <t>Mega Warehouse NNN</t>
        </is>
      </c>
      <c r="I42" s="452" t="n">
        <v>2017</v>
      </c>
      <c r="J42" s="452" t="n">
        <v>522120</v>
      </c>
      <c r="K42" s="452" t="n"/>
      <c r="L42" s="452" t="inlineStr">
        <is>
          <t>R0191101</t>
        </is>
      </c>
      <c r="M42" s="452" t="n"/>
      <c r="N42" s="453" t="inlineStr">
        <is>
          <t>AXG – Whse Expenses PSF.xlsx</t>
        </is>
      </c>
      <c r="O42" s="452" t="inlineStr">
        <is>
          <t>2026-06-02</t>
        </is>
      </c>
      <c r="P42" s="453" t="inlineStr">
        <is>
          <t>NNN landlord expenses only; 2021–2022</t>
        </is>
      </c>
      <c r="Q42" s="256">
        <f>IF(B42="","",IFERROR(INDEX(OCC_TABLE_DESC,MATCH(B42,OCC_TABLE_CODE,0)),"Unrecognized code"))</f>
        <v/>
      </c>
    </row>
    <row r="43" ht="12.75" customHeight="1" s="545">
      <c r="A43" s="454" t="inlineStr">
        <is>
          <t>P040</t>
        </is>
      </c>
      <c r="B43" s="449" t="n">
        <v>407</v>
      </c>
      <c r="C43" s="450" t="inlineStr">
        <is>
          <t>R0202874</t>
        </is>
      </c>
      <c r="D43" s="455" t="inlineStr">
        <is>
          <t>900 E 128th Ave</t>
        </is>
      </c>
      <c r="E43" s="454" t="inlineStr">
        <is>
          <t>Henderson</t>
        </is>
      </c>
      <c r="F43" s="454" t="inlineStr">
        <is>
          <t>CO</t>
        </is>
      </c>
      <c r="G43" s="454" t="inlineStr">
        <is>
          <t>Industrial</t>
        </is>
      </c>
      <c r="H43" s="455" t="inlineStr">
        <is>
          <t>Last-Mile Distribution NNN</t>
        </is>
      </c>
      <c r="I43" s="454" t="n"/>
      <c r="J43" s="454" t="n"/>
      <c r="K43" s="454" t="n"/>
      <c r="L43" s="454" t="inlineStr">
        <is>
          <t>R0202874</t>
        </is>
      </c>
      <c r="M43" s="454" t="inlineStr">
        <is>
          <t>Amazon</t>
        </is>
      </c>
      <c r="N43" s="455" t="inlineStr">
        <is>
          <t>AXG – Owner Income Statement 2021–2022</t>
        </is>
      </c>
      <c r="O43" s="454" t="inlineStr">
        <is>
          <t>2026-06-02</t>
        </is>
      </c>
      <c r="P43" s="455" t="inlineStr">
        <is>
          <t>Amazon AMZL Last Mile Site 51812; SF not extracted</t>
        </is>
      </c>
      <c r="Q43" s="256">
        <f>IF(B43="","",IFERROR(INDEX(OCC_TABLE_DESC,MATCH(B43,OCC_TABLE_CODE,0)),"Unrecognized code"))</f>
        <v/>
      </c>
    </row>
    <row r="44" ht="12.75" customHeight="1" s="545">
      <c r="A44" s="452" t="inlineStr">
        <is>
          <t>P041</t>
        </is>
      </c>
      <c r="B44" s="449" t="n">
        <v>386</v>
      </c>
      <c r="C44" s="450" t="inlineStr">
        <is>
          <t>R0189384</t>
        </is>
      </c>
      <c r="D44" s="453" t="inlineStr">
        <is>
          <t>1101 Colorado Blvd</t>
        </is>
      </c>
      <c r="E44" s="452" t="inlineStr">
        <is>
          <t>Thornton</t>
        </is>
      </c>
      <c r="F44" s="452" t="inlineStr">
        <is>
          <t>CO</t>
        </is>
      </c>
      <c r="G44" s="452" t="inlineStr">
        <is>
          <t>Self-Storage</t>
        </is>
      </c>
      <c r="H44" s="453" t="inlineStr">
        <is>
          <t>Climate-Controlled</t>
        </is>
      </c>
      <c r="I44" s="452" t="n"/>
      <c r="J44" s="452" t="n">
        <v>65766</v>
      </c>
      <c r="K44" s="452" t="n"/>
      <c r="L44" s="452" t="inlineStr">
        <is>
          <t>R0189384</t>
        </is>
      </c>
      <c r="M44" s="452" t="n"/>
      <c r="N44" s="453" t="inlineStr">
        <is>
          <t>AXG – Carlson SS Portfolio P&amp;L</t>
        </is>
      </c>
      <c r="O44" s="452" t="inlineStr">
        <is>
          <t>2026-06-02</t>
        </is>
      </c>
      <c r="P44" s="453" t="inlineStr">
        <is>
          <t>Actual FY2021–2023; 101.5% occ Q4 2023</t>
        </is>
      </c>
      <c r="Q44" s="256">
        <f>IF(B44="","",IFERROR(INDEX(OCC_TABLE_DESC,MATCH(B44,OCC_TABLE_CODE,0)),"Unrecognized code"))</f>
        <v/>
      </c>
    </row>
    <row r="45" ht="12.75" customHeight="1" s="545">
      <c r="A45" s="454" t="inlineStr">
        <is>
          <t>P042</t>
        </is>
      </c>
      <c r="B45" s="449" t="n">
        <v>386</v>
      </c>
      <c r="C45" s="450" t="inlineStr">
        <is>
          <t>R0126235</t>
        </is>
      </c>
      <c r="D45" s="455" t="inlineStr">
        <is>
          <t>15024 Laroy Drive</t>
        </is>
      </c>
      <c r="E45" s="454" t="inlineStr">
        <is>
          <t>Northglenn</t>
        </is>
      </c>
      <c r="F45" s="454" t="inlineStr">
        <is>
          <t>CO</t>
        </is>
      </c>
      <c r="G45" s="454" t="inlineStr">
        <is>
          <t>Self-Storage</t>
        </is>
      </c>
      <c r="H45" s="455" t="inlineStr">
        <is>
          <t>Climate-Controlled</t>
        </is>
      </c>
      <c r="I45" s="454" t="n"/>
      <c r="J45" s="454" t="n">
        <v>79950</v>
      </c>
      <c r="K45" s="454" t="n"/>
      <c r="L45" s="454" t="inlineStr">
        <is>
          <t>R0126235</t>
        </is>
      </c>
      <c r="M45" s="454" t="n"/>
      <c r="N45" s="455" t="inlineStr">
        <is>
          <t>AXG – Carlson SS Portfolio P&amp;L</t>
        </is>
      </c>
      <c r="O45" s="454" t="inlineStr">
        <is>
          <t>2026-06-02</t>
        </is>
      </c>
      <c r="P45" s="455" t="inlineStr">
        <is>
          <t>Actual FY2021–2023; 91.4% occ Dec 2023</t>
        </is>
      </c>
      <c r="Q45" s="256">
        <f>IF(B45="","",IFERROR(INDEX(OCC_TABLE_DESC,MATCH(B45,OCC_TABLE_CODE,0)),"Unrecognized code"))</f>
        <v/>
      </c>
    </row>
    <row r="46" ht="12.75" customHeight="1" s="545">
      <c r="A46" s="452" t="inlineStr">
        <is>
          <t>P043</t>
        </is>
      </c>
      <c r="B46" s="449" t="n">
        <v>386</v>
      </c>
      <c r="C46" s="450" t="inlineStr">
        <is>
          <t>R0126234</t>
        </is>
      </c>
      <c r="D46" s="453" t="inlineStr">
        <is>
          <t>715 W 112th Ave</t>
        </is>
      </c>
      <c r="E46" s="452" t="inlineStr">
        <is>
          <t>Northglenn</t>
        </is>
      </c>
      <c r="F46" s="452" t="inlineStr">
        <is>
          <t>CO</t>
        </is>
      </c>
      <c r="G46" s="452" t="inlineStr">
        <is>
          <t>Self-Storage</t>
        </is>
      </c>
      <c r="H46" s="453" t="inlineStr">
        <is>
          <t>Drive-Up/Drop-Off</t>
        </is>
      </c>
      <c r="I46" s="452" t="n"/>
      <c r="J46" s="452" t="n">
        <v>83756</v>
      </c>
      <c r="K46" s="452" t="n"/>
      <c r="L46" s="452" t="inlineStr">
        <is>
          <t>R0126234</t>
        </is>
      </c>
      <c r="M46" s="452" t="n"/>
      <c r="N46" s="453" t="inlineStr">
        <is>
          <t>AXG – Carlson SS Portfolio P&amp;L</t>
        </is>
      </c>
      <c r="O46" s="452" t="inlineStr">
        <is>
          <t>2026-06-02</t>
        </is>
      </c>
      <c r="P46" s="453" t="inlineStr">
        <is>
          <t>Actual FY2021–2023</t>
        </is>
      </c>
      <c r="Q46" s="256">
        <f>IF(B46="","",IFERROR(INDEX(OCC_TABLE_DESC,MATCH(B46,OCC_TABLE_CODE,0)),"Unrecognized code"))</f>
        <v/>
      </c>
    </row>
    <row r="47" ht="12.75" customHeight="1" s="545">
      <c r="A47" s="454" t="inlineStr">
        <is>
          <t>P044</t>
        </is>
      </c>
      <c r="B47" s="449" t="n">
        <v>386</v>
      </c>
      <c r="C47" s="450" t="inlineStr">
        <is>
          <t>R0027089/R0178319</t>
        </is>
      </c>
      <c r="D47" s="455" t="inlineStr">
        <is>
          <t>2290 E 120th Ave</t>
        </is>
      </c>
      <c r="E47" s="454" t="inlineStr">
        <is>
          <t>Thornton</t>
        </is>
      </c>
      <c r="F47" s="454" t="inlineStr">
        <is>
          <t>CO</t>
        </is>
      </c>
      <c r="G47" s="454" t="inlineStr">
        <is>
          <t>Self-Storage</t>
        </is>
      </c>
      <c r="H47" s="455" t="inlineStr">
        <is>
          <t>Drive-Up/Drop-Off</t>
        </is>
      </c>
      <c r="I47" s="454" t="n"/>
      <c r="J47" s="454" t="n">
        <v>71909</v>
      </c>
      <c r="K47" s="454" t="n"/>
      <c r="L47" s="454" t="inlineStr">
        <is>
          <t>R0027089/R0178319</t>
        </is>
      </c>
      <c r="M47" s="454" t="n"/>
      <c r="N47" s="455" t="inlineStr">
        <is>
          <t>AXG – Carlson SS Portfolio P&amp;L</t>
        </is>
      </c>
      <c r="O47" s="454" t="inlineStr">
        <is>
          <t>2026-06-02</t>
        </is>
      </c>
      <c r="P47" s="455" t="inlineStr">
        <is>
          <t>Combined parcel FY2021–2023; 88.2% occ Dec 2023</t>
        </is>
      </c>
      <c r="Q47" s="256">
        <f>IF(B47="","",IFERROR(INDEX(OCC_TABLE_DESC,MATCH(B47,OCC_TABLE_CODE,0)),"Unrecognized code"))</f>
        <v/>
      </c>
    </row>
    <row r="48" ht="12.75" customHeight="1" s="545">
      <c r="A48" s="452" t="inlineStr">
        <is>
          <t>P045</t>
        </is>
      </c>
      <c r="B48" s="449" t="n">
        <v>386</v>
      </c>
      <c r="C48" s="450" t="inlineStr">
        <is>
          <t>R0043569</t>
        </is>
      </c>
      <c r="D48" s="453" t="inlineStr">
        <is>
          <t>40131 Quivas St (104th &amp; Quivas)</t>
        </is>
      </c>
      <c r="E48" s="452" t="inlineStr">
        <is>
          <t>Thornton</t>
        </is>
      </c>
      <c r="F48" s="452" t="inlineStr">
        <is>
          <t>CO</t>
        </is>
      </c>
      <c r="G48" s="452" t="inlineStr">
        <is>
          <t>Self-Storage</t>
        </is>
      </c>
      <c r="H48" s="453" t="inlineStr">
        <is>
          <t>Drive-Up/Drop-Off</t>
        </is>
      </c>
      <c r="I48" s="452" t="n"/>
      <c r="J48" s="452" t="n">
        <v>41900</v>
      </c>
      <c r="K48" s="452" t="n"/>
      <c r="L48" s="452" t="inlineStr">
        <is>
          <t>R0043569</t>
        </is>
      </c>
      <c r="M48" s="452" t="n"/>
      <c r="N48" s="453" t="inlineStr">
        <is>
          <t>AXG – SS Expense Matrix + FY2024 P&amp;L</t>
        </is>
      </c>
      <c r="O48" s="452" t="inlineStr">
        <is>
          <t>2026-06-02</t>
        </is>
      </c>
      <c r="P48" s="453" t="inlineStr">
        <is>
          <t>Actual FY2024 monthly P&amp;L + expense matrix</t>
        </is>
      </c>
      <c r="Q48" s="256">
        <f>IF(B48="","",IFERROR(INDEX(OCC_TABLE_DESC,MATCH(B48,OCC_TABLE_CODE,0)),"Unrecognized code"))</f>
        <v/>
      </c>
    </row>
    <row r="49" ht="12.75" customHeight="1" s="545">
      <c r="A49" s="454" t="inlineStr">
        <is>
          <t>P046</t>
        </is>
      </c>
      <c r="B49" s="449" t="n">
        <v>386</v>
      </c>
      <c r="C49" s="450" t="inlineStr">
        <is>
          <t>R0193009</t>
        </is>
      </c>
      <c r="D49" s="455" t="inlineStr">
        <is>
          <t>Address unknown – see R0193009</t>
        </is>
      </c>
      <c r="E49" s="454" t="inlineStr">
        <is>
          <t>Adams County</t>
        </is>
      </c>
      <c r="F49" s="454" t="inlineStr">
        <is>
          <t>CO</t>
        </is>
      </c>
      <c r="G49" s="454" t="inlineStr">
        <is>
          <t>Self-Storage</t>
        </is>
      </c>
      <c r="H49" s="455" t="inlineStr">
        <is>
          <t>Climate-Controlled</t>
        </is>
      </c>
      <c r="I49" s="454" t="n"/>
      <c r="J49" s="454" t="n">
        <v>94736</v>
      </c>
      <c r="K49" s="454" t="n"/>
      <c r="L49" s="454" t="inlineStr">
        <is>
          <t>R0193009</t>
        </is>
      </c>
      <c r="M49" s="454" t="n"/>
      <c r="N49" s="455" t="inlineStr">
        <is>
          <t>AXG – SS Expense Matrix</t>
        </is>
      </c>
      <c r="O49" s="454" t="inlineStr">
        <is>
          <t>2026-06-02</t>
        </is>
      </c>
      <c r="P49" s="455" t="inlineStr">
        <is>
          <t>Expense matrix data; EGI $1,582,087</t>
        </is>
      </c>
      <c r="Q49" s="256">
        <f>IF(B49="","",IFERROR(INDEX(OCC_TABLE_DESC,MATCH(B49,OCC_TABLE_CODE,0)),"Unrecognized code"))</f>
        <v/>
      </c>
    </row>
    <row r="50" ht="12.75" customHeight="1" s="545">
      <c r="A50" s="452" t="inlineStr">
        <is>
          <t>P047</t>
        </is>
      </c>
      <c r="B50" s="449" t="n">
        <v>386</v>
      </c>
      <c r="C50" s="450" t="inlineStr">
        <is>
          <t>R0099616</t>
        </is>
      </c>
      <c r="D50" s="453" t="inlineStr">
        <is>
          <t>Address unknown – see R0099616</t>
        </is>
      </c>
      <c r="E50" s="452" t="inlineStr">
        <is>
          <t>Adams County</t>
        </is>
      </c>
      <c r="F50" s="452" t="inlineStr">
        <is>
          <t>CO</t>
        </is>
      </c>
      <c r="G50" s="452" t="inlineStr">
        <is>
          <t>Self-Storage</t>
        </is>
      </c>
      <c r="H50" s="453" t="inlineStr">
        <is>
          <t>Drive-Up/Drop-Off</t>
        </is>
      </c>
      <c r="I50" s="452" t="n"/>
      <c r="J50" s="452" t="n">
        <v>73500</v>
      </c>
      <c r="K50" s="452" t="n"/>
      <c r="L50" s="452" t="inlineStr">
        <is>
          <t>R0099616</t>
        </is>
      </c>
      <c r="M50" s="452" t="n"/>
      <c r="N50" s="453" t="inlineStr">
        <is>
          <t>AXG – SS Expense Matrix</t>
        </is>
      </c>
      <c r="O50" s="452" t="inlineStr">
        <is>
          <t>2026-06-02</t>
        </is>
      </c>
      <c r="P50" s="453" t="inlineStr">
        <is>
          <t>Expense matrix data; EGI $834,358</t>
        </is>
      </c>
      <c r="Q50" s="256">
        <f>IF(B50="","",IFERROR(INDEX(OCC_TABLE_DESC,MATCH(B50,OCC_TABLE_CODE,0)),"Unrecognized code"))</f>
        <v/>
      </c>
    </row>
    <row r="51" ht="12.75" customHeight="1" s="545">
      <c r="A51" s="454" t="inlineStr">
        <is>
          <t>P048</t>
        </is>
      </c>
      <c r="B51" s="449" t="n">
        <v>386</v>
      </c>
      <c r="C51" s="450" t="inlineStr">
        <is>
          <t>R0098019</t>
        </is>
      </c>
      <c r="D51" s="455" t="inlineStr">
        <is>
          <t>Address unknown – see R0098019</t>
        </is>
      </c>
      <c r="E51" s="454" t="inlineStr">
        <is>
          <t>Adams County</t>
        </is>
      </c>
      <c r="F51" s="454" t="inlineStr">
        <is>
          <t>CO</t>
        </is>
      </c>
      <c r="G51" s="454" t="inlineStr">
        <is>
          <t>Self-Storage</t>
        </is>
      </c>
      <c r="H51" s="455" t="inlineStr">
        <is>
          <t>Drive-Up/Drop-Off</t>
        </is>
      </c>
      <c r="I51" s="454" t="n"/>
      <c r="J51" s="454" t="n">
        <v>44975</v>
      </c>
      <c r="K51" s="454" t="n"/>
      <c r="L51" s="454" t="inlineStr">
        <is>
          <t>R0098019</t>
        </is>
      </c>
      <c r="M51" s="454" t="n"/>
      <c r="N51" s="455" t="inlineStr">
        <is>
          <t>AXG – SS Expense Matrix</t>
        </is>
      </c>
      <c r="O51" s="454" t="inlineStr">
        <is>
          <t>2026-06-02</t>
        </is>
      </c>
      <c r="P51" s="455" t="inlineStr">
        <is>
          <t>Expense matrix data; EGI $588,827</t>
        </is>
      </c>
      <c r="Q51" s="256">
        <f>IF(B51="","",IFERROR(INDEX(OCC_TABLE_DESC,MATCH(B51,OCC_TABLE_CODE,0)),"Unrecognized code"))</f>
        <v/>
      </c>
    </row>
    <row r="52" ht="12.75" customHeight="1" s="545">
      <c r="A52" s="452" t="inlineStr">
        <is>
          <t>P049</t>
        </is>
      </c>
      <c r="B52" s="449" t="n">
        <v>386</v>
      </c>
      <c r="C52" s="450" t="inlineStr">
        <is>
          <t>R0102989</t>
        </is>
      </c>
      <c r="D52" s="453" t="inlineStr">
        <is>
          <t>Fitzsimons area – see R0102989</t>
        </is>
      </c>
      <c r="E52" s="452" t="inlineStr">
        <is>
          <t>Aurora</t>
        </is>
      </c>
      <c r="F52" s="452" t="inlineStr">
        <is>
          <t>CO</t>
        </is>
      </c>
      <c r="G52" s="452" t="inlineStr">
        <is>
          <t>Self-Storage</t>
        </is>
      </c>
      <c r="H52" s="453" t="inlineStr">
        <is>
          <t>Climate-Controlled</t>
        </is>
      </c>
      <c r="I52" s="452" t="n"/>
      <c r="J52" s="452" t="n">
        <v>94797</v>
      </c>
      <c r="K52" s="452" t="n"/>
      <c r="L52" s="452" t="inlineStr">
        <is>
          <t>R0102989</t>
        </is>
      </c>
      <c r="M52" s="452" t="n"/>
      <c r="N52" s="453" t="inlineStr">
        <is>
          <t>AXG – SS Expense Matrix</t>
        </is>
      </c>
      <c r="O52" s="452" t="inlineStr">
        <is>
          <t>2026-06-02</t>
        </is>
      </c>
      <c r="P52" s="453" t="inlineStr">
        <is>
          <t>Expense matrix data; EGI $1,184,503</t>
        </is>
      </c>
      <c r="Q52" s="256">
        <f>IF(B52="","",IFERROR(INDEX(OCC_TABLE_DESC,MATCH(B52,OCC_TABLE_CODE,0)),"Unrecognized code"))</f>
        <v/>
      </c>
    </row>
    <row r="53" ht="12.75" customHeight="1" s="545">
      <c r="A53" s="454" t="inlineStr">
        <is>
          <t>P050</t>
        </is>
      </c>
      <c r="B53" s="449" t="n">
        <v>386</v>
      </c>
      <c r="C53" s="450" t="inlineStr">
        <is>
          <t>R0085523</t>
        </is>
      </c>
      <c r="D53" s="455" t="inlineStr">
        <is>
          <t>Address unknown – see R0085523</t>
        </is>
      </c>
      <c r="E53" s="454" t="inlineStr">
        <is>
          <t>Adams County</t>
        </is>
      </c>
      <c r="F53" s="454" t="inlineStr">
        <is>
          <t>CO</t>
        </is>
      </c>
      <c r="G53" s="454" t="inlineStr">
        <is>
          <t>Self-Storage</t>
        </is>
      </c>
      <c r="H53" s="455" t="inlineStr">
        <is>
          <t>Drive-Up/Drop-Off</t>
        </is>
      </c>
      <c r="I53" s="454" t="n"/>
      <c r="J53" s="454" t="n">
        <v>39525</v>
      </c>
      <c r="K53" s="454" t="n"/>
      <c r="L53" s="454" t="inlineStr">
        <is>
          <t>R0085523</t>
        </is>
      </c>
      <c r="M53" s="454" t="n"/>
      <c r="N53" s="455" t="inlineStr">
        <is>
          <t>AXG – SS Expense Matrix</t>
        </is>
      </c>
      <c r="O53" s="454" t="inlineStr">
        <is>
          <t>2026-06-02</t>
        </is>
      </c>
      <c r="P53" s="455" t="inlineStr">
        <is>
          <t>Expense matrix data; EGI $541,974</t>
        </is>
      </c>
      <c r="Q53" s="256">
        <f>IF(B53="","",IFERROR(INDEX(OCC_TABLE_DESC,MATCH(B53,OCC_TABLE_CODE,0)),"Unrecognized code"))</f>
        <v/>
      </c>
    </row>
    <row r="54" ht="12.75" customHeight="1" s="545">
      <c r="A54" s="452" t="inlineStr">
        <is>
          <t>P051</t>
        </is>
      </c>
      <c r="B54" s="449" t="n">
        <v>386</v>
      </c>
      <c r="C54" s="450" t="inlineStr">
        <is>
          <t>R0174860</t>
        </is>
      </c>
      <c r="D54" s="453" t="inlineStr">
        <is>
          <t>Address unknown – see R0174860</t>
        </is>
      </c>
      <c r="E54" s="452" t="inlineStr">
        <is>
          <t>Adams County</t>
        </is>
      </c>
      <c r="F54" s="452" t="inlineStr">
        <is>
          <t>CO</t>
        </is>
      </c>
      <c r="G54" s="452" t="inlineStr">
        <is>
          <t>Self-Storage</t>
        </is>
      </c>
      <c r="H54" s="453" t="inlineStr">
        <is>
          <t>Drive-Up/Drop-Off (containers)</t>
        </is>
      </c>
      <c r="I54" s="452" t="n"/>
      <c r="J54" s="452" t="n">
        <v>45980</v>
      </c>
      <c r="K54" s="452" t="n"/>
      <c r="L54" s="452" t="inlineStr">
        <is>
          <t>R0174860</t>
        </is>
      </c>
      <c r="M54" s="452" t="n"/>
      <c r="N54" s="453" t="inlineStr">
        <is>
          <t>AXG – SS Expense Matrix</t>
        </is>
      </c>
      <c r="O54" s="452" t="inlineStr">
        <is>
          <t>2026-06-02</t>
        </is>
      </c>
      <c r="P54" s="453" t="inlineStr">
        <is>
          <t>Expense matrix data; EGI $646,496</t>
        </is>
      </c>
      <c r="Q54" s="256">
        <f>IF(B54="","",IFERROR(INDEX(OCC_TABLE_DESC,MATCH(B54,OCC_TABLE_CODE,0)),"Unrecognized code"))</f>
        <v/>
      </c>
    </row>
    <row r="55" ht="12.75" customHeight="1" s="545">
      <c r="A55" s="454" t="inlineStr">
        <is>
          <t>P052</t>
        </is>
      </c>
      <c r="B55" s="449" t="n">
        <v>386</v>
      </c>
      <c r="C55" s="450" t="inlineStr">
        <is>
          <t>R0161412</t>
        </is>
      </c>
      <c r="D55" s="455" t="inlineStr">
        <is>
          <t>Address unknown – see R0161412</t>
        </is>
      </c>
      <c r="E55" s="454" t="inlineStr">
        <is>
          <t>Adams County</t>
        </is>
      </c>
      <c r="F55" s="454" t="inlineStr">
        <is>
          <t>CO</t>
        </is>
      </c>
      <c r="G55" s="454" t="inlineStr">
        <is>
          <t>Self-Storage</t>
        </is>
      </c>
      <c r="H55" s="455" t="inlineStr">
        <is>
          <t>Drive-Up/Drop-Off</t>
        </is>
      </c>
      <c r="I55" s="454" t="n"/>
      <c r="J55" s="454" t="n">
        <v>88043</v>
      </c>
      <c r="K55" s="454" t="n"/>
      <c r="L55" s="454" t="inlineStr">
        <is>
          <t>R0161412</t>
        </is>
      </c>
      <c r="M55" s="454" t="n"/>
      <c r="N55" s="455" t="inlineStr">
        <is>
          <t>AXG – SS Expense Matrix</t>
        </is>
      </c>
      <c r="O55" s="454" t="inlineStr">
        <is>
          <t>2026-06-02</t>
        </is>
      </c>
      <c r="P55" s="455" t="inlineStr">
        <is>
          <t>Expense matrix data; EGI $1,206,603</t>
        </is>
      </c>
      <c r="Q55" s="256">
        <f>IF(B55="","",IFERROR(INDEX(OCC_TABLE_DESC,MATCH(B55,OCC_TABLE_CODE,0)),"Unrecognized code"))</f>
        <v/>
      </c>
    </row>
    <row r="56" ht="12.75" customHeight="1" s="545">
      <c r="A56" s="452" t="inlineStr">
        <is>
          <t>P053</t>
        </is>
      </c>
      <c r="B56" s="449" t="n">
        <v>386</v>
      </c>
      <c r="C56" s="450" t="inlineStr">
        <is>
          <t>R0169115</t>
        </is>
      </c>
      <c r="D56" s="453" t="inlineStr">
        <is>
          <t>Address unknown – see R0169115</t>
        </is>
      </c>
      <c r="E56" s="452" t="inlineStr">
        <is>
          <t>Adams County</t>
        </is>
      </c>
      <c r="F56" s="452" t="inlineStr">
        <is>
          <t>CO</t>
        </is>
      </c>
      <c r="G56" s="452" t="inlineStr">
        <is>
          <t>Self-Storage</t>
        </is>
      </c>
      <c r="H56" s="453" t="inlineStr">
        <is>
          <t>Drive-Up/Drop-Off</t>
        </is>
      </c>
      <c r="I56" s="452" t="n"/>
      <c r="J56" s="452" t="n">
        <v>41764</v>
      </c>
      <c r="K56" s="452" t="n"/>
      <c r="L56" s="452" t="inlineStr">
        <is>
          <t>R0169115</t>
        </is>
      </c>
      <c r="M56" s="452" t="n"/>
      <c r="N56" s="453" t="inlineStr">
        <is>
          <t>AXG – SS Expense Matrix</t>
        </is>
      </c>
      <c r="O56" s="452" t="inlineStr">
        <is>
          <t>2026-06-02</t>
        </is>
      </c>
      <c r="P56" s="453" t="inlineStr">
        <is>
          <t>Expense matrix data; EGI $787,364</t>
        </is>
      </c>
      <c r="Q56" s="256">
        <f>IF(B56="","",IFERROR(INDEX(OCC_TABLE_DESC,MATCH(B56,OCC_TABLE_CODE,0)),"Unrecognized code"))</f>
        <v/>
      </c>
    </row>
    <row r="57" ht="25.5" customHeight="1" s="545">
      <c r="A57" s="452" t="inlineStr">
        <is>
          <t>P054</t>
        </is>
      </c>
      <c r="B57" s="449" t="n">
        <v>210</v>
      </c>
      <c r="C57" s="450" t="inlineStr">
        <is>
          <t>R0180551</t>
        </is>
      </c>
      <c r="D57" s="453" t="inlineStr">
        <is>
          <t>1953 N Gun Club Rd</t>
        </is>
      </c>
      <c r="E57" s="452" t="inlineStr">
        <is>
          <t>Aurora</t>
        </is>
      </c>
      <c r="F57" s="452" t="inlineStr">
        <is>
          <t>CO</t>
        </is>
      </c>
      <c r="G57" s="452" t="inlineStr">
        <is>
          <t>Industrial</t>
        </is>
      </c>
      <c r="H57" s="453" t="inlineStr">
        <is>
          <t>Multi-Tenant Industrial/Office NNN</t>
        </is>
      </c>
      <c r="I57" s="452" t="n"/>
      <c r="J57" s="452" t="n"/>
      <c r="K57" s="452" t="n"/>
      <c r="L57" s="452" t="inlineStr">
        <is>
          <t>R0180551</t>
        </is>
      </c>
      <c r="M57" s="452" t="inlineStr">
        <is>
          <t>Cherry Owner III LLC / AIP KKR</t>
        </is>
      </c>
      <c r="N57" s="453" t="inlineStr">
        <is>
          <t>08_2025 Review – owner actual P&amp;L</t>
        </is>
      </c>
      <c r="O57" s="452" t="inlineStr">
        <is>
          <t>2026-06-02</t>
        </is>
      </c>
      <c r="P57" s="453" t="inlineStr">
        <is>
          <t>Actual 2023+2024; base rent + full recovery; adj for prior-yr tax</t>
        </is>
      </c>
      <c r="Q57" s="256">
        <f>IF(B57="","",IFERROR(INDEX(OCC_TABLE_DESC,MATCH(B57,OCC_TABLE_CODE,0)),"Unrecognized code"))</f>
        <v/>
      </c>
    </row>
    <row r="58" ht="25.5" customHeight="1" s="545">
      <c r="A58" s="454" t="inlineStr">
        <is>
          <t>P055</t>
        </is>
      </c>
      <c r="B58" s="449" t="n">
        <v>407</v>
      </c>
      <c r="C58" s="450" t="inlineStr">
        <is>
          <t>R0211072/R0211073/R0211074</t>
        </is>
      </c>
      <c r="D58" s="455" t="inlineStr">
        <is>
          <t>Park 76 Distribution Center</t>
        </is>
      </c>
      <c r="E58" s="454" t="inlineStr">
        <is>
          <t>Aurora</t>
        </is>
      </c>
      <c r="F58" s="454" t="inlineStr">
        <is>
          <t>CO</t>
        </is>
      </c>
      <c r="G58" s="454" t="inlineStr">
        <is>
          <t>Industrial</t>
        </is>
      </c>
      <c r="H58" s="455" t="inlineStr">
        <is>
          <t>Industrial Warehouse (3-bldg campus) NNN</t>
        </is>
      </c>
      <c r="I58" s="454" t="n"/>
      <c r="J58" s="454" t="n"/>
      <c r="K58" s="454" t="n"/>
      <c r="L58" s="454" t="inlineStr">
        <is>
          <t>R0211072/R0211073/R0211074</t>
        </is>
      </c>
      <c r="M58" s="454" t="inlineStr">
        <is>
          <t>Park 76 Owner LLC / Alpha Industrial</t>
        </is>
      </c>
      <c r="N58" s="455" t="inlineStr">
        <is>
          <t>08_2025 Review – owner actual P&amp;L</t>
        </is>
      </c>
      <c r="O58" s="454" t="inlineStr">
        <is>
          <t>2026-06-02</t>
        </is>
      </c>
      <c r="P58" s="455" t="inlineStr">
        <is>
          <t>3-building campus; actual 2023+2024; lease-up completed ~2023</t>
        </is>
      </c>
      <c r="Q58" s="256">
        <f>IF(B58="","",IFERROR(INDEX(OCC_TABLE_DESC,MATCH(B58,OCC_TABLE_CODE,0)),"Unrecognized code"))</f>
        <v/>
      </c>
    </row>
    <row r="59" ht="25.5" customHeight="1" s="545">
      <c r="A59" s="452" t="inlineStr">
        <is>
          <t>P056</t>
        </is>
      </c>
      <c r="B59" s="449" t="n">
        <v>407</v>
      </c>
      <c r="C59" s="450" t="inlineStr">
        <is>
          <t>R0210485</t>
        </is>
      </c>
      <c r="D59" s="453" t="inlineStr">
        <is>
          <t>1101 E 126th Ave (Bldg A)</t>
        </is>
      </c>
      <c r="E59" s="452" t="inlineStr">
        <is>
          <t>Thornton</t>
        </is>
      </c>
      <c r="F59" s="452" t="inlineStr">
        <is>
          <t>CO</t>
        </is>
      </c>
      <c r="G59" s="452" t="inlineStr">
        <is>
          <t>Industrial</t>
        </is>
      </c>
      <c r="H59" s="453" t="inlineStr">
        <is>
          <t>Industrial Warehouse NNN</t>
        </is>
      </c>
      <c r="I59" s="452" t="n">
        <v>2022</v>
      </c>
      <c r="J59" s="452" t="n"/>
      <c r="K59" s="452" t="n"/>
      <c r="L59" s="452" t="inlineStr">
        <is>
          <t>R0210485</t>
        </is>
      </c>
      <c r="M59" s="452" t="inlineStr">
        <is>
          <t>Thornton Owner LLC / Alpha Industrial</t>
        </is>
      </c>
      <c r="N59" s="453" t="inlineStr">
        <is>
          <t>08_2025 Review – owner actual P&amp;L</t>
        </is>
      </c>
      <c r="O59" s="452" t="inlineStr">
        <is>
          <t>2026-06-02</t>
        </is>
      </c>
      <c r="P59" s="453" t="inlineStr">
        <is>
          <t>New (YOC ~2022); 2023 lease-up; 2024 near-stabilized; 2024 only added</t>
        </is>
      </c>
      <c r="Q59" s="256">
        <f>IF(B59="","",IFERROR(INDEX(OCC_TABLE_DESC,MATCH(B59,OCC_TABLE_CODE,0)),"Unrecognized code"))</f>
        <v/>
      </c>
    </row>
    <row r="60" ht="25.5" customHeight="1" s="545">
      <c r="A60" s="454" t="inlineStr">
        <is>
          <t>P057</t>
        </is>
      </c>
      <c r="B60" s="449" t="n">
        <v>407</v>
      </c>
      <c r="C60" s="450" t="inlineStr">
        <is>
          <t>R0210486</t>
        </is>
      </c>
      <c r="D60" s="455" t="inlineStr">
        <is>
          <t>12625 Lafayette St (Bldg B)</t>
        </is>
      </c>
      <c r="E60" s="454" t="inlineStr">
        <is>
          <t>Thornton</t>
        </is>
      </c>
      <c r="F60" s="454" t="inlineStr">
        <is>
          <t>CO</t>
        </is>
      </c>
      <c r="G60" s="454" t="inlineStr">
        <is>
          <t>Industrial</t>
        </is>
      </c>
      <c r="H60" s="455" t="inlineStr">
        <is>
          <t>Industrial Warehouse NNN</t>
        </is>
      </c>
      <c r="I60" s="454" t="n">
        <v>2022</v>
      </c>
      <c r="J60" s="454" t="n"/>
      <c r="K60" s="454" t="n"/>
      <c r="L60" s="454" t="inlineStr">
        <is>
          <t>R0210486</t>
        </is>
      </c>
      <c r="M60" s="454" t="inlineStr">
        <is>
          <t>Thornton Owner LLC / Alpha Industrial</t>
        </is>
      </c>
      <c r="N60" s="455" t="inlineStr">
        <is>
          <t>08_2025 Review – owner actual P&amp;L</t>
        </is>
      </c>
      <c r="O60" s="454" t="inlineStr">
        <is>
          <t>2026-06-02</t>
        </is>
      </c>
      <c r="P60" s="455" t="inlineStr">
        <is>
          <t>New (YOC ~2022); 2023 lease-up; 2024 near-stabilized; 2024 only added</t>
        </is>
      </c>
      <c r="Q60" s="256">
        <f>IF(B60="","",IFERROR(INDEX(OCC_TABLE_DESC,MATCH(B60,OCC_TABLE_CODE,0)),"Unrecognized code"))</f>
        <v/>
      </c>
    </row>
    <row r="61" ht="12.75" customHeight="1" s="545">
      <c r="A61" s="452" t="inlineStr">
        <is>
          <t>P058</t>
        </is>
      </c>
      <c r="B61" s="449" t="n">
        <v>407</v>
      </c>
      <c r="C61" s="450" t="inlineStr">
        <is>
          <t>R0091934</t>
        </is>
      </c>
      <c r="D61" s="453" t="inlineStr">
        <is>
          <t>350 Park Industrial (5759)</t>
        </is>
      </c>
      <c r="E61" s="452" t="inlineStr">
        <is>
          <t>Aurora</t>
        </is>
      </c>
      <c r="F61" s="452" t="inlineStr">
        <is>
          <t>CO</t>
        </is>
      </c>
      <c r="G61" s="452" t="inlineStr">
        <is>
          <t>Industrial</t>
        </is>
      </c>
      <c r="H61" s="453" t="inlineStr">
        <is>
          <t>Multi-Tenant Industrial 407</t>
        </is>
      </c>
      <c r="I61" s="452" t="n">
        <v>1995</v>
      </c>
      <c r="J61" s="452" t="n">
        <v>32600</v>
      </c>
      <c r="K61" s="452" t="n"/>
      <c r="L61" s="452" t="inlineStr">
        <is>
          <t>R0091934</t>
        </is>
      </c>
      <c r="M61" s="452" t="n"/>
      <c r="N61" s="453" t="inlineStr">
        <is>
          <t>08_2025 Review – owner actual P&amp;L</t>
        </is>
      </c>
      <c r="O61" s="452" t="inlineStr">
        <is>
          <t>2026-06-02</t>
        </is>
      </c>
      <c r="P61" s="453" t="inlineStr">
        <is>
          <t>Actual accrual 2023+2024; multi-tenant; 3 tenants</t>
        </is>
      </c>
      <c r="Q61" s="256">
        <f>IF(B61="","",IFERROR(INDEX(OCC_TABLE_DESC,MATCH(B61,OCC_TABLE_CODE,0)),"Unrecognized code"))</f>
        <v/>
      </c>
    </row>
    <row r="62" ht="25.5" customHeight="1" s="545">
      <c r="A62" s="454" t="inlineStr">
        <is>
          <t>P059</t>
        </is>
      </c>
      <c r="B62" s="449" t="n">
        <v>407</v>
      </c>
      <c r="C62" s="450" t="inlineStr">
        <is>
          <t>R0093111</t>
        </is>
      </c>
      <c r="D62" s="455" t="inlineStr">
        <is>
          <t>Industrial Property (yden0702)</t>
        </is>
      </c>
      <c r="E62" s="454" t="inlineStr">
        <is>
          <t>Aurora</t>
        </is>
      </c>
      <c r="F62" s="454" t="inlineStr">
        <is>
          <t>CO</t>
        </is>
      </c>
      <c r="G62" s="454" t="inlineStr">
        <is>
          <t>Industrial</t>
        </is>
      </c>
      <c r="H62" s="455" t="inlineStr">
        <is>
          <t>Multi-Tenant Industrial 407</t>
        </is>
      </c>
      <c r="I62" s="454" t="n"/>
      <c r="J62" s="454" t="n"/>
      <c r="K62" s="454" t="n"/>
      <c r="L62" s="454" t="inlineStr">
        <is>
          <t>R0093111</t>
        </is>
      </c>
      <c r="M62" s="454" t="n"/>
      <c r="N62" s="455" t="inlineStr">
        <is>
          <t>08_2025 Review – owner actual P&amp;L</t>
        </is>
      </c>
      <c r="O62" s="454" t="inlineStr">
        <is>
          <t>2026-06-02</t>
        </is>
      </c>
      <c r="P62" s="455" t="inlineStr">
        <is>
          <t>Actual 2023+2024; SF not confirmed; multi-tenant 3 tenants</t>
        </is>
      </c>
      <c r="Q62" s="256">
        <f>IF(B62="","",IFERROR(INDEX(OCC_TABLE_DESC,MATCH(B62,OCC_TABLE_CODE,0)),"Unrecognized code"))</f>
        <v/>
      </c>
    </row>
    <row r="63" ht="12.75" customHeight="1" s="545">
      <c r="A63" s="452" t="inlineStr">
        <is>
          <t>P060</t>
        </is>
      </c>
      <c r="B63" s="449" t="n">
        <v>407</v>
      </c>
      <c r="C63" s="450" t="inlineStr">
        <is>
          <t>R0100104</t>
        </is>
      </c>
      <c r="D63" s="453" t="inlineStr">
        <is>
          <t>312 Kew West</t>
        </is>
      </c>
      <c r="E63" s="452" t="inlineStr">
        <is>
          <t>Aurora</t>
        </is>
      </c>
      <c r="F63" s="452" t="inlineStr">
        <is>
          <t>CO</t>
        </is>
      </c>
      <c r="G63" s="452" t="inlineStr">
        <is>
          <t>Industrial</t>
        </is>
      </c>
      <c r="H63" s="453" t="inlineStr">
        <is>
          <t>Multi-Tenant Industrial 407</t>
        </is>
      </c>
      <c r="I63" s="452" t="n"/>
      <c r="J63" s="452" t="n"/>
      <c r="K63" s="452" t="n"/>
      <c r="L63" s="452" t="inlineStr">
        <is>
          <t>R0100104</t>
        </is>
      </c>
      <c r="M63" s="452" t="n"/>
      <c r="N63" s="453" t="inlineStr">
        <is>
          <t>08_2025 Review – owner actual P&amp;L</t>
        </is>
      </c>
      <c r="O63" s="452" t="inlineStr">
        <is>
          <t>2026-06-02</t>
        </is>
      </c>
      <c r="P63" s="453" t="inlineStr">
        <is>
          <t>Actual 2023+2024; SF not confirmed</t>
        </is>
      </c>
      <c r="Q63" s="256">
        <f>IF(B63="","",IFERROR(INDEX(OCC_TABLE_DESC,MATCH(B63,OCC_TABLE_CODE,0)),"Unrecognized code"))</f>
        <v/>
      </c>
    </row>
    <row r="64" ht="25.5" customHeight="1" s="545">
      <c r="A64" s="454" t="inlineStr">
        <is>
          <t>P061</t>
        </is>
      </c>
      <c r="B64" s="449" t="n">
        <v>584</v>
      </c>
      <c r="C64" s="450" t="inlineStr">
        <is>
          <t>R0083935</t>
        </is>
      </c>
      <c r="D64" s="455" t="inlineStr">
        <is>
          <t>20101 E 36th Ave (RK Industries)</t>
        </is>
      </c>
      <c r="E64" s="454" t="inlineStr">
        <is>
          <t>Aurora</t>
        </is>
      </c>
      <c r="F64" s="454" t="inlineStr">
        <is>
          <t>CO</t>
        </is>
      </c>
      <c r="G64" s="454" t="inlineStr">
        <is>
          <t>Industrial</t>
        </is>
      </c>
      <c r="H64" s="455" t="inlineStr">
        <is>
          <t>Mega Warehouse NNN</t>
        </is>
      </c>
      <c r="I64" s="454" t="n"/>
      <c r="J64" s="454" t="n">
        <v>278538</v>
      </c>
      <c r="K64" s="454" t="n"/>
      <c r="L64" s="454" t="inlineStr">
        <is>
          <t>R0083935</t>
        </is>
      </c>
      <c r="M64" s="454" t="inlineStr">
        <is>
          <t>RK Industries</t>
        </is>
      </c>
      <c r="N64" s="455" t="inlineStr">
        <is>
          <t>08_2025 Review – CBRE income statement</t>
        </is>
      </c>
      <c r="O64" s="454" t="inlineStr">
        <is>
          <t>2026-06-02</t>
        </is>
      </c>
      <c r="P64" s="455" t="inlineStr">
        <is>
          <t>Single-tenant NNN; 2024 partial data; rent $4.47/SF NNN</t>
        </is>
      </c>
      <c r="Q64" s="256">
        <f>IF(B64="","",IFERROR(INDEX(OCC_TABLE_DESC,MATCH(B64,OCC_TABLE_CODE,0)),"Unrecognized code"))</f>
        <v/>
      </c>
    </row>
    <row r="65" ht="25.5" customHeight="1" s="545">
      <c r="A65" s="452" t="inlineStr">
        <is>
          <t>P062</t>
        </is>
      </c>
      <c r="B65" s="449" t="n">
        <v>407</v>
      </c>
      <c r="C65" s="450" t="inlineStr">
        <is>
          <t>R0200721</t>
        </is>
      </c>
      <c r="D65" s="453" t="inlineStr">
        <is>
          <t>3420 N Lisbon St</t>
        </is>
      </c>
      <c r="E65" s="452" t="inlineStr">
        <is>
          <t>Aurora</t>
        </is>
      </c>
      <c r="F65" s="452" t="inlineStr">
        <is>
          <t>CO</t>
        </is>
      </c>
      <c r="G65" s="452" t="inlineStr">
        <is>
          <t>Industrial</t>
        </is>
      </c>
      <c r="H65" s="453" t="inlineStr">
        <is>
          <t>Single-Tenant Industrial NNN</t>
        </is>
      </c>
      <c r="I65" s="452" t="n">
        <v>2019</v>
      </c>
      <c r="J65" s="452" t="n">
        <v>36212</v>
      </c>
      <c r="K65" s="452" t="n"/>
      <c r="L65" s="452" t="inlineStr">
        <is>
          <t>R0200721</t>
        </is>
      </c>
      <c r="M65" s="452" t="inlineStr">
        <is>
          <t>Cameron Ashley Bldg Products</t>
        </is>
      </c>
      <c r="N65" s="453" t="inlineStr">
        <is>
          <t>08_2025 Review – rent roll</t>
        </is>
      </c>
      <c r="O65" s="452" t="inlineStr">
        <is>
          <t>2026-06-02</t>
        </is>
      </c>
      <c r="P65" s="453" t="inlineStr">
        <is>
          <t>NNN lease thru 12/31/2028; rent only; tenant pays all opex</t>
        </is>
      </c>
      <c r="Q65" s="256">
        <f>IF(B65="","",IFERROR(INDEX(OCC_TABLE_DESC,MATCH(B65,OCC_TABLE_CODE,0)),"Unrecognized code"))</f>
        <v/>
      </c>
    </row>
    <row r="66" ht="12.75" customHeight="1" s="545">
      <c r="A66" s="454" t="inlineStr">
        <is>
          <t>P063</t>
        </is>
      </c>
      <c r="B66" s="449" t="n">
        <v>344</v>
      </c>
      <c r="C66" s="450" t="inlineStr">
        <is>
          <t>R0040581</t>
        </is>
      </c>
      <c r="D66" s="455" t="inlineStr">
        <is>
          <t>2090 E 104th Ave</t>
        </is>
      </c>
      <c r="E66" s="454" t="inlineStr">
        <is>
          <t>Thornton</t>
        </is>
      </c>
      <c r="F66" s="454" t="inlineStr">
        <is>
          <t>CO</t>
        </is>
      </c>
      <c r="G66" s="454" t="inlineStr">
        <is>
          <t>Office</t>
        </is>
      </c>
      <c r="H66" s="455" t="inlineStr">
        <is>
          <t>Multi-Tenant Office</t>
        </is>
      </c>
      <c r="I66" s="454" t="n"/>
      <c r="J66" s="454" t="n">
        <v>19764</v>
      </c>
      <c r="K66" s="454" t="n"/>
      <c r="L66" s="454" t="inlineStr">
        <is>
          <t>R0040581</t>
        </is>
      </c>
      <c r="M66" s="454" t="n"/>
      <c r="N66" s="455" t="inlineStr">
        <is>
          <t>08_2025 Review – owner P&amp;L</t>
        </is>
      </c>
      <c r="O66" s="454" t="inlineStr">
        <is>
          <t>2026-06-02</t>
        </is>
      </c>
      <c r="P66" s="455" t="inlineStr">
        <is>
          <t>Actual 2023+2024; 11 suites</t>
        </is>
      </c>
      <c r="Q66" s="256">
        <f>IF(B66="","",IFERROR(INDEX(OCC_TABLE_DESC,MATCH(B66,OCC_TABLE_CODE,0)),"Unrecognized code"))</f>
        <v/>
      </c>
    </row>
    <row r="67" ht="12.75" customHeight="1" s="545">
      <c r="A67" s="452" t="inlineStr">
        <is>
          <t>P064</t>
        </is>
      </c>
      <c r="B67" s="449" t="n">
        <v>344</v>
      </c>
      <c r="C67" s="450" t="inlineStr">
        <is>
          <t>R0050977</t>
        </is>
      </c>
      <c r="D67" s="453" t="inlineStr">
        <is>
          <t>9351 Grant St</t>
        </is>
      </c>
      <c r="E67" s="452" t="inlineStr">
        <is>
          <t>Thornton</t>
        </is>
      </c>
      <c r="F67" s="452" t="inlineStr">
        <is>
          <t>CO</t>
        </is>
      </c>
      <c r="G67" s="452" t="inlineStr">
        <is>
          <t>Office</t>
        </is>
      </c>
      <c r="H67" s="453" t="inlineStr">
        <is>
          <t>Multi-Tenant Office</t>
        </is>
      </c>
      <c r="I67" s="452" t="n"/>
      <c r="J67" s="452" t="n"/>
      <c r="K67" s="452" t="n"/>
      <c r="L67" s="452" t="inlineStr">
        <is>
          <t>R0050977</t>
        </is>
      </c>
      <c r="M67" s="452" t="inlineStr">
        <is>
          <t>Crown Real Estate Group</t>
        </is>
      </c>
      <c r="N67" s="453" t="inlineStr">
        <is>
          <t>08_2025 Review – owner P&amp;L</t>
        </is>
      </c>
      <c r="O67" s="452" t="inlineStr">
        <is>
          <t>2026-06-02</t>
        </is>
      </c>
      <c r="P67" s="453" t="inlineStr">
        <is>
          <t>Actual 2023; SF not stated; large property</t>
        </is>
      </c>
      <c r="Q67" s="256">
        <f>IF(B67="","",IFERROR(INDEX(OCC_TABLE_DESC,MATCH(B67,OCC_TABLE_CODE,0)),"Unrecognized code"))</f>
        <v/>
      </c>
    </row>
    <row r="68" ht="12.75" customHeight="1" s="545">
      <c r="A68" s="454" t="inlineStr">
        <is>
          <t>P065</t>
        </is>
      </c>
      <c r="B68" s="449" t="n">
        <v>344</v>
      </c>
      <c r="C68" s="450" t="inlineStr">
        <is>
          <t>R0069041</t>
        </is>
      </c>
      <c r="D68" s="455" t="inlineStr">
        <is>
          <t>7475 Dakin St (Turnpike Tower)</t>
        </is>
      </c>
      <c r="E68" s="454" t="inlineStr">
        <is>
          <t>Denver</t>
        </is>
      </c>
      <c r="F68" s="454" t="inlineStr">
        <is>
          <t>CO</t>
        </is>
      </c>
      <c r="G68" s="454" t="inlineStr">
        <is>
          <t>Office</t>
        </is>
      </c>
      <c r="H68" s="455" t="inlineStr">
        <is>
          <t>Multi-Tenant Office</t>
        </is>
      </c>
      <c r="I68" s="454" t="n"/>
      <c r="J68" s="454" t="n">
        <v>114843</v>
      </c>
      <c r="K68" s="454" t="n"/>
      <c r="L68" s="454" t="inlineStr">
        <is>
          <t>R0069041</t>
        </is>
      </c>
      <c r="M68" s="454" t="n"/>
      <c r="N68" s="455" t="inlineStr">
        <is>
          <t>08_2025 Review – owner P&amp;L</t>
        </is>
      </c>
      <c r="O68" s="454" t="inlineStr">
        <is>
          <t>2026-06-02</t>
        </is>
      </c>
      <c r="P68" s="455" t="inlineStr">
        <is>
          <t>Actual 2023+2024; 87.7% occ; NNN/Modified leases</t>
        </is>
      </c>
      <c r="Q68" s="256">
        <f>IF(B68="","",IFERROR(INDEX(OCC_TABLE_DESC,MATCH(B68,OCC_TABLE_CODE,0)),"Unrecognized code"))</f>
        <v/>
      </c>
    </row>
    <row r="69" ht="12.75" customHeight="1" s="545">
      <c r="A69" s="452" t="inlineStr">
        <is>
          <t>P066</t>
        </is>
      </c>
      <c r="B69" s="449" t="n">
        <v>344</v>
      </c>
      <c r="C69" s="450" t="inlineStr">
        <is>
          <t>R0079409</t>
        </is>
      </c>
      <c r="D69" s="453" t="inlineStr">
        <is>
          <t>6401 E 72nd Ave</t>
        </is>
      </c>
      <c r="E69" s="452" t="inlineStr">
        <is>
          <t>Commerce City</t>
        </is>
      </c>
      <c r="F69" s="452" t="inlineStr">
        <is>
          <t>CO</t>
        </is>
      </c>
      <c r="G69" s="452" t="inlineStr">
        <is>
          <t>Office</t>
        </is>
      </c>
      <c r="H69" s="453" t="inlineStr">
        <is>
          <t>Multi-Tenant Office</t>
        </is>
      </c>
      <c r="I69" s="452" t="n"/>
      <c r="J69" s="452" t="n">
        <v>8218</v>
      </c>
      <c r="K69" s="452" t="n"/>
      <c r="L69" s="452" t="inlineStr">
        <is>
          <t>R0079409</t>
        </is>
      </c>
      <c r="M69" s="452" t="n"/>
      <c r="N69" s="453" t="inlineStr">
        <is>
          <t>08_2025 Review – owner P&amp;L</t>
        </is>
      </c>
      <c r="O69" s="452" t="inlineStr">
        <is>
          <t>2026-06-02</t>
        </is>
      </c>
      <c r="P69" s="453" t="inlineStr">
        <is>
          <t>Actual 2023; 9 tenants; small multi-tenant office</t>
        </is>
      </c>
      <c r="Q69" s="256">
        <f>IF(B69="","",IFERROR(INDEX(OCC_TABLE_DESC,MATCH(B69,OCC_TABLE_CODE,0)),"Unrecognized code"))</f>
        <v/>
      </c>
    </row>
    <row r="70" ht="12.75" customHeight="1" s="545">
      <c r="A70" s="454" t="inlineStr">
        <is>
          <t>P067</t>
        </is>
      </c>
      <c r="B70" s="449" t="n">
        <v>344</v>
      </c>
      <c r="C70" s="450" t="inlineStr">
        <is>
          <t>R0189338</t>
        </is>
      </c>
      <c r="D70" s="455" t="inlineStr">
        <is>
          <t>203 Telluride St</t>
        </is>
      </c>
      <c r="E70" s="454" t="inlineStr">
        <is>
          <t>Aurora</t>
        </is>
      </c>
      <c r="F70" s="454" t="inlineStr">
        <is>
          <t>CO</t>
        </is>
      </c>
      <c r="G70" s="454" t="inlineStr">
        <is>
          <t>Office</t>
        </is>
      </c>
      <c r="H70" s="455" t="inlineStr">
        <is>
          <t>Multi-Tenant Office</t>
        </is>
      </c>
      <c r="I70" s="454" t="n"/>
      <c r="J70" s="454" t="n"/>
      <c r="K70" s="454" t="n"/>
      <c r="L70" s="454" t="inlineStr">
        <is>
          <t>R0189338</t>
        </is>
      </c>
      <c r="M70" s="454" t="n"/>
      <c r="N70" s="455" t="inlineStr">
        <is>
          <t>08_2025 Review – owner P&amp;L</t>
        </is>
      </c>
      <c r="O70" s="454" t="inlineStr">
        <is>
          <t>2026-06-02</t>
        </is>
      </c>
      <c r="P70" s="455" t="inlineStr">
        <is>
          <t>Actual 2023+2024; SF not stated</t>
        </is>
      </c>
      <c r="Q70" s="256">
        <f>IF(B70="","",IFERROR(INDEX(OCC_TABLE_DESC,MATCH(B70,OCC_TABLE_CODE,0)),"Unrecognized code"))</f>
        <v/>
      </c>
    </row>
    <row r="71" ht="25.5" customHeight="1" s="545">
      <c r="A71" s="452" t="inlineStr">
        <is>
          <t>P068</t>
        </is>
      </c>
      <c r="B71" s="449" t="n">
        <v>344</v>
      </c>
      <c r="C71" s="450" t="inlineStr">
        <is>
          <t>R0193830</t>
        </is>
      </c>
      <c r="D71" s="453" t="inlineStr">
        <is>
          <t>Justice Center Office Plaza</t>
        </is>
      </c>
      <c r="E71" s="452" t="inlineStr">
        <is>
          <t>Denver</t>
        </is>
      </c>
      <c r="F71" s="452" t="inlineStr">
        <is>
          <t>CO</t>
        </is>
      </c>
      <c r="G71" s="452" t="inlineStr">
        <is>
          <t>Office</t>
        </is>
      </c>
      <c r="H71" s="453" t="inlineStr">
        <is>
          <t>Multi-Tenant Office NNN</t>
        </is>
      </c>
      <c r="I71" s="452" t="n"/>
      <c r="J71" s="452" t="n">
        <v>41979</v>
      </c>
      <c r="K71" s="452" t="n"/>
      <c r="L71" s="452" t="inlineStr">
        <is>
          <t>R0193830</t>
        </is>
      </c>
      <c r="M71" s="452" t="n"/>
      <c r="N71" s="453" t="inlineStr">
        <is>
          <t>08_2025 Review – owner P&amp;L</t>
        </is>
      </c>
      <c r="O71" s="452" t="inlineStr">
        <is>
          <t>2026-06-02</t>
        </is>
      </c>
      <c r="P71" s="453" t="inlineStr">
        <is>
          <t>Actual 2023+2024; govt tenants; 100% occ; NNN leases</t>
        </is>
      </c>
      <c r="Q71" s="256">
        <f>IF(B71="","",IFERROR(INDEX(OCC_TABLE_DESC,MATCH(B71,OCC_TABLE_CODE,0)),"Unrecognized code"))</f>
        <v/>
      </c>
    </row>
    <row r="72" ht="25.5" customHeight="1" s="545">
      <c r="A72" s="454" t="inlineStr">
        <is>
          <t>P069</t>
        </is>
      </c>
      <c r="B72" s="449" t="n">
        <v>210</v>
      </c>
      <c r="C72" s="450" t="inlineStr">
        <is>
          <t>R0098223</t>
        </is>
      </c>
      <c r="D72" s="455" t="inlineStr">
        <is>
          <t>Washington Commerce Center</t>
        </is>
      </c>
      <c r="E72" s="454" t="inlineStr">
        <is>
          <t>Commerce City</t>
        </is>
      </c>
      <c r="F72" s="454" t="inlineStr">
        <is>
          <t>CO</t>
        </is>
      </c>
      <c r="G72" s="454" t="inlineStr">
        <is>
          <t>Office/Industrial</t>
        </is>
      </c>
      <c r="H72" s="455" t="inlineStr">
        <is>
          <t>Multi-Tenant Office/Industrial</t>
        </is>
      </c>
      <c r="I72" s="454" t="n"/>
      <c r="J72" s="454" t="n">
        <v>278538</v>
      </c>
      <c r="K72" s="454" t="n"/>
      <c r="L72" s="454" t="inlineStr">
        <is>
          <t>R0098223</t>
        </is>
      </c>
      <c r="M72" s="454" t="n"/>
      <c r="N72" s="455" t="inlineStr">
        <is>
          <t>08_2025 Review – owner P&amp;L</t>
        </is>
      </c>
      <c r="O72" s="454" t="inlineStr">
        <is>
          <t>2026-06-02</t>
        </is>
      </c>
      <c r="P72" s="455" t="inlineStr">
        <is>
          <t>Actual 2023+2024; SF est; opex very low – likely tenant-pay NNN</t>
        </is>
      </c>
      <c r="Q72" s="256">
        <f>IF(B72="","",IFERROR(INDEX(OCC_TABLE_DESC,MATCH(B72,OCC_TABLE_CODE,0)),"Unrecognized code"))</f>
        <v/>
      </c>
    </row>
    <row r="73" ht="25.5" customHeight="1" s="545">
      <c r="A73" s="452" t="inlineStr">
        <is>
          <t>P070</t>
        </is>
      </c>
      <c r="B73" s="449" t="n">
        <v>210</v>
      </c>
      <c r="C73" s="450" t="inlineStr">
        <is>
          <t>R0084242</t>
        </is>
      </c>
      <c r="D73" s="453" t="inlineStr">
        <is>
          <t>Upland Dist Ctr I (Bldg 1 bt46274)</t>
        </is>
      </c>
      <c r="E73" s="452" t="inlineStr">
        <is>
          <t>Aurora</t>
        </is>
      </c>
      <c r="F73" s="452" t="inlineStr">
        <is>
          <t>CO</t>
        </is>
      </c>
      <c r="G73" s="452" t="inlineStr">
        <is>
          <t>Industrial</t>
        </is>
      </c>
      <c r="H73" s="453" t="inlineStr">
        <is>
          <t>Multi-Tenant Industrial NNN</t>
        </is>
      </c>
      <c r="I73" s="452" t="n"/>
      <c r="J73" s="452" t="n"/>
      <c r="K73" s="452" t="n"/>
      <c r="L73" s="452" t="inlineStr">
        <is>
          <t>R0084242</t>
        </is>
      </c>
      <c r="M73" s="452" t="inlineStr">
        <is>
          <t>Link Logistics</t>
        </is>
      </c>
      <c r="N73" s="453" t="inlineStr">
        <is>
          <t>08_2025 Review – Link Logistics actual P&amp;L</t>
        </is>
      </c>
      <c r="O73" s="452" t="inlineStr">
        <is>
          <t>2026-06-02</t>
        </is>
      </c>
      <c r="P73" s="453" t="inlineStr">
        <is>
          <t>Actual accrual 2023+2024; NNN reimbursable structure</t>
        </is>
      </c>
      <c r="Q73" s="256">
        <f>IF(B73="","",IFERROR(INDEX(OCC_TABLE_DESC,MATCH(B73,OCC_TABLE_CODE,0)),"Unrecognized code"))</f>
        <v/>
      </c>
    </row>
    <row r="74" ht="12.75" customHeight="1" s="545">
      <c r="A74" s="454" t="inlineStr">
        <is>
          <t>P071</t>
        </is>
      </c>
      <c r="B74" s="449" t="n">
        <v>210</v>
      </c>
      <c r="C74" s="450" t="inlineStr">
        <is>
          <t>R0084243</t>
        </is>
      </c>
      <c r="D74" s="455" t="inlineStr">
        <is>
          <t>Upland Dist Ctr I (Bldg 2 bt46275)</t>
        </is>
      </c>
      <c r="E74" s="454" t="inlineStr">
        <is>
          <t>Aurora</t>
        </is>
      </c>
      <c r="F74" s="454" t="inlineStr">
        <is>
          <t>CO</t>
        </is>
      </c>
      <c r="G74" s="454" t="inlineStr">
        <is>
          <t>Industrial</t>
        </is>
      </c>
      <c r="H74" s="455" t="inlineStr">
        <is>
          <t>Multi-Tenant Industrial NNN</t>
        </is>
      </c>
      <c r="I74" s="454" t="n"/>
      <c r="J74" s="454" t="n"/>
      <c r="K74" s="454" t="n"/>
      <c r="L74" s="454" t="inlineStr">
        <is>
          <t>R0084243</t>
        </is>
      </c>
      <c r="M74" s="454" t="inlineStr">
        <is>
          <t>Link Logistics</t>
        </is>
      </c>
      <c r="N74" s="455" t="inlineStr">
        <is>
          <t>08_2025 Review – Link Logistics actual P&amp;L</t>
        </is>
      </c>
      <c r="O74" s="454" t="inlineStr">
        <is>
          <t>2026-06-02</t>
        </is>
      </c>
      <c r="P74" s="455" t="inlineStr">
        <is>
          <t>Actual accrual 2023+2024</t>
        </is>
      </c>
      <c r="Q74" s="256">
        <f>IF(B74="","",IFERROR(INDEX(OCC_TABLE_DESC,MATCH(B74,OCC_TABLE_CODE,0)),"Unrecognized code"))</f>
        <v/>
      </c>
    </row>
    <row r="75" ht="25.5" customHeight="1" s="545">
      <c r="A75" s="452" t="inlineStr">
        <is>
          <t>P072</t>
        </is>
      </c>
      <c r="B75" s="449" t="n">
        <v>210</v>
      </c>
      <c r="C75" s="450" t="inlineStr">
        <is>
          <t>R0084244</t>
        </is>
      </c>
      <c r="D75" s="453" t="inlineStr">
        <is>
          <t>Upland Dist Ctr I (Bldg 3 bt46276)</t>
        </is>
      </c>
      <c r="E75" s="452" t="inlineStr">
        <is>
          <t>Aurora</t>
        </is>
      </c>
      <c r="F75" s="452" t="inlineStr">
        <is>
          <t>CO</t>
        </is>
      </c>
      <c r="G75" s="452" t="inlineStr">
        <is>
          <t>Industrial</t>
        </is>
      </c>
      <c r="H75" s="453" t="inlineStr">
        <is>
          <t>Multi-Tenant Industrial NNN</t>
        </is>
      </c>
      <c r="I75" s="452" t="n"/>
      <c r="J75" s="452" t="n"/>
      <c r="K75" s="452" t="n"/>
      <c r="L75" s="452" t="inlineStr">
        <is>
          <t>R0084244</t>
        </is>
      </c>
      <c r="M75" s="452" t="inlineStr">
        <is>
          <t>Link Logistics</t>
        </is>
      </c>
      <c r="N75" s="453" t="inlineStr">
        <is>
          <t>08_2025 Review – Link Logistics actual P&amp;L</t>
        </is>
      </c>
      <c r="O75" s="452" t="inlineStr">
        <is>
          <t>2026-06-02</t>
        </is>
      </c>
      <c r="P75" s="453" t="inlineStr">
        <is>
          <t>2023 only; large warehouse; notable vacancy/free rent period</t>
        </is>
      </c>
      <c r="Q75" s="256">
        <f>IF(B75="","",IFERROR(INDEX(OCC_TABLE_DESC,MATCH(B75,OCC_TABLE_CODE,0)),"Unrecognized code"))</f>
        <v/>
      </c>
    </row>
    <row r="76" ht="12.75" customHeight="1" s="545">
      <c r="A76" s="454" t="inlineStr">
        <is>
          <t>P073</t>
        </is>
      </c>
      <c r="B76" s="449" t="n">
        <v>210</v>
      </c>
      <c r="C76" s="450" t="inlineStr">
        <is>
          <t>R0084247</t>
        </is>
      </c>
      <c r="D76" s="455" t="inlineStr">
        <is>
          <t>13802 E 33rd Place</t>
        </is>
      </c>
      <c r="E76" s="454" t="inlineStr">
        <is>
          <t>Aurora</t>
        </is>
      </c>
      <c r="F76" s="454" t="inlineStr">
        <is>
          <t>CO</t>
        </is>
      </c>
      <c r="G76" s="454" t="inlineStr">
        <is>
          <t>Industrial</t>
        </is>
      </c>
      <c r="H76" s="455" t="inlineStr">
        <is>
          <t>Multi-Tenant Industrial NNN</t>
        </is>
      </c>
      <c r="I76" s="454" t="n"/>
      <c r="J76" s="454" t="n"/>
      <c r="K76" s="454" t="n"/>
      <c r="L76" s="454" t="inlineStr">
        <is>
          <t>R0084247</t>
        </is>
      </c>
      <c r="M76" s="454" t="inlineStr">
        <is>
          <t>Link Logistics</t>
        </is>
      </c>
      <c r="N76" s="455" t="inlineStr">
        <is>
          <t>08_2025 Review – Link Logistics actual P&amp;L</t>
        </is>
      </c>
      <c r="O76" s="454" t="inlineStr">
        <is>
          <t>2026-06-02</t>
        </is>
      </c>
      <c r="P76" s="455" t="inlineStr">
        <is>
          <t>Actual accrual 2023+2024</t>
        </is>
      </c>
      <c r="Q76" s="256">
        <f>IF(B76="","",IFERROR(INDEX(OCC_TABLE_DESC,MATCH(B76,OCC_TABLE_CODE,0)),"Unrecognized code"))</f>
        <v/>
      </c>
    </row>
    <row r="77" ht="25.5" customHeight="1" s="545">
      <c r="A77" s="452" t="inlineStr">
        <is>
          <t>P074</t>
        </is>
      </c>
      <c r="B77" s="449" t="n">
        <v>210</v>
      </c>
      <c r="C77" s="450" t="inlineStr">
        <is>
          <t>R0084248</t>
        </is>
      </c>
      <c r="D77" s="453" t="inlineStr">
        <is>
          <t>14002 E 33rd Place</t>
        </is>
      </c>
      <c r="E77" s="452" t="inlineStr">
        <is>
          <t>Aurora</t>
        </is>
      </c>
      <c r="F77" s="452" t="inlineStr">
        <is>
          <t>CO</t>
        </is>
      </c>
      <c r="G77" s="452" t="inlineStr">
        <is>
          <t>Industrial</t>
        </is>
      </c>
      <c r="H77" s="453" t="inlineStr">
        <is>
          <t>Multi-Tenant Industrial NNN</t>
        </is>
      </c>
      <c r="I77" s="452" t="n"/>
      <c r="J77" s="452" t="n"/>
      <c r="K77" s="452" t="n"/>
      <c r="L77" s="452" t="inlineStr">
        <is>
          <t>R0084248</t>
        </is>
      </c>
      <c r="M77" s="452" t="inlineStr">
        <is>
          <t>Link Logistics</t>
        </is>
      </c>
      <c r="N77" s="453" t="inlineStr">
        <is>
          <t>08_2025 Review – Link Logistics actual P&amp;L</t>
        </is>
      </c>
      <c r="O77" s="452" t="inlineStr">
        <is>
          <t>2026-06-02</t>
        </is>
      </c>
      <c r="P77" s="453" t="inlineStr">
        <is>
          <t>Actual accrual 2023+2024; 2023 RE tax net of $53k refund</t>
        </is>
      </c>
      <c r="Q77" s="256">
        <f>IF(B77="","",IFERROR(INDEX(OCC_TABLE_DESC,MATCH(B77,OCC_TABLE_CODE,0)),"Unrecognized code"))</f>
        <v/>
      </c>
    </row>
    <row r="78" ht="25.5" customHeight="1" s="545">
      <c r="A78" s="454" t="inlineStr">
        <is>
          <t>P075</t>
        </is>
      </c>
      <c r="B78" s="449" t="n">
        <v>210</v>
      </c>
      <c r="C78" s="450" t="inlineStr">
        <is>
          <t>R0084250</t>
        </is>
      </c>
      <c r="D78" s="455" t="inlineStr">
        <is>
          <t>3250 Abilene Street</t>
        </is>
      </c>
      <c r="E78" s="454" t="inlineStr">
        <is>
          <t>Aurora</t>
        </is>
      </c>
      <c r="F78" s="454" t="inlineStr">
        <is>
          <t>CO</t>
        </is>
      </c>
      <c r="G78" s="454" t="inlineStr">
        <is>
          <t>Industrial</t>
        </is>
      </c>
      <c r="H78" s="455" t="inlineStr">
        <is>
          <t>Multi-Tenant Industrial NNN</t>
        </is>
      </c>
      <c r="I78" s="454" t="n"/>
      <c r="J78" s="454" t="n"/>
      <c r="K78" s="454" t="n"/>
      <c r="L78" s="454" t="inlineStr">
        <is>
          <t>R0084250</t>
        </is>
      </c>
      <c r="M78" s="454" t="inlineStr">
        <is>
          <t>Link Logistics</t>
        </is>
      </c>
      <c r="N78" s="455" t="inlineStr">
        <is>
          <t>08_2025 Review – Link Logistics actual P&amp;L</t>
        </is>
      </c>
      <c r="O78" s="454" t="inlineStr">
        <is>
          <t>2026-06-02</t>
        </is>
      </c>
      <c r="P78" s="455" t="inlineStr">
        <is>
          <t>2024 tenant turnover; base rent dropped $787k→$407k; 2023 more stable</t>
        </is>
      </c>
      <c r="Q78" s="256">
        <f>IF(B78="","",IFERROR(INDEX(OCC_TABLE_DESC,MATCH(B78,OCC_TABLE_CODE,0)),"Unrecognized code"))</f>
        <v/>
      </c>
    </row>
    <row r="79" ht="12.75" customHeight="1" s="545">
      <c r="A79" s="452" t="inlineStr">
        <is>
          <t>P076</t>
        </is>
      </c>
      <c r="B79" s="449" t="n">
        <v>210</v>
      </c>
      <c r="C79" s="450" t="inlineStr">
        <is>
          <t>R0084253</t>
        </is>
      </c>
      <c r="D79" s="453" t="inlineStr">
        <is>
          <t>14509 E 33rd Place (bt46265)</t>
        </is>
      </c>
      <c r="E79" s="452" t="inlineStr">
        <is>
          <t>Aurora</t>
        </is>
      </c>
      <c r="F79" s="452" t="inlineStr">
        <is>
          <t>CO</t>
        </is>
      </c>
      <c r="G79" s="452" t="inlineStr">
        <is>
          <t>Industrial</t>
        </is>
      </c>
      <c r="H79" s="453" t="inlineStr">
        <is>
          <t>Multi-Tenant Industrial NNN</t>
        </is>
      </c>
      <c r="I79" s="452" t="n"/>
      <c r="J79" s="452" t="n"/>
      <c r="K79" s="452" t="n"/>
      <c r="L79" s="452" t="inlineStr">
        <is>
          <t>R0084253</t>
        </is>
      </c>
      <c r="M79" s="452" t="inlineStr">
        <is>
          <t>Link Logistics</t>
        </is>
      </c>
      <c r="N79" s="453" t="inlineStr">
        <is>
          <t>08_2025 Review – Link Logistics actual P&amp;L</t>
        </is>
      </c>
      <c r="O79" s="452" t="inlineStr">
        <is>
          <t>2026-06-02</t>
        </is>
      </c>
      <c r="P79" s="453" t="inlineStr">
        <is>
          <t>Actual 2023+2024; 3-bldg campus R0084253</t>
        </is>
      </c>
      <c r="Q79" s="256">
        <f>IF(B79="","",IFERROR(INDEX(OCC_TABLE_DESC,MATCH(B79,OCC_TABLE_CODE,0)),"Unrecognized code"))</f>
        <v/>
      </c>
    </row>
    <row r="80" ht="25.5" customHeight="1" s="545">
      <c r="A80" s="454" t="inlineStr">
        <is>
          <t>P077</t>
        </is>
      </c>
      <c r="B80" s="449" t="n">
        <v>210</v>
      </c>
      <c r="C80" s="450" t="inlineStr">
        <is>
          <t>R0084253</t>
        </is>
      </c>
      <c r="D80" s="455" t="inlineStr">
        <is>
          <t>14704 E 33rd Place (bt46266)</t>
        </is>
      </c>
      <c r="E80" s="454" t="inlineStr">
        <is>
          <t>Aurora</t>
        </is>
      </c>
      <c r="F80" s="454" t="inlineStr">
        <is>
          <t>CO</t>
        </is>
      </c>
      <c r="G80" s="454" t="inlineStr">
        <is>
          <t>Industrial</t>
        </is>
      </c>
      <c r="H80" s="455" t="inlineStr">
        <is>
          <t>Multi-Tenant Industrial NNN</t>
        </is>
      </c>
      <c r="I80" s="454" t="n"/>
      <c r="J80" s="454" t="n"/>
      <c r="K80" s="454" t="n"/>
      <c r="L80" s="454" t="inlineStr">
        <is>
          <t>R0084253</t>
        </is>
      </c>
      <c r="M80" s="454" t="inlineStr">
        <is>
          <t>Link Logistics</t>
        </is>
      </c>
      <c r="N80" s="455" t="inlineStr">
        <is>
          <t>08_2025 Review – Link Logistics actual P&amp;L</t>
        </is>
      </c>
      <c r="O80" s="454" t="inlineStr">
        <is>
          <t>2026-06-02</t>
        </is>
      </c>
      <c r="P80" s="455" t="inlineStr">
        <is>
          <t>Actual 2024; partial vacancy (electric/gas vacancy costs); same parcel R0084253</t>
        </is>
      </c>
      <c r="Q80" s="256">
        <f>IF(B80="","",IFERROR(INDEX(OCC_TABLE_DESC,MATCH(B80,OCC_TABLE_CODE,0)),"Unrecognized code"))</f>
        <v/>
      </c>
    </row>
    <row r="81" ht="25.5" customHeight="1" s="545">
      <c r="A81" s="452" t="inlineStr">
        <is>
          <t>P078</t>
        </is>
      </c>
      <c r="B81" s="449" t="n">
        <v>210</v>
      </c>
      <c r="C81" s="450" t="inlineStr">
        <is>
          <t>R0084253</t>
        </is>
      </c>
      <c r="D81" s="453" t="inlineStr">
        <is>
          <t>14705 E 33rd Place (bt46267)</t>
        </is>
      </c>
      <c r="E81" s="452" t="inlineStr">
        <is>
          <t>Aurora</t>
        </is>
      </c>
      <c r="F81" s="452" t="inlineStr">
        <is>
          <t>CO</t>
        </is>
      </c>
      <c r="G81" s="452" t="inlineStr">
        <is>
          <t>Industrial</t>
        </is>
      </c>
      <c r="H81" s="453" t="inlineStr">
        <is>
          <t>Multi-Tenant Industrial NNN</t>
        </is>
      </c>
      <c r="I81" s="452" t="n"/>
      <c r="J81" s="452" t="n"/>
      <c r="K81" s="452" t="n"/>
      <c r="L81" s="452" t="inlineStr">
        <is>
          <t>R0084253</t>
        </is>
      </c>
      <c r="M81" s="452" t="inlineStr">
        <is>
          <t>Link Logistics</t>
        </is>
      </c>
      <c r="N81" s="453" t="inlineStr">
        <is>
          <t>08_2025 Review – Link Logistics actual P&amp;L</t>
        </is>
      </c>
      <c r="O81" s="452" t="inlineStr">
        <is>
          <t>2026-06-02</t>
        </is>
      </c>
      <c r="P81" s="453" t="inlineStr">
        <is>
          <t>Actual 2024; partial lease-up/free rent; same parcel R0084253</t>
        </is>
      </c>
      <c r="Q81" s="256">
        <f>IF(B81="","",IFERROR(INDEX(OCC_TABLE_DESC,MATCH(B81,OCC_TABLE_CODE,0)),"Unrecognized code"))</f>
        <v/>
      </c>
    </row>
    <row r="82" ht="25.5" customHeight="1" s="545">
      <c r="A82" s="454" t="inlineStr">
        <is>
          <t>P079</t>
        </is>
      </c>
      <c r="B82" s="449" t="n">
        <v>584</v>
      </c>
      <c r="C82" s="450" t="inlineStr">
        <is>
          <t>R0086214</t>
        </is>
      </c>
      <c r="D82" s="455" t="inlineStr">
        <is>
          <t>Aurora Warehouse (Polar br40666)</t>
        </is>
      </c>
      <c r="E82" s="454" t="inlineStr">
        <is>
          <t>Aurora</t>
        </is>
      </c>
      <c r="F82" s="454" t="inlineStr">
        <is>
          <t>CO</t>
        </is>
      </c>
      <c r="G82" s="454" t="inlineStr">
        <is>
          <t>Industrial</t>
        </is>
      </c>
      <c r="H82" s="455" t="inlineStr">
        <is>
          <t>Mega Warehouse NNN</t>
        </is>
      </c>
      <c r="I82" s="454" t="n"/>
      <c r="J82" s="454" t="n"/>
      <c r="K82" s="454" t="n"/>
      <c r="L82" s="454" t="inlineStr">
        <is>
          <t>R0086214</t>
        </is>
      </c>
      <c r="M82" s="454" t="inlineStr">
        <is>
          <t>Link Logistics</t>
        </is>
      </c>
      <c r="N82" s="455" t="inlineStr">
        <is>
          <t>08_2025 Review – Link Logistics actual P&amp;L</t>
        </is>
      </c>
      <c r="O82" s="454" t="inlineStr">
        <is>
          <t>2026-06-02</t>
        </is>
      </c>
      <c r="P82" s="455" t="inlineStr">
        <is>
          <t>Actual 2023+2024; very large — RE tax $2.2-2.4M; revenue $6.5-7M</t>
        </is>
      </c>
      <c r="Q82" s="256">
        <f>IF(B82="","",IFERROR(INDEX(OCC_TABLE_DESC,MATCH(B82,OCC_TABLE_CODE,0)),"Unrecognized code"))</f>
        <v/>
      </c>
    </row>
    <row r="83" ht="25.5" customHeight="1" s="545">
      <c r="A83" s="452" t="inlineStr">
        <is>
          <t>P080</t>
        </is>
      </c>
      <c r="B83" s="449" t="n">
        <v>407</v>
      </c>
      <c r="C83" s="450" t="inlineStr">
        <is>
          <t>R0194277</t>
        </is>
      </c>
      <c r="D83" s="453" t="inlineStr">
        <is>
          <t>8251 Quintero St</t>
        </is>
      </c>
      <c r="E83" s="452" t="inlineStr">
        <is>
          <t>Commerce City</t>
        </is>
      </c>
      <c r="F83" s="452" t="inlineStr">
        <is>
          <t>CO</t>
        </is>
      </c>
      <c r="G83" s="452" t="inlineStr">
        <is>
          <t>Industrial</t>
        </is>
      </c>
      <c r="H83" s="453" t="inlineStr">
        <is>
          <t>Industrial Warehouse NNN</t>
        </is>
      </c>
      <c r="I83" s="452" t="n"/>
      <c r="J83" s="452" t="n"/>
      <c r="K83" s="452" t="n"/>
      <c r="L83" s="452" t="inlineStr">
        <is>
          <t>R0194277</t>
        </is>
      </c>
      <c r="M83" s="452" t="inlineStr">
        <is>
          <t>Becknell Industrial</t>
        </is>
      </c>
      <c r="N83" s="453" t="inlineStr">
        <is>
          <t>08_2025 Review – Becknell Industrial actual P&amp;L</t>
        </is>
      </c>
      <c r="O83" s="452" t="inlineStr">
        <is>
          <t>2026-06-02</t>
        </is>
      </c>
      <c r="P83" s="453" t="inlineStr">
        <is>
          <t>Actual accrual 2023+2024; large RE taxes ~$2M; snow $151-188k</t>
        </is>
      </c>
      <c r="Q83" s="256">
        <f>IF(B83="","",IFERROR(INDEX(OCC_TABLE_DESC,MATCH(B83,OCC_TABLE_CODE,0)),"Unrecognized code"))</f>
        <v/>
      </c>
    </row>
    <row r="84" ht="25.5" customHeight="1" s="545">
      <c r="A84" s="454" t="inlineStr">
        <is>
          <t>P081</t>
        </is>
      </c>
      <c r="B84" s="449" t="n">
        <v>407</v>
      </c>
      <c r="C84" s="450" t="inlineStr">
        <is>
          <t>R0198176</t>
        </is>
      </c>
      <c r="D84" s="455" t="inlineStr">
        <is>
          <t>21800 E 19th Ave</t>
        </is>
      </c>
      <c r="E84" s="454" t="inlineStr">
        <is>
          <t>Aurora</t>
        </is>
      </c>
      <c r="F84" s="454" t="inlineStr">
        <is>
          <t>CO</t>
        </is>
      </c>
      <c r="G84" s="454" t="inlineStr">
        <is>
          <t>Industrial</t>
        </is>
      </c>
      <c r="H84" s="455" t="inlineStr">
        <is>
          <t>Industrial Warehouse NNN</t>
        </is>
      </c>
      <c r="I84" s="454" t="n"/>
      <c r="J84" s="454" t="n"/>
      <c r="K84" s="454" t="n"/>
      <c r="L84" s="454" t="inlineStr">
        <is>
          <t>R0198176</t>
        </is>
      </c>
      <c r="M84" s="454" t="inlineStr">
        <is>
          <t>Becknell Industrial</t>
        </is>
      </c>
      <c r="N84" s="455" t="inlineStr">
        <is>
          <t>08_2025 Review – Becknell Industrial actual P&amp;L</t>
        </is>
      </c>
      <c r="O84" s="454" t="inlineStr">
        <is>
          <t>2026-06-02</t>
        </is>
      </c>
      <c r="P84" s="455" t="inlineStr">
        <is>
          <t>Actual accrual 2023+2024; absolute NNN – tenant pays RE taxes directly</t>
        </is>
      </c>
      <c r="Q84" s="256">
        <f>IF(B84="","",IFERROR(INDEX(OCC_TABLE_DESC,MATCH(B84,OCC_TABLE_CODE,0)),"Unrecognized code"))</f>
        <v/>
      </c>
    </row>
    <row r="85" ht="25.5" customHeight="1" s="545">
      <c r="A85" s="452" t="inlineStr">
        <is>
          <t>P082</t>
        </is>
      </c>
      <c r="B85" s="449" t="n">
        <v>407</v>
      </c>
      <c r="C85" s="450" t="inlineStr">
        <is>
          <t>R0201311</t>
        </is>
      </c>
      <c r="D85" s="453" t="inlineStr">
        <is>
          <t>Ascent Commerce Center Bldg I</t>
        </is>
      </c>
      <c r="E85" s="452" t="inlineStr">
        <is>
          <t>Aurora</t>
        </is>
      </c>
      <c r="F85" s="452" t="inlineStr">
        <is>
          <t>CO</t>
        </is>
      </c>
      <c r="G85" s="452" t="inlineStr">
        <is>
          <t>Industrial</t>
        </is>
      </c>
      <c r="H85" s="453" t="inlineStr">
        <is>
          <t>Industrial Warehouse NNN</t>
        </is>
      </c>
      <c r="I85" s="452" t="n"/>
      <c r="J85" s="452" t="n"/>
      <c r="K85" s="452" t="n"/>
      <c r="L85" s="452" t="inlineStr">
        <is>
          <t>R0201311</t>
        </is>
      </c>
      <c r="M85" s="452" t="inlineStr">
        <is>
          <t>Ambrose Property Group</t>
        </is>
      </c>
      <c r="N85" s="453" t="inlineStr">
        <is>
          <t>08_2025 Review – Ambrose Property Group actual P&amp;L</t>
        </is>
      </c>
      <c r="O85" s="452" t="inlineStr">
        <is>
          <t>2026-06-02</t>
        </is>
      </c>
      <c r="P85" s="453" t="inlineStr">
        <is>
          <t>Q4 2024 only (Oct–Dec); partial-year/lease-up; 3-bldg campus</t>
        </is>
      </c>
      <c r="Q85" s="256">
        <f>IF(B85="","",IFERROR(INDEX(OCC_TABLE_DESC,MATCH(B85,OCC_TABLE_CODE,0)),"Unrecognized code"))</f>
        <v/>
      </c>
    </row>
    <row r="86" ht="25.5" customHeight="1" s="545">
      <c r="A86" s="454" t="inlineStr">
        <is>
          <t>P083</t>
        </is>
      </c>
      <c r="B86" s="449" t="n">
        <v>407</v>
      </c>
      <c r="C86" s="450" t="inlineStr">
        <is>
          <t>R0201311</t>
        </is>
      </c>
      <c r="D86" s="455" t="inlineStr">
        <is>
          <t>Ascent Commerce Center Bldg II</t>
        </is>
      </c>
      <c r="E86" s="454" t="inlineStr">
        <is>
          <t>Aurora</t>
        </is>
      </c>
      <c r="F86" s="454" t="inlineStr">
        <is>
          <t>CO</t>
        </is>
      </c>
      <c r="G86" s="454" t="inlineStr">
        <is>
          <t>Industrial</t>
        </is>
      </c>
      <c r="H86" s="455" t="inlineStr">
        <is>
          <t>Industrial Warehouse NNN</t>
        </is>
      </c>
      <c r="I86" s="454" t="n"/>
      <c r="J86" s="454" t="n"/>
      <c r="K86" s="454" t="n"/>
      <c r="L86" s="454" t="inlineStr">
        <is>
          <t>R0201311</t>
        </is>
      </c>
      <c r="M86" s="454" t="inlineStr">
        <is>
          <t>Ambrose Property Group</t>
        </is>
      </c>
      <c r="N86" s="455" t="inlineStr">
        <is>
          <t>08_2025 Review – Ambrose Property Group actual P&amp;L</t>
        </is>
      </c>
      <c r="O86" s="454" t="inlineStr">
        <is>
          <t>2026-06-02</t>
        </is>
      </c>
      <c r="P86" s="455" t="inlineStr">
        <is>
          <t>Q4 2024 only (Oct–Dec); partial-year/lease-up; same campus R0201311</t>
        </is>
      </c>
      <c r="Q86" s="256">
        <f>IF(B86="","",IFERROR(INDEX(OCC_TABLE_DESC,MATCH(B86,OCC_TABLE_CODE,0)),"Unrecognized code"))</f>
        <v/>
      </c>
    </row>
    <row r="87" ht="25.5" customHeight="1" s="545">
      <c r="A87" s="452" t="inlineStr">
        <is>
          <t>P084</t>
        </is>
      </c>
      <c r="B87" s="449" t="n">
        <v>407</v>
      </c>
      <c r="C87" s="450" t="inlineStr">
        <is>
          <t>R0201311</t>
        </is>
      </c>
      <c r="D87" s="453" t="inlineStr">
        <is>
          <t>Ascent Commerce Center Bldg III</t>
        </is>
      </c>
      <c r="E87" s="452" t="inlineStr">
        <is>
          <t>Aurora</t>
        </is>
      </c>
      <c r="F87" s="452" t="inlineStr">
        <is>
          <t>CO</t>
        </is>
      </c>
      <c r="G87" s="452" t="inlineStr">
        <is>
          <t>Industrial</t>
        </is>
      </c>
      <c r="H87" s="453" t="inlineStr">
        <is>
          <t>Industrial Warehouse NNN</t>
        </is>
      </c>
      <c r="I87" s="452" t="n"/>
      <c r="J87" s="452" t="n"/>
      <c r="K87" s="452" t="n"/>
      <c r="L87" s="452" t="inlineStr">
        <is>
          <t>R0201311</t>
        </is>
      </c>
      <c r="M87" s="452" t="inlineStr">
        <is>
          <t>Ambrose Property Group</t>
        </is>
      </c>
      <c r="N87" s="453" t="inlineStr">
        <is>
          <t>08_2025 Review – Ambrose Property Group actual P&amp;L</t>
        </is>
      </c>
      <c r="O87" s="452" t="inlineStr">
        <is>
          <t>2026-06-02</t>
        </is>
      </c>
      <c r="P87" s="453" t="inlineStr">
        <is>
          <t>Q4 2024 only (Oct–Dec); lease-up/negative NOI; same campus R0201311</t>
        </is>
      </c>
      <c r="Q87" s="256">
        <f>IF(B87="","",IFERROR(INDEX(OCC_TABLE_DESC,MATCH(B87,OCC_TABLE_CODE,0)),"Unrecognized code"))</f>
        <v/>
      </c>
    </row>
    <row r="88" ht="12.75" customHeight="1" s="545">
      <c r="A88" s="452" t="inlineStr">
        <is>
          <t>P085</t>
        </is>
      </c>
      <c r="B88" s="449" t="n">
        <v>210</v>
      </c>
      <c r="C88" s="450" t="inlineStr">
        <is>
          <t>R0093018</t>
        </is>
      </c>
      <c r="D88" s="453" t="inlineStr">
        <is>
          <t>3350 Peoria St</t>
        </is>
      </c>
      <c r="E88" s="452" t="inlineStr">
        <is>
          <t>Denver</t>
        </is>
      </c>
      <c r="F88" s="452" t="inlineStr">
        <is>
          <t>CO</t>
        </is>
      </c>
      <c r="G88" s="452" t="inlineStr">
        <is>
          <t>Industrial</t>
        </is>
      </c>
      <c r="H88" s="453" t="inlineStr">
        <is>
          <t>Office/Industrial Flex</t>
        </is>
      </c>
      <c r="I88" s="452" t="n"/>
      <c r="J88" s="452" t="n">
        <v>33057</v>
      </c>
      <c r="K88" s="452" t="n"/>
      <c r="L88" s="452" t="inlineStr">
        <is>
          <t>R0093018</t>
        </is>
      </c>
      <c r="M88" s="452" t="n"/>
      <c r="N88" s="453" t="inlineStr">
        <is>
          <t>Lease, Rent or Op Income info – owner P&amp;L 2024</t>
        </is>
      </c>
      <c r="O88" s="452" t="inlineStr">
        <is>
          <t>2026-06-03</t>
        </is>
      </c>
      <c r="P88" s="453" t="inlineStr">
        <is>
          <t>Office/Industrial flex; owner-submitted 2024 P&amp;L</t>
        </is>
      </c>
      <c r="Q88" s="256">
        <f>IF(B88="","",IFERROR(INDEX(OCC_TABLE_DESC,MATCH(B88,OCC_TABLE_CODE,0)),"Unrecognized code"))</f>
        <v/>
      </c>
    </row>
    <row r="89" ht="25.5" customHeight="1" s="545">
      <c r="A89" s="454" t="inlineStr">
        <is>
          <t>P086</t>
        </is>
      </c>
      <c r="B89" s="449" t="n">
        <v>406</v>
      </c>
      <c r="C89" s="450" t="inlineStr">
        <is>
          <t>R0210684</t>
        </is>
      </c>
      <c r="D89" s="455" t="inlineStr">
        <is>
          <t>14200 E Moncrieff Place</t>
        </is>
      </c>
      <c r="E89" s="454" t="inlineStr">
        <is>
          <t>Aurora</t>
        </is>
      </c>
      <c r="F89" s="454" t="inlineStr">
        <is>
          <t>CO</t>
        </is>
      </c>
      <c r="G89" s="454" t="inlineStr">
        <is>
          <t>Industrial</t>
        </is>
      </c>
      <c r="H89" s="455" t="inlineStr">
        <is>
          <t>Industrial Warehouse</t>
        </is>
      </c>
      <c r="I89" s="454" t="n">
        <v>1980</v>
      </c>
      <c r="J89" s="454" t="n">
        <v>233808</v>
      </c>
      <c r="K89" s="454" t="n"/>
      <c r="L89" s="454" t="inlineStr">
        <is>
          <t>R0210684</t>
        </is>
      </c>
      <c r="M89" s="454" t="n"/>
      <c r="N89" s="455" t="inlineStr">
        <is>
          <t>Lease, Rent or Op Income info – owner P&amp;L 2023+2024</t>
        </is>
      </c>
      <c r="O89" s="454" t="inlineStr">
        <is>
          <t>2026-06-03</t>
        </is>
      </c>
      <c r="P89" s="455" t="inlineStr">
        <is>
          <t>Large industrial; 1980 YOC; 233,808 SF</t>
        </is>
      </c>
      <c r="Q89" s="256">
        <f>IF(B89="","",IFERROR(INDEX(OCC_TABLE_DESC,MATCH(B89,OCC_TABLE_CODE,0)),"Unrecognized code"))</f>
        <v/>
      </c>
    </row>
    <row r="90" ht="25.5" customHeight="1" s="545">
      <c r="A90" s="452" t="inlineStr">
        <is>
          <t>P087</t>
        </is>
      </c>
      <c r="B90" s="449" t="n">
        <v>407</v>
      </c>
      <c r="C90" s="450" t="inlineStr">
        <is>
          <t>R0102985</t>
        </is>
      </c>
      <c r="D90" s="453" t="inlineStr">
        <is>
          <t>5861 Tennyson St</t>
        </is>
      </c>
      <c r="E90" s="452" t="inlineStr">
        <is>
          <t>Arvada</t>
        </is>
      </c>
      <c r="F90" s="452" t="inlineStr">
        <is>
          <t>CO</t>
        </is>
      </c>
      <c r="G90" s="452" t="inlineStr">
        <is>
          <t>Industrial</t>
        </is>
      </c>
      <c r="H90" s="453" t="inlineStr">
        <is>
          <t>Industrial NNN</t>
        </is>
      </c>
      <c r="I90" s="452" t="n">
        <v>2000</v>
      </c>
      <c r="J90" s="452" t="n">
        <v>80640</v>
      </c>
      <c r="K90" s="452" t="n"/>
      <c r="L90" s="452" t="inlineStr">
        <is>
          <t>R0102985</t>
        </is>
      </c>
      <c r="M90" s="452" t="n"/>
      <c r="N90" s="453" t="inlineStr">
        <is>
          <t>Lease, Rent or Op Income info – owner P&amp;L 2023+2024</t>
        </is>
      </c>
      <c r="O90" s="452" t="inlineStr">
        <is>
          <t>2026-06-03</t>
        </is>
      </c>
      <c r="P90" s="453" t="inlineStr">
        <is>
          <t>NNN; landlord expenses only (tenant pays RE tax); 2000 YOC</t>
        </is>
      </c>
      <c r="Q90" s="256">
        <f>IF(B90="","",IFERROR(INDEX(OCC_TABLE_DESC,MATCH(B90,OCC_TABLE_CODE,0)),"Unrecognized code"))</f>
        <v/>
      </c>
    </row>
    <row r="91" ht="12.75" customHeight="1" s="545">
      <c r="A91" s="454" t="inlineStr">
        <is>
          <t>P088</t>
        </is>
      </c>
      <c r="B91" s="449" t="n">
        <v>210</v>
      </c>
      <c r="C91" s="450" t="inlineStr">
        <is>
          <t>R0090973</t>
        </is>
      </c>
      <c r="D91" s="455" t="inlineStr">
        <is>
          <t>3975 E 56th Ave</t>
        </is>
      </c>
      <c r="E91" s="454" t="inlineStr">
        <is>
          <t>Commerce City</t>
        </is>
      </c>
      <c r="F91" s="454" t="inlineStr">
        <is>
          <t>CO</t>
        </is>
      </c>
      <c r="G91" s="454" t="inlineStr">
        <is>
          <t>Industrial</t>
        </is>
      </c>
      <c r="H91" s="455" t="inlineStr">
        <is>
          <t>Multi-Tenant Industrial</t>
        </is>
      </c>
      <c r="I91" s="454" t="n"/>
      <c r="J91" s="454" t="n">
        <v>42299</v>
      </c>
      <c r="K91" s="454" t="n"/>
      <c r="L91" s="454" t="inlineStr">
        <is>
          <t>R0090973</t>
        </is>
      </c>
      <c r="M91" s="454" t="n"/>
      <c r="N91" s="455" t="inlineStr">
        <is>
          <t>Lease, Rent or Op Income info – owner P&amp;L 2024</t>
        </is>
      </c>
      <c r="O91" s="454" t="inlineStr">
        <is>
          <t>2026-06-03</t>
        </is>
      </c>
      <c r="P91" s="455" t="inlineStr">
        <is>
          <t>Sand Creek Business Park; 2024 only</t>
        </is>
      </c>
      <c r="Q91" s="256">
        <f>IF(B91="","",IFERROR(INDEX(OCC_TABLE_DESC,MATCH(B91,OCC_TABLE_CODE,0)),"Unrecognized code"))</f>
        <v/>
      </c>
    </row>
    <row r="92" ht="25.5" customHeight="1" s="545">
      <c r="A92" s="452" t="inlineStr">
        <is>
          <t>P089</t>
        </is>
      </c>
      <c r="B92" s="449" t="n">
        <v>407</v>
      </c>
      <c r="C92" s="450" t="inlineStr">
        <is>
          <t>R0180951</t>
        </is>
      </c>
      <c r="D92" s="453" t="inlineStr">
        <is>
          <t>(Address TBD – R0180951)</t>
        </is>
      </c>
      <c r="E92" s="452" t="inlineStr">
        <is>
          <t>Adams County</t>
        </is>
      </c>
      <c r="F92" s="452" t="inlineStr">
        <is>
          <t>CO</t>
        </is>
      </c>
      <c r="G92" s="452" t="inlineStr">
        <is>
          <t>Industrial</t>
        </is>
      </c>
      <c r="H92" s="453" t="inlineStr">
        <is>
          <t>Industrial NNN</t>
        </is>
      </c>
      <c r="I92" s="452" t="n">
        <v>2016</v>
      </c>
      <c r="J92" s="452" t="n">
        <v>122106</v>
      </c>
      <c r="K92" s="452" t="n"/>
      <c r="L92" s="452" t="inlineStr">
        <is>
          <t>R0180951</t>
        </is>
      </c>
      <c r="M92" s="452" t="n"/>
      <c r="N92" s="453" t="inlineStr">
        <is>
          <t>WH Expenses 2026-Working File – NNN landlord expenses 2023+2024</t>
        </is>
      </c>
      <c r="O92" s="452" t="inlineStr">
        <is>
          <t>2026-06-03</t>
        </is>
      </c>
      <c r="P92" s="453" t="inlineStr">
        <is>
          <t>NNN; landlord RE Tax, Ins, Utils, CAM only; 2023+2024</t>
        </is>
      </c>
      <c r="Q92" s="256">
        <f>IF(B92="","",IFERROR(INDEX(OCC_TABLE_DESC,MATCH(B92,OCC_TABLE_CODE,0)),"Unrecognized code"))</f>
        <v/>
      </c>
    </row>
    <row r="93" ht="25.5" customHeight="1" s="545">
      <c r="A93" s="454" t="inlineStr">
        <is>
          <t>P090</t>
        </is>
      </c>
      <c r="B93" s="449" t="n">
        <v>407</v>
      </c>
      <c r="C93" s="450" t="inlineStr">
        <is>
          <t>R0110351</t>
        </is>
      </c>
      <c r="D93" s="455" t="inlineStr">
        <is>
          <t>(Address TBD – R0110351)</t>
        </is>
      </c>
      <c r="E93" s="454" t="inlineStr">
        <is>
          <t>Adams County</t>
        </is>
      </c>
      <c r="F93" s="454" t="inlineStr">
        <is>
          <t>CO</t>
        </is>
      </c>
      <c r="G93" s="454" t="inlineStr">
        <is>
          <t>Industrial</t>
        </is>
      </c>
      <c r="H93" s="455" t="inlineStr">
        <is>
          <t>Industrial NNN</t>
        </is>
      </c>
      <c r="I93" s="454" t="n">
        <v>2000</v>
      </c>
      <c r="J93" s="454" t="n">
        <v>85200</v>
      </c>
      <c r="K93" s="454" t="n"/>
      <c r="L93" s="454" t="inlineStr">
        <is>
          <t>R0110351</t>
        </is>
      </c>
      <c r="M93" s="454" t="n"/>
      <c r="N93" s="455" t="inlineStr">
        <is>
          <t>WH Expenses 2026-Working File – NNN landlord expenses 2023+2024</t>
        </is>
      </c>
      <c r="O93" s="454" t="inlineStr">
        <is>
          <t>2026-06-03</t>
        </is>
      </c>
      <c r="P93" s="455" t="inlineStr">
        <is>
          <t>NNN; landlord RE Tax, Ins, CAM only; 2023+2024</t>
        </is>
      </c>
      <c r="Q93" s="256">
        <f>IF(B93="","",IFERROR(INDEX(OCC_TABLE_DESC,MATCH(B93,OCC_TABLE_CODE,0)),"Unrecognized code"))</f>
        <v/>
      </c>
    </row>
    <row r="94" ht="25.5" customHeight="1" s="545">
      <c r="A94" s="452" t="inlineStr">
        <is>
          <t>P091</t>
        </is>
      </c>
      <c r="B94" s="449" t="n">
        <v>584</v>
      </c>
      <c r="C94" s="450" t="inlineStr">
        <is>
          <t>R0198530</t>
        </is>
      </c>
      <c r="D94" s="453" t="inlineStr">
        <is>
          <t>(Address TBD – R0198530)</t>
        </is>
      </c>
      <c r="E94" s="452" t="inlineStr">
        <is>
          <t>Adams County</t>
        </is>
      </c>
      <c r="F94" s="452" t="inlineStr">
        <is>
          <t>CO</t>
        </is>
      </c>
      <c r="G94" s="452" t="inlineStr">
        <is>
          <t>Industrial</t>
        </is>
      </c>
      <c r="H94" s="453" t="inlineStr">
        <is>
          <t>Industrial Mega-Warehouse NNN</t>
        </is>
      </c>
      <c r="I94" s="452" t="n">
        <v>2019</v>
      </c>
      <c r="J94" s="452" t="n">
        <v>555867</v>
      </c>
      <c r="K94" s="452" t="n"/>
      <c r="L94" s="452" t="inlineStr">
        <is>
          <t>R0198530</t>
        </is>
      </c>
      <c r="M94" s="452" t="n"/>
      <c r="N94" s="453" t="inlineStr">
        <is>
          <t>WH Expenses 2026-Working File – NNN landlord expenses 2024</t>
        </is>
      </c>
      <c r="O94" s="452" t="inlineStr">
        <is>
          <t>2026-06-03</t>
        </is>
      </c>
      <c r="P94" s="453" t="inlineStr">
        <is>
          <t>Mega-warehouse; NNN; landlord RE Tax, Ins, Mgmt only; 2024</t>
        </is>
      </c>
      <c r="Q94" s="256">
        <f>IF(B94="","",IFERROR(INDEX(OCC_TABLE_DESC,MATCH(B94,OCC_TABLE_CODE,0)),"Unrecognized code"))</f>
        <v/>
      </c>
    </row>
    <row r="95" ht="25.5" customHeight="1" s="545">
      <c r="A95" s="454" t="inlineStr">
        <is>
          <t>P092</t>
        </is>
      </c>
      <c r="B95" s="449" t="n">
        <v>447</v>
      </c>
      <c r="C95" s="450" t="inlineStr">
        <is>
          <t>R0180834</t>
        </is>
      </c>
      <c r="D95" s="455" t="inlineStr">
        <is>
          <t>(Address TBD – R0180834)</t>
        </is>
      </c>
      <c r="E95" s="454" t="inlineStr">
        <is>
          <t>Adams County</t>
        </is>
      </c>
      <c r="F95" s="454" t="inlineStr">
        <is>
          <t>CO</t>
        </is>
      </c>
      <c r="G95" s="454" t="inlineStr">
        <is>
          <t>Industrial</t>
        </is>
      </c>
      <c r="H95" s="455" t="inlineStr">
        <is>
          <t>Cold Storage/Mega-Warehouse NNN</t>
        </is>
      </c>
      <c r="I95" s="454" t="n">
        <v>2012</v>
      </c>
      <c r="J95" s="454" t="n">
        <v>550031</v>
      </c>
      <c r="K95" s="454" t="n"/>
      <c r="L95" s="454" t="inlineStr">
        <is>
          <t>R0180834</t>
        </is>
      </c>
      <c r="M95" s="454" t="n"/>
      <c r="N95" s="455" t="inlineStr">
        <is>
          <t>WH Expenses 2026-Working File – NNN landlord expenses 2024</t>
        </is>
      </c>
      <c r="O95" s="454" t="inlineStr">
        <is>
          <t>2026-06-03</t>
        </is>
      </c>
      <c r="P95" s="455" t="inlineStr">
        <is>
          <t>Cold storage/mega-WH; NNN; 2012 YOC; landlord RE Tax, Ins, Mgmt only</t>
        </is>
      </c>
      <c r="Q95" s="256">
        <f>IF(B95="","",IFERROR(INDEX(OCC_TABLE_DESC,MATCH(B95,OCC_TABLE_CODE,0)),"Unrecognized code"))</f>
        <v/>
      </c>
    </row>
    <row r="96" ht="25.5" customHeight="1" s="545">
      <c r="A96" s="452" t="inlineStr">
        <is>
          <t>P093</t>
        </is>
      </c>
      <c r="B96" s="449" t="n">
        <v>407</v>
      </c>
      <c r="C96" s="450" t="inlineStr">
        <is>
          <t>R0114792</t>
        </is>
      </c>
      <c r="D96" s="453" t="inlineStr">
        <is>
          <t>(Address TBD – R0114792)</t>
        </is>
      </c>
      <c r="E96" s="452" t="inlineStr">
        <is>
          <t>Adams County</t>
        </is>
      </c>
      <c r="F96" s="452" t="inlineStr">
        <is>
          <t>CO</t>
        </is>
      </c>
      <c r="G96" s="452" t="inlineStr">
        <is>
          <t>Industrial</t>
        </is>
      </c>
      <c r="H96" s="453" t="inlineStr">
        <is>
          <t>Industrial NNN</t>
        </is>
      </c>
      <c r="I96" s="452" t="n">
        <v>1998</v>
      </c>
      <c r="J96" s="452" t="n">
        <v>64501</v>
      </c>
      <c r="K96" s="452" t="n"/>
      <c r="L96" s="452" t="inlineStr">
        <is>
          <t>R0114792</t>
        </is>
      </c>
      <c r="M96" s="452" t="n"/>
      <c r="N96" s="453" t="inlineStr">
        <is>
          <t>WH Expenses 2026-Working File – NNN landlord expenses 2023+2024</t>
        </is>
      </c>
      <c r="O96" s="452" t="inlineStr">
        <is>
          <t>2026-06-03</t>
        </is>
      </c>
      <c r="P96" s="453" t="inlineStr">
        <is>
          <t>NNN; landlord RE Tax, Ins, Mgmt only; 1998 YOC</t>
        </is>
      </c>
      <c r="Q96" s="256">
        <f>IF(B96="","",IFERROR(INDEX(OCC_TABLE_DESC,MATCH(B96,OCC_TABLE_CODE,0)),"Unrecognized code"))</f>
        <v/>
      </c>
    </row>
    <row r="97" ht="25.5" customHeight="1" s="545">
      <c r="A97" s="452" t="inlineStr">
        <is>
          <t>P094</t>
        </is>
      </c>
      <c r="B97" s="449" t="n">
        <v>407</v>
      </c>
      <c r="C97" s="450" t="inlineStr">
        <is>
          <t>R0104122</t>
        </is>
      </c>
      <c r="D97" s="453" t="inlineStr">
        <is>
          <t>550 W 53rd Pl</t>
        </is>
      </c>
      <c r="E97" s="452" t="inlineStr">
        <is>
          <t>Denver</t>
        </is>
      </c>
      <c r="F97" s="452" t="inlineStr">
        <is>
          <t>CO</t>
        </is>
      </c>
      <c r="G97" s="452" t="inlineStr">
        <is>
          <t>Industrial</t>
        </is>
      </c>
      <c r="H97" s="453" t="inlineStr">
        <is>
          <t>Distribution Warehouse</t>
        </is>
      </c>
      <c r="I97" s="452" t="n">
        <v>1971</v>
      </c>
      <c r="J97" s="452" t="n">
        <v>127900</v>
      </c>
      <c r="K97" s="452" t="n"/>
      <c r="L97" s="452" t="inlineStr">
        <is>
          <t>R0104122</t>
        </is>
      </c>
      <c r="M97" s="452" t="n"/>
      <c r="N97" s="453" t="inlineStr">
        <is>
          <t>Brad-CBOE 2024 – appraiser income approach pro forma</t>
        </is>
      </c>
      <c r="O97" s="452" t="inlineStr">
        <is>
          <t>2026-06-03</t>
        </is>
      </c>
      <c r="P97" s="453" t="inlineStr">
        <is>
          <t>YOC 1971 (remod 1999/eff 1985); 127,900 SF; 2024 CBOE abatement income approach</t>
        </is>
      </c>
      <c r="Q97" s="256">
        <f>IF(B97="","",IFERROR(INDEX(OCC_TABLE_DESC,MATCH(B97,OCC_TABLE_CODE,0)),"Unrecognized code"))</f>
        <v/>
      </c>
    </row>
    <row r="98" ht="25.5" customHeight="1" s="545">
      <c r="A98" s="454" t="inlineStr">
        <is>
          <t>P095</t>
        </is>
      </c>
      <c r="B98" s="449" t="n">
        <v>386</v>
      </c>
      <c r="C98" s="450" t="inlineStr">
        <is>
          <t>R0086010</t>
        </is>
      </c>
      <c r="D98" s="455" t="inlineStr">
        <is>
          <t>15413 E 18th Ave</t>
        </is>
      </c>
      <c r="E98" s="454" t="inlineStr">
        <is>
          <t>Aurora</t>
        </is>
      </c>
      <c r="F98" s="454" t="inlineStr">
        <is>
          <t>CO</t>
        </is>
      </c>
      <c r="G98" s="454" t="inlineStr">
        <is>
          <t>Self-Storage</t>
        </is>
      </c>
      <c r="H98" s="455" t="inlineStr">
        <is>
          <t>Self-Storage</t>
        </is>
      </c>
      <c r="I98" s="454" t="n">
        <v>1984</v>
      </c>
      <c r="J98" s="454" t="n">
        <v>63989</v>
      </c>
      <c r="K98" s="454" t="n"/>
      <c r="L98" s="454" t="inlineStr">
        <is>
          <t>R0086010</t>
        </is>
      </c>
      <c r="M98" s="454" t="n"/>
      <c r="N98" s="455" t="inlineStr">
        <is>
          <t>AXG CBOE 2024 – appraiser income approach pro forma</t>
        </is>
      </c>
      <c r="O98" s="454" t="inlineStr">
        <is>
          <t>2026-06-03</t>
        </is>
      </c>
      <c r="P98" s="455" t="inlineStr">
        <is>
          <t>8 buildings; NRA 57,754 SF; GBA 63,989 SF; 1984 YOC</t>
        </is>
      </c>
      <c r="Q98" s="256">
        <f>IF(B98="","",IFERROR(INDEX(OCC_TABLE_DESC,MATCH(B98,OCC_TABLE_CODE,0)),"Unrecognized code"))</f>
        <v/>
      </c>
    </row>
    <row r="99" ht="25.5" customHeight="1" s="545">
      <c r="A99" s="452" t="inlineStr">
        <is>
          <t>P096</t>
        </is>
      </c>
      <c r="B99" s="449" t="n">
        <v>407</v>
      </c>
      <c r="C99" s="450" t="inlineStr">
        <is>
          <t>R0083917</t>
        </is>
      </c>
      <c r="D99" s="453" t="inlineStr">
        <is>
          <t>14701 E 38th Ave</t>
        </is>
      </c>
      <c r="E99" s="452" t="inlineStr">
        <is>
          <t>Aurora</t>
        </is>
      </c>
      <c r="F99" s="452" t="inlineStr">
        <is>
          <t>CO</t>
        </is>
      </c>
      <c r="G99" s="452" t="inlineStr">
        <is>
          <t>Industrial</t>
        </is>
      </c>
      <c r="H99" s="453" t="inlineStr">
        <is>
          <t>Industrial Owner-User</t>
        </is>
      </c>
      <c r="I99" s="452" t="n"/>
      <c r="J99" s="452" t="n">
        <v>117280</v>
      </c>
      <c r="K99" s="452" t="n"/>
      <c r="L99" s="452" t="inlineStr">
        <is>
          <t>R0083917</t>
        </is>
      </c>
      <c r="M99" s="452" t="n"/>
      <c r="N99" s="453" t="inlineStr">
        <is>
          <t>MT.xlsx I&amp;E Survey 2024</t>
        </is>
      </c>
      <c r="O99" s="452" t="inlineStr">
        <is>
          <t>2026-06-03</t>
        </is>
      </c>
      <c r="P99" s="453" t="inlineStr">
        <is>
          <t>Owner-user; expenses may include non-RE items (flag); 117,280 SF</t>
        </is>
      </c>
      <c r="Q99" s="256">
        <f>IF(B99="","",IFERROR(INDEX(OCC_TABLE_DESC,MATCH(B99,OCC_TABLE_CODE,0)),"Unrecognized code"))</f>
        <v/>
      </c>
    </row>
    <row r="100" ht="12.75" customHeight="1" s="545">
      <c r="A100" s="454" t="inlineStr">
        <is>
          <t>P097</t>
        </is>
      </c>
      <c r="B100" s="449" t="n">
        <v>210</v>
      </c>
      <c r="C100" s="450" t="inlineStr">
        <is>
          <t>R0137586</t>
        </is>
      </c>
      <c r="D100" s="455" t="inlineStr">
        <is>
          <t>7273-7285 E 96th Ave</t>
        </is>
      </c>
      <c r="E100" s="454" t="inlineStr">
        <is>
          <t>Commerce City</t>
        </is>
      </c>
      <c r="F100" s="454" t="inlineStr">
        <is>
          <t>CO</t>
        </is>
      </c>
      <c r="G100" s="454" t="inlineStr">
        <is>
          <t>Industrial</t>
        </is>
      </c>
      <c r="H100" s="455" t="inlineStr">
        <is>
          <t>Multi-Tenant Industrial</t>
        </is>
      </c>
      <c r="I100" s="454" t="n"/>
      <c r="J100" s="454" t="n">
        <v>57200</v>
      </c>
      <c r="K100" s="454" t="n"/>
      <c r="L100" s="454" t="inlineStr">
        <is>
          <t>R0137586</t>
        </is>
      </c>
      <c r="M100" s="454" t="n"/>
      <c r="N100" s="455" t="inlineStr">
        <is>
          <t>MT.xlsx I&amp;E Survey 2023</t>
        </is>
      </c>
      <c r="O100" s="454" t="inlineStr">
        <is>
          <t>2026-06-03</t>
        </is>
      </c>
      <c r="P100" s="455" t="inlineStr">
        <is>
          <t>Modified lease; 57,200 SF; 2023 survey data</t>
        </is>
      </c>
      <c r="Q100" s="256">
        <f>IF(B100="","",IFERROR(INDEX(OCC_TABLE_DESC,MATCH(B100,OCC_TABLE_CODE,0)),"Unrecognized code"))</f>
        <v/>
      </c>
    </row>
    <row r="101" ht="25.5" customHeight="1" s="545">
      <c r="A101" s="452" t="inlineStr">
        <is>
          <t>P098</t>
        </is>
      </c>
      <c r="B101" s="449" t="n">
        <v>210</v>
      </c>
      <c r="C101" s="450" t="inlineStr">
        <is>
          <t>R0187010</t>
        </is>
      </c>
      <c r="D101" s="453" t="inlineStr">
        <is>
          <t>8020 Steele St</t>
        </is>
      </c>
      <c r="E101" s="452" t="inlineStr">
        <is>
          <t>Denver</t>
        </is>
      </c>
      <c r="F101" s="452" t="inlineStr">
        <is>
          <t>CO</t>
        </is>
      </c>
      <c r="G101" s="452" t="inlineStr">
        <is>
          <t>Industrial</t>
        </is>
      </c>
      <c r="H101" s="453" t="inlineStr">
        <is>
          <t>Industrial Modified Gross</t>
        </is>
      </c>
      <c r="I101" s="452" t="n"/>
      <c r="J101" s="452" t="n">
        <v>70000</v>
      </c>
      <c r="K101" s="452" t="n"/>
      <c r="L101" s="452" t="inlineStr">
        <is>
          <t>R0187010</t>
        </is>
      </c>
      <c r="M101" s="452" t="n"/>
      <c r="N101" s="453" t="inlineStr">
        <is>
          <t>MT.xlsx I&amp;E Survey 2024</t>
        </is>
      </c>
      <c r="O101" s="452" t="inlineStr">
        <is>
          <t>2026-06-03</t>
        </is>
      </c>
      <c r="P101" s="453" t="inlineStr">
        <is>
          <t>Modified gross; owner pays ins/R&amp;M/mgmt; tenant pays utils/trash; 70,000 SF</t>
        </is>
      </c>
      <c r="Q101" s="256">
        <f>IF(B101="","",IFERROR(INDEX(OCC_TABLE_DESC,MATCH(B101,OCC_TABLE_CODE,0)),"Unrecognized code"))</f>
        <v/>
      </c>
    </row>
    <row r="102" ht="25.5" customHeight="1" s="545">
      <c r="A102" s="454" t="inlineStr">
        <is>
          <t>P099</t>
        </is>
      </c>
      <c r="B102" s="449" t="n">
        <v>210</v>
      </c>
      <c r="C102" s="450" t="inlineStr">
        <is>
          <t>R0111914</t>
        </is>
      </c>
      <c r="D102" s="455" t="inlineStr">
        <is>
          <t>1963 Jasper St</t>
        </is>
      </c>
      <c r="E102" s="454" t="inlineStr">
        <is>
          <t>Aurora</t>
        </is>
      </c>
      <c r="F102" s="454" t="inlineStr">
        <is>
          <t>CO</t>
        </is>
      </c>
      <c r="G102" s="454" t="inlineStr">
        <is>
          <t>Industrial</t>
        </is>
      </c>
      <c r="H102" s="455" t="inlineStr">
        <is>
          <t>Multi-Tenant Industrial Gross</t>
        </is>
      </c>
      <c r="I102" s="454" t="n"/>
      <c r="J102" s="454" t="n">
        <v>33574</v>
      </c>
      <c r="K102" s="454" t="n"/>
      <c r="L102" s="454" t="inlineStr">
        <is>
          <t>R0111914</t>
        </is>
      </c>
      <c r="M102" s="454" t="n"/>
      <c r="N102" s="455" t="inlineStr">
        <is>
          <t>MT.xlsx I&amp;E Survey 2024</t>
        </is>
      </c>
      <c r="O102" s="454" t="inlineStr">
        <is>
          <t>2026-06-03</t>
        </is>
      </c>
      <c r="P102" s="455" t="inlineStr">
        <is>
          <t>Gross lease; owner pays all expenses except gas/elec; 33,574 SF</t>
        </is>
      </c>
      <c r="Q102" s="256">
        <f>IF(B102="","",IFERROR(INDEX(OCC_TABLE_DESC,MATCH(B102,OCC_TABLE_CODE,0)),"Unrecognized code"))</f>
        <v/>
      </c>
    </row>
    <row r="103" ht="25.5" customHeight="1" s="545">
      <c r="A103" s="452" t="inlineStr">
        <is>
          <t>P100</t>
        </is>
      </c>
      <c r="B103" s="449" t="n">
        <v>1332</v>
      </c>
      <c r="C103" s="450" t="inlineStr">
        <is>
          <t>R0111965</t>
        </is>
      </c>
      <c r="D103" s="453" t="inlineStr">
        <is>
          <t>12101 Grant St</t>
        </is>
      </c>
      <c r="E103" s="452" t="inlineStr">
        <is>
          <t>Thornton</t>
        </is>
      </c>
      <c r="F103" s="452" t="inlineStr">
        <is>
          <t>CO</t>
        </is>
      </c>
      <c r="G103" s="452" t="inlineStr">
        <is>
          <t>Hospitality</t>
        </is>
      </c>
      <c r="H103" s="453" t="inlineStr">
        <is>
          <t>Hotel Limited Service</t>
        </is>
      </c>
      <c r="I103" s="452" t="n">
        <v>1998</v>
      </c>
      <c r="J103" s="452" t="n"/>
      <c r="K103" s="452" t="n"/>
      <c r="L103" s="452" t="inlineStr">
        <is>
          <t>R0111965</t>
        </is>
      </c>
      <c r="M103" s="452" t="n"/>
      <c r="N103" s="453" t="inlineStr">
        <is>
          <t>AXG CBOE 2024 – appraiser Rushmore income approach</t>
        </is>
      </c>
      <c r="O103" s="452" t="inlineStr">
        <is>
          <t>2026-06-03</t>
        </is>
      </c>
      <c r="P103" s="453" t="inlineStr">
        <is>
          <t>100 rooms; 1998 YOC; 2024 CBOE; ADR $115/occ 70%</t>
        </is>
      </c>
      <c r="Q103" s="256">
        <f>IF(B103="","",IFERROR(INDEX(OCC_TABLE_DESC,MATCH(B103,OCC_TABLE_CODE,0)),"Unrecognized code"))</f>
        <v/>
      </c>
    </row>
    <row r="104" ht="25.5" customHeight="1" s="545">
      <c r="A104" s="454" t="inlineStr">
        <is>
          <t>P101</t>
        </is>
      </c>
      <c r="B104" s="449" t="n">
        <v>332</v>
      </c>
      <c r="C104" s="450" t="inlineStr">
        <is>
          <t>R0202410</t>
        </is>
      </c>
      <c r="D104" s="455" t="inlineStr">
        <is>
          <t>2556 Oswego St</t>
        </is>
      </c>
      <c r="E104" s="454" t="inlineStr">
        <is>
          <t>Aurora</t>
        </is>
      </c>
      <c r="F104" s="454" t="inlineStr">
        <is>
          <t>CO</t>
        </is>
      </c>
      <c r="G104" s="454" t="inlineStr">
        <is>
          <t>Hospitality</t>
        </is>
      </c>
      <c r="H104" s="455" t="inlineStr">
        <is>
          <t>Hotel Full Service</t>
        </is>
      </c>
      <c r="I104" s="454" t="n">
        <v>2023</v>
      </c>
      <c r="J104" s="454" t="n"/>
      <c r="K104" s="454" t="n"/>
      <c r="L104" s="454" t="inlineStr">
        <is>
          <t>R0202410</t>
        </is>
      </c>
      <c r="M104" s="454" t="n"/>
      <c r="N104" s="455" t="inlineStr">
        <is>
          <t>AXG CBOE 2024 – appraiser Rushmore income approach</t>
        </is>
      </c>
      <c r="O104" s="454" t="inlineStr">
        <is>
          <t>2026-06-03</t>
        </is>
      </c>
      <c r="P104" s="455" t="inlineStr">
        <is>
          <t>227 rooms; built 2023; 2024 CBOE; ADR $140/occ 70%</t>
        </is>
      </c>
      <c r="Q104" s="256">
        <f>IF(B104="","",IFERROR(INDEX(OCC_TABLE_DESC,MATCH(B104,OCC_TABLE_CODE,0)),"Unrecognized code"))</f>
        <v/>
      </c>
    </row>
    <row r="105" ht="25.5" customHeight="1" s="545">
      <c r="A105" s="452" t="inlineStr">
        <is>
          <t>P102</t>
        </is>
      </c>
      <c r="B105" s="449" t="n">
        <v>332</v>
      </c>
      <c r="C105" s="450" t="inlineStr">
        <is>
          <t>R0024498</t>
        </is>
      </c>
      <c r="D105" s="453" t="inlineStr">
        <is>
          <t>83 E 120th Ave</t>
        </is>
      </c>
      <c r="E105" s="452" t="inlineStr">
        <is>
          <t>Thornton</t>
        </is>
      </c>
      <c r="F105" s="452" t="inlineStr">
        <is>
          <t>CO</t>
        </is>
      </c>
      <c r="G105" s="452" t="inlineStr">
        <is>
          <t>Hospitality</t>
        </is>
      </c>
      <c r="H105" s="453" t="inlineStr">
        <is>
          <t>Hotel Full Service</t>
        </is>
      </c>
      <c r="I105" s="452" t="n">
        <v>1984</v>
      </c>
      <c r="J105" s="452" t="n">
        <v>114796</v>
      </c>
      <c r="K105" s="452" t="n"/>
      <c r="L105" s="452" t="inlineStr">
        <is>
          <t>R0024498</t>
        </is>
      </c>
      <c r="M105" s="452" t="n"/>
      <c r="N105" s="453" t="inlineStr">
        <is>
          <t>AXG CBOE 2024 – appraiser Rushmore income approach</t>
        </is>
      </c>
      <c r="O105" s="452" t="inlineStr">
        <is>
          <t>2026-06-03</t>
        </is>
      </c>
      <c r="P105" s="453" t="inlineStr">
        <is>
          <t>137 rooms; 114,796 SF GBA; 2 bldgs; 1984 YOC; ADR $142/occ 70%</t>
        </is>
      </c>
      <c r="Q105" s="256">
        <f>IF(B105="","",IFERROR(INDEX(OCC_TABLE_DESC,MATCH(B105,OCC_TABLE_CODE,0)),"Unrecognized code"))</f>
        <v/>
      </c>
    </row>
    <row r="106" ht="12.75" customHeight="1" s="545">
      <c r="A106" s="454" t="inlineStr">
        <is>
          <t>P103</t>
        </is>
      </c>
      <c r="B106" s="449" t="n">
        <v>407</v>
      </c>
      <c r="C106" s="450" t="inlineStr">
        <is>
          <t>R0075212</t>
        </is>
      </c>
      <c r="D106" s="455" t="inlineStr">
        <is>
          <t>10500 Havana Ct</t>
        </is>
      </c>
      <c r="E106" s="454" t="inlineStr">
        <is>
          <t>Commerce City</t>
        </is>
      </c>
      <c r="F106" s="454" t="inlineStr">
        <is>
          <t>CO</t>
        </is>
      </c>
      <c r="G106" s="454" t="inlineStr">
        <is>
          <t>Industrial</t>
        </is>
      </c>
      <c r="H106" s="455" t="inlineStr">
        <is>
          <t>Industrial NNN</t>
        </is>
      </c>
      <c r="I106" s="454" t="n"/>
      <c r="J106" s="454" t="n">
        <v>30000</v>
      </c>
      <c r="K106" s="454" t="n"/>
      <c r="L106" s="454" t="inlineStr">
        <is>
          <t>R0075212</t>
        </is>
      </c>
      <c r="M106" s="454" t="n"/>
      <c r="N106" s="455" t="inlineStr">
        <is>
          <t>MT.xlsx I&amp;E Survey 2024</t>
        </is>
      </c>
      <c r="O106" s="454" t="inlineStr">
        <is>
          <t>2026-06-03</t>
        </is>
      </c>
      <c r="P106" s="455" t="inlineStr">
        <is>
          <t>NNN; full expense survey; 30,000 SF</t>
        </is>
      </c>
      <c r="Q106" s="256">
        <f>IF(B106="","",IFERROR(INDEX(OCC_TABLE_DESC,MATCH(B106,OCC_TABLE_CODE,0)),"Unrecognized code"))</f>
        <v/>
      </c>
    </row>
    <row r="107" ht="21" customHeight="1" s="545">
      <c r="A107" t="inlineStr">
        <is>
          <t>P104</t>
        </is>
      </c>
      <c r="B107" s="449" t="n">
        <v>210</v>
      </c>
      <c r="C107" t="inlineStr">
        <is>
          <t>R0226379</t>
        </is>
      </c>
      <c r="D107" s="653" t="inlineStr">
        <is>
          <t>26100 E 68th Ave</t>
        </is>
      </c>
      <c r="E107" t="inlineStr">
        <is>
          <t>Aurora</t>
        </is>
      </c>
      <c r="F107" t="inlineStr">
        <is>
          <t>CO</t>
        </is>
      </c>
      <c r="G107" t="inlineStr">
        <is>
          <t>Industrial</t>
        </is>
      </c>
      <c r="H107" s="653" t="inlineStr">
        <is>
          <t>Industrial Multi-Tenant</t>
        </is>
      </c>
      <c r="J107" t="n">
        <v>187720</v>
      </c>
      <c r="L107" t="inlineStr">
        <is>
          <t>R0226379</t>
        </is>
      </c>
      <c r="M107" t="inlineStr">
        <is>
          <t>Green Industrial Development Group (.ptg)</t>
        </is>
      </c>
      <c r="N107" s="653" t="inlineStr">
        <is>
          <t>Owner Income Statement 2023 &amp; 2024</t>
        </is>
      </c>
      <c r="O107" t="inlineStr">
        <is>
          <t>2026-06-03</t>
        </is>
      </c>
      <c r="P107" s="653" t="inlineStr">
        <is>
          <t>Building 1; Filing 3 Block 1 Lot 1; CAM reimb + TBB structure; SF unknown; 2023-2024 actuals</t>
        </is>
      </c>
      <c r="Q107" s="256">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formula2>0</formula2>
    </dataValidation>
    <dataValidation sqref="E4:E107" showDropDown="0" showInputMessage="0" showErrorMessage="0" allowBlank="1" type="list">
      <formula1>"Adams County,Arvada,Aurora,Commerce City,Denver,Henderson,Northglenn,Thornton,Westminster"</formula1>
      <formula2>0</formula2>
    </dataValidation>
    <dataValidation sqref="F4:F107" showDropDown="0" showInputMessage="0" showErrorMessage="0" allowBlank="1" type="list">
      <formula1>"CO,Other"</formula1>
      <formula2>0</formula2>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orientation="portrait" paperSize="9" horizontalDpi="300" verticalDpi="300"/>
</worksheet>
</file>

<file path=xl/worksheets/sheet31.xml><?xml version="1.0" encoding="utf-8"?>
<worksheet xmlns="http://schemas.openxmlformats.org/spreadsheetml/2006/main">
  <sheetPr>
    <tabColor rgb="FFD97706"/>
    <outlinePr summaryBelow="1" summaryRight="1"/>
    <pageSetUpPr/>
  </sheetPr>
  <dimension ref="A1:AR204"/>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3.7109375" customWidth="1" style="545" min="9" max="9"/>
    <col width="6.85546875" customWidth="1" style="545" min="11" max="11"/>
    <col width="24" customWidth="1" style="545" min="12" max="12"/>
    <col width="14.85546875" customWidth="1" style="545" min="13" max="14"/>
    <col width="12.5703125" customWidth="1" style="545" min="15" max="15"/>
    <col width="14.85546875" customWidth="1" style="545" min="16" max="17"/>
    <col width="18.28515625" customWidth="1" style="545" min="18" max="18"/>
    <col width="14.85546875" customWidth="1" style="545" min="19" max="19"/>
    <col width="25.140625" customWidth="1" style="545" min="20" max="20"/>
    <col width="12.5703125" customWidth="1" style="545" min="21" max="21"/>
    <col width="21.7109375" customWidth="1" style="545" min="22" max="22"/>
    <col width="24" customWidth="1" style="545" min="23" max="23"/>
    <col width="28.42578125" customWidth="1" style="545" min="24" max="24"/>
    <col width="14.85546875" customWidth="1" style="545" min="25" max="25"/>
    <col width="12.5703125" customWidth="1" style="545" min="26" max="26"/>
    <col width="14.85546875" customWidth="1" style="545" min="27" max="28"/>
    <col width="24" customWidth="1" style="545" min="29" max="29"/>
    <col width="17.140625" customWidth="1" style="545" min="30" max="30"/>
    <col width="14.85546875" customWidth="1" style="545" min="31" max="31"/>
    <col width="19.42578125" customWidth="1" style="545" min="32" max="32"/>
    <col width="22.85546875" customWidth="1" style="545" min="33" max="33"/>
    <col width="28.42578125" customWidth="1" style="545" min="34" max="34"/>
    <col width="21.7109375" customWidth="1" style="545" min="35" max="35"/>
    <col width="28.42578125" customWidth="1" style="545" min="36" max="36"/>
    <col width="14.85546875" customWidth="1" style="545" min="37" max="37"/>
    <col width="18.28515625" customWidth="1" style="545" min="38" max="38"/>
    <col width="59.28515625" customWidth="1" style="545" min="39" max="39"/>
    <col hidden="1" width="14.85546875" customWidth="1" style="545" min="40" max="41"/>
    <col width="34.140625" customWidth="1" style="545" min="44" max="44"/>
  </cols>
  <sheetData>
    <row r="1" ht="24" customHeight="1" s="545">
      <c r="A1" s="656" t="inlineStr">
        <is>
          <t>COMMERCIAL PROPERTY EXPENSE DATABASE ? ANNUAL DETAIL</t>
        </is>
      </c>
    </row>
    <row r="2" ht="15.75" customHeight="1" s="545">
      <c r="A2" s="654" t="inlineStr">
        <is>
          <t>One row per property per year | All dollar figures from owner P&amp;L unless noted | $/SF = $ / Building SF</t>
        </is>
      </c>
    </row>
    <row r="3" ht="42" customHeight="1" s="545">
      <c r="A3" s="445" t="inlineStr">
        <is>
          <t>Prop ID</t>
        </is>
      </c>
      <c r="B3" s="446" t="inlineStr">
        <is>
          <t>Occ Code</t>
        </is>
      </c>
      <c r="C3" s="456" t="inlineStr">
        <is>
          <t>Account #</t>
        </is>
      </c>
      <c r="D3" s="447" t="inlineStr">
        <is>
          <t>Address</t>
        </is>
      </c>
      <c r="E3" s="445" t="inlineStr">
        <is>
          <t>City</t>
        </is>
      </c>
      <c r="F3" s="445" t="inlineStr">
        <is>
          <t>State</t>
        </is>
      </c>
      <c r="G3" s="445" t="inlineStr">
        <is>
          <t>Prop Type</t>
        </is>
      </c>
      <c r="H3" s="447" t="inlineStr">
        <is>
          <t>Subtype</t>
        </is>
      </c>
      <c r="I3" s="445" t="inlineStr">
        <is>
          <t>Year Built</t>
        </is>
      </c>
      <c r="J3" s="445" t="inlineStr">
        <is>
          <t>Bldg SF</t>
        </is>
      </c>
      <c r="K3" s="445" t="inlineStr">
        <is>
          <t>Year</t>
        </is>
      </c>
      <c r="L3" s="445" t="inlineStr">
        <is>
          <t>Gross Rental Income</t>
        </is>
      </c>
      <c r="M3" s="445" t="inlineStr">
        <is>
          <t>Other Income</t>
        </is>
      </c>
      <c r="N3" s="445" t="inlineStr">
        <is>
          <t>EGI</t>
        </is>
      </c>
      <c r="O3" s="445" t="inlineStr">
        <is>
          <t>Insurance</t>
        </is>
      </c>
      <c r="P3" s="445" t="inlineStr">
        <is>
          <t>Mgmt/Admin</t>
        </is>
      </c>
      <c r="Q3" s="445" t="inlineStr">
        <is>
          <t>Plumbing R&amp;M</t>
        </is>
      </c>
      <c r="R3" s="445" t="inlineStr">
        <is>
          <t>Electrical R&amp;M</t>
        </is>
      </c>
      <c r="S3" s="445" t="inlineStr">
        <is>
          <t>Exterior R&amp;M</t>
        </is>
      </c>
      <c r="T3" s="445" t="inlineStr">
        <is>
          <t>Fire/Life Safety R&amp;M</t>
        </is>
      </c>
      <c r="U3" s="445" t="inlineStr">
        <is>
          <t>HVAC R&amp;M</t>
        </is>
      </c>
      <c r="V3" s="445" t="inlineStr">
        <is>
          <t>Interior Unit R&amp;M</t>
        </is>
      </c>
      <c r="W3" s="445" t="inlineStr">
        <is>
          <t>Interior Common R&amp;M</t>
        </is>
      </c>
      <c r="X3" s="445" t="inlineStr">
        <is>
          <t>General Maint &amp; Repairs</t>
        </is>
      </c>
      <c r="Y3" s="445" t="inlineStr">
        <is>
          <t>Total R&amp;M</t>
        </is>
      </c>
      <c r="Z3" s="445" t="inlineStr">
        <is>
          <t>Trash</t>
        </is>
      </c>
      <c r="AA3" s="445" t="inlineStr">
        <is>
          <t>Landscape</t>
        </is>
      </c>
      <c r="AB3" s="445" t="inlineStr">
        <is>
          <t>Snow Removal</t>
        </is>
      </c>
      <c r="AC3" s="445" t="inlineStr">
        <is>
          <t>Total Contract Svcs</t>
        </is>
      </c>
      <c r="AD3" s="445" t="inlineStr">
        <is>
          <t>Water &amp; Sewer</t>
        </is>
      </c>
      <c r="AE3" s="445" t="inlineStr">
        <is>
          <t>Electric</t>
        </is>
      </c>
      <c r="AF3" s="445" t="inlineStr">
        <is>
          <t>Total Utilities</t>
        </is>
      </c>
      <c r="AG3" s="445" t="inlineStr">
        <is>
          <t>Other/Admin (Misc)</t>
        </is>
      </c>
      <c r="AH3" s="445" t="inlineStr">
        <is>
          <t>Total OPX excl RE Taxes</t>
        </is>
      </c>
      <c r="AI3" s="445" t="inlineStr">
        <is>
          <t>Real Estate Taxes</t>
        </is>
      </c>
      <c r="AJ3" s="445" t="inlineStr">
        <is>
          <t>Total OPX incl RE Taxes</t>
        </is>
      </c>
      <c r="AK3" s="445" t="inlineStr">
        <is>
          <t>NOI</t>
        </is>
      </c>
      <c r="AL3" s="445" t="inlineStr">
        <is>
          <t>CapEx (non-op)</t>
        </is>
      </c>
      <c r="AM3" s="447" t="inlineStr">
        <is>
          <t>Notes</t>
        </is>
      </c>
      <c r="AN3" s="382" t="inlineStr">
        <is>
          <t>Score (internal)</t>
        </is>
      </c>
      <c r="AO3" t="inlineStr">
        <is>
          <t>TieBreak (internal)</t>
        </is>
      </c>
      <c r="AR3" s="54" t="inlineStr">
        <is>
          <t>Occ Description (auto)</t>
        </is>
      </c>
    </row>
    <row r="4" ht="18" customHeight="1" s="545">
      <c r="A4" s="457" t="inlineStr">
        <is>
          <t>P001</t>
        </is>
      </c>
      <c r="B4" s="449" t="n">
        <v>407</v>
      </c>
      <c r="C4" s="458" t="inlineStr">
        <is>
          <t>R0157664</t>
        </is>
      </c>
      <c r="D4" s="448" t="inlineStr">
        <is>
          <t>6045 E. 76th Avenue</t>
        </is>
      </c>
      <c r="E4" s="457" t="inlineStr">
        <is>
          <t>Commerce City</t>
        </is>
      </c>
      <c r="F4" s="457" t="inlineStr">
        <is>
          <t>CO</t>
        </is>
      </c>
      <c r="G4" s="457" t="inlineStr">
        <is>
          <t>Light Industrial</t>
        </is>
      </c>
      <c r="H4" s="448" t="inlineStr">
        <is>
          <t>Distribution Warehouse</t>
        </is>
      </c>
      <c r="I4" s="459" t="n">
        <v>1988</v>
      </c>
      <c r="J4" s="459" t="n">
        <v>21000</v>
      </c>
      <c r="K4" s="459" t="n">
        <v>2021</v>
      </c>
      <c r="L4" s="460" t="n">
        <v>282764.52</v>
      </c>
      <c r="M4" s="460" t="n">
        <v>6372</v>
      </c>
      <c r="N4" s="461" t="n">
        <v>289136.52</v>
      </c>
      <c r="O4" s="460" t="n">
        <v>4893</v>
      </c>
      <c r="P4" s="460" t="n">
        <v>0</v>
      </c>
      <c r="Q4" s="460" t="n">
        <v>1144</v>
      </c>
      <c r="R4" s="460" t="n">
        <v>0</v>
      </c>
      <c r="S4" s="460" t="n">
        <v>198.75</v>
      </c>
      <c r="T4" s="460" t="n">
        <v>0</v>
      </c>
      <c r="U4" s="460" t="n">
        <v>280</v>
      </c>
      <c r="V4" s="460" t="n">
        <v>846</v>
      </c>
      <c r="W4" s="460" t="n">
        <v>2923</v>
      </c>
      <c r="X4" s="461" t="n">
        <v>0</v>
      </c>
      <c r="Y4" s="460" t="n">
        <v>5391.75</v>
      </c>
      <c r="Z4" s="460" t="n">
        <v>6710.19</v>
      </c>
      <c r="AA4" s="460" t="n">
        <v>3875</v>
      </c>
      <c r="AB4" s="460" t="n">
        <v>870</v>
      </c>
      <c r="AC4" s="461" t="n">
        <v>11455.19</v>
      </c>
      <c r="AD4" s="460" t="n">
        <v>3344.39</v>
      </c>
      <c r="AE4" s="460" t="n">
        <v>648.33</v>
      </c>
      <c r="AF4" s="461" t="n">
        <v>3992.72</v>
      </c>
      <c r="AG4" s="460" t="n">
        <v>762.49</v>
      </c>
      <c r="AH4" s="462" t="n">
        <v>26515.15</v>
      </c>
      <c r="AI4" s="462" t="n">
        <v>48263.72</v>
      </c>
      <c r="AJ4" s="463" t="n">
        <v>74778.87</v>
      </c>
      <c r="AK4" s="461" t="n">
        <v>214357.65</v>
      </c>
      <c r="AL4" s="460" t="n">
        <v>2642.04</v>
      </c>
      <c r="AM4" s="448" t="inlineStr">
        <is>
          <t>2021: other income = damages $2,392 + misc $3,863 + interest $117</t>
        </is>
      </c>
      <c r="AN4">
        <f>IF(AND($B4=Subj_OccCode,Subj_BldgSF&gt;0,ABS($J4-Subj_BldgSF)&lt;=Subj_BldgSF*Subj_SizeTol),ABS($J4-Subj_BldgSF),NA())</f>
        <v/>
      </c>
      <c r="AO4">
        <f>IF(ISNA(AN4),NA(),AN4+ROW()/10000000)</f>
        <v/>
      </c>
      <c r="AR4" s="256">
        <f>IF(B4="","",IFERROR(INDEX(OCC_TABLE_DESC,MATCH(B4,OCC_TABLE_CODE,0)),"Unrecognized code"))</f>
        <v/>
      </c>
    </row>
    <row r="5" ht="18" customHeight="1" s="545">
      <c r="A5" s="457" t="inlineStr">
        <is>
          <t>P001</t>
        </is>
      </c>
      <c r="B5" s="449" t="n">
        <v>407</v>
      </c>
      <c r="C5" s="458" t="inlineStr">
        <is>
          <t>R0157664</t>
        </is>
      </c>
      <c r="D5" s="448" t="inlineStr">
        <is>
          <t>6045 E. 76th Avenue</t>
        </is>
      </c>
      <c r="E5" s="457" t="inlineStr">
        <is>
          <t>Commerce City</t>
        </is>
      </c>
      <c r="F5" s="457" t="inlineStr">
        <is>
          <t>CO</t>
        </is>
      </c>
      <c r="G5" s="457" t="inlineStr">
        <is>
          <t>Light Industrial</t>
        </is>
      </c>
      <c r="H5" s="448" t="inlineStr">
        <is>
          <t>Distribution Warehouse</t>
        </is>
      </c>
      <c r="I5" s="459" t="n">
        <v>1988</v>
      </c>
      <c r="J5" s="459" t="n">
        <v>21000</v>
      </c>
      <c r="K5" s="459" t="n">
        <v>2022</v>
      </c>
      <c r="L5" s="460" t="n">
        <v>255992.67</v>
      </c>
      <c r="M5" s="460" t="n">
        <v>3000</v>
      </c>
      <c r="N5" s="461" t="n">
        <v>258992.67</v>
      </c>
      <c r="O5" s="460" t="n">
        <v>5276</v>
      </c>
      <c r="P5" s="460" t="n">
        <v>0</v>
      </c>
      <c r="Q5" s="460" t="n">
        <v>4115</v>
      </c>
      <c r="R5" s="460" t="n">
        <v>611</v>
      </c>
      <c r="S5" s="460" t="n">
        <v>2333.33</v>
      </c>
      <c r="T5" s="460" t="n">
        <v>0</v>
      </c>
      <c r="U5" s="460" t="n">
        <v>0</v>
      </c>
      <c r="V5" s="460" t="n">
        <v>0</v>
      </c>
      <c r="W5" s="460" t="n">
        <v>780</v>
      </c>
      <c r="X5" s="461" t="n">
        <v>0</v>
      </c>
      <c r="Y5" s="460" t="n">
        <v>7839.33</v>
      </c>
      <c r="Z5" s="460" t="n">
        <v>8303.969999999999</v>
      </c>
      <c r="AA5" s="460" t="n">
        <v>4280</v>
      </c>
      <c r="AB5" s="460" t="n">
        <v>0</v>
      </c>
      <c r="AC5" s="461" t="n">
        <v>12583.97</v>
      </c>
      <c r="AD5" s="460" t="n">
        <v>3043.11</v>
      </c>
      <c r="AE5" s="460" t="n">
        <v>887.54</v>
      </c>
      <c r="AF5" s="461" t="n">
        <v>3930.65</v>
      </c>
      <c r="AG5" s="460" t="n">
        <v>658.98</v>
      </c>
      <c r="AH5" s="462" t="n">
        <v>30288.93</v>
      </c>
      <c r="AI5" s="462" t="n">
        <v>66104.78</v>
      </c>
      <c r="AJ5" s="463" t="n">
        <v>96393.71000000001</v>
      </c>
      <c r="AK5" s="461" t="n">
        <v>162598.96</v>
      </c>
      <c r="AL5" s="460" t="n">
        <v>5791.72</v>
      </c>
      <c r="AM5" s="448" t="inlineStr">
        <is>
          <t>2022: other income = damages $500 + misc $2,500; CapEx unit interior</t>
        </is>
      </c>
      <c r="AN5">
        <f>IF(AND($B5=Subj_OccCode,Subj_BldgSF&gt;0,ABS($J5-Subj_BldgSF)&lt;=Subj_BldgSF*Subj_SizeTol),ABS($J5-Subj_BldgSF),NA())</f>
        <v/>
      </c>
      <c r="AO5">
        <f>IF(ISNA(AN5),NA(),AN5+ROW()/10000000)</f>
        <v/>
      </c>
      <c r="AR5" s="256">
        <f>IF(B5="","",IFERROR(INDEX(OCC_TABLE_DESC,MATCH(B5,OCC_TABLE_CODE,0)),"Unrecognized code"))</f>
        <v/>
      </c>
    </row>
    <row r="6" ht="18" customHeight="1" s="545">
      <c r="A6" s="457" t="inlineStr">
        <is>
          <t>P001</t>
        </is>
      </c>
      <c r="B6" s="449" t="n">
        <v>407</v>
      </c>
      <c r="C6" s="458" t="inlineStr">
        <is>
          <t>R0157664</t>
        </is>
      </c>
      <c r="D6" s="448" t="inlineStr">
        <is>
          <t>6045 E. 76th Avenue</t>
        </is>
      </c>
      <c r="E6" s="457" t="inlineStr">
        <is>
          <t>Commerce City</t>
        </is>
      </c>
      <c r="F6" s="457" t="inlineStr">
        <is>
          <t>CO</t>
        </is>
      </c>
      <c r="G6" s="457" t="inlineStr">
        <is>
          <t>Light Industrial</t>
        </is>
      </c>
      <c r="H6" s="448" t="inlineStr">
        <is>
          <t>Distribution Warehouse</t>
        </is>
      </c>
      <c r="I6" s="459" t="n">
        <v>1988</v>
      </c>
      <c r="J6" s="459" t="n">
        <v>21000</v>
      </c>
      <c r="K6" s="459" t="n">
        <v>2023</v>
      </c>
      <c r="L6" s="460" t="n">
        <v>256200</v>
      </c>
      <c r="M6" s="460" t="n">
        <v>0</v>
      </c>
      <c r="N6" s="461" t="n">
        <v>256200</v>
      </c>
      <c r="O6" s="460" t="n">
        <v>5867.85</v>
      </c>
      <c r="P6" s="460" t="n">
        <v>800</v>
      </c>
      <c r="Q6" s="460" t="n">
        <v>1094.49</v>
      </c>
      <c r="R6" s="460" t="n">
        <v>990</v>
      </c>
      <c r="S6" s="460" t="n">
        <v>0</v>
      </c>
      <c r="T6" s="460" t="n">
        <v>3870.75</v>
      </c>
      <c r="U6" s="460" t="n">
        <v>480</v>
      </c>
      <c r="V6" s="460" t="n">
        <v>618</v>
      </c>
      <c r="W6" s="460" t="n">
        <v>0</v>
      </c>
      <c r="X6" s="461" t="n">
        <v>480</v>
      </c>
      <c r="Y6" s="460" t="n">
        <v>7533.24</v>
      </c>
      <c r="Z6" s="460" t="n">
        <v>9561.9</v>
      </c>
      <c r="AA6" s="460" t="n">
        <v>2200</v>
      </c>
      <c r="AB6" s="460" t="n">
        <v>2800</v>
      </c>
      <c r="AC6" s="461" t="n">
        <v>14561.9</v>
      </c>
      <c r="AD6" s="460" t="n">
        <v>7111.97</v>
      </c>
      <c r="AE6" s="460" t="n">
        <v>760.15</v>
      </c>
      <c r="AF6" s="461" t="n">
        <v>7872.12</v>
      </c>
      <c r="AG6" s="460" t="n">
        <v>597.59</v>
      </c>
      <c r="AH6" s="462" t="n">
        <v>31952.7</v>
      </c>
      <c r="AI6" s="462" t="n">
        <v>59985.48</v>
      </c>
      <c r="AJ6" s="463" t="n">
        <v>91938.17999999999</v>
      </c>
      <c r="AK6" s="461" t="n">
        <v>164261.82</v>
      </c>
      <c r="AL6" s="460" t="n">
        <v>0</v>
      </c>
      <c r="AM6" s="457" t="n"/>
      <c r="AN6">
        <f>IF(AND($B6=Subj_OccCode,Subj_BldgSF&gt;0,ABS($J6-Subj_BldgSF)&lt;=Subj_BldgSF*Subj_SizeTol),ABS($J6-Subj_BldgSF),NA())</f>
        <v/>
      </c>
      <c r="AO6">
        <f>IF(ISNA(AN6),NA(),AN6+ROW()/10000000)</f>
        <v/>
      </c>
      <c r="AR6" s="256">
        <f>IF(B6="","",IFERROR(INDEX(OCC_TABLE_DESC,MATCH(B6,OCC_TABLE_CODE,0)),"Unrecognized code"))</f>
        <v/>
      </c>
    </row>
    <row r="7" ht="18" customHeight="1" s="545">
      <c r="A7" s="457" t="inlineStr">
        <is>
          <t>P001</t>
        </is>
      </c>
      <c r="B7" s="449" t="n">
        <v>407</v>
      </c>
      <c r="C7" s="458" t="inlineStr">
        <is>
          <t>R0157664</t>
        </is>
      </c>
      <c r="D7" s="448" t="inlineStr">
        <is>
          <t>6045 E. 76th Avenue</t>
        </is>
      </c>
      <c r="E7" s="457" t="inlineStr">
        <is>
          <t>Commerce City</t>
        </is>
      </c>
      <c r="F7" s="457" t="inlineStr">
        <is>
          <t>CO</t>
        </is>
      </c>
      <c r="G7" s="457" t="inlineStr">
        <is>
          <t>Light Industrial</t>
        </is>
      </c>
      <c r="H7" s="448" t="inlineStr">
        <is>
          <t>Distribution Warehouse</t>
        </is>
      </c>
      <c r="I7" s="459" t="n">
        <v>1988</v>
      </c>
      <c r="J7" s="459" t="n">
        <v>21000</v>
      </c>
      <c r="K7" s="459" t="n">
        <v>2024</v>
      </c>
      <c r="L7" s="460" t="n">
        <v>229531</v>
      </c>
      <c r="M7" s="460" t="n">
        <v>0</v>
      </c>
      <c r="N7" s="461" t="n">
        <v>229531</v>
      </c>
      <c r="O7" s="460" t="n">
        <v>1834.57</v>
      </c>
      <c r="P7" s="460" t="n">
        <v>1570</v>
      </c>
      <c r="Q7" s="460" t="n">
        <v>0</v>
      </c>
      <c r="R7" s="460" t="n">
        <v>0</v>
      </c>
      <c r="S7" s="460" t="n">
        <v>8000</v>
      </c>
      <c r="T7" s="460" t="n">
        <v>8299.799999999999</v>
      </c>
      <c r="U7" s="460" t="n">
        <v>0</v>
      </c>
      <c r="V7" s="460" t="n">
        <v>175</v>
      </c>
      <c r="W7" s="460" t="n">
        <v>0</v>
      </c>
      <c r="X7" s="461" t="n">
        <v>819.88</v>
      </c>
      <c r="Y7" s="460" t="n">
        <v>17294.68</v>
      </c>
      <c r="Z7" s="460" t="n">
        <v>8500.75</v>
      </c>
      <c r="AA7" s="460" t="n">
        <v>3350</v>
      </c>
      <c r="AB7" s="460" t="n">
        <v>1050</v>
      </c>
      <c r="AC7" s="461" t="n">
        <v>12900.75</v>
      </c>
      <c r="AD7" s="460" t="n">
        <v>3438.85</v>
      </c>
      <c r="AE7" s="460" t="n">
        <v>712.77</v>
      </c>
      <c r="AF7" s="461" t="n">
        <v>4151.62</v>
      </c>
      <c r="AG7" s="460" t="n">
        <v>600.11</v>
      </c>
      <c r="AH7" s="462" t="n">
        <v>38151.7</v>
      </c>
      <c r="AI7" s="462" t="n">
        <v>69401.60000000001</v>
      </c>
      <c r="AJ7" s="463" t="n">
        <v>107553.3</v>
      </c>
      <c r="AK7" s="461" t="n">
        <v>121977.7</v>
      </c>
      <c r="AL7" s="460" t="n">
        <v>0</v>
      </c>
      <c r="AM7" s="457" t="n"/>
      <c r="AN7">
        <f>IF(AND($B7=Subj_OccCode,Subj_BldgSF&gt;0,ABS($J7-Subj_BldgSF)&lt;=Subj_BldgSF*Subj_SizeTol),ABS($J7-Subj_BldgSF),NA())</f>
        <v/>
      </c>
      <c r="AO7">
        <f>IF(ISNA(AN7),NA(),AN7+ROW()/10000000)</f>
        <v/>
      </c>
      <c r="AR7" s="256">
        <f>IF(B7="","",IFERROR(INDEX(OCC_TABLE_DESC,MATCH(B7,OCC_TABLE_CODE,0)),"Unrecognized code"))</f>
        <v/>
      </c>
    </row>
    <row r="8" ht="18" customHeight="1" s="545">
      <c r="A8" s="457" t="inlineStr">
        <is>
          <t>P002</t>
        </is>
      </c>
      <c r="B8" s="449" t="n">
        <v>344</v>
      </c>
      <c r="C8" s="458" t="inlineStr">
        <is>
          <t>Unknown</t>
        </is>
      </c>
      <c r="D8" s="448" t="inlineStr">
        <is>
          <t>13659 E. 104th Ave</t>
        </is>
      </c>
      <c r="E8" s="457" t="inlineStr">
        <is>
          <t>Adams County</t>
        </is>
      </c>
      <c r="F8" s="457" t="inlineStr">
        <is>
          <t>CO</t>
        </is>
      </c>
      <c r="G8" s="457" t="inlineStr">
        <is>
          <t>Office/Commercial</t>
        </is>
      </c>
      <c r="H8" s="448" t="inlineStr">
        <is>
          <t>Multi-tenant</t>
        </is>
      </c>
      <c r="I8" s="459" t="n"/>
      <c r="J8" s="459" t="n"/>
      <c r="K8" s="459" t="n">
        <v>2023</v>
      </c>
      <c r="L8" s="457" t="n"/>
      <c r="M8" s="457" t="n"/>
      <c r="N8" s="464" t="n">
        <v>258808</v>
      </c>
      <c r="O8" s="460" t="n">
        <v>3292</v>
      </c>
      <c r="P8" s="460" t="n">
        <v>18539</v>
      </c>
      <c r="Q8" s="457" t="n"/>
      <c r="R8" s="457" t="n"/>
      <c r="S8" s="457" t="n"/>
      <c r="T8" s="457" t="n"/>
      <c r="U8" s="457" t="n"/>
      <c r="V8" s="457" t="n"/>
      <c r="W8" s="457" t="n"/>
      <c r="X8" s="460" t="n">
        <v>24750</v>
      </c>
      <c r="Y8" s="461" t="n">
        <v>24750</v>
      </c>
      <c r="Z8" s="457" t="n"/>
      <c r="AA8" s="460" t="n">
        <v>13331</v>
      </c>
      <c r="AB8" s="457" t="n"/>
      <c r="AC8" s="461" t="n">
        <v>13331</v>
      </c>
      <c r="AD8" s="457" t="n"/>
      <c r="AE8" s="457" t="n"/>
      <c r="AF8" s="461" t="n">
        <v>3990</v>
      </c>
      <c r="AG8" s="460" t="n">
        <v>11264</v>
      </c>
      <c r="AH8" s="462" t="n">
        <v>75327</v>
      </c>
      <c r="AI8" s="462" t="n">
        <v>51707</v>
      </c>
      <c r="AJ8" s="462" t="n">
        <v>127034</v>
      </c>
      <c r="AK8" s="462" t="n">
        <v>131774</v>
      </c>
      <c r="AL8" s="457" t="n"/>
      <c r="AM8" s="448"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256">
        <f>IF(B8="","",IFERROR(INDEX(OCC_TABLE_DESC,MATCH(B8,OCC_TABLE_CODE,0)),"Unrecognized code"))</f>
        <v/>
      </c>
    </row>
    <row r="9" ht="18" customHeight="1" s="545">
      <c r="A9" s="457" t="inlineStr">
        <is>
          <t>P002</t>
        </is>
      </c>
      <c r="B9" s="449" t="n">
        <v>344</v>
      </c>
      <c r="C9" s="458" t="inlineStr">
        <is>
          <t>Unknown</t>
        </is>
      </c>
      <c r="D9" s="448" t="inlineStr">
        <is>
          <t>13659 E. 104th Ave</t>
        </is>
      </c>
      <c r="E9" s="457" t="inlineStr">
        <is>
          <t>Adams County</t>
        </is>
      </c>
      <c r="F9" s="457" t="inlineStr">
        <is>
          <t>CO</t>
        </is>
      </c>
      <c r="G9" s="457" t="inlineStr">
        <is>
          <t>Office/Commercial</t>
        </is>
      </c>
      <c r="H9" s="448" t="inlineStr">
        <is>
          <t>Multi-tenant</t>
        </is>
      </c>
      <c r="I9" s="459" t="n"/>
      <c r="J9" s="459" t="n"/>
      <c r="K9" s="459" t="n">
        <v>2024</v>
      </c>
      <c r="L9" s="457" t="n"/>
      <c r="M9" s="457" t="n"/>
      <c r="N9" s="464" t="n">
        <v>264959</v>
      </c>
      <c r="O9" s="460" t="n">
        <v>7442</v>
      </c>
      <c r="P9" s="460" t="n">
        <v>18228</v>
      </c>
      <c r="Q9" s="457" t="n"/>
      <c r="R9" s="457" t="n"/>
      <c r="S9" s="457" t="n"/>
      <c r="T9" s="457" t="n"/>
      <c r="U9" s="457" t="n"/>
      <c r="V9" s="457" t="n"/>
      <c r="W9" s="457" t="n"/>
      <c r="X9" s="460" t="n">
        <v>37394</v>
      </c>
      <c r="Y9" s="461" t="n">
        <v>37394</v>
      </c>
      <c r="Z9" s="457" t="n"/>
      <c r="AA9" s="460" t="n">
        <v>11888</v>
      </c>
      <c r="AB9" s="457" t="n"/>
      <c r="AC9" s="461" t="n">
        <v>11888</v>
      </c>
      <c r="AD9" s="457" t="n"/>
      <c r="AE9" s="457" t="n"/>
      <c r="AF9" s="461" t="n">
        <v>5290</v>
      </c>
      <c r="AG9" s="460" t="n">
        <v>13341</v>
      </c>
      <c r="AH9" s="462" t="n">
        <v>93583</v>
      </c>
      <c r="AI9" s="462" t="n">
        <v>44649</v>
      </c>
      <c r="AJ9" s="462" t="n">
        <v>138232</v>
      </c>
      <c r="AK9" s="462" t="n">
        <v>126727</v>
      </c>
      <c r="AL9" s="457" t="n"/>
      <c r="AM9" s="448" t="inlineStr">
        <is>
          <t>Insurance $7,442; Mgmt fee $13,020 + asset mgmt $5,208; Prof svcs $13,341; Utilities: gas/elec $1,091 + water/sewer $4,199</t>
        </is>
      </c>
      <c r="AN9">
        <f>IF(AND($B9=Subj_OccCode,Subj_BldgSF&gt;0,ABS($J9-Subj_BldgSF)&lt;=Subj_BldgSF*Subj_SizeTol),ABS($J9-Subj_BldgSF),NA())</f>
        <v/>
      </c>
      <c r="AO9">
        <f>IF(ISNA(AN9),NA(),AN9+ROW()/10000000)</f>
        <v/>
      </c>
      <c r="AR9" s="256">
        <f>IF(B9="","",IFERROR(INDEX(OCC_TABLE_DESC,MATCH(B9,OCC_TABLE_CODE,0)),"Unrecognized code"))</f>
        <v/>
      </c>
    </row>
    <row r="10" ht="18" customHeight="1" s="545">
      <c r="A10" s="457" t="inlineStr">
        <is>
          <t>P003</t>
        </is>
      </c>
      <c r="B10" s="449" t="n">
        <v>344</v>
      </c>
      <c r="C10" s="458" t="inlineStr">
        <is>
          <t>R0024063</t>
        </is>
      </c>
      <c r="D10" s="448" t="inlineStr">
        <is>
          <t>Park Centre - Wells Fargo Bldg</t>
        </is>
      </c>
      <c r="E10" s="457" t="inlineStr">
        <is>
          <t>Westminster</t>
        </is>
      </c>
      <c r="F10" s="457" t="inlineStr">
        <is>
          <t>CO</t>
        </is>
      </c>
      <c r="G10" s="457" t="inlineStr">
        <is>
          <t>Office</t>
        </is>
      </c>
      <c r="H10" s="448" t="inlineStr">
        <is>
          <t>Class B Multi-tenant</t>
        </is>
      </c>
      <c r="I10" s="459" t="n"/>
      <c r="J10" s="459" t="n">
        <v>49479</v>
      </c>
      <c r="K10" s="459" t="n">
        <v>2023</v>
      </c>
      <c r="L10" s="460" t="n">
        <v>1017928</v>
      </c>
      <c r="M10" s="460" t="n">
        <v>93575</v>
      </c>
      <c r="N10" s="464" t="n">
        <v>1111503</v>
      </c>
      <c r="O10" s="457" t="n"/>
      <c r="P10" s="457" t="n"/>
      <c r="Q10" s="457" t="n"/>
      <c r="R10" s="457" t="n"/>
      <c r="S10" s="457" t="n"/>
      <c r="T10" s="457" t="n"/>
      <c r="U10" s="457" t="n"/>
      <c r="V10" s="457" t="n"/>
      <c r="W10" s="457" t="n"/>
      <c r="X10" s="457" t="n"/>
      <c r="Y10" s="465" t="n"/>
      <c r="Z10" s="457" t="n"/>
      <c r="AA10" s="457" t="n"/>
      <c r="AB10" s="457" t="n"/>
      <c r="AC10" s="465" t="n"/>
      <c r="AD10" s="457" t="n"/>
      <c r="AE10" s="457" t="n"/>
      <c r="AF10" s="465" t="n"/>
      <c r="AG10" s="457" t="n"/>
      <c r="AH10" s="462" t="n">
        <v>453480</v>
      </c>
      <c r="AI10" s="462" t="n">
        <v>184874</v>
      </c>
      <c r="AJ10" s="462" t="n">
        <v>638354</v>
      </c>
      <c r="AK10" s="462" t="n">
        <v>473149</v>
      </c>
      <c r="AL10" s="457" t="n"/>
      <c r="AM10" s="448" t="inlineStr">
        <is>
          <t>Westfield managed; recoveries $49,658 + other $43,917 = $93,575; OpEx BT per PROFORMA REVISED.xlsx</t>
        </is>
      </c>
      <c r="AN10">
        <f>IF(AND($B10=Subj_OccCode,Subj_BldgSF&gt;0,ABS($J10-Subj_BldgSF)&lt;=Subj_BldgSF*Subj_SizeTol),ABS($J10-Subj_BldgSF),NA())</f>
        <v/>
      </c>
      <c r="AO10">
        <f>IF(ISNA(AN10),NA(),AN10+ROW()/10000000)</f>
        <v/>
      </c>
      <c r="AR10" s="256">
        <f>IF(B10="","",IFERROR(INDEX(OCC_TABLE_DESC,MATCH(B10,OCC_TABLE_CODE,0)),"Unrecognized code"))</f>
        <v/>
      </c>
    </row>
    <row r="11" ht="18" customHeight="1" s="545">
      <c r="A11" s="457" t="inlineStr">
        <is>
          <t>P003</t>
        </is>
      </c>
      <c r="B11" s="449" t="n">
        <v>344</v>
      </c>
      <c r="C11" s="458" t="inlineStr">
        <is>
          <t>R0024063</t>
        </is>
      </c>
      <c r="D11" s="448" t="inlineStr">
        <is>
          <t>Park Centre - Wells Fargo Bldg</t>
        </is>
      </c>
      <c r="E11" s="457" t="inlineStr">
        <is>
          <t>Westminster</t>
        </is>
      </c>
      <c r="F11" s="457" t="inlineStr">
        <is>
          <t>CO</t>
        </is>
      </c>
      <c r="G11" s="457" t="inlineStr">
        <is>
          <t>Office</t>
        </is>
      </c>
      <c r="H11" s="448" t="inlineStr">
        <is>
          <t>Class B Multi-tenant</t>
        </is>
      </c>
      <c r="I11" s="459" t="n"/>
      <c r="J11" s="459" t="n">
        <v>49479</v>
      </c>
      <c r="K11" s="459" t="n">
        <v>2024</v>
      </c>
      <c r="L11" s="460" t="n">
        <v>944040</v>
      </c>
      <c r="M11" s="460" t="n">
        <v>77962</v>
      </c>
      <c r="N11" s="464" t="n">
        <v>1022002</v>
      </c>
      <c r="O11" s="457" t="n"/>
      <c r="P11" s="457" t="n"/>
      <c r="Q11" s="457" t="n"/>
      <c r="R11" s="457" t="n"/>
      <c r="S11" s="457" t="n"/>
      <c r="T11" s="457" t="n"/>
      <c r="U11" s="457" t="n"/>
      <c r="V11" s="457" t="n"/>
      <c r="W11" s="457" t="n"/>
      <c r="X11" s="457" t="n"/>
      <c r="Y11" s="465" t="n"/>
      <c r="Z11" s="457" t="n"/>
      <c r="AA11" s="457" t="n"/>
      <c r="AB11" s="457" t="n"/>
      <c r="AC11" s="465" t="n"/>
      <c r="AD11" s="457" t="n"/>
      <c r="AE11" s="457" t="n"/>
      <c r="AF11" s="465" t="n"/>
      <c r="AG11" s="457" t="n"/>
      <c r="AH11" s="462" t="n">
        <v>488239</v>
      </c>
      <c r="AI11" s="462" t="n">
        <v>179568</v>
      </c>
      <c r="AJ11" s="462" t="n">
        <v>667807</v>
      </c>
      <c r="AK11" s="462" t="n">
        <v>354195</v>
      </c>
      <c r="AL11" s="457" t="n"/>
      <c r="AM11" s="448"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256">
        <f>IF(B11="","",IFERROR(INDEX(OCC_TABLE_DESC,MATCH(B11,OCC_TABLE_CODE,0)),"Unrecognized code"))</f>
        <v/>
      </c>
    </row>
    <row r="12" ht="18" customHeight="1" s="545">
      <c r="A12" s="457" t="inlineStr">
        <is>
          <t>P004</t>
        </is>
      </c>
      <c r="B12" s="449" t="n">
        <v>412</v>
      </c>
      <c r="C12" s="458" t="inlineStr">
        <is>
          <t>R0050221</t>
        </is>
      </c>
      <c r="D12" s="448" t="inlineStr">
        <is>
          <t>8860 Federal Blvd</t>
        </is>
      </c>
      <c r="E12" s="457" t="inlineStr">
        <is>
          <t>Adams County</t>
        </is>
      </c>
      <c r="F12" s="457" t="inlineStr">
        <is>
          <t>CO</t>
        </is>
      </c>
      <c r="G12" s="457" t="inlineStr">
        <is>
          <t>Retail</t>
        </is>
      </c>
      <c r="H12" s="448" t="inlineStr">
        <is>
          <t>Strip/Multi-tenant</t>
        </is>
      </c>
      <c r="I12" s="459" t="n"/>
      <c r="J12" s="459" t="n">
        <v>65850</v>
      </c>
      <c r="K12" s="459" t="n">
        <v>2023</v>
      </c>
      <c r="L12" s="457" t="n"/>
      <c r="M12" s="457" t="n"/>
      <c r="N12" s="464" t="n">
        <v>570777</v>
      </c>
      <c r="O12" s="457" t="n"/>
      <c r="P12" s="457" t="n"/>
      <c r="Q12" s="457" t="n"/>
      <c r="R12" s="457" t="n"/>
      <c r="S12" s="457" t="n"/>
      <c r="T12" s="457" t="n"/>
      <c r="U12" s="457" t="n"/>
      <c r="V12" s="457" t="n"/>
      <c r="W12" s="457" t="n"/>
      <c r="X12" s="457" t="n"/>
      <c r="Y12" s="465" t="n"/>
      <c r="Z12" s="457" t="n"/>
      <c r="AA12" s="457" t="n"/>
      <c r="AB12" s="457" t="n"/>
      <c r="AC12" s="465" t="n"/>
      <c r="AD12" s="457" t="n"/>
      <c r="AE12" s="457" t="n"/>
      <c r="AF12" s="465" t="n"/>
      <c r="AG12" s="457" t="n"/>
      <c r="AH12" s="466" t="n"/>
      <c r="AI12" s="462" t="n">
        <v>74000</v>
      </c>
      <c r="AJ12" s="462" t="n">
        <v>269935</v>
      </c>
      <c r="AK12" s="462" t="n">
        <v>300842</v>
      </c>
      <c r="AL12" s="457" t="n"/>
      <c r="AM12" s="448" t="inlineStr">
        <is>
          <t>RE Tax estimated ~$74k (2023 not detailed); Total OpEx per actuals submission; NOI confirmed</t>
        </is>
      </c>
      <c r="AN12">
        <f>IF(AND($B12=Subj_OccCode,Subj_BldgSF&gt;0,ABS($J12-Subj_BldgSF)&lt;=Subj_BldgSF*Subj_SizeTol),ABS($J12-Subj_BldgSF),NA())</f>
        <v/>
      </c>
      <c r="AO12">
        <f>IF(ISNA(AN12),NA(),AN12+ROW()/10000000)</f>
        <v/>
      </c>
      <c r="AR12" s="256">
        <f>IF(B12="","",IFERROR(INDEX(OCC_TABLE_DESC,MATCH(B12,OCC_TABLE_CODE,0)),"Unrecognized code"))</f>
        <v/>
      </c>
    </row>
    <row r="13" ht="18" customHeight="1" s="545">
      <c r="A13" s="457" t="inlineStr">
        <is>
          <t>P004</t>
        </is>
      </c>
      <c r="B13" s="449" t="n">
        <v>412</v>
      </c>
      <c r="C13" s="458" t="inlineStr">
        <is>
          <t>R0050221</t>
        </is>
      </c>
      <c r="D13" s="448" t="inlineStr">
        <is>
          <t>8860 Federal Blvd</t>
        </is>
      </c>
      <c r="E13" s="457" t="inlineStr">
        <is>
          <t>Adams County</t>
        </is>
      </c>
      <c r="F13" s="457" t="inlineStr">
        <is>
          <t>CO</t>
        </is>
      </c>
      <c r="G13" s="457" t="inlineStr">
        <is>
          <t>Retail</t>
        </is>
      </c>
      <c r="H13" s="448" t="inlineStr">
        <is>
          <t>Strip/Multi-tenant</t>
        </is>
      </c>
      <c r="I13" s="459" t="n"/>
      <c r="J13" s="459" t="n">
        <v>65850</v>
      </c>
      <c r="K13" s="459" t="n">
        <v>2024</v>
      </c>
      <c r="L13" s="457" t="n"/>
      <c r="M13" s="457" t="n"/>
      <c r="N13" s="464" t="n">
        <v>587819</v>
      </c>
      <c r="O13" s="460" t="n">
        <v>51223</v>
      </c>
      <c r="P13" s="457" t="n"/>
      <c r="Q13" s="457" t="n"/>
      <c r="R13" s="457" t="n"/>
      <c r="S13" s="457" t="n"/>
      <c r="T13" s="457" t="n"/>
      <c r="U13" s="457" t="n"/>
      <c r="V13" s="457" t="n"/>
      <c r="W13" s="457" t="n"/>
      <c r="X13" s="460" t="n">
        <v>28919</v>
      </c>
      <c r="Y13" s="461" t="n">
        <v>28919</v>
      </c>
      <c r="Z13" s="460" t="n">
        <v>17561</v>
      </c>
      <c r="AA13" s="460" t="n">
        <v>2002</v>
      </c>
      <c r="AB13" s="460" t="n">
        <v>3485</v>
      </c>
      <c r="AC13" s="461" t="n">
        <v>23048</v>
      </c>
      <c r="AD13" s="460" t="n">
        <v>12892</v>
      </c>
      <c r="AE13" s="460" t="n">
        <v>7120</v>
      </c>
      <c r="AF13" s="461" t="n">
        <v>20012</v>
      </c>
      <c r="AG13" s="460" t="n">
        <v>10978</v>
      </c>
      <c r="AH13" s="462" t="n">
        <v>159331</v>
      </c>
      <c r="AI13" s="462" t="n">
        <v>105466</v>
      </c>
      <c r="AJ13" s="462" t="n">
        <v>264797</v>
      </c>
      <c r="AK13" s="462" t="n">
        <v>323022</v>
      </c>
      <c r="AL13" s="457" t="n"/>
      <c r="AM13" s="448"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256">
        <f>IF(B13="","",IFERROR(INDEX(OCC_TABLE_DESC,MATCH(B13,OCC_TABLE_CODE,0)),"Unrecognized code"))</f>
        <v/>
      </c>
    </row>
    <row r="14" ht="18" customHeight="1" s="545">
      <c r="A14" s="457" t="inlineStr">
        <is>
          <t>P005</t>
        </is>
      </c>
      <c r="B14" s="449" t="n">
        <v>344</v>
      </c>
      <c r="C14" s="458" t="inlineStr">
        <is>
          <t>R0050977</t>
        </is>
      </c>
      <c r="D14" s="448" t="inlineStr">
        <is>
          <t>9351 Grant St (Horizon Terrace)</t>
        </is>
      </c>
      <c r="E14" s="457" t="inlineStr">
        <is>
          <t>Thornton</t>
        </is>
      </c>
      <c r="F14" s="457" t="inlineStr">
        <is>
          <t>CO</t>
        </is>
      </c>
      <c r="G14" s="457" t="inlineStr">
        <is>
          <t>Office</t>
        </is>
      </c>
      <c r="H14" s="448" t="inlineStr">
        <is>
          <t>Class B Multi-story</t>
        </is>
      </c>
      <c r="I14" s="459" t="n"/>
      <c r="J14" s="459" t="n">
        <v>91646</v>
      </c>
      <c r="K14" s="459" t="n">
        <v>2023</v>
      </c>
      <c r="L14" s="460" t="n">
        <v>2011958</v>
      </c>
      <c r="M14" s="460" t="n">
        <v>227276</v>
      </c>
      <c r="N14" s="464" t="n">
        <v>2239234</v>
      </c>
      <c r="O14" s="460" t="n">
        <v>24425</v>
      </c>
      <c r="P14" s="460" t="n">
        <v>132014</v>
      </c>
      <c r="Q14" s="457" t="n"/>
      <c r="R14" s="457" t="n"/>
      <c r="S14" s="457" t="n"/>
      <c r="T14" s="457" t="n"/>
      <c r="U14" s="457" t="n"/>
      <c r="V14" s="457" t="n"/>
      <c r="W14" s="457" t="n"/>
      <c r="X14" s="460" t="n">
        <v>144543</v>
      </c>
      <c r="Y14" s="461" t="n">
        <v>144543</v>
      </c>
      <c r="Z14" s="457" t="n"/>
      <c r="AA14" s="460" t="n">
        <v>108773</v>
      </c>
      <c r="AB14" s="460" t="n">
        <v>65183</v>
      </c>
      <c r="AC14" s="461" t="n">
        <v>273332</v>
      </c>
      <c r="AD14" s="460" t="n">
        <v>14762</v>
      </c>
      <c r="AE14" s="460" t="n">
        <v>225588</v>
      </c>
      <c r="AF14" s="461" t="n">
        <v>240350</v>
      </c>
      <c r="AG14" s="460" t="n">
        <v>32925</v>
      </c>
      <c r="AH14" s="462" t="n">
        <v>845814</v>
      </c>
      <c r="AI14" s="462" t="n">
        <v>372013</v>
      </c>
      <c r="AJ14" s="462" t="n">
        <v>1217827</v>
      </c>
      <c r="AK14" s="462" t="n">
        <v>1021407</v>
      </c>
      <c r="AL14" s="457" t="n"/>
      <c r="AM14" s="448"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256">
        <f>IF(B14="","",IFERROR(INDEX(OCC_TABLE_DESC,MATCH(B14,OCC_TABLE_CODE,0)),"Unrecognized code"))</f>
        <v/>
      </c>
    </row>
    <row r="15" ht="18" customHeight="1" s="545">
      <c r="A15" s="457" t="inlineStr">
        <is>
          <t>P005</t>
        </is>
      </c>
      <c r="B15" s="449" t="n">
        <v>344</v>
      </c>
      <c r="C15" s="458" t="inlineStr">
        <is>
          <t>R0050977</t>
        </is>
      </c>
      <c r="D15" s="448" t="inlineStr">
        <is>
          <t>9351 Grant St (Horizon Terrace)</t>
        </is>
      </c>
      <c r="E15" s="457" t="inlineStr">
        <is>
          <t>Thornton</t>
        </is>
      </c>
      <c r="F15" s="457" t="inlineStr">
        <is>
          <t>CO</t>
        </is>
      </c>
      <c r="G15" s="457" t="inlineStr">
        <is>
          <t>Office</t>
        </is>
      </c>
      <c r="H15" s="448" t="inlineStr">
        <is>
          <t>Class B Multi-story</t>
        </is>
      </c>
      <c r="I15" s="459" t="n"/>
      <c r="J15" s="459" t="n">
        <v>91646</v>
      </c>
      <c r="K15" s="459" t="n">
        <v>2024</v>
      </c>
      <c r="L15" s="460" t="n">
        <v>2052556</v>
      </c>
      <c r="M15" s="460" t="n">
        <v>269597</v>
      </c>
      <c r="N15" s="464" t="n">
        <v>2322153</v>
      </c>
      <c r="O15" s="460" t="n">
        <v>24269</v>
      </c>
      <c r="P15" s="460" t="n">
        <v>149428</v>
      </c>
      <c r="Q15" s="457" t="n"/>
      <c r="R15" s="457" t="n"/>
      <c r="S15" s="457" t="n"/>
      <c r="T15" s="457" t="n"/>
      <c r="U15" s="457" t="n"/>
      <c r="V15" s="457" t="n"/>
      <c r="W15" s="457" t="n"/>
      <c r="X15" s="460" t="n">
        <v>150462</v>
      </c>
      <c r="Y15" s="461" t="n">
        <v>150462</v>
      </c>
      <c r="Z15" s="457" t="n"/>
      <c r="AA15" s="460" t="n">
        <v>109178</v>
      </c>
      <c r="AB15" s="457" t="n"/>
      <c r="AC15" s="461" t="n">
        <v>262640</v>
      </c>
      <c r="AD15" s="457" t="n"/>
      <c r="AE15" s="457" t="n"/>
      <c r="AF15" s="461" t="n">
        <v>232174</v>
      </c>
      <c r="AG15" s="460" t="n">
        <v>37416</v>
      </c>
      <c r="AH15" s="462" t="n">
        <v>856390</v>
      </c>
      <c r="AI15" s="462" t="n">
        <v>413583</v>
      </c>
      <c r="AJ15" s="462" t="n">
        <v>1269973</v>
      </c>
      <c r="AK15" s="462" t="n">
        <v>1052180</v>
      </c>
      <c r="AL15" s="457" t="n"/>
      <c r="AM15" s="448"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256">
        <f>IF(B15="","",IFERROR(INDEX(OCC_TABLE_DESC,MATCH(B15,OCC_TABLE_CODE,0)),"Unrecognized code"))</f>
        <v/>
      </c>
    </row>
    <row r="16" ht="18" customHeight="1" s="545">
      <c r="A16" s="457" t="inlineStr">
        <is>
          <t>P006</t>
        </is>
      </c>
      <c r="B16" s="449" t="n">
        <v>210</v>
      </c>
      <c r="C16" s="458" t="inlineStr">
        <is>
          <t>R0062937</t>
        </is>
      </c>
      <c r="D16" s="448" t="inlineStr">
        <is>
          <t>8670 Wolff Ct (Sheridan Park 8)</t>
        </is>
      </c>
      <c r="E16" s="457" t="inlineStr">
        <is>
          <t>Westminster</t>
        </is>
      </c>
      <c r="F16" s="457" t="inlineStr">
        <is>
          <t>CO</t>
        </is>
      </c>
      <c r="G16" s="457" t="inlineStr">
        <is>
          <t>Office/Flex</t>
        </is>
      </c>
      <c r="H16" s="448" t="inlineStr">
        <is>
          <t>Multi-tenant</t>
        </is>
      </c>
      <c r="I16" s="459" t="n"/>
      <c r="J16" s="459" t="n">
        <v>37078</v>
      </c>
      <c r="K16" s="459" t="n">
        <v>2020</v>
      </c>
      <c r="L16" s="457" t="n"/>
      <c r="M16" s="457" t="n"/>
      <c r="N16" s="467" t="n"/>
      <c r="O16" s="460" t="n">
        <v>5777</v>
      </c>
      <c r="P16" s="460" t="n">
        <v>19499</v>
      </c>
      <c r="Q16" s="457" t="n"/>
      <c r="R16" s="457" t="n"/>
      <c r="S16" s="457" t="n"/>
      <c r="T16" s="457" t="n"/>
      <c r="U16" s="457" t="n"/>
      <c r="V16" s="457" t="n"/>
      <c r="W16" s="457" t="n"/>
      <c r="X16" s="457" t="n"/>
      <c r="Y16" s="465" t="n"/>
      <c r="Z16" s="457" t="n"/>
      <c r="AA16" s="457" t="n"/>
      <c r="AB16" s="457" t="n"/>
      <c r="AC16" s="461" t="n">
        <v>133689</v>
      </c>
      <c r="AD16" s="457" t="n"/>
      <c r="AE16" s="457" t="n"/>
      <c r="AF16" s="461" t="n">
        <v>116321</v>
      </c>
      <c r="AG16" s="457" t="n"/>
      <c r="AH16" s="462" t="n">
        <v>275286</v>
      </c>
      <c r="AI16" s="462" t="n">
        <v>88705</v>
      </c>
      <c r="AJ16" s="462" t="n">
        <v>363991</v>
      </c>
      <c r="AK16" s="466" t="n"/>
      <c r="AL16" s="457" t="n"/>
      <c r="AM16" s="448" t="inlineStr">
        <is>
          <t>Income not available; expense-only from DYCO CAM history; CAM in contract total</t>
        </is>
      </c>
      <c r="AN16">
        <f>IF(AND($B16=Subj_OccCode,Subj_BldgSF&gt;0,ABS($J16-Subj_BldgSF)&lt;=Subj_BldgSF*Subj_SizeTol),ABS($J16-Subj_BldgSF),NA())</f>
        <v/>
      </c>
      <c r="AO16">
        <f>IF(ISNA(AN16),NA(),AN16+ROW()/10000000)</f>
        <v/>
      </c>
      <c r="AR16" s="256">
        <f>IF(B16="","",IFERROR(INDEX(OCC_TABLE_DESC,MATCH(B16,OCC_TABLE_CODE,0)),"Unrecognized code"))</f>
        <v/>
      </c>
    </row>
    <row r="17" ht="18" customHeight="1" s="545">
      <c r="A17" s="457" t="inlineStr">
        <is>
          <t>P006</t>
        </is>
      </c>
      <c r="B17" s="449" t="n">
        <v>210</v>
      </c>
      <c r="C17" s="458" t="inlineStr">
        <is>
          <t>R0062937</t>
        </is>
      </c>
      <c r="D17" s="448" t="inlineStr">
        <is>
          <t>8670 Wolff Ct (Sheridan Park 8)</t>
        </is>
      </c>
      <c r="E17" s="457" t="inlineStr">
        <is>
          <t>Westminster</t>
        </is>
      </c>
      <c r="F17" s="457" t="inlineStr">
        <is>
          <t>CO</t>
        </is>
      </c>
      <c r="G17" s="457" t="inlineStr">
        <is>
          <t>Office/Flex</t>
        </is>
      </c>
      <c r="H17" s="448" t="inlineStr">
        <is>
          <t>Multi-tenant</t>
        </is>
      </c>
      <c r="I17" s="459" t="n"/>
      <c r="J17" s="459" t="n">
        <v>37078</v>
      </c>
      <c r="K17" s="459" t="n">
        <v>2021</v>
      </c>
      <c r="L17" s="457" t="n"/>
      <c r="M17" s="457" t="n"/>
      <c r="N17" s="467" t="n"/>
      <c r="O17" s="460" t="n">
        <v>6826</v>
      </c>
      <c r="P17" s="460" t="n">
        <v>18000</v>
      </c>
      <c r="Q17" s="457" t="n"/>
      <c r="R17" s="457" t="n"/>
      <c r="S17" s="457" t="n"/>
      <c r="T17" s="457" t="n"/>
      <c r="U17" s="457" t="n"/>
      <c r="V17" s="457" t="n"/>
      <c r="W17" s="457" t="n"/>
      <c r="X17" s="457" t="n"/>
      <c r="Y17" s="465" t="n"/>
      <c r="Z17" s="457" t="n"/>
      <c r="AA17" s="457" t="n"/>
      <c r="AB17" s="457" t="n"/>
      <c r="AC17" s="461" t="n">
        <v>104519</v>
      </c>
      <c r="AD17" s="457" t="n"/>
      <c r="AE17" s="457" t="n"/>
      <c r="AF17" s="461" t="n">
        <v>108857</v>
      </c>
      <c r="AG17" s="457" t="n"/>
      <c r="AH17" s="462" t="n">
        <v>238202</v>
      </c>
      <c r="AI17" s="462" t="n">
        <v>84200</v>
      </c>
      <c r="AJ17" s="462" t="n">
        <v>322402</v>
      </c>
      <c r="AK17" s="466" t="n"/>
      <c r="AL17" s="457" t="n"/>
      <c r="AM17" s="448" t="inlineStr">
        <is>
          <t>Income not available; expense-only from DYCO CAM history</t>
        </is>
      </c>
      <c r="AN17">
        <f>IF(AND($B17=Subj_OccCode,Subj_BldgSF&gt;0,ABS($J17-Subj_BldgSF)&lt;=Subj_BldgSF*Subj_SizeTol),ABS($J17-Subj_BldgSF),NA())</f>
        <v/>
      </c>
      <c r="AO17">
        <f>IF(ISNA(AN17),NA(),AN17+ROW()/10000000)</f>
        <v/>
      </c>
      <c r="AR17" s="256">
        <f>IF(B17="","",IFERROR(INDEX(OCC_TABLE_DESC,MATCH(B17,OCC_TABLE_CODE,0)),"Unrecognized code"))</f>
        <v/>
      </c>
    </row>
    <row r="18" ht="18" customHeight="1" s="545">
      <c r="A18" s="457" t="inlineStr">
        <is>
          <t>P006</t>
        </is>
      </c>
      <c r="B18" s="449" t="n">
        <v>210</v>
      </c>
      <c r="C18" s="458" t="inlineStr">
        <is>
          <t>R0062937</t>
        </is>
      </c>
      <c r="D18" s="448" t="inlineStr">
        <is>
          <t>8670 Wolff Ct (Sheridan Park 8)</t>
        </is>
      </c>
      <c r="E18" s="457" t="inlineStr">
        <is>
          <t>Westminster</t>
        </is>
      </c>
      <c r="F18" s="457" t="inlineStr">
        <is>
          <t>CO</t>
        </is>
      </c>
      <c r="G18" s="457" t="inlineStr">
        <is>
          <t>Office/Flex</t>
        </is>
      </c>
      <c r="H18" s="448" t="inlineStr">
        <is>
          <t>Multi-tenant</t>
        </is>
      </c>
      <c r="I18" s="459" t="n"/>
      <c r="J18" s="459" t="n">
        <v>37078</v>
      </c>
      <c r="K18" s="459" t="n">
        <v>2022</v>
      </c>
      <c r="L18" s="457" t="n"/>
      <c r="M18" s="457" t="n"/>
      <c r="N18" s="467" t="n"/>
      <c r="O18" s="460" t="n">
        <v>7867</v>
      </c>
      <c r="P18" s="460" t="n">
        <v>20952</v>
      </c>
      <c r="Q18" s="457" t="n"/>
      <c r="R18" s="457" t="n"/>
      <c r="S18" s="457" t="n"/>
      <c r="T18" s="457" t="n"/>
      <c r="U18" s="457" t="n"/>
      <c r="V18" s="457" t="n"/>
      <c r="W18" s="457" t="n"/>
      <c r="X18" s="457" t="n"/>
      <c r="Y18" s="465" t="n"/>
      <c r="Z18" s="457" t="n"/>
      <c r="AA18" s="457" t="n"/>
      <c r="AB18" s="457" t="n"/>
      <c r="AC18" s="461" t="n">
        <v>112201</v>
      </c>
      <c r="AD18" s="457" t="n"/>
      <c r="AE18" s="457" t="n"/>
      <c r="AF18" s="461" t="n">
        <v>111968</v>
      </c>
      <c r="AG18" s="457" t="n"/>
      <c r="AH18" s="462" t="n">
        <v>252988</v>
      </c>
      <c r="AI18" s="462" t="n">
        <v>137142</v>
      </c>
      <c r="AJ18" s="462" t="n">
        <v>390130</v>
      </c>
      <c r="AK18" s="466" t="n"/>
      <c r="AL18" s="457" t="n"/>
      <c r="AM18" s="448"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256">
        <f>IF(B18="","",IFERROR(INDEX(OCC_TABLE_DESC,MATCH(B18,OCC_TABLE_CODE,0)),"Unrecognized code"))</f>
        <v/>
      </c>
    </row>
    <row r="19" ht="18" customHeight="1" s="545">
      <c r="A19" s="457" t="inlineStr">
        <is>
          <t>P006</t>
        </is>
      </c>
      <c r="B19" s="449" t="n">
        <v>210</v>
      </c>
      <c r="C19" s="458" t="inlineStr">
        <is>
          <t>R0062937</t>
        </is>
      </c>
      <c r="D19" s="448" t="inlineStr">
        <is>
          <t>8670 Wolff Ct (Sheridan Park 8)</t>
        </is>
      </c>
      <c r="E19" s="457" t="inlineStr">
        <is>
          <t>Westminster</t>
        </is>
      </c>
      <c r="F19" s="457" t="inlineStr">
        <is>
          <t>CO</t>
        </is>
      </c>
      <c r="G19" s="457" t="inlineStr">
        <is>
          <t>Office/Flex</t>
        </is>
      </c>
      <c r="H19" s="448" t="inlineStr">
        <is>
          <t>Multi-tenant</t>
        </is>
      </c>
      <c r="I19" s="459" t="n"/>
      <c r="J19" s="459" t="n">
        <v>37078</v>
      </c>
      <c r="K19" s="459" t="n">
        <v>2023</v>
      </c>
      <c r="L19" s="457" t="n"/>
      <c r="M19" s="457" t="n"/>
      <c r="N19" s="467" t="n"/>
      <c r="O19" s="460" t="n">
        <v>8654</v>
      </c>
      <c r="P19" s="460" t="n">
        <v>18000</v>
      </c>
      <c r="Q19" s="457" t="n"/>
      <c r="R19" s="457" t="n"/>
      <c r="S19" s="457" t="n"/>
      <c r="T19" s="457" t="n"/>
      <c r="U19" s="457" t="n"/>
      <c r="V19" s="457" t="n"/>
      <c r="W19" s="457" t="n"/>
      <c r="X19" s="457" t="n"/>
      <c r="Y19" s="465" t="n"/>
      <c r="Z19" s="457" t="n"/>
      <c r="AA19" s="457" t="n"/>
      <c r="AB19" s="457" t="n"/>
      <c r="AC19" s="461" t="n">
        <v>116495</v>
      </c>
      <c r="AD19" s="457" t="n"/>
      <c r="AE19" s="457" t="n"/>
      <c r="AF19" s="461" t="n">
        <v>111903</v>
      </c>
      <c r="AG19" s="457" t="n"/>
      <c r="AH19" s="462" t="n">
        <v>255052</v>
      </c>
      <c r="AI19" s="462" t="n">
        <v>131777</v>
      </c>
      <c r="AJ19" s="462" t="n">
        <v>386829</v>
      </c>
      <c r="AK19" s="466" t="n"/>
      <c r="AL19" s="457" t="n"/>
      <c r="AM19" s="448" t="inlineStr">
        <is>
          <t>Income not available; 2023 YTD annualized per DYCO</t>
        </is>
      </c>
      <c r="AN19">
        <f>IF(AND($B19=Subj_OccCode,Subj_BldgSF&gt;0,ABS($J19-Subj_BldgSF)&lt;=Subj_BldgSF*Subj_SizeTol),ABS($J19-Subj_BldgSF),NA())</f>
        <v/>
      </c>
      <c r="AO19">
        <f>IF(ISNA(AN19),NA(),AN19+ROW()/10000000)</f>
        <v/>
      </c>
      <c r="AR19" s="256">
        <f>IF(B19="","",IFERROR(INDEX(OCC_TABLE_DESC,MATCH(B19,OCC_TABLE_CODE,0)),"Unrecognized code"))</f>
        <v/>
      </c>
    </row>
    <row r="20" ht="18" customHeight="1" s="545">
      <c r="A20" s="457" t="inlineStr">
        <is>
          <t>P006</t>
        </is>
      </c>
      <c r="B20" s="449" t="n">
        <v>210</v>
      </c>
      <c r="C20" s="458" t="inlineStr">
        <is>
          <t>R0062937</t>
        </is>
      </c>
      <c r="D20" s="448" t="inlineStr">
        <is>
          <t>8670 Wolff Ct (Sheridan Park 8)</t>
        </is>
      </c>
      <c r="E20" s="457" t="inlineStr">
        <is>
          <t>Westminster</t>
        </is>
      </c>
      <c r="F20" s="457" t="inlineStr">
        <is>
          <t>CO</t>
        </is>
      </c>
      <c r="G20" s="457" t="inlineStr">
        <is>
          <t>Office/Flex</t>
        </is>
      </c>
      <c r="H20" s="448" t="inlineStr">
        <is>
          <t>Multi-tenant</t>
        </is>
      </c>
      <c r="I20" s="459" t="n"/>
      <c r="J20" s="459" t="n">
        <v>37078</v>
      </c>
      <c r="K20" s="459" t="n">
        <v>2024</v>
      </c>
      <c r="L20" s="457" t="n"/>
      <c r="M20" s="457" t="n"/>
      <c r="N20" s="467" t="n"/>
      <c r="O20" s="460" t="n">
        <v>8654</v>
      </c>
      <c r="P20" s="460" t="n">
        <v>21600</v>
      </c>
      <c r="Q20" s="457" t="n"/>
      <c r="R20" s="457" t="n"/>
      <c r="S20" s="457" t="n"/>
      <c r="T20" s="457" t="n"/>
      <c r="U20" s="457" t="n"/>
      <c r="V20" s="457" t="n"/>
      <c r="W20" s="457" t="n"/>
      <c r="X20" s="457" t="n"/>
      <c r="Y20" s="465" t="n"/>
      <c r="Z20" s="457" t="n"/>
      <c r="AA20" s="457" t="n"/>
      <c r="AB20" s="457" t="n"/>
      <c r="AC20" s="461" t="n">
        <v>139794</v>
      </c>
      <c r="AD20" s="457" t="n"/>
      <c r="AE20" s="457" t="n"/>
      <c r="AF20" s="461" t="n">
        <v>134284</v>
      </c>
      <c r="AG20" s="457" t="n"/>
      <c r="AH20" s="462" t="n">
        <v>304332</v>
      </c>
      <c r="AI20" s="462" t="n">
        <v>131777</v>
      </c>
      <c r="AJ20" s="462" t="n">
        <v>436109</v>
      </c>
      <c r="AK20" s="466" t="n"/>
      <c r="AL20" s="457" t="n"/>
      <c r="AM20" s="448" t="inlineStr">
        <is>
          <t>Income not available; 2024 actuals per DYCO CAM history</t>
        </is>
      </c>
      <c r="AN20">
        <f>IF(AND($B20=Subj_OccCode,Subj_BldgSF&gt;0,ABS($J20-Subj_BldgSF)&lt;=Subj_BldgSF*Subj_SizeTol),ABS($J20-Subj_BldgSF),NA())</f>
        <v/>
      </c>
      <c r="AO20">
        <f>IF(ISNA(AN20),NA(),AN20+ROW()/10000000)</f>
        <v/>
      </c>
      <c r="AR20" s="256">
        <f>IF(B20="","",IFERROR(INDEX(OCC_TABLE_DESC,MATCH(B20,OCC_TABLE_CODE,0)),"Unrecognized code"))</f>
        <v/>
      </c>
    </row>
    <row r="21" ht="18" customHeight="1" s="545">
      <c r="A21" s="457" t="inlineStr">
        <is>
          <t>P007</t>
        </is>
      </c>
      <c r="B21" s="449" t="n">
        <v>341</v>
      </c>
      <c r="C21" s="458" t="inlineStr">
        <is>
          <t>R0062944</t>
        </is>
      </c>
      <c r="D21" s="448" t="inlineStr">
        <is>
          <t>8787 (medical office complex)</t>
        </is>
      </c>
      <c r="E21" s="457" t="inlineStr">
        <is>
          <t>Adams County</t>
        </is>
      </c>
      <c r="F21" s="457" t="inlineStr">
        <is>
          <t>CO</t>
        </is>
      </c>
      <c r="G21" s="457" t="inlineStr">
        <is>
          <t>Medical Office</t>
        </is>
      </c>
      <c r="H21" s="448" t="inlineStr">
        <is>
          <t>Multi-tenant</t>
        </is>
      </c>
      <c r="I21" s="459" t="n"/>
      <c r="J21" s="459" t="n">
        <v>19430</v>
      </c>
      <c r="K21" s="459" t="n">
        <v>2023</v>
      </c>
      <c r="L21" s="457" t="n"/>
      <c r="M21" s="457" t="n"/>
      <c r="N21" s="464" t="n">
        <v>393809</v>
      </c>
      <c r="O21" s="460" t="n">
        <v>9485</v>
      </c>
      <c r="P21" s="460" t="n">
        <v>10200</v>
      </c>
      <c r="Q21" s="457" t="n"/>
      <c r="R21" s="457" t="n"/>
      <c r="S21" s="457" t="n"/>
      <c r="T21" s="457" t="n"/>
      <c r="U21" s="460" t="n">
        <v>21615</v>
      </c>
      <c r="V21" s="457" t="n"/>
      <c r="W21" s="457" t="n"/>
      <c r="X21" s="460" t="n">
        <v>26521</v>
      </c>
      <c r="Y21" s="461" t="n">
        <v>26521</v>
      </c>
      <c r="Z21" s="460" t="n">
        <v>2032</v>
      </c>
      <c r="AA21" s="460" t="n">
        <v>11685</v>
      </c>
      <c r="AB21" s="460" t="n">
        <v>6338</v>
      </c>
      <c r="AC21" s="461" t="n">
        <v>20055</v>
      </c>
      <c r="AD21" s="460" t="n">
        <v>7660</v>
      </c>
      <c r="AE21" s="460" t="n">
        <v>37676</v>
      </c>
      <c r="AF21" s="461" t="n">
        <v>45336</v>
      </c>
      <c r="AG21" s="460" t="n">
        <v>18144</v>
      </c>
      <c r="AH21" s="462" t="n">
        <v>151355</v>
      </c>
      <c r="AI21" s="462" t="n">
        <v>53397</v>
      </c>
      <c r="AJ21" s="462" t="n">
        <v>204752</v>
      </c>
      <c r="AK21" s="462" t="n">
        <v>189057</v>
      </c>
      <c r="AL21" s="457" t="n"/>
      <c r="AM21" s="448"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256">
        <f>IF(B21="","",IFERROR(INDEX(OCC_TABLE_DESC,MATCH(B21,OCC_TABLE_CODE,0)),"Unrecognized code"))</f>
        <v/>
      </c>
    </row>
    <row r="22" ht="18" customHeight="1" s="545">
      <c r="A22" s="457" t="inlineStr">
        <is>
          <t>P007</t>
        </is>
      </c>
      <c r="B22" s="449" t="n">
        <v>341</v>
      </c>
      <c r="C22" s="458" t="inlineStr">
        <is>
          <t>R0062944</t>
        </is>
      </c>
      <c r="D22" s="448" t="inlineStr">
        <is>
          <t>8787 (medical office complex)</t>
        </is>
      </c>
      <c r="E22" s="457" t="inlineStr">
        <is>
          <t>Adams County</t>
        </is>
      </c>
      <c r="F22" s="457" t="inlineStr">
        <is>
          <t>CO</t>
        </is>
      </c>
      <c r="G22" s="457" t="inlineStr">
        <is>
          <t>Medical Office</t>
        </is>
      </c>
      <c r="H22" s="448" t="inlineStr">
        <is>
          <t>Multi-tenant</t>
        </is>
      </c>
      <c r="I22" s="459" t="n"/>
      <c r="J22" s="459" t="n">
        <v>19430</v>
      </c>
      <c r="K22" s="459" t="n">
        <v>2024</v>
      </c>
      <c r="L22" s="457" t="n"/>
      <c r="M22" s="457" t="n"/>
      <c r="N22" s="464" t="n">
        <v>390497</v>
      </c>
      <c r="O22" s="460" t="n">
        <v>13960</v>
      </c>
      <c r="P22" s="460" t="n">
        <v>38622</v>
      </c>
      <c r="Q22" s="457" t="n"/>
      <c r="R22" s="457" t="n"/>
      <c r="S22" s="457" t="n"/>
      <c r="T22" s="457" t="n"/>
      <c r="U22" s="460" t="n">
        <v>13067</v>
      </c>
      <c r="V22" s="457" t="n"/>
      <c r="W22" s="457" t="n"/>
      <c r="X22" s="460" t="n">
        <v>25835</v>
      </c>
      <c r="Y22" s="461" t="n">
        <v>25835</v>
      </c>
      <c r="Z22" s="460" t="n">
        <v>1958</v>
      </c>
      <c r="AA22" s="460" t="n">
        <v>15696</v>
      </c>
      <c r="AB22" s="460" t="n">
        <v>5885</v>
      </c>
      <c r="AC22" s="461" t="n">
        <v>23539</v>
      </c>
      <c r="AD22" s="460" t="n">
        <v>6421</v>
      </c>
      <c r="AE22" s="460" t="n">
        <v>33074</v>
      </c>
      <c r="AF22" s="461" t="n">
        <v>39495</v>
      </c>
      <c r="AG22" s="460" t="n">
        <v>16022</v>
      </c>
      <c r="AH22" s="462" t="n">
        <v>170540</v>
      </c>
      <c r="AI22" s="462" t="n">
        <v>63200</v>
      </c>
      <c r="AJ22" s="462" t="n">
        <v>233740</v>
      </c>
      <c r="AK22" s="462" t="n">
        <v>156757</v>
      </c>
      <c r="AL22" s="457" t="n"/>
      <c r="AM22" s="448"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256">
        <f>IF(B22="","",IFERROR(INDEX(OCC_TABLE_DESC,MATCH(B22,OCC_TABLE_CODE,0)),"Unrecognized code"))</f>
        <v/>
      </c>
    </row>
    <row r="23" ht="18" customHeight="1" s="545">
      <c r="A23" s="457" t="inlineStr">
        <is>
          <t>P008</t>
        </is>
      </c>
      <c r="B23" s="449" t="n">
        <v>210</v>
      </c>
      <c r="C23" s="458" t="inlineStr">
        <is>
          <t>R0070622</t>
        </is>
      </c>
      <c r="D23" s="448" t="inlineStr">
        <is>
          <t>460-550 E. 76th Ave (WPC Corporate)</t>
        </is>
      </c>
      <c r="E23" s="457" t="inlineStr">
        <is>
          <t>Adams County</t>
        </is>
      </c>
      <c r="F23" s="457" t="inlineStr">
        <is>
          <t>CO</t>
        </is>
      </c>
      <c r="G23" s="457" t="inlineStr">
        <is>
          <t>Industrial</t>
        </is>
      </c>
      <c r="H23" s="448" t="inlineStr">
        <is>
          <t>Distribution/Flex Multi-tenant</t>
        </is>
      </c>
      <c r="I23" s="459" t="n"/>
      <c r="J23" s="459" t="n">
        <v>330935</v>
      </c>
      <c r="K23" s="459" t="n">
        <v>2024</v>
      </c>
      <c r="L23" s="457" t="n"/>
      <c r="M23" s="457" t="n"/>
      <c r="N23" s="464" t="n">
        <v>2750538</v>
      </c>
      <c r="O23" s="457" t="n"/>
      <c r="P23" s="457" t="n"/>
      <c r="Q23" s="457" t="n"/>
      <c r="R23" s="457" t="n"/>
      <c r="S23" s="457" t="n"/>
      <c r="T23" s="457" t="n"/>
      <c r="U23" s="457" t="n"/>
      <c r="V23" s="457" t="n"/>
      <c r="W23" s="457" t="n"/>
      <c r="X23" s="457" t="n"/>
      <c r="Y23" s="465" t="n"/>
      <c r="Z23" s="457" t="n"/>
      <c r="AA23" s="457" t="n"/>
      <c r="AB23" s="457" t="n"/>
      <c r="AC23" s="465" t="n"/>
      <c r="AD23" s="457" t="n"/>
      <c r="AE23" s="457" t="n"/>
      <c r="AF23" s="465" t="n"/>
      <c r="AG23" s="457" t="n"/>
      <c r="AH23" s="466" t="n"/>
      <c r="AI23" s="466" t="n"/>
      <c r="AJ23" s="462" t="n">
        <v>1338440</v>
      </c>
      <c r="AK23" s="462" t="n">
        <v>1412098</v>
      </c>
      <c r="AL23" s="457" t="n"/>
      <c r="AM23" s="448"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256">
        <f>IF(B23="","",IFERROR(INDEX(OCC_TABLE_DESC,MATCH(B23,OCC_TABLE_CODE,0)),"Unrecognized code"))</f>
        <v/>
      </c>
    </row>
    <row r="24" ht="18" customHeight="1" s="545">
      <c r="A24" s="457" t="inlineStr">
        <is>
          <t>P009</t>
        </is>
      </c>
      <c r="B24" s="449" t="n">
        <v>407</v>
      </c>
      <c r="C24" s="458" t="inlineStr">
        <is>
          <t>R0075212</t>
        </is>
      </c>
      <c r="D24" s="448" t="inlineStr">
        <is>
          <t>10500 Havana Court</t>
        </is>
      </c>
      <c r="E24" s="457" t="inlineStr">
        <is>
          <t>Adams County</t>
        </is>
      </c>
      <c r="F24" s="457" t="inlineStr">
        <is>
          <t>CO</t>
        </is>
      </c>
      <c r="G24" s="457" t="inlineStr">
        <is>
          <t>Industrial</t>
        </is>
      </c>
      <c r="H24" s="448" t="inlineStr">
        <is>
          <t>NNN Single-tenant</t>
        </is>
      </c>
      <c r="I24" s="459" t="n"/>
      <c r="J24" s="459" t="n"/>
      <c r="K24" s="459" t="n">
        <v>2023</v>
      </c>
      <c r="L24" s="457" t="n"/>
      <c r="M24" s="457" t="n"/>
      <c r="N24" s="464" t="n">
        <v>332759</v>
      </c>
      <c r="O24" s="460" t="n">
        <v>22784</v>
      </c>
      <c r="P24" s="460" t="n">
        <v>4000</v>
      </c>
      <c r="Q24" s="457" t="n"/>
      <c r="R24" s="457" t="n"/>
      <c r="S24" s="457" t="n"/>
      <c r="T24" s="457" t="n"/>
      <c r="U24" s="457" t="n"/>
      <c r="V24" s="457" t="n"/>
      <c r="W24" s="457" t="n"/>
      <c r="X24" s="460" t="n">
        <v>12804</v>
      </c>
      <c r="Y24" s="461" t="n">
        <v>12804</v>
      </c>
      <c r="Z24" s="457" t="n"/>
      <c r="AA24" s="460" t="n">
        <v>6910</v>
      </c>
      <c r="AB24" s="460" t="n">
        <v>1800</v>
      </c>
      <c r="AC24" s="461" t="n">
        <v>8710</v>
      </c>
      <c r="AD24" s="460" t="n">
        <v>2209</v>
      </c>
      <c r="AE24" s="460" t="n">
        <v>1956</v>
      </c>
      <c r="AF24" s="461" t="n">
        <v>4165</v>
      </c>
      <c r="AG24" s="460" t="n">
        <v>8397</v>
      </c>
      <c r="AH24" s="462" t="n">
        <v>127005</v>
      </c>
      <c r="AI24" s="462" t="n">
        <v>60552</v>
      </c>
      <c r="AJ24" s="462" t="n">
        <v>187557</v>
      </c>
      <c r="AK24" s="462" t="n">
        <v>265550</v>
      </c>
      <c r="AL24" s="457" t="n"/>
      <c r="AM24" s="448"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256">
        <f>IF(B24="","",IFERROR(INDEX(OCC_TABLE_DESC,MATCH(B24,OCC_TABLE_CODE,0)),"Unrecognized code"))</f>
        <v/>
      </c>
    </row>
    <row r="25" ht="18" customHeight="1" s="545">
      <c r="A25" s="457" t="inlineStr">
        <is>
          <t>P009</t>
        </is>
      </c>
      <c r="B25" s="449" t="n">
        <v>407</v>
      </c>
      <c r="C25" s="458" t="inlineStr">
        <is>
          <t>R0075212</t>
        </is>
      </c>
      <c r="D25" s="448" t="inlineStr">
        <is>
          <t>10500 Havana Court</t>
        </is>
      </c>
      <c r="E25" s="457" t="inlineStr">
        <is>
          <t>Adams County</t>
        </is>
      </c>
      <c r="F25" s="457" t="inlineStr">
        <is>
          <t>CO</t>
        </is>
      </c>
      <c r="G25" s="457" t="inlineStr">
        <is>
          <t>Industrial</t>
        </is>
      </c>
      <c r="H25" s="448" t="inlineStr">
        <is>
          <t>NNN Single-tenant</t>
        </is>
      </c>
      <c r="I25" s="459" t="n"/>
      <c r="J25" s="459" t="n"/>
      <c r="K25" s="459" t="n">
        <v>2024</v>
      </c>
      <c r="L25" s="457" t="n"/>
      <c r="M25" s="457" t="n"/>
      <c r="N25" s="464" t="n">
        <v>359583</v>
      </c>
      <c r="O25" s="460" t="n">
        <v>27489</v>
      </c>
      <c r="P25" s="460" t="n">
        <v>6000</v>
      </c>
      <c r="Q25" s="457" t="n"/>
      <c r="R25" s="457" t="n"/>
      <c r="S25" s="457" t="n"/>
      <c r="T25" s="457" t="n"/>
      <c r="U25" s="457" t="n"/>
      <c r="V25" s="457" t="n"/>
      <c r="W25" s="457" t="n"/>
      <c r="X25" s="460" t="n">
        <v>9601</v>
      </c>
      <c r="Y25" s="461" t="n">
        <v>9601</v>
      </c>
      <c r="Z25" s="457" t="n"/>
      <c r="AA25" s="460" t="n">
        <v>3045</v>
      </c>
      <c r="AB25" s="460" t="n">
        <v>1960</v>
      </c>
      <c r="AC25" s="461" t="n">
        <v>5005</v>
      </c>
      <c r="AD25" s="460" t="n">
        <v>3555</v>
      </c>
      <c r="AE25" s="460" t="n">
        <v>1567</v>
      </c>
      <c r="AF25" s="461" t="n">
        <v>5122</v>
      </c>
      <c r="AG25" s="460" t="n">
        <v>10035</v>
      </c>
      <c r="AH25" s="462" t="n">
        <v>69350</v>
      </c>
      <c r="AI25" s="462" t="n">
        <v>101114</v>
      </c>
      <c r="AJ25" s="462" t="n">
        <v>170464</v>
      </c>
      <c r="AK25" s="462" t="n">
        <v>290993</v>
      </c>
      <c r="AL25" s="457" t="n"/>
      <c r="AM25" s="448"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256">
        <f>IF(B25="","",IFERROR(INDEX(OCC_TABLE_DESC,MATCH(B25,OCC_TABLE_CODE,0)),"Unrecognized code"))</f>
        <v/>
      </c>
    </row>
    <row r="26" ht="18" customHeight="1" s="545">
      <c r="A26" s="457" t="inlineStr">
        <is>
          <t>P010</t>
        </is>
      </c>
      <c r="B26" s="449" t="n">
        <v>210</v>
      </c>
      <c r="C26" s="458" t="inlineStr">
        <is>
          <t>R0098225</t>
        </is>
      </c>
      <c r="D26" s="448" t="inlineStr">
        <is>
          <t>Broadway Business Center (7040B Broadway)</t>
        </is>
      </c>
      <c r="E26" s="457" t="inlineStr">
        <is>
          <t>Denver</t>
        </is>
      </c>
      <c r="F26" s="457" t="inlineStr">
        <is>
          <t>CO</t>
        </is>
      </c>
      <c r="G26" s="457" t="inlineStr">
        <is>
          <t>Flex/Industrial</t>
        </is>
      </c>
      <c r="H26" s="448" t="inlineStr">
        <is>
          <t>Multi-tenant CAM</t>
        </is>
      </c>
      <c r="I26" s="459" t="n"/>
      <c r="J26" s="459" t="n">
        <v>105000</v>
      </c>
      <c r="K26" s="459" t="n">
        <v>2023</v>
      </c>
      <c r="L26" s="460" t="n">
        <v>737984</v>
      </c>
      <c r="M26" s="460" t="n">
        <v>508740</v>
      </c>
      <c r="N26" s="464" t="n">
        <v>1246724</v>
      </c>
      <c r="O26" s="460" t="n">
        <v>48903</v>
      </c>
      <c r="P26" s="460" t="n">
        <v>104311</v>
      </c>
      <c r="Q26" s="457" t="n"/>
      <c r="R26" s="457" t="n"/>
      <c r="S26" s="457" t="n"/>
      <c r="T26" s="457" t="n"/>
      <c r="U26" s="457" t="n"/>
      <c r="V26" s="457" t="n"/>
      <c r="W26" s="457" t="n"/>
      <c r="X26" s="460" t="n">
        <v>66445</v>
      </c>
      <c r="Y26" s="461" t="n">
        <v>66445</v>
      </c>
      <c r="Z26" s="460" t="n">
        <v>49021</v>
      </c>
      <c r="AA26" s="460" t="n">
        <v>22802</v>
      </c>
      <c r="AB26" s="460" t="n">
        <v>58641</v>
      </c>
      <c r="AC26" s="461" t="n">
        <v>130464</v>
      </c>
      <c r="AD26" s="460" t="n">
        <v>53517</v>
      </c>
      <c r="AE26" s="457" t="n"/>
      <c r="AF26" s="461" t="n">
        <v>75845</v>
      </c>
      <c r="AG26" s="457" t="n"/>
      <c r="AH26" s="462" t="n">
        <v>484485</v>
      </c>
      <c r="AI26" s="462" t="n">
        <v>229515</v>
      </c>
      <c r="AJ26" s="462" t="n">
        <v>714000</v>
      </c>
      <c r="AK26" s="462" t="n">
        <v>533000</v>
      </c>
      <c r="AL26" s="457" t="n"/>
      <c r="AM26" s="448"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256">
        <f>IF(B26="","",IFERROR(INDEX(OCC_TABLE_DESC,MATCH(B26,OCC_TABLE_CODE,0)),"Unrecognized code"))</f>
        <v/>
      </c>
    </row>
    <row r="27" ht="18" customHeight="1" s="545">
      <c r="A27" s="457" t="inlineStr">
        <is>
          <t>P010</t>
        </is>
      </c>
      <c r="B27" s="449" t="n">
        <v>210</v>
      </c>
      <c r="C27" s="458" t="inlineStr">
        <is>
          <t>R0098225</t>
        </is>
      </c>
      <c r="D27" s="448" t="inlineStr">
        <is>
          <t>Broadway Business Center (7040B Broadway)</t>
        </is>
      </c>
      <c r="E27" s="457" t="inlineStr">
        <is>
          <t>Denver</t>
        </is>
      </c>
      <c r="F27" s="457" t="inlineStr">
        <is>
          <t>CO</t>
        </is>
      </c>
      <c r="G27" s="457" t="inlineStr">
        <is>
          <t>Flex/Industrial</t>
        </is>
      </c>
      <c r="H27" s="448" t="inlineStr">
        <is>
          <t>Multi-tenant CAM</t>
        </is>
      </c>
      <c r="I27" s="459" t="n"/>
      <c r="J27" s="459" t="n">
        <v>105000</v>
      </c>
      <c r="K27" s="459" t="n">
        <v>2024</v>
      </c>
      <c r="L27" s="460" t="n">
        <v>902782</v>
      </c>
      <c r="M27" s="460" t="n">
        <v>784277</v>
      </c>
      <c r="N27" s="464" t="n">
        <v>1687059</v>
      </c>
      <c r="O27" s="460" t="n">
        <v>50508</v>
      </c>
      <c r="P27" s="460" t="n">
        <v>123399</v>
      </c>
      <c r="Q27" s="457" t="n"/>
      <c r="R27" s="457" t="n"/>
      <c r="S27" s="457" t="n"/>
      <c r="T27" s="457" t="n"/>
      <c r="U27" s="457" t="n"/>
      <c r="V27" s="457" t="n"/>
      <c r="W27" s="457" t="n"/>
      <c r="X27" s="460" t="n">
        <v>75128</v>
      </c>
      <c r="Y27" s="461" t="n">
        <v>75128</v>
      </c>
      <c r="Z27" s="460" t="n">
        <v>58998</v>
      </c>
      <c r="AA27" s="460" t="n">
        <v>18144</v>
      </c>
      <c r="AB27" s="460" t="n">
        <v>52328</v>
      </c>
      <c r="AC27" s="461" t="n">
        <v>129470</v>
      </c>
      <c r="AD27" s="460" t="n">
        <v>87196</v>
      </c>
      <c r="AE27" s="457" t="n"/>
      <c r="AF27" s="461" t="n">
        <v>100191</v>
      </c>
      <c r="AG27" s="457" t="n"/>
      <c r="AH27" s="462" t="n">
        <v>502686</v>
      </c>
      <c r="AI27" s="462" t="n">
        <v>544314</v>
      </c>
      <c r="AJ27" s="462" t="n">
        <v>1047000</v>
      </c>
      <c r="AK27" s="462" t="n">
        <v>640000</v>
      </c>
      <c r="AL27" s="457" t="n"/>
      <c r="AM27" s="448"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256">
        <f>IF(B27="","",IFERROR(INDEX(OCC_TABLE_DESC,MATCH(B27,OCC_TABLE_CODE,0)),"Unrecognized code"))</f>
        <v/>
      </c>
    </row>
    <row r="28" ht="18" customHeight="1" s="545">
      <c r="A28" s="457" t="inlineStr">
        <is>
          <t>P011</t>
        </is>
      </c>
      <c r="B28" s="449" t="n">
        <v>210</v>
      </c>
      <c r="C28" s="458" t="inlineStr">
        <is>
          <t>R0103767</t>
        </is>
      </c>
      <c r="D28" s="448" t="inlineStr">
        <is>
          <t>5650 Washington St (Washington Business Park)</t>
        </is>
      </c>
      <c r="E28" s="457" t="inlineStr">
        <is>
          <t>Adams County</t>
        </is>
      </c>
      <c r="F28" s="457" t="inlineStr">
        <is>
          <t>CO</t>
        </is>
      </c>
      <c r="G28" s="457" t="inlineStr">
        <is>
          <t>Industrial/Flex</t>
        </is>
      </c>
      <c r="H28" s="448" t="inlineStr">
        <is>
          <t>Multi-tenant</t>
        </is>
      </c>
      <c r="I28" s="459" t="n"/>
      <c r="J28" s="459" t="n"/>
      <c r="K28" s="459" t="n">
        <v>2022</v>
      </c>
      <c r="L28" s="457" t="n"/>
      <c r="M28" s="457" t="n"/>
      <c r="N28" s="464" t="n">
        <v>502006</v>
      </c>
      <c r="O28" s="460" t="n">
        <v>16872</v>
      </c>
      <c r="P28" s="460" t="n">
        <v>54025</v>
      </c>
      <c r="Q28" s="457" t="n"/>
      <c r="R28" s="457" t="n"/>
      <c r="S28" s="457" t="n"/>
      <c r="T28" s="457" t="n"/>
      <c r="U28" s="457" t="n"/>
      <c r="V28" s="457" t="n"/>
      <c r="W28" s="457" t="n"/>
      <c r="X28" s="460" t="n">
        <v>71762</v>
      </c>
      <c r="Y28" s="461" t="n">
        <v>71762</v>
      </c>
      <c r="Z28" s="457" t="n"/>
      <c r="AA28" s="460" t="n">
        <v>6528</v>
      </c>
      <c r="AB28" s="457" t="n"/>
      <c r="AC28" s="461" t="n">
        <v>6528</v>
      </c>
      <c r="AD28" s="460" t="n">
        <v>4858</v>
      </c>
      <c r="AE28" s="460" t="n">
        <v>525</v>
      </c>
      <c r="AF28" s="461" t="n">
        <v>5383</v>
      </c>
      <c r="AG28" s="457" t="n"/>
      <c r="AH28" s="462" t="n">
        <v>209625</v>
      </c>
      <c r="AI28" s="462" t="n">
        <v>64792</v>
      </c>
      <c r="AJ28" s="462" t="n">
        <v>274417</v>
      </c>
      <c r="AK28" s="462" t="n">
        <v>227649</v>
      </c>
      <c r="AL28" s="457" t="n"/>
      <c r="AM28" s="448"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256">
        <f>IF(B28="","",IFERROR(INDEX(OCC_TABLE_DESC,MATCH(B28,OCC_TABLE_CODE,0)),"Unrecognized code"))</f>
        <v/>
      </c>
    </row>
    <row r="29" ht="18" customHeight="1" s="545">
      <c r="A29" s="457" t="inlineStr">
        <is>
          <t>P011</t>
        </is>
      </c>
      <c r="B29" s="449" t="n">
        <v>210</v>
      </c>
      <c r="C29" s="458" t="inlineStr">
        <is>
          <t>R0103767</t>
        </is>
      </c>
      <c r="D29" s="448" t="inlineStr">
        <is>
          <t>5650 Washington St (Washington Business Park)</t>
        </is>
      </c>
      <c r="E29" s="457" t="inlineStr">
        <is>
          <t>Adams County</t>
        </is>
      </c>
      <c r="F29" s="457" t="inlineStr">
        <is>
          <t>CO</t>
        </is>
      </c>
      <c r="G29" s="457" t="inlineStr">
        <is>
          <t>Industrial/Flex</t>
        </is>
      </c>
      <c r="H29" s="448" t="inlineStr">
        <is>
          <t>Multi-tenant</t>
        </is>
      </c>
      <c r="I29" s="459" t="n"/>
      <c r="J29" s="459" t="n"/>
      <c r="K29" s="459" t="n">
        <v>2023</v>
      </c>
      <c r="L29" s="457" t="n"/>
      <c r="M29" s="457" t="n"/>
      <c r="N29" s="464" t="n">
        <v>532468</v>
      </c>
      <c r="O29" s="460" t="n">
        <v>15442</v>
      </c>
      <c r="P29" s="457" t="n"/>
      <c r="Q29" s="457" t="n"/>
      <c r="R29" s="457" t="n"/>
      <c r="S29" s="457" t="n"/>
      <c r="T29" s="457" t="n"/>
      <c r="U29" s="457" t="n"/>
      <c r="V29" s="457" t="n"/>
      <c r="W29" s="457" t="n"/>
      <c r="X29" s="460" t="n">
        <v>83293</v>
      </c>
      <c r="Y29" s="461" t="n">
        <v>83293</v>
      </c>
      <c r="Z29" s="457" t="n"/>
      <c r="AA29" s="460" t="n">
        <v>6029</v>
      </c>
      <c r="AB29" s="457" t="n"/>
      <c r="AC29" s="461" t="n">
        <v>6029</v>
      </c>
      <c r="AD29" s="460" t="n">
        <v>6487</v>
      </c>
      <c r="AE29" s="457" t="n"/>
      <c r="AF29" s="461" t="n">
        <v>6487</v>
      </c>
      <c r="AG29" s="457" t="n"/>
      <c r="AH29" s="462" t="n">
        <v>141304</v>
      </c>
      <c r="AI29" s="462" t="n">
        <v>63133</v>
      </c>
      <c r="AJ29" s="462" t="n">
        <v>204437</v>
      </c>
      <c r="AK29" s="462" t="n">
        <v>328030</v>
      </c>
      <c r="AL29" s="457" t="n"/>
      <c r="AM29" s="448"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256">
        <f>IF(B29="","",IFERROR(INDEX(OCC_TABLE_DESC,MATCH(B29,OCC_TABLE_CODE,0)),"Unrecognized code"))</f>
        <v/>
      </c>
    </row>
    <row r="30" ht="18" customHeight="1" s="545">
      <c r="A30" s="457" t="inlineStr">
        <is>
          <t>P011</t>
        </is>
      </c>
      <c r="B30" s="449" t="n">
        <v>210</v>
      </c>
      <c r="C30" s="458" t="inlineStr">
        <is>
          <t>R0103767</t>
        </is>
      </c>
      <c r="D30" s="448" t="inlineStr">
        <is>
          <t>5650 Washington St (Washington Business Park)</t>
        </is>
      </c>
      <c r="E30" s="457" t="inlineStr">
        <is>
          <t>Adams County</t>
        </is>
      </c>
      <c r="F30" s="457" t="inlineStr">
        <is>
          <t>CO</t>
        </is>
      </c>
      <c r="G30" s="457" t="inlineStr">
        <is>
          <t>Industrial/Flex</t>
        </is>
      </c>
      <c r="H30" s="448" t="inlineStr">
        <is>
          <t>Multi-tenant</t>
        </is>
      </c>
      <c r="I30" s="459" t="n"/>
      <c r="J30" s="459" t="n"/>
      <c r="K30" s="459" t="n">
        <v>2024</v>
      </c>
      <c r="L30" s="457" t="n"/>
      <c r="M30" s="457" t="n"/>
      <c r="N30" s="464" t="n">
        <v>517234</v>
      </c>
      <c r="O30" s="460" t="n">
        <v>20795</v>
      </c>
      <c r="P30" s="457" t="n"/>
      <c r="Q30" s="457" t="n"/>
      <c r="R30" s="457" t="n"/>
      <c r="S30" s="457" t="n"/>
      <c r="T30" s="457" t="n"/>
      <c r="U30" s="457" t="n"/>
      <c r="V30" s="457" t="n"/>
      <c r="W30" s="457" t="n"/>
      <c r="X30" s="460" t="n">
        <v>32385</v>
      </c>
      <c r="Y30" s="461" t="n">
        <v>32385</v>
      </c>
      <c r="Z30" s="457" t="n"/>
      <c r="AA30" s="460" t="n">
        <v>4814</v>
      </c>
      <c r="AB30" s="457" t="n"/>
      <c r="AC30" s="461" t="n">
        <v>4814</v>
      </c>
      <c r="AD30" s="460" t="n">
        <v>5690</v>
      </c>
      <c r="AE30" s="457" t="n"/>
      <c r="AF30" s="461" t="n">
        <v>5690</v>
      </c>
      <c r="AG30" s="457" t="n"/>
      <c r="AH30" s="466" t="n"/>
      <c r="AI30" s="466" t="n"/>
      <c r="AJ30" s="462" t="n">
        <v>331645</v>
      </c>
      <c r="AK30" s="462" t="n">
        <v>185389</v>
      </c>
      <c r="AL30" s="457" t="n"/>
      <c r="AM30" s="448"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256">
        <f>IF(B30="","",IFERROR(INDEX(OCC_TABLE_DESC,MATCH(B30,OCC_TABLE_CODE,0)),"Unrecognized code"))</f>
        <v/>
      </c>
    </row>
    <row r="31" ht="18" customHeight="1" s="545">
      <c r="A31" s="457" t="inlineStr">
        <is>
          <t>P012</t>
        </is>
      </c>
      <c r="B31" s="449" t="n">
        <v>344</v>
      </c>
      <c r="C31" s="458" t="inlineStr">
        <is>
          <t>R0124385</t>
        </is>
      </c>
      <c r="D31" s="448" t="inlineStr">
        <is>
          <t>Unknown (Tax District 555)</t>
        </is>
      </c>
      <c r="E31" s="457" t="inlineStr">
        <is>
          <t>Adams County</t>
        </is>
      </c>
      <c r="F31" s="457" t="inlineStr">
        <is>
          <t>CO</t>
        </is>
      </c>
      <c r="G31" s="457" t="inlineStr">
        <is>
          <t>Office</t>
        </is>
      </c>
      <c r="H31" s="448" t="inlineStr">
        <is>
          <t>Multi-tenant</t>
        </is>
      </c>
      <c r="I31" s="459" t="n"/>
      <c r="J31" s="459" t="n">
        <v>20170</v>
      </c>
      <c r="K31" s="459" t="n">
        <v>2023</v>
      </c>
      <c r="L31" s="457" t="n"/>
      <c r="M31" s="457" t="n"/>
      <c r="N31" s="464" t="n">
        <v>275740</v>
      </c>
      <c r="O31" s="457" t="n"/>
      <c r="P31" s="457" t="n"/>
      <c r="Q31" s="457" t="n"/>
      <c r="R31" s="457" t="n"/>
      <c r="S31" s="457" t="n"/>
      <c r="T31" s="457" t="n"/>
      <c r="U31" s="457" t="n"/>
      <c r="V31" s="457" t="n"/>
      <c r="W31" s="457" t="n"/>
      <c r="X31" s="457" t="n"/>
      <c r="Y31" s="465" t="n"/>
      <c r="Z31" s="457" t="n"/>
      <c r="AA31" s="457" t="n"/>
      <c r="AB31" s="457" t="n"/>
      <c r="AC31" s="465" t="n"/>
      <c r="AD31" s="457" t="n"/>
      <c r="AE31" s="457" t="n"/>
      <c r="AF31" s="465" t="n"/>
      <c r="AG31" s="457" t="n"/>
      <c r="AH31" s="462" t="n">
        <v>108096</v>
      </c>
      <c r="AI31" s="462" t="n">
        <v>45179</v>
      </c>
      <c r="AJ31" s="462" t="n">
        <v>153275</v>
      </c>
      <c r="AK31" s="462" t="n">
        <v>167644</v>
      </c>
      <c r="AL31" s="457" t="n"/>
      <c r="AM31" s="448" t="inlineStr">
        <is>
          <t>Limited line-item detail; totals from PROFORMA BASIS FOR OFFER.xlsx actuals section</t>
        </is>
      </c>
      <c r="AN31">
        <f>IF(AND($B31=Subj_OccCode,Subj_BldgSF&gt;0,ABS($J31-Subj_BldgSF)&lt;=Subj_BldgSF*Subj_SizeTol),ABS($J31-Subj_BldgSF),NA())</f>
        <v/>
      </c>
      <c r="AO31">
        <f>IF(ISNA(AN31),NA(),AN31+ROW()/10000000)</f>
        <v/>
      </c>
      <c r="AR31" s="256">
        <f>IF(B31="","",IFERROR(INDEX(OCC_TABLE_DESC,MATCH(B31,OCC_TABLE_CODE,0)),"Unrecognized code"))</f>
        <v/>
      </c>
    </row>
    <row r="32" ht="18" customHeight="1" s="545">
      <c r="A32" s="457" t="inlineStr">
        <is>
          <t>P012</t>
        </is>
      </c>
      <c r="B32" s="449" t="n">
        <v>344</v>
      </c>
      <c r="C32" s="458" t="inlineStr">
        <is>
          <t>R0124385</t>
        </is>
      </c>
      <c r="D32" s="448" t="inlineStr">
        <is>
          <t>Unknown (Tax District 555)</t>
        </is>
      </c>
      <c r="E32" s="457" t="inlineStr">
        <is>
          <t>Adams County</t>
        </is>
      </c>
      <c r="F32" s="457" t="inlineStr">
        <is>
          <t>CO</t>
        </is>
      </c>
      <c r="G32" s="457" t="inlineStr">
        <is>
          <t>Office</t>
        </is>
      </c>
      <c r="H32" s="448" t="inlineStr">
        <is>
          <t>Multi-tenant</t>
        </is>
      </c>
      <c r="I32" s="459" t="n"/>
      <c r="J32" s="459" t="n">
        <v>20170</v>
      </c>
      <c r="K32" s="459" t="n">
        <v>2024</v>
      </c>
      <c r="L32" s="457" t="n"/>
      <c r="M32" s="457" t="n"/>
      <c r="N32" s="464" t="n">
        <v>298556</v>
      </c>
      <c r="O32" s="457" t="n"/>
      <c r="P32" s="457" t="n"/>
      <c r="Q32" s="457" t="n"/>
      <c r="R32" s="457" t="n"/>
      <c r="S32" s="457" t="n"/>
      <c r="T32" s="457" t="n"/>
      <c r="U32" s="457" t="n"/>
      <c r="V32" s="457" t="n"/>
      <c r="W32" s="457" t="n"/>
      <c r="X32" s="457" t="n"/>
      <c r="Y32" s="465" t="n"/>
      <c r="Z32" s="457" t="n"/>
      <c r="AA32" s="457" t="n"/>
      <c r="AB32" s="457" t="n"/>
      <c r="AC32" s="465" t="n"/>
      <c r="AD32" s="457" t="n"/>
      <c r="AE32" s="457" t="n"/>
      <c r="AF32" s="465" t="n"/>
      <c r="AG32" s="457" t="n"/>
      <c r="AH32" s="462" t="n">
        <v>127491</v>
      </c>
      <c r="AI32" s="462" t="n">
        <v>43698</v>
      </c>
      <c r="AJ32" s="462" t="n">
        <v>185189</v>
      </c>
      <c r="AK32" s="462" t="n">
        <v>171065</v>
      </c>
      <c r="AL32" s="457" t="n"/>
      <c r="AM32" s="448" t="inlineStr">
        <is>
          <t>CapEx $14,000 non-recurring excluded from OPX; limited line-item detail</t>
        </is>
      </c>
      <c r="AN32">
        <f>IF(AND($B32=Subj_OccCode,Subj_BldgSF&gt;0,ABS($J32-Subj_BldgSF)&lt;=Subj_BldgSF*Subj_SizeTol),ABS($J32-Subj_BldgSF),NA())</f>
        <v/>
      </c>
      <c r="AO32">
        <f>IF(ISNA(AN32),NA(),AN32+ROW()/10000000)</f>
        <v/>
      </c>
      <c r="AR32" s="256">
        <f>IF(B32="","",IFERROR(INDEX(OCC_TABLE_DESC,MATCH(B32,OCC_TABLE_CODE,0)),"Unrecognized code"))</f>
        <v/>
      </c>
    </row>
    <row r="33" ht="18" customHeight="1" s="545">
      <c r="A33" s="457" t="inlineStr">
        <is>
          <t>P013</t>
        </is>
      </c>
      <c r="B33" s="449" t="n">
        <v>353</v>
      </c>
      <c r="C33" s="458" t="inlineStr">
        <is>
          <t>R0169176</t>
        </is>
      </c>
      <c r="D33" s="448" t="inlineStr">
        <is>
          <t>Unknown (new const., opened Oct 2023)</t>
        </is>
      </c>
      <c r="E33" s="457" t="inlineStr">
        <is>
          <t>Adams County</t>
        </is>
      </c>
      <c r="F33" s="457" t="inlineStr">
        <is>
          <t>CO</t>
        </is>
      </c>
      <c r="G33" s="457" t="inlineStr">
        <is>
          <t>Retail/Office</t>
        </is>
      </c>
      <c r="H33" s="448" t="inlineStr">
        <is>
          <t>Multi-tenant</t>
        </is>
      </c>
      <c r="I33" s="459" t="n">
        <v>2023</v>
      </c>
      <c r="J33" s="459" t="n"/>
      <c r="K33" s="459" t="n">
        <v>2023</v>
      </c>
      <c r="L33" s="460" t="n">
        <v>270793</v>
      </c>
      <c r="M33" s="460" t="n">
        <v>258323</v>
      </c>
      <c r="N33" s="464" t="n">
        <v>524533</v>
      </c>
      <c r="O33" s="460" t="n">
        <v>16865</v>
      </c>
      <c r="P33" s="460" t="n">
        <v>26496</v>
      </c>
      <c r="Q33" s="457" t="n"/>
      <c r="R33" s="457" t="n"/>
      <c r="S33" s="457" t="n"/>
      <c r="T33" s="457" t="n"/>
      <c r="U33" s="457" t="n"/>
      <c r="V33" s="457" t="n"/>
      <c r="W33" s="457" t="n"/>
      <c r="X33" s="460" t="n">
        <v>50972</v>
      </c>
      <c r="Y33" s="461" t="n">
        <v>50972</v>
      </c>
      <c r="Z33" s="457" t="n"/>
      <c r="AA33" s="460" t="n">
        <v>7543</v>
      </c>
      <c r="AB33" s="457" t="n"/>
      <c r="AC33" s="461" t="n">
        <v>7543</v>
      </c>
      <c r="AD33" s="460" t="n">
        <v>4602</v>
      </c>
      <c r="AE33" s="460" t="n">
        <v>51467</v>
      </c>
      <c r="AF33" s="461" t="n">
        <v>56069</v>
      </c>
      <c r="AG33" s="457" t="n"/>
      <c r="AH33" s="462" t="n">
        <v>157946</v>
      </c>
      <c r="AI33" s="462" t="n">
        <v>125577</v>
      </c>
      <c r="AJ33" s="462" t="n">
        <v>283523</v>
      </c>
      <c r="AK33" s="462" t="n">
        <v>241009</v>
      </c>
      <c r="AL33" s="457" t="n"/>
      <c r="AM33" s="448"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256">
        <f>IF(B33="","",IFERROR(INDEX(OCC_TABLE_DESC,MATCH(B33,OCC_TABLE_CODE,0)),"Unrecognized code"))</f>
        <v/>
      </c>
    </row>
    <row r="34" ht="18" customHeight="1" s="545">
      <c r="A34" s="457" t="inlineStr">
        <is>
          <t>P013</t>
        </is>
      </c>
      <c r="B34" s="449" t="n">
        <v>353</v>
      </c>
      <c r="C34" s="458" t="inlineStr">
        <is>
          <t>R0169176</t>
        </is>
      </c>
      <c r="D34" s="448" t="inlineStr">
        <is>
          <t>Unknown (new const., opened Oct 2023)</t>
        </is>
      </c>
      <c r="E34" s="457" t="inlineStr">
        <is>
          <t>Adams County</t>
        </is>
      </c>
      <c r="F34" s="457" t="inlineStr">
        <is>
          <t>CO</t>
        </is>
      </c>
      <c r="G34" s="457" t="inlineStr">
        <is>
          <t>Retail/Office</t>
        </is>
      </c>
      <c r="H34" s="448" t="inlineStr">
        <is>
          <t>Multi-tenant</t>
        </is>
      </c>
      <c r="I34" s="459" t="n">
        <v>2023</v>
      </c>
      <c r="J34" s="459" t="n"/>
      <c r="K34" s="459" t="n">
        <v>2024</v>
      </c>
      <c r="L34" s="460" t="n">
        <v>260040</v>
      </c>
      <c r="M34" s="460" t="n">
        <v>337015</v>
      </c>
      <c r="N34" s="464" t="n">
        <v>597056</v>
      </c>
      <c r="O34" s="460" t="n">
        <v>12437</v>
      </c>
      <c r="P34" s="460" t="n">
        <v>26717</v>
      </c>
      <c r="Q34" s="457" t="n"/>
      <c r="R34" s="457" t="n"/>
      <c r="S34" s="457" t="n"/>
      <c r="T34" s="457" t="n"/>
      <c r="U34" s="457" t="n"/>
      <c r="V34" s="457" t="n"/>
      <c r="W34" s="457" t="n"/>
      <c r="X34" s="460" t="n">
        <v>36931</v>
      </c>
      <c r="Y34" s="461" t="n">
        <v>36931</v>
      </c>
      <c r="Z34" s="457" t="n"/>
      <c r="AA34" s="460" t="n">
        <v>27159</v>
      </c>
      <c r="AB34" s="457" t="n"/>
      <c r="AC34" s="461" t="n">
        <v>27159</v>
      </c>
      <c r="AD34" s="460" t="n">
        <v>5043</v>
      </c>
      <c r="AE34" s="460" t="n">
        <v>54230</v>
      </c>
      <c r="AF34" s="461" t="n">
        <v>59273</v>
      </c>
      <c r="AG34" s="457" t="n"/>
      <c r="AH34" s="462" t="n">
        <v>162518</v>
      </c>
      <c r="AI34" s="462" t="n">
        <v>156074</v>
      </c>
      <c r="AJ34" s="462" t="n">
        <v>318592</v>
      </c>
      <c r="AK34" s="462" t="n">
        <v>278464</v>
      </c>
      <c r="AL34" s="457" t="n"/>
      <c r="AM34" s="448"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256">
        <f>IF(B34="","",IFERROR(INDEX(OCC_TABLE_DESC,MATCH(B34,OCC_TABLE_CODE,0)),"Unrecognized code"))</f>
        <v/>
      </c>
    </row>
    <row r="35" ht="18" customHeight="1" s="545">
      <c r="A35" s="457" t="inlineStr">
        <is>
          <t>P014</t>
        </is>
      </c>
      <c r="B35" s="449" t="n">
        <v>407</v>
      </c>
      <c r="C35" s="458" t="inlineStr">
        <is>
          <t>R0198530</t>
        </is>
      </c>
      <c r="D35" s="448" t="inlineStr">
        <is>
          <t>Amazon DEN7 Distribution Center</t>
        </is>
      </c>
      <c r="E35" s="457" t="inlineStr">
        <is>
          <t>Aurora</t>
        </is>
      </c>
      <c r="F35" s="457" t="inlineStr">
        <is>
          <t>CO</t>
        </is>
      </c>
      <c r="G35" s="457" t="inlineStr">
        <is>
          <t>Industrial/Distribution</t>
        </is>
      </c>
      <c r="H35" s="448" t="inlineStr">
        <is>
          <t>Single-tenant NNN</t>
        </is>
      </c>
      <c r="I35" s="459" t="n"/>
      <c r="J35" s="459" t="n">
        <v>555840</v>
      </c>
      <c r="K35" s="459" t="n">
        <v>2023</v>
      </c>
      <c r="L35" s="460" t="n">
        <v>3123377</v>
      </c>
      <c r="M35" s="457" t="n"/>
      <c r="N35" s="464" t="n">
        <v>3123377</v>
      </c>
      <c r="O35" s="460" t="n">
        <v>86084</v>
      </c>
      <c r="P35" s="460" t="n">
        <v>62468</v>
      </c>
      <c r="Q35" s="457" t="n"/>
      <c r="R35" s="457" t="n"/>
      <c r="S35" s="457" t="n"/>
      <c r="T35" s="457" t="n"/>
      <c r="U35" s="457" t="n"/>
      <c r="V35" s="457" t="n"/>
      <c r="W35" s="457" t="n"/>
      <c r="X35" s="457" t="n"/>
      <c r="Y35" s="465" t="n"/>
      <c r="Z35" s="457" t="n"/>
      <c r="AA35" s="457" t="n"/>
      <c r="AB35" s="457" t="n"/>
      <c r="AC35" s="461" t="n">
        <v>22360</v>
      </c>
      <c r="AD35" s="457" t="n"/>
      <c r="AE35" s="457" t="n"/>
      <c r="AF35" s="461" t="n">
        <v>1107</v>
      </c>
      <c r="AG35" s="457" t="n"/>
      <c r="AH35" s="462" t="n">
        <v>197351</v>
      </c>
      <c r="AI35" s="462" t="n">
        <v>1617282</v>
      </c>
      <c r="AJ35" s="462" t="n">
        <v>1814633</v>
      </c>
      <c r="AK35" s="466" t="n"/>
      <c r="AL35" s="457" t="n"/>
      <c r="AM35" s="448"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256">
        <f>IF(B35="","",IFERROR(INDEX(OCC_TABLE_DESC,MATCH(B35,OCC_TABLE_CODE,0)),"Unrecognized code"))</f>
        <v/>
      </c>
    </row>
    <row r="36" ht="18" customHeight="1" s="545">
      <c r="A36" s="457" t="inlineStr">
        <is>
          <t>P014</t>
        </is>
      </c>
      <c r="B36" s="449" t="n">
        <v>407</v>
      </c>
      <c r="C36" s="458" t="inlineStr">
        <is>
          <t>R0198530</t>
        </is>
      </c>
      <c r="D36" s="448" t="inlineStr">
        <is>
          <t>Amazon DEN7 Distribution Center</t>
        </is>
      </c>
      <c r="E36" s="457" t="inlineStr">
        <is>
          <t>Aurora</t>
        </is>
      </c>
      <c r="F36" s="457" t="inlineStr">
        <is>
          <t>CO</t>
        </is>
      </c>
      <c r="G36" s="457" t="inlineStr">
        <is>
          <t>Industrial/Distribution</t>
        </is>
      </c>
      <c r="H36" s="448" t="inlineStr">
        <is>
          <t>Single-tenant NNN</t>
        </is>
      </c>
      <c r="I36" s="459" t="n"/>
      <c r="J36" s="459" t="n">
        <v>555840</v>
      </c>
      <c r="K36" s="459" t="n">
        <v>2024</v>
      </c>
      <c r="L36" s="460" t="n">
        <v>3201462</v>
      </c>
      <c r="M36" s="457" t="n"/>
      <c r="N36" s="464" t="n">
        <v>3201462</v>
      </c>
      <c r="O36" s="460" t="n">
        <v>89809</v>
      </c>
      <c r="P36" s="460" t="n">
        <v>64029</v>
      </c>
      <c r="Q36" s="457" t="n"/>
      <c r="R36" s="457" t="n"/>
      <c r="S36" s="457" t="n"/>
      <c r="T36" s="457" t="n"/>
      <c r="U36" s="457" t="n"/>
      <c r="V36" s="457" t="n"/>
      <c r="W36" s="457" t="n"/>
      <c r="X36" s="457" t="n"/>
      <c r="Y36" s="465" t="n"/>
      <c r="Z36" s="457" t="n"/>
      <c r="AA36" s="457" t="n"/>
      <c r="AB36" s="460" t="n">
        <v>2110</v>
      </c>
      <c r="AC36" s="461" t="n">
        <v>17455</v>
      </c>
      <c r="AD36" s="457" t="n"/>
      <c r="AE36" s="457" t="n"/>
      <c r="AF36" s="461" t="n">
        <v>2024</v>
      </c>
      <c r="AG36" s="457" t="n"/>
      <c r="AH36" s="462" t="n">
        <v>154693</v>
      </c>
      <c r="AI36" s="462" t="n">
        <v>2161856</v>
      </c>
      <c r="AJ36" s="462" t="n">
        <v>2316549</v>
      </c>
      <c r="AK36" s="466" t="n"/>
      <c r="AL36" s="457" t="n"/>
      <c r="AM36" s="448"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256">
        <f>IF(B36="","",IFERROR(INDEX(OCC_TABLE_DESC,MATCH(B36,OCC_TABLE_CODE,0)),"Unrecognized code"))</f>
        <v/>
      </c>
    </row>
    <row r="37" ht="12.75" customHeight="1" s="545">
      <c r="A37" s="458" t="inlineStr">
        <is>
          <t>P015</t>
        </is>
      </c>
      <c r="B37" s="449" t="n">
        <v>407</v>
      </c>
      <c r="C37" s="458" t="inlineStr">
        <is>
          <t>R0180894</t>
        </is>
      </c>
      <c r="D37" s="468" t="inlineStr">
        <is>
          <t>1910 N Gun Club Rd</t>
        </is>
      </c>
      <c r="E37" s="458" t="inlineStr">
        <is>
          <t>Aurora</t>
        </is>
      </c>
      <c r="F37" s="458" t="inlineStr">
        <is>
          <t>CO</t>
        </is>
      </c>
      <c r="G37" s="458" t="inlineStr">
        <is>
          <t>Industrial</t>
        </is>
      </c>
      <c r="H37" s="468" t="inlineStr">
        <is>
          <t>Distribution Warehouse Multi-Tenant NNN</t>
        </is>
      </c>
      <c r="I37" s="458" t="n">
        <v>2019</v>
      </c>
      <c r="J37" s="458" t="n">
        <v>163386</v>
      </c>
      <c r="K37" s="458" t="n">
        <v>2023</v>
      </c>
      <c r="L37" s="469" t="n">
        <v>2096086</v>
      </c>
      <c r="M37" s="458" t="n"/>
      <c r="N37" s="469" t="n">
        <v>2096086</v>
      </c>
      <c r="O37" s="469" t="n">
        <v>40706</v>
      </c>
      <c r="P37" s="469" t="n">
        <v>55071</v>
      </c>
      <c r="Q37" s="458" t="n"/>
      <c r="R37" s="458" t="n"/>
      <c r="S37" s="458" t="n"/>
      <c r="T37" s="458" t="n"/>
      <c r="U37" s="458" t="n"/>
      <c r="V37" s="458" t="n"/>
      <c r="W37" s="458" t="n"/>
      <c r="X37" s="458" t="n"/>
      <c r="Y37" s="469" t="n">
        <v>6447</v>
      </c>
      <c r="Z37" s="458" t="n"/>
      <c r="AA37" s="469" t="n">
        <v>14502</v>
      </c>
      <c r="AB37" s="469" t="n">
        <v>55450</v>
      </c>
      <c r="AC37" s="458" t="n"/>
      <c r="AD37" s="458" t="n"/>
      <c r="AE37" s="458" t="n"/>
      <c r="AF37" s="469" t="n">
        <v>43911</v>
      </c>
      <c r="AG37" s="469" t="n">
        <v>159500</v>
      </c>
      <c r="AH37" s="469" t="n">
        <v>379886</v>
      </c>
      <c r="AI37" s="469" t="n">
        <v>923586</v>
      </c>
      <c r="AJ37" s="469" t="n">
        <v>1303472</v>
      </c>
      <c r="AK37" s="469" t="n">
        <v>792614</v>
      </c>
      <c r="AL37" s="458" t="n"/>
      <c r="AM37" s="468" t="inlineStr">
        <is>
          <t>Actual accrual; security $159,500 in Other</t>
        </is>
      </c>
      <c r="AN37">
        <f>IF(AND($B37=Subj_OccCode,Subj_BldgSF&gt;0,ABS($J37-Subj_BldgSF)&lt;=Subj_BldgSF*Subj_SizeTol),ABS($J37-Subj_BldgSF),NA())</f>
        <v/>
      </c>
      <c r="AO37">
        <f>IF(ISNA(AN37),NA(),AN37+ROW()/10000000)</f>
        <v/>
      </c>
      <c r="AR37" s="256">
        <f>IF(B37="","",IFERROR(INDEX(OCC_TABLE_DESC,MATCH(B37,OCC_TABLE_CODE,0)),"Unrecognized code"))</f>
        <v/>
      </c>
    </row>
    <row r="38" ht="12.75" customHeight="1" s="545">
      <c r="A38" s="458" t="inlineStr">
        <is>
          <t>P015</t>
        </is>
      </c>
      <c r="B38" s="449" t="n">
        <v>407</v>
      </c>
      <c r="C38" s="458" t="inlineStr">
        <is>
          <t>R0180894</t>
        </is>
      </c>
      <c r="D38" s="468" t="inlineStr">
        <is>
          <t>1910 N Gun Club Rd</t>
        </is>
      </c>
      <c r="E38" s="458" t="inlineStr">
        <is>
          <t>Aurora</t>
        </is>
      </c>
      <c r="F38" s="458" t="inlineStr">
        <is>
          <t>CO</t>
        </is>
      </c>
      <c r="G38" s="458" t="inlineStr">
        <is>
          <t>Industrial</t>
        </is>
      </c>
      <c r="H38" s="468" t="inlineStr">
        <is>
          <t>Distribution Warehouse Multi-Tenant NNN</t>
        </is>
      </c>
      <c r="I38" s="458" t="n">
        <v>2019</v>
      </c>
      <c r="J38" s="458" t="n">
        <v>163386</v>
      </c>
      <c r="K38" s="458" t="n">
        <v>2024</v>
      </c>
      <c r="L38" s="469" t="n">
        <v>2154019</v>
      </c>
      <c r="M38" s="458" t="n"/>
      <c r="N38" s="469" t="n">
        <v>2154019</v>
      </c>
      <c r="O38" s="469" t="n">
        <v>48091</v>
      </c>
      <c r="P38" s="469" t="n">
        <v>74844</v>
      </c>
      <c r="Q38" s="458" t="n"/>
      <c r="R38" s="458" t="n"/>
      <c r="S38" s="458" t="n"/>
      <c r="T38" s="458" t="n"/>
      <c r="U38" s="458" t="n"/>
      <c r="V38" s="458" t="n"/>
      <c r="W38" s="458" t="n"/>
      <c r="X38" s="458" t="n"/>
      <c r="Y38" s="469" t="n">
        <v>5257</v>
      </c>
      <c r="Z38" s="458" t="n"/>
      <c r="AA38" s="469" t="n">
        <v>13438</v>
      </c>
      <c r="AB38" s="469" t="n">
        <v>46667</v>
      </c>
      <c r="AC38" s="458" t="n"/>
      <c r="AD38" s="458" t="n"/>
      <c r="AE38" s="458" t="n"/>
      <c r="AF38" s="469" t="n">
        <v>53895</v>
      </c>
      <c r="AG38" s="469" t="n">
        <v>132552</v>
      </c>
      <c r="AH38" s="469" t="n">
        <v>394495</v>
      </c>
      <c r="AI38" s="469" t="n">
        <v>912402</v>
      </c>
      <c r="AJ38" s="469" t="n">
        <v>1306897</v>
      </c>
      <c r="AK38" s="469" t="n">
        <v>847122</v>
      </c>
      <c r="AL38" s="458" t="n"/>
      <c r="AM38" s="468" t="inlineStr">
        <is>
          <t>Actual accrual; security $132,552 in Other</t>
        </is>
      </c>
      <c r="AN38">
        <f>IF(AND($B38=Subj_OccCode,Subj_BldgSF&gt;0,ABS($J38-Subj_BldgSF)&lt;=Subj_BldgSF*Subj_SizeTol),ABS($J38-Subj_BldgSF),NA())</f>
        <v/>
      </c>
      <c r="AO38">
        <f>IF(ISNA(AN38),NA(),AN38+ROW()/10000000)</f>
        <v/>
      </c>
      <c r="AR38" s="256">
        <f>IF(B38="","",IFERROR(INDEX(OCC_TABLE_DESC,MATCH(B38,OCC_TABLE_CODE,0)),"Unrecognized code"))</f>
        <v/>
      </c>
    </row>
    <row r="39" ht="25.5" customHeight="1" s="545">
      <c r="A39" s="458" t="inlineStr">
        <is>
          <t>P016</t>
        </is>
      </c>
      <c r="B39" s="449" t="n">
        <v>584</v>
      </c>
      <c r="C39" s="458" t="inlineStr">
        <is>
          <t>R0212546/R0212547</t>
        </is>
      </c>
      <c r="D39" s="468" t="inlineStr">
        <is>
          <t>2780 N Tower Rd</t>
        </is>
      </c>
      <c r="E39" s="458" t="inlineStr">
        <is>
          <t>Aurora</t>
        </is>
      </c>
      <c r="F39" s="458" t="inlineStr">
        <is>
          <t>CO</t>
        </is>
      </c>
      <c r="G39" s="458" t="inlineStr">
        <is>
          <t>Industrial</t>
        </is>
      </c>
      <c r="H39" s="468" t="inlineStr">
        <is>
          <t>Mega Warehouse NNN</t>
        </is>
      </c>
      <c r="I39" s="458" t="n">
        <v>1983</v>
      </c>
      <c r="J39" s="458" t="n">
        <v>384953</v>
      </c>
      <c r="K39" s="458" t="n">
        <v>2024</v>
      </c>
      <c r="L39" s="458" t="n"/>
      <c r="M39" s="458" t="n"/>
      <c r="N39" s="458" t="n"/>
      <c r="O39" s="458" t="n"/>
      <c r="P39" s="458" t="n"/>
      <c r="Q39" s="458" t="n"/>
      <c r="R39" s="458" t="n"/>
      <c r="S39" s="458" t="n"/>
      <c r="T39" s="458" t="n"/>
      <c r="U39" s="458" t="n"/>
      <c r="V39" s="458" t="n"/>
      <c r="W39" s="458" t="n"/>
      <c r="X39" s="458" t="n"/>
      <c r="Y39" s="458" t="n"/>
      <c r="Z39" s="458" t="n"/>
      <c r="AA39" s="458" t="n"/>
      <c r="AB39" s="458" t="n"/>
      <c r="AC39" s="458" t="n"/>
      <c r="AD39" s="458" t="n"/>
      <c r="AE39" s="458" t="n"/>
      <c r="AF39" s="458" t="n"/>
      <c r="AG39" s="458" t="n"/>
      <c r="AH39" s="458" t="n"/>
      <c r="AI39" s="458" t="n"/>
      <c r="AJ39" s="458" t="n"/>
      <c r="AK39" s="458" t="n"/>
      <c r="AL39" s="458" t="n"/>
      <c r="AM39" s="468" t="inlineStr">
        <is>
          <t>County proforma only; limited line-item detail available</t>
        </is>
      </c>
      <c r="AN39">
        <f>IF(AND($B39=Subj_OccCode,Subj_BldgSF&gt;0,ABS($J39-Subj_BldgSF)&lt;=Subj_BldgSF*Subj_SizeTol),ABS($J39-Subj_BldgSF),NA())</f>
        <v/>
      </c>
      <c r="AO39">
        <f>IF(ISNA(AN39),NA(),AN39+ROW()/10000000)</f>
        <v/>
      </c>
      <c r="AR39" s="256">
        <f>IF(B39="","",IFERROR(INDEX(OCC_TABLE_DESC,MATCH(B39,OCC_TABLE_CODE,0)),"Unrecognized code"))</f>
        <v/>
      </c>
    </row>
    <row r="40" ht="25.5" customHeight="1" s="545">
      <c r="A40" s="458" t="inlineStr">
        <is>
          <t>P017</t>
        </is>
      </c>
      <c r="B40" s="449" t="n">
        <v>210</v>
      </c>
      <c r="C40" s="458" t="inlineStr">
        <is>
          <t>R0098098</t>
        </is>
      </c>
      <c r="D40" s="468" t="inlineStr">
        <is>
          <t>1445 E 68th Ave</t>
        </is>
      </c>
      <c r="E40" s="458" t="inlineStr">
        <is>
          <t>Denver</t>
        </is>
      </c>
      <c r="F40" s="458" t="inlineStr">
        <is>
          <t>CO</t>
        </is>
      </c>
      <c r="G40" s="458" t="inlineStr">
        <is>
          <t>Industrial</t>
        </is>
      </c>
      <c r="H40" s="468" t="inlineStr">
        <is>
          <t>Industrial Office Mix</t>
        </is>
      </c>
      <c r="I40" s="458" t="n">
        <v>1972</v>
      </c>
      <c r="J40" s="458" t="n">
        <v>63348</v>
      </c>
      <c r="K40" s="458" t="n">
        <v>2024</v>
      </c>
      <c r="L40" s="458" t="n"/>
      <c r="M40" s="458" t="n"/>
      <c r="N40" s="458" t="n"/>
      <c r="O40" s="458" t="n"/>
      <c r="P40" s="458" t="n"/>
      <c r="Q40" s="458" t="n"/>
      <c r="R40" s="458" t="n"/>
      <c r="S40" s="458" t="n"/>
      <c r="T40" s="458" t="n"/>
      <c r="U40" s="458" t="n"/>
      <c r="V40" s="458" t="n"/>
      <c r="W40" s="458" t="n"/>
      <c r="X40" s="458" t="n"/>
      <c r="Y40" s="458" t="n"/>
      <c r="Z40" s="458" t="n"/>
      <c r="AA40" s="458" t="n"/>
      <c r="AB40" s="458" t="n"/>
      <c r="AC40" s="458" t="n"/>
      <c r="AD40" s="458" t="n"/>
      <c r="AE40" s="458" t="n"/>
      <c r="AF40" s="458" t="n"/>
      <c r="AG40" s="458" t="n"/>
      <c r="AH40" s="458" t="n"/>
      <c r="AI40" s="458" t="n"/>
      <c r="AJ40" s="458" t="n"/>
      <c r="AK40" s="458" t="n"/>
      <c r="AL40" s="458" t="n"/>
      <c r="AM40" s="468" t="inlineStr">
        <is>
          <t>County proforma 2024; YOC 1972/2006/2023 additions</t>
        </is>
      </c>
      <c r="AN40">
        <f>IF(AND($B40=Subj_OccCode,Subj_BldgSF&gt;0,ABS($J40-Subj_BldgSF)&lt;=Subj_BldgSF*Subj_SizeTol),ABS($J40-Subj_BldgSF),NA())</f>
        <v/>
      </c>
      <c r="AO40">
        <f>IF(ISNA(AN40),NA(),AN40+ROW()/10000000)</f>
        <v/>
      </c>
      <c r="AR40" s="256">
        <f>IF(B40="","",IFERROR(INDEX(OCC_TABLE_DESC,MATCH(B40,OCC_TABLE_CODE,0)),"Unrecognized code"))</f>
        <v/>
      </c>
    </row>
    <row r="41" ht="25.5" customHeight="1" s="545">
      <c r="A41" s="458" t="inlineStr">
        <is>
          <t>P018</t>
        </is>
      </c>
      <c r="B41" s="449" t="n">
        <v>406</v>
      </c>
      <c r="C41" s="458" t="inlineStr">
        <is>
          <t>R0103783</t>
        </is>
      </c>
      <c r="D41" s="468" t="inlineStr">
        <is>
          <t>2031 E 58th Ave</t>
        </is>
      </c>
      <c r="E41" s="458" t="inlineStr">
        <is>
          <t>Denver</t>
        </is>
      </c>
      <c r="F41" s="458" t="inlineStr">
        <is>
          <t>CO</t>
        </is>
      </c>
      <c r="G41" s="458" t="inlineStr">
        <is>
          <t>Industrial</t>
        </is>
      </c>
      <c r="H41" s="468" t="inlineStr">
        <is>
          <t>Storage Warehouse / Mod Office NNN</t>
        </is>
      </c>
      <c r="I41" s="458" t="n">
        <v>2004</v>
      </c>
      <c r="J41" s="458" t="n">
        <v>18720</v>
      </c>
      <c r="K41" s="458" t="n">
        <v>2024</v>
      </c>
      <c r="L41" s="469" t="n">
        <v>248796</v>
      </c>
      <c r="M41" s="458" t="n"/>
      <c r="N41" s="469" t="n">
        <v>299942</v>
      </c>
      <c r="O41" s="469" t="n">
        <v>3858</v>
      </c>
      <c r="P41" s="458" t="n"/>
      <c r="Q41" s="458" t="n"/>
      <c r="R41" s="458" t="n"/>
      <c r="S41" s="458" t="n"/>
      <c r="T41" s="458" t="n"/>
      <c r="U41" s="458" t="n"/>
      <c r="V41" s="458" t="n"/>
      <c r="W41" s="458" t="n"/>
      <c r="X41" s="458" t="n"/>
      <c r="Y41" s="458" t="n"/>
      <c r="Z41" s="458" t="n"/>
      <c r="AA41" s="458" t="n"/>
      <c r="AB41" s="458" t="n"/>
      <c r="AC41" s="469" t="n">
        <v>2427</v>
      </c>
      <c r="AD41" s="458" t="n"/>
      <c r="AE41" s="458" t="n"/>
      <c r="AF41" s="458" t="n"/>
      <c r="AG41" s="458" t="n"/>
      <c r="AH41" s="469" t="n">
        <v>6285</v>
      </c>
      <c r="AI41" s="469" t="n">
        <v>44860</v>
      </c>
      <c r="AJ41" s="469" t="n">
        <v>51145</v>
      </c>
      <c r="AK41" s="469" t="n">
        <v>248797</v>
      </c>
      <c r="AL41" s="458" t="n"/>
      <c r="AM41" s="468" t="inlineStr">
        <is>
          <t>NNN billed charges; EGI = base rent + NNN pass-throughs</t>
        </is>
      </c>
      <c r="AN41">
        <f>IF(AND($B41=Subj_OccCode,Subj_BldgSF&gt;0,ABS($J41-Subj_BldgSF)&lt;=Subj_BldgSF*Subj_SizeTol),ABS($J41-Subj_BldgSF),NA())</f>
        <v/>
      </c>
      <c r="AO41">
        <f>IF(ISNA(AN41),NA(),AN41+ROW()/10000000)</f>
        <v/>
      </c>
      <c r="AR41" s="256">
        <f>IF(B41="","",IFERROR(INDEX(OCC_TABLE_DESC,MATCH(B41,OCC_TABLE_CODE,0)),"Unrecognized code"))</f>
        <v/>
      </c>
    </row>
    <row r="42" ht="25.5" customHeight="1" s="545">
      <c r="A42" s="458" t="inlineStr">
        <is>
          <t>P018</t>
        </is>
      </c>
      <c r="B42" s="449" t="n">
        <v>406</v>
      </c>
      <c r="C42" s="458" t="inlineStr">
        <is>
          <t>R0103783</t>
        </is>
      </c>
      <c r="D42" s="468" t="inlineStr">
        <is>
          <t>2031 E 58th Ave</t>
        </is>
      </c>
      <c r="E42" s="458" t="inlineStr">
        <is>
          <t>Denver</t>
        </is>
      </c>
      <c r="F42" s="458" t="inlineStr">
        <is>
          <t>CO</t>
        </is>
      </c>
      <c r="G42" s="458" t="inlineStr">
        <is>
          <t>Industrial</t>
        </is>
      </c>
      <c r="H42" s="468" t="inlineStr">
        <is>
          <t>Storage Warehouse / Mod Office NNN</t>
        </is>
      </c>
      <c r="I42" s="458" t="n">
        <v>2004</v>
      </c>
      <c r="J42" s="458" t="n">
        <v>18720</v>
      </c>
      <c r="K42" s="458" t="n">
        <v>2023</v>
      </c>
      <c r="L42" s="469" t="n">
        <v>243918</v>
      </c>
      <c r="M42" s="458" t="n"/>
      <c r="N42" s="469" t="n">
        <v>295063</v>
      </c>
      <c r="O42" s="469" t="n">
        <v>3858</v>
      </c>
      <c r="P42" s="458" t="n"/>
      <c r="Q42" s="458" t="n"/>
      <c r="R42" s="458" t="n"/>
      <c r="S42" s="458" t="n"/>
      <c r="T42" s="458" t="n"/>
      <c r="U42" s="458" t="n"/>
      <c r="V42" s="458" t="n"/>
      <c r="W42" s="458" t="n"/>
      <c r="X42" s="458" t="n"/>
      <c r="Y42" s="458" t="n"/>
      <c r="Z42" s="458" t="n"/>
      <c r="AA42" s="458" t="n"/>
      <c r="AB42" s="458" t="n"/>
      <c r="AC42" s="469" t="n">
        <v>2427</v>
      </c>
      <c r="AD42" s="458" t="n"/>
      <c r="AE42" s="458" t="n"/>
      <c r="AF42" s="458" t="n"/>
      <c r="AG42" s="458" t="n"/>
      <c r="AH42" s="469" t="n">
        <v>6285</v>
      </c>
      <c r="AI42" s="469" t="n">
        <v>44860</v>
      </c>
      <c r="AJ42" s="469" t="n">
        <v>51145</v>
      </c>
      <c r="AK42" s="469" t="n">
        <v>243918</v>
      </c>
      <c r="AL42" s="458" t="n"/>
      <c r="AM42" s="468" t="inlineStr">
        <is>
          <t>NNN billed charges; EGI = base rent + NNN pass-throughs</t>
        </is>
      </c>
      <c r="AN42">
        <f>IF(AND($B42=Subj_OccCode,Subj_BldgSF&gt;0,ABS($J42-Subj_BldgSF)&lt;=Subj_BldgSF*Subj_SizeTol),ABS($J42-Subj_BldgSF),NA())</f>
        <v/>
      </c>
      <c r="AO42">
        <f>IF(ISNA(AN42),NA(),AN42+ROW()/10000000)</f>
        <v/>
      </c>
      <c r="AR42" s="256">
        <f>IF(B42="","",IFERROR(INDEX(OCC_TABLE_DESC,MATCH(B42,OCC_TABLE_CODE,0)),"Unrecognized code"))</f>
        <v/>
      </c>
    </row>
    <row r="43" ht="12.75" customHeight="1" s="545">
      <c r="A43" s="458" t="inlineStr">
        <is>
          <t>P019</t>
        </is>
      </c>
      <c r="B43" s="449" t="n">
        <v>407</v>
      </c>
      <c r="C43" s="458" t="inlineStr">
        <is>
          <t>R0210402/R0210403</t>
        </is>
      </c>
      <c r="D43" s="468" t="inlineStr">
        <is>
          <t>17190 E 85th Ave</t>
        </is>
      </c>
      <c r="E43" s="458" t="inlineStr">
        <is>
          <t>Commerce City</t>
        </is>
      </c>
      <c r="F43" s="458" t="inlineStr">
        <is>
          <t>CO</t>
        </is>
      </c>
      <c r="G43" s="458" t="inlineStr">
        <is>
          <t>Industrial</t>
        </is>
      </c>
      <c r="H43" s="468" t="inlineStr">
        <is>
          <t>Industrial Warehouse NNN</t>
        </is>
      </c>
      <c r="I43" s="458" t="n">
        <v>2021</v>
      </c>
      <c r="J43" s="458" t="n">
        <v>329940</v>
      </c>
      <c r="K43" s="458" t="n">
        <v>2024</v>
      </c>
      <c r="L43" s="458" t="n"/>
      <c r="M43" s="458" t="n"/>
      <c r="N43" s="458" t="n"/>
      <c r="O43" s="458" t="n"/>
      <c r="P43" s="458" t="n"/>
      <c r="Q43" s="458" t="n"/>
      <c r="R43" s="458" t="n"/>
      <c r="S43" s="458" t="n"/>
      <c r="T43" s="458" t="n"/>
      <c r="U43" s="458" t="n"/>
      <c r="V43" s="458" t="n"/>
      <c r="W43" s="458" t="n"/>
      <c r="X43" s="458" t="n"/>
      <c r="Y43" s="458" t="n"/>
      <c r="Z43" s="458" t="n"/>
      <c r="AA43" s="458" t="n"/>
      <c r="AB43" s="458" t="n"/>
      <c r="AC43" s="458" t="n"/>
      <c r="AD43" s="458" t="n"/>
      <c r="AE43" s="458" t="n"/>
      <c r="AF43" s="458" t="n"/>
      <c r="AG43" s="458" t="n"/>
      <c r="AH43" s="458" t="n"/>
      <c r="AI43" s="458" t="n"/>
      <c r="AJ43" s="458" t="n"/>
      <c r="AK43" s="458" t="n"/>
      <c r="AL43" s="458" t="n"/>
      <c r="AM43" s="468" t="inlineStr">
        <is>
          <t>Petitioner proforma 2024/25; limited line-item detail</t>
        </is>
      </c>
      <c r="AN43">
        <f>IF(AND($B43=Subj_OccCode,Subj_BldgSF&gt;0,ABS($J43-Subj_BldgSF)&lt;=Subj_BldgSF*Subj_SizeTol),ABS($J43-Subj_BldgSF),NA())</f>
        <v/>
      </c>
      <c r="AO43">
        <f>IF(ISNA(AN43),NA(),AN43+ROW()/10000000)</f>
        <v/>
      </c>
      <c r="AR43" s="256">
        <f>IF(B43="","",IFERROR(INDEX(OCC_TABLE_DESC,MATCH(B43,OCC_TABLE_CODE,0)),"Unrecognized code"))</f>
        <v/>
      </c>
    </row>
    <row r="44" ht="25.5" customHeight="1" s="545">
      <c r="A44" s="458" t="inlineStr">
        <is>
          <t>P020</t>
        </is>
      </c>
      <c r="B44" s="449" t="n">
        <v>584</v>
      </c>
      <c r="C44" s="458" t="inlineStr">
        <is>
          <t>R0209679</t>
        </is>
      </c>
      <c r="D44" s="468" t="inlineStr">
        <is>
          <t>17501 E 84th Ave</t>
        </is>
      </c>
      <c r="E44" s="458" t="inlineStr">
        <is>
          <t>Commerce City</t>
        </is>
      </c>
      <c r="F44" s="458" t="inlineStr">
        <is>
          <t>CO</t>
        </is>
      </c>
      <c r="G44" s="458" t="inlineStr">
        <is>
          <t>Industrial</t>
        </is>
      </c>
      <c r="H44" s="468" t="inlineStr">
        <is>
          <t>Mega Warehouse / Distribution Center NNN (Lowe's)</t>
        </is>
      </c>
      <c r="I44" s="458" t="n">
        <v>2021</v>
      </c>
      <c r="J44" s="458" t="n">
        <v>999780</v>
      </c>
      <c r="K44" s="458" t="n">
        <v>2023</v>
      </c>
      <c r="L44" s="469" t="n">
        <v>12396458</v>
      </c>
      <c r="M44" s="458" t="n"/>
      <c r="N44" s="469" t="n">
        <v>12396458</v>
      </c>
      <c r="O44" s="469" t="n">
        <v>150453</v>
      </c>
      <c r="P44" s="469" t="n">
        <v>100437</v>
      </c>
      <c r="Q44" s="458" t="n"/>
      <c r="R44" s="458" t="n"/>
      <c r="S44" s="458" t="n"/>
      <c r="T44" s="458" t="n"/>
      <c r="U44" s="458" t="n"/>
      <c r="V44" s="458" t="n"/>
      <c r="W44" s="458" t="n"/>
      <c r="X44" s="458" t="n"/>
      <c r="Y44" s="469" t="n">
        <v>53276</v>
      </c>
      <c r="Z44" s="458" t="n"/>
      <c r="AA44" s="469" t="n">
        <v>50764</v>
      </c>
      <c r="AB44" s="469" t="n">
        <v>117765</v>
      </c>
      <c r="AC44" s="458" t="n"/>
      <c r="AD44" s="458" t="n"/>
      <c r="AE44" s="458" t="n"/>
      <c r="AF44" s="458" t="n"/>
      <c r="AG44" s="469" t="n">
        <v>8384</v>
      </c>
      <c r="AH44" s="469" t="n">
        <v>1354674</v>
      </c>
      <c r="AI44" s="469" t="n">
        <v>4922300</v>
      </c>
      <c r="AJ44" s="469" t="n">
        <v>8277752</v>
      </c>
      <c r="AK44" s="469" t="n">
        <v>4118706</v>
      </c>
      <c r="AL44" s="458" t="n"/>
      <c r="AM44" s="468" t="inlineStr">
        <is>
          <t>Actual accrual; 2023 NOI inflated ~$2.8M by prior-yr RE tax adj; security in Other</t>
        </is>
      </c>
      <c r="AN44">
        <f>IF(AND($B44=Subj_OccCode,Subj_BldgSF&gt;0,ABS($J44-Subj_BldgSF)&lt;=Subj_BldgSF*Subj_SizeTol),ABS($J44-Subj_BldgSF),NA())</f>
        <v/>
      </c>
      <c r="AO44">
        <f>IF(ISNA(AN44),NA(),AN44+ROW()/10000000)</f>
        <v/>
      </c>
      <c r="AR44" s="256">
        <f>IF(B44="","",IFERROR(INDEX(OCC_TABLE_DESC,MATCH(B44,OCC_TABLE_CODE,0)),"Unrecognized code"))</f>
        <v/>
      </c>
    </row>
    <row r="45" ht="12.75" customHeight="1" s="545">
      <c r="A45" s="458" t="inlineStr">
        <is>
          <t>P020</t>
        </is>
      </c>
      <c r="B45" s="449" t="n">
        <v>584</v>
      </c>
      <c r="C45" s="458" t="inlineStr">
        <is>
          <t>R0209679</t>
        </is>
      </c>
      <c r="D45" s="468" t="inlineStr">
        <is>
          <t>17501 E 84th Ave</t>
        </is>
      </c>
      <c r="E45" s="458" t="inlineStr">
        <is>
          <t>Commerce City</t>
        </is>
      </c>
      <c r="F45" s="458" t="inlineStr">
        <is>
          <t>CO</t>
        </is>
      </c>
      <c r="G45" s="458" t="inlineStr">
        <is>
          <t>Industrial</t>
        </is>
      </c>
      <c r="H45" s="468" t="inlineStr">
        <is>
          <t>Mega Warehouse / Distribution Center NNN (Lowe's)</t>
        </is>
      </c>
      <c r="I45" s="458" t="n">
        <v>2021</v>
      </c>
      <c r="J45" s="458" t="n">
        <v>999780</v>
      </c>
      <c r="K45" s="458" t="n">
        <v>2024</v>
      </c>
      <c r="L45" s="469" t="n">
        <v>10000751</v>
      </c>
      <c r="M45" s="458" t="n"/>
      <c r="N45" s="469" t="n">
        <v>10000751</v>
      </c>
      <c r="O45" s="469" t="n">
        <v>171963</v>
      </c>
      <c r="P45" s="469" t="n">
        <v>101559</v>
      </c>
      <c r="Q45" s="458" t="n"/>
      <c r="R45" s="458" t="n"/>
      <c r="S45" s="458" t="n"/>
      <c r="T45" s="458" t="n"/>
      <c r="U45" s="458" t="n"/>
      <c r="V45" s="458" t="n"/>
      <c r="W45" s="458" t="n"/>
      <c r="X45" s="458" t="n"/>
      <c r="Y45" s="469" t="n">
        <v>120481</v>
      </c>
      <c r="Z45" s="458" t="n"/>
      <c r="AA45" s="469" t="n">
        <v>37766</v>
      </c>
      <c r="AB45" s="469" t="n">
        <v>131877</v>
      </c>
      <c r="AC45" s="458" t="n"/>
      <c r="AD45" s="458" t="n"/>
      <c r="AE45" s="458" t="n"/>
      <c r="AF45" s="458" t="n"/>
      <c r="AG45" s="469" t="n">
        <v>30799</v>
      </c>
      <c r="AH45" s="469" t="n">
        <v>797409</v>
      </c>
      <c r="AI45" s="469" t="n">
        <v>4996600</v>
      </c>
      <c r="AJ45" s="469" t="n">
        <v>5794009</v>
      </c>
      <c r="AK45" s="469" t="n">
        <v>4206742</v>
      </c>
      <c r="AL45" s="458" t="n"/>
      <c r="AM45" s="468" t="inlineStr">
        <is>
          <t>Actual accrual; security $30,799 in Other</t>
        </is>
      </c>
      <c r="AN45">
        <f>IF(AND($B45=Subj_OccCode,Subj_BldgSF&gt;0,ABS($J45-Subj_BldgSF)&lt;=Subj_BldgSF*Subj_SizeTol),ABS($J45-Subj_BldgSF),NA())</f>
        <v/>
      </c>
      <c r="AO45">
        <f>IF(ISNA(AN45),NA(),AN45+ROW()/10000000)</f>
        <v/>
      </c>
      <c r="AR45" s="256">
        <f>IF(B45="","",IFERROR(INDEX(OCC_TABLE_DESC,MATCH(B45,OCC_TABLE_CODE,0)),"Unrecognized code"))</f>
        <v/>
      </c>
    </row>
    <row r="46" ht="25.5" customHeight="1" s="545">
      <c r="A46" s="458" t="inlineStr">
        <is>
          <t>P021</t>
        </is>
      </c>
      <c r="B46" s="449" t="n">
        <v>210</v>
      </c>
      <c r="C46" s="458" t="inlineStr">
        <is>
          <t>R0091931</t>
        </is>
      </c>
      <c r="D46" s="468" t="inlineStr">
        <is>
          <t>6300 E. 58th Ave</t>
        </is>
      </c>
      <c r="E46" s="458" t="inlineStr">
        <is>
          <t>Commerce City</t>
        </is>
      </c>
      <c r="F46" s="458" t="inlineStr">
        <is>
          <t>CO</t>
        </is>
      </c>
      <c r="G46" s="458" t="inlineStr">
        <is>
          <t>Industrial</t>
        </is>
      </c>
      <c r="H46" s="468" t="inlineStr">
        <is>
          <t>Multi-Tenant Industrial/Flex</t>
        </is>
      </c>
      <c r="I46" s="458" t="n">
        <v>1999</v>
      </c>
      <c r="J46" s="458" t="n">
        <v>90000</v>
      </c>
      <c r="K46" s="458" t="n">
        <v>2023</v>
      </c>
      <c r="L46" s="469" t="n">
        <v>949132</v>
      </c>
      <c r="M46" s="458" t="n"/>
      <c r="N46" s="469" t="n">
        <v>1238350</v>
      </c>
      <c r="O46" s="469" t="n">
        <v>15839</v>
      </c>
      <c r="P46" s="469" t="n">
        <v>46438</v>
      </c>
      <c r="Q46" s="469" t="n">
        <v>3968</v>
      </c>
      <c r="R46" s="458" t="n"/>
      <c r="S46" s="469" t="n">
        <v>27292</v>
      </c>
      <c r="T46" s="469" t="n">
        <v>6577</v>
      </c>
      <c r="U46" s="458" t="n"/>
      <c r="V46" s="458" t="n"/>
      <c r="W46" s="458" t="n"/>
      <c r="X46" s="469" t="n">
        <v>23213</v>
      </c>
      <c r="Y46" s="469" t="n">
        <v>61050</v>
      </c>
      <c r="Z46" s="469" t="n">
        <v>930</v>
      </c>
      <c r="AA46" s="469" t="n">
        <v>4777</v>
      </c>
      <c r="AB46" s="469" t="n">
        <v>11271</v>
      </c>
      <c r="AC46" s="469" t="n">
        <v>16978</v>
      </c>
      <c r="AD46" s="469" t="n">
        <v>14167</v>
      </c>
      <c r="AE46" s="469" t="n">
        <v>5593</v>
      </c>
      <c r="AF46" s="469" t="n">
        <v>19760</v>
      </c>
      <c r="AG46" s="458" t="n"/>
      <c r="AH46" s="469" t="n">
        <v>162482</v>
      </c>
      <c r="AI46" s="469" t="n">
        <v>283603</v>
      </c>
      <c r="AJ46" s="469" t="n">
        <v>446085</v>
      </c>
      <c r="AK46" s="469" t="n">
        <v>792265</v>
      </c>
      <c r="AL46" s="458" t="n"/>
      <c r="AM46" s="468" t="inlineStr">
        <is>
          <t>Actual accrual; parking sweep in Trash; admin fees in Mgmt</t>
        </is>
      </c>
      <c r="AN46">
        <f>IF(AND($B46=Subj_OccCode,Subj_BldgSF&gt;0,ABS($J46-Subj_BldgSF)&lt;=Subj_BldgSF*Subj_SizeTol),ABS($J46-Subj_BldgSF),NA())</f>
        <v/>
      </c>
      <c r="AO46">
        <f>IF(ISNA(AN46),NA(),AN46+ROW()/10000000)</f>
        <v/>
      </c>
      <c r="AR46" s="256">
        <f>IF(B46="","",IFERROR(INDEX(OCC_TABLE_DESC,MATCH(B46,OCC_TABLE_CODE,0)),"Unrecognized code"))</f>
        <v/>
      </c>
    </row>
    <row r="47" ht="25.5" customHeight="1" s="545">
      <c r="A47" s="458" t="inlineStr">
        <is>
          <t>P021</t>
        </is>
      </c>
      <c r="B47" s="449" t="n">
        <v>210</v>
      </c>
      <c r="C47" s="458" t="inlineStr">
        <is>
          <t>R0091931</t>
        </is>
      </c>
      <c r="D47" s="468" t="inlineStr">
        <is>
          <t>6300 E. 58th Ave</t>
        </is>
      </c>
      <c r="E47" s="458" t="inlineStr">
        <is>
          <t>Commerce City</t>
        </is>
      </c>
      <c r="F47" s="458" t="inlineStr">
        <is>
          <t>CO</t>
        </is>
      </c>
      <c r="G47" s="458" t="inlineStr">
        <is>
          <t>Industrial</t>
        </is>
      </c>
      <c r="H47" s="468" t="inlineStr">
        <is>
          <t>Multi-Tenant Industrial/Flex</t>
        </is>
      </c>
      <c r="I47" s="458" t="n">
        <v>1999</v>
      </c>
      <c r="J47" s="458" t="n">
        <v>90000</v>
      </c>
      <c r="K47" s="458" t="n">
        <v>2024</v>
      </c>
      <c r="L47" s="469" t="n">
        <v>911911</v>
      </c>
      <c r="M47" s="458" t="n"/>
      <c r="N47" s="469" t="n">
        <v>1307178</v>
      </c>
      <c r="O47" s="469" t="n">
        <v>15815</v>
      </c>
      <c r="P47" s="469" t="n">
        <v>65253</v>
      </c>
      <c r="Q47" s="469" t="n">
        <v>620</v>
      </c>
      <c r="R47" s="458" t="n"/>
      <c r="S47" s="469" t="n">
        <v>35961</v>
      </c>
      <c r="T47" s="469" t="n">
        <v>7833</v>
      </c>
      <c r="U47" s="458" t="n"/>
      <c r="V47" s="458" t="n"/>
      <c r="W47" s="458" t="n"/>
      <c r="X47" s="469" t="n">
        <v>22008</v>
      </c>
      <c r="Y47" s="469" t="n">
        <v>66422</v>
      </c>
      <c r="Z47" s="469" t="n">
        <v>1176</v>
      </c>
      <c r="AA47" s="469" t="n">
        <v>4463</v>
      </c>
      <c r="AB47" s="469" t="n">
        <v>14953</v>
      </c>
      <c r="AC47" s="469" t="n">
        <v>20592</v>
      </c>
      <c r="AD47" s="469" t="n">
        <v>15736</v>
      </c>
      <c r="AE47" s="469" t="n">
        <v>5731</v>
      </c>
      <c r="AF47" s="469" t="n">
        <v>21467</v>
      </c>
      <c r="AG47" s="458" t="n"/>
      <c r="AH47" s="469" t="n">
        <v>158481</v>
      </c>
      <c r="AI47" s="469" t="n">
        <v>290988</v>
      </c>
      <c r="AJ47" s="469" t="n">
        <v>449469</v>
      </c>
      <c r="AK47" s="469" t="n">
        <v>842728</v>
      </c>
      <c r="AL47" s="458" t="n"/>
      <c r="AM47" s="468" t="inlineStr">
        <is>
          <t>Actual accrual; snow $14,953 also listed under ext R&amp;M; security/admin in ext maint</t>
        </is>
      </c>
      <c r="AN47">
        <f>IF(AND($B47=Subj_OccCode,Subj_BldgSF&gt;0,ABS($J47-Subj_BldgSF)&lt;=Subj_BldgSF*Subj_SizeTol),ABS($J47-Subj_BldgSF),NA())</f>
        <v/>
      </c>
      <c r="AO47">
        <f>IF(ISNA(AN47),NA(),AN47+ROW()/10000000)</f>
        <v/>
      </c>
      <c r="AR47" s="256">
        <f>IF(B47="","",IFERROR(INDEX(OCC_TABLE_DESC,MATCH(B47,OCC_TABLE_CODE,0)),"Unrecognized code"))</f>
        <v/>
      </c>
    </row>
    <row r="48" ht="25.5" customHeight="1" s="545">
      <c r="A48" s="458" t="inlineStr">
        <is>
          <t>P022</t>
        </is>
      </c>
      <c r="B48" s="449" t="n">
        <v>210</v>
      </c>
      <c r="C48" s="458" t="inlineStr">
        <is>
          <t>R0111559</t>
        </is>
      </c>
      <c r="D48" s="468" t="inlineStr">
        <is>
          <t>3590 N. Himalaya Rd (Bldg 6)</t>
        </is>
      </c>
      <c r="E48" s="458" t="inlineStr">
        <is>
          <t>Aurora</t>
        </is>
      </c>
      <c r="F48" s="458" t="inlineStr">
        <is>
          <t>CO</t>
        </is>
      </c>
      <c r="G48" s="458" t="inlineStr">
        <is>
          <t>Industrial</t>
        </is>
      </c>
      <c r="H48" s="468" t="inlineStr">
        <is>
          <t>Multi-Tenant Industrial/Flex NNN</t>
        </is>
      </c>
      <c r="I48" s="458" t="n"/>
      <c r="J48" s="458" t="n"/>
      <c r="K48" s="458" t="n">
        <v>2024</v>
      </c>
      <c r="L48" s="469" t="n">
        <v>548918</v>
      </c>
      <c r="M48" s="458" t="n"/>
      <c r="N48" s="469" t="n">
        <v>766859</v>
      </c>
      <c r="O48" s="469" t="n">
        <v>23025</v>
      </c>
      <c r="P48" s="458" t="n"/>
      <c r="Q48" s="458" t="n"/>
      <c r="R48" s="458" t="n"/>
      <c r="S48" s="458" t="n"/>
      <c r="T48" s="458" t="n"/>
      <c r="U48" s="458" t="n"/>
      <c r="V48" s="458" t="n"/>
      <c r="W48" s="458" t="n"/>
      <c r="X48" s="458" t="n"/>
      <c r="Y48" s="458" t="n"/>
      <c r="Z48" s="458" t="n"/>
      <c r="AA48" s="458" t="n"/>
      <c r="AB48" s="458" t="n"/>
      <c r="AC48" s="458" t="n"/>
      <c r="AD48" s="469" t="n">
        <v>7986</v>
      </c>
      <c r="AE48" s="469" t="n">
        <v>33669</v>
      </c>
      <c r="AF48" s="469" t="n">
        <v>41655</v>
      </c>
      <c r="AG48" s="458" t="n"/>
      <c r="AH48" s="458" t="n"/>
      <c r="AI48" s="469" t="n">
        <v>129107</v>
      </c>
      <c r="AJ48" s="469" t="n">
        <v>250157</v>
      </c>
      <c r="AK48" s="469" t="n">
        <v>374789</v>
      </c>
      <c r="AL48" s="458" t="n"/>
      <c r="AM48" s="468" t="inlineStr">
        <is>
          <t>2024 only – 2023 was transitional vacancy year; SF not confirmed; approx figures</t>
        </is>
      </c>
      <c r="AN48">
        <f>IF(AND($B48=Subj_OccCode,Subj_BldgSF&gt;0,ABS($J48-Subj_BldgSF)&lt;=Subj_BldgSF*Subj_SizeTol),ABS($J48-Subj_BldgSF),NA())</f>
        <v/>
      </c>
      <c r="AO48">
        <f>IF(ISNA(AN48),NA(),AN48+ROW()/10000000)</f>
        <v/>
      </c>
      <c r="AR48" s="256">
        <f>IF(B48="","",IFERROR(INDEX(OCC_TABLE_DESC,MATCH(B48,OCC_TABLE_CODE,0)),"Unrecognized code"))</f>
        <v/>
      </c>
    </row>
    <row r="49" ht="25.5" customHeight="1" s="545">
      <c r="A49" s="458" t="inlineStr">
        <is>
          <t>P023</t>
        </is>
      </c>
      <c r="B49" s="449" t="n">
        <v>407</v>
      </c>
      <c r="C49" s="458" t="inlineStr">
        <is>
          <t>R0191098</t>
        </is>
      </c>
      <c r="D49" s="468" t="inlineStr">
        <is>
          <t>19754 E. 35th Dr (Bldg 4)</t>
        </is>
      </c>
      <c r="E49" s="458" t="inlineStr">
        <is>
          <t>Aurora</t>
        </is>
      </c>
      <c r="F49" s="458" t="inlineStr">
        <is>
          <t>CO</t>
        </is>
      </c>
      <c r="G49" s="458" t="inlineStr">
        <is>
          <t>Industrial</t>
        </is>
      </c>
      <c r="H49" s="468" t="inlineStr">
        <is>
          <t>Single-Tenant Industrial NNN</t>
        </is>
      </c>
      <c r="I49" s="458" t="n"/>
      <c r="J49" s="458" t="n">
        <v>155033</v>
      </c>
      <c r="K49" s="458" t="n">
        <v>2023</v>
      </c>
      <c r="L49" s="469" t="n">
        <v>969912</v>
      </c>
      <c r="M49" s="458" t="n"/>
      <c r="N49" s="469" t="n">
        <v>968340</v>
      </c>
      <c r="O49" s="469" t="n">
        <v>20444</v>
      </c>
      <c r="P49" s="469" t="n">
        <v>29946</v>
      </c>
      <c r="Q49" s="458" t="n"/>
      <c r="R49" s="458" t="n"/>
      <c r="S49" s="458" t="n"/>
      <c r="T49" s="458" t="n"/>
      <c r="U49" s="458" t="n"/>
      <c r="V49" s="458" t="n"/>
      <c r="W49" s="458" t="n"/>
      <c r="X49" s="458" t="n"/>
      <c r="Y49" s="458" t="n"/>
      <c r="Z49" s="458" t="n"/>
      <c r="AA49" s="469" t="n">
        <v>3990</v>
      </c>
      <c r="AB49" s="458" t="n"/>
      <c r="AC49" s="458" t="n"/>
      <c r="AD49" s="469" t="n">
        <v>37966</v>
      </c>
      <c r="AE49" s="469" t="n">
        <v>13715</v>
      </c>
      <c r="AF49" s="469" t="n">
        <v>51681</v>
      </c>
      <c r="AG49" s="458" t="n"/>
      <c r="AH49" s="469" t="n">
        <v>295391</v>
      </c>
      <c r="AI49" s="469" t="n">
        <v>92518</v>
      </c>
      <c r="AJ49" s="469" t="n">
        <v>387909</v>
      </c>
      <c r="AK49" s="469" t="n">
        <v>580431</v>
      </c>
      <c r="AL49" s="458" t="n"/>
      <c r="AM49" s="468" t="inlineStr">
        <is>
          <t>NNN; tenant pays most R&amp;M directly; Quality Custom Distribution lease thru 12/31/2029</t>
        </is>
      </c>
      <c r="AN49">
        <f>IF(AND($B49=Subj_OccCode,Subj_BldgSF&gt;0,ABS($J49-Subj_BldgSF)&lt;=Subj_BldgSF*Subj_SizeTol),ABS($J49-Subj_BldgSF),NA())</f>
        <v/>
      </c>
      <c r="AO49">
        <f>IF(ISNA(AN49),NA(),AN49+ROW()/10000000)</f>
        <v/>
      </c>
      <c r="AR49" s="256">
        <f>IF(B49="","",IFERROR(INDEX(OCC_TABLE_DESC,MATCH(B49,OCC_TABLE_CODE,0)),"Unrecognized code"))</f>
        <v/>
      </c>
    </row>
    <row r="50" ht="12.75" customHeight="1" s="545">
      <c r="A50" s="458" t="inlineStr">
        <is>
          <t>P023</t>
        </is>
      </c>
      <c r="B50" s="449" t="n">
        <v>407</v>
      </c>
      <c r="C50" s="458" t="inlineStr">
        <is>
          <t>R0191098</t>
        </is>
      </c>
      <c r="D50" s="468" t="inlineStr">
        <is>
          <t>19754 E. 35th Dr (Bldg 4)</t>
        </is>
      </c>
      <c r="E50" s="458" t="inlineStr">
        <is>
          <t>Aurora</t>
        </is>
      </c>
      <c r="F50" s="458" t="inlineStr">
        <is>
          <t>CO</t>
        </is>
      </c>
      <c r="G50" s="458" t="inlineStr">
        <is>
          <t>Industrial</t>
        </is>
      </c>
      <c r="H50" s="468" t="inlineStr">
        <is>
          <t>Single-Tenant Industrial NNN</t>
        </is>
      </c>
      <c r="I50" s="458" t="n"/>
      <c r="J50" s="458" t="n">
        <v>155033</v>
      </c>
      <c r="K50" s="458" t="n">
        <v>2024</v>
      </c>
      <c r="L50" s="469" t="n">
        <v>1011167</v>
      </c>
      <c r="M50" s="458" t="n"/>
      <c r="N50" s="469" t="n">
        <v>1011168</v>
      </c>
      <c r="O50" s="469" t="n">
        <v>28366</v>
      </c>
      <c r="P50" s="469" t="n">
        <v>29365</v>
      </c>
      <c r="Q50" s="458" t="n"/>
      <c r="R50" s="458" t="n"/>
      <c r="S50" s="458" t="n"/>
      <c r="T50" s="458" t="n"/>
      <c r="U50" s="458" t="n"/>
      <c r="V50" s="458" t="n"/>
      <c r="W50" s="458" t="n"/>
      <c r="X50" s="458" t="n"/>
      <c r="Y50" s="458" t="n"/>
      <c r="Z50" s="458" t="n"/>
      <c r="AA50" s="458" t="n"/>
      <c r="AB50" s="458" t="n"/>
      <c r="AC50" s="458" t="n"/>
      <c r="AD50" s="469" t="n">
        <v>36662</v>
      </c>
      <c r="AE50" s="469" t="n">
        <v>27344</v>
      </c>
      <c r="AF50" s="469" t="n">
        <v>64006</v>
      </c>
      <c r="AG50" s="458" t="n"/>
      <c r="AH50" s="469" t="n">
        <v>264833</v>
      </c>
      <c r="AI50" s="469" t="n">
        <v>120903</v>
      </c>
      <c r="AJ50" s="469" t="n">
        <v>385736</v>
      </c>
      <c r="AK50" s="469" t="n">
        <v>625432</v>
      </c>
      <c r="AL50" s="458" t="n"/>
      <c r="AM50" s="468" t="inlineStr">
        <is>
          <t>NNN; tenant pays most R&amp;M directly</t>
        </is>
      </c>
      <c r="AN50">
        <f>IF(AND($B50=Subj_OccCode,Subj_BldgSF&gt;0,ABS($J50-Subj_BldgSF)&lt;=Subj_BldgSF*Subj_SizeTol),ABS($J50-Subj_BldgSF),NA())</f>
        <v/>
      </c>
      <c r="AO50">
        <f>IF(ISNA(AN50),NA(),AN50+ROW()/10000000)</f>
        <v/>
      </c>
      <c r="AR50" s="256">
        <f>IF(B50="","",IFERROR(INDEX(OCC_TABLE_DESC,MATCH(B50,OCC_TABLE_CODE,0)),"Unrecognized code"))</f>
        <v/>
      </c>
    </row>
    <row r="51" ht="25.5" customHeight="1" s="545">
      <c r="A51" s="458" t="inlineStr">
        <is>
          <t>P024</t>
        </is>
      </c>
      <c r="B51" s="449" t="n">
        <v>407</v>
      </c>
      <c r="C51" s="458" t="inlineStr">
        <is>
          <t>R0111560</t>
        </is>
      </c>
      <c r="D51" s="468" t="inlineStr">
        <is>
          <t>20320 E. 36th Dr (Bldg 7)</t>
        </is>
      </c>
      <c r="E51" s="458" t="inlineStr">
        <is>
          <t>Aurora</t>
        </is>
      </c>
      <c r="F51" s="458" t="inlineStr">
        <is>
          <t>CO</t>
        </is>
      </c>
      <c r="G51" s="458" t="inlineStr">
        <is>
          <t>Industrial</t>
        </is>
      </c>
      <c r="H51" s="468" t="inlineStr">
        <is>
          <t>Single-Tenant Industrial NNN</t>
        </is>
      </c>
      <c r="I51" s="458" t="n"/>
      <c r="J51" s="458" t="n">
        <v>200000</v>
      </c>
      <c r="K51" s="458" t="n">
        <v>2023</v>
      </c>
      <c r="L51" s="469" t="n">
        <v>1391167</v>
      </c>
      <c r="M51" s="458" t="n"/>
      <c r="N51" s="469" t="n">
        <v>1357167</v>
      </c>
      <c r="O51" s="469" t="n">
        <v>4008</v>
      </c>
      <c r="P51" s="458" t="n"/>
      <c r="Q51" s="458" t="n"/>
      <c r="R51" s="458" t="n"/>
      <c r="S51" s="458" t="n"/>
      <c r="T51" s="458" t="n"/>
      <c r="U51" s="458" t="n"/>
      <c r="V51" s="458" t="n"/>
      <c r="W51" s="458" t="n"/>
      <c r="X51" s="458" t="n"/>
      <c r="Y51" s="458" t="n"/>
      <c r="Z51" s="458" t="n"/>
      <c r="AA51" s="458" t="n"/>
      <c r="AB51" s="458" t="n"/>
      <c r="AC51" s="458" t="n"/>
      <c r="AD51" s="458" t="n"/>
      <c r="AE51" s="469" t="n">
        <v>2419</v>
      </c>
      <c r="AF51" s="469" t="n">
        <v>2419</v>
      </c>
      <c r="AG51" s="458" t="n"/>
      <c r="AH51" s="469" t="n">
        <v>235792</v>
      </c>
      <c r="AI51" s="469" t="n">
        <v>3481</v>
      </c>
      <c r="AJ51" s="469" t="n">
        <v>239273</v>
      </c>
      <c r="AK51" s="469" t="n">
        <v>1117893</v>
      </c>
      <c r="AL51" s="458" t="n"/>
      <c r="AM51" s="468" t="inlineStr">
        <is>
          <t>FedEx NNN thru 4/30/2024; tenant pays nearly all expenses; 2024 excluded (lease expiry vacancy)</t>
        </is>
      </c>
      <c r="AN51">
        <f>IF(AND($B51=Subj_OccCode,Subj_BldgSF&gt;0,ABS($J51-Subj_BldgSF)&lt;=Subj_BldgSF*Subj_SizeTol),ABS($J51-Subj_BldgSF),NA())</f>
        <v/>
      </c>
      <c r="AO51">
        <f>IF(ISNA(AN51),NA(),AN51+ROW()/10000000)</f>
        <v/>
      </c>
      <c r="AR51" s="256">
        <f>IF(B51="","",IFERROR(INDEX(OCC_TABLE_DESC,MATCH(B51,OCC_TABLE_CODE,0)),"Unrecognized code"))</f>
        <v/>
      </c>
    </row>
    <row r="52" ht="25.5" customHeight="1" s="545">
      <c r="A52" s="458" t="inlineStr">
        <is>
          <t>P025</t>
        </is>
      </c>
      <c r="B52" s="449" t="n">
        <v>210</v>
      </c>
      <c r="C52" s="458" t="inlineStr">
        <is>
          <t>R0191099</t>
        </is>
      </c>
      <c r="D52" s="468" t="inlineStr">
        <is>
          <t>3559 N. Himalaya Rd (Bldg 5)</t>
        </is>
      </c>
      <c r="E52" s="458" t="inlineStr">
        <is>
          <t>Aurora</t>
        </is>
      </c>
      <c r="F52" s="458" t="inlineStr">
        <is>
          <t>CO</t>
        </is>
      </c>
      <c r="G52" s="458" t="inlineStr">
        <is>
          <t>Industrial</t>
        </is>
      </c>
      <c r="H52" s="468" t="inlineStr">
        <is>
          <t>Multi-Tenant Industrial NNN</t>
        </is>
      </c>
      <c r="I52" s="458" t="n"/>
      <c r="J52" s="458" t="n">
        <v>159047</v>
      </c>
      <c r="K52" s="458" t="n">
        <v>2023</v>
      </c>
      <c r="L52" s="458" t="n"/>
      <c r="M52" s="458" t="n"/>
      <c r="N52" s="469" t="n">
        <v>2146251</v>
      </c>
      <c r="O52" s="458" t="n"/>
      <c r="P52" s="469" t="n">
        <v>5837</v>
      </c>
      <c r="Q52" s="458" t="n"/>
      <c r="R52" s="458" t="n"/>
      <c r="S52" s="458" t="n"/>
      <c r="T52" s="458" t="n"/>
      <c r="U52" s="458" t="n"/>
      <c r="V52" s="458" t="n"/>
      <c r="W52" s="458" t="n"/>
      <c r="X52" s="458" t="n"/>
      <c r="Y52" s="458" t="n"/>
      <c r="Z52" s="458" t="n"/>
      <c r="AA52" s="458" t="n"/>
      <c r="AB52" s="469" t="n">
        <v>2813</v>
      </c>
      <c r="AC52" s="458" t="n"/>
      <c r="AD52" s="458" t="n"/>
      <c r="AE52" s="458" t="n"/>
      <c r="AF52" s="458" t="n"/>
      <c r="AG52" s="458" t="n"/>
      <c r="AH52" s="458" t="n"/>
      <c r="AI52" s="458" t="n"/>
      <c r="AJ52" s="469" t="n">
        <v>1015103</v>
      </c>
      <c r="AK52" s="469" t="n">
        <v>1131148</v>
      </c>
      <c r="AL52" s="458" t="n"/>
      <c r="AM52" s="468" t="inlineStr">
        <is>
          <t>Multi-tenant NNN; limited expense detail available; approx figures</t>
        </is>
      </c>
      <c r="AN52">
        <f>IF(AND($B52=Subj_OccCode,Subj_BldgSF&gt;0,ABS($J52-Subj_BldgSF)&lt;=Subj_BldgSF*Subj_SizeTol),ABS($J52-Subj_BldgSF),NA())</f>
        <v/>
      </c>
      <c r="AO52">
        <f>IF(ISNA(AN52),NA(),AN52+ROW()/10000000)</f>
        <v/>
      </c>
      <c r="AR52" s="256">
        <f>IF(B52="","",IFERROR(INDEX(OCC_TABLE_DESC,MATCH(B52,OCC_TABLE_CODE,0)),"Unrecognized code"))</f>
        <v/>
      </c>
    </row>
    <row r="53" ht="25.5" customHeight="1" s="545">
      <c r="A53" s="458" t="inlineStr">
        <is>
          <t>P025</t>
        </is>
      </c>
      <c r="B53" s="449" t="n">
        <v>210</v>
      </c>
      <c r="C53" s="458" t="inlineStr">
        <is>
          <t>R0191099</t>
        </is>
      </c>
      <c r="D53" s="468" t="inlineStr">
        <is>
          <t>3559 N. Himalaya Rd (Bldg 5)</t>
        </is>
      </c>
      <c r="E53" s="458" t="inlineStr">
        <is>
          <t>Aurora</t>
        </is>
      </c>
      <c r="F53" s="458" t="inlineStr">
        <is>
          <t>CO</t>
        </is>
      </c>
      <c r="G53" s="458" t="inlineStr">
        <is>
          <t>Industrial</t>
        </is>
      </c>
      <c r="H53" s="468" t="inlineStr">
        <is>
          <t>Multi-Tenant Industrial NNN</t>
        </is>
      </c>
      <c r="I53" s="458" t="n"/>
      <c r="J53" s="458" t="n">
        <v>159047</v>
      </c>
      <c r="K53" s="458" t="n">
        <v>2024</v>
      </c>
      <c r="L53" s="458" t="n"/>
      <c r="M53" s="458" t="n"/>
      <c r="N53" s="469" t="n">
        <v>2148251</v>
      </c>
      <c r="O53" s="458" t="n"/>
      <c r="P53" s="458" t="n"/>
      <c r="Q53" s="458" t="n"/>
      <c r="R53" s="458" t="n"/>
      <c r="S53" s="458" t="n"/>
      <c r="T53" s="458" t="n"/>
      <c r="U53" s="458" t="n"/>
      <c r="V53" s="458" t="n"/>
      <c r="W53" s="458" t="n"/>
      <c r="X53" s="458" t="n"/>
      <c r="Y53" s="458" t="n"/>
      <c r="Z53" s="458" t="n"/>
      <c r="AA53" s="458" t="n"/>
      <c r="AB53" s="469" t="n">
        <v>2813</v>
      </c>
      <c r="AC53" s="458" t="n"/>
      <c r="AD53" s="458" t="n"/>
      <c r="AE53" s="458" t="n"/>
      <c r="AF53" s="458" t="n"/>
      <c r="AG53" s="458" t="n"/>
      <c r="AH53" s="458" t="n"/>
      <c r="AI53" s="458" t="n"/>
      <c r="AJ53" s="469" t="n">
        <v>1176766</v>
      </c>
      <c r="AK53" s="469" t="n">
        <v>971485</v>
      </c>
      <c r="AL53" s="458" t="n"/>
      <c r="AM53" s="468" t="inlineStr">
        <is>
          <t>Multi-tenant NNN; limited expense detail available; approx figures</t>
        </is>
      </c>
      <c r="AN53">
        <f>IF(AND($B53=Subj_OccCode,Subj_BldgSF&gt;0,ABS($J53-Subj_BldgSF)&lt;=Subj_BldgSF*Subj_SizeTol),ABS($J53-Subj_BldgSF),NA())</f>
        <v/>
      </c>
      <c r="AO53">
        <f>IF(ISNA(AN53),NA(),AN53+ROW()/10000000)</f>
        <v/>
      </c>
      <c r="AR53" s="256">
        <f>IF(B53="","",IFERROR(INDEX(OCC_TABLE_DESC,MATCH(B53,OCC_TABLE_CODE,0)),"Unrecognized code"))</f>
        <v/>
      </c>
    </row>
    <row r="54" ht="25.5" customHeight="1" s="545">
      <c r="A54" s="458" t="inlineStr">
        <is>
          <t>P026</t>
        </is>
      </c>
      <c r="B54" s="449" t="n">
        <v>406</v>
      </c>
      <c r="C54" s="458" t="inlineStr">
        <is>
          <t>R0092667</t>
        </is>
      </c>
      <c r="D54" s="468" t="inlineStr">
        <is>
          <t>4901 Locust St</t>
        </is>
      </c>
      <c r="E54" s="458" t="inlineStr">
        <is>
          <t>Commerce City</t>
        </is>
      </c>
      <c r="F54" s="458" t="inlineStr">
        <is>
          <t>CO</t>
        </is>
      </c>
      <c r="G54" s="458" t="inlineStr">
        <is>
          <t>Industrial</t>
        </is>
      </c>
      <c r="H54" s="468" t="inlineStr">
        <is>
          <t>Industrial Warehouse</t>
        </is>
      </c>
      <c r="I54" s="458" t="n"/>
      <c r="J54" s="458" t="n">
        <v>29512</v>
      </c>
      <c r="K54" s="458" t="n">
        <v>2024</v>
      </c>
      <c r="L54" s="458" t="n"/>
      <c r="M54" s="458" t="n"/>
      <c r="N54" s="469" t="n">
        <v>419456</v>
      </c>
      <c r="O54" s="469" t="n">
        <v>4427</v>
      </c>
      <c r="P54" s="469" t="n">
        <v>10486</v>
      </c>
      <c r="Q54" s="458" t="n"/>
      <c r="R54" s="458" t="n"/>
      <c r="S54" s="458" t="n"/>
      <c r="T54" s="458" t="n"/>
      <c r="U54" s="458" t="n"/>
      <c r="V54" s="458" t="n"/>
      <c r="W54" s="458" t="n"/>
      <c r="X54" s="469" t="n">
        <v>16232</v>
      </c>
      <c r="Y54" s="469" t="n">
        <v>16232</v>
      </c>
      <c r="Z54" s="458" t="n"/>
      <c r="AA54" s="458" t="n"/>
      <c r="AB54" s="458" t="n"/>
      <c r="AC54" s="458" t="n"/>
      <c r="AD54" s="458" t="n"/>
      <c r="AE54" s="458" t="n"/>
      <c r="AF54" s="469" t="n">
        <v>7378</v>
      </c>
      <c r="AG54" s="469" t="n">
        <v>14756</v>
      </c>
      <c r="AH54" s="469" t="n">
        <v>59181</v>
      </c>
      <c r="AI54" s="469" t="n">
        <v>97831</v>
      </c>
      <c r="AJ54" s="469" t="n">
        <v>157012</v>
      </c>
      <c r="AK54" s="469" t="n">
        <v>262444</v>
      </c>
      <c r="AL54" s="469" t="n">
        <v>5902</v>
      </c>
      <c r="AM54" s="468" t="inlineStr">
        <is>
          <t>Newmark stabilized proforma 6/30/2024; cap rate 7.00%; not actual historical</t>
        </is>
      </c>
      <c r="AN54">
        <f>IF(AND($B54=Subj_OccCode,Subj_BldgSF&gt;0,ABS($J54-Subj_BldgSF)&lt;=Subj_BldgSF*Subj_SizeTol),ABS($J54-Subj_BldgSF),NA())</f>
        <v/>
      </c>
      <c r="AO54">
        <f>IF(ISNA(AN54),NA(),AN54+ROW()/10000000)</f>
        <v/>
      </c>
      <c r="AR54" s="256">
        <f>IF(B54="","",IFERROR(INDEX(OCC_TABLE_DESC,MATCH(B54,OCC_TABLE_CODE,0)),"Unrecognized code"))</f>
        <v/>
      </c>
    </row>
    <row r="55" ht="25.5" customHeight="1" s="545">
      <c r="A55" s="458" t="inlineStr">
        <is>
          <t>P022</t>
        </is>
      </c>
      <c r="B55" s="449" t="n">
        <v>210</v>
      </c>
      <c r="C55" s="458" t="inlineStr">
        <is>
          <t>R0111559</t>
        </is>
      </c>
      <c r="D55" s="468" t="inlineStr">
        <is>
          <t>3590 N. Himalaya Rd (Bldg 6)</t>
        </is>
      </c>
      <c r="E55" s="458" t="inlineStr">
        <is>
          <t>Aurora</t>
        </is>
      </c>
      <c r="F55" s="458" t="inlineStr">
        <is>
          <t>CO</t>
        </is>
      </c>
      <c r="G55" s="458" t="inlineStr">
        <is>
          <t>Industrial</t>
        </is>
      </c>
      <c r="H55" s="468" t="inlineStr">
        <is>
          <t>Multi-Tenant Industrial/Flex NNN</t>
        </is>
      </c>
      <c r="I55" s="458" t="n">
        <v>1998</v>
      </c>
      <c r="J55" s="458" t="n">
        <v>123603</v>
      </c>
      <c r="K55" s="458" t="n">
        <v>2021</v>
      </c>
      <c r="L55" s="458" t="n"/>
      <c r="M55" s="458" t="n"/>
      <c r="N55" s="458" t="n"/>
      <c r="O55" s="469" t="n">
        <v>10376</v>
      </c>
      <c r="P55" s="469" t="n">
        <v>43384</v>
      </c>
      <c r="Q55" s="458" t="n"/>
      <c r="R55" s="458" t="n"/>
      <c r="S55" s="458" t="n"/>
      <c r="T55" s="458" t="n"/>
      <c r="U55" s="458" t="n"/>
      <c r="V55" s="458" t="n"/>
      <c r="W55" s="458" t="n"/>
      <c r="X55" s="458" t="n"/>
      <c r="Y55" s="458" t="n"/>
      <c r="Z55" s="458" t="n"/>
      <c r="AA55" s="458" t="n"/>
      <c r="AB55" s="458" t="n"/>
      <c r="AC55" s="469" t="n">
        <v>88626</v>
      </c>
      <c r="AD55" s="458" t="n"/>
      <c r="AE55" s="458" t="n"/>
      <c r="AF55" s="469" t="n">
        <v>37062</v>
      </c>
      <c r="AG55" s="458" t="n"/>
      <c r="AH55" s="469" t="n">
        <v>179448</v>
      </c>
      <c r="AI55" s="469" t="n">
        <v>289126</v>
      </c>
      <c r="AJ55" s="469" t="n">
        <v>468574</v>
      </c>
      <c r="AK55" s="458" t="n"/>
      <c r="AL55" s="458" t="n"/>
      <c r="AM55" s="468" t="inlineStr">
        <is>
          <t>NNN landlord expenses only; from AXG Whse Expenses PSF.xlsx</t>
        </is>
      </c>
      <c r="AN55">
        <f>IF(AND($B55=Subj_OccCode,Subj_BldgSF&gt;0,ABS($J55-Subj_BldgSF)&lt;=Subj_BldgSF*Subj_SizeTol),ABS($J55-Subj_BldgSF),NA())</f>
        <v/>
      </c>
      <c r="AO55">
        <f>IF(ISNA(AN55),NA(),AN55+ROW()/10000000)</f>
        <v/>
      </c>
      <c r="AR55" s="256">
        <f>IF(B55="","",IFERROR(INDEX(OCC_TABLE_DESC,MATCH(B55,OCC_TABLE_CODE,0)),"Unrecognized code"))</f>
        <v/>
      </c>
    </row>
    <row r="56" ht="25.5" customHeight="1" s="545">
      <c r="A56" s="458" t="inlineStr">
        <is>
          <t>P022</t>
        </is>
      </c>
      <c r="B56" s="449" t="n">
        <v>210</v>
      </c>
      <c r="C56" s="458" t="inlineStr">
        <is>
          <t>R0111559</t>
        </is>
      </c>
      <c r="D56" s="468" t="inlineStr">
        <is>
          <t>3590 N. Himalaya Rd (Bldg 6)</t>
        </is>
      </c>
      <c r="E56" s="458" t="inlineStr">
        <is>
          <t>Aurora</t>
        </is>
      </c>
      <c r="F56" s="458" t="inlineStr">
        <is>
          <t>CO</t>
        </is>
      </c>
      <c r="G56" s="458" t="inlineStr">
        <is>
          <t>Industrial</t>
        </is>
      </c>
      <c r="H56" s="468" t="inlineStr">
        <is>
          <t>Multi-Tenant Industrial/Flex NNN</t>
        </is>
      </c>
      <c r="I56" s="458" t="n">
        <v>1998</v>
      </c>
      <c r="J56" s="458" t="n">
        <v>123603</v>
      </c>
      <c r="K56" s="458" t="n">
        <v>2022</v>
      </c>
      <c r="L56" s="458" t="n"/>
      <c r="M56" s="458" t="n"/>
      <c r="N56" s="458" t="n"/>
      <c r="O56" s="469" t="n">
        <v>11039</v>
      </c>
      <c r="P56" s="469" t="n">
        <v>39811</v>
      </c>
      <c r="Q56" s="458" t="n"/>
      <c r="R56" s="458" t="n"/>
      <c r="S56" s="458" t="n"/>
      <c r="T56" s="458" t="n"/>
      <c r="U56" s="458" t="n"/>
      <c r="V56" s="458" t="n"/>
      <c r="W56" s="458" t="n"/>
      <c r="X56" s="458" t="n"/>
      <c r="Y56" s="458" t="n"/>
      <c r="Z56" s="458" t="n"/>
      <c r="AA56" s="458" t="n"/>
      <c r="AB56" s="458" t="n"/>
      <c r="AC56" s="469" t="n">
        <v>91945</v>
      </c>
      <c r="AD56" s="458" t="n"/>
      <c r="AE56" s="458" t="n"/>
      <c r="AF56" s="469" t="n">
        <v>38461</v>
      </c>
      <c r="AG56" s="458" t="n"/>
      <c r="AH56" s="469" t="n">
        <v>181256</v>
      </c>
      <c r="AI56" s="469" t="n">
        <v>318845</v>
      </c>
      <c r="AJ56" s="469" t="n">
        <v>500101</v>
      </c>
      <c r="AK56" s="458" t="n"/>
      <c r="AL56" s="458" t="n"/>
      <c r="AM56" s="468" t="inlineStr">
        <is>
          <t>NNN landlord expenses only; from AXG Whse Expenses PSF.xlsx</t>
        </is>
      </c>
      <c r="AN56">
        <f>IF(AND($B56=Subj_OccCode,Subj_BldgSF&gt;0,ABS($J56-Subj_BldgSF)&lt;=Subj_BldgSF*Subj_SizeTol),ABS($J56-Subj_BldgSF),NA())</f>
        <v/>
      </c>
      <c r="AO56">
        <f>IF(ISNA(AN56),NA(),AN56+ROW()/10000000)</f>
        <v/>
      </c>
      <c r="AR56" s="256">
        <f>IF(B56="","",IFERROR(INDEX(OCC_TABLE_DESC,MATCH(B56,OCC_TABLE_CODE,0)),"Unrecognized code"))</f>
        <v/>
      </c>
    </row>
    <row r="57" ht="25.5" customHeight="1" s="545">
      <c r="A57" s="458" t="inlineStr">
        <is>
          <t>P024</t>
        </is>
      </c>
      <c r="B57" s="449" t="n">
        <v>407</v>
      </c>
      <c r="C57" s="458" t="inlineStr">
        <is>
          <t>R0111560</t>
        </is>
      </c>
      <c r="D57" s="468" t="inlineStr">
        <is>
          <t>20320 E. 36th Dr (Bldg 7)</t>
        </is>
      </c>
      <c r="E57" s="458" t="inlineStr">
        <is>
          <t>Aurora</t>
        </is>
      </c>
      <c r="F57" s="458" t="inlineStr">
        <is>
          <t>CO</t>
        </is>
      </c>
      <c r="G57" s="458" t="inlineStr">
        <is>
          <t>Industrial</t>
        </is>
      </c>
      <c r="H57" s="468" t="inlineStr">
        <is>
          <t>Single-Tenant Industrial NNN</t>
        </is>
      </c>
      <c r="I57" s="458" t="n">
        <v>1998</v>
      </c>
      <c r="J57" s="458" t="n">
        <v>199962</v>
      </c>
      <c r="K57" s="458" t="n">
        <v>2019</v>
      </c>
      <c r="L57" s="458" t="n"/>
      <c r="M57" s="458" t="n"/>
      <c r="N57" s="458" t="n"/>
      <c r="O57" s="469" t="n">
        <v>8457</v>
      </c>
      <c r="P57" s="469" t="n">
        <v>26194</v>
      </c>
      <c r="Q57" s="458" t="n"/>
      <c r="R57" s="458" t="n"/>
      <c r="S57" s="458" t="n"/>
      <c r="T57" s="458" t="n"/>
      <c r="U57" s="458" t="n"/>
      <c r="V57" s="458" t="n"/>
      <c r="W57" s="458" t="n"/>
      <c r="X57" s="458" t="n"/>
      <c r="Y57" s="458" t="n"/>
      <c r="Z57" s="458" t="n"/>
      <c r="AA57" s="458" t="n"/>
      <c r="AB57" s="458" t="n"/>
      <c r="AC57" s="469" t="n">
        <v>261694</v>
      </c>
      <c r="AD57" s="458" t="n"/>
      <c r="AE57" s="458" t="n"/>
      <c r="AF57" s="458" t="n"/>
      <c r="AG57" s="458" t="n"/>
      <c r="AH57" s="469" t="n">
        <v>296345</v>
      </c>
      <c r="AI57" s="469" t="n">
        <v>494719</v>
      </c>
      <c r="AJ57" s="469" t="n">
        <v>791064</v>
      </c>
      <c r="AK57" s="458" t="n"/>
      <c r="AL57" s="458" t="n"/>
      <c r="AM57" s="468" t="inlineStr">
        <is>
          <t>NNN landlord expenses only; from AXG Whse Expenses PSF.xlsx</t>
        </is>
      </c>
      <c r="AN57">
        <f>IF(AND($B57=Subj_OccCode,Subj_BldgSF&gt;0,ABS($J57-Subj_BldgSF)&lt;=Subj_BldgSF*Subj_SizeTol),ABS($J57-Subj_BldgSF),NA())</f>
        <v/>
      </c>
      <c r="AO57">
        <f>IF(ISNA(AN57),NA(),AN57+ROW()/10000000)</f>
        <v/>
      </c>
      <c r="AR57" s="256">
        <f>IF(B57="","",IFERROR(INDEX(OCC_TABLE_DESC,MATCH(B57,OCC_TABLE_CODE,0)),"Unrecognized code"))</f>
        <v/>
      </c>
    </row>
    <row r="58" ht="25.5" customHeight="1" s="545">
      <c r="A58" s="458" t="inlineStr">
        <is>
          <t>P024</t>
        </is>
      </c>
      <c r="B58" s="449" t="n">
        <v>407</v>
      </c>
      <c r="C58" s="458" t="inlineStr">
        <is>
          <t>R0111560</t>
        </is>
      </c>
      <c r="D58" s="468" t="inlineStr">
        <is>
          <t>20320 E. 36th Dr (Bldg 7)</t>
        </is>
      </c>
      <c r="E58" s="458" t="inlineStr">
        <is>
          <t>Aurora</t>
        </is>
      </c>
      <c r="F58" s="458" t="inlineStr">
        <is>
          <t>CO</t>
        </is>
      </c>
      <c r="G58" s="458" t="inlineStr">
        <is>
          <t>Industrial</t>
        </is>
      </c>
      <c r="H58" s="468" t="inlineStr">
        <is>
          <t>Single-Tenant Industrial NNN</t>
        </is>
      </c>
      <c r="I58" s="458" t="n">
        <v>1998</v>
      </c>
      <c r="J58" s="458" t="n">
        <v>199962</v>
      </c>
      <c r="K58" s="458" t="n">
        <v>2020</v>
      </c>
      <c r="L58" s="458" t="n"/>
      <c r="M58" s="458" t="n"/>
      <c r="N58" s="458" t="n"/>
      <c r="O58" s="469" t="n">
        <v>9678</v>
      </c>
      <c r="P58" s="469" t="n">
        <v>26625</v>
      </c>
      <c r="Q58" s="458" t="n"/>
      <c r="R58" s="458" t="n"/>
      <c r="S58" s="458" t="n"/>
      <c r="T58" s="458" t="n"/>
      <c r="U58" s="458" t="n"/>
      <c r="V58" s="458" t="n"/>
      <c r="W58" s="458" t="n"/>
      <c r="X58" s="458" t="n"/>
      <c r="Y58" s="458" t="n"/>
      <c r="Z58" s="458" t="n"/>
      <c r="AA58" s="458" t="n"/>
      <c r="AB58" s="458" t="n"/>
      <c r="AC58" s="469" t="n">
        <v>144817</v>
      </c>
      <c r="AD58" s="458" t="n"/>
      <c r="AE58" s="458" t="n"/>
      <c r="AF58" s="458" t="n"/>
      <c r="AG58" s="458" t="n"/>
      <c r="AH58" s="469" t="n">
        <v>181120</v>
      </c>
      <c r="AI58" s="469" t="n">
        <v>415592</v>
      </c>
      <c r="AJ58" s="469" t="n">
        <v>596712</v>
      </c>
      <c r="AK58" s="458" t="n"/>
      <c r="AL58" s="458" t="n"/>
      <c r="AM58" s="468" t="inlineStr">
        <is>
          <t>NNN landlord expenses only; from AXG Whse Expenses PSF.xlsx</t>
        </is>
      </c>
      <c r="AN58">
        <f>IF(AND($B58=Subj_OccCode,Subj_BldgSF&gt;0,ABS($J58-Subj_BldgSF)&lt;=Subj_BldgSF*Subj_SizeTol),ABS($J58-Subj_BldgSF),NA())</f>
        <v/>
      </c>
      <c r="AO58">
        <f>IF(ISNA(AN58),NA(),AN58+ROW()/10000000)</f>
        <v/>
      </c>
      <c r="AR58" s="256">
        <f>IF(B58="","",IFERROR(INDEX(OCC_TABLE_DESC,MATCH(B58,OCC_TABLE_CODE,0)),"Unrecognized code"))</f>
        <v/>
      </c>
    </row>
    <row r="59" ht="25.5" customHeight="1" s="545">
      <c r="A59" s="458" t="inlineStr">
        <is>
          <t>P025</t>
        </is>
      </c>
      <c r="B59" s="449" t="n">
        <v>210</v>
      </c>
      <c r="C59" s="458" t="inlineStr">
        <is>
          <t>R0191099</t>
        </is>
      </c>
      <c r="D59" s="468" t="inlineStr">
        <is>
          <t>3559 N. Himalaya Rd (Bldg 5)</t>
        </is>
      </c>
      <c r="E59" s="458" t="inlineStr">
        <is>
          <t>Aurora</t>
        </is>
      </c>
      <c r="F59" s="458" t="inlineStr">
        <is>
          <t>CO</t>
        </is>
      </c>
      <c r="G59" s="458" t="inlineStr">
        <is>
          <t>Industrial</t>
        </is>
      </c>
      <c r="H59" s="468" t="inlineStr">
        <is>
          <t>Multi-Tenant Industrial NNN</t>
        </is>
      </c>
      <c r="I59" s="458" t="n">
        <v>2017</v>
      </c>
      <c r="J59" s="458" t="n">
        <v>159047</v>
      </c>
      <c r="K59" s="458" t="n">
        <v>2021</v>
      </c>
      <c r="L59" s="458" t="n"/>
      <c r="M59" s="458" t="n"/>
      <c r="N59" s="458" t="n"/>
      <c r="O59" s="469" t="n">
        <v>15209</v>
      </c>
      <c r="P59" s="469" t="n">
        <v>53747</v>
      </c>
      <c r="Q59" s="458" t="n"/>
      <c r="R59" s="458" t="n"/>
      <c r="S59" s="458" t="n"/>
      <c r="T59" s="458" t="n"/>
      <c r="U59" s="458" t="n"/>
      <c r="V59" s="458" t="n"/>
      <c r="W59" s="458" t="n"/>
      <c r="X59" s="458" t="n"/>
      <c r="Y59" s="458" t="n"/>
      <c r="Z59" s="458" t="n"/>
      <c r="AA59" s="458" t="n"/>
      <c r="AB59" s="458" t="n"/>
      <c r="AC59" s="469" t="n">
        <v>59915</v>
      </c>
      <c r="AD59" s="458" t="n"/>
      <c r="AE59" s="458" t="n"/>
      <c r="AF59" s="469" t="n">
        <v>46324</v>
      </c>
      <c r="AG59" s="458" t="n"/>
      <c r="AH59" s="469" t="n">
        <v>175195</v>
      </c>
      <c r="AI59" s="469" t="n">
        <v>554960</v>
      </c>
      <c r="AJ59" s="469" t="n">
        <v>730155</v>
      </c>
      <c r="AK59" s="458" t="n"/>
      <c r="AL59" s="458" t="n"/>
      <c r="AM59" s="468" t="inlineStr">
        <is>
          <t>NNN landlord expenses only; from AXG Whse Expenses PSF.xlsx</t>
        </is>
      </c>
      <c r="AN59">
        <f>IF(AND($B59=Subj_OccCode,Subj_BldgSF&gt;0,ABS($J59-Subj_BldgSF)&lt;=Subj_BldgSF*Subj_SizeTol),ABS($J59-Subj_BldgSF),NA())</f>
        <v/>
      </c>
      <c r="AO59">
        <f>IF(ISNA(AN59),NA(),AN59+ROW()/10000000)</f>
        <v/>
      </c>
      <c r="AR59" s="256">
        <f>IF(B59="","",IFERROR(INDEX(OCC_TABLE_DESC,MATCH(B59,OCC_TABLE_CODE,0)),"Unrecognized code"))</f>
        <v/>
      </c>
    </row>
    <row r="60" ht="25.5" customHeight="1" s="545">
      <c r="A60" s="458" t="inlineStr">
        <is>
          <t>P025</t>
        </is>
      </c>
      <c r="B60" s="449" t="n">
        <v>210</v>
      </c>
      <c r="C60" s="458" t="inlineStr">
        <is>
          <t>R0191099</t>
        </is>
      </c>
      <c r="D60" s="468" t="inlineStr">
        <is>
          <t>3559 N. Himalaya Rd (Bldg 5)</t>
        </is>
      </c>
      <c r="E60" s="458" t="inlineStr">
        <is>
          <t>Aurora</t>
        </is>
      </c>
      <c r="F60" s="458" t="inlineStr">
        <is>
          <t>CO</t>
        </is>
      </c>
      <c r="G60" s="458" t="inlineStr">
        <is>
          <t>Industrial</t>
        </is>
      </c>
      <c r="H60" s="468" t="inlineStr">
        <is>
          <t>Multi-Tenant Industrial NNN</t>
        </is>
      </c>
      <c r="I60" s="458" t="n">
        <v>2017</v>
      </c>
      <c r="J60" s="458" t="n">
        <v>159047</v>
      </c>
      <c r="K60" s="458" t="n">
        <v>2022</v>
      </c>
      <c r="L60" s="458" t="n"/>
      <c r="M60" s="458" t="n"/>
      <c r="N60" s="458" t="n"/>
      <c r="O60" s="469" t="n">
        <v>16181</v>
      </c>
      <c r="P60" s="469" t="n">
        <v>49338</v>
      </c>
      <c r="Q60" s="458" t="n"/>
      <c r="R60" s="458" t="n"/>
      <c r="S60" s="458" t="n"/>
      <c r="T60" s="458" t="n"/>
      <c r="U60" s="458" t="n"/>
      <c r="V60" s="458" t="n"/>
      <c r="W60" s="458" t="n"/>
      <c r="X60" s="458" t="n"/>
      <c r="Y60" s="458" t="n"/>
      <c r="Z60" s="458" t="n"/>
      <c r="AA60" s="458" t="n"/>
      <c r="AB60" s="458" t="n"/>
      <c r="AC60" s="469" t="n">
        <v>53323</v>
      </c>
      <c r="AD60" s="458" t="n"/>
      <c r="AE60" s="458" t="n"/>
      <c r="AF60" s="469" t="n">
        <v>51404</v>
      </c>
      <c r="AG60" s="458" t="n"/>
      <c r="AH60" s="469" t="n">
        <v>170246</v>
      </c>
      <c r="AI60" s="469" t="n">
        <v>468848</v>
      </c>
      <c r="AJ60" s="469" t="n">
        <v>639094</v>
      </c>
      <c r="AK60" s="458" t="n"/>
      <c r="AL60" s="458" t="n"/>
      <c r="AM60" s="468" t="inlineStr">
        <is>
          <t>NNN landlord expenses only; from AXG Whse Expenses PSF.xlsx</t>
        </is>
      </c>
      <c r="AN60">
        <f>IF(AND($B60=Subj_OccCode,Subj_BldgSF&gt;0,ABS($J60-Subj_BldgSF)&lt;=Subj_BldgSF*Subj_SizeTol),ABS($J60-Subj_BldgSF),NA())</f>
        <v/>
      </c>
      <c r="AO60">
        <f>IF(ISNA(AN60),NA(),AN60+ROW()/10000000)</f>
        <v/>
      </c>
      <c r="AR60" s="256">
        <f>IF(B60="","",IFERROR(INDEX(OCC_TABLE_DESC,MATCH(B60,OCC_TABLE_CODE,0)),"Unrecognized code"))</f>
        <v/>
      </c>
    </row>
    <row r="61" ht="25.5" customHeight="1" s="545">
      <c r="A61" s="458" t="inlineStr">
        <is>
          <t>P027</t>
        </is>
      </c>
      <c r="B61" s="449" t="n">
        <v>407</v>
      </c>
      <c r="C61" s="458" t="inlineStr">
        <is>
          <t>R0132030</t>
        </is>
      </c>
      <c r="D61" s="468" t="inlineStr">
        <is>
          <t>Majestic Commercenter (R0132030)</t>
        </is>
      </c>
      <c r="E61" s="458" t="inlineStr">
        <is>
          <t>Commerce City</t>
        </is>
      </c>
      <c r="F61" s="458" t="inlineStr">
        <is>
          <t>CO</t>
        </is>
      </c>
      <c r="G61" s="458" t="inlineStr">
        <is>
          <t>Industrial</t>
        </is>
      </c>
      <c r="H61" s="468" t="inlineStr">
        <is>
          <t>Warehouse NNN</t>
        </is>
      </c>
      <c r="I61" s="458" t="n">
        <v>2001</v>
      </c>
      <c r="J61" s="458" t="n">
        <v>200094</v>
      </c>
      <c r="K61" s="458" t="n">
        <v>2021</v>
      </c>
      <c r="L61" s="458" t="n"/>
      <c r="M61" s="458" t="n"/>
      <c r="N61" s="458" t="n"/>
      <c r="O61" s="469" t="n">
        <v>14313</v>
      </c>
      <c r="P61" s="469" t="n">
        <v>53036</v>
      </c>
      <c r="Q61" s="458" t="n"/>
      <c r="R61" s="458" t="n"/>
      <c r="S61" s="458" t="n"/>
      <c r="T61" s="458" t="n"/>
      <c r="U61" s="458" t="n"/>
      <c r="V61" s="458" t="n"/>
      <c r="W61" s="458" t="n"/>
      <c r="X61" s="458" t="n"/>
      <c r="Y61" s="458" t="n"/>
      <c r="Z61" s="458" t="n"/>
      <c r="AA61" s="458" t="n"/>
      <c r="AB61" s="458" t="n"/>
      <c r="AC61" s="469" t="n">
        <v>98037</v>
      </c>
      <c r="AD61" s="458" t="n"/>
      <c r="AE61" s="458" t="n"/>
      <c r="AF61" s="469" t="n">
        <v>70815</v>
      </c>
      <c r="AG61" s="458" t="n"/>
      <c r="AH61" s="469" t="n">
        <v>236201</v>
      </c>
      <c r="AI61" s="469" t="n">
        <v>570651</v>
      </c>
      <c r="AJ61" s="469" t="n">
        <v>806852</v>
      </c>
      <c r="AK61" s="458" t="n"/>
      <c r="AL61" s="458" t="n"/>
      <c r="AM61" s="468" t="inlineStr">
        <is>
          <t>NNN landlord expenses only; from AXG Whse Expenses PSF.xlsx (R0132030)</t>
        </is>
      </c>
      <c r="AN61">
        <f>IF(AND($B61=Subj_OccCode,Subj_BldgSF&gt;0,ABS($J61-Subj_BldgSF)&lt;=Subj_BldgSF*Subj_SizeTol),ABS($J61-Subj_BldgSF),NA())</f>
        <v/>
      </c>
      <c r="AO61">
        <f>IF(ISNA(AN61),NA(),AN61+ROW()/10000000)</f>
        <v/>
      </c>
      <c r="AR61" s="256">
        <f>IF(B61="","",IFERROR(INDEX(OCC_TABLE_DESC,MATCH(B61,OCC_TABLE_CODE,0)),"Unrecognized code"))</f>
        <v/>
      </c>
    </row>
    <row r="62" ht="25.5" customHeight="1" s="545">
      <c r="A62" s="458" t="inlineStr">
        <is>
          <t>P027</t>
        </is>
      </c>
      <c r="B62" s="449" t="n">
        <v>407</v>
      </c>
      <c r="C62" s="458" t="inlineStr">
        <is>
          <t>R0132030</t>
        </is>
      </c>
      <c r="D62" s="468" t="inlineStr">
        <is>
          <t>Majestic Commercenter (R0132030)</t>
        </is>
      </c>
      <c r="E62" s="458" t="inlineStr">
        <is>
          <t>Commerce City</t>
        </is>
      </c>
      <c r="F62" s="458" t="inlineStr">
        <is>
          <t>CO</t>
        </is>
      </c>
      <c r="G62" s="458" t="inlineStr">
        <is>
          <t>Industrial</t>
        </is>
      </c>
      <c r="H62" s="468" t="inlineStr">
        <is>
          <t>Warehouse NNN</t>
        </is>
      </c>
      <c r="I62" s="458" t="n">
        <v>2001</v>
      </c>
      <c r="J62" s="458" t="n">
        <v>200094</v>
      </c>
      <c r="K62" s="458" t="n">
        <v>2022</v>
      </c>
      <c r="L62" s="458" t="n"/>
      <c r="M62" s="458" t="n"/>
      <c r="N62" s="458" t="n"/>
      <c r="O62" s="469" t="n">
        <v>15228</v>
      </c>
      <c r="P62" s="469" t="n">
        <v>49506</v>
      </c>
      <c r="Q62" s="458" t="n"/>
      <c r="R62" s="458" t="n"/>
      <c r="S62" s="458" t="n"/>
      <c r="T62" s="458" t="n"/>
      <c r="U62" s="458" t="n"/>
      <c r="V62" s="458" t="n"/>
      <c r="W62" s="458" t="n"/>
      <c r="X62" s="458" t="n"/>
      <c r="Y62" s="458" t="n"/>
      <c r="Z62" s="458" t="n"/>
      <c r="AA62" s="458" t="n"/>
      <c r="AB62" s="458" t="n"/>
      <c r="AC62" s="469" t="n">
        <v>98037</v>
      </c>
      <c r="AD62" s="458" t="n"/>
      <c r="AE62" s="458" t="n"/>
      <c r="AF62" s="469" t="n">
        <v>70815</v>
      </c>
      <c r="AG62" s="458" t="n"/>
      <c r="AH62" s="469" t="n">
        <v>233586</v>
      </c>
      <c r="AI62" s="469" t="n">
        <v>451706</v>
      </c>
      <c r="AJ62" s="469" t="n">
        <v>685292</v>
      </c>
      <c r="AK62" s="458" t="n"/>
      <c r="AL62" s="458" t="n"/>
      <c r="AM62" s="468" t="inlineStr">
        <is>
          <t>NNN landlord expenses only; from AXG Whse Expenses PSF.xlsx (R0132030)</t>
        </is>
      </c>
      <c r="AN62">
        <f>IF(AND($B62=Subj_OccCode,Subj_BldgSF&gt;0,ABS($J62-Subj_BldgSF)&lt;=Subj_BldgSF*Subj_SizeTol),ABS($J62-Subj_BldgSF),NA())</f>
        <v/>
      </c>
      <c r="AO62">
        <f>IF(ISNA(AN62),NA(),AN62+ROW()/10000000)</f>
        <v/>
      </c>
      <c r="AR62" s="256">
        <f>IF(B62="","",IFERROR(INDEX(OCC_TABLE_DESC,MATCH(B62,OCC_TABLE_CODE,0)),"Unrecognized code"))</f>
        <v/>
      </c>
    </row>
    <row r="63" ht="25.5" customHeight="1" s="545">
      <c r="A63" s="458" t="inlineStr">
        <is>
          <t>P028</t>
        </is>
      </c>
      <c r="B63" s="449" t="n">
        <v>407</v>
      </c>
      <c r="C63" s="458" t="inlineStr">
        <is>
          <t>R0084040</t>
        </is>
      </c>
      <c r="D63" s="468" t="inlineStr">
        <is>
          <t>Majestic Commercenter (R0084040)</t>
        </is>
      </c>
      <c r="E63" s="458" t="inlineStr">
        <is>
          <t>Commerce City</t>
        </is>
      </c>
      <c r="F63" s="458" t="inlineStr">
        <is>
          <t>CO</t>
        </is>
      </c>
      <c r="G63" s="458" t="inlineStr">
        <is>
          <t>Industrial</t>
        </is>
      </c>
      <c r="H63" s="468" t="inlineStr">
        <is>
          <t>Warehouse NNN</t>
        </is>
      </c>
      <c r="I63" s="458" t="n">
        <v>1997</v>
      </c>
      <c r="J63" s="458" t="n">
        <v>177736</v>
      </c>
      <c r="K63" s="458" t="n">
        <v>2021</v>
      </c>
      <c r="L63" s="458" t="n"/>
      <c r="M63" s="458" t="n"/>
      <c r="N63" s="458" t="n"/>
      <c r="O63" s="469" t="n">
        <v>13073</v>
      </c>
      <c r="P63" s="469" t="n">
        <v>55346</v>
      </c>
      <c r="Q63" s="458" t="n"/>
      <c r="R63" s="458" t="n"/>
      <c r="S63" s="458" t="n"/>
      <c r="T63" s="458" t="n"/>
      <c r="U63" s="458" t="n"/>
      <c r="V63" s="458" t="n"/>
      <c r="W63" s="458" t="n"/>
      <c r="X63" s="458" t="n"/>
      <c r="Y63" s="458" t="n"/>
      <c r="Z63" s="458" t="n"/>
      <c r="AA63" s="458" t="n"/>
      <c r="AB63" s="458" t="n"/>
      <c r="AC63" s="469" t="n">
        <v>98118</v>
      </c>
      <c r="AD63" s="458" t="n"/>
      <c r="AE63" s="458" t="n"/>
      <c r="AF63" s="469" t="n">
        <v>51405</v>
      </c>
      <c r="AG63" s="458" t="n"/>
      <c r="AH63" s="469" t="n">
        <v>217942</v>
      </c>
      <c r="AI63" s="469" t="n">
        <v>483220</v>
      </c>
      <c r="AJ63" s="469" t="n">
        <v>701162</v>
      </c>
      <c r="AK63" s="458" t="n"/>
      <c r="AL63" s="458" t="n"/>
      <c r="AM63" s="468" t="inlineStr">
        <is>
          <t>NNN landlord expenses only; from AXG Whse Expenses PSF.xlsx (R0084040)</t>
        </is>
      </c>
      <c r="AN63">
        <f>IF(AND($B63=Subj_OccCode,Subj_BldgSF&gt;0,ABS($J63-Subj_BldgSF)&lt;=Subj_BldgSF*Subj_SizeTol),ABS($J63-Subj_BldgSF),NA())</f>
        <v/>
      </c>
      <c r="AO63">
        <f>IF(ISNA(AN63),NA(),AN63+ROW()/10000000)</f>
        <v/>
      </c>
      <c r="AR63" s="256">
        <f>IF(B63="","",IFERROR(INDEX(OCC_TABLE_DESC,MATCH(B63,OCC_TABLE_CODE,0)),"Unrecognized code"))</f>
        <v/>
      </c>
    </row>
    <row r="64" ht="25.5" customHeight="1" s="545">
      <c r="A64" s="458" t="inlineStr">
        <is>
          <t>P028</t>
        </is>
      </c>
      <c r="B64" s="449" t="n">
        <v>407</v>
      </c>
      <c r="C64" s="458" t="inlineStr">
        <is>
          <t>R0084040</t>
        </is>
      </c>
      <c r="D64" s="468" t="inlineStr">
        <is>
          <t>Majestic Commercenter (R0084040)</t>
        </is>
      </c>
      <c r="E64" s="458" t="inlineStr">
        <is>
          <t>Commerce City</t>
        </is>
      </c>
      <c r="F64" s="458" t="inlineStr">
        <is>
          <t>CO</t>
        </is>
      </c>
      <c r="G64" s="458" t="inlineStr">
        <is>
          <t>Industrial</t>
        </is>
      </c>
      <c r="H64" s="468" t="inlineStr">
        <is>
          <t>Warehouse NNN</t>
        </is>
      </c>
      <c r="I64" s="458" t="n">
        <v>1997</v>
      </c>
      <c r="J64" s="458" t="n">
        <v>177736</v>
      </c>
      <c r="K64" s="458" t="n">
        <v>2022</v>
      </c>
      <c r="L64" s="458" t="n"/>
      <c r="M64" s="458" t="n"/>
      <c r="N64" s="458" t="n"/>
      <c r="O64" s="469" t="n">
        <v>13909</v>
      </c>
      <c r="P64" s="469" t="n">
        <v>55347</v>
      </c>
      <c r="Q64" s="458" t="n"/>
      <c r="R64" s="458" t="n"/>
      <c r="S64" s="458" t="n"/>
      <c r="T64" s="458" t="n"/>
      <c r="U64" s="458" t="n"/>
      <c r="V64" s="458" t="n"/>
      <c r="W64" s="458" t="n"/>
      <c r="X64" s="458" t="n"/>
      <c r="Y64" s="458" t="n"/>
      <c r="Z64" s="458" t="n"/>
      <c r="AA64" s="458" t="n"/>
      <c r="AB64" s="458" t="n"/>
      <c r="AC64" s="469" t="n">
        <v>117141</v>
      </c>
      <c r="AD64" s="458" t="n"/>
      <c r="AE64" s="458" t="n"/>
      <c r="AF64" s="469" t="n">
        <v>63264</v>
      </c>
      <c r="AG64" s="458" t="n"/>
      <c r="AH64" s="469" t="n">
        <v>249661</v>
      </c>
      <c r="AI64" s="469" t="n">
        <v>506747</v>
      </c>
      <c r="AJ64" s="469" t="n">
        <v>756408</v>
      </c>
      <c r="AK64" s="458" t="n"/>
      <c r="AL64" s="458" t="n"/>
      <c r="AM64" s="468" t="inlineStr">
        <is>
          <t>NNN landlord expenses only; from AXG Whse Expenses PSF.xlsx (R0084040)</t>
        </is>
      </c>
      <c r="AN64">
        <f>IF(AND($B64=Subj_OccCode,Subj_BldgSF&gt;0,ABS($J64-Subj_BldgSF)&lt;=Subj_BldgSF*Subj_SizeTol),ABS($J64-Subj_BldgSF),NA())</f>
        <v/>
      </c>
      <c r="AO64">
        <f>IF(ISNA(AN64),NA(),AN64+ROW()/10000000)</f>
        <v/>
      </c>
      <c r="AR64" s="256">
        <f>IF(B64="","",IFERROR(INDEX(OCC_TABLE_DESC,MATCH(B64,OCC_TABLE_CODE,0)),"Unrecognized code"))</f>
        <v/>
      </c>
    </row>
    <row r="65" ht="25.5" customHeight="1" s="545">
      <c r="A65" s="458" t="inlineStr">
        <is>
          <t>P029</t>
        </is>
      </c>
      <c r="B65" s="449" t="n">
        <v>407</v>
      </c>
      <c r="C65" s="458" t="inlineStr">
        <is>
          <t>R0084041</t>
        </is>
      </c>
      <c r="D65" s="468" t="inlineStr">
        <is>
          <t>Majestic Commercenter (R0084041)</t>
        </is>
      </c>
      <c r="E65" s="458" t="inlineStr">
        <is>
          <t>Commerce City</t>
        </is>
      </c>
      <c r="F65" s="458" t="inlineStr">
        <is>
          <t>CO</t>
        </is>
      </c>
      <c r="G65" s="458" t="inlineStr">
        <is>
          <t>Industrial</t>
        </is>
      </c>
      <c r="H65" s="468" t="inlineStr">
        <is>
          <t>Warehouse NNN</t>
        </is>
      </c>
      <c r="I65" s="458" t="n">
        <v>1997</v>
      </c>
      <c r="J65" s="458" t="n">
        <v>200371</v>
      </c>
      <c r="K65" s="458" t="n">
        <v>2021</v>
      </c>
      <c r="L65" s="458" t="n"/>
      <c r="M65" s="458" t="n"/>
      <c r="N65" s="458" t="n"/>
      <c r="O65" s="469" t="n">
        <v>13750</v>
      </c>
      <c r="P65" s="469" t="n">
        <v>32155</v>
      </c>
      <c r="Q65" s="458" t="n"/>
      <c r="R65" s="458" t="n"/>
      <c r="S65" s="458" t="n"/>
      <c r="T65" s="458" t="n"/>
      <c r="U65" s="458" t="n"/>
      <c r="V65" s="458" t="n"/>
      <c r="W65" s="458" t="n"/>
      <c r="X65" s="458" t="n"/>
      <c r="Y65" s="458" t="n"/>
      <c r="Z65" s="458" t="n"/>
      <c r="AA65" s="458" t="n"/>
      <c r="AB65" s="458" t="n"/>
      <c r="AC65" s="469" t="n">
        <v>117597</v>
      </c>
      <c r="AD65" s="458" t="n"/>
      <c r="AE65" s="458" t="n"/>
      <c r="AF65" s="458" t="n"/>
      <c r="AG65" s="458" t="n"/>
      <c r="AH65" s="469" t="n">
        <v>163502</v>
      </c>
      <c r="AI65" s="469" t="n">
        <v>499309</v>
      </c>
      <c r="AJ65" s="469" t="n">
        <v>662811</v>
      </c>
      <c r="AK65" s="458" t="n"/>
      <c r="AL65" s="458" t="n"/>
      <c r="AM65" s="468" t="inlineStr">
        <is>
          <t>NNN landlord expenses only; from AXG Whse Expenses PSF.xlsx (R0084041)</t>
        </is>
      </c>
      <c r="AN65">
        <f>IF(AND($B65=Subj_OccCode,Subj_BldgSF&gt;0,ABS($J65-Subj_BldgSF)&lt;=Subj_BldgSF*Subj_SizeTol),ABS($J65-Subj_BldgSF),NA())</f>
        <v/>
      </c>
      <c r="AO65">
        <f>IF(ISNA(AN65),NA(),AN65+ROW()/10000000)</f>
        <v/>
      </c>
      <c r="AR65" s="256">
        <f>IF(B65="","",IFERROR(INDEX(OCC_TABLE_DESC,MATCH(B65,OCC_TABLE_CODE,0)),"Unrecognized code"))</f>
        <v/>
      </c>
    </row>
    <row r="66" ht="25.5" customHeight="1" s="545">
      <c r="A66" s="458" t="inlineStr">
        <is>
          <t>P029</t>
        </is>
      </c>
      <c r="B66" s="449" t="n">
        <v>407</v>
      </c>
      <c r="C66" s="458" t="inlineStr">
        <is>
          <t>R0084041</t>
        </is>
      </c>
      <c r="D66" s="468" t="inlineStr">
        <is>
          <t>Majestic Commercenter (R0084041)</t>
        </is>
      </c>
      <c r="E66" s="458" t="inlineStr">
        <is>
          <t>Commerce City</t>
        </is>
      </c>
      <c r="F66" s="458" t="inlineStr">
        <is>
          <t>CO</t>
        </is>
      </c>
      <c r="G66" s="458" t="inlineStr">
        <is>
          <t>Industrial</t>
        </is>
      </c>
      <c r="H66" s="468" t="inlineStr">
        <is>
          <t>Warehouse NNN</t>
        </is>
      </c>
      <c r="I66" s="458" t="n">
        <v>1997</v>
      </c>
      <c r="J66" s="458" t="n">
        <v>200371</v>
      </c>
      <c r="K66" s="458" t="n">
        <v>2022</v>
      </c>
      <c r="L66" s="458" t="n"/>
      <c r="M66" s="458" t="n"/>
      <c r="N66" s="458" t="n"/>
      <c r="O66" s="469" t="n">
        <v>14629</v>
      </c>
      <c r="P66" s="469" t="n">
        <v>29974</v>
      </c>
      <c r="Q66" s="458" t="n"/>
      <c r="R66" s="458" t="n"/>
      <c r="S66" s="458" t="n"/>
      <c r="T66" s="458" t="n"/>
      <c r="U66" s="458" t="n"/>
      <c r="V66" s="458" t="n"/>
      <c r="W66" s="458" t="n"/>
      <c r="X66" s="458" t="n"/>
      <c r="Y66" s="458" t="n"/>
      <c r="Z66" s="458" t="n"/>
      <c r="AA66" s="458" t="n"/>
      <c r="AB66" s="458" t="n"/>
      <c r="AC66" s="469" t="n">
        <v>103927</v>
      </c>
      <c r="AD66" s="458" t="n"/>
      <c r="AE66" s="458" t="n"/>
      <c r="AF66" s="458" t="n"/>
      <c r="AG66" s="458" t="n"/>
      <c r="AH66" s="469" t="n">
        <v>148530</v>
      </c>
      <c r="AI66" s="469" t="n">
        <v>518816</v>
      </c>
      <c r="AJ66" s="469" t="n">
        <v>667346</v>
      </c>
      <c r="AK66" s="458" t="n"/>
      <c r="AL66" s="458" t="n"/>
      <c r="AM66" s="468" t="inlineStr">
        <is>
          <t>NNN landlord expenses only; from AXG Whse Expenses PSF.xlsx (R0084041)</t>
        </is>
      </c>
      <c r="AN66">
        <f>IF(AND($B66=Subj_OccCode,Subj_BldgSF&gt;0,ABS($J66-Subj_BldgSF)&lt;=Subj_BldgSF*Subj_SizeTol),ABS($J66-Subj_BldgSF),NA())</f>
        <v/>
      </c>
      <c r="AO66">
        <f>IF(ISNA(AN66),NA(),AN66+ROW()/10000000)</f>
        <v/>
      </c>
      <c r="AR66" s="256">
        <f>IF(B66="","",IFERROR(INDEX(OCC_TABLE_DESC,MATCH(B66,OCC_TABLE_CODE,0)),"Unrecognized code"))</f>
        <v/>
      </c>
    </row>
    <row r="67" ht="25.5" customHeight="1" s="545">
      <c r="A67" s="458" t="inlineStr">
        <is>
          <t>P030</t>
        </is>
      </c>
      <c r="B67" s="449" t="n">
        <v>584</v>
      </c>
      <c r="C67" s="458" t="inlineStr">
        <is>
          <t>R0217015</t>
        </is>
      </c>
      <c r="D67" s="468" t="inlineStr">
        <is>
          <t>Majestic Commercenter (R0217015)</t>
        </is>
      </c>
      <c r="E67" s="458" t="inlineStr">
        <is>
          <t>Commerce City</t>
        </is>
      </c>
      <c r="F67" s="458" t="inlineStr">
        <is>
          <t>CO</t>
        </is>
      </c>
      <c r="G67" s="458" t="inlineStr">
        <is>
          <t>Industrial</t>
        </is>
      </c>
      <c r="H67" s="468" t="inlineStr">
        <is>
          <t>Warehouse NNN</t>
        </is>
      </c>
      <c r="I67" s="458" t="n">
        <v>2021</v>
      </c>
      <c r="J67" s="458" t="n">
        <v>548510</v>
      </c>
      <c r="K67" s="458" t="n">
        <v>2022</v>
      </c>
      <c r="L67" s="458" t="n"/>
      <c r="M67" s="458" t="n"/>
      <c r="N67" s="458" t="n"/>
      <c r="O67" s="469" t="n">
        <v>64009</v>
      </c>
      <c r="P67" s="469" t="n">
        <v>58266</v>
      </c>
      <c r="Q67" s="458" t="n"/>
      <c r="R67" s="458" t="n"/>
      <c r="S67" s="458" t="n"/>
      <c r="T67" s="458" t="n"/>
      <c r="U67" s="458" t="n"/>
      <c r="V67" s="458" t="n"/>
      <c r="W67" s="458" t="n"/>
      <c r="X67" s="458" t="n"/>
      <c r="Y67" s="458" t="n"/>
      <c r="Z67" s="458" t="n"/>
      <c r="AA67" s="458" t="n"/>
      <c r="AB67" s="458" t="n"/>
      <c r="AC67" s="469" t="n">
        <v>96936</v>
      </c>
      <c r="AD67" s="458" t="n"/>
      <c r="AE67" s="458" t="n"/>
      <c r="AF67" s="469" t="n">
        <v>20844</v>
      </c>
      <c r="AG67" s="458" t="n"/>
      <c r="AH67" s="469" t="n">
        <v>240055</v>
      </c>
      <c r="AI67" s="469" t="n">
        <v>1245681</v>
      </c>
      <c r="AJ67" s="469" t="n">
        <v>1485736</v>
      </c>
      <c r="AK67" s="458" t="n"/>
      <c r="AL67" s="458" t="n"/>
      <c r="AM67" s="468" t="inlineStr">
        <is>
          <t>NNN landlord expenses only; from AXG Whse Expenses PSF.xlsx (R0217015)</t>
        </is>
      </c>
      <c r="AN67">
        <f>IF(AND($B67=Subj_OccCode,Subj_BldgSF&gt;0,ABS($J67-Subj_BldgSF)&lt;=Subj_BldgSF*Subj_SizeTol),ABS($J67-Subj_BldgSF),NA())</f>
        <v/>
      </c>
      <c r="AO67">
        <f>IF(ISNA(AN67),NA(),AN67+ROW()/10000000)</f>
        <v/>
      </c>
      <c r="AR67" s="256">
        <f>IF(B67="","",IFERROR(INDEX(OCC_TABLE_DESC,MATCH(B67,OCC_TABLE_CODE,0)),"Unrecognized code"))</f>
        <v/>
      </c>
    </row>
    <row r="68" ht="25.5" customHeight="1" s="545">
      <c r="A68" s="458" t="inlineStr">
        <is>
          <t>P031</t>
        </is>
      </c>
      <c r="B68" s="449" t="n">
        <v>407</v>
      </c>
      <c r="C68" s="458" t="inlineStr">
        <is>
          <t>R0111562</t>
        </is>
      </c>
      <c r="D68" s="468" t="inlineStr">
        <is>
          <t>Majestic Commercenter (R0111562)</t>
        </is>
      </c>
      <c r="E68" s="458" t="inlineStr">
        <is>
          <t>Commerce City</t>
        </is>
      </c>
      <c r="F68" s="458" t="inlineStr">
        <is>
          <t>CO</t>
        </is>
      </c>
      <c r="G68" s="458" t="inlineStr">
        <is>
          <t>Industrial</t>
        </is>
      </c>
      <c r="H68" s="468" t="inlineStr">
        <is>
          <t>Warehouse NNN</t>
        </is>
      </c>
      <c r="I68" s="458" t="n">
        <v>2000</v>
      </c>
      <c r="J68" s="458" t="n">
        <v>149175</v>
      </c>
      <c r="K68" s="458" t="n">
        <v>2019</v>
      </c>
      <c r="L68" s="458" t="n"/>
      <c r="M68" s="458" t="n"/>
      <c r="N68" s="458" t="n"/>
      <c r="O68" s="469" t="n">
        <v>6519</v>
      </c>
      <c r="P68" s="469" t="n">
        <v>22700</v>
      </c>
      <c r="Q68" s="458" t="n"/>
      <c r="R68" s="458" t="n"/>
      <c r="S68" s="458" t="n"/>
      <c r="T68" s="458" t="n"/>
      <c r="U68" s="458" t="n"/>
      <c r="V68" s="458" t="n"/>
      <c r="W68" s="458" t="n"/>
      <c r="X68" s="458" t="n"/>
      <c r="Y68" s="458" t="n"/>
      <c r="Z68" s="458" t="n"/>
      <c r="AA68" s="458" t="n"/>
      <c r="AB68" s="458" t="n"/>
      <c r="AC68" s="469" t="n">
        <v>101769</v>
      </c>
      <c r="AD68" s="458" t="n"/>
      <c r="AE68" s="458" t="n"/>
      <c r="AF68" s="458" t="n"/>
      <c r="AG68" s="458" t="n"/>
      <c r="AH68" s="469" t="n">
        <v>130988</v>
      </c>
      <c r="AI68" s="469" t="n">
        <v>281972</v>
      </c>
      <c r="AJ68" s="469" t="n">
        <v>412960</v>
      </c>
      <c r="AK68" s="458" t="n"/>
      <c r="AL68" s="458" t="n"/>
      <c r="AM68" s="468" t="inlineStr">
        <is>
          <t>NNN landlord expenses only; from AXG Whse Expenses PSF.xlsx (R0111562)</t>
        </is>
      </c>
      <c r="AN68">
        <f>IF(AND($B68=Subj_OccCode,Subj_BldgSF&gt;0,ABS($J68-Subj_BldgSF)&lt;=Subj_BldgSF*Subj_SizeTol),ABS($J68-Subj_BldgSF),NA())</f>
        <v/>
      </c>
      <c r="AO68">
        <f>IF(ISNA(AN68),NA(),AN68+ROW()/10000000)</f>
        <v/>
      </c>
      <c r="AR68" s="256">
        <f>IF(B68="","",IFERROR(INDEX(OCC_TABLE_DESC,MATCH(B68,OCC_TABLE_CODE,0)),"Unrecognized code"))</f>
        <v/>
      </c>
    </row>
    <row r="69" ht="25.5" customHeight="1" s="545">
      <c r="A69" s="458" t="inlineStr">
        <is>
          <t>P031</t>
        </is>
      </c>
      <c r="B69" s="449" t="n">
        <v>407</v>
      </c>
      <c r="C69" s="458" t="inlineStr">
        <is>
          <t>R0111562</t>
        </is>
      </c>
      <c r="D69" s="468" t="inlineStr">
        <is>
          <t>Majestic Commercenter (R0111562)</t>
        </is>
      </c>
      <c r="E69" s="458" t="inlineStr">
        <is>
          <t>Commerce City</t>
        </is>
      </c>
      <c r="F69" s="458" t="inlineStr">
        <is>
          <t>CO</t>
        </is>
      </c>
      <c r="G69" s="458" t="inlineStr">
        <is>
          <t>Industrial</t>
        </is>
      </c>
      <c r="H69" s="468" t="inlineStr">
        <is>
          <t>Warehouse NNN</t>
        </is>
      </c>
      <c r="I69" s="458" t="n">
        <v>2000</v>
      </c>
      <c r="J69" s="458" t="n">
        <v>149175</v>
      </c>
      <c r="K69" s="458" t="n">
        <v>2020</v>
      </c>
      <c r="L69" s="458" t="n"/>
      <c r="M69" s="458" t="n"/>
      <c r="N69" s="458" t="n"/>
      <c r="O69" s="469" t="n">
        <v>7450</v>
      </c>
      <c r="P69" s="469" t="n">
        <v>3942</v>
      </c>
      <c r="Q69" s="458" t="n"/>
      <c r="R69" s="458" t="n"/>
      <c r="S69" s="458" t="n"/>
      <c r="T69" s="458" t="n"/>
      <c r="U69" s="458" t="n"/>
      <c r="V69" s="458" t="n"/>
      <c r="W69" s="458" t="n"/>
      <c r="X69" s="458" t="n"/>
      <c r="Y69" s="458" t="n"/>
      <c r="Z69" s="458" t="n"/>
      <c r="AA69" s="458" t="n"/>
      <c r="AB69" s="458" t="n"/>
      <c r="AC69" s="469" t="n">
        <v>23921</v>
      </c>
      <c r="AD69" s="458" t="n"/>
      <c r="AE69" s="458" t="n"/>
      <c r="AF69" s="469" t="n">
        <v>165141</v>
      </c>
      <c r="AG69" s="458" t="n"/>
      <c r="AH69" s="469" t="n">
        <v>200454</v>
      </c>
      <c r="AI69" s="469" t="n">
        <v>282989</v>
      </c>
      <c r="AJ69" s="469" t="n">
        <v>483443</v>
      </c>
      <c r="AK69" s="458" t="n"/>
      <c r="AL69" s="458" t="n"/>
      <c r="AM69" s="468" t="inlineStr">
        <is>
          <t>NNN landlord expenses only; from AXG Whse Expenses PSF.xlsx (R0111562)</t>
        </is>
      </c>
      <c r="AN69">
        <f>IF(AND($B69=Subj_OccCode,Subj_BldgSF&gt;0,ABS($J69-Subj_BldgSF)&lt;=Subj_BldgSF*Subj_SizeTol),ABS($J69-Subj_BldgSF),NA())</f>
        <v/>
      </c>
      <c r="AO69">
        <f>IF(ISNA(AN69),NA(),AN69+ROW()/10000000)</f>
        <v/>
      </c>
      <c r="AR69" s="256">
        <f>IF(B69="","",IFERROR(INDEX(OCC_TABLE_DESC,MATCH(B69,OCC_TABLE_CODE,0)),"Unrecognized code"))</f>
        <v/>
      </c>
    </row>
    <row r="70" ht="25.5" customHeight="1" s="545">
      <c r="A70" s="458" t="inlineStr">
        <is>
          <t>P032</t>
        </is>
      </c>
      <c r="B70" s="449" t="n">
        <v>407</v>
      </c>
      <c r="C70" s="458" t="inlineStr">
        <is>
          <t>R0118875</t>
        </is>
      </c>
      <c r="D70" s="468" t="inlineStr">
        <is>
          <t>Majestic Commercenter (R0118875)</t>
        </is>
      </c>
      <c r="E70" s="458" t="inlineStr">
        <is>
          <t>Commerce City</t>
        </is>
      </c>
      <c r="F70" s="458" t="inlineStr">
        <is>
          <t>CO</t>
        </is>
      </c>
      <c r="G70" s="458" t="inlineStr">
        <is>
          <t>Industrial</t>
        </is>
      </c>
      <c r="H70" s="468" t="inlineStr">
        <is>
          <t>Warehouse NNN</t>
        </is>
      </c>
      <c r="I70" s="458" t="n">
        <v>1999</v>
      </c>
      <c r="J70" s="458" t="n">
        <v>279640</v>
      </c>
      <c r="K70" s="458" t="n">
        <v>2021</v>
      </c>
      <c r="L70" s="458" t="n"/>
      <c r="M70" s="458" t="n"/>
      <c r="N70" s="458" t="n"/>
      <c r="O70" s="469" t="n">
        <v>24629</v>
      </c>
      <c r="P70" s="469" t="n">
        <v>62870</v>
      </c>
      <c r="Q70" s="458" t="n"/>
      <c r="R70" s="458" t="n"/>
      <c r="S70" s="458" t="n"/>
      <c r="T70" s="458" t="n"/>
      <c r="U70" s="458" t="n"/>
      <c r="V70" s="458" t="n"/>
      <c r="W70" s="458" t="n"/>
      <c r="X70" s="458" t="n"/>
      <c r="Y70" s="458" t="n"/>
      <c r="Z70" s="458" t="n"/>
      <c r="AA70" s="458" t="n"/>
      <c r="AB70" s="458" t="n"/>
      <c r="AC70" s="469" t="n">
        <v>100363</v>
      </c>
      <c r="AD70" s="458" t="n"/>
      <c r="AE70" s="458" t="n"/>
      <c r="AF70" s="458" t="n"/>
      <c r="AG70" s="458" t="n"/>
      <c r="AH70" s="469" t="n">
        <v>187862</v>
      </c>
      <c r="AI70" s="469" t="n">
        <v>640886</v>
      </c>
      <c r="AJ70" s="469" t="n">
        <v>828748</v>
      </c>
      <c r="AK70" s="458" t="n"/>
      <c r="AL70" s="458" t="n"/>
      <c r="AM70" s="468" t="inlineStr">
        <is>
          <t>NNN landlord expenses only; from AXG Whse Expenses PSF.xlsx (R0118875)</t>
        </is>
      </c>
      <c r="AN70">
        <f>IF(AND($B70=Subj_OccCode,Subj_BldgSF&gt;0,ABS($J70-Subj_BldgSF)&lt;=Subj_BldgSF*Subj_SizeTol),ABS($J70-Subj_BldgSF),NA())</f>
        <v/>
      </c>
      <c r="AO70">
        <f>IF(ISNA(AN70),NA(),AN70+ROW()/10000000)</f>
        <v/>
      </c>
      <c r="AR70" s="256">
        <f>IF(B70="","",IFERROR(INDEX(OCC_TABLE_DESC,MATCH(B70,OCC_TABLE_CODE,0)),"Unrecognized code"))</f>
        <v/>
      </c>
    </row>
    <row r="71" ht="25.5" customHeight="1" s="545">
      <c r="A71" s="458" t="inlineStr">
        <is>
          <t>P032</t>
        </is>
      </c>
      <c r="B71" s="449" t="n">
        <v>407</v>
      </c>
      <c r="C71" s="458" t="inlineStr">
        <is>
          <t>R0118875</t>
        </is>
      </c>
      <c r="D71" s="468" t="inlineStr">
        <is>
          <t>Majestic Commercenter (R0118875)</t>
        </is>
      </c>
      <c r="E71" s="458" t="inlineStr">
        <is>
          <t>Commerce City</t>
        </is>
      </c>
      <c r="F71" s="458" t="inlineStr">
        <is>
          <t>CO</t>
        </is>
      </c>
      <c r="G71" s="458" t="inlineStr">
        <is>
          <t>Industrial</t>
        </is>
      </c>
      <c r="H71" s="468" t="inlineStr">
        <is>
          <t>Warehouse NNN</t>
        </is>
      </c>
      <c r="I71" s="458" t="n">
        <v>1999</v>
      </c>
      <c r="J71" s="458" t="n">
        <v>279640</v>
      </c>
      <c r="K71" s="458" t="n">
        <v>2022</v>
      </c>
      <c r="L71" s="458" t="n"/>
      <c r="M71" s="458" t="n"/>
      <c r="N71" s="458" t="n"/>
      <c r="O71" s="469" t="n">
        <v>26204</v>
      </c>
      <c r="P71" s="469" t="n">
        <v>63433</v>
      </c>
      <c r="Q71" s="458" t="n"/>
      <c r="R71" s="458" t="n"/>
      <c r="S71" s="458" t="n"/>
      <c r="T71" s="458" t="n"/>
      <c r="U71" s="458" t="n"/>
      <c r="V71" s="458" t="n"/>
      <c r="W71" s="458" t="n"/>
      <c r="X71" s="458" t="n"/>
      <c r="Y71" s="458" t="n"/>
      <c r="Z71" s="458" t="n"/>
      <c r="AA71" s="458" t="n"/>
      <c r="AB71" s="458" t="n"/>
      <c r="AC71" s="469" t="n">
        <v>18197</v>
      </c>
      <c r="AD71" s="458" t="n"/>
      <c r="AE71" s="458" t="n"/>
      <c r="AF71" s="458" t="n"/>
      <c r="AG71" s="458" t="n"/>
      <c r="AH71" s="469" t="n">
        <v>107834</v>
      </c>
      <c r="AI71" s="469" t="n">
        <v>657060</v>
      </c>
      <c r="AJ71" s="469" t="n">
        <v>764894</v>
      </c>
      <c r="AK71" s="458" t="n"/>
      <c r="AL71" s="458" t="n"/>
      <c r="AM71" s="468" t="inlineStr">
        <is>
          <t>NNN landlord expenses only; from AXG Whse Expenses PSF.xlsx (R0118875)</t>
        </is>
      </c>
      <c r="AN71">
        <f>IF(AND($B71=Subj_OccCode,Subj_BldgSF&gt;0,ABS($J71-Subj_BldgSF)&lt;=Subj_BldgSF*Subj_SizeTol),ABS($J71-Subj_BldgSF),NA())</f>
        <v/>
      </c>
      <c r="AO71">
        <f>IF(ISNA(AN71),NA(),AN71+ROW()/10000000)</f>
        <v/>
      </c>
      <c r="AR71" s="256">
        <f>IF(B71="","",IFERROR(INDEX(OCC_TABLE_DESC,MATCH(B71,OCC_TABLE_CODE,0)),"Unrecognized code"))</f>
        <v/>
      </c>
    </row>
    <row r="72" ht="25.5" customHeight="1" s="545">
      <c r="A72" s="458" t="inlineStr">
        <is>
          <t>P033</t>
        </is>
      </c>
      <c r="B72" s="449" t="n">
        <v>407</v>
      </c>
      <c r="C72" s="458" t="inlineStr">
        <is>
          <t>R0132031</t>
        </is>
      </c>
      <c r="D72" s="468" t="inlineStr">
        <is>
          <t>Majestic Commercenter (R0132031)</t>
        </is>
      </c>
      <c r="E72" s="458" t="inlineStr">
        <is>
          <t>Commerce City</t>
        </is>
      </c>
      <c r="F72" s="458" t="inlineStr">
        <is>
          <t>CO</t>
        </is>
      </c>
      <c r="G72" s="458" t="inlineStr">
        <is>
          <t>Industrial</t>
        </is>
      </c>
      <c r="H72" s="468" t="inlineStr">
        <is>
          <t>Warehouse NNN</t>
        </is>
      </c>
      <c r="I72" s="458" t="n">
        <v>2002</v>
      </c>
      <c r="J72" s="458" t="n">
        <v>280098</v>
      </c>
      <c r="K72" s="458" t="n">
        <v>2021</v>
      </c>
      <c r="L72" s="458" t="n"/>
      <c r="M72" s="458" t="n"/>
      <c r="N72" s="458" t="n"/>
      <c r="O72" s="469" t="n">
        <v>19984</v>
      </c>
      <c r="P72" s="469" t="n">
        <v>64701</v>
      </c>
      <c r="Q72" s="458" t="n"/>
      <c r="R72" s="458" t="n"/>
      <c r="S72" s="458" t="n"/>
      <c r="T72" s="458" t="n"/>
      <c r="U72" s="458" t="n"/>
      <c r="V72" s="458" t="n"/>
      <c r="W72" s="458" t="n"/>
      <c r="X72" s="458" t="n"/>
      <c r="Y72" s="458" t="n"/>
      <c r="Z72" s="458" t="n"/>
      <c r="AA72" s="458" t="n"/>
      <c r="AB72" s="458" t="n"/>
      <c r="AC72" s="469" t="n">
        <v>73763</v>
      </c>
      <c r="AD72" s="458" t="n"/>
      <c r="AE72" s="458" t="n"/>
      <c r="AF72" s="469" t="n">
        <v>85895</v>
      </c>
      <c r="AG72" s="458" t="n"/>
      <c r="AH72" s="469" t="n">
        <v>244343</v>
      </c>
      <c r="AI72" s="469" t="n">
        <v>639063</v>
      </c>
      <c r="AJ72" s="469" t="n">
        <v>883406</v>
      </c>
      <c r="AK72" s="458" t="n"/>
      <c r="AL72" s="458" t="n"/>
      <c r="AM72" s="468" t="inlineStr">
        <is>
          <t>NNN landlord expenses only; from AXG Whse Expenses PSF.xlsx (R0132031)</t>
        </is>
      </c>
      <c r="AN72">
        <f>IF(AND($B72=Subj_OccCode,Subj_BldgSF&gt;0,ABS($J72-Subj_BldgSF)&lt;=Subj_BldgSF*Subj_SizeTol),ABS($J72-Subj_BldgSF),NA())</f>
        <v/>
      </c>
      <c r="AO72">
        <f>IF(ISNA(AN72),NA(),AN72+ROW()/10000000)</f>
        <v/>
      </c>
      <c r="AR72" s="256">
        <f>IF(B72="","",IFERROR(INDEX(OCC_TABLE_DESC,MATCH(B72,OCC_TABLE_CODE,0)),"Unrecognized code"))</f>
        <v/>
      </c>
    </row>
    <row r="73" ht="25.5" customHeight="1" s="545">
      <c r="A73" s="458" t="inlineStr">
        <is>
          <t>P033</t>
        </is>
      </c>
      <c r="B73" s="449" t="n">
        <v>407</v>
      </c>
      <c r="C73" s="458" t="inlineStr">
        <is>
          <t>R0132031</t>
        </is>
      </c>
      <c r="D73" s="468" t="inlineStr">
        <is>
          <t>Majestic Commercenter (R0132031)</t>
        </is>
      </c>
      <c r="E73" s="458" t="inlineStr">
        <is>
          <t>Commerce City</t>
        </is>
      </c>
      <c r="F73" s="458" t="inlineStr">
        <is>
          <t>CO</t>
        </is>
      </c>
      <c r="G73" s="458" t="inlineStr">
        <is>
          <t>Industrial</t>
        </is>
      </c>
      <c r="H73" s="468" t="inlineStr">
        <is>
          <t>Warehouse NNN</t>
        </is>
      </c>
      <c r="I73" s="458" t="n">
        <v>2002</v>
      </c>
      <c r="J73" s="458" t="n">
        <v>280098</v>
      </c>
      <c r="K73" s="458" t="n">
        <v>2022</v>
      </c>
      <c r="L73" s="458" t="n"/>
      <c r="M73" s="458" t="n"/>
      <c r="N73" s="458" t="n"/>
      <c r="O73" s="469" t="n">
        <v>21261</v>
      </c>
      <c r="P73" s="469" t="n">
        <v>59067</v>
      </c>
      <c r="Q73" s="458" t="n"/>
      <c r="R73" s="458" t="n"/>
      <c r="S73" s="458" t="n"/>
      <c r="T73" s="458" t="n"/>
      <c r="U73" s="458" t="n"/>
      <c r="V73" s="458" t="n"/>
      <c r="W73" s="458" t="n"/>
      <c r="X73" s="458" t="n"/>
      <c r="Y73" s="458" t="n"/>
      <c r="Z73" s="458" t="n"/>
      <c r="AA73" s="458" t="n"/>
      <c r="AB73" s="458" t="n"/>
      <c r="AC73" s="469" t="n">
        <v>120936</v>
      </c>
      <c r="AD73" s="458" t="n"/>
      <c r="AE73" s="458" t="n"/>
      <c r="AF73" s="469" t="n">
        <v>94786</v>
      </c>
      <c r="AG73" s="458" t="n"/>
      <c r="AH73" s="469" t="n">
        <v>296050</v>
      </c>
      <c r="AI73" s="469" t="n">
        <v>669090</v>
      </c>
      <c r="AJ73" s="469" t="n">
        <v>965140</v>
      </c>
      <c r="AK73" s="458" t="n"/>
      <c r="AL73" s="458" t="n"/>
      <c r="AM73" s="468" t="inlineStr">
        <is>
          <t>NNN landlord expenses only; from AXG Whse Expenses PSF.xlsx (R0132031)</t>
        </is>
      </c>
      <c r="AN73">
        <f>IF(AND($B73=Subj_OccCode,Subj_BldgSF&gt;0,ABS($J73-Subj_BldgSF)&lt;=Subj_BldgSF*Subj_SizeTol),ABS($J73-Subj_BldgSF),NA())</f>
        <v/>
      </c>
      <c r="AO73">
        <f>IF(ISNA(AN73),NA(),AN73+ROW()/10000000)</f>
        <v/>
      </c>
      <c r="AR73" s="256">
        <f>IF(B73="","",IFERROR(INDEX(OCC_TABLE_DESC,MATCH(B73,OCC_TABLE_CODE,0)),"Unrecognized code"))</f>
        <v/>
      </c>
    </row>
    <row r="74" ht="25.5" customHeight="1" s="545">
      <c r="A74" s="458" t="inlineStr">
        <is>
          <t>P034</t>
        </is>
      </c>
      <c r="B74" s="449" t="n">
        <v>407</v>
      </c>
      <c r="C74" s="458" t="inlineStr">
        <is>
          <t>R0172865</t>
        </is>
      </c>
      <c r="D74" s="468" t="inlineStr">
        <is>
          <t>Majestic Commercenter (R0172865)</t>
        </is>
      </c>
      <c r="E74" s="458" t="inlineStr">
        <is>
          <t>Commerce City</t>
        </is>
      </c>
      <c r="F74" s="458" t="inlineStr">
        <is>
          <t>CO</t>
        </is>
      </c>
      <c r="G74" s="458" t="inlineStr">
        <is>
          <t>Industrial</t>
        </is>
      </c>
      <c r="H74" s="468" t="inlineStr">
        <is>
          <t>Warehouse NNN</t>
        </is>
      </c>
      <c r="I74" s="458" t="n">
        <v>2008</v>
      </c>
      <c r="J74" s="458" t="n">
        <v>215461</v>
      </c>
      <c r="K74" s="458" t="n">
        <v>2021</v>
      </c>
      <c r="L74" s="458" t="n"/>
      <c r="M74" s="458" t="n"/>
      <c r="N74" s="458" t="n"/>
      <c r="O74" s="469" t="n">
        <v>17428</v>
      </c>
      <c r="P74" s="469" t="n">
        <v>65798</v>
      </c>
      <c r="Q74" s="458" t="n"/>
      <c r="R74" s="458" t="n"/>
      <c r="S74" s="458" t="n"/>
      <c r="T74" s="458" t="n"/>
      <c r="U74" s="458" t="n"/>
      <c r="V74" s="458" t="n"/>
      <c r="W74" s="458" t="n"/>
      <c r="X74" s="458" t="n"/>
      <c r="Y74" s="458" t="n"/>
      <c r="Z74" s="458" t="n"/>
      <c r="AA74" s="458" t="n"/>
      <c r="AB74" s="458" t="n"/>
      <c r="AC74" s="469" t="n">
        <v>100975</v>
      </c>
      <c r="AD74" s="458" t="n"/>
      <c r="AE74" s="458" t="n"/>
      <c r="AF74" s="469" t="n">
        <v>73139</v>
      </c>
      <c r="AG74" s="458" t="n"/>
      <c r="AH74" s="469" t="n">
        <v>257340</v>
      </c>
      <c r="AI74" s="469" t="n">
        <v>614041</v>
      </c>
      <c r="AJ74" s="469" t="n">
        <v>871381</v>
      </c>
      <c r="AK74" s="458" t="n"/>
      <c r="AL74" s="458" t="n"/>
      <c r="AM74" s="468" t="inlineStr">
        <is>
          <t>NNN landlord expenses only; from AXG Whse Expenses PSF.xlsx (R0172865)</t>
        </is>
      </c>
      <c r="AN74">
        <f>IF(AND($B74=Subj_OccCode,Subj_BldgSF&gt;0,ABS($J74-Subj_BldgSF)&lt;=Subj_BldgSF*Subj_SizeTol),ABS($J74-Subj_BldgSF),NA())</f>
        <v/>
      </c>
      <c r="AO74">
        <f>IF(ISNA(AN74),NA(),AN74+ROW()/10000000)</f>
        <v/>
      </c>
      <c r="AR74" s="256">
        <f>IF(B74="","",IFERROR(INDEX(OCC_TABLE_DESC,MATCH(B74,OCC_TABLE_CODE,0)),"Unrecognized code"))</f>
        <v/>
      </c>
    </row>
    <row r="75" ht="25.5" customHeight="1" s="545">
      <c r="A75" s="458" t="inlineStr">
        <is>
          <t>P034</t>
        </is>
      </c>
      <c r="B75" s="449" t="n">
        <v>407</v>
      </c>
      <c r="C75" s="458" t="inlineStr">
        <is>
          <t>R0172865</t>
        </is>
      </c>
      <c r="D75" s="468" t="inlineStr">
        <is>
          <t>Majestic Commercenter (R0172865)</t>
        </is>
      </c>
      <c r="E75" s="458" t="inlineStr">
        <is>
          <t>Commerce City</t>
        </is>
      </c>
      <c r="F75" s="458" t="inlineStr">
        <is>
          <t>CO</t>
        </is>
      </c>
      <c r="G75" s="458" t="inlineStr">
        <is>
          <t>Industrial</t>
        </is>
      </c>
      <c r="H75" s="468" t="inlineStr">
        <is>
          <t>Warehouse NNN</t>
        </is>
      </c>
      <c r="I75" s="458" t="n">
        <v>2008</v>
      </c>
      <c r="J75" s="458" t="n">
        <v>215461</v>
      </c>
      <c r="K75" s="458" t="n">
        <v>2022</v>
      </c>
      <c r="L75" s="458" t="n"/>
      <c r="M75" s="458" t="n"/>
      <c r="N75" s="458" t="n"/>
      <c r="O75" s="469" t="n">
        <v>18350</v>
      </c>
      <c r="P75" s="469" t="n">
        <v>62443</v>
      </c>
      <c r="Q75" s="458" t="n"/>
      <c r="R75" s="458" t="n"/>
      <c r="S75" s="458" t="n"/>
      <c r="T75" s="458" t="n"/>
      <c r="U75" s="458" t="n"/>
      <c r="V75" s="458" t="n"/>
      <c r="W75" s="458" t="n"/>
      <c r="X75" s="458" t="n"/>
      <c r="Y75" s="458" t="n"/>
      <c r="Z75" s="458" t="n"/>
      <c r="AA75" s="458" t="n"/>
      <c r="AB75" s="458" t="n"/>
      <c r="AC75" s="469" t="n">
        <v>73459</v>
      </c>
      <c r="AD75" s="458" t="n"/>
      <c r="AE75" s="458" t="n"/>
      <c r="AF75" s="469" t="n">
        <v>74975</v>
      </c>
      <c r="AG75" s="458" t="n"/>
      <c r="AH75" s="469" t="n">
        <v>229227</v>
      </c>
      <c r="AI75" s="469" t="n">
        <v>590782</v>
      </c>
      <c r="AJ75" s="469" t="n">
        <v>820009</v>
      </c>
      <c r="AK75" s="458" t="n"/>
      <c r="AL75" s="458" t="n"/>
      <c r="AM75" s="468" t="inlineStr">
        <is>
          <t>NNN landlord expenses only; from AXG Whse Expenses PSF.xlsx (R0172865)</t>
        </is>
      </c>
      <c r="AN75">
        <f>IF(AND($B75=Subj_OccCode,Subj_BldgSF&gt;0,ABS($J75-Subj_BldgSF)&lt;=Subj_BldgSF*Subj_SizeTol),ABS($J75-Subj_BldgSF),NA())</f>
        <v/>
      </c>
      <c r="AO75">
        <f>IF(ISNA(AN75),NA(),AN75+ROW()/10000000)</f>
        <v/>
      </c>
      <c r="AR75" s="256">
        <f>IF(B75="","",IFERROR(INDEX(OCC_TABLE_DESC,MATCH(B75,OCC_TABLE_CODE,0)),"Unrecognized code"))</f>
        <v/>
      </c>
    </row>
    <row r="76" ht="25.5" customHeight="1" s="545">
      <c r="A76" s="458" t="inlineStr">
        <is>
          <t>P035</t>
        </is>
      </c>
      <c r="B76" s="449" t="n">
        <v>407</v>
      </c>
      <c r="C76" s="458" t="inlineStr">
        <is>
          <t>R0172867</t>
        </is>
      </c>
      <c r="D76" s="468" t="inlineStr">
        <is>
          <t>Majestic Commercenter (R0172867)</t>
        </is>
      </c>
      <c r="E76" s="458" t="inlineStr">
        <is>
          <t>Commerce City</t>
        </is>
      </c>
      <c r="F76" s="458" t="inlineStr">
        <is>
          <t>CO</t>
        </is>
      </c>
      <c r="G76" s="458" t="inlineStr">
        <is>
          <t>Industrial</t>
        </is>
      </c>
      <c r="H76" s="468" t="inlineStr">
        <is>
          <t>Warehouse NNN</t>
        </is>
      </c>
      <c r="I76" s="458" t="n">
        <v>2007</v>
      </c>
      <c r="J76" s="458" t="n">
        <v>215560</v>
      </c>
      <c r="K76" s="458" t="n">
        <v>2021</v>
      </c>
      <c r="L76" s="458" t="n"/>
      <c r="M76" s="458" t="n"/>
      <c r="N76" s="458" t="n"/>
      <c r="O76" s="469" t="n">
        <v>21017</v>
      </c>
      <c r="P76" s="469" t="n">
        <v>52362</v>
      </c>
      <c r="Q76" s="458" t="n"/>
      <c r="R76" s="458" t="n"/>
      <c r="S76" s="458" t="n"/>
      <c r="T76" s="458" t="n"/>
      <c r="U76" s="458" t="n"/>
      <c r="V76" s="458" t="n"/>
      <c r="W76" s="458" t="n"/>
      <c r="X76" s="458" t="n"/>
      <c r="Y76" s="458" t="n"/>
      <c r="Z76" s="458" t="n"/>
      <c r="AA76" s="458" t="n"/>
      <c r="AB76" s="458" t="n"/>
      <c r="AC76" s="469" t="n">
        <v>64218</v>
      </c>
      <c r="AD76" s="458" t="n"/>
      <c r="AE76" s="458" t="n"/>
      <c r="AF76" s="469" t="n">
        <v>67129</v>
      </c>
      <c r="AG76" s="458" t="n"/>
      <c r="AH76" s="469" t="n">
        <v>204726</v>
      </c>
      <c r="AI76" s="469" t="n">
        <v>537207</v>
      </c>
      <c r="AJ76" s="469" t="n">
        <v>741933</v>
      </c>
      <c r="AK76" s="458" t="n"/>
      <c r="AL76" s="458" t="n"/>
      <c r="AM76" s="468" t="inlineStr">
        <is>
          <t>NNN landlord expenses only; from AXG Whse Expenses PSF.xlsx (R0172867)</t>
        </is>
      </c>
      <c r="AN76">
        <f>IF(AND($B76=Subj_OccCode,Subj_BldgSF&gt;0,ABS($J76-Subj_BldgSF)&lt;=Subj_BldgSF*Subj_SizeTol),ABS($J76-Subj_BldgSF),NA())</f>
        <v/>
      </c>
      <c r="AO76">
        <f>IF(ISNA(AN76),NA(),AN76+ROW()/10000000)</f>
        <v/>
      </c>
      <c r="AR76" s="256">
        <f>IF(B76="","",IFERROR(INDEX(OCC_TABLE_DESC,MATCH(B76,OCC_TABLE_CODE,0)),"Unrecognized code"))</f>
        <v/>
      </c>
    </row>
    <row r="77" ht="25.5" customHeight="1" s="545">
      <c r="A77" s="458" t="inlineStr">
        <is>
          <t>P035</t>
        </is>
      </c>
      <c r="B77" s="449" t="n">
        <v>407</v>
      </c>
      <c r="C77" s="458" t="inlineStr">
        <is>
          <t>R0172867</t>
        </is>
      </c>
      <c r="D77" s="468" t="inlineStr">
        <is>
          <t>Majestic Commercenter (R0172867)</t>
        </is>
      </c>
      <c r="E77" s="458" t="inlineStr">
        <is>
          <t>Commerce City</t>
        </is>
      </c>
      <c r="F77" s="458" t="inlineStr">
        <is>
          <t>CO</t>
        </is>
      </c>
      <c r="G77" s="458" t="inlineStr">
        <is>
          <t>Industrial</t>
        </is>
      </c>
      <c r="H77" s="468" t="inlineStr">
        <is>
          <t>Warehouse NNN</t>
        </is>
      </c>
      <c r="I77" s="458" t="n">
        <v>2007</v>
      </c>
      <c r="J77" s="458" t="n">
        <v>215560</v>
      </c>
      <c r="K77" s="458" t="n">
        <v>2022</v>
      </c>
      <c r="L77" s="458" t="n"/>
      <c r="M77" s="458" t="n"/>
      <c r="N77" s="458" t="n"/>
      <c r="O77" s="469" t="n">
        <v>22360</v>
      </c>
      <c r="P77" s="469" t="n">
        <v>55092</v>
      </c>
      <c r="Q77" s="458" t="n"/>
      <c r="R77" s="458" t="n"/>
      <c r="S77" s="458" t="n"/>
      <c r="T77" s="458" t="n"/>
      <c r="U77" s="458" t="n"/>
      <c r="V77" s="458" t="n"/>
      <c r="W77" s="458" t="n"/>
      <c r="X77" s="458" t="n"/>
      <c r="Y77" s="458" t="n"/>
      <c r="Z77" s="458" t="n"/>
      <c r="AA77" s="458" t="n"/>
      <c r="AB77" s="458" t="n"/>
      <c r="AC77" s="469" t="n">
        <v>67277</v>
      </c>
      <c r="AD77" s="458" t="n"/>
      <c r="AE77" s="458" t="n"/>
      <c r="AF77" s="469" t="n">
        <v>72040</v>
      </c>
      <c r="AG77" s="458" t="n"/>
      <c r="AH77" s="469" t="n">
        <v>216769</v>
      </c>
      <c r="AI77" s="469" t="n">
        <v>558214</v>
      </c>
      <c r="AJ77" s="469" t="n">
        <v>774983</v>
      </c>
      <c r="AK77" s="458" t="n"/>
      <c r="AL77" s="458" t="n"/>
      <c r="AM77" s="468" t="inlineStr">
        <is>
          <t>NNN landlord expenses only; from AXG Whse Expenses PSF.xlsx (R0172867)</t>
        </is>
      </c>
      <c r="AN77">
        <f>IF(AND($B77=Subj_OccCode,Subj_BldgSF&gt;0,ABS($J77-Subj_BldgSF)&lt;=Subj_BldgSF*Subj_SizeTol),ABS($J77-Subj_BldgSF),NA())</f>
        <v/>
      </c>
      <c r="AO77">
        <f>IF(ISNA(AN77),NA(),AN77+ROW()/10000000)</f>
        <v/>
      </c>
      <c r="AR77" s="256">
        <f>IF(B77="","",IFERROR(INDEX(OCC_TABLE_DESC,MATCH(B77,OCC_TABLE_CODE,0)),"Unrecognized code"))</f>
        <v/>
      </c>
    </row>
    <row r="78" ht="25.5" customHeight="1" s="545">
      <c r="A78" s="458" t="inlineStr">
        <is>
          <t>P036</t>
        </is>
      </c>
      <c r="B78" s="449" t="n">
        <v>407</v>
      </c>
      <c r="C78" s="458" t="inlineStr">
        <is>
          <t>R0172868</t>
        </is>
      </c>
      <c r="D78" s="468" t="inlineStr">
        <is>
          <t>Majestic Commercenter (R0172868)</t>
        </is>
      </c>
      <c r="E78" s="458" t="inlineStr">
        <is>
          <t>Commerce City</t>
        </is>
      </c>
      <c r="F78" s="458" t="inlineStr">
        <is>
          <t>CO</t>
        </is>
      </c>
      <c r="G78" s="458" t="inlineStr">
        <is>
          <t>Industrial</t>
        </is>
      </c>
      <c r="H78" s="468" t="inlineStr">
        <is>
          <t>Warehouse NNN</t>
        </is>
      </c>
      <c r="I78" s="458" t="n">
        <v>2007</v>
      </c>
      <c r="J78" s="458" t="n">
        <v>202091</v>
      </c>
      <c r="K78" s="458" t="n">
        <v>2021</v>
      </c>
      <c r="L78" s="458" t="n"/>
      <c r="M78" s="458" t="n"/>
      <c r="N78" s="458" t="n"/>
      <c r="O78" s="469" t="n">
        <v>17434</v>
      </c>
      <c r="P78" s="469" t="n">
        <v>31149</v>
      </c>
      <c r="Q78" s="458" t="n"/>
      <c r="R78" s="458" t="n"/>
      <c r="S78" s="458" t="n"/>
      <c r="T78" s="458" t="n"/>
      <c r="U78" s="458" t="n"/>
      <c r="V78" s="458" t="n"/>
      <c r="W78" s="458" t="n"/>
      <c r="X78" s="458" t="n"/>
      <c r="Y78" s="458" t="n"/>
      <c r="Z78" s="458" t="n"/>
      <c r="AA78" s="458" t="n"/>
      <c r="AB78" s="458" t="n"/>
      <c r="AC78" s="469" t="n">
        <v>83142</v>
      </c>
      <c r="AD78" s="458" t="n"/>
      <c r="AE78" s="458" t="n"/>
      <c r="AF78" s="458" t="n"/>
      <c r="AG78" s="458" t="n"/>
      <c r="AH78" s="469" t="n">
        <v>131725</v>
      </c>
      <c r="AI78" s="469" t="n">
        <v>499000</v>
      </c>
      <c r="AJ78" s="469" t="n">
        <v>630725</v>
      </c>
      <c r="AK78" s="458" t="n"/>
      <c r="AL78" s="458" t="n"/>
      <c r="AM78" s="468" t="inlineStr">
        <is>
          <t>NNN landlord expenses only; from AXG Whse Expenses PSF.xlsx (R0172868)</t>
        </is>
      </c>
      <c r="AN78">
        <f>IF(AND($B78=Subj_OccCode,Subj_BldgSF&gt;0,ABS($J78-Subj_BldgSF)&lt;=Subj_BldgSF*Subj_SizeTol),ABS($J78-Subj_BldgSF),NA())</f>
        <v/>
      </c>
      <c r="AO78">
        <f>IF(ISNA(AN78),NA(),AN78+ROW()/10000000)</f>
        <v/>
      </c>
      <c r="AR78" s="256">
        <f>IF(B78="","",IFERROR(INDEX(OCC_TABLE_DESC,MATCH(B78,OCC_TABLE_CODE,0)),"Unrecognized code"))</f>
        <v/>
      </c>
    </row>
    <row r="79" ht="25.5" customHeight="1" s="545">
      <c r="A79" s="458" t="inlineStr">
        <is>
          <t>P036</t>
        </is>
      </c>
      <c r="B79" s="449" t="n">
        <v>407</v>
      </c>
      <c r="C79" s="458" t="inlineStr">
        <is>
          <t>R0172868</t>
        </is>
      </c>
      <c r="D79" s="468" t="inlineStr">
        <is>
          <t>Majestic Commercenter (R0172868)</t>
        </is>
      </c>
      <c r="E79" s="458" t="inlineStr">
        <is>
          <t>Commerce City</t>
        </is>
      </c>
      <c r="F79" s="458" t="inlineStr">
        <is>
          <t>CO</t>
        </is>
      </c>
      <c r="G79" s="458" t="inlineStr">
        <is>
          <t>Industrial</t>
        </is>
      </c>
      <c r="H79" s="468" t="inlineStr">
        <is>
          <t>Warehouse NNN</t>
        </is>
      </c>
      <c r="I79" s="458" t="n">
        <v>2007</v>
      </c>
      <c r="J79" s="458" t="n">
        <v>202091</v>
      </c>
      <c r="K79" s="458" t="n">
        <v>2022</v>
      </c>
      <c r="L79" s="458" t="n"/>
      <c r="M79" s="458" t="n"/>
      <c r="N79" s="458" t="n"/>
      <c r="O79" s="469" t="n">
        <v>18548</v>
      </c>
      <c r="P79" s="469" t="n">
        <v>27554</v>
      </c>
      <c r="Q79" s="458" t="n"/>
      <c r="R79" s="458" t="n"/>
      <c r="S79" s="458" t="n"/>
      <c r="T79" s="458" t="n"/>
      <c r="U79" s="458" t="n"/>
      <c r="V79" s="458" t="n"/>
      <c r="W79" s="458" t="n"/>
      <c r="X79" s="458" t="n"/>
      <c r="Y79" s="458" t="n"/>
      <c r="Z79" s="458" t="n"/>
      <c r="AA79" s="458" t="n"/>
      <c r="AB79" s="458" t="n"/>
      <c r="AC79" s="469" t="n">
        <v>66184</v>
      </c>
      <c r="AD79" s="458" t="n"/>
      <c r="AE79" s="458" t="n"/>
      <c r="AF79" s="458" t="n"/>
      <c r="AG79" s="458" t="n"/>
      <c r="AH79" s="469" t="n">
        <v>112286</v>
      </c>
      <c r="AI79" s="469" t="n">
        <v>509649</v>
      </c>
      <c r="AJ79" s="469" t="n">
        <v>621935</v>
      </c>
      <c r="AK79" s="458" t="n"/>
      <c r="AL79" s="458" t="n"/>
      <c r="AM79" s="468" t="inlineStr">
        <is>
          <t>NNN landlord expenses only; from AXG Whse Expenses PSF.xlsx (R0172868)</t>
        </is>
      </c>
      <c r="AN79">
        <f>IF(AND($B79=Subj_OccCode,Subj_BldgSF&gt;0,ABS($J79-Subj_BldgSF)&lt;=Subj_BldgSF*Subj_SizeTol),ABS($J79-Subj_BldgSF),NA())</f>
        <v/>
      </c>
      <c r="AO79">
        <f>IF(ISNA(AN79),NA(),AN79+ROW()/10000000)</f>
        <v/>
      </c>
      <c r="AR79" s="256">
        <f>IF(B79="","",IFERROR(INDEX(OCC_TABLE_DESC,MATCH(B79,OCC_TABLE_CODE,0)),"Unrecognized code"))</f>
        <v/>
      </c>
    </row>
    <row r="80" ht="25.5" customHeight="1" s="545">
      <c r="A80" s="458" t="inlineStr">
        <is>
          <t>P037</t>
        </is>
      </c>
      <c r="B80" s="449" t="n">
        <v>407</v>
      </c>
      <c r="C80" s="458" t="inlineStr">
        <is>
          <t>R0145680</t>
        </is>
      </c>
      <c r="D80" s="468" t="inlineStr">
        <is>
          <t>Majestic Commercenter (R0145680)</t>
        </is>
      </c>
      <c r="E80" s="458" t="inlineStr">
        <is>
          <t>Commerce City</t>
        </is>
      </c>
      <c r="F80" s="458" t="inlineStr">
        <is>
          <t>CO</t>
        </is>
      </c>
      <c r="G80" s="458" t="inlineStr">
        <is>
          <t>Industrial</t>
        </is>
      </c>
      <c r="H80" s="468" t="inlineStr">
        <is>
          <t>Warehouse NNN</t>
        </is>
      </c>
      <c r="I80" s="458" t="n">
        <v>2001</v>
      </c>
      <c r="J80" s="458" t="n">
        <v>150027</v>
      </c>
      <c r="K80" s="458" t="n">
        <v>2021</v>
      </c>
      <c r="L80" s="458" t="n"/>
      <c r="M80" s="458" t="n"/>
      <c r="N80" s="458" t="n"/>
      <c r="O80" s="469" t="n">
        <v>11682</v>
      </c>
      <c r="P80" s="469" t="n">
        <v>41521</v>
      </c>
      <c r="Q80" s="458" t="n"/>
      <c r="R80" s="458" t="n"/>
      <c r="S80" s="458" t="n"/>
      <c r="T80" s="458" t="n"/>
      <c r="U80" s="458" t="n"/>
      <c r="V80" s="458" t="n"/>
      <c r="W80" s="458" t="n"/>
      <c r="X80" s="458" t="n"/>
      <c r="Y80" s="458" t="n"/>
      <c r="Z80" s="458" t="n"/>
      <c r="AA80" s="458" t="n"/>
      <c r="AB80" s="458" t="n"/>
      <c r="AC80" s="469" t="n">
        <v>49834</v>
      </c>
      <c r="AD80" s="458" t="n"/>
      <c r="AE80" s="458" t="n"/>
      <c r="AF80" s="458" t="n"/>
      <c r="AG80" s="458" t="n"/>
      <c r="AH80" s="469" t="n">
        <v>103037</v>
      </c>
      <c r="AI80" s="469" t="n">
        <v>427951</v>
      </c>
      <c r="AJ80" s="469" t="n">
        <v>530988</v>
      </c>
      <c r="AK80" s="458" t="n"/>
      <c r="AL80" s="458" t="n"/>
      <c r="AM80" s="468" t="inlineStr">
        <is>
          <t>NNN landlord expenses only; from AXG Whse Expenses PSF.xlsx (R0145680)</t>
        </is>
      </c>
      <c r="AN80">
        <f>IF(AND($B80=Subj_OccCode,Subj_BldgSF&gt;0,ABS($J80-Subj_BldgSF)&lt;=Subj_BldgSF*Subj_SizeTol),ABS($J80-Subj_BldgSF),NA())</f>
        <v/>
      </c>
      <c r="AO80">
        <f>IF(ISNA(AN80),NA(),AN80+ROW()/10000000)</f>
        <v/>
      </c>
      <c r="AR80" s="256">
        <f>IF(B80="","",IFERROR(INDEX(OCC_TABLE_DESC,MATCH(B80,OCC_TABLE_CODE,0)),"Unrecognized code"))</f>
        <v/>
      </c>
    </row>
    <row r="81" ht="25.5" customHeight="1" s="545">
      <c r="A81" s="458" t="inlineStr">
        <is>
          <t>P037</t>
        </is>
      </c>
      <c r="B81" s="449" t="n">
        <v>407</v>
      </c>
      <c r="C81" s="458" t="inlineStr">
        <is>
          <t>R0145680</t>
        </is>
      </c>
      <c r="D81" s="468" t="inlineStr">
        <is>
          <t>Majestic Commercenter (R0145680)</t>
        </is>
      </c>
      <c r="E81" s="458" t="inlineStr">
        <is>
          <t>Commerce City</t>
        </is>
      </c>
      <c r="F81" s="458" t="inlineStr">
        <is>
          <t>CO</t>
        </is>
      </c>
      <c r="G81" s="458" t="inlineStr">
        <is>
          <t>Industrial</t>
        </is>
      </c>
      <c r="H81" s="468" t="inlineStr">
        <is>
          <t>Warehouse NNN</t>
        </is>
      </c>
      <c r="I81" s="458" t="n">
        <v>2001</v>
      </c>
      <c r="J81" s="458" t="n">
        <v>150027</v>
      </c>
      <c r="K81" s="458" t="n">
        <v>2022</v>
      </c>
      <c r="L81" s="458" t="n"/>
      <c r="M81" s="458" t="n"/>
      <c r="N81" s="458" t="n"/>
      <c r="O81" s="469" t="n">
        <v>12428</v>
      </c>
      <c r="P81" s="469" t="n">
        <v>34409</v>
      </c>
      <c r="Q81" s="458" t="n"/>
      <c r="R81" s="458" t="n"/>
      <c r="S81" s="458" t="n"/>
      <c r="T81" s="458" t="n"/>
      <c r="U81" s="458" t="n"/>
      <c r="V81" s="458" t="n"/>
      <c r="W81" s="458" t="n"/>
      <c r="X81" s="458" t="n"/>
      <c r="Y81" s="458" t="n"/>
      <c r="Z81" s="458" t="n"/>
      <c r="AA81" s="458" t="n"/>
      <c r="AB81" s="458" t="n"/>
      <c r="AC81" s="469" t="n">
        <v>54262</v>
      </c>
      <c r="AD81" s="458" t="n"/>
      <c r="AE81" s="458" t="n"/>
      <c r="AF81" s="458" t="n"/>
      <c r="AG81" s="458" t="n"/>
      <c r="AH81" s="469" t="n">
        <v>101099</v>
      </c>
      <c r="AI81" s="469" t="n">
        <v>410892</v>
      </c>
      <c r="AJ81" s="469" t="n">
        <v>511991</v>
      </c>
      <c r="AK81" s="458" t="n"/>
      <c r="AL81" s="458" t="n"/>
      <c r="AM81" s="468" t="inlineStr">
        <is>
          <t>NNN landlord expenses only; from AXG Whse Expenses PSF.xlsx (R0145680)</t>
        </is>
      </c>
      <c r="AN81">
        <f>IF(AND($B81=Subj_OccCode,Subj_BldgSF&gt;0,ABS($J81-Subj_BldgSF)&lt;=Subj_BldgSF*Subj_SizeTol),ABS($J81-Subj_BldgSF),NA())</f>
        <v/>
      </c>
      <c r="AO81">
        <f>IF(ISNA(AN81),NA(),AN81+ROW()/10000000)</f>
        <v/>
      </c>
      <c r="AR81" s="256">
        <f>IF(B81="","",IFERROR(INDEX(OCC_TABLE_DESC,MATCH(B81,OCC_TABLE_CODE,0)),"Unrecognized code"))</f>
        <v/>
      </c>
    </row>
    <row r="82" ht="25.5" customHeight="1" s="545">
      <c r="A82" s="458" t="inlineStr">
        <is>
          <t>P038</t>
        </is>
      </c>
      <c r="B82" s="449" t="n">
        <v>584</v>
      </c>
      <c r="C82" s="458" t="inlineStr">
        <is>
          <t>R0181787</t>
        </is>
      </c>
      <c r="D82" s="468" t="inlineStr">
        <is>
          <t>Majestic Commercenter (R0181787)</t>
        </is>
      </c>
      <c r="E82" s="458" t="inlineStr">
        <is>
          <t>Commerce City</t>
        </is>
      </c>
      <c r="F82" s="458" t="inlineStr">
        <is>
          <t>CO</t>
        </is>
      </c>
      <c r="G82" s="458" t="inlineStr">
        <is>
          <t>Industrial</t>
        </is>
      </c>
      <c r="H82" s="468" t="inlineStr">
        <is>
          <t>Warehouse NNN</t>
        </is>
      </c>
      <c r="I82" s="458" t="n">
        <v>2013</v>
      </c>
      <c r="J82" s="458" t="n">
        <v>500358</v>
      </c>
      <c r="K82" s="458" t="n">
        <v>2021</v>
      </c>
      <c r="L82" s="458" t="n"/>
      <c r="M82" s="458" t="n"/>
      <c r="N82" s="458" t="n"/>
      <c r="O82" s="469" t="n">
        <v>37172</v>
      </c>
      <c r="P82" s="469" t="n">
        <v>117764</v>
      </c>
      <c r="Q82" s="458" t="n"/>
      <c r="R82" s="458" t="n"/>
      <c r="S82" s="458" t="n"/>
      <c r="T82" s="458" t="n"/>
      <c r="U82" s="458" t="n"/>
      <c r="V82" s="458" t="n"/>
      <c r="W82" s="458" t="n"/>
      <c r="X82" s="458" t="n"/>
      <c r="Y82" s="458" t="n"/>
      <c r="Z82" s="458" t="n"/>
      <c r="AA82" s="458" t="n"/>
      <c r="AB82" s="458" t="n"/>
      <c r="AC82" s="469" t="n">
        <v>156518</v>
      </c>
      <c r="AD82" s="458" t="n"/>
      <c r="AE82" s="458" t="n"/>
      <c r="AF82" s="469" t="n">
        <v>117148</v>
      </c>
      <c r="AG82" s="458" t="n"/>
      <c r="AH82" s="469" t="n">
        <v>428602</v>
      </c>
      <c r="AI82" s="469" t="n">
        <v>1142695</v>
      </c>
      <c r="AJ82" s="469" t="n">
        <v>1571297</v>
      </c>
      <c r="AK82" s="458" t="n"/>
      <c r="AL82" s="458" t="n"/>
      <c r="AM82" s="468" t="inlineStr">
        <is>
          <t>NNN landlord expenses only; from AXG Whse Expenses PSF.xlsx (R0181787)</t>
        </is>
      </c>
      <c r="AN82">
        <f>IF(AND($B82=Subj_OccCode,Subj_BldgSF&gt;0,ABS($J82-Subj_BldgSF)&lt;=Subj_BldgSF*Subj_SizeTol),ABS($J82-Subj_BldgSF),NA())</f>
        <v/>
      </c>
      <c r="AO82">
        <f>IF(ISNA(AN82),NA(),AN82+ROW()/10000000)</f>
        <v/>
      </c>
      <c r="AR82" s="256">
        <f>IF(B82="","",IFERROR(INDEX(OCC_TABLE_DESC,MATCH(B82,OCC_TABLE_CODE,0)),"Unrecognized code"))</f>
        <v/>
      </c>
    </row>
    <row r="83" ht="25.5" customHeight="1" s="545">
      <c r="A83" s="458" t="inlineStr">
        <is>
          <t>P038</t>
        </is>
      </c>
      <c r="B83" s="449" t="n">
        <v>584</v>
      </c>
      <c r="C83" s="458" t="inlineStr">
        <is>
          <t>R0181787</t>
        </is>
      </c>
      <c r="D83" s="468" t="inlineStr">
        <is>
          <t>Majestic Commercenter (R0181787)</t>
        </is>
      </c>
      <c r="E83" s="458" t="inlineStr">
        <is>
          <t>Commerce City</t>
        </is>
      </c>
      <c r="F83" s="458" t="inlineStr">
        <is>
          <t>CO</t>
        </is>
      </c>
      <c r="G83" s="458" t="inlineStr">
        <is>
          <t>Industrial</t>
        </is>
      </c>
      <c r="H83" s="468" t="inlineStr">
        <is>
          <t>Warehouse NNN</t>
        </is>
      </c>
      <c r="I83" s="458" t="n">
        <v>2013</v>
      </c>
      <c r="J83" s="458" t="n">
        <v>500358</v>
      </c>
      <c r="K83" s="458" t="n">
        <v>2022</v>
      </c>
      <c r="L83" s="458" t="n"/>
      <c r="M83" s="458" t="n"/>
      <c r="N83" s="458" t="n"/>
      <c r="O83" s="469" t="n">
        <v>39548</v>
      </c>
      <c r="P83" s="469" t="n">
        <v>100791</v>
      </c>
      <c r="Q83" s="458" t="n"/>
      <c r="R83" s="458" t="n"/>
      <c r="S83" s="458" t="n"/>
      <c r="T83" s="458" t="n"/>
      <c r="U83" s="458" t="n"/>
      <c r="V83" s="458" t="n"/>
      <c r="W83" s="458" t="n"/>
      <c r="X83" s="458" t="n"/>
      <c r="Y83" s="458" t="n"/>
      <c r="Z83" s="458" t="n"/>
      <c r="AA83" s="458" t="n"/>
      <c r="AB83" s="458" t="n"/>
      <c r="AC83" s="469" t="n">
        <v>116474</v>
      </c>
      <c r="AD83" s="458" t="n"/>
      <c r="AE83" s="458" t="n"/>
      <c r="AF83" s="469" t="n">
        <v>113231</v>
      </c>
      <c r="AG83" s="458" t="n"/>
      <c r="AH83" s="469" t="n">
        <v>370044</v>
      </c>
      <c r="AI83" s="469" t="n">
        <v>1270807</v>
      </c>
      <c r="AJ83" s="469" t="n">
        <v>1640851</v>
      </c>
      <c r="AK83" s="458" t="n"/>
      <c r="AL83" s="458" t="n"/>
      <c r="AM83" s="468" t="inlineStr">
        <is>
          <t>NNN landlord expenses only; from AXG Whse Expenses PSF.xlsx (R0181787)</t>
        </is>
      </c>
      <c r="AN83">
        <f>IF(AND($B83=Subj_OccCode,Subj_BldgSF&gt;0,ABS($J83-Subj_BldgSF)&lt;=Subj_BldgSF*Subj_SizeTol),ABS($J83-Subj_BldgSF),NA())</f>
        <v/>
      </c>
      <c r="AO83">
        <f>IF(ISNA(AN83),NA(),AN83+ROW()/10000000)</f>
        <v/>
      </c>
      <c r="AR83" s="256">
        <f>IF(B83="","",IFERROR(INDEX(OCC_TABLE_DESC,MATCH(B83,OCC_TABLE_CODE,0)),"Unrecognized code"))</f>
        <v/>
      </c>
    </row>
    <row r="84" ht="25.5" customHeight="1" s="545">
      <c r="A84" s="458" t="inlineStr">
        <is>
          <t>P039</t>
        </is>
      </c>
      <c r="B84" s="449" t="n">
        <v>584</v>
      </c>
      <c r="C84" s="458" t="inlineStr">
        <is>
          <t>R0191101</t>
        </is>
      </c>
      <c r="D84" s="468" t="inlineStr">
        <is>
          <t>Majestic Commercenter (R0191101)</t>
        </is>
      </c>
      <c r="E84" s="458" t="inlineStr">
        <is>
          <t>Commerce City</t>
        </is>
      </c>
      <c r="F84" s="458" t="inlineStr">
        <is>
          <t>CO</t>
        </is>
      </c>
      <c r="G84" s="458" t="inlineStr">
        <is>
          <t>Industrial</t>
        </is>
      </c>
      <c r="H84" s="468" t="inlineStr">
        <is>
          <t>Warehouse NNN</t>
        </is>
      </c>
      <c r="I84" s="458" t="n">
        <v>2017</v>
      </c>
      <c r="J84" s="458" t="n">
        <v>522120</v>
      </c>
      <c r="K84" s="458" t="n">
        <v>2021</v>
      </c>
      <c r="L84" s="458" t="n"/>
      <c r="M84" s="458" t="n"/>
      <c r="N84" s="458" t="n"/>
      <c r="O84" s="469" t="n">
        <v>42908</v>
      </c>
      <c r="P84" s="469" t="n">
        <v>134812</v>
      </c>
      <c r="Q84" s="458" t="n"/>
      <c r="R84" s="458" t="n"/>
      <c r="S84" s="458" t="n"/>
      <c r="T84" s="458" t="n"/>
      <c r="U84" s="458" t="n"/>
      <c r="V84" s="458" t="n"/>
      <c r="W84" s="458" t="n"/>
      <c r="X84" s="458" t="n"/>
      <c r="Y84" s="458" t="n"/>
      <c r="Z84" s="458" t="n"/>
      <c r="AA84" s="458" t="n"/>
      <c r="AB84" s="458" t="n"/>
      <c r="AC84" s="469" t="n">
        <v>147507</v>
      </c>
      <c r="AD84" s="458" t="n"/>
      <c r="AE84" s="458" t="n"/>
      <c r="AF84" s="469" t="n">
        <v>93640</v>
      </c>
      <c r="AG84" s="458" t="n"/>
      <c r="AH84" s="469" t="n">
        <v>418867</v>
      </c>
      <c r="AI84" s="469" t="n">
        <v>1137439</v>
      </c>
      <c r="AJ84" s="469" t="n">
        <v>1556306</v>
      </c>
      <c r="AK84" s="458" t="n"/>
      <c r="AL84" s="458" t="n"/>
      <c r="AM84" s="468" t="inlineStr">
        <is>
          <t>NNN landlord expenses only; from AXG Whse Expenses PSF.xlsx (R0191101)</t>
        </is>
      </c>
      <c r="AN84">
        <f>IF(AND($B84=Subj_OccCode,Subj_BldgSF&gt;0,ABS($J84-Subj_BldgSF)&lt;=Subj_BldgSF*Subj_SizeTol),ABS($J84-Subj_BldgSF),NA())</f>
        <v/>
      </c>
      <c r="AO84">
        <f>IF(ISNA(AN84),NA(),AN84+ROW()/10000000)</f>
        <v/>
      </c>
      <c r="AR84" s="256">
        <f>IF(B84="","",IFERROR(INDEX(OCC_TABLE_DESC,MATCH(B84,OCC_TABLE_CODE,0)),"Unrecognized code"))</f>
        <v/>
      </c>
    </row>
    <row r="85" ht="25.5" customHeight="1" s="545">
      <c r="A85" s="458" t="inlineStr">
        <is>
          <t>P039</t>
        </is>
      </c>
      <c r="B85" s="449" t="n">
        <v>584</v>
      </c>
      <c r="C85" s="458" t="inlineStr">
        <is>
          <t>R0191101</t>
        </is>
      </c>
      <c r="D85" s="468" t="inlineStr">
        <is>
          <t>Majestic Commercenter (R0191101)</t>
        </is>
      </c>
      <c r="E85" s="458" t="inlineStr">
        <is>
          <t>Commerce City</t>
        </is>
      </c>
      <c r="F85" s="458" t="inlineStr">
        <is>
          <t>CO</t>
        </is>
      </c>
      <c r="G85" s="458" t="inlineStr">
        <is>
          <t>Industrial</t>
        </is>
      </c>
      <c r="H85" s="468" t="inlineStr">
        <is>
          <t>Warehouse NNN</t>
        </is>
      </c>
      <c r="I85" s="458" t="n">
        <v>2017</v>
      </c>
      <c r="J85" s="458" t="n">
        <v>522120</v>
      </c>
      <c r="K85" s="458" t="n">
        <v>2022</v>
      </c>
      <c r="L85" s="458" t="n"/>
      <c r="M85" s="458" t="n"/>
      <c r="N85" s="458" t="n"/>
      <c r="O85" s="469" t="n">
        <v>45651</v>
      </c>
      <c r="P85" s="469" t="n">
        <v>115853</v>
      </c>
      <c r="Q85" s="458" t="n"/>
      <c r="R85" s="458" t="n"/>
      <c r="S85" s="458" t="n"/>
      <c r="T85" s="458" t="n"/>
      <c r="U85" s="458" t="n"/>
      <c r="V85" s="458" t="n"/>
      <c r="W85" s="458" t="n"/>
      <c r="X85" s="458" t="n"/>
      <c r="Y85" s="458" t="n"/>
      <c r="Z85" s="458" t="n"/>
      <c r="AA85" s="458" t="n"/>
      <c r="AB85" s="458" t="n"/>
      <c r="AC85" s="469" t="n">
        <v>89739</v>
      </c>
      <c r="AD85" s="458" t="n"/>
      <c r="AE85" s="458" t="n"/>
      <c r="AF85" s="469" t="n">
        <v>90763</v>
      </c>
      <c r="AG85" s="458" t="n"/>
      <c r="AH85" s="469" t="n">
        <v>342006</v>
      </c>
      <c r="AI85" s="469" t="n">
        <v>1169645</v>
      </c>
      <c r="AJ85" s="469" t="n">
        <v>1511651</v>
      </c>
      <c r="AK85" s="458" t="n"/>
      <c r="AL85" s="458" t="n"/>
      <c r="AM85" s="468" t="inlineStr">
        <is>
          <t>NNN landlord expenses only; from AXG Whse Expenses PSF.xlsx (R0191101)</t>
        </is>
      </c>
      <c r="AN85">
        <f>IF(AND($B85=Subj_OccCode,Subj_BldgSF&gt;0,ABS($J85-Subj_BldgSF)&lt;=Subj_BldgSF*Subj_SizeTol),ABS($J85-Subj_BldgSF),NA())</f>
        <v/>
      </c>
      <c r="AO85">
        <f>IF(ISNA(AN85),NA(),AN85+ROW()/10000000)</f>
        <v/>
      </c>
      <c r="AR85" s="256">
        <f>IF(B85="","",IFERROR(INDEX(OCC_TABLE_DESC,MATCH(B85,OCC_TABLE_CODE,0)),"Unrecognized code"))</f>
        <v/>
      </c>
    </row>
    <row r="86" ht="25.5" customHeight="1" s="545">
      <c r="A86" s="458" t="inlineStr">
        <is>
          <t>P040</t>
        </is>
      </c>
      <c r="B86" s="449" t="n">
        <v>407</v>
      </c>
      <c r="C86" s="458" t="inlineStr">
        <is>
          <t>R0202874</t>
        </is>
      </c>
      <c r="D86" s="468" t="inlineStr">
        <is>
          <t>900 E 128th Ave</t>
        </is>
      </c>
      <c r="E86" s="458" t="inlineStr">
        <is>
          <t>Henderson</t>
        </is>
      </c>
      <c r="F86" s="458" t="inlineStr">
        <is>
          <t>CO</t>
        </is>
      </c>
      <c r="G86" s="458" t="inlineStr">
        <is>
          <t>Industrial</t>
        </is>
      </c>
      <c r="H86" s="468" t="inlineStr">
        <is>
          <t>Last-Mile Distribution NNN</t>
        </is>
      </c>
      <c r="I86" s="458" t="n"/>
      <c r="J86" s="458" t="n"/>
      <c r="K86" s="458" t="n">
        <v>2021</v>
      </c>
      <c r="L86" s="469" t="n">
        <v>2633716</v>
      </c>
      <c r="M86" s="458" t="n"/>
      <c r="N86" s="469" t="n">
        <v>3256403</v>
      </c>
      <c r="O86" s="469" t="n">
        <v>56624</v>
      </c>
      <c r="P86" s="458" t="n"/>
      <c r="Q86" s="469" t="n">
        <v>300</v>
      </c>
      <c r="R86" s="458" t="n"/>
      <c r="S86" s="458" t="n"/>
      <c r="T86" s="458" t="n"/>
      <c r="U86" s="458" t="n"/>
      <c r="V86" s="458" t="n"/>
      <c r="W86" s="458" t="n"/>
      <c r="X86" s="469" t="n">
        <v>29535</v>
      </c>
      <c r="Y86" s="469" t="n">
        <v>30138</v>
      </c>
      <c r="Z86" s="458" t="n"/>
      <c r="AA86" s="469" t="n">
        <v>54136</v>
      </c>
      <c r="AB86" s="469" t="n">
        <v>127274</v>
      </c>
      <c r="AC86" s="458" t="n"/>
      <c r="AD86" s="458" t="n"/>
      <c r="AE86" s="458" t="n"/>
      <c r="AF86" s="469" t="n">
        <v>18748</v>
      </c>
      <c r="AG86" s="458" t="n"/>
      <c r="AH86" s="469" t="n">
        <v>731951</v>
      </c>
      <c r="AI86" s="458" t="n"/>
      <c r="AJ86" s="458" t="n"/>
      <c r="AK86" s="469" t="n">
        <v>2524452</v>
      </c>
      <c r="AL86" s="458" t="n"/>
      <c r="AM86" s="468" t="inlineStr">
        <is>
          <t>Amazon AMZL Site 51812; SF not extracted; RE Tax not broken out in 2021</t>
        </is>
      </c>
      <c r="AN86">
        <f>IF(AND($B86=Subj_OccCode,Subj_BldgSF&gt;0,ABS($J86-Subj_BldgSF)&lt;=Subj_BldgSF*Subj_SizeTol),ABS($J86-Subj_BldgSF),NA())</f>
        <v/>
      </c>
      <c r="AO86">
        <f>IF(ISNA(AN86),NA(),AN86+ROW()/10000000)</f>
        <v/>
      </c>
      <c r="AR86" s="256">
        <f>IF(B86="","",IFERROR(INDEX(OCC_TABLE_DESC,MATCH(B86,OCC_TABLE_CODE,0)),"Unrecognized code"))</f>
        <v/>
      </c>
    </row>
    <row r="87" ht="25.5" customHeight="1" s="545">
      <c r="A87" s="458" t="inlineStr">
        <is>
          <t>P040</t>
        </is>
      </c>
      <c r="B87" s="449" t="n">
        <v>407</v>
      </c>
      <c r="C87" s="458" t="inlineStr">
        <is>
          <t>R0202874</t>
        </is>
      </c>
      <c r="D87" s="468" t="inlineStr">
        <is>
          <t>900 E 128th Ave</t>
        </is>
      </c>
      <c r="E87" s="458" t="inlineStr">
        <is>
          <t>Henderson</t>
        </is>
      </c>
      <c r="F87" s="458" t="inlineStr">
        <is>
          <t>CO</t>
        </is>
      </c>
      <c r="G87" s="458" t="inlineStr">
        <is>
          <t>Industrial</t>
        </is>
      </c>
      <c r="H87" s="468" t="inlineStr">
        <is>
          <t>Last-Mile Distribution NNN</t>
        </is>
      </c>
      <c r="I87" s="458" t="n"/>
      <c r="J87" s="458" t="n"/>
      <c r="K87" s="458" t="n">
        <v>2022</v>
      </c>
      <c r="L87" s="458" t="n"/>
      <c r="M87" s="458" t="n"/>
      <c r="N87" s="458" t="n"/>
      <c r="O87" s="458" t="n"/>
      <c r="P87" s="469" t="n">
        <v>69999</v>
      </c>
      <c r="Q87" s="458" t="n"/>
      <c r="R87" s="458" t="n"/>
      <c r="S87" s="458" t="n"/>
      <c r="T87" s="458" t="n"/>
      <c r="U87" s="458" t="n"/>
      <c r="V87" s="458" t="n"/>
      <c r="W87" s="458" t="n"/>
      <c r="X87" s="458" t="n"/>
      <c r="Y87" s="458" t="n"/>
      <c r="Z87" s="458" t="n"/>
      <c r="AA87" s="458" t="n"/>
      <c r="AB87" s="458" t="n"/>
      <c r="AC87" s="458" t="n"/>
      <c r="AD87" s="458" t="n"/>
      <c r="AE87" s="458" t="n"/>
      <c r="AF87" s="458" t="n"/>
      <c r="AG87" s="458" t="n"/>
      <c r="AH87" s="458" t="n"/>
      <c r="AI87" s="469" t="n">
        <v>1080500</v>
      </c>
      <c r="AJ87" s="469" t="n">
        <v>1527913</v>
      </c>
      <c r="AK87" s="469" t="n">
        <v>2475461</v>
      </c>
      <c r="AL87" s="458" t="n"/>
      <c r="AM87" s="468" t="inlineStr">
        <is>
          <t>Amazon AMZL Site 51812; 2022 dominated by RE Tax $1.08M; asset mgmt fee $70k</t>
        </is>
      </c>
      <c r="AN87">
        <f>IF(AND($B87=Subj_OccCode,Subj_BldgSF&gt;0,ABS($J87-Subj_BldgSF)&lt;=Subj_BldgSF*Subj_SizeTol),ABS($J87-Subj_BldgSF),NA())</f>
        <v/>
      </c>
      <c r="AO87">
        <f>IF(ISNA(AN87),NA(),AN87+ROW()/10000000)</f>
        <v/>
      </c>
      <c r="AR87" s="256">
        <f>IF(B87="","",IFERROR(INDEX(OCC_TABLE_DESC,MATCH(B87,OCC_TABLE_CODE,0)),"Unrecognized code"))</f>
        <v/>
      </c>
    </row>
    <row r="88" ht="25.5" customHeight="1" s="545">
      <c r="A88" s="458" t="inlineStr">
        <is>
          <t>P041</t>
        </is>
      </c>
      <c r="B88" s="449" t="n">
        <v>386</v>
      </c>
      <c r="C88" s="458" t="inlineStr">
        <is>
          <t>R0189384</t>
        </is>
      </c>
      <c r="D88" s="468" t="inlineStr">
        <is>
          <t>1101 Colorado Blvd</t>
        </is>
      </c>
      <c r="E88" s="458" t="inlineStr">
        <is>
          <t>Thornton</t>
        </is>
      </c>
      <c r="F88" s="458" t="inlineStr">
        <is>
          <t>CO</t>
        </is>
      </c>
      <c r="G88" s="458" t="inlineStr">
        <is>
          <t>Self-Storage</t>
        </is>
      </c>
      <c r="H88" s="468" t="inlineStr">
        <is>
          <t>Climate-Controlled</t>
        </is>
      </c>
      <c r="I88" s="458" t="n"/>
      <c r="J88" s="458" t="n">
        <v>65766</v>
      </c>
      <c r="K88" s="458" t="n">
        <v>2021</v>
      </c>
      <c r="L88" s="458" t="n"/>
      <c r="M88" s="458" t="n"/>
      <c r="N88" s="469" t="n">
        <v>879992</v>
      </c>
      <c r="O88" s="458" t="n"/>
      <c r="P88" s="458" t="n"/>
      <c r="Q88" s="458" t="n"/>
      <c r="R88" s="458" t="n"/>
      <c r="S88" s="458" t="n"/>
      <c r="T88" s="458" t="n"/>
      <c r="U88" s="458" t="n"/>
      <c r="V88" s="458" t="n"/>
      <c r="W88" s="458" t="n"/>
      <c r="X88" s="458" t="n"/>
      <c r="Y88" s="458" t="n"/>
      <c r="Z88" s="458" t="n"/>
      <c r="AA88" s="458" t="n"/>
      <c r="AB88" s="458" t="n"/>
      <c r="AC88" s="458" t="n"/>
      <c r="AD88" s="458" t="n"/>
      <c r="AE88" s="458" t="n"/>
      <c r="AF88" s="458" t="n"/>
      <c r="AG88" s="458" t="n"/>
      <c r="AH88" s="458" t="n"/>
      <c r="AI88" s="458" t="n"/>
      <c r="AJ88" s="469" t="n">
        <v>418098</v>
      </c>
      <c r="AK88" s="469" t="n">
        <v>461894</v>
      </c>
      <c r="AL88" s="458" t="n"/>
      <c r="AM88" s="468" t="inlineStr">
        <is>
          <t>Actual SS P&amp;L; mgmt=off-site+on-site combined; admin+adv in Other</t>
        </is>
      </c>
      <c r="AN88">
        <f>IF(AND($B88=Subj_OccCode,Subj_BldgSF&gt;0,ABS($J88-Subj_BldgSF)&lt;=Subj_BldgSF*Subj_SizeTol),ABS($J88-Subj_BldgSF),NA())</f>
        <v/>
      </c>
      <c r="AO88">
        <f>IF(ISNA(AN88),NA(),AN88+ROW()/10000000)</f>
        <v/>
      </c>
      <c r="AR88" s="256">
        <f>IF(B88="","",IFERROR(INDEX(OCC_TABLE_DESC,MATCH(B88,OCC_TABLE_CODE,0)),"Unrecognized code"))</f>
        <v/>
      </c>
    </row>
    <row r="89" ht="25.5" customHeight="1" s="545">
      <c r="A89" s="458" t="inlineStr">
        <is>
          <t>P041</t>
        </is>
      </c>
      <c r="B89" s="449" t="n">
        <v>386</v>
      </c>
      <c r="C89" s="458" t="inlineStr">
        <is>
          <t>R0189384</t>
        </is>
      </c>
      <c r="D89" s="468" t="inlineStr">
        <is>
          <t>1101 Colorado Blvd</t>
        </is>
      </c>
      <c r="E89" s="458" t="inlineStr">
        <is>
          <t>Thornton</t>
        </is>
      </c>
      <c r="F89" s="458" t="inlineStr">
        <is>
          <t>CO</t>
        </is>
      </c>
      <c r="G89" s="458" t="inlineStr">
        <is>
          <t>Self-Storage</t>
        </is>
      </c>
      <c r="H89" s="468" t="inlineStr">
        <is>
          <t>Climate-Controlled</t>
        </is>
      </c>
      <c r="I89" s="458" t="n"/>
      <c r="J89" s="458" t="n">
        <v>65766</v>
      </c>
      <c r="K89" s="458" t="n">
        <v>2022</v>
      </c>
      <c r="L89" s="458" t="n"/>
      <c r="M89" s="458" t="n"/>
      <c r="N89" s="469" t="n">
        <v>924824</v>
      </c>
      <c r="O89" s="458" t="n"/>
      <c r="P89" s="458" t="n"/>
      <c r="Q89" s="458" t="n"/>
      <c r="R89" s="458" t="n"/>
      <c r="S89" s="458" t="n"/>
      <c r="T89" s="458" t="n"/>
      <c r="U89" s="458" t="n"/>
      <c r="V89" s="458" t="n"/>
      <c r="W89" s="458" t="n"/>
      <c r="X89" s="458" t="n"/>
      <c r="Y89" s="458" t="n"/>
      <c r="Z89" s="458" t="n"/>
      <c r="AA89" s="458" t="n"/>
      <c r="AB89" s="458" t="n"/>
      <c r="AC89" s="458" t="n"/>
      <c r="AD89" s="458" t="n"/>
      <c r="AE89" s="458" t="n"/>
      <c r="AF89" s="458" t="n"/>
      <c r="AG89" s="458" t="n"/>
      <c r="AH89" s="458" t="n"/>
      <c r="AI89" s="458" t="n"/>
      <c r="AJ89" s="469" t="n">
        <v>455769</v>
      </c>
      <c r="AK89" s="469" t="n">
        <v>469055</v>
      </c>
      <c r="AL89" s="458" t="n"/>
      <c r="AM89" s="468" t="inlineStr">
        <is>
          <t>Actual SS P&amp;L; mgmt=off-site+on-site combined; admin+adv in Other</t>
        </is>
      </c>
      <c r="AN89">
        <f>IF(AND($B89=Subj_OccCode,Subj_BldgSF&gt;0,ABS($J89-Subj_BldgSF)&lt;=Subj_BldgSF*Subj_SizeTol),ABS($J89-Subj_BldgSF),NA())</f>
        <v/>
      </c>
      <c r="AO89">
        <f>IF(ISNA(AN89),NA(),AN89+ROW()/10000000)</f>
        <v/>
      </c>
      <c r="AR89" s="256">
        <f>IF(B89="","",IFERROR(INDEX(OCC_TABLE_DESC,MATCH(B89,OCC_TABLE_CODE,0)),"Unrecognized code"))</f>
        <v/>
      </c>
    </row>
    <row r="90" ht="25.5" customHeight="1" s="545">
      <c r="A90" s="458" t="inlineStr">
        <is>
          <t>P041</t>
        </is>
      </c>
      <c r="B90" s="449" t="n">
        <v>386</v>
      </c>
      <c r="C90" s="458" t="inlineStr">
        <is>
          <t>R0189384</t>
        </is>
      </c>
      <c r="D90" s="468" t="inlineStr">
        <is>
          <t>1101 Colorado Blvd</t>
        </is>
      </c>
      <c r="E90" s="458" t="inlineStr">
        <is>
          <t>Thornton</t>
        </is>
      </c>
      <c r="F90" s="458" t="inlineStr">
        <is>
          <t>CO</t>
        </is>
      </c>
      <c r="G90" s="458" t="inlineStr">
        <is>
          <t>Self-Storage</t>
        </is>
      </c>
      <c r="H90" s="468" t="inlineStr">
        <is>
          <t>Climate-Controlled</t>
        </is>
      </c>
      <c r="I90" s="458" t="n"/>
      <c r="J90" s="458" t="n">
        <v>65766</v>
      </c>
      <c r="K90" s="458" t="n">
        <v>2023</v>
      </c>
      <c r="L90" s="458" t="n"/>
      <c r="M90" s="458" t="n"/>
      <c r="N90" s="469" t="n">
        <v>931247</v>
      </c>
      <c r="O90" s="469" t="n">
        <v>41471</v>
      </c>
      <c r="P90" s="469" t="n">
        <v>104101</v>
      </c>
      <c r="Q90" s="458" t="n"/>
      <c r="R90" s="458" t="n"/>
      <c r="S90" s="458" t="n"/>
      <c r="T90" s="458" t="n"/>
      <c r="U90" s="458" t="n"/>
      <c r="V90" s="458" t="n"/>
      <c r="W90" s="458" t="n"/>
      <c r="X90" s="458" t="n"/>
      <c r="Y90" s="469" t="n">
        <v>15564</v>
      </c>
      <c r="Z90" s="458" t="n"/>
      <c r="AA90" s="458" t="n"/>
      <c r="AB90" s="458" t="n"/>
      <c r="AC90" s="458" t="n"/>
      <c r="AD90" s="458" t="n"/>
      <c r="AE90" s="458" t="n"/>
      <c r="AF90" s="469" t="n">
        <v>37120</v>
      </c>
      <c r="AG90" s="458" t="n"/>
      <c r="AH90" s="469" t="n">
        <v>294563</v>
      </c>
      <c r="AI90" s="469" t="n">
        <v>179920</v>
      </c>
      <c r="AJ90" s="469" t="n">
        <v>474483</v>
      </c>
      <c r="AK90" s="469" t="n">
        <v>469746</v>
      </c>
      <c r="AL90" s="458" t="n"/>
      <c r="AM90" s="468" t="inlineStr">
        <is>
          <t>Actual SS P&amp;L; mgmt=off-site+on-site combined; admin+adv in Other</t>
        </is>
      </c>
      <c r="AN90">
        <f>IF(AND($B90=Subj_OccCode,Subj_BldgSF&gt;0,ABS($J90-Subj_BldgSF)&lt;=Subj_BldgSF*Subj_SizeTol),ABS($J90-Subj_BldgSF),NA())</f>
        <v/>
      </c>
      <c r="AO90">
        <f>IF(ISNA(AN90),NA(),AN90+ROW()/10000000)</f>
        <v/>
      </c>
      <c r="AR90" s="256">
        <f>IF(B90="","",IFERROR(INDEX(OCC_TABLE_DESC,MATCH(B90,OCC_TABLE_CODE,0)),"Unrecognized code"))</f>
        <v/>
      </c>
    </row>
    <row r="91" ht="12.75" customHeight="1" s="545">
      <c r="A91" s="458" t="inlineStr">
        <is>
          <t>P042</t>
        </is>
      </c>
      <c r="B91" s="449" t="n">
        <v>386</v>
      </c>
      <c r="C91" s="458" t="inlineStr">
        <is>
          <t>R0126235</t>
        </is>
      </c>
      <c r="D91" s="468" t="inlineStr">
        <is>
          <t>15024 Laroy Drive</t>
        </is>
      </c>
      <c r="E91" s="458" t="inlineStr">
        <is>
          <t>Northglenn</t>
        </is>
      </c>
      <c r="F91" s="458" t="inlineStr">
        <is>
          <t>CO</t>
        </is>
      </c>
      <c r="G91" s="458" t="inlineStr">
        <is>
          <t>Self-Storage</t>
        </is>
      </c>
      <c r="H91" s="468" t="inlineStr">
        <is>
          <t>Climate-Controlled</t>
        </is>
      </c>
      <c r="I91" s="458" t="n"/>
      <c r="J91" s="458" t="n">
        <v>79950</v>
      </c>
      <c r="K91" s="458" t="n">
        <v>2021</v>
      </c>
      <c r="L91" s="458" t="n"/>
      <c r="M91" s="458" t="n"/>
      <c r="N91" s="469" t="n">
        <v>956337</v>
      </c>
      <c r="O91" s="458" t="n"/>
      <c r="P91" s="458" t="n"/>
      <c r="Q91" s="458" t="n"/>
      <c r="R91" s="458" t="n"/>
      <c r="S91" s="458" t="n"/>
      <c r="T91" s="458" t="n"/>
      <c r="U91" s="458" t="n"/>
      <c r="V91" s="458" t="n"/>
      <c r="W91" s="458" t="n"/>
      <c r="X91" s="458" t="n"/>
      <c r="Y91" s="458" t="n"/>
      <c r="Z91" s="458" t="n"/>
      <c r="AA91" s="458" t="n"/>
      <c r="AB91" s="458" t="n"/>
      <c r="AC91" s="458" t="n"/>
      <c r="AD91" s="458" t="n"/>
      <c r="AE91" s="458" t="n"/>
      <c r="AF91" s="458" t="n"/>
      <c r="AG91" s="458" t="n"/>
      <c r="AH91" s="458" t="n"/>
      <c r="AI91" s="458" t="n"/>
      <c r="AJ91" s="469" t="n">
        <v>481614</v>
      </c>
      <c r="AK91" s="469" t="n">
        <v>514723</v>
      </c>
      <c r="AL91" s="458" t="n"/>
      <c r="AM91" s="468" t="inlineStr">
        <is>
          <t>Actual SS P&amp;L; mgmt=off-site+on-site combined</t>
        </is>
      </c>
      <c r="AN91">
        <f>IF(AND($B91=Subj_OccCode,Subj_BldgSF&gt;0,ABS($J91-Subj_BldgSF)&lt;=Subj_BldgSF*Subj_SizeTol),ABS($J91-Subj_BldgSF),NA())</f>
        <v/>
      </c>
      <c r="AO91">
        <f>IF(ISNA(AN91),NA(),AN91+ROW()/10000000)</f>
        <v/>
      </c>
      <c r="AR91" s="256">
        <f>IF(B91="","",IFERROR(INDEX(OCC_TABLE_DESC,MATCH(B91,OCC_TABLE_CODE,0)),"Unrecognized code"))</f>
        <v/>
      </c>
    </row>
    <row r="92" ht="12.75" customHeight="1" s="545">
      <c r="A92" s="458" t="inlineStr">
        <is>
          <t>P042</t>
        </is>
      </c>
      <c r="B92" s="449" t="n">
        <v>386</v>
      </c>
      <c r="C92" s="458" t="inlineStr">
        <is>
          <t>R0126235</t>
        </is>
      </c>
      <c r="D92" s="468" t="inlineStr">
        <is>
          <t>15024 Laroy Drive</t>
        </is>
      </c>
      <c r="E92" s="458" t="inlineStr">
        <is>
          <t>Northglenn</t>
        </is>
      </c>
      <c r="F92" s="458" t="inlineStr">
        <is>
          <t>CO</t>
        </is>
      </c>
      <c r="G92" s="458" t="inlineStr">
        <is>
          <t>Self-Storage</t>
        </is>
      </c>
      <c r="H92" s="468" t="inlineStr">
        <is>
          <t>Climate-Controlled</t>
        </is>
      </c>
      <c r="I92" s="458" t="n"/>
      <c r="J92" s="458" t="n">
        <v>79950</v>
      </c>
      <c r="K92" s="458" t="n">
        <v>2022</v>
      </c>
      <c r="L92" s="458" t="n"/>
      <c r="M92" s="458" t="n"/>
      <c r="N92" s="469" t="n">
        <v>1017929</v>
      </c>
      <c r="O92" s="458" t="n"/>
      <c r="P92" s="458" t="n"/>
      <c r="Q92" s="458" t="n"/>
      <c r="R92" s="458" t="n"/>
      <c r="S92" s="458" t="n"/>
      <c r="T92" s="458" t="n"/>
      <c r="U92" s="458" t="n"/>
      <c r="V92" s="458" t="n"/>
      <c r="W92" s="458" t="n"/>
      <c r="X92" s="458" t="n"/>
      <c r="Y92" s="458" t="n"/>
      <c r="Z92" s="458" t="n"/>
      <c r="AA92" s="458" t="n"/>
      <c r="AB92" s="458" t="n"/>
      <c r="AC92" s="458" t="n"/>
      <c r="AD92" s="458" t="n"/>
      <c r="AE92" s="458" t="n"/>
      <c r="AF92" s="458" t="n"/>
      <c r="AG92" s="458" t="n"/>
      <c r="AH92" s="458" t="n"/>
      <c r="AI92" s="458" t="n"/>
      <c r="AJ92" s="469" t="n">
        <v>432239</v>
      </c>
      <c r="AK92" s="469" t="n">
        <v>585690</v>
      </c>
      <c r="AL92" s="458" t="n"/>
      <c r="AM92" s="468" t="inlineStr">
        <is>
          <t>Actual SS P&amp;L; mgmt=off-site+on-site combined</t>
        </is>
      </c>
      <c r="AN92">
        <f>IF(AND($B92=Subj_OccCode,Subj_BldgSF&gt;0,ABS($J92-Subj_BldgSF)&lt;=Subj_BldgSF*Subj_SizeTol),ABS($J92-Subj_BldgSF),NA())</f>
        <v/>
      </c>
      <c r="AO92">
        <f>IF(ISNA(AN92),NA(),AN92+ROW()/10000000)</f>
        <v/>
      </c>
      <c r="AR92" s="256">
        <f>IF(B92="","",IFERROR(INDEX(OCC_TABLE_DESC,MATCH(B92,OCC_TABLE_CODE,0)),"Unrecognized code"))</f>
        <v/>
      </c>
    </row>
    <row r="93" ht="12.75" customHeight="1" s="545">
      <c r="A93" s="458" t="inlineStr">
        <is>
          <t>P042</t>
        </is>
      </c>
      <c r="B93" s="449" t="n">
        <v>386</v>
      </c>
      <c r="C93" s="458" t="inlineStr">
        <is>
          <t>R0126235</t>
        </is>
      </c>
      <c r="D93" s="468" t="inlineStr">
        <is>
          <t>15024 Laroy Drive</t>
        </is>
      </c>
      <c r="E93" s="458" t="inlineStr">
        <is>
          <t>Northglenn</t>
        </is>
      </c>
      <c r="F93" s="458" t="inlineStr">
        <is>
          <t>CO</t>
        </is>
      </c>
      <c r="G93" s="458" t="inlineStr">
        <is>
          <t>Self-Storage</t>
        </is>
      </c>
      <c r="H93" s="468" t="inlineStr">
        <is>
          <t>Climate-Controlled</t>
        </is>
      </c>
      <c r="I93" s="458" t="n"/>
      <c r="J93" s="458" t="n">
        <v>79950</v>
      </c>
      <c r="K93" s="458" t="n">
        <v>2023</v>
      </c>
      <c r="L93" s="458" t="n"/>
      <c r="M93" s="458" t="n"/>
      <c r="N93" s="469" t="n">
        <v>954605</v>
      </c>
      <c r="O93" s="469" t="n">
        <v>40815</v>
      </c>
      <c r="P93" s="469" t="n">
        <v>108523</v>
      </c>
      <c r="Q93" s="458" t="n"/>
      <c r="R93" s="458" t="n"/>
      <c r="S93" s="458" t="n"/>
      <c r="T93" s="458" t="n"/>
      <c r="U93" s="458" t="n"/>
      <c r="V93" s="458" t="n"/>
      <c r="W93" s="458" t="n"/>
      <c r="X93" s="458" t="n"/>
      <c r="Y93" s="469" t="n">
        <v>24068</v>
      </c>
      <c r="Z93" s="458" t="n"/>
      <c r="AA93" s="458" t="n"/>
      <c r="AB93" s="458" t="n"/>
      <c r="AC93" s="458" t="n"/>
      <c r="AD93" s="458" t="n"/>
      <c r="AE93" s="458" t="n"/>
      <c r="AF93" s="469" t="n">
        <v>20683</v>
      </c>
      <c r="AG93" s="458" t="n"/>
      <c r="AH93" s="469" t="n">
        <v>274666</v>
      </c>
      <c r="AI93" s="469" t="n">
        <v>244725</v>
      </c>
      <c r="AJ93" s="469" t="n">
        <v>519391</v>
      </c>
      <c r="AK93" s="469" t="n">
        <v>435215</v>
      </c>
      <c r="AL93" s="458" t="n"/>
      <c r="AM93" s="468" t="inlineStr">
        <is>
          <t>Actual SS P&amp;L; mgmt=off-site+on-site combined</t>
        </is>
      </c>
      <c r="AN93">
        <f>IF(AND($B93=Subj_OccCode,Subj_BldgSF&gt;0,ABS($J93-Subj_BldgSF)&lt;=Subj_BldgSF*Subj_SizeTol),ABS($J93-Subj_BldgSF),NA())</f>
        <v/>
      </c>
      <c r="AO93">
        <f>IF(ISNA(AN93),NA(),AN93+ROW()/10000000)</f>
        <v/>
      </c>
      <c r="AR93" s="256">
        <f>IF(B93="","",IFERROR(INDEX(OCC_TABLE_DESC,MATCH(B93,OCC_TABLE_CODE,0)),"Unrecognized code"))</f>
        <v/>
      </c>
    </row>
    <row r="94" ht="12.75" customHeight="1" s="545">
      <c r="A94" s="458" t="inlineStr">
        <is>
          <t>P043</t>
        </is>
      </c>
      <c r="B94" s="449" t="n">
        <v>386</v>
      </c>
      <c r="C94" s="458" t="inlineStr">
        <is>
          <t>R0126234</t>
        </is>
      </c>
      <c r="D94" s="468" t="inlineStr">
        <is>
          <t>715 W 112th Ave</t>
        </is>
      </c>
      <c r="E94" s="458" t="inlineStr">
        <is>
          <t>Northglenn</t>
        </is>
      </c>
      <c r="F94" s="458" t="inlineStr">
        <is>
          <t>CO</t>
        </is>
      </c>
      <c r="G94" s="458" t="inlineStr">
        <is>
          <t>Self-Storage</t>
        </is>
      </c>
      <c r="H94" s="468" t="inlineStr">
        <is>
          <t>Drive-Up/Drop-Off</t>
        </is>
      </c>
      <c r="I94" s="458" t="n"/>
      <c r="J94" s="458" t="n">
        <v>83756</v>
      </c>
      <c r="K94" s="458" t="n">
        <v>2021</v>
      </c>
      <c r="L94" s="458" t="n"/>
      <c r="M94" s="458" t="n"/>
      <c r="N94" s="469" t="n">
        <v>814763</v>
      </c>
      <c r="O94" s="458" t="n"/>
      <c r="P94" s="458" t="n"/>
      <c r="Q94" s="458" t="n"/>
      <c r="R94" s="458" t="n"/>
      <c r="S94" s="458" t="n"/>
      <c r="T94" s="458" t="n"/>
      <c r="U94" s="458" t="n"/>
      <c r="V94" s="458" t="n"/>
      <c r="W94" s="458" t="n"/>
      <c r="X94" s="458" t="n"/>
      <c r="Y94" s="458" t="n"/>
      <c r="Z94" s="458" t="n"/>
      <c r="AA94" s="458" t="n"/>
      <c r="AB94" s="458" t="n"/>
      <c r="AC94" s="458" t="n"/>
      <c r="AD94" s="458" t="n"/>
      <c r="AE94" s="458" t="n"/>
      <c r="AF94" s="458" t="n"/>
      <c r="AG94" s="458" t="n"/>
      <c r="AH94" s="458" t="n"/>
      <c r="AI94" s="458" t="n"/>
      <c r="AJ94" s="469" t="n">
        <v>436596</v>
      </c>
      <c r="AK94" s="469" t="n">
        <v>378167</v>
      </c>
      <c r="AL94" s="458" t="n"/>
      <c r="AM94" s="468" t="inlineStr">
        <is>
          <t>Actual SS P&amp;L; mgmt=off-site+on-site combined</t>
        </is>
      </c>
      <c r="AN94">
        <f>IF(AND($B94=Subj_OccCode,Subj_BldgSF&gt;0,ABS($J94-Subj_BldgSF)&lt;=Subj_BldgSF*Subj_SizeTol),ABS($J94-Subj_BldgSF),NA())</f>
        <v/>
      </c>
      <c r="AO94">
        <f>IF(ISNA(AN94),NA(),AN94+ROW()/10000000)</f>
        <v/>
      </c>
      <c r="AR94" s="256">
        <f>IF(B94="","",IFERROR(INDEX(OCC_TABLE_DESC,MATCH(B94,OCC_TABLE_CODE,0)),"Unrecognized code"))</f>
        <v/>
      </c>
    </row>
    <row r="95" ht="12.75" customHeight="1" s="545">
      <c r="A95" s="458" t="inlineStr">
        <is>
          <t>P043</t>
        </is>
      </c>
      <c r="B95" s="449" t="n">
        <v>386</v>
      </c>
      <c r="C95" s="458" t="inlineStr">
        <is>
          <t>R0126234</t>
        </is>
      </c>
      <c r="D95" s="468" t="inlineStr">
        <is>
          <t>715 W 112th Ave</t>
        </is>
      </c>
      <c r="E95" s="458" t="inlineStr">
        <is>
          <t>Northglenn</t>
        </is>
      </c>
      <c r="F95" s="458" t="inlineStr">
        <is>
          <t>CO</t>
        </is>
      </c>
      <c r="G95" s="458" t="inlineStr">
        <is>
          <t>Self-Storage</t>
        </is>
      </c>
      <c r="H95" s="468" t="inlineStr">
        <is>
          <t>Drive-Up/Drop-Off</t>
        </is>
      </c>
      <c r="I95" s="458" t="n"/>
      <c r="J95" s="458" t="n">
        <v>83756</v>
      </c>
      <c r="K95" s="458" t="n">
        <v>2022</v>
      </c>
      <c r="L95" s="458" t="n"/>
      <c r="M95" s="458" t="n"/>
      <c r="N95" s="469" t="n">
        <v>980798</v>
      </c>
      <c r="O95" s="458" t="n"/>
      <c r="P95" s="458" t="n"/>
      <c r="Q95" s="458" t="n"/>
      <c r="R95" s="458" t="n"/>
      <c r="S95" s="458" t="n"/>
      <c r="T95" s="458" t="n"/>
      <c r="U95" s="458" t="n"/>
      <c r="V95" s="458" t="n"/>
      <c r="W95" s="458" t="n"/>
      <c r="X95" s="458" t="n"/>
      <c r="Y95" s="458" t="n"/>
      <c r="Z95" s="458" t="n"/>
      <c r="AA95" s="458" t="n"/>
      <c r="AB95" s="458" t="n"/>
      <c r="AC95" s="458" t="n"/>
      <c r="AD95" s="458" t="n"/>
      <c r="AE95" s="458" t="n"/>
      <c r="AF95" s="458" t="n"/>
      <c r="AG95" s="458" t="n"/>
      <c r="AH95" s="458" t="n"/>
      <c r="AI95" s="458" t="n"/>
      <c r="AJ95" s="469" t="n">
        <v>455854</v>
      </c>
      <c r="AK95" s="469" t="n">
        <v>524944</v>
      </c>
      <c r="AL95" s="458" t="n"/>
      <c r="AM95" s="468" t="inlineStr">
        <is>
          <t>Actual SS P&amp;L; mgmt=off-site+on-site combined</t>
        </is>
      </c>
      <c r="AN95">
        <f>IF(AND($B95=Subj_OccCode,Subj_BldgSF&gt;0,ABS($J95-Subj_BldgSF)&lt;=Subj_BldgSF*Subj_SizeTol),ABS($J95-Subj_BldgSF),NA())</f>
        <v/>
      </c>
      <c r="AO95">
        <f>IF(ISNA(AN95),NA(),AN95+ROW()/10000000)</f>
        <v/>
      </c>
      <c r="AR95" s="256">
        <f>IF(B95="","",IFERROR(INDEX(OCC_TABLE_DESC,MATCH(B95,OCC_TABLE_CODE,0)),"Unrecognized code"))</f>
        <v/>
      </c>
    </row>
    <row r="96" ht="12.75" customHeight="1" s="545">
      <c r="A96" s="458" t="inlineStr">
        <is>
          <t>P043</t>
        </is>
      </c>
      <c r="B96" s="449" t="n">
        <v>386</v>
      </c>
      <c r="C96" s="458" t="inlineStr">
        <is>
          <t>R0126234</t>
        </is>
      </c>
      <c r="D96" s="468" t="inlineStr">
        <is>
          <t>715 W 112th Ave</t>
        </is>
      </c>
      <c r="E96" s="458" t="inlineStr">
        <is>
          <t>Northglenn</t>
        </is>
      </c>
      <c r="F96" s="458" t="inlineStr">
        <is>
          <t>CO</t>
        </is>
      </c>
      <c r="G96" s="458" t="inlineStr">
        <is>
          <t>Self-Storage</t>
        </is>
      </c>
      <c r="H96" s="468" t="inlineStr">
        <is>
          <t>Drive-Up/Drop-Off</t>
        </is>
      </c>
      <c r="I96" s="458" t="n"/>
      <c r="J96" s="458" t="n">
        <v>83756</v>
      </c>
      <c r="K96" s="458" t="n">
        <v>2023</v>
      </c>
      <c r="L96" s="458" t="n"/>
      <c r="M96" s="458" t="n"/>
      <c r="N96" s="469" t="n">
        <v>1011950</v>
      </c>
      <c r="O96" s="469" t="n">
        <v>47107</v>
      </c>
      <c r="P96" s="469" t="n">
        <v>111748</v>
      </c>
      <c r="Q96" s="458" t="n"/>
      <c r="R96" s="458" t="n"/>
      <c r="S96" s="458" t="n"/>
      <c r="T96" s="458" t="n"/>
      <c r="U96" s="458" t="n"/>
      <c r="V96" s="458" t="n"/>
      <c r="W96" s="458" t="n"/>
      <c r="X96" s="458" t="n"/>
      <c r="Y96" s="469" t="n">
        <v>10236</v>
      </c>
      <c r="Z96" s="458" t="n"/>
      <c r="AA96" s="458" t="n"/>
      <c r="AB96" s="458" t="n"/>
      <c r="AC96" s="458" t="n"/>
      <c r="AD96" s="458" t="n"/>
      <c r="AE96" s="458" t="n"/>
      <c r="AF96" s="469" t="n">
        <v>15944</v>
      </c>
      <c r="AG96" s="458" t="n"/>
      <c r="AH96" s="469" t="n">
        <v>257858</v>
      </c>
      <c r="AI96" s="469" t="n">
        <v>202686</v>
      </c>
      <c r="AJ96" s="469" t="n">
        <v>460544</v>
      </c>
      <c r="AK96" s="469" t="n">
        <v>551606</v>
      </c>
      <c r="AL96" s="458" t="n"/>
      <c r="AM96" s="468" t="inlineStr">
        <is>
          <t>Actual SS P&amp;L; mgmt=off-site+on-site combined</t>
        </is>
      </c>
      <c r="AN96">
        <f>IF(AND($B96=Subj_OccCode,Subj_BldgSF&gt;0,ABS($J96-Subj_BldgSF)&lt;=Subj_BldgSF*Subj_SizeTol),ABS($J96-Subj_BldgSF),NA())</f>
        <v/>
      </c>
      <c r="AO96">
        <f>IF(ISNA(AN96),NA(),AN96+ROW()/10000000)</f>
        <v/>
      </c>
      <c r="AR96" s="256">
        <f>IF(B96="","",IFERROR(INDEX(OCC_TABLE_DESC,MATCH(B96,OCC_TABLE_CODE,0)),"Unrecognized code"))</f>
        <v/>
      </c>
    </row>
    <row r="97" ht="25.5" customHeight="1" s="545">
      <c r="A97" s="458" t="inlineStr">
        <is>
          <t>P044</t>
        </is>
      </c>
      <c r="B97" s="449" t="n">
        <v>386</v>
      </c>
      <c r="C97" s="458" t="inlineStr">
        <is>
          <t>R0027089/R0178319</t>
        </is>
      </c>
      <c r="D97" s="468" t="inlineStr">
        <is>
          <t>2290 E 120th Ave</t>
        </is>
      </c>
      <c r="E97" s="458" t="inlineStr">
        <is>
          <t>Thornton</t>
        </is>
      </c>
      <c r="F97" s="458" t="inlineStr">
        <is>
          <t>CO</t>
        </is>
      </c>
      <c r="G97" s="458" t="inlineStr">
        <is>
          <t>Self-Storage</t>
        </is>
      </c>
      <c r="H97" s="468" t="inlineStr">
        <is>
          <t>Drive-Up/Drop-Off</t>
        </is>
      </c>
      <c r="I97" s="458" t="n"/>
      <c r="J97" s="458" t="n">
        <v>71909</v>
      </c>
      <c r="K97" s="458" t="n">
        <v>2021</v>
      </c>
      <c r="L97" s="458" t="n"/>
      <c r="M97" s="458" t="n"/>
      <c r="N97" s="469" t="n">
        <v>837430</v>
      </c>
      <c r="O97" s="458" t="n"/>
      <c r="P97" s="458" t="n"/>
      <c r="Q97" s="458" t="n"/>
      <c r="R97" s="458" t="n"/>
      <c r="S97" s="458" t="n"/>
      <c r="T97" s="458" t="n"/>
      <c r="U97" s="458" t="n"/>
      <c r="V97" s="458" t="n"/>
      <c r="W97" s="458" t="n"/>
      <c r="X97" s="458" t="n"/>
      <c r="Y97" s="458" t="n"/>
      <c r="Z97" s="458" t="n"/>
      <c r="AA97" s="458" t="n"/>
      <c r="AB97" s="458" t="n"/>
      <c r="AC97" s="458" t="n"/>
      <c r="AD97" s="458" t="n"/>
      <c r="AE97" s="458" t="n"/>
      <c r="AF97" s="458" t="n"/>
      <c r="AG97" s="458" t="n"/>
      <c r="AH97" s="458" t="n"/>
      <c r="AI97" s="458" t="n"/>
      <c r="AJ97" s="469" t="n">
        <v>445701</v>
      </c>
      <c r="AK97" s="469" t="n">
        <v>391729</v>
      </c>
      <c r="AL97" s="458" t="n"/>
      <c r="AM97" s="468" t="inlineStr">
        <is>
          <t>Actual SS P&amp;L; combined parcels R0027089+R0178319; mgmt=off-site+on-site</t>
        </is>
      </c>
      <c r="AN97">
        <f>IF(AND($B97=Subj_OccCode,Subj_BldgSF&gt;0,ABS($J97-Subj_BldgSF)&lt;=Subj_BldgSF*Subj_SizeTol),ABS($J97-Subj_BldgSF),NA())</f>
        <v/>
      </c>
      <c r="AO97">
        <f>IF(ISNA(AN97),NA(),AN97+ROW()/10000000)</f>
        <v/>
      </c>
      <c r="AR97" s="256">
        <f>IF(B97="","",IFERROR(INDEX(OCC_TABLE_DESC,MATCH(B97,OCC_TABLE_CODE,0)),"Unrecognized code"))</f>
        <v/>
      </c>
    </row>
    <row r="98" ht="25.5" customHeight="1" s="545">
      <c r="A98" s="458" t="inlineStr">
        <is>
          <t>P044</t>
        </is>
      </c>
      <c r="B98" s="449" t="n">
        <v>386</v>
      </c>
      <c r="C98" s="458" t="inlineStr">
        <is>
          <t>R0027089/R0178319</t>
        </is>
      </c>
      <c r="D98" s="468" t="inlineStr">
        <is>
          <t>2290 E 120th Ave</t>
        </is>
      </c>
      <c r="E98" s="458" t="inlineStr">
        <is>
          <t>Thornton</t>
        </is>
      </c>
      <c r="F98" s="458" t="inlineStr">
        <is>
          <t>CO</t>
        </is>
      </c>
      <c r="G98" s="458" t="inlineStr">
        <is>
          <t>Self-Storage</t>
        </is>
      </c>
      <c r="H98" s="468" t="inlineStr">
        <is>
          <t>Drive-Up/Drop-Off</t>
        </is>
      </c>
      <c r="I98" s="458" t="n"/>
      <c r="J98" s="458" t="n">
        <v>71909</v>
      </c>
      <c r="K98" s="458" t="n">
        <v>2022</v>
      </c>
      <c r="L98" s="458" t="n"/>
      <c r="M98" s="458" t="n"/>
      <c r="N98" s="469" t="n">
        <v>945562</v>
      </c>
      <c r="O98" s="458" t="n"/>
      <c r="P98" s="458" t="n"/>
      <c r="Q98" s="458" t="n"/>
      <c r="R98" s="458" t="n"/>
      <c r="S98" s="458" t="n"/>
      <c r="T98" s="458" t="n"/>
      <c r="U98" s="458" t="n"/>
      <c r="V98" s="458" t="n"/>
      <c r="W98" s="458" t="n"/>
      <c r="X98" s="458" t="n"/>
      <c r="Y98" s="458" t="n"/>
      <c r="Z98" s="458" t="n"/>
      <c r="AA98" s="458" t="n"/>
      <c r="AB98" s="458" t="n"/>
      <c r="AC98" s="458" t="n"/>
      <c r="AD98" s="458" t="n"/>
      <c r="AE98" s="458" t="n"/>
      <c r="AF98" s="458" t="n"/>
      <c r="AG98" s="458" t="n"/>
      <c r="AH98" s="458" t="n"/>
      <c r="AI98" s="458" t="n"/>
      <c r="AJ98" s="469" t="n">
        <v>445701</v>
      </c>
      <c r="AK98" s="469" t="n">
        <v>466302</v>
      </c>
      <c r="AL98" s="458" t="n"/>
      <c r="AM98" s="468" t="inlineStr">
        <is>
          <t>Actual SS P&amp;L; combined parcels R0027089+R0178319; mgmt=off-site+on-site</t>
        </is>
      </c>
      <c r="AN98">
        <f>IF(AND($B98=Subj_OccCode,Subj_BldgSF&gt;0,ABS($J98-Subj_BldgSF)&lt;=Subj_BldgSF*Subj_SizeTol),ABS($J98-Subj_BldgSF),NA())</f>
        <v/>
      </c>
      <c r="AO98">
        <f>IF(ISNA(AN98),NA(),AN98+ROW()/10000000)</f>
        <v/>
      </c>
      <c r="AR98" s="256">
        <f>IF(B98="","",IFERROR(INDEX(OCC_TABLE_DESC,MATCH(B98,OCC_TABLE_CODE,0)),"Unrecognized code"))</f>
        <v/>
      </c>
    </row>
    <row r="99" ht="25.5" customHeight="1" s="545">
      <c r="A99" s="458" t="inlineStr">
        <is>
          <t>P044</t>
        </is>
      </c>
      <c r="B99" s="449" t="n">
        <v>386</v>
      </c>
      <c r="C99" s="458" t="inlineStr">
        <is>
          <t>R0027089/R0178319</t>
        </is>
      </c>
      <c r="D99" s="468" t="inlineStr">
        <is>
          <t>2290 E 120th Ave</t>
        </is>
      </c>
      <c r="E99" s="458" t="inlineStr">
        <is>
          <t>Thornton</t>
        </is>
      </c>
      <c r="F99" s="458" t="inlineStr">
        <is>
          <t>CO</t>
        </is>
      </c>
      <c r="G99" s="458" t="inlineStr">
        <is>
          <t>Self-Storage</t>
        </is>
      </c>
      <c r="H99" s="468" t="inlineStr">
        <is>
          <t>Drive-Up/Drop-Off</t>
        </is>
      </c>
      <c r="I99" s="458" t="n"/>
      <c r="J99" s="458" t="n">
        <v>71909</v>
      </c>
      <c r="K99" s="458" t="n">
        <v>2023</v>
      </c>
      <c r="L99" s="458" t="n"/>
      <c r="M99" s="458" t="n"/>
      <c r="N99" s="469" t="n">
        <v>980778</v>
      </c>
      <c r="O99" s="469" t="n">
        <v>43407</v>
      </c>
      <c r="P99" s="469" t="n">
        <v>141702</v>
      </c>
      <c r="Q99" s="458" t="n"/>
      <c r="R99" s="458" t="n"/>
      <c r="S99" s="458" t="n"/>
      <c r="T99" s="458" t="n"/>
      <c r="U99" s="458" t="n"/>
      <c r="V99" s="458" t="n"/>
      <c r="W99" s="458" t="n"/>
      <c r="X99" s="458" t="n"/>
      <c r="Y99" s="469" t="n">
        <v>17835</v>
      </c>
      <c r="Z99" s="458" t="n"/>
      <c r="AA99" s="458" t="n"/>
      <c r="AB99" s="458" t="n"/>
      <c r="AC99" s="458" t="n"/>
      <c r="AD99" s="458" t="n"/>
      <c r="AE99" s="458" t="n"/>
      <c r="AF99" s="469" t="n">
        <v>21431</v>
      </c>
      <c r="AG99" s="458" t="n"/>
      <c r="AH99" s="469" t="n">
        <v>298955</v>
      </c>
      <c r="AI99" s="469" t="n">
        <v>186365</v>
      </c>
      <c r="AJ99" s="469" t="n">
        <v>485320</v>
      </c>
      <c r="AK99" s="469" t="n">
        <v>492300</v>
      </c>
      <c r="AL99" s="458" t="n"/>
      <c r="AM99" s="468" t="inlineStr">
        <is>
          <t>Actual SS P&amp;L; combined parcels R0027089+R0178319; mgmt=off-site+on-site</t>
        </is>
      </c>
      <c r="AN99">
        <f>IF(AND($B99=Subj_OccCode,Subj_BldgSF&gt;0,ABS($J99-Subj_BldgSF)&lt;=Subj_BldgSF*Subj_SizeTol),ABS($J99-Subj_BldgSF),NA())</f>
        <v/>
      </c>
      <c r="AO99">
        <f>IF(ISNA(AN99),NA(),AN99+ROW()/10000000)</f>
        <v/>
      </c>
      <c r="AR99" s="256">
        <f>IF(B99="","",IFERROR(INDEX(OCC_TABLE_DESC,MATCH(B99,OCC_TABLE_CODE,0)),"Unrecognized code"))</f>
        <v/>
      </c>
    </row>
    <row r="100" ht="25.5" customHeight="1" s="545">
      <c r="A100" s="458" t="inlineStr">
        <is>
          <t>P045</t>
        </is>
      </c>
      <c r="B100" s="449" t="n">
        <v>386</v>
      </c>
      <c r="C100" s="458" t="inlineStr">
        <is>
          <t>R0043569</t>
        </is>
      </c>
      <c r="D100" s="468" t="inlineStr">
        <is>
          <t>40131 Quivas St</t>
        </is>
      </c>
      <c r="E100" s="458" t="inlineStr">
        <is>
          <t>Thornton</t>
        </is>
      </c>
      <c r="F100" s="458" t="inlineStr">
        <is>
          <t>CO</t>
        </is>
      </c>
      <c r="G100" s="458" t="inlineStr">
        <is>
          <t>Self-Storage</t>
        </is>
      </c>
      <c r="H100" s="468" t="inlineStr">
        <is>
          <t>Drive-Up/Drop-Off</t>
        </is>
      </c>
      <c r="I100" s="458" t="n"/>
      <c r="J100" s="458" t="n">
        <v>41900</v>
      </c>
      <c r="K100" s="458" t="n">
        <v>2024</v>
      </c>
      <c r="L100" s="458" t="n"/>
      <c r="M100" s="458" t="n"/>
      <c r="N100" s="469" t="n">
        <v>718060</v>
      </c>
      <c r="O100" s="469" t="n">
        <v>19037</v>
      </c>
      <c r="P100" s="469" t="n">
        <v>93975</v>
      </c>
      <c r="Q100" s="458" t="n"/>
      <c r="R100" s="458" t="n"/>
      <c r="S100" s="458" t="n"/>
      <c r="T100" s="458" t="n"/>
      <c r="U100" s="458" t="n"/>
      <c r="V100" s="458" t="n"/>
      <c r="W100" s="458" t="n"/>
      <c r="X100" s="458" t="n"/>
      <c r="Y100" s="469" t="n">
        <v>11768</v>
      </c>
      <c r="Z100" s="458" t="n"/>
      <c r="AA100" s="458" t="n"/>
      <c r="AB100" s="458" t="n"/>
      <c r="AC100" s="458" t="n"/>
      <c r="AD100" s="458" t="n"/>
      <c r="AE100" s="458" t="n"/>
      <c r="AF100" s="469" t="n">
        <v>5417</v>
      </c>
      <c r="AG100" s="458" t="n"/>
      <c r="AH100" s="469" t="n">
        <v>208790</v>
      </c>
      <c r="AI100" s="469" t="n">
        <v>176524</v>
      </c>
      <c r="AJ100" s="469" t="n">
        <v>385314</v>
      </c>
      <c r="AK100" s="469" t="n">
        <v>332746</v>
      </c>
      <c r="AL100" s="458" t="n"/>
      <c r="AM100" s="468" t="inlineStr">
        <is>
          <t>Actual FY2024 P&amp;L; mgmt=off-site $42,964+on-site $51,011; RE Tax est from matrix</t>
        </is>
      </c>
      <c r="AN100">
        <f>IF(AND($B100=Subj_OccCode,Subj_BldgSF&gt;0,ABS($J100-Subj_BldgSF)&lt;=Subj_BldgSF*Subj_SizeTol),ABS($J100-Subj_BldgSF),NA())</f>
        <v/>
      </c>
      <c r="AO100">
        <f>IF(ISNA(AN100),NA(),AN100+ROW()/10000000)</f>
        <v/>
      </c>
      <c r="AR100" s="256">
        <f>IF(B100="","",IFERROR(INDEX(OCC_TABLE_DESC,MATCH(B100,OCC_TABLE_CODE,0)),"Unrecognized code"))</f>
        <v/>
      </c>
    </row>
    <row r="101" ht="25.5" customHeight="1" s="545">
      <c r="A101" s="458" t="inlineStr">
        <is>
          <t>P046</t>
        </is>
      </c>
      <c r="B101" s="449" t="n">
        <v>386</v>
      </c>
      <c r="C101" s="458" t="inlineStr">
        <is>
          <t>R0193009</t>
        </is>
      </c>
      <c r="D101" s="468" t="inlineStr">
        <is>
          <t>Address unknown – see R0193009</t>
        </is>
      </c>
      <c r="E101" s="458" t="inlineStr">
        <is>
          <t>Adams County</t>
        </is>
      </c>
      <c r="F101" s="458" t="inlineStr">
        <is>
          <t>CO</t>
        </is>
      </c>
      <c r="G101" s="458" t="inlineStr">
        <is>
          <t>Self-Storage</t>
        </is>
      </c>
      <c r="H101" s="468" t="inlineStr">
        <is>
          <t>Climate-Controlled</t>
        </is>
      </c>
      <c r="I101" s="458" t="n"/>
      <c r="J101" s="458" t="n">
        <v>94736</v>
      </c>
      <c r="K101" s="458" t="n"/>
      <c r="L101" s="458" t="n"/>
      <c r="M101" s="458" t="n"/>
      <c r="N101" s="469" t="n">
        <v>1582087</v>
      </c>
      <c r="O101" s="469" t="n">
        <v>39625</v>
      </c>
      <c r="P101" s="469" t="n">
        <v>167356</v>
      </c>
      <c r="Q101" s="458" t="n"/>
      <c r="R101" s="458" t="n"/>
      <c r="S101" s="458" t="n"/>
      <c r="T101" s="458" t="n"/>
      <c r="U101" s="458" t="n"/>
      <c r="V101" s="458" t="n"/>
      <c r="W101" s="458" t="n"/>
      <c r="X101" s="458" t="n"/>
      <c r="Y101" s="469" t="n">
        <v>38582</v>
      </c>
      <c r="Z101" s="458" t="n"/>
      <c r="AA101" s="458" t="n"/>
      <c r="AB101" s="458" t="n"/>
      <c r="AC101" s="458" t="n"/>
      <c r="AD101" s="458" t="n"/>
      <c r="AE101" s="458" t="n"/>
      <c r="AF101" s="469" t="n">
        <v>19609</v>
      </c>
      <c r="AG101" s="458" t="n"/>
      <c r="AH101" s="469" t="n">
        <v>349253</v>
      </c>
      <c r="AI101" s="469" t="n">
        <v>423847</v>
      </c>
      <c r="AJ101" s="469" t="n">
        <v>773100</v>
      </c>
      <c r="AK101" s="469" t="n">
        <v>808987</v>
      </c>
      <c r="AL101" s="458" t="n"/>
      <c r="AM101" s="468" t="inlineStr">
        <is>
          <t>AXG SS Expense Matrix; year not specified (~2022/23); R0193009</t>
        </is>
      </c>
      <c r="AN101">
        <f>IF(AND($B101=Subj_OccCode,Subj_BldgSF&gt;0,ABS($J101-Subj_BldgSF)&lt;=Subj_BldgSF*Subj_SizeTol),ABS($J101-Subj_BldgSF),NA())</f>
        <v/>
      </c>
      <c r="AO101">
        <f>IF(ISNA(AN101),NA(),AN101+ROW()/10000000)</f>
        <v/>
      </c>
      <c r="AR101" s="256">
        <f>IF(B101="","",IFERROR(INDEX(OCC_TABLE_DESC,MATCH(B101,OCC_TABLE_CODE,0)),"Unrecognized code"))</f>
        <v/>
      </c>
    </row>
    <row r="102" ht="25.5" customHeight="1" s="545">
      <c r="A102" s="458" t="inlineStr">
        <is>
          <t>P047</t>
        </is>
      </c>
      <c r="B102" s="449" t="n">
        <v>386</v>
      </c>
      <c r="C102" s="458" t="inlineStr">
        <is>
          <t>R0099616</t>
        </is>
      </c>
      <c r="D102" s="468" t="inlineStr">
        <is>
          <t>Address unknown – see R0099616</t>
        </is>
      </c>
      <c r="E102" s="458" t="inlineStr">
        <is>
          <t>Adams County</t>
        </is>
      </c>
      <c r="F102" s="458" t="inlineStr">
        <is>
          <t>CO</t>
        </is>
      </c>
      <c r="G102" s="458" t="inlineStr">
        <is>
          <t>Self-Storage</t>
        </is>
      </c>
      <c r="H102" s="468" t="inlineStr">
        <is>
          <t>Drive-Up/Drop-Off</t>
        </is>
      </c>
      <c r="I102" s="458" t="n"/>
      <c r="J102" s="458" t="n">
        <v>73500</v>
      </c>
      <c r="K102" s="458" t="n"/>
      <c r="L102" s="458" t="n"/>
      <c r="M102" s="458" t="n"/>
      <c r="N102" s="469" t="n">
        <v>834358</v>
      </c>
      <c r="O102" s="469" t="n">
        <v>18408</v>
      </c>
      <c r="P102" s="469" t="n">
        <v>65010</v>
      </c>
      <c r="Q102" s="458" t="n"/>
      <c r="R102" s="458" t="n"/>
      <c r="S102" s="458" t="n"/>
      <c r="T102" s="458" t="n"/>
      <c r="U102" s="458" t="n"/>
      <c r="V102" s="458" t="n"/>
      <c r="W102" s="458" t="n"/>
      <c r="X102" s="458" t="n"/>
      <c r="Y102" s="469" t="n">
        <v>24753</v>
      </c>
      <c r="Z102" s="458" t="n"/>
      <c r="AA102" s="458" t="n"/>
      <c r="AB102" s="458" t="n"/>
      <c r="AC102" s="458" t="n"/>
      <c r="AD102" s="458" t="n"/>
      <c r="AE102" s="458" t="n"/>
      <c r="AF102" s="469" t="n">
        <v>17255</v>
      </c>
      <c r="AG102" s="458" t="n"/>
      <c r="AH102" s="469" t="n">
        <v>198623</v>
      </c>
      <c r="AI102" s="469" t="n">
        <v>157582</v>
      </c>
      <c r="AJ102" s="469" t="n">
        <v>356205</v>
      </c>
      <c r="AK102" s="469" t="n">
        <v>478153</v>
      </c>
      <c r="AL102" s="458" t="n"/>
      <c r="AM102" s="468" t="inlineStr">
        <is>
          <t>AXG SS Expense Matrix; year not specified (~2022/23); R0099616</t>
        </is>
      </c>
      <c r="AN102">
        <f>IF(AND($B102=Subj_OccCode,Subj_BldgSF&gt;0,ABS($J102-Subj_BldgSF)&lt;=Subj_BldgSF*Subj_SizeTol),ABS($J102-Subj_BldgSF),NA())</f>
        <v/>
      </c>
      <c r="AO102">
        <f>IF(ISNA(AN102),NA(),AN102+ROW()/10000000)</f>
        <v/>
      </c>
      <c r="AR102" s="256">
        <f>IF(B102="","",IFERROR(INDEX(OCC_TABLE_DESC,MATCH(B102,OCC_TABLE_CODE,0)),"Unrecognized code"))</f>
        <v/>
      </c>
    </row>
    <row r="103" ht="25.5" customHeight="1" s="545">
      <c r="A103" s="458" t="inlineStr">
        <is>
          <t>P048</t>
        </is>
      </c>
      <c r="B103" s="449" t="n">
        <v>386</v>
      </c>
      <c r="C103" s="458" t="inlineStr">
        <is>
          <t>R0098019</t>
        </is>
      </c>
      <c r="D103" s="468" t="inlineStr">
        <is>
          <t>Address unknown – see R0098019</t>
        </is>
      </c>
      <c r="E103" s="458" t="inlineStr">
        <is>
          <t>Adams County</t>
        </is>
      </c>
      <c r="F103" s="458" t="inlineStr">
        <is>
          <t>CO</t>
        </is>
      </c>
      <c r="G103" s="458" t="inlineStr">
        <is>
          <t>Self-Storage</t>
        </is>
      </c>
      <c r="H103" s="468" t="inlineStr">
        <is>
          <t>Drive-Up/Drop-Off</t>
        </is>
      </c>
      <c r="I103" s="458" t="n"/>
      <c r="J103" s="458" t="n">
        <v>44975</v>
      </c>
      <c r="K103" s="458" t="n"/>
      <c r="L103" s="458" t="n"/>
      <c r="M103" s="458" t="n"/>
      <c r="N103" s="469" t="n">
        <v>588827</v>
      </c>
      <c r="O103" s="469" t="n">
        <v>22185</v>
      </c>
      <c r="P103" s="469" t="n">
        <v>38503</v>
      </c>
      <c r="Q103" s="458" t="n"/>
      <c r="R103" s="458" t="n"/>
      <c r="S103" s="458" t="n"/>
      <c r="T103" s="458" t="n"/>
      <c r="U103" s="458" t="n"/>
      <c r="V103" s="458" t="n"/>
      <c r="W103" s="458" t="n"/>
      <c r="X103" s="458" t="n"/>
      <c r="Y103" s="469" t="n">
        <v>38667</v>
      </c>
      <c r="Z103" s="458" t="n"/>
      <c r="AA103" s="458" t="n"/>
      <c r="AB103" s="458" t="n"/>
      <c r="AC103" s="458" t="n"/>
      <c r="AD103" s="458" t="n"/>
      <c r="AE103" s="458" t="n"/>
      <c r="AF103" s="469" t="n">
        <v>31243</v>
      </c>
      <c r="AG103" s="458" t="n"/>
      <c r="AH103" s="469" t="n">
        <v>143905</v>
      </c>
      <c r="AI103" s="469" t="n">
        <v>128521</v>
      </c>
      <c r="AJ103" s="469" t="n">
        <v>272426</v>
      </c>
      <c r="AK103" s="469" t="n">
        <v>316401</v>
      </c>
      <c r="AL103" s="458" t="n"/>
      <c r="AM103" s="468" t="inlineStr">
        <is>
          <t>AXG SS Expense Matrix; year not specified (~2022/23); R0098019</t>
        </is>
      </c>
      <c r="AN103">
        <f>IF(AND($B103=Subj_OccCode,Subj_BldgSF&gt;0,ABS($J103-Subj_BldgSF)&lt;=Subj_BldgSF*Subj_SizeTol),ABS($J103-Subj_BldgSF),NA())</f>
        <v/>
      </c>
      <c r="AO103">
        <f>IF(ISNA(AN103),NA(),AN103+ROW()/10000000)</f>
        <v/>
      </c>
      <c r="AR103" s="256">
        <f>IF(B103="","",IFERROR(INDEX(OCC_TABLE_DESC,MATCH(B103,OCC_TABLE_CODE,0)),"Unrecognized code"))</f>
        <v/>
      </c>
    </row>
    <row r="104" ht="25.5" customHeight="1" s="545">
      <c r="A104" s="458" t="inlineStr">
        <is>
          <t>P049</t>
        </is>
      </c>
      <c r="B104" s="449" t="n">
        <v>386</v>
      </c>
      <c r="C104" s="458" t="inlineStr">
        <is>
          <t>R0102989</t>
        </is>
      </c>
      <c r="D104" s="468" t="inlineStr">
        <is>
          <t>Address unknown – see R0102989</t>
        </is>
      </c>
      <c r="E104" s="458" t="inlineStr">
        <is>
          <t>Adams County</t>
        </is>
      </c>
      <c r="F104" s="458" t="inlineStr">
        <is>
          <t>CO</t>
        </is>
      </c>
      <c r="G104" s="458" t="inlineStr">
        <is>
          <t>Self-Storage</t>
        </is>
      </c>
      <c r="H104" s="468" t="inlineStr">
        <is>
          <t>Climate-Controlled</t>
        </is>
      </c>
      <c r="I104" s="458" t="n"/>
      <c r="J104" s="458" t="n">
        <v>94797</v>
      </c>
      <c r="K104" s="458" t="n"/>
      <c r="L104" s="458" t="n"/>
      <c r="M104" s="458" t="n"/>
      <c r="N104" s="469" t="n">
        <v>1184503</v>
      </c>
      <c r="O104" s="469" t="n">
        <v>25293</v>
      </c>
      <c r="P104" s="469" t="n">
        <v>206702</v>
      </c>
      <c r="Q104" s="458" t="n"/>
      <c r="R104" s="458" t="n"/>
      <c r="S104" s="458" t="n"/>
      <c r="T104" s="458" t="n"/>
      <c r="U104" s="458" t="n"/>
      <c r="V104" s="458" t="n"/>
      <c r="W104" s="458" t="n"/>
      <c r="X104" s="458" t="n"/>
      <c r="Y104" s="469" t="n">
        <v>28562</v>
      </c>
      <c r="Z104" s="458" t="n"/>
      <c r="AA104" s="458" t="n"/>
      <c r="AB104" s="458" t="n"/>
      <c r="AC104" s="458" t="n"/>
      <c r="AD104" s="458" t="n"/>
      <c r="AE104" s="458" t="n"/>
      <c r="AF104" s="469" t="n">
        <v>49493</v>
      </c>
      <c r="AG104" s="458" t="n"/>
      <c r="AH104" s="469" t="n">
        <v>434049</v>
      </c>
      <c r="AI104" s="469" t="n">
        <v>259535</v>
      </c>
      <c r="AJ104" s="469" t="n">
        <v>693584</v>
      </c>
      <c r="AK104" s="469" t="n">
        <v>490919</v>
      </c>
      <c r="AL104" s="458" t="n"/>
      <c r="AM104" s="468" t="inlineStr">
        <is>
          <t>AXG SS Expense Matrix; year not specified (~2022/23); R0102989</t>
        </is>
      </c>
      <c r="AN104">
        <f>IF(AND($B104=Subj_OccCode,Subj_BldgSF&gt;0,ABS($J104-Subj_BldgSF)&lt;=Subj_BldgSF*Subj_SizeTol),ABS($J104-Subj_BldgSF),NA())</f>
        <v/>
      </c>
      <c r="AO104">
        <f>IF(ISNA(AN104),NA(),AN104+ROW()/10000000)</f>
        <v/>
      </c>
      <c r="AR104" s="256">
        <f>IF(B104="","",IFERROR(INDEX(OCC_TABLE_DESC,MATCH(B104,OCC_TABLE_CODE,0)),"Unrecognized code"))</f>
        <v/>
      </c>
    </row>
    <row r="105" ht="25.5" customHeight="1" s="545">
      <c r="A105" s="458" t="inlineStr">
        <is>
          <t>P050</t>
        </is>
      </c>
      <c r="B105" s="449" t="n">
        <v>386</v>
      </c>
      <c r="C105" s="458" t="inlineStr">
        <is>
          <t>R0085523</t>
        </is>
      </c>
      <c r="D105" s="468" t="inlineStr">
        <is>
          <t>Address unknown – see R0085523</t>
        </is>
      </c>
      <c r="E105" s="458" t="inlineStr">
        <is>
          <t>Adams County</t>
        </is>
      </c>
      <c r="F105" s="458" t="inlineStr">
        <is>
          <t>CO</t>
        </is>
      </c>
      <c r="G105" s="458" t="inlineStr">
        <is>
          <t>Self-Storage</t>
        </is>
      </c>
      <c r="H105" s="468" t="inlineStr">
        <is>
          <t>Drive-Up/Drop-Off</t>
        </is>
      </c>
      <c r="I105" s="458" t="n"/>
      <c r="J105" s="458" t="n">
        <v>39525</v>
      </c>
      <c r="K105" s="458" t="n"/>
      <c r="L105" s="458" t="n"/>
      <c r="M105" s="458" t="n"/>
      <c r="N105" s="469" t="n">
        <v>541974</v>
      </c>
      <c r="O105" s="469" t="n">
        <v>8307</v>
      </c>
      <c r="P105" s="469" t="n">
        <v>94279</v>
      </c>
      <c r="Q105" s="458" t="n"/>
      <c r="R105" s="458" t="n"/>
      <c r="S105" s="458" t="n"/>
      <c r="T105" s="458" t="n"/>
      <c r="U105" s="458" t="n"/>
      <c r="V105" s="458" t="n"/>
      <c r="W105" s="458" t="n"/>
      <c r="X105" s="458" t="n"/>
      <c r="Y105" s="469" t="n">
        <v>21292</v>
      </c>
      <c r="Z105" s="458" t="n"/>
      <c r="AA105" s="458" t="n"/>
      <c r="AB105" s="458" t="n"/>
      <c r="AC105" s="458" t="n"/>
      <c r="AD105" s="458" t="n"/>
      <c r="AE105" s="458" t="n"/>
      <c r="AF105" s="469" t="n">
        <v>16489</v>
      </c>
      <c r="AG105" s="458" t="n"/>
      <c r="AH105" s="469" t="n">
        <v>149627</v>
      </c>
      <c r="AI105" s="469" t="n">
        <v>209139</v>
      </c>
      <c r="AJ105" s="469" t="n">
        <v>358766</v>
      </c>
      <c r="AK105" s="469" t="n">
        <v>183208</v>
      </c>
      <c r="AL105" s="458" t="n"/>
      <c r="AM105" s="468" t="inlineStr">
        <is>
          <t>AXG SS Expense Matrix; year not specified (~2022/23); R0085523</t>
        </is>
      </c>
      <c r="AN105">
        <f>IF(AND($B105=Subj_OccCode,Subj_BldgSF&gt;0,ABS($J105-Subj_BldgSF)&lt;=Subj_BldgSF*Subj_SizeTol),ABS($J105-Subj_BldgSF),NA())</f>
        <v/>
      </c>
      <c r="AO105">
        <f>IF(ISNA(AN105),NA(),AN105+ROW()/10000000)</f>
        <v/>
      </c>
      <c r="AR105" s="256">
        <f>IF(B105="","",IFERROR(INDEX(OCC_TABLE_DESC,MATCH(B105,OCC_TABLE_CODE,0)),"Unrecognized code"))</f>
        <v/>
      </c>
    </row>
    <row r="106" ht="25.5" customHeight="1" s="545">
      <c r="A106" s="458" t="inlineStr">
        <is>
          <t>P051</t>
        </is>
      </c>
      <c r="B106" s="449" t="n">
        <v>386</v>
      </c>
      <c r="C106" s="458" t="inlineStr">
        <is>
          <t>R0174860</t>
        </is>
      </c>
      <c r="D106" s="468" t="inlineStr">
        <is>
          <t>Address unknown – see R0174860</t>
        </is>
      </c>
      <c r="E106" s="458" t="inlineStr">
        <is>
          <t>Adams County</t>
        </is>
      </c>
      <c r="F106" s="458" t="inlineStr">
        <is>
          <t>CO</t>
        </is>
      </c>
      <c r="G106" s="458" t="inlineStr">
        <is>
          <t>Self-Storage</t>
        </is>
      </c>
      <c r="H106" s="468" t="inlineStr">
        <is>
          <t>Drive-Up/Drop-Off (containers)</t>
        </is>
      </c>
      <c r="I106" s="458" t="n"/>
      <c r="J106" s="458" t="n">
        <v>45980</v>
      </c>
      <c r="K106" s="458" t="n"/>
      <c r="L106" s="458" t="n"/>
      <c r="M106" s="458" t="n"/>
      <c r="N106" s="469" t="n">
        <v>646496</v>
      </c>
      <c r="O106" s="469" t="n">
        <v>4989</v>
      </c>
      <c r="P106" s="469" t="n">
        <v>70000</v>
      </c>
      <c r="Q106" s="458" t="n"/>
      <c r="R106" s="458" t="n"/>
      <c r="S106" s="458" t="n"/>
      <c r="T106" s="458" t="n"/>
      <c r="U106" s="458" t="n"/>
      <c r="V106" s="458" t="n"/>
      <c r="W106" s="458" t="n"/>
      <c r="X106" s="458" t="n"/>
      <c r="Y106" s="469" t="n">
        <v>12000</v>
      </c>
      <c r="Z106" s="458" t="n"/>
      <c r="AA106" s="458" t="n"/>
      <c r="AB106" s="458" t="n"/>
      <c r="AC106" s="458" t="n"/>
      <c r="AD106" s="458" t="n"/>
      <c r="AE106" s="458" t="n"/>
      <c r="AF106" s="469" t="n">
        <v>11972</v>
      </c>
      <c r="AG106" s="458" t="n"/>
      <c r="AH106" s="469" t="n">
        <v>146795</v>
      </c>
      <c r="AI106" s="469" t="n">
        <v>83042</v>
      </c>
      <c r="AJ106" s="469" t="n">
        <v>229837</v>
      </c>
      <c r="AK106" s="469" t="n">
        <v>416659</v>
      </c>
      <c r="AL106" s="458" t="n"/>
      <c r="AM106" s="468" t="inlineStr">
        <is>
          <t>AXG SS Expense Matrix; year not specified (~2022/23); R0174860</t>
        </is>
      </c>
      <c r="AN106">
        <f>IF(AND($B106=Subj_OccCode,Subj_BldgSF&gt;0,ABS($J106-Subj_BldgSF)&lt;=Subj_BldgSF*Subj_SizeTol),ABS($J106-Subj_BldgSF),NA())</f>
        <v/>
      </c>
      <c r="AO106">
        <f>IF(ISNA(AN106),NA(),AN106+ROW()/10000000)</f>
        <v/>
      </c>
      <c r="AR106" s="256">
        <f>IF(B106="","",IFERROR(INDEX(OCC_TABLE_DESC,MATCH(B106,OCC_TABLE_CODE,0)),"Unrecognized code"))</f>
        <v/>
      </c>
    </row>
    <row r="107" ht="25.5" customHeight="1" s="545">
      <c r="A107" s="458" t="inlineStr">
        <is>
          <t>P052</t>
        </is>
      </c>
      <c r="B107" s="449" t="n">
        <v>386</v>
      </c>
      <c r="C107" s="458" t="inlineStr">
        <is>
          <t>R0161412</t>
        </is>
      </c>
      <c r="D107" s="468" t="inlineStr">
        <is>
          <t>Address unknown – see R0161412</t>
        </is>
      </c>
      <c r="E107" s="458" t="inlineStr">
        <is>
          <t>Adams County</t>
        </is>
      </c>
      <c r="F107" s="458" t="inlineStr">
        <is>
          <t>CO</t>
        </is>
      </c>
      <c r="G107" s="458" t="inlineStr">
        <is>
          <t>Self-Storage</t>
        </is>
      </c>
      <c r="H107" s="468" t="inlineStr">
        <is>
          <t>Drive-Up/Drop-Off</t>
        </is>
      </c>
      <c r="I107" s="458" t="n"/>
      <c r="J107" s="458" t="n">
        <v>88043</v>
      </c>
      <c r="K107" s="458" t="n"/>
      <c r="L107" s="458" t="n"/>
      <c r="M107" s="458" t="n"/>
      <c r="N107" s="469" t="n">
        <v>1206603</v>
      </c>
      <c r="O107" s="469" t="n">
        <v>12478</v>
      </c>
      <c r="P107" s="469" t="n">
        <v>179092</v>
      </c>
      <c r="Q107" s="458" t="n"/>
      <c r="R107" s="458" t="n"/>
      <c r="S107" s="458" t="n"/>
      <c r="T107" s="458" t="n"/>
      <c r="U107" s="458" t="n"/>
      <c r="V107" s="458" t="n"/>
      <c r="W107" s="458" t="n"/>
      <c r="X107" s="458" t="n"/>
      <c r="Y107" s="469" t="n">
        <v>20272</v>
      </c>
      <c r="Z107" s="458" t="n"/>
      <c r="AA107" s="458" t="n"/>
      <c r="AB107" s="458" t="n"/>
      <c r="AC107" s="458" t="n"/>
      <c r="AD107" s="458" t="n"/>
      <c r="AE107" s="458" t="n"/>
      <c r="AF107" s="469" t="n">
        <v>16957</v>
      </c>
      <c r="AG107" s="458" t="n"/>
      <c r="AH107" s="469" t="n">
        <v>284089</v>
      </c>
      <c r="AI107" s="469" t="n">
        <v>389500</v>
      </c>
      <c r="AJ107" s="469" t="n">
        <v>673589</v>
      </c>
      <c r="AK107" s="469" t="n">
        <v>533014</v>
      </c>
      <c r="AL107" s="458" t="n"/>
      <c r="AM107" s="468" t="inlineStr">
        <is>
          <t>AXG SS Expense Matrix; year not specified (~2022/23); R0161412</t>
        </is>
      </c>
      <c r="AN107">
        <f>IF(AND($B107=Subj_OccCode,Subj_BldgSF&gt;0,ABS($J107-Subj_BldgSF)&lt;=Subj_BldgSF*Subj_SizeTol),ABS($J107-Subj_BldgSF),NA())</f>
        <v/>
      </c>
      <c r="AO107">
        <f>IF(ISNA(AN107),NA(),AN107+ROW()/10000000)</f>
        <v/>
      </c>
      <c r="AR107" s="256">
        <f>IF(B107="","",IFERROR(INDEX(OCC_TABLE_DESC,MATCH(B107,OCC_TABLE_CODE,0)),"Unrecognized code"))</f>
        <v/>
      </c>
    </row>
    <row r="108" ht="25.5" customHeight="1" s="545">
      <c r="A108" s="458" t="inlineStr">
        <is>
          <t>P053</t>
        </is>
      </c>
      <c r="B108" s="449" t="n">
        <v>386</v>
      </c>
      <c r="C108" s="458" t="inlineStr">
        <is>
          <t>R0169115</t>
        </is>
      </c>
      <c r="D108" s="468" t="inlineStr">
        <is>
          <t>Address unknown – see R0169115</t>
        </is>
      </c>
      <c r="E108" s="458" t="inlineStr">
        <is>
          <t>Adams County</t>
        </is>
      </c>
      <c r="F108" s="458" t="inlineStr">
        <is>
          <t>CO</t>
        </is>
      </c>
      <c r="G108" s="458" t="inlineStr">
        <is>
          <t>Self-Storage</t>
        </is>
      </c>
      <c r="H108" s="468" t="inlineStr">
        <is>
          <t>Drive-Up/Drop-Off</t>
        </is>
      </c>
      <c r="I108" s="458" t="n"/>
      <c r="J108" s="458" t="n">
        <v>41764</v>
      </c>
      <c r="K108" s="458" t="n"/>
      <c r="L108" s="458" t="n"/>
      <c r="M108" s="458" t="n"/>
      <c r="N108" s="469" t="n">
        <v>787364</v>
      </c>
      <c r="O108" s="469" t="n">
        <v>9652</v>
      </c>
      <c r="P108" s="469" t="n">
        <v>83320</v>
      </c>
      <c r="Q108" s="458" t="n"/>
      <c r="R108" s="458" t="n"/>
      <c r="S108" s="458" t="n"/>
      <c r="T108" s="458" t="n"/>
      <c r="U108" s="458" t="n"/>
      <c r="V108" s="458" t="n"/>
      <c r="W108" s="458" t="n"/>
      <c r="X108" s="458" t="n"/>
      <c r="Y108" s="469" t="n">
        <v>25639</v>
      </c>
      <c r="Z108" s="458" t="n"/>
      <c r="AA108" s="458" t="n"/>
      <c r="AB108" s="458" t="n"/>
      <c r="AC108" s="458" t="n"/>
      <c r="AD108" s="458" t="n"/>
      <c r="AE108" s="458" t="n"/>
      <c r="AF108" s="469" t="n">
        <v>15956</v>
      </c>
      <c r="AG108" s="458" t="n"/>
      <c r="AH108" s="469" t="n">
        <v>192632</v>
      </c>
      <c r="AI108" s="469" t="n">
        <v>203116</v>
      </c>
      <c r="AJ108" s="469" t="n">
        <v>395748</v>
      </c>
      <c r="AK108" s="469" t="n">
        <v>391616</v>
      </c>
      <c r="AL108" s="458" t="n"/>
      <c r="AM108" s="468" t="inlineStr">
        <is>
          <t>AXG SS Expense Matrix; year not specified (~2022/23); R0169115</t>
        </is>
      </c>
      <c r="AN108">
        <f>IF(AND($B108=Subj_OccCode,Subj_BldgSF&gt;0,ABS($J108-Subj_BldgSF)&lt;=Subj_BldgSF*Subj_SizeTol),ABS($J108-Subj_BldgSF),NA())</f>
        <v/>
      </c>
      <c r="AO108">
        <f>IF(ISNA(AN108),NA(),AN108+ROW()/10000000)</f>
        <v/>
      </c>
      <c r="AR108" s="256">
        <f>IF(B108="","",IFERROR(INDEX(OCC_TABLE_DESC,MATCH(B108,OCC_TABLE_CODE,0)),"Unrecognized code"))</f>
        <v/>
      </c>
    </row>
    <row r="109" ht="38.25" customHeight="1" s="545">
      <c r="A109" s="458" t="inlineStr">
        <is>
          <t>P016</t>
        </is>
      </c>
      <c r="B109" s="449" t="n">
        <v>584</v>
      </c>
      <c r="C109" s="458" t="inlineStr">
        <is>
          <t>R0212546/R0212547</t>
        </is>
      </c>
      <c r="D109" s="468" t="inlineStr">
        <is>
          <t>2780 N Tower Rd</t>
        </is>
      </c>
      <c r="E109" s="458" t="inlineStr">
        <is>
          <t>Aurora</t>
        </is>
      </c>
      <c r="F109" s="458" t="inlineStr">
        <is>
          <t>CO</t>
        </is>
      </c>
      <c r="G109" s="458" t="inlineStr">
        <is>
          <t>Industrial</t>
        </is>
      </c>
      <c r="H109" s="468" t="inlineStr">
        <is>
          <t>Mega Warehouse NNN</t>
        </is>
      </c>
      <c r="I109" s="470" t="n">
        <v>1983</v>
      </c>
      <c r="J109" s="471" t="n">
        <v>377729</v>
      </c>
      <c r="K109" s="470" t="n">
        <v>2023</v>
      </c>
      <c r="L109" s="472" t="n">
        <v>2979661</v>
      </c>
      <c r="M109" s="473" t="n">
        <v>18</v>
      </c>
      <c r="N109" s="472" t="n">
        <v>2979679</v>
      </c>
      <c r="O109" s="473" t="n"/>
      <c r="P109" s="472" t="n">
        <v>20451</v>
      </c>
      <c r="Q109" s="473" t="n"/>
      <c r="R109" s="473" t="n"/>
      <c r="S109" s="473" t="n"/>
      <c r="T109" s="473" t="n"/>
      <c r="U109" s="473" t="n"/>
      <c r="V109" s="473" t="n"/>
      <c r="W109" s="473" t="n"/>
      <c r="X109" s="473" t="n">
        <v>2206</v>
      </c>
      <c r="Y109" s="473" t="n">
        <v>2206</v>
      </c>
      <c r="Z109" s="473" t="n"/>
      <c r="AA109" s="473" t="n"/>
      <c r="AB109" s="473" t="n"/>
      <c r="AC109" s="473" t="n">
        <v>0</v>
      </c>
      <c r="AD109" s="473" t="n"/>
      <c r="AE109" s="473" t="n"/>
      <c r="AF109" s="473" t="n">
        <v>687</v>
      </c>
      <c r="AG109" s="472" t="n">
        <v>5895</v>
      </c>
      <c r="AH109" s="472" t="n">
        <v>29239</v>
      </c>
      <c r="AI109" s="472" t="n">
        <v>0</v>
      </c>
      <c r="AJ109" s="472" t="n">
        <v>29239</v>
      </c>
      <c r="AK109" s="472" t="n">
        <v>2950440</v>
      </c>
      <c r="AL109" s="473" t="n"/>
      <c r="AM109" s="468" t="inlineStr">
        <is>
          <t>Source: Master Property Database (Income-Expense Detail). Absolute-net single tenant; tenant pays RE tax, insurance, utilities and R&amp;M direct. Owner opex = admin only. Excludes depreciation $456,096, amortisation $12,124 and interest $641,014.</t>
        </is>
      </c>
      <c r="AN109">
        <f>IF(AND($B109=Subj_OccCode,Subj_BldgSF&gt;0,ABS($J109-Subj_BldgSF)&lt;=Subj_BldgSF*Subj_SizeTol),ABS($J109-Subj_BldgSF),NA())</f>
        <v/>
      </c>
      <c r="AO109">
        <f>IF(ISNA(AN109),NA(),AN109+ROW()/10000000)</f>
        <v/>
      </c>
      <c r="AR109" s="256">
        <f>IF(B109="","",IFERROR(INDEX(OCC_TABLE_DESC,MATCH(B109,OCC_TABLE_CODE,0)),"Unrecognized code"))</f>
        <v/>
      </c>
    </row>
    <row r="110" ht="38.25" customHeight="1" s="545">
      <c r="A110" s="458" t="inlineStr">
        <is>
          <t>P016</t>
        </is>
      </c>
      <c r="B110" s="449" t="n">
        <v>584</v>
      </c>
      <c r="C110" s="458" t="inlineStr">
        <is>
          <t>R0212546/R0212547</t>
        </is>
      </c>
      <c r="D110" s="468" t="inlineStr">
        <is>
          <t>2780 N Tower Rd</t>
        </is>
      </c>
      <c r="E110" s="458" t="inlineStr">
        <is>
          <t>Aurora</t>
        </is>
      </c>
      <c r="F110" s="458" t="inlineStr">
        <is>
          <t>CO</t>
        </is>
      </c>
      <c r="G110" s="458" t="inlineStr">
        <is>
          <t>Industrial</t>
        </is>
      </c>
      <c r="H110" s="468" t="inlineStr">
        <is>
          <t>Mega Warehouse NNN</t>
        </is>
      </c>
      <c r="I110" s="470" t="n">
        <v>1983</v>
      </c>
      <c r="J110" s="471" t="n">
        <v>377729</v>
      </c>
      <c r="K110" s="470" t="n">
        <v>2024</v>
      </c>
      <c r="L110" s="472" t="n">
        <v>3047376</v>
      </c>
      <c r="M110" s="473" t="n">
        <v>0</v>
      </c>
      <c r="N110" s="472" t="n">
        <v>3047376</v>
      </c>
      <c r="O110" s="473" t="n"/>
      <c r="P110" s="472" t="n">
        <v>20011</v>
      </c>
      <c r="Q110" s="473" t="n"/>
      <c r="R110" s="473" t="n"/>
      <c r="S110" s="473" t="n"/>
      <c r="T110" s="473" t="n"/>
      <c r="U110" s="473" t="n"/>
      <c r="V110" s="473" t="n"/>
      <c r="W110" s="473" t="n"/>
      <c r="X110" s="473" t="n">
        <v>14830</v>
      </c>
      <c r="Y110" s="473" t="n">
        <v>14830</v>
      </c>
      <c r="Z110" s="473" t="n"/>
      <c r="AA110" s="473" t="n"/>
      <c r="AB110" s="473" t="n"/>
      <c r="AC110" s="473" t="n">
        <v>0</v>
      </c>
      <c r="AD110" s="473" t="n"/>
      <c r="AE110" s="473" t="n"/>
      <c r="AF110" s="473" t="n">
        <v>0</v>
      </c>
      <c r="AG110" s="472" t="n">
        <v>12139</v>
      </c>
      <c r="AH110" s="472" t="n">
        <v>46980</v>
      </c>
      <c r="AI110" s="472" t="n">
        <v>0</v>
      </c>
      <c r="AJ110" s="472" t="n">
        <v>46980</v>
      </c>
      <c r="AK110" s="472" t="n">
        <v>3000396</v>
      </c>
      <c r="AL110" s="473" t="n"/>
      <c r="AM110" s="468" t="inlineStr">
        <is>
          <t>Source: Master Property Database (Income-Expense Detail). Absolute-net single tenant; rent $8.07/SF. Owner opex = admin only. Excludes depreciation $456,096, amortisation $12,124 and interest $613,282.</t>
        </is>
      </c>
      <c r="AN110">
        <f>IF(AND($B110=Subj_OccCode,Subj_BldgSF&gt;0,ABS($J110-Subj_BldgSF)&lt;=Subj_BldgSF*Subj_SizeTol),ABS($J110-Subj_BldgSF),NA())</f>
        <v/>
      </c>
      <c r="AO110">
        <f>IF(ISNA(AN110),NA(),AN110+ROW()/10000000)</f>
        <v/>
      </c>
      <c r="AR110" s="256">
        <f>IF(B110="","",IFERROR(INDEX(OCC_TABLE_DESC,MATCH(B110,OCC_TABLE_CODE,0)),"Unrecognized code"))</f>
        <v/>
      </c>
    </row>
    <row r="111" ht="25.5" customHeight="1" s="545">
      <c r="A111" s="458" t="inlineStr">
        <is>
          <t>P034</t>
        </is>
      </c>
      <c r="B111" s="449" t="n">
        <v>407</v>
      </c>
      <c r="C111" s="458" t="inlineStr">
        <is>
          <t>R0172865</t>
        </is>
      </c>
      <c r="D111" s="468" t="inlineStr">
        <is>
          <t>Majestic Commercenter (R0172865)</t>
        </is>
      </c>
      <c r="E111" s="458" t="inlineStr">
        <is>
          <t>Commerce City</t>
        </is>
      </c>
      <c r="F111" s="458" t="inlineStr">
        <is>
          <t>CO</t>
        </is>
      </c>
      <c r="G111" s="458" t="inlineStr">
        <is>
          <t>Industrial</t>
        </is>
      </c>
      <c r="H111" s="468" t="inlineStr">
        <is>
          <t>Warehouse NNN</t>
        </is>
      </c>
      <c r="I111" s="458" t="n">
        <v>2008</v>
      </c>
      <c r="J111" s="458" t="n">
        <v>215461</v>
      </c>
      <c r="K111" s="458" t="n">
        <v>2024</v>
      </c>
      <c r="L111" s="469" t="n">
        <v>1540283</v>
      </c>
      <c r="M111" s="458" t="n"/>
      <c r="N111" s="469" t="n">
        <v>1540283</v>
      </c>
      <c r="O111" s="458" t="n"/>
      <c r="P111" s="458" t="n"/>
      <c r="Q111" s="458" t="n"/>
      <c r="R111" s="458" t="n"/>
      <c r="S111" s="458" t="n"/>
      <c r="T111" s="458" t="n"/>
      <c r="U111" s="458" t="n"/>
      <c r="V111" s="458" t="n"/>
      <c r="W111" s="458" t="n"/>
      <c r="X111" s="458" t="n"/>
      <c r="Y111" s="458" t="n"/>
      <c r="Z111" s="458" t="n"/>
      <c r="AA111" s="469" t="n">
        <v>9880</v>
      </c>
      <c r="AB111" s="469" t="n">
        <v>29880</v>
      </c>
      <c r="AC111" s="458" t="n"/>
      <c r="AD111" s="458" t="n"/>
      <c r="AE111" s="458" t="n"/>
      <c r="AF111" s="458" t="n"/>
      <c r="AG111" s="458" t="n"/>
      <c r="AH111" s="458" t="n"/>
      <c r="AI111" s="458" t="n"/>
      <c r="AJ111" s="458" t="n"/>
      <c r="AK111" s="458" t="n"/>
      <c r="AL111" s="458" t="n"/>
      <c r="AM111" s="468" t="inlineStr">
        <is>
          <t>2024 actual 12-month P&amp;L; NOI est. per expense ratio; from 08_2025 Review</t>
        </is>
      </c>
      <c r="AN111">
        <f>IF(AND($B111=Subj_OccCode,Subj_BldgSF&gt;0,ABS($J111-Subj_BldgSF)&lt;=Subj_BldgSF*Subj_SizeTol),ABS($J111-Subj_BldgSF),NA())</f>
        <v/>
      </c>
      <c r="AO111">
        <f>IF(ISNA(AN111),NA(),AN111+ROW()/10000000)</f>
        <v/>
      </c>
      <c r="AR111" s="256">
        <f>IF(B111="","",IFERROR(INDEX(OCC_TABLE_DESC,MATCH(B111,OCC_TABLE_CODE,0)),"Unrecognized code"))</f>
        <v/>
      </c>
    </row>
    <row r="112" ht="12.75" customHeight="1" s="545">
      <c r="A112" s="458" t="inlineStr">
        <is>
          <t>P036</t>
        </is>
      </c>
      <c r="B112" s="449" t="n">
        <v>407</v>
      </c>
      <c r="C112" s="458" t="inlineStr">
        <is>
          <t>R0172868</t>
        </is>
      </c>
      <c r="D112" s="468" t="inlineStr">
        <is>
          <t>Majestic Commercenter (R0172868)</t>
        </is>
      </c>
      <c r="E112" s="458" t="inlineStr">
        <is>
          <t>Commerce City</t>
        </is>
      </c>
      <c r="F112" s="458" t="inlineStr">
        <is>
          <t>CO</t>
        </is>
      </c>
      <c r="G112" s="458" t="inlineStr">
        <is>
          <t>Industrial</t>
        </is>
      </c>
      <c r="H112" s="468" t="inlineStr">
        <is>
          <t>Warehouse NNN</t>
        </is>
      </c>
      <c r="I112" s="458" t="n">
        <v>2007</v>
      </c>
      <c r="J112" s="458" t="n">
        <v>202091</v>
      </c>
      <c r="K112" s="458" t="n">
        <v>2024</v>
      </c>
      <c r="L112" s="458" t="n"/>
      <c r="M112" s="458" t="n"/>
      <c r="N112" s="469" t="n">
        <v>1057537</v>
      </c>
      <c r="O112" s="458" t="n"/>
      <c r="P112" s="458" t="n"/>
      <c r="Q112" s="458" t="n"/>
      <c r="R112" s="458" t="n"/>
      <c r="S112" s="458" t="n"/>
      <c r="T112" s="458" t="n"/>
      <c r="U112" s="458" t="n"/>
      <c r="V112" s="458" t="n"/>
      <c r="W112" s="458" t="n"/>
      <c r="X112" s="458" t="n"/>
      <c r="Y112" s="458" t="n"/>
      <c r="Z112" s="458" t="n"/>
      <c r="AA112" s="458" t="n"/>
      <c r="AB112" s="458" t="n"/>
      <c r="AC112" s="458" t="n"/>
      <c r="AD112" s="458" t="n"/>
      <c r="AE112" s="458" t="n"/>
      <c r="AF112" s="458" t="n"/>
      <c r="AG112" s="458" t="n"/>
      <c r="AH112" s="469" t="n">
        <v>722093</v>
      </c>
      <c r="AI112" s="458" t="n"/>
      <c r="AJ112" s="469" t="n">
        <v>722093</v>
      </c>
      <c r="AK112" s="469" t="n">
        <v>335444</v>
      </c>
      <c r="AL112" s="458" t="n"/>
      <c r="AM112" s="468" t="inlineStr">
        <is>
          <t>2024 actual 12-month P&amp;L; from 08_2025 Review</t>
        </is>
      </c>
      <c r="AN112">
        <f>IF(AND($B112=Subj_OccCode,Subj_BldgSF&gt;0,ABS($J112-Subj_BldgSF)&lt;=Subj_BldgSF*Subj_SizeTol),ABS($J112-Subj_BldgSF),NA())</f>
        <v/>
      </c>
      <c r="AO112">
        <f>IF(ISNA(AN112),NA(),AN112+ROW()/10000000)</f>
        <v/>
      </c>
      <c r="AR112" s="256">
        <f>IF(B112="","",IFERROR(INDEX(OCC_TABLE_DESC,MATCH(B112,OCC_TABLE_CODE,0)),"Unrecognized code"))</f>
        <v/>
      </c>
    </row>
    <row r="113" ht="25.5" customHeight="1" s="545">
      <c r="A113" s="458" t="inlineStr">
        <is>
          <t>P054</t>
        </is>
      </c>
      <c r="B113" s="449" t="n">
        <v>210</v>
      </c>
      <c r="C113" s="458" t="inlineStr">
        <is>
          <t>R0180551</t>
        </is>
      </c>
      <c r="D113" s="468" t="inlineStr">
        <is>
          <t>1953 N Gun Club Rd</t>
        </is>
      </c>
      <c r="E113" s="458" t="inlineStr">
        <is>
          <t>Aurora</t>
        </is>
      </c>
      <c r="F113" s="458" t="inlineStr">
        <is>
          <t>CO</t>
        </is>
      </c>
      <c r="G113" s="458" t="inlineStr">
        <is>
          <t>Industrial</t>
        </is>
      </c>
      <c r="H113" s="468" t="inlineStr">
        <is>
          <t>Multi-Tenant Industrial/Office NNN</t>
        </is>
      </c>
      <c r="I113" s="458" t="n"/>
      <c r="J113" s="458" t="n"/>
      <c r="K113" s="458" t="n">
        <v>2023</v>
      </c>
      <c r="L113" s="458" t="n"/>
      <c r="M113" s="458" t="n"/>
      <c r="N113" s="469" t="n">
        <v>2454080</v>
      </c>
      <c r="O113" s="469" t="n">
        <v>41179</v>
      </c>
      <c r="P113" s="469" t="n">
        <v>58394</v>
      </c>
      <c r="Q113" s="458" t="n"/>
      <c r="R113" s="458" t="n"/>
      <c r="S113" s="469" t="n">
        <v>36166</v>
      </c>
      <c r="T113" s="469" t="n">
        <v>1942</v>
      </c>
      <c r="U113" s="458" t="n"/>
      <c r="V113" s="458" t="n"/>
      <c r="W113" s="458" t="n"/>
      <c r="X113" s="469" t="n">
        <v>549</v>
      </c>
      <c r="Y113" s="469" t="n">
        <v>38657</v>
      </c>
      <c r="Z113" s="458" t="n"/>
      <c r="AA113" s="469" t="n">
        <v>15068</v>
      </c>
      <c r="AB113" s="469" t="n">
        <v>55875</v>
      </c>
      <c r="AC113" s="469" t="n">
        <v>70943</v>
      </c>
      <c r="AD113" s="469" t="n">
        <v>25682</v>
      </c>
      <c r="AE113" s="458" t="n"/>
      <c r="AF113" s="469" t="n">
        <v>25682</v>
      </c>
      <c r="AG113" s="469" t="n">
        <v>1654</v>
      </c>
      <c r="AH113" s="469" t="n">
        <v>220784</v>
      </c>
      <c r="AI113" s="469" t="n">
        <v>1347168</v>
      </c>
      <c r="AJ113" s="469" t="n">
        <v>1568172</v>
      </c>
      <c r="AK113" s="469" t="n">
        <v>885908</v>
      </c>
      <c r="AL113" s="458" t="n"/>
      <c r="AM113" s="468" t="inlineStr">
        <is>
          <t>Actual accrual; base rent $880k; recovery $1.59M; prior-yr adj included</t>
        </is>
      </c>
      <c r="AN113">
        <f>IF(AND($B113=Subj_OccCode,Subj_BldgSF&gt;0,ABS($J113-Subj_BldgSF)&lt;=Subj_BldgSF*Subj_SizeTol),ABS($J113-Subj_BldgSF),NA())</f>
        <v/>
      </c>
      <c r="AO113">
        <f>IF(ISNA(AN113),NA(),AN113+ROW()/10000000)</f>
        <v/>
      </c>
      <c r="AR113" s="256">
        <f>IF(B113="","",IFERROR(INDEX(OCC_TABLE_DESC,MATCH(B113,OCC_TABLE_CODE,0)),"Unrecognized code"))</f>
        <v/>
      </c>
    </row>
    <row r="114" ht="25.5" customHeight="1" s="545">
      <c r="A114" s="458" t="inlineStr">
        <is>
          <t>P054</t>
        </is>
      </c>
      <c r="B114" s="449" t="n">
        <v>210</v>
      </c>
      <c r="C114" s="458" t="inlineStr">
        <is>
          <t>R0180551</t>
        </is>
      </c>
      <c r="D114" s="468" t="inlineStr">
        <is>
          <t>1953 N Gun Club Rd</t>
        </is>
      </c>
      <c r="E114" s="458" t="inlineStr">
        <is>
          <t>Aurora</t>
        </is>
      </c>
      <c r="F114" s="458" t="inlineStr">
        <is>
          <t>CO</t>
        </is>
      </c>
      <c r="G114" s="458" t="inlineStr">
        <is>
          <t>Industrial</t>
        </is>
      </c>
      <c r="H114" s="468" t="inlineStr">
        <is>
          <t>Multi-Tenant Industrial/Office NNN</t>
        </is>
      </c>
      <c r="I114" s="458" t="n"/>
      <c r="J114" s="458" t="n"/>
      <c r="K114" s="458" t="n">
        <v>2024</v>
      </c>
      <c r="L114" s="458" t="n"/>
      <c r="M114" s="458" t="n"/>
      <c r="N114" s="469" t="n">
        <v>2720117</v>
      </c>
      <c r="O114" s="469" t="n">
        <v>53324</v>
      </c>
      <c r="P114" s="469" t="n">
        <v>85426</v>
      </c>
      <c r="Q114" s="458" t="n"/>
      <c r="R114" s="458" t="n"/>
      <c r="S114" s="469" t="n">
        <v>10052</v>
      </c>
      <c r="T114" s="469" t="n">
        <v>12752</v>
      </c>
      <c r="U114" s="458" t="n"/>
      <c r="V114" s="458" t="n"/>
      <c r="W114" s="458" t="n"/>
      <c r="X114" s="469" t="n">
        <v>789</v>
      </c>
      <c r="Y114" s="469" t="n">
        <v>23593</v>
      </c>
      <c r="Z114" s="458" t="n"/>
      <c r="AA114" s="469" t="n">
        <v>16126</v>
      </c>
      <c r="AB114" s="469" t="n">
        <v>57314</v>
      </c>
      <c r="AC114" s="469" t="n">
        <v>73440</v>
      </c>
      <c r="AD114" s="469" t="n">
        <v>21725</v>
      </c>
      <c r="AE114" s="458" t="n"/>
      <c r="AF114" s="469" t="n">
        <v>21725</v>
      </c>
      <c r="AG114" s="469" t="n">
        <v>2601</v>
      </c>
      <c r="AH114" s="469" t="n">
        <v>265585</v>
      </c>
      <c r="AI114" s="469" t="n">
        <v>1331347</v>
      </c>
      <c r="AJ114" s="469" t="n">
        <v>1596932</v>
      </c>
      <c r="AK114" s="469" t="n">
        <v>1123184</v>
      </c>
      <c r="AL114" s="458" t="n"/>
      <c r="AM114" s="468" t="inlineStr">
        <is>
          <t>Actual accrual; base rent $1.09M stepped; recovery $1.62M</t>
        </is>
      </c>
      <c r="AN114">
        <f>IF(AND($B114=Subj_OccCode,Subj_BldgSF&gt;0,ABS($J114-Subj_BldgSF)&lt;=Subj_BldgSF*Subj_SizeTol),ABS($J114-Subj_BldgSF),NA())</f>
        <v/>
      </c>
      <c r="AO114">
        <f>IF(ISNA(AN114),NA(),AN114+ROW()/10000000)</f>
        <v/>
      </c>
      <c r="AR114" s="256">
        <f>IF(B114="","",IFERROR(INDEX(OCC_TABLE_DESC,MATCH(B114,OCC_TABLE_CODE,0)),"Unrecognized code"))</f>
        <v/>
      </c>
    </row>
    <row r="115" ht="25.5" customHeight="1" s="545">
      <c r="A115" s="458" t="inlineStr">
        <is>
          <t>P055</t>
        </is>
      </c>
      <c r="B115" s="449" t="n">
        <v>407</v>
      </c>
      <c r="C115" s="458" t="inlineStr">
        <is>
          <t>R0211072/R0211073/R0211074</t>
        </is>
      </c>
      <c r="D115" s="468" t="inlineStr">
        <is>
          <t>Park 76 Distribution Center</t>
        </is>
      </c>
      <c r="E115" s="458" t="inlineStr">
        <is>
          <t>Aurora</t>
        </is>
      </c>
      <c r="F115" s="458" t="inlineStr">
        <is>
          <t>CO</t>
        </is>
      </c>
      <c r="G115" s="458" t="inlineStr">
        <is>
          <t>Industrial</t>
        </is>
      </c>
      <c r="H115" s="468" t="inlineStr">
        <is>
          <t>Industrial Warehouse NNN</t>
        </is>
      </c>
      <c r="I115" s="458" t="n"/>
      <c r="J115" s="458" t="n"/>
      <c r="K115" s="458" t="n">
        <v>2023</v>
      </c>
      <c r="L115" s="469" t="n">
        <v>1865903</v>
      </c>
      <c r="M115" s="458" t="n"/>
      <c r="N115" s="469" t="n">
        <v>2819460</v>
      </c>
      <c r="O115" s="469" t="n">
        <v>30551</v>
      </c>
      <c r="P115" s="469" t="n">
        <v>174961</v>
      </c>
      <c r="Q115" s="458" t="n"/>
      <c r="R115" s="458" t="n"/>
      <c r="S115" s="469" t="n">
        <v>38995</v>
      </c>
      <c r="T115" s="469" t="n">
        <v>27460</v>
      </c>
      <c r="U115" s="458" t="n"/>
      <c r="V115" s="458" t="n"/>
      <c r="W115" s="458" t="n"/>
      <c r="X115" s="469" t="n">
        <v>2475</v>
      </c>
      <c r="Y115" s="469" t="n">
        <v>68930</v>
      </c>
      <c r="Z115" s="458" t="n"/>
      <c r="AA115" s="469" t="n">
        <v>18672</v>
      </c>
      <c r="AB115" s="469" t="n">
        <v>19945</v>
      </c>
      <c r="AC115" s="469" t="n">
        <v>38617</v>
      </c>
      <c r="AD115" s="458" t="n"/>
      <c r="AE115" s="458" t="n"/>
      <c r="AF115" s="469" t="n">
        <v>58172</v>
      </c>
      <c r="AG115" s="469" t="n">
        <v>18488</v>
      </c>
      <c r="AH115" s="469" t="n">
        <v>379535</v>
      </c>
      <c r="AI115" s="469" t="n">
        <v>895967</v>
      </c>
      <c r="AJ115" s="469" t="n">
        <v>1013502</v>
      </c>
      <c r="AK115" s="469" t="n">
        <v>1805958</v>
      </c>
      <c r="AL115" s="458" t="n"/>
      <c r="AM115" s="468" t="inlineStr">
        <is>
          <t>3-bldg campus; actual accrual; base rent $1.87M; recovery $992k; prior-yr tax credit ($186k) netted</t>
        </is>
      </c>
      <c r="AN115">
        <f>IF(AND($B115=Subj_OccCode,Subj_BldgSF&gt;0,ABS($J115-Subj_BldgSF)&lt;=Subj_BldgSF*Subj_SizeTol),ABS($J115-Subj_BldgSF),NA())</f>
        <v/>
      </c>
      <c r="AO115">
        <f>IF(ISNA(AN115),NA(),AN115+ROW()/10000000)</f>
        <v/>
      </c>
      <c r="AR115" s="256">
        <f>IF(B115="","",IFERROR(INDEX(OCC_TABLE_DESC,MATCH(B115,OCC_TABLE_CODE,0)),"Unrecognized code"))</f>
        <v/>
      </c>
    </row>
    <row r="116" ht="25.5" customHeight="1" s="545">
      <c r="A116" s="458" t="inlineStr">
        <is>
          <t>P055</t>
        </is>
      </c>
      <c r="B116" s="449" t="n">
        <v>407</v>
      </c>
      <c r="C116" s="458" t="inlineStr">
        <is>
          <t>R0211072/R0211073/R0211074</t>
        </is>
      </c>
      <c r="D116" s="468" t="inlineStr">
        <is>
          <t>Park 76 Distribution Center</t>
        </is>
      </c>
      <c r="E116" s="458" t="inlineStr">
        <is>
          <t>Aurora</t>
        </is>
      </c>
      <c r="F116" s="458" t="inlineStr">
        <is>
          <t>CO</t>
        </is>
      </c>
      <c r="G116" s="458" t="inlineStr">
        <is>
          <t>Industrial</t>
        </is>
      </c>
      <c r="H116" s="468" t="inlineStr">
        <is>
          <t>Industrial Warehouse NNN</t>
        </is>
      </c>
      <c r="I116" s="458" t="n"/>
      <c r="J116" s="458" t="n"/>
      <c r="K116" s="458" t="n">
        <v>2024</v>
      </c>
      <c r="L116" s="469" t="n">
        <v>2075908</v>
      </c>
      <c r="M116" s="458" t="n"/>
      <c r="N116" s="469" t="n">
        <v>3348615</v>
      </c>
      <c r="O116" s="469" t="n">
        <v>35750</v>
      </c>
      <c r="P116" s="469" t="n">
        <v>200286</v>
      </c>
      <c r="Q116" s="458" t="n"/>
      <c r="R116" s="458" t="n"/>
      <c r="S116" s="469" t="n">
        <v>22119</v>
      </c>
      <c r="T116" s="469" t="n">
        <v>33962</v>
      </c>
      <c r="U116" s="458" t="n"/>
      <c r="V116" s="458" t="n"/>
      <c r="W116" s="458" t="n"/>
      <c r="X116" s="469" t="n">
        <v>3333</v>
      </c>
      <c r="Y116" s="469" t="n">
        <v>59414</v>
      </c>
      <c r="Z116" s="458" t="n"/>
      <c r="AA116" s="469" t="n">
        <v>26689</v>
      </c>
      <c r="AB116" s="469" t="n">
        <v>56296</v>
      </c>
      <c r="AC116" s="469" t="n">
        <v>82985</v>
      </c>
      <c r="AD116" s="458" t="n"/>
      <c r="AE116" s="458" t="n"/>
      <c r="AF116" s="469" t="n">
        <v>34195</v>
      </c>
      <c r="AG116" s="469" t="n">
        <v>4284</v>
      </c>
      <c r="AH116" s="469" t="n">
        <v>341787</v>
      </c>
      <c r="AI116" s="469" t="n">
        <v>989805</v>
      </c>
      <c r="AJ116" s="469" t="n">
        <v>1331592</v>
      </c>
      <c r="AK116" s="469" t="n">
        <v>2017023</v>
      </c>
      <c r="AL116" s="458" t="n"/>
      <c r="AM116" s="468" t="inlineStr">
        <is>
          <t>3-bldg campus; actual accrual; near-stabilized; base rent $2.08M; recovery $1.23M</t>
        </is>
      </c>
      <c r="AN116">
        <f>IF(AND($B116=Subj_OccCode,Subj_BldgSF&gt;0,ABS($J116-Subj_BldgSF)&lt;=Subj_BldgSF*Subj_SizeTol),ABS($J116-Subj_BldgSF),NA())</f>
        <v/>
      </c>
      <c r="AO116">
        <f>IF(ISNA(AN116),NA(),AN116+ROW()/10000000)</f>
        <v/>
      </c>
      <c r="AR116" s="256">
        <f>IF(B116="","",IFERROR(INDEX(OCC_TABLE_DESC,MATCH(B116,OCC_TABLE_CODE,0)),"Unrecognized code"))</f>
        <v/>
      </c>
    </row>
    <row r="117" ht="25.5" customHeight="1" s="545">
      <c r="A117" s="458" t="inlineStr">
        <is>
          <t>P056</t>
        </is>
      </c>
      <c r="B117" s="449" t="n">
        <v>407</v>
      </c>
      <c r="C117" s="458" t="inlineStr">
        <is>
          <t>R0210485</t>
        </is>
      </c>
      <c r="D117" s="468" t="inlineStr">
        <is>
          <t>1101 E 126th Ave (Bldg A)</t>
        </is>
      </c>
      <c r="E117" s="458" t="inlineStr">
        <is>
          <t>Thornton</t>
        </is>
      </c>
      <c r="F117" s="458" t="inlineStr">
        <is>
          <t>CO</t>
        </is>
      </c>
      <c r="G117" s="458" t="inlineStr">
        <is>
          <t>Industrial</t>
        </is>
      </c>
      <c r="H117" s="468" t="inlineStr">
        <is>
          <t>Industrial Warehouse NNN</t>
        </is>
      </c>
      <c r="I117" s="458" t="n">
        <v>2022</v>
      </c>
      <c r="J117" s="458" t="n"/>
      <c r="K117" s="458" t="n">
        <v>2024</v>
      </c>
      <c r="L117" s="469" t="n">
        <v>646186</v>
      </c>
      <c r="M117" s="458" t="n"/>
      <c r="N117" s="469" t="n">
        <v>839307</v>
      </c>
      <c r="O117" s="469" t="n">
        <v>11813</v>
      </c>
      <c r="P117" s="469" t="n">
        <v>47295</v>
      </c>
      <c r="Q117" s="458" t="n"/>
      <c r="R117" s="458" t="n"/>
      <c r="S117" s="458" t="n"/>
      <c r="T117" s="469" t="n">
        <v>9156</v>
      </c>
      <c r="U117" s="458" t="n"/>
      <c r="V117" s="458" t="n"/>
      <c r="W117" s="458" t="n"/>
      <c r="X117" s="469" t="n">
        <v>3898</v>
      </c>
      <c r="Y117" s="469" t="n">
        <v>13054</v>
      </c>
      <c r="Z117" s="458" t="n"/>
      <c r="AA117" s="469" t="n">
        <v>11343</v>
      </c>
      <c r="AB117" s="469" t="n">
        <v>24799</v>
      </c>
      <c r="AC117" s="469" t="n">
        <v>36142</v>
      </c>
      <c r="AD117" s="458" t="n"/>
      <c r="AE117" s="458" t="n"/>
      <c r="AF117" s="469" t="n">
        <v>27895</v>
      </c>
      <c r="AG117" s="458" t="n"/>
      <c r="AH117" s="469" t="n">
        <v>146517</v>
      </c>
      <c r="AI117" s="469" t="n">
        <v>558285</v>
      </c>
      <c r="AJ117" s="469" t="n">
        <v>705154</v>
      </c>
      <c r="AK117" s="469" t="n">
        <v>134153</v>
      </c>
      <c r="AL117" s="458" t="n"/>
      <c r="AM117" s="468" t="inlineStr">
        <is>
          <t>New (YOC ~2022); 2024 near-stabilized; 2023 excluded (lease-up, negative NOI)</t>
        </is>
      </c>
      <c r="AN117">
        <f>IF(AND($B117=Subj_OccCode,Subj_BldgSF&gt;0,ABS($J117-Subj_BldgSF)&lt;=Subj_BldgSF*Subj_SizeTol),ABS($J117-Subj_BldgSF),NA())</f>
        <v/>
      </c>
      <c r="AO117">
        <f>IF(ISNA(AN117),NA(),AN117+ROW()/10000000)</f>
        <v/>
      </c>
      <c r="AR117" s="256">
        <f>IF(B117="","",IFERROR(INDEX(OCC_TABLE_DESC,MATCH(B117,OCC_TABLE_CODE,0)),"Unrecognized code"))</f>
        <v/>
      </c>
    </row>
    <row r="118" ht="25.5" customHeight="1" s="545">
      <c r="A118" s="458" t="inlineStr">
        <is>
          <t>P057</t>
        </is>
      </c>
      <c r="B118" s="449" t="n">
        <v>407</v>
      </c>
      <c r="C118" s="458" t="inlineStr">
        <is>
          <t>R0210486</t>
        </is>
      </c>
      <c r="D118" s="468" t="inlineStr">
        <is>
          <t>12625 Lafayette St (Bldg B)</t>
        </is>
      </c>
      <c r="E118" s="458" t="inlineStr">
        <is>
          <t>Thornton</t>
        </is>
      </c>
      <c r="F118" s="458" t="inlineStr">
        <is>
          <t>CO</t>
        </is>
      </c>
      <c r="G118" s="458" t="inlineStr">
        <is>
          <t>Industrial</t>
        </is>
      </c>
      <c r="H118" s="468" t="inlineStr">
        <is>
          <t>Industrial Warehouse NNN</t>
        </is>
      </c>
      <c r="I118" s="458" t="n">
        <v>2022</v>
      </c>
      <c r="J118" s="458" t="n"/>
      <c r="K118" s="458" t="n">
        <v>2024</v>
      </c>
      <c r="L118" s="469" t="n">
        <v>898845</v>
      </c>
      <c r="M118" s="458" t="n"/>
      <c r="N118" s="469" t="n">
        <v>1373599</v>
      </c>
      <c r="O118" s="469" t="n">
        <v>21888</v>
      </c>
      <c r="P118" s="469" t="n">
        <v>72220</v>
      </c>
      <c r="Q118" s="458" t="n"/>
      <c r="R118" s="458" t="n"/>
      <c r="S118" s="458" t="n"/>
      <c r="T118" s="469" t="n">
        <v>8438</v>
      </c>
      <c r="U118" s="458" t="n"/>
      <c r="V118" s="458" t="n"/>
      <c r="W118" s="458" t="n"/>
      <c r="X118" s="469" t="n">
        <v>5773</v>
      </c>
      <c r="Y118" s="469" t="n">
        <v>14211</v>
      </c>
      <c r="Z118" s="458" t="n"/>
      <c r="AA118" s="469" t="n">
        <v>21287</v>
      </c>
      <c r="AB118" s="469" t="n">
        <v>29625</v>
      </c>
      <c r="AC118" s="469" t="n">
        <v>50912</v>
      </c>
      <c r="AD118" s="458" t="n"/>
      <c r="AE118" s="458" t="n"/>
      <c r="AF118" s="469" t="n">
        <v>51235</v>
      </c>
      <c r="AG118" s="458" t="n"/>
      <c r="AH118" s="469" t="n">
        <v>209004</v>
      </c>
      <c r="AI118" s="469" t="n">
        <v>762465</v>
      </c>
      <c r="AJ118" s="469" t="n">
        <v>971469</v>
      </c>
      <c r="AK118" s="469" t="n">
        <v>402131</v>
      </c>
      <c r="AL118" s="458" t="n"/>
      <c r="AM118" s="468" t="inlineStr">
        <is>
          <t>New (YOC ~2022); 2024 near-stabilized; 2023 excluded (lease-up, negative NOI)</t>
        </is>
      </c>
      <c r="AN118">
        <f>IF(AND($B118=Subj_OccCode,Subj_BldgSF&gt;0,ABS($J118-Subj_BldgSF)&lt;=Subj_BldgSF*Subj_SizeTol),ABS($J118-Subj_BldgSF),NA())</f>
        <v/>
      </c>
      <c r="AO118">
        <f>IF(ISNA(AN118),NA(),AN118+ROW()/10000000)</f>
        <v/>
      </c>
      <c r="AR118" s="256">
        <f>IF(B118="","",IFERROR(INDEX(OCC_TABLE_DESC,MATCH(B118,OCC_TABLE_CODE,0)),"Unrecognized code"))</f>
        <v/>
      </c>
    </row>
    <row r="119" ht="12.75" customHeight="1" s="545">
      <c r="A119" s="458" t="inlineStr">
        <is>
          <t>P058</t>
        </is>
      </c>
      <c r="B119" s="449" t="n">
        <v>407</v>
      </c>
      <c r="C119" s="458" t="inlineStr">
        <is>
          <t>R0091934</t>
        </is>
      </c>
      <c r="D119" s="468" t="inlineStr">
        <is>
          <t>350 Park Industrial (5759)</t>
        </is>
      </c>
      <c r="E119" s="458" t="inlineStr">
        <is>
          <t>Aurora</t>
        </is>
      </c>
      <c r="F119" s="458" t="inlineStr">
        <is>
          <t>CO</t>
        </is>
      </c>
      <c r="G119" s="458" t="inlineStr">
        <is>
          <t>Industrial</t>
        </is>
      </c>
      <c r="H119" s="468" t="inlineStr">
        <is>
          <t>Multi-Tenant Industrial 407</t>
        </is>
      </c>
      <c r="I119" s="458" t="n">
        <v>1995</v>
      </c>
      <c r="J119" s="458" t="n">
        <v>32600</v>
      </c>
      <c r="K119" s="458" t="n">
        <v>2023</v>
      </c>
      <c r="L119" s="469" t="n">
        <v>296766</v>
      </c>
      <c r="M119" s="458" t="n"/>
      <c r="N119" s="469" t="n">
        <v>449003</v>
      </c>
      <c r="O119" s="469" t="n">
        <v>5808</v>
      </c>
      <c r="P119" s="469" t="n">
        <v>16857</v>
      </c>
      <c r="Q119" s="469" t="n">
        <v>1204</v>
      </c>
      <c r="R119" s="458" t="n"/>
      <c r="S119" s="469" t="n">
        <v>10015</v>
      </c>
      <c r="T119" s="469" t="n">
        <v>500</v>
      </c>
      <c r="U119" s="458" t="n"/>
      <c r="V119" s="458" t="n"/>
      <c r="W119" s="458" t="n"/>
      <c r="X119" s="469" t="n">
        <v>7760</v>
      </c>
      <c r="Y119" s="469" t="n">
        <v>19479</v>
      </c>
      <c r="Z119" s="469" t="n">
        <v>1359</v>
      </c>
      <c r="AA119" s="458" t="n"/>
      <c r="AB119" s="458" t="n"/>
      <c r="AC119" s="469" t="n">
        <v>1359</v>
      </c>
      <c r="AD119" s="469" t="n">
        <v>6103</v>
      </c>
      <c r="AE119" s="458" t="n"/>
      <c r="AF119" s="469" t="n">
        <v>6103</v>
      </c>
      <c r="AG119" s="469" t="n">
        <v>7749</v>
      </c>
      <c r="AH119" s="469" t="n">
        <v>57071</v>
      </c>
      <c r="AI119" s="469" t="n">
        <v>102701</v>
      </c>
      <c r="AJ119" s="469" t="n">
        <v>159537</v>
      </c>
      <c r="AK119" s="469" t="n">
        <v>289466</v>
      </c>
      <c r="AL119" s="458" t="n"/>
      <c r="AM119" s="468" t="inlineStr">
        <is>
          <t>Actual accrual; 3 tenants; multi-tenant industrial</t>
        </is>
      </c>
      <c r="AN119">
        <f>IF(AND($B119=Subj_OccCode,Subj_BldgSF&gt;0,ABS($J119-Subj_BldgSF)&lt;=Subj_BldgSF*Subj_SizeTol),ABS($J119-Subj_BldgSF),NA())</f>
        <v/>
      </c>
      <c r="AO119">
        <f>IF(ISNA(AN119),NA(),AN119+ROW()/10000000)</f>
        <v/>
      </c>
      <c r="AR119" s="256">
        <f>IF(B119="","",IFERROR(INDEX(OCC_TABLE_DESC,MATCH(B119,OCC_TABLE_CODE,0)),"Unrecognized code"))</f>
        <v/>
      </c>
    </row>
    <row r="120" ht="12.75" customHeight="1" s="545">
      <c r="A120" s="458" t="inlineStr">
        <is>
          <t>P058</t>
        </is>
      </c>
      <c r="B120" s="449" t="n">
        <v>407</v>
      </c>
      <c r="C120" s="458" t="inlineStr">
        <is>
          <t>R0091934</t>
        </is>
      </c>
      <c r="D120" s="468" t="inlineStr">
        <is>
          <t>350 Park Industrial (5759)</t>
        </is>
      </c>
      <c r="E120" s="458" t="inlineStr">
        <is>
          <t>Aurora</t>
        </is>
      </c>
      <c r="F120" s="458" t="inlineStr">
        <is>
          <t>CO</t>
        </is>
      </c>
      <c r="G120" s="458" t="inlineStr">
        <is>
          <t>Industrial</t>
        </is>
      </c>
      <c r="H120" s="468" t="inlineStr">
        <is>
          <t>Multi-Tenant Industrial 407</t>
        </is>
      </c>
      <c r="I120" s="458" t="n">
        <v>1995</v>
      </c>
      <c r="J120" s="458" t="n">
        <v>32600</v>
      </c>
      <c r="K120" s="458" t="n">
        <v>2024</v>
      </c>
      <c r="L120" s="469" t="n">
        <v>312397</v>
      </c>
      <c r="M120" s="458" t="n"/>
      <c r="N120" s="469" t="n">
        <v>497987</v>
      </c>
      <c r="O120" s="469" t="n">
        <v>5897</v>
      </c>
      <c r="P120" s="469" t="n">
        <v>18574</v>
      </c>
      <c r="Q120" s="469" t="n">
        <v>1251</v>
      </c>
      <c r="R120" s="458" t="n"/>
      <c r="S120" s="469" t="n">
        <v>7535</v>
      </c>
      <c r="T120" s="469" t="n">
        <v>1222</v>
      </c>
      <c r="U120" s="458" t="n"/>
      <c r="V120" s="458" t="n"/>
      <c r="W120" s="458" t="n"/>
      <c r="X120" s="469" t="n">
        <v>7269</v>
      </c>
      <c r="Y120" s="469" t="n">
        <v>17277</v>
      </c>
      <c r="Z120" s="469" t="n">
        <v>1376</v>
      </c>
      <c r="AA120" s="458" t="n"/>
      <c r="AB120" s="458" t="n"/>
      <c r="AC120" s="469" t="n">
        <v>1376</v>
      </c>
      <c r="AD120" s="469" t="n">
        <v>6829</v>
      </c>
      <c r="AE120" s="458" t="n"/>
      <c r="AF120" s="469" t="n">
        <v>6829</v>
      </c>
      <c r="AG120" s="469" t="n">
        <v>25153</v>
      </c>
      <c r="AH120" s="469" t="n">
        <v>69242</v>
      </c>
      <c r="AI120" s="469" t="n">
        <v>105852</v>
      </c>
      <c r="AJ120" s="469" t="n">
        <v>172094</v>
      </c>
      <c r="AK120" s="469" t="n">
        <v>325893</v>
      </c>
      <c r="AL120" s="458" t="n"/>
      <c r="AM120" s="468" t="inlineStr">
        <is>
          <t>Actual accrual; 3 tenants</t>
        </is>
      </c>
      <c r="AN120">
        <f>IF(AND($B120=Subj_OccCode,Subj_BldgSF&gt;0,ABS($J120-Subj_BldgSF)&lt;=Subj_BldgSF*Subj_SizeTol),ABS($J120-Subj_BldgSF),NA())</f>
        <v/>
      </c>
      <c r="AO120">
        <f>IF(ISNA(AN120),NA(),AN120+ROW()/10000000)</f>
        <v/>
      </c>
      <c r="AR120" s="256">
        <f>IF(B120="","",IFERROR(INDEX(OCC_TABLE_DESC,MATCH(B120,OCC_TABLE_CODE,0)),"Unrecognized code"))</f>
        <v/>
      </c>
    </row>
    <row r="121" ht="25.5" customHeight="1" s="545">
      <c r="A121" s="458" t="inlineStr">
        <is>
          <t>P059</t>
        </is>
      </c>
      <c r="B121" s="449" t="n">
        <v>407</v>
      </c>
      <c r="C121" s="458" t="inlineStr">
        <is>
          <t>R0093111</t>
        </is>
      </c>
      <c r="D121" s="468" t="inlineStr">
        <is>
          <t>Industrial Property (R0093111)</t>
        </is>
      </c>
      <c r="E121" s="458" t="inlineStr">
        <is>
          <t>Aurora</t>
        </is>
      </c>
      <c r="F121" s="458" t="inlineStr">
        <is>
          <t>CO</t>
        </is>
      </c>
      <c r="G121" s="458" t="inlineStr">
        <is>
          <t>Industrial</t>
        </is>
      </c>
      <c r="H121" s="468" t="inlineStr">
        <is>
          <t>Multi-Tenant Industrial 407</t>
        </is>
      </c>
      <c r="I121" s="458" t="n"/>
      <c r="J121" s="458" t="n"/>
      <c r="K121" s="458" t="n">
        <v>2023</v>
      </c>
      <c r="L121" s="469" t="n">
        <v>340825</v>
      </c>
      <c r="M121" s="458" t="n"/>
      <c r="N121" s="469" t="n">
        <v>817280</v>
      </c>
      <c r="O121" s="469" t="n">
        <v>396</v>
      </c>
      <c r="P121" s="469" t="n">
        <v>24226</v>
      </c>
      <c r="Q121" s="469" t="n">
        <v>2790</v>
      </c>
      <c r="R121" s="458" t="n"/>
      <c r="S121" s="469" t="n">
        <v>17586</v>
      </c>
      <c r="T121" s="458" t="n"/>
      <c r="U121" s="458" t="n"/>
      <c r="V121" s="458" t="n"/>
      <c r="W121" s="458" t="n"/>
      <c r="X121" s="469" t="n">
        <v>1690</v>
      </c>
      <c r="Y121" s="469" t="n">
        <v>22066</v>
      </c>
      <c r="Z121" s="469" t="n">
        <v>1690</v>
      </c>
      <c r="AA121" s="469" t="n">
        <v>10029</v>
      </c>
      <c r="AB121" s="469" t="n">
        <v>13406</v>
      </c>
      <c r="AC121" s="469" t="n">
        <v>15096</v>
      </c>
      <c r="AD121" s="469" t="n">
        <v>8414</v>
      </c>
      <c r="AE121" s="458" t="n"/>
      <c r="AF121" s="469" t="n">
        <v>8414</v>
      </c>
      <c r="AG121" s="469" t="n">
        <v>7749</v>
      </c>
      <c r="AH121" s="469" t="n">
        <v>82990</v>
      </c>
      <c r="AI121" s="469" t="n">
        <v>262422</v>
      </c>
      <c r="AJ121" s="469" t="n">
        <v>345412</v>
      </c>
      <c r="AK121" s="469" t="n">
        <v>471868</v>
      </c>
      <c r="AL121" s="458" t="n"/>
      <c r="AM121" s="468" t="inlineStr">
        <is>
          <t>Actual; RE tax heavy due to NNN recovery; SF not confirmed</t>
        </is>
      </c>
      <c r="AN121">
        <f>IF(AND($B121=Subj_OccCode,Subj_BldgSF&gt;0,ABS($J121-Subj_BldgSF)&lt;=Subj_BldgSF*Subj_SizeTol),ABS($J121-Subj_BldgSF),NA())</f>
        <v/>
      </c>
      <c r="AO121">
        <f>IF(ISNA(AN121),NA(),AN121+ROW()/10000000)</f>
        <v/>
      </c>
      <c r="AR121" s="256">
        <f>IF(B121="","",IFERROR(INDEX(OCC_TABLE_DESC,MATCH(B121,OCC_TABLE_CODE,0)),"Unrecognized code"))</f>
        <v/>
      </c>
    </row>
    <row r="122" ht="25.5" customHeight="1" s="545">
      <c r="A122" s="458" t="inlineStr">
        <is>
          <t>P059</t>
        </is>
      </c>
      <c r="B122" s="449" t="n">
        <v>407</v>
      </c>
      <c r="C122" s="458" t="inlineStr">
        <is>
          <t>R0093111</t>
        </is>
      </c>
      <c r="D122" s="468" t="inlineStr">
        <is>
          <t>Industrial Property (R0093111)</t>
        </is>
      </c>
      <c r="E122" s="458" t="inlineStr">
        <is>
          <t>Aurora</t>
        </is>
      </c>
      <c r="F122" s="458" t="inlineStr">
        <is>
          <t>CO</t>
        </is>
      </c>
      <c r="G122" s="458" t="inlineStr">
        <is>
          <t>Industrial</t>
        </is>
      </c>
      <c r="H122" s="468" t="inlineStr">
        <is>
          <t>Multi-Tenant Industrial 407</t>
        </is>
      </c>
      <c r="I122" s="458" t="n"/>
      <c r="J122" s="458" t="n"/>
      <c r="K122" s="458" t="n">
        <v>2024</v>
      </c>
      <c r="L122" s="469" t="n">
        <v>343350</v>
      </c>
      <c r="M122" s="458" t="n"/>
      <c r="N122" s="469" t="n">
        <v>632272</v>
      </c>
      <c r="O122" s="469" t="n">
        <v>9737</v>
      </c>
      <c r="P122" s="458" t="n"/>
      <c r="Q122" s="458" t="n"/>
      <c r="R122" s="458" t="n"/>
      <c r="S122" s="458" t="n"/>
      <c r="T122" s="458" t="n"/>
      <c r="U122" s="458" t="n"/>
      <c r="V122" s="458" t="n"/>
      <c r="W122" s="458" t="n"/>
      <c r="X122" s="458" t="n"/>
      <c r="Y122" s="458" t="n"/>
      <c r="Z122" s="458" t="n"/>
      <c r="AA122" s="458" t="n"/>
      <c r="AB122" s="458" t="n"/>
      <c r="AC122" s="458" t="n"/>
      <c r="AD122" s="458" t="n"/>
      <c r="AE122" s="458" t="n"/>
      <c r="AF122" s="458" t="n"/>
      <c r="AG122" s="458" t="n"/>
      <c r="AH122" s="469" t="n">
        <v>119649</v>
      </c>
      <c r="AI122" s="469" t="n">
        <v>159461</v>
      </c>
      <c r="AJ122" s="469" t="n">
        <v>279110</v>
      </c>
      <c r="AK122" s="469" t="n">
        <v>353163</v>
      </c>
      <c r="AL122" s="458" t="n"/>
      <c r="AM122" s="468" t="inlineStr">
        <is>
          <t>2024 summary data; limited line-item detail; SF not confirmed</t>
        </is>
      </c>
      <c r="AN122">
        <f>IF(AND($B122=Subj_OccCode,Subj_BldgSF&gt;0,ABS($J122-Subj_BldgSF)&lt;=Subj_BldgSF*Subj_SizeTol),ABS($J122-Subj_BldgSF),NA())</f>
        <v/>
      </c>
      <c r="AO122">
        <f>IF(ISNA(AN122),NA(),AN122+ROW()/10000000)</f>
        <v/>
      </c>
      <c r="AR122" s="256">
        <f>IF(B122="","",IFERROR(INDEX(OCC_TABLE_DESC,MATCH(B122,OCC_TABLE_CODE,0)),"Unrecognized code"))</f>
        <v/>
      </c>
    </row>
    <row r="123" ht="12.75" customHeight="1" s="545">
      <c r="A123" s="458" t="inlineStr">
        <is>
          <t>P060</t>
        </is>
      </c>
      <c r="B123" s="449" t="n">
        <v>407</v>
      </c>
      <c r="C123" s="458" t="inlineStr">
        <is>
          <t>R0100104</t>
        </is>
      </c>
      <c r="D123" s="468" t="inlineStr">
        <is>
          <t>312 Kew West</t>
        </is>
      </c>
      <c r="E123" s="458" t="inlineStr">
        <is>
          <t>Aurora</t>
        </is>
      </c>
      <c r="F123" s="458" t="inlineStr">
        <is>
          <t>CO</t>
        </is>
      </c>
      <c r="G123" s="458" t="inlineStr">
        <is>
          <t>Industrial</t>
        </is>
      </c>
      <c r="H123" s="468" t="inlineStr">
        <is>
          <t>Multi-Tenant Industrial 407</t>
        </is>
      </c>
      <c r="I123" s="458" t="n"/>
      <c r="J123" s="458" t="n"/>
      <c r="K123" s="458" t="n">
        <v>2023</v>
      </c>
      <c r="L123" s="469" t="n">
        <v>246837</v>
      </c>
      <c r="M123" s="458" t="n"/>
      <c r="N123" s="469" t="n">
        <v>340193</v>
      </c>
      <c r="O123" s="469" t="n">
        <v>7355</v>
      </c>
      <c r="P123" s="469" t="n">
        <v>12734</v>
      </c>
      <c r="Q123" s="469" t="n">
        <v>1711</v>
      </c>
      <c r="R123" s="458" t="n"/>
      <c r="S123" s="469" t="n">
        <v>24740</v>
      </c>
      <c r="T123" s="469" t="n">
        <v>6577</v>
      </c>
      <c r="U123" s="458" t="n"/>
      <c r="V123" s="458" t="n"/>
      <c r="W123" s="458" t="n"/>
      <c r="X123" s="469" t="n">
        <v>10612</v>
      </c>
      <c r="Y123" s="469" t="n">
        <v>43640</v>
      </c>
      <c r="Z123" s="469" t="n">
        <v>2451</v>
      </c>
      <c r="AA123" s="469" t="n">
        <v>2474</v>
      </c>
      <c r="AB123" s="469" t="n">
        <v>9457</v>
      </c>
      <c r="AC123" s="469" t="n">
        <v>14382</v>
      </c>
      <c r="AD123" s="469" t="n">
        <v>4092</v>
      </c>
      <c r="AE123" s="458" t="n"/>
      <c r="AF123" s="469" t="n">
        <v>4092</v>
      </c>
      <c r="AG123" s="458" t="n"/>
      <c r="AH123" s="469" t="n">
        <v>68233</v>
      </c>
      <c r="AI123" s="469" t="n">
        <v>92861</v>
      </c>
      <c r="AJ123" s="469" t="n">
        <v>161094</v>
      </c>
      <c r="AK123" s="469" t="n">
        <v>179099</v>
      </c>
      <c r="AL123" s="458" t="n"/>
      <c r="AM123" s="468" t="inlineStr">
        <is>
          <t>Actual accrual; SF not confirmed</t>
        </is>
      </c>
      <c r="AN123">
        <f>IF(AND($B123=Subj_OccCode,Subj_BldgSF&gt;0,ABS($J123-Subj_BldgSF)&lt;=Subj_BldgSF*Subj_SizeTol),ABS($J123-Subj_BldgSF),NA())</f>
        <v/>
      </c>
      <c r="AO123">
        <f>IF(ISNA(AN123),NA(),AN123+ROW()/10000000)</f>
        <v/>
      </c>
      <c r="AR123" s="256">
        <f>IF(B123="","",IFERROR(INDEX(OCC_TABLE_DESC,MATCH(B123,OCC_TABLE_CODE,0)),"Unrecognized code"))</f>
        <v/>
      </c>
    </row>
    <row r="124" ht="12.75" customHeight="1" s="545">
      <c r="A124" s="458" t="inlineStr">
        <is>
          <t>P060</t>
        </is>
      </c>
      <c r="B124" s="449" t="n">
        <v>407</v>
      </c>
      <c r="C124" s="458" t="inlineStr">
        <is>
          <t>R0100104</t>
        </is>
      </c>
      <c r="D124" s="468" t="inlineStr">
        <is>
          <t>312 Kew West</t>
        </is>
      </c>
      <c r="E124" s="458" t="inlineStr">
        <is>
          <t>Aurora</t>
        </is>
      </c>
      <c r="F124" s="458" t="inlineStr">
        <is>
          <t>CO</t>
        </is>
      </c>
      <c r="G124" s="458" t="inlineStr">
        <is>
          <t>Industrial</t>
        </is>
      </c>
      <c r="H124" s="468" t="inlineStr">
        <is>
          <t>Multi-Tenant Industrial 407</t>
        </is>
      </c>
      <c r="I124" s="458" t="n"/>
      <c r="J124" s="458" t="n"/>
      <c r="K124" s="458" t="n">
        <v>2024</v>
      </c>
      <c r="L124" s="469" t="n">
        <v>239823</v>
      </c>
      <c r="M124" s="458" t="n"/>
      <c r="N124" s="469" t="n">
        <v>375845</v>
      </c>
      <c r="O124" s="469" t="n">
        <v>7287</v>
      </c>
      <c r="P124" s="469" t="n">
        <v>18575</v>
      </c>
      <c r="Q124" s="469" t="n">
        <v>816</v>
      </c>
      <c r="R124" s="458" t="n"/>
      <c r="S124" s="469" t="n">
        <v>25607</v>
      </c>
      <c r="T124" s="469" t="n">
        <v>7834</v>
      </c>
      <c r="U124" s="458" t="n"/>
      <c r="V124" s="458" t="n"/>
      <c r="W124" s="458" t="n"/>
      <c r="X124" s="469" t="n">
        <v>8752</v>
      </c>
      <c r="Y124" s="469" t="n">
        <v>42009</v>
      </c>
      <c r="Z124" s="469" t="n">
        <v>2982</v>
      </c>
      <c r="AA124" s="469" t="n">
        <v>2720</v>
      </c>
      <c r="AB124" s="469" t="n">
        <v>10994</v>
      </c>
      <c r="AC124" s="469" t="n">
        <v>16696</v>
      </c>
      <c r="AD124" s="469" t="n">
        <v>4502</v>
      </c>
      <c r="AE124" s="458" t="n"/>
      <c r="AF124" s="469" t="n">
        <v>4502</v>
      </c>
      <c r="AG124" s="458" t="n"/>
      <c r="AH124" s="469" t="n">
        <v>69570</v>
      </c>
      <c r="AI124" s="469" t="n">
        <v>102524</v>
      </c>
      <c r="AJ124" s="469" t="n">
        <v>172094</v>
      </c>
      <c r="AK124" s="469" t="n">
        <v>203752</v>
      </c>
      <c r="AL124" s="458" t="n"/>
      <c r="AM124" s="468" t="inlineStr">
        <is>
          <t>Actual accrual; SF not confirmed</t>
        </is>
      </c>
      <c r="AN124">
        <f>IF(AND($B124=Subj_OccCode,Subj_BldgSF&gt;0,ABS($J124-Subj_BldgSF)&lt;=Subj_BldgSF*Subj_SizeTol),ABS($J124-Subj_BldgSF),NA())</f>
        <v/>
      </c>
      <c r="AO124">
        <f>IF(ISNA(AN124),NA(),AN124+ROW()/10000000)</f>
        <v/>
      </c>
      <c r="AR124" s="256">
        <f>IF(B124="","",IFERROR(INDEX(OCC_TABLE_DESC,MATCH(B124,OCC_TABLE_CODE,0)),"Unrecognized code"))</f>
        <v/>
      </c>
    </row>
    <row r="125" ht="25.5" customHeight="1" s="545">
      <c r="A125" s="458" t="inlineStr">
        <is>
          <t>P061</t>
        </is>
      </c>
      <c r="B125" s="449" t="n">
        <v>584</v>
      </c>
      <c r="C125" s="458" t="inlineStr">
        <is>
          <t>R0083935</t>
        </is>
      </c>
      <c r="D125" s="468" t="inlineStr">
        <is>
          <t>20101 E 36th Ave</t>
        </is>
      </c>
      <c r="E125" s="458" t="inlineStr">
        <is>
          <t>Aurora</t>
        </is>
      </c>
      <c r="F125" s="458" t="inlineStr">
        <is>
          <t>CO</t>
        </is>
      </c>
      <c r="G125" s="458" t="inlineStr">
        <is>
          <t>Industrial</t>
        </is>
      </c>
      <c r="H125" s="468" t="inlineStr">
        <is>
          <t>Mega Warehouse NNN</t>
        </is>
      </c>
      <c r="I125" s="458" t="n"/>
      <c r="J125" s="458" t="n">
        <v>278538</v>
      </c>
      <c r="K125" s="458" t="n">
        <v>2024</v>
      </c>
      <c r="L125" s="469" t="n">
        <v>1242512</v>
      </c>
      <c r="M125" s="458" t="n"/>
      <c r="N125" s="469" t="n">
        <v>2952901</v>
      </c>
      <c r="O125" s="458" t="n"/>
      <c r="P125" s="458" t="n"/>
      <c r="Q125" s="458" t="n"/>
      <c r="R125" s="458" t="n"/>
      <c r="S125" s="458" t="n"/>
      <c r="T125" s="458" t="n"/>
      <c r="U125" s="458" t="n"/>
      <c r="V125" s="458" t="n"/>
      <c r="W125" s="458" t="n"/>
      <c r="X125" s="458" t="n"/>
      <c r="Y125" s="458" t="n"/>
      <c r="Z125" s="458" t="n"/>
      <c r="AA125" s="458" t="n"/>
      <c r="AB125" s="458" t="n"/>
      <c r="AC125" s="458" t="n"/>
      <c r="AD125" s="458" t="n"/>
      <c r="AE125" s="458" t="n"/>
      <c r="AF125" s="469" t="n">
        <v>195945</v>
      </c>
      <c r="AG125" s="458" t="n"/>
      <c r="AH125" s="458" t="n"/>
      <c r="AI125" s="458" t="n"/>
      <c r="AJ125" s="458" t="n"/>
      <c r="AK125" s="458" t="n"/>
      <c r="AL125" s="458" t="n"/>
      <c r="AM125" s="468"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256">
        <f>IF(B125="","",IFERROR(INDEX(OCC_TABLE_DESC,MATCH(B125,OCC_TABLE_CODE,0)),"Unrecognized code"))</f>
        <v/>
      </c>
    </row>
    <row r="126" ht="25.5" customHeight="1" s="545">
      <c r="A126" s="458" t="inlineStr">
        <is>
          <t>P062</t>
        </is>
      </c>
      <c r="B126" s="449" t="n">
        <v>407</v>
      </c>
      <c r="C126" s="458" t="inlineStr">
        <is>
          <t>R0200721</t>
        </is>
      </c>
      <c r="D126" s="468" t="inlineStr">
        <is>
          <t>3420 N Lisbon St</t>
        </is>
      </c>
      <c r="E126" s="458" t="inlineStr">
        <is>
          <t>Aurora</t>
        </is>
      </c>
      <c r="F126" s="458" t="inlineStr">
        <is>
          <t>CO</t>
        </is>
      </c>
      <c r="G126" s="458" t="inlineStr">
        <is>
          <t>Industrial</t>
        </is>
      </c>
      <c r="H126" s="468" t="inlineStr">
        <is>
          <t>Single-Tenant Industrial NNN</t>
        </is>
      </c>
      <c r="I126" s="458" t="n">
        <v>2019</v>
      </c>
      <c r="J126" s="458" t="n">
        <v>36212</v>
      </c>
      <c r="K126" s="458" t="n">
        <v>2023</v>
      </c>
      <c r="L126" s="469" t="n">
        <v>272278</v>
      </c>
      <c r="M126" s="458" t="n"/>
      <c r="N126" s="469" t="n">
        <v>272278</v>
      </c>
      <c r="O126" s="458" t="n"/>
      <c r="P126" s="458" t="n"/>
      <c r="Q126" s="458" t="n"/>
      <c r="R126" s="458" t="n"/>
      <c r="S126" s="458" t="n"/>
      <c r="T126" s="458" t="n"/>
      <c r="U126" s="458" t="n"/>
      <c r="V126" s="458" t="n"/>
      <c r="W126" s="458" t="n"/>
      <c r="X126" s="458" t="n"/>
      <c r="Y126" s="458" t="n"/>
      <c r="Z126" s="458" t="n"/>
      <c r="AA126" s="458" t="n"/>
      <c r="AB126" s="458" t="n"/>
      <c r="AC126" s="458" t="n"/>
      <c r="AD126" s="458" t="n"/>
      <c r="AE126" s="458" t="n"/>
      <c r="AF126" s="458" t="n"/>
      <c r="AG126" s="458" t="n"/>
      <c r="AH126" s="458" t="n"/>
      <c r="AI126" s="458" t="n"/>
      <c r="AJ126" s="458" t="n"/>
      <c r="AK126" s="458" t="n"/>
      <c r="AL126" s="458" t="n"/>
      <c r="AM126" s="468" t="inlineStr">
        <is>
          <t>NNN absolute; tenant pays all opex; owner income = rent only; $7.52/SF</t>
        </is>
      </c>
      <c r="AN126">
        <f>IF(AND($B126=Subj_OccCode,Subj_BldgSF&gt;0,ABS($J126-Subj_BldgSF)&lt;=Subj_BldgSF*Subj_SizeTol),ABS($J126-Subj_BldgSF),NA())</f>
        <v/>
      </c>
      <c r="AO126">
        <f>IF(ISNA(AN126),NA(),AN126+ROW()/10000000)</f>
        <v/>
      </c>
      <c r="AR126" s="256">
        <f>IF(B126="","",IFERROR(INDEX(OCC_TABLE_DESC,MATCH(B126,OCC_TABLE_CODE,0)),"Unrecognized code"))</f>
        <v/>
      </c>
    </row>
    <row r="127" ht="25.5" customHeight="1" s="545">
      <c r="A127" s="458" t="inlineStr">
        <is>
          <t>P062</t>
        </is>
      </c>
      <c r="B127" s="449" t="n">
        <v>407</v>
      </c>
      <c r="C127" s="458" t="inlineStr">
        <is>
          <t>R0200721</t>
        </is>
      </c>
      <c r="D127" s="468" t="inlineStr">
        <is>
          <t>3420 N Lisbon St</t>
        </is>
      </c>
      <c r="E127" s="458" t="inlineStr">
        <is>
          <t>Aurora</t>
        </is>
      </c>
      <c r="F127" s="458" t="inlineStr">
        <is>
          <t>CO</t>
        </is>
      </c>
      <c r="G127" s="458" t="inlineStr">
        <is>
          <t>Industrial</t>
        </is>
      </c>
      <c r="H127" s="468" t="inlineStr">
        <is>
          <t>Single-Tenant Industrial NNN</t>
        </is>
      </c>
      <c r="I127" s="458" t="n">
        <v>2019</v>
      </c>
      <c r="J127" s="458" t="n">
        <v>36212</v>
      </c>
      <c r="K127" s="458" t="n">
        <v>2024</v>
      </c>
      <c r="L127" s="469" t="n">
        <v>280448</v>
      </c>
      <c r="M127" s="458" t="n"/>
      <c r="N127" s="469" t="n">
        <v>280448</v>
      </c>
      <c r="O127" s="458" t="n"/>
      <c r="P127" s="458" t="n"/>
      <c r="Q127" s="458" t="n"/>
      <c r="R127" s="458" t="n"/>
      <c r="S127" s="458" t="n"/>
      <c r="T127" s="458" t="n"/>
      <c r="U127" s="458" t="n"/>
      <c r="V127" s="458" t="n"/>
      <c r="W127" s="458" t="n"/>
      <c r="X127" s="458" t="n"/>
      <c r="Y127" s="458" t="n"/>
      <c r="Z127" s="458" t="n"/>
      <c r="AA127" s="458" t="n"/>
      <c r="AB127" s="458" t="n"/>
      <c r="AC127" s="458" t="n"/>
      <c r="AD127" s="458" t="n"/>
      <c r="AE127" s="458" t="n"/>
      <c r="AF127" s="458" t="n"/>
      <c r="AG127" s="458" t="n"/>
      <c r="AH127" s="458" t="n"/>
      <c r="AI127" s="458" t="n"/>
      <c r="AJ127" s="458" t="n"/>
      <c r="AK127" s="458" t="n"/>
      <c r="AL127" s="458" t="n"/>
      <c r="AM127" s="468" t="inlineStr">
        <is>
          <t>NNN absolute; tenant pays all opex; owner income = rent only; $7.75/SF</t>
        </is>
      </c>
      <c r="AN127">
        <f>IF(AND($B127=Subj_OccCode,Subj_BldgSF&gt;0,ABS($J127-Subj_BldgSF)&lt;=Subj_BldgSF*Subj_SizeTol),ABS($J127-Subj_BldgSF),NA())</f>
        <v/>
      </c>
      <c r="AO127">
        <f>IF(ISNA(AN127),NA(),AN127+ROW()/10000000)</f>
        <v/>
      </c>
      <c r="AR127" s="256">
        <f>IF(B127="","",IFERROR(INDEX(OCC_TABLE_DESC,MATCH(B127,OCC_TABLE_CODE,0)),"Unrecognized code"))</f>
        <v/>
      </c>
    </row>
    <row r="128" ht="25.5" customHeight="1" s="545">
      <c r="A128" s="458" t="inlineStr">
        <is>
          <t>P063</t>
        </is>
      </c>
      <c r="B128" s="449" t="n">
        <v>344</v>
      </c>
      <c r="C128" s="458" t="inlineStr">
        <is>
          <t>R0040581</t>
        </is>
      </c>
      <c r="D128" s="468" t="inlineStr">
        <is>
          <t>2090 E 104th Ave</t>
        </is>
      </c>
      <c r="E128" s="458" t="inlineStr">
        <is>
          <t>Thornton</t>
        </is>
      </c>
      <c r="F128" s="458" t="inlineStr">
        <is>
          <t>CO</t>
        </is>
      </c>
      <c r="G128" s="458" t="inlineStr">
        <is>
          <t>Office</t>
        </is>
      </c>
      <c r="H128" s="468" t="inlineStr">
        <is>
          <t>Multi-Tenant Office</t>
        </is>
      </c>
      <c r="I128" s="458" t="n"/>
      <c r="J128" s="458" t="n">
        <v>19764</v>
      </c>
      <c r="K128" s="458" t="n">
        <v>2023</v>
      </c>
      <c r="L128" s="458" t="n"/>
      <c r="M128" s="458" t="n"/>
      <c r="N128" s="458" t="n"/>
      <c r="O128" s="469" t="n">
        <v>3132</v>
      </c>
      <c r="P128" s="469" t="n">
        <v>9187</v>
      </c>
      <c r="Q128" s="458" t="n"/>
      <c r="R128" s="458" t="n"/>
      <c r="S128" s="458" t="n"/>
      <c r="T128" s="458" t="n"/>
      <c r="U128" s="458" t="n"/>
      <c r="V128" s="458" t="n"/>
      <c r="W128" s="458" t="n"/>
      <c r="X128" s="469" t="n">
        <v>48128</v>
      </c>
      <c r="Y128" s="469" t="n">
        <v>48128</v>
      </c>
      <c r="Z128" s="458" t="n"/>
      <c r="AA128" s="469" t="n">
        <v>9835</v>
      </c>
      <c r="AB128" s="458" t="n"/>
      <c r="AC128" s="469" t="n">
        <v>9835</v>
      </c>
      <c r="AD128" s="458" t="n"/>
      <c r="AE128" s="458" t="n"/>
      <c r="AF128" s="469" t="n">
        <v>37547</v>
      </c>
      <c r="AG128" s="469" t="n">
        <v>8244</v>
      </c>
      <c r="AH128" s="469" t="n">
        <v>133351</v>
      </c>
      <c r="AI128" s="469" t="n">
        <v>40716</v>
      </c>
      <c r="AJ128" s="469" t="n">
        <v>174067</v>
      </c>
      <c r="AK128" s="469" t="n">
        <v>54413</v>
      </c>
      <c r="AL128" s="458" t="n"/>
      <c r="AM128" s="468" t="inlineStr">
        <is>
          <t>Office; expenses only; GRI est. ~$228k at $11.56/SF 100% occ</t>
        </is>
      </c>
      <c r="AN128">
        <f>IF(AND($B128=Subj_OccCode,Subj_BldgSF&gt;0,ABS($J128-Subj_BldgSF)&lt;=Subj_BldgSF*Subj_SizeTol),ABS($J128-Subj_BldgSF),NA())</f>
        <v/>
      </c>
      <c r="AO128">
        <f>IF(ISNA(AN128),NA(),AN128+ROW()/10000000)</f>
        <v/>
      </c>
      <c r="AR128" s="256">
        <f>IF(B128="","",IFERROR(INDEX(OCC_TABLE_DESC,MATCH(B128,OCC_TABLE_CODE,0)),"Unrecognized code"))</f>
        <v/>
      </c>
    </row>
    <row r="129" ht="12.75" customHeight="1" s="545">
      <c r="A129" s="458" t="inlineStr">
        <is>
          <t>P063</t>
        </is>
      </c>
      <c r="B129" s="449" t="n">
        <v>344</v>
      </c>
      <c r="C129" s="458" t="inlineStr">
        <is>
          <t>R0040581</t>
        </is>
      </c>
      <c r="D129" s="468" t="inlineStr">
        <is>
          <t>2090 E 104th Ave</t>
        </is>
      </c>
      <c r="E129" s="458" t="inlineStr">
        <is>
          <t>Thornton</t>
        </is>
      </c>
      <c r="F129" s="458" t="inlineStr">
        <is>
          <t>CO</t>
        </is>
      </c>
      <c r="G129" s="458" t="inlineStr">
        <is>
          <t>Office</t>
        </is>
      </c>
      <c r="H129" s="468" t="inlineStr">
        <is>
          <t>Multi-Tenant Office</t>
        </is>
      </c>
      <c r="I129" s="458" t="n"/>
      <c r="J129" s="458" t="n">
        <v>19764</v>
      </c>
      <c r="K129" s="458" t="n">
        <v>2024</v>
      </c>
      <c r="L129" s="458" t="n"/>
      <c r="M129" s="458" t="n"/>
      <c r="N129" s="458" t="n"/>
      <c r="O129" s="469" t="n">
        <v>11171</v>
      </c>
      <c r="P129" s="469" t="n">
        <v>9000</v>
      </c>
      <c r="Q129" s="458" t="n"/>
      <c r="R129" s="458" t="n"/>
      <c r="S129" s="458" t="n"/>
      <c r="T129" s="458" t="n"/>
      <c r="U129" s="458" t="n"/>
      <c r="V129" s="458" t="n"/>
      <c r="W129" s="458" t="n"/>
      <c r="X129" s="469" t="n">
        <v>48665</v>
      </c>
      <c r="Y129" s="469" t="n">
        <v>48665</v>
      </c>
      <c r="Z129" s="458" t="n"/>
      <c r="AA129" s="469" t="n">
        <v>11638</v>
      </c>
      <c r="AB129" s="458" t="n"/>
      <c r="AC129" s="469" t="n">
        <v>11638</v>
      </c>
      <c r="AD129" s="458" t="n"/>
      <c r="AE129" s="458" t="n"/>
      <c r="AF129" s="469" t="n">
        <v>47748</v>
      </c>
      <c r="AG129" s="469" t="n">
        <v>6178</v>
      </c>
      <c r="AH129" s="469" t="n">
        <v>134405</v>
      </c>
      <c r="AI129" s="469" t="n">
        <v>40064</v>
      </c>
      <c r="AJ129" s="469" t="n">
        <v>174469</v>
      </c>
      <c r="AK129" s="469" t="n">
        <v>54011</v>
      </c>
      <c r="AL129" s="458" t="n"/>
      <c r="AM129" s="468" t="inlineStr">
        <is>
          <t>Office; expenses only; GRI est. ~$228k</t>
        </is>
      </c>
      <c r="AN129">
        <f>IF(AND($B129=Subj_OccCode,Subj_BldgSF&gt;0,ABS($J129-Subj_BldgSF)&lt;=Subj_BldgSF*Subj_SizeTol),ABS($J129-Subj_BldgSF),NA())</f>
        <v/>
      </c>
      <c r="AO129">
        <f>IF(ISNA(AN129),NA(),AN129+ROW()/10000000)</f>
        <v/>
      </c>
      <c r="AR129" s="256">
        <f>IF(B129="","",IFERROR(INDEX(OCC_TABLE_DESC,MATCH(B129,OCC_TABLE_CODE,0)),"Unrecognized code"))</f>
        <v/>
      </c>
    </row>
    <row r="130" ht="25.5" customHeight="1" s="545">
      <c r="A130" s="458" t="inlineStr">
        <is>
          <t>P064</t>
        </is>
      </c>
      <c r="B130" s="449" t="n">
        <v>344</v>
      </c>
      <c r="C130" s="458" t="inlineStr">
        <is>
          <t>R0050977</t>
        </is>
      </c>
      <c r="D130" s="468" t="inlineStr">
        <is>
          <t>9351 Grant St</t>
        </is>
      </c>
      <c r="E130" s="458" t="inlineStr">
        <is>
          <t>Thornton</t>
        </is>
      </c>
      <c r="F130" s="458" t="inlineStr">
        <is>
          <t>CO</t>
        </is>
      </c>
      <c r="G130" s="458" t="inlineStr">
        <is>
          <t>Office</t>
        </is>
      </c>
      <c r="H130" s="468" t="inlineStr">
        <is>
          <t>Multi-Tenant Office</t>
        </is>
      </c>
      <c r="I130" s="458" t="n"/>
      <c r="J130" s="458" t="n"/>
      <c r="K130" s="458" t="n">
        <v>2023</v>
      </c>
      <c r="L130" s="469" t="n">
        <v>2011958</v>
      </c>
      <c r="M130" s="458" t="n"/>
      <c r="N130" s="469" t="n">
        <v>2239234</v>
      </c>
      <c r="O130" s="458" t="n"/>
      <c r="P130" s="458" t="n"/>
      <c r="Q130" s="458" t="n"/>
      <c r="R130" s="458" t="n"/>
      <c r="S130" s="458" t="n"/>
      <c r="T130" s="458" t="n"/>
      <c r="U130" s="458" t="n"/>
      <c r="V130" s="458" t="n"/>
      <c r="W130" s="458" t="n"/>
      <c r="X130" s="469" t="n">
        <v>144543</v>
      </c>
      <c r="Y130" s="469" t="n">
        <v>144543</v>
      </c>
      <c r="Z130" s="458" t="n"/>
      <c r="AA130" s="458" t="n"/>
      <c r="AB130" s="458" t="n"/>
      <c r="AC130" s="458" t="n"/>
      <c r="AD130" s="458" t="n"/>
      <c r="AE130" s="458" t="n"/>
      <c r="AF130" s="469" t="n">
        <v>240350</v>
      </c>
      <c r="AG130" s="469" t="n">
        <v>279549</v>
      </c>
      <c r="AH130" s="469" t="n">
        <v>719555</v>
      </c>
      <c r="AI130" s="469" t="n">
        <v>497852</v>
      </c>
      <c r="AJ130" s="469" t="n">
        <v>1217407</v>
      </c>
      <c r="AK130" s="469" t="n">
        <v>1021827</v>
      </c>
      <c r="AL130" s="458" t="n"/>
      <c r="AM130" s="468" t="inlineStr">
        <is>
          <t>Actual P&amp;L; Crown RE Group; RE Tax + Ins combined in $497,852 line; large office property</t>
        </is>
      </c>
      <c r="AN130">
        <f>IF(AND($B130=Subj_OccCode,Subj_BldgSF&gt;0,ABS($J130-Subj_BldgSF)&lt;=Subj_BldgSF*Subj_SizeTol),ABS($J130-Subj_BldgSF),NA())</f>
        <v/>
      </c>
      <c r="AO130">
        <f>IF(ISNA(AN130),NA(),AN130+ROW()/10000000)</f>
        <v/>
      </c>
      <c r="AR130" s="256">
        <f>IF(B130="","",IFERROR(INDEX(OCC_TABLE_DESC,MATCH(B130,OCC_TABLE_CODE,0)),"Unrecognized code"))</f>
        <v/>
      </c>
    </row>
    <row r="131" ht="25.5" customHeight="1" s="545">
      <c r="A131" s="458" t="inlineStr">
        <is>
          <t>P065</t>
        </is>
      </c>
      <c r="B131" s="449" t="n">
        <v>344</v>
      </c>
      <c r="C131" s="458" t="inlineStr">
        <is>
          <t>R0069041</t>
        </is>
      </c>
      <c r="D131" s="468" t="inlineStr">
        <is>
          <t>7475 Dakin St (Turnpike Tower)</t>
        </is>
      </c>
      <c r="E131" s="458" t="inlineStr">
        <is>
          <t>Denver</t>
        </is>
      </c>
      <c r="F131" s="458" t="inlineStr">
        <is>
          <t>CO</t>
        </is>
      </c>
      <c r="G131" s="458" t="inlineStr">
        <is>
          <t>Office</t>
        </is>
      </c>
      <c r="H131" s="468" t="inlineStr">
        <is>
          <t>Multi-Tenant Office</t>
        </is>
      </c>
      <c r="I131" s="458" t="n"/>
      <c r="J131" s="458" t="n">
        <v>114843</v>
      </c>
      <c r="K131" s="458" t="n">
        <v>2023</v>
      </c>
      <c r="L131" s="458" t="n"/>
      <c r="M131" s="458" t="n"/>
      <c r="N131" s="469" t="n">
        <v>618988</v>
      </c>
      <c r="O131" s="458" t="n"/>
      <c r="P131" s="458" t="n"/>
      <c r="Q131" s="458" t="n"/>
      <c r="R131" s="458" t="n"/>
      <c r="S131" s="458" t="n"/>
      <c r="T131" s="458" t="n"/>
      <c r="U131" s="458" t="n"/>
      <c r="V131" s="458" t="n"/>
      <c r="W131" s="458" t="n"/>
      <c r="X131" s="458" t="n"/>
      <c r="Y131" s="458" t="n"/>
      <c r="Z131" s="458" t="n"/>
      <c r="AA131" s="469" t="n">
        <v>10029</v>
      </c>
      <c r="AB131" s="458" t="n"/>
      <c r="AC131" s="458" t="n"/>
      <c r="AD131" s="458" t="n"/>
      <c r="AE131" s="458" t="n"/>
      <c r="AF131" s="458" t="n"/>
      <c r="AG131" s="458" t="n"/>
      <c r="AH131" s="469" t="n">
        <v>303578</v>
      </c>
      <c r="AI131" s="469" t="n">
        <v>262422</v>
      </c>
      <c r="AJ131" s="469" t="n">
        <v>566000</v>
      </c>
      <c r="AK131" s="469" t="n">
        <v>53141</v>
      </c>
      <c r="AL131" s="458" t="n"/>
      <c r="AM131" s="468" t="inlineStr">
        <is>
          <t>Actual; 87.7% occ; NNN/Modified leases; RE Tax heavy; approx figures</t>
        </is>
      </c>
      <c r="AN131">
        <f>IF(AND($B131=Subj_OccCode,Subj_BldgSF&gt;0,ABS($J131-Subj_BldgSF)&lt;=Subj_BldgSF*Subj_SizeTol),ABS($J131-Subj_BldgSF),NA())</f>
        <v/>
      </c>
      <c r="AO131">
        <f>IF(ISNA(AN131),NA(),AN131+ROW()/10000000)</f>
        <v/>
      </c>
      <c r="AR131" s="256">
        <f>IF(B131="","",IFERROR(INDEX(OCC_TABLE_DESC,MATCH(B131,OCC_TABLE_CODE,0)),"Unrecognized code"))</f>
        <v/>
      </c>
    </row>
    <row r="132" ht="12.75" customHeight="1" s="545">
      <c r="A132" s="458" t="inlineStr">
        <is>
          <t>P065</t>
        </is>
      </c>
      <c r="B132" s="449" t="n">
        <v>344</v>
      </c>
      <c r="C132" s="458" t="inlineStr">
        <is>
          <t>R0069041</t>
        </is>
      </c>
      <c r="D132" s="468" t="inlineStr">
        <is>
          <t>7475 Dakin St (Turnpike Tower)</t>
        </is>
      </c>
      <c r="E132" s="458" t="inlineStr">
        <is>
          <t>Denver</t>
        </is>
      </c>
      <c r="F132" s="458" t="inlineStr">
        <is>
          <t>CO</t>
        </is>
      </c>
      <c r="G132" s="458" t="inlineStr">
        <is>
          <t>Office</t>
        </is>
      </c>
      <c r="H132" s="468" t="inlineStr">
        <is>
          <t>Multi-Tenant Office</t>
        </is>
      </c>
      <c r="I132" s="458" t="n"/>
      <c r="J132" s="458" t="n">
        <v>114843</v>
      </c>
      <c r="K132" s="458" t="n">
        <v>2024</v>
      </c>
      <c r="L132" s="458" t="n"/>
      <c r="M132" s="458" t="n"/>
      <c r="N132" s="469" t="n">
        <v>1353745</v>
      </c>
      <c r="O132" s="458" t="n"/>
      <c r="P132" s="458" t="n"/>
      <c r="Q132" s="458" t="n"/>
      <c r="R132" s="458" t="n"/>
      <c r="S132" s="458" t="n"/>
      <c r="T132" s="458" t="n"/>
      <c r="U132" s="458" t="n"/>
      <c r="V132" s="458" t="n"/>
      <c r="W132" s="458" t="n"/>
      <c r="X132" s="458" t="n"/>
      <c r="Y132" s="458" t="n"/>
      <c r="Z132" s="458" t="n"/>
      <c r="AA132" s="458" t="n"/>
      <c r="AB132" s="458" t="n"/>
      <c r="AC132" s="458" t="n"/>
      <c r="AD132" s="458" t="n"/>
      <c r="AE132" s="458" t="n"/>
      <c r="AF132" s="458" t="n"/>
      <c r="AG132" s="458" t="n"/>
      <c r="AH132" s="469" t="n">
        <v>1025000</v>
      </c>
      <c r="AI132" s="458" t="n"/>
      <c r="AJ132" s="469" t="n">
        <v>1287000</v>
      </c>
      <c r="AK132" s="469" t="n">
        <v>66677</v>
      </c>
      <c r="AL132" s="458" t="n"/>
      <c r="AM132" s="468" t="inlineStr">
        <is>
          <t>Actual 2024; approx figures; RE Tax est. ~$262k</t>
        </is>
      </c>
      <c r="AN132">
        <f>IF(AND($B132=Subj_OccCode,Subj_BldgSF&gt;0,ABS($J132-Subj_BldgSF)&lt;=Subj_BldgSF*Subj_SizeTol),ABS($J132-Subj_BldgSF),NA())</f>
        <v/>
      </c>
      <c r="AO132">
        <f>IF(ISNA(AN132),NA(),AN132+ROW()/10000000)</f>
        <v/>
      </c>
      <c r="AR132" s="256">
        <f>IF(B132="","",IFERROR(INDEX(OCC_TABLE_DESC,MATCH(B132,OCC_TABLE_CODE,0)),"Unrecognized code"))</f>
        <v/>
      </c>
    </row>
    <row r="133" ht="25.5" customHeight="1" s="545">
      <c r="A133" s="458" t="inlineStr">
        <is>
          <t>P066</t>
        </is>
      </c>
      <c r="B133" s="449" t="n">
        <v>344</v>
      </c>
      <c r="C133" s="458" t="inlineStr">
        <is>
          <t>R0079409</t>
        </is>
      </c>
      <c r="D133" s="468" t="inlineStr">
        <is>
          <t>6401 E 72nd Ave</t>
        </is>
      </c>
      <c r="E133" s="458" t="inlineStr">
        <is>
          <t>Commerce City</t>
        </is>
      </c>
      <c r="F133" s="458" t="inlineStr">
        <is>
          <t>CO</t>
        </is>
      </c>
      <c r="G133" s="458" t="inlineStr">
        <is>
          <t>Office</t>
        </is>
      </c>
      <c r="H133" s="468" t="inlineStr">
        <is>
          <t>Multi-Tenant Office</t>
        </is>
      </c>
      <c r="I133" s="458" t="n"/>
      <c r="J133" s="458" t="n">
        <v>8218</v>
      </c>
      <c r="K133" s="458" t="n">
        <v>2023</v>
      </c>
      <c r="L133" s="469" t="n">
        <v>96674</v>
      </c>
      <c r="M133" s="458" t="n"/>
      <c r="N133" s="469" t="n">
        <v>109164</v>
      </c>
      <c r="O133" s="469" t="n">
        <v>2384</v>
      </c>
      <c r="P133" s="469" t="n">
        <v>5400</v>
      </c>
      <c r="Q133" s="458" t="n"/>
      <c r="R133" s="458" t="n"/>
      <c r="S133" s="458" t="n"/>
      <c r="T133" s="458" t="n"/>
      <c r="U133" s="458" t="n"/>
      <c r="V133" s="458" t="n"/>
      <c r="W133" s="458" t="n"/>
      <c r="X133" s="469" t="n">
        <v>18169</v>
      </c>
      <c r="Y133" s="469" t="n">
        <v>18169</v>
      </c>
      <c r="Z133" s="458" t="n"/>
      <c r="AA133" s="458" t="n"/>
      <c r="AB133" s="458" t="n"/>
      <c r="AC133" s="458" t="n"/>
      <c r="AD133" s="458" t="n"/>
      <c r="AE133" s="458" t="n"/>
      <c r="AF133" s="469" t="n">
        <v>12971</v>
      </c>
      <c r="AG133" s="469" t="n">
        <v>4012</v>
      </c>
      <c r="AH133" s="469" t="n">
        <v>39724</v>
      </c>
      <c r="AI133" s="469" t="n">
        <v>16276</v>
      </c>
      <c r="AJ133" s="469" t="n">
        <v>56000</v>
      </c>
      <c r="AK133" s="469" t="n">
        <v>53000</v>
      </c>
      <c r="AL133" s="458" t="n"/>
      <c r="AM133" s="468" t="inlineStr">
        <is>
          <t>Actual 2023; 9 tenants small multi-tenant office; approx total OPX/NOI</t>
        </is>
      </c>
      <c r="AN133">
        <f>IF(AND($B133=Subj_OccCode,Subj_BldgSF&gt;0,ABS($J133-Subj_BldgSF)&lt;=Subj_BldgSF*Subj_SizeTol),ABS($J133-Subj_BldgSF),NA())</f>
        <v/>
      </c>
      <c r="AO133">
        <f>IF(ISNA(AN133),NA(),AN133+ROW()/10000000)</f>
        <v/>
      </c>
      <c r="AR133" s="256">
        <f>IF(B133="","",IFERROR(INDEX(OCC_TABLE_DESC,MATCH(B133,OCC_TABLE_CODE,0)),"Unrecognized code"))</f>
        <v/>
      </c>
    </row>
    <row r="134" ht="12.75" customHeight="1" s="545">
      <c r="A134" s="458" t="inlineStr">
        <is>
          <t>P067</t>
        </is>
      </c>
      <c r="B134" s="449" t="n">
        <v>344</v>
      </c>
      <c r="C134" s="458" t="inlineStr">
        <is>
          <t>R0189338</t>
        </is>
      </c>
      <c r="D134" s="468" t="inlineStr">
        <is>
          <t>203 Telluride St</t>
        </is>
      </c>
      <c r="E134" s="458" t="inlineStr">
        <is>
          <t>Aurora</t>
        </is>
      </c>
      <c r="F134" s="458" t="inlineStr">
        <is>
          <t>CO</t>
        </is>
      </c>
      <c r="G134" s="458" t="inlineStr">
        <is>
          <t>Office</t>
        </is>
      </c>
      <c r="H134" s="468" t="inlineStr">
        <is>
          <t>Multi-Tenant Office</t>
        </is>
      </c>
      <c r="I134" s="458" t="n"/>
      <c r="J134" s="458" t="n"/>
      <c r="K134" s="458" t="n">
        <v>2023</v>
      </c>
      <c r="L134" s="469" t="n">
        <v>326779</v>
      </c>
      <c r="M134" s="458" t="n"/>
      <c r="N134" s="469" t="n">
        <v>315661</v>
      </c>
      <c r="O134" s="458" t="n"/>
      <c r="P134" s="458" t="n"/>
      <c r="Q134" s="458" t="n"/>
      <c r="R134" s="458" t="n"/>
      <c r="S134" s="458" t="n"/>
      <c r="T134" s="458" t="n"/>
      <c r="U134" s="458" t="n"/>
      <c r="V134" s="458" t="n"/>
      <c r="W134" s="458" t="n"/>
      <c r="X134" s="458" t="n"/>
      <c r="Y134" s="458" t="n"/>
      <c r="Z134" s="458" t="n"/>
      <c r="AA134" s="469" t="n">
        <v>16009</v>
      </c>
      <c r="AB134" s="458" t="n"/>
      <c r="AC134" s="458" t="n"/>
      <c r="AD134" s="458" t="n"/>
      <c r="AE134" s="458" t="n"/>
      <c r="AF134" s="458" t="n"/>
      <c r="AG134" s="458" t="n"/>
      <c r="AH134" s="469" t="n">
        <v>78034</v>
      </c>
      <c r="AI134" s="469" t="n">
        <v>66966</v>
      </c>
      <c r="AJ134" s="469" t="n">
        <v>145000</v>
      </c>
      <c r="AK134" s="469" t="n">
        <v>170661</v>
      </c>
      <c r="AL134" s="458" t="n"/>
      <c r="AM134" s="468" t="inlineStr">
        <is>
          <t>Actual 2023; SF not stated; approx total OPX</t>
        </is>
      </c>
      <c r="AN134">
        <f>IF(AND($B134=Subj_OccCode,Subj_BldgSF&gt;0,ABS($J134-Subj_BldgSF)&lt;=Subj_BldgSF*Subj_SizeTol),ABS($J134-Subj_BldgSF),NA())</f>
        <v/>
      </c>
      <c r="AO134">
        <f>IF(ISNA(AN134),NA(),AN134+ROW()/10000000)</f>
        <v/>
      </c>
      <c r="AR134" s="256">
        <f>IF(B134="","",IFERROR(INDEX(OCC_TABLE_DESC,MATCH(B134,OCC_TABLE_CODE,0)),"Unrecognized code"))</f>
        <v/>
      </c>
    </row>
    <row r="135" ht="12.75" customHeight="1" s="545">
      <c r="A135" s="458" t="inlineStr">
        <is>
          <t>P067</t>
        </is>
      </c>
      <c r="B135" s="449" t="n">
        <v>344</v>
      </c>
      <c r="C135" s="458" t="inlineStr">
        <is>
          <t>R0189338</t>
        </is>
      </c>
      <c r="D135" s="468" t="inlineStr">
        <is>
          <t>203 Telluride St</t>
        </is>
      </c>
      <c r="E135" s="458" t="inlineStr">
        <is>
          <t>Aurora</t>
        </is>
      </c>
      <c r="F135" s="458" t="inlineStr">
        <is>
          <t>CO</t>
        </is>
      </c>
      <c r="G135" s="458" t="inlineStr">
        <is>
          <t>Office</t>
        </is>
      </c>
      <c r="H135" s="468" t="inlineStr">
        <is>
          <t>Multi-Tenant Office</t>
        </is>
      </c>
      <c r="I135" s="458" t="n"/>
      <c r="J135" s="458" t="n"/>
      <c r="K135" s="458" t="n">
        <v>2024</v>
      </c>
      <c r="L135" s="469" t="n">
        <v>357674</v>
      </c>
      <c r="M135" s="458" t="n"/>
      <c r="N135" s="469" t="n">
        <v>335977</v>
      </c>
      <c r="O135" s="469" t="n">
        <v>9791</v>
      </c>
      <c r="P135" s="469" t="n">
        <v>7884</v>
      </c>
      <c r="Q135" s="458" t="n"/>
      <c r="R135" s="458" t="n"/>
      <c r="S135" s="458" t="n"/>
      <c r="T135" s="458" t="n"/>
      <c r="U135" s="458" t="n"/>
      <c r="V135" s="458" t="n"/>
      <c r="W135" s="458" t="n"/>
      <c r="X135" s="469" t="n">
        <v>41510</v>
      </c>
      <c r="Y135" s="469" t="n">
        <v>41510</v>
      </c>
      <c r="Z135" s="458" t="n"/>
      <c r="AA135" s="469" t="n">
        <v>12092</v>
      </c>
      <c r="AB135" s="458" t="n"/>
      <c r="AC135" s="458" t="n"/>
      <c r="AD135" s="458" t="n"/>
      <c r="AE135" s="458" t="n"/>
      <c r="AF135" s="469" t="n">
        <v>9302</v>
      </c>
      <c r="AG135" s="469" t="n">
        <v>10772</v>
      </c>
      <c r="AH135" s="469" t="n">
        <v>109544</v>
      </c>
      <c r="AI135" s="469" t="n">
        <v>68307</v>
      </c>
      <c r="AJ135" s="469" t="n">
        <v>177851</v>
      </c>
      <c r="AK135" s="469" t="n">
        <v>158126</v>
      </c>
      <c r="AL135" s="458" t="n"/>
      <c r="AM135" s="468" t="inlineStr">
        <is>
          <t>Actual 2024; SF not stated</t>
        </is>
      </c>
      <c r="AN135">
        <f>IF(AND($B135=Subj_OccCode,Subj_BldgSF&gt;0,ABS($J135-Subj_BldgSF)&lt;=Subj_BldgSF*Subj_SizeTol),ABS($J135-Subj_BldgSF),NA())</f>
        <v/>
      </c>
      <c r="AO135">
        <f>IF(ISNA(AN135),NA(),AN135+ROW()/10000000)</f>
        <v/>
      </c>
      <c r="AR135" s="256">
        <f>IF(B135="","",IFERROR(INDEX(OCC_TABLE_DESC,MATCH(B135,OCC_TABLE_CODE,0)),"Unrecognized code"))</f>
        <v/>
      </c>
    </row>
    <row r="136" ht="25.5" customHeight="1" s="545">
      <c r="A136" s="458" t="inlineStr">
        <is>
          <t>P068</t>
        </is>
      </c>
      <c r="B136" s="449" t="n">
        <v>344</v>
      </c>
      <c r="C136" s="458" t="inlineStr">
        <is>
          <t>R0193830</t>
        </is>
      </c>
      <c r="D136" s="468" t="inlineStr">
        <is>
          <t>Justice Center Office Plaza</t>
        </is>
      </c>
      <c r="E136" s="458" t="inlineStr">
        <is>
          <t>Denver</t>
        </is>
      </c>
      <c r="F136" s="458" t="inlineStr">
        <is>
          <t>CO</t>
        </is>
      </c>
      <c r="G136" s="458" t="inlineStr">
        <is>
          <t>Office</t>
        </is>
      </c>
      <c r="H136" s="468" t="inlineStr">
        <is>
          <t>Multi-Tenant Office NNN</t>
        </is>
      </c>
      <c r="I136" s="458" t="n"/>
      <c r="J136" s="458" t="n">
        <v>41979</v>
      </c>
      <c r="K136" s="458" t="n">
        <v>2023</v>
      </c>
      <c r="L136" s="469" t="n">
        <v>975573</v>
      </c>
      <c r="M136" s="458" t="n"/>
      <c r="N136" s="469" t="n">
        <v>1351329</v>
      </c>
      <c r="O136" s="469" t="n">
        <v>30649</v>
      </c>
      <c r="P136" s="469" t="n">
        <v>86480</v>
      </c>
      <c r="Q136" s="458" t="n"/>
      <c r="R136" s="458" t="n"/>
      <c r="S136" s="458" t="n"/>
      <c r="T136" s="458" t="n"/>
      <c r="U136" s="458" t="n"/>
      <c r="V136" s="458" t="n"/>
      <c r="W136" s="458" t="n"/>
      <c r="X136" s="469" t="n">
        <v>136077</v>
      </c>
      <c r="Y136" s="469" t="n">
        <v>136077</v>
      </c>
      <c r="Z136" s="458" t="n"/>
      <c r="AA136" s="458" t="n"/>
      <c r="AB136" s="458" t="n"/>
      <c r="AC136" s="458" t="n"/>
      <c r="AD136" s="458" t="n"/>
      <c r="AE136" s="458" t="n"/>
      <c r="AF136" s="469" t="n">
        <v>144650</v>
      </c>
      <c r="AG136" s="469" t="n">
        <v>24922</v>
      </c>
      <c r="AH136" s="469" t="n">
        <v>422677</v>
      </c>
      <c r="AI136" s="469" t="n">
        <v>86236</v>
      </c>
      <c r="AJ136" s="469" t="n">
        <v>508913</v>
      </c>
      <c r="AK136" s="469" t="n">
        <v>842416</v>
      </c>
      <c r="AL136" s="458" t="n"/>
      <c r="AM136" s="468" t="inlineStr">
        <is>
          <t>Actual accrual; govt tenants; 100% occ NNN; special assessments in Other</t>
        </is>
      </c>
      <c r="AN136">
        <f>IF(AND($B136=Subj_OccCode,Subj_BldgSF&gt;0,ABS($J136-Subj_BldgSF)&lt;=Subj_BldgSF*Subj_SizeTol),ABS($J136-Subj_BldgSF),NA())</f>
        <v/>
      </c>
      <c r="AO136">
        <f>IF(ISNA(AN136),NA(),AN136+ROW()/10000000)</f>
        <v/>
      </c>
      <c r="AR136" s="256">
        <f>IF(B136="","",IFERROR(INDEX(OCC_TABLE_DESC,MATCH(B136,OCC_TABLE_CODE,0)),"Unrecognized code"))</f>
        <v/>
      </c>
    </row>
    <row r="137" ht="25.5" customHeight="1" s="545">
      <c r="A137" s="458" t="inlineStr">
        <is>
          <t>P068</t>
        </is>
      </c>
      <c r="B137" s="449" t="n">
        <v>344</v>
      </c>
      <c r="C137" s="458" t="inlineStr">
        <is>
          <t>R0193830</t>
        </is>
      </c>
      <c r="D137" s="468" t="inlineStr">
        <is>
          <t>Justice Center Office Plaza</t>
        </is>
      </c>
      <c r="E137" s="458" t="inlineStr">
        <is>
          <t>Denver</t>
        </is>
      </c>
      <c r="F137" s="458" t="inlineStr">
        <is>
          <t>CO</t>
        </is>
      </c>
      <c r="G137" s="458" t="inlineStr">
        <is>
          <t>Office</t>
        </is>
      </c>
      <c r="H137" s="468" t="inlineStr">
        <is>
          <t>Multi-Tenant Office NNN</t>
        </is>
      </c>
      <c r="I137" s="458" t="n"/>
      <c r="J137" s="458" t="n">
        <v>41979</v>
      </c>
      <c r="K137" s="458" t="n">
        <v>2024</v>
      </c>
      <c r="L137" s="469" t="n">
        <v>858704</v>
      </c>
      <c r="M137" s="458" t="n"/>
      <c r="N137" s="469" t="n">
        <v>1393201</v>
      </c>
      <c r="O137" s="469" t="n">
        <v>34798</v>
      </c>
      <c r="P137" s="469" t="n">
        <v>89439</v>
      </c>
      <c r="Q137" s="458" t="n"/>
      <c r="R137" s="458" t="n"/>
      <c r="S137" s="458" t="n"/>
      <c r="T137" s="458" t="n"/>
      <c r="U137" s="458" t="n"/>
      <c r="V137" s="458" t="n"/>
      <c r="W137" s="458" t="n"/>
      <c r="X137" s="469" t="n">
        <v>116522</v>
      </c>
      <c r="Y137" s="469" t="n">
        <v>116522</v>
      </c>
      <c r="Z137" s="458" t="n"/>
      <c r="AA137" s="458" t="n"/>
      <c r="AB137" s="458" t="n"/>
      <c r="AC137" s="458" t="n"/>
      <c r="AD137" s="458" t="n"/>
      <c r="AE137" s="458" t="n"/>
      <c r="AF137" s="469" t="n">
        <v>150007</v>
      </c>
      <c r="AG137" s="469" t="n">
        <v>29708</v>
      </c>
      <c r="AH137" s="469" t="n">
        <v>425475</v>
      </c>
      <c r="AI137" s="469" t="n">
        <v>86738</v>
      </c>
      <c r="AJ137" s="469" t="n">
        <v>512213</v>
      </c>
      <c r="AK137" s="469" t="n">
        <v>880988</v>
      </c>
      <c r="AL137" s="458" t="n"/>
      <c r="AM137" s="468" t="inlineStr">
        <is>
          <t>Actual accrual; govt tenants; 100% occ NNN; special assessments in Other</t>
        </is>
      </c>
      <c r="AN137">
        <f>IF(AND($B137=Subj_OccCode,Subj_BldgSF&gt;0,ABS($J137-Subj_BldgSF)&lt;=Subj_BldgSF*Subj_SizeTol),ABS($J137-Subj_BldgSF),NA())</f>
        <v/>
      </c>
      <c r="AO137">
        <f>IF(ISNA(AN137),NA(),AN137+ROW()/10000000)</f>
        <v/>
      </c>
      <c r="AR137" s="256">
        <f>IF(B137="","",IFERROR(INDEX(OCC_TABLE_DESC,MATCH(B137,OCC_TABLE_CODE,0)),"Unrecognized code"))</f>
        <v/>
      </c>
    </row>
    <row r="138" ht="25.5" customHeight="1" s="545">
      <c r="A138" s="458" t="inlineStr">
        <is>
          <t>P069</t>
        </is>
      </c>
      <c r="B138" s="449" t="n">
        <v>210</v>
      </c>
      <c r="C138" s="458" t="inlineStr">
        <is>
          <t>R0098223</t>
        </is>
      </c>
      <c r="D138" s="468" t="inlineStr">
        <is>
          <t>Washington Commerce Center</t>
        </is>
      </c>
      <c r="E138" s="458" t="inlineStr">
        <is>
          <t>Commerce City</t>
        </is>
      </c>
      <c r="F138" s="458" t="inlineStr">
        <is>
          <t>CO</t>
        </is>
      </c>
      <c r="G138" s="458" t="inlineStr">
        <is>
          <t>Office/Industrial</t>
        </is>
      </c>
      <c r="H138" s="468" t="inlineStr">
        <is>
          <t>Multi-Tenant Office/Industrial</t>
        </is>
      </c>
      <c r="I138" s="458" t="n"/>
      <c r="J138" s="458" t="n">
        <v>278538</v>
      </c>
      <c r="K138" s="458" t="n">
        <v>2023</v>
      </c>
      <c r="L138" s="469" t="n">
        <v>1636029</v>
      </c>
      <c r="M138" s="458" t="n"/>
      <c r="N138" s="469" t="n">
        <v>1610567</v>
      </c>
      <c r="O138" s="469" t="n">
        <v>5093</v>
      </c>
      <c r="P138" s="469" t="n">
        <v>21945</v>
      </c>
      <c r="Q138" s="458" t="n"/>
      <c r="R138" s="458" t="n"/>
      <c r="S138" s="458" t="n"/>
      <c r="T138" s="458" t="n"/>
      <c r="U138" s="458" t="n"/>
      <c r="V138" s="458" t="n"/>
      <c r="W138" s="458" t="n"/>
      <c r="X138" s="469" t="n">
        <v>256338</v>
      </c>
      <c r="Y138" s="469" t="n">
        <v>256338</v>
      </c>
      <c r="Z138" s="458" t="n"/>
      <c r="AA138" s="469" t="n">
        <v>58025</v>
      </c>
      <c r="AB138" s="469" t="n">
        <v>3239</v>
      </c>
      <c r="AC138" s="469" t="n">
        <v>61264</v>
      </c>
      <c r="AD138" s="458" t="n"/>
      <c r="AE138" s="458" t="n"/>
      <c r="AF138" s="469" t="n">
        <v>31915</v>
      </c>
      <c r="AG138" s="458" t="n"/>
      <c r="AH138" s="469" t="n">
        <v>375619</v>
      </c>
      <c r="AI138" s="469" t="n">
        <v>0</v>
      </c>
      <c r="AJ138" s="469" t="n">
        <v>375619</v>
      </c>
      <c r="AK138" s="469" t="n">
        <v>76629</v>
      </c>
      <c r="AL138" s="458" t="n"/>
      <c r="AM138" s="468" t="inlineStr">
        <is>
          <t>Actual; tenants pay RE tax; high R&amp;M 2023 ($127k major maint); SF est.</t>
        </is>
      </c>
      <c r="AN138">
        <f>IF(AND($B138=Subj_OccCode,Subj_BldgSF&gt;0,ABS($J138-Subj_BldgSF)&lt;=Subj_BldgSF*Subj_SizeTol),ABS($J138-Subj_BldgSF),NA())</f>
        <v/>
      </c>
      <c r="AO138">
        <f>IF(ISNA(AN138),NA(),AN138+ROW()/10000000)</f>
        <v/>
      </c>
      <c r="AR138" s="256">
        <f>IF(B138="","",IFERROR(INDEX(OCC_TABLE_DESC,MATCH(B138,OCC_TABLE_CODE,0)),"Unrecognized code"))</f>
        <v/>
      </c>
    </row>
    <row r="139" ht="12.75" customHeight="1" s="545">
      <c r="A139" s="458" t="inlineStr">
        <is>
          <t>P069</t>
        </is>
      </c>
      <c r="B139" s="449" t="n">
        <v>210</v>
      </c>
      <c r="C139" s="458" t="inlineStr">
        <is>
          <t>R0098223</t>
        </is>
      </c>
      <c r="D139" s="468" t="inlineStr">
        <is>
          <t>Washington Commerce Center</t>
        </is>
      </c>
      <c r="E139" s="458" t="inlineStr">
        <is>
          <t>Commerce City</t>
        </is>
      </c>
      <c r="F139" s="458" t="inlineStr">
        <is>
          <t>CO</t>
        </is>
      </c>
      <c r="G139" s="458" t="inlineStr">
        <is>
          <t>Office/Industrial</t>
        </is>
      </c>
      <c r="H139" s="468" t="inlineStr">
        <is>
          <t>Multi-Tenant Office/Industrial</t>
        </is>
      </c>
      <c r="I139" s="458" t="n"/>
      <c r="J139" s="458" t="n">
        <v>278538</v>
      </c>
      <c r="K139" s="458" t="n">
        <v>2024</v>
      </c>
      <c r="L139" s="469" t="n">
        <v>1520916</v>
      </c>
      <c r="M139" s="458" t="n"/>
      <c r="N139" s="469" t="n">
        <v>1520916</v>
      </c>
      <c r="O139" s="469" t="n">
        <v>8912</v>
      </c>
      <c r="P139" s="469" t="n">
        <v>25573</v>
      </c>
      <c r="Q139" s="458" t="n"/>
      <c r="R139" s="458" t="n"/>
      <c r="S139" s="458" t="n"/>
      <c r="T139" s="458" t="n"/>
      <c r="U139" s="458" t="n"/>
      <c r="V139" s="458" t="n"/>
      <c r="W139" s="458" t="n"/>
      <c r="X139" s="469" t="n">
        <v>125263</v>
      </c>
      <c r="Y139" s="469" t="n">
        <v>125263</v>
      </c>
      <c r="Z139" s="458" t="n"/>
      <c r="AA139" s="469" t="n">
        <v>58025</v>
      </c>
      <c r="AB139" s="469" t="n">
        <v>9957</v>
      </c>
      <c r="AC139" s="469" t="n">
        <v>67982</v>
      </c>
      <c r="AD139" s="458" t="n"/>
      <c r="AE139" s="458" t="n"/>
      <c r="AF139" s="469" t="n">
        <v>31915</v>
      </c>
      <c r="AG139" s="458" t="n"/>
      <c r="AH139" s="469" t="n">
        <v>259645</v>
      </c>
      <c r="AI139" s="469" t="n">
        <v>0</v>
      </c>
      <c r="AJ139" s="469" t="n">
        <v>259645</v>
      </c>
      <c r="AK139" s="469" t="n">
        <v>93985</v>
      </c>
      <c r="AL139" s="458" t="n"/>
      <c r="AM139" s="468" t="inlineStr">
        <is>
          <t>Actual; tenants pay RE tax; lower R&amp;M 2024; SF est.</t>
        </is>
      </c>
      <c r="AN139">
        <f>IF(AND($B139=Subj_OccCode,Subj_BldgSF&gt;0,ABS($J139-Subj_BldgSF)&lt;=Subj_BldgSF*Subj_SizeTol),ABS($J139-Subj_BldgSF),NA())</f>
        <v/>
      </c>
      <c r="AO139">
        <f>IF(ISNA(AN139),NA(),AN139+ROW()/10000000)</f>
        <v/>
      </c>
      <c r="AR139" s="256">
        <f>IF(B139="","",IFERROR(INDEX(OCC_TABLE_DESC,MATCH(B139,OCC_TABLE_CODE,0)),"Unrecognized code"))</f>
        <v/>
      </c>
    </row>
    <row r="140" ht="25.5" customHeight="1" s="545">
      <c r="A140" s="458" t="inlineStr">
        <is>
          <t>P070</t>
        </is>
      </c>
      <c r="B140" s="449" t="n">
        <v>210</v>
      </c>
      <c r="C140" s="458" t="inlineStr">
        <is>
          <t>R0084242</t>
        </is>
      </c>
      <c r="D140" s="468" t="inlineStr">
        <is>
          <t>Upland Dist Ctr I (Bldg 1)</t>
        </is>
      </c>
      <c r="E140" s="458" t="inlineStr">
        <is>
          <t>Aurora</t>
        </is>
      </c>
      <c r="F140" s="458" t="inlineStr">
        <is>
          <t>CO</t>
        </is>
      </c>
      <c r="G140" s="458" t="inlineStr">
        <is>
          <t>Industrial</t>
        </is>
      </c>
      <c r="H140" s="468" t="inlineStr">
        <is>
          <t>Multi-Tenant Industrial NNN</t>
        </is>
      </c>
      <c r="I140" s="458" t="n"/>
      <c r="J140" s="458" t="n"/>
      <c r="K140" s="458" t="n">
        <v>2024</v>
      </c>
      <c r="L140" s="469" t="n">
        <v>693913</v>
      </c>
      <c r="M140" s="458" t="n"/>
      <c r="N140" s="469" t="n">
        <v>1038740</v>
      </c>
      <c r="O140" s="469" t="n">
        <v>10142</v>
      </c>
      <c r="P140" s="469" t="n">
        <v>11589</v>
      </c>
      <c r="Q140" s="458" t="n"/>
      <c r="R140" s="458" t="n"/>
      <c r="S140" s="469" t="n">
        <v>10801</v>
      </c>
      <c r="T140" s="469" t="n">
        <v>2121</v>
      </c>
      <c r="U140" s="458" t="n"/>
      <c r="V140" s="458" t="n"/>
      <c r="W140" s="458" t="n"/>
      <c r="X140" s="469" t="n">
        <v>1602</v>
      </c>
      <c r="Y140" s="469" t="n">
        <v>14524</v>
      </c>
      <c r="Z140" s="458" t="n"/>
      <c r="AA140" s="469" t="n">
        <v>10822</v>
      </c>
      <c r="AB140" s="469" t="n">
        <v>32162</v>
      </c>
      <c r="AC140" s="469" t="n">
        <v>3096</v>
      </c>
      <c r="AD140" s="469" t="n">
        <v>10863</v>
      </c>
      <c r="AE140" s="458" t="n"/>
      <c r="AF140" s="469" t="n">
        <v>10863</v>
      </c>
      <c r="AG140" s="458" t="n"/>
      <c r="AH140" s="469" t="n">
        <v>103843</v>
      </c>
      <c r="AI140" s="469" t="n">
        <v>285245</v>
      </c>
      <c r="AJ140" s="469" t="n">
        <v>389088</v>
      </c>
      <c r="AK140" s="469" t="n">
        <v>649652</v>
      </c>
      <c r="AL140" s="458" t="n"/>
      <c r="AM140" s="468" t="inlineStr">
        <is>
          <t>Link Logistics actual accrual; security $3,096 in contract; mgmt non-billable</t>
        </is>
      </c>
      <c r="AN140">
        <f>IF(AND($B140=Subj_OccCode,Subj_BldgSF&gt;0,ABS($J140-Subj_BldgSF)&lt;=Subj_BldgSF*Subj_SizeTol),ABS($J140-Subj_BldgSF),NA())</f>
        <v/>
      </c>
      <c r="AO140">
        <f>IF(ISNA(AN140),NA(),AN140+ROW()/10000000)</f>
        <v/>
      </c>
      <c r="AR140" s="256">
        <f>IF(B140="","",IFERROR(INDEX(OCC_TABLE_DESC,MATCH(B140,OCC_TABLE_CODE,0)),"Unrecognized code"))</f>
        <v/>
      </c>
    </row>
    <row r="141" ht="25.5" customHeight="1" s="545">
      <c r="A141" s="458" t="inlineStr">
        <is>
          <t>P070</t>
        </is>
      </c>
      <c r="B141" s="449" t="n">
        <v>210</v>
      </c>
      <c r="C141" s="458" t="inlineStr">
        <is>
          <t>R0084242</t>
        </is>
      </c>
      <c r="D141" s="468" t="inlineStr">
        <is>
          <t>Upland Dist Ctr I (Bldg 1)</t>
        </is>
      </c>
      <c r="E141" s="458" t="inlineStr">
        <is>
          <t>Aurora</t>
        </is>
      </c>
      <c r="F141" s="458" t="inlineStr">
        <is>
          <t>CO</t>
        </is>
      </c>
      <c r="G141" s="458" t="inlineStr">
        <is>
          <t>Industrial</t>
        </is>
      </c>
      <c r="H141" s="468" t="inlineStr">
        <is>
          <t>Multi-Tenant Industrial NNN</t>
        </is>
      </c>
      <c r="I141" s="458" t="n"/>
      <c r="J141" s="458" t="n"/>
      <c r="K141" s="458" t="n">
        <v>2023</v>
      </c>
      <c r="L141" s="469" t="n">
        <v>636291</v>
      </c>
      <c r="M141" s="458" t="n"/>
      <c r="N141" s="469" t="n">
        <v>1062200</v>
      </c>
      <c r="O141" s="469" t="n">
        <v>7751</v>
      </c>
      <c r="P141" s="469" t="n">
        <v>9831</v>
      </c>
      <c r="Q141" s="458" t="n"/>
      <c r="R141" s="458" t="n"/>
      <c r="S141" s="469" t="n">
        <v>6802</v>
      </c>
      <c r="T141" s="469" t="n">
        <v>2340</v>
      </c>
      <c r="U141" s="458" t="n"/>
      <c r="V141" s="458" t="n"/>
      <c r="W141" s="458" t="n"/>
      <c r="X141" s="469" t="n">
        <v>1498</v>
      </c>
      <c r="Y141" s="469" t="n">
        <v>10640</v>
      </c>
      <c r="Z141" s="458" t="n"/>
      <c r="AA141" s="469" t="n">
        <v>12695</v>
      </c>
      <c r="AB141" s="469" t="n">
        <v>15327</v>
      </c>
      <c r="AC141" s="469" t="n">
        <v>3871</v>
      </c>
      <c r="AD141" s="469" t="n">
        <v>18104</v>
      </c>
      <c r="AE141" s="458" t="n"/>
      <c r="AF141" s="469" t="n">
        <v>18104</v>
      </c>
      <c r="AG141" s="458" t="n"/>
      <c r="AH141" s="469" t="n">
        <v>93172</v>
      </c>
      <c r="AI141" s="469" t="n">
        <v>284308</v>
      </c>
      <c r="AJ141" s="469" t="n">
        <v>377480</v>
      </c>
      <c r="AK141" s="469" t="n">
        <v>684720</v>
      </c>
      <c r="AL141" s="458" t="n"/>
      <c r="AM141" s="468" t="inlineStr">
        <is>
          <t>Link Logistics actual accrual; security $3,871 in contract; mgmt non-billable</t>
        </is>
      </c>
      <c r="AN141">
        <f>IF(AND($B141=Subj_OccCode,Subj_BldgSF&gt;0,ABS($J141-Subj_BldgSF)&lt;=Subj_BldgSF*Subj_SizeTol),ABS($J141-Subj_BldgSF),NA())</f>
        <v/>
      </c>
      <c r="AO141">
        <f>IF(ISNA(AN141),NA(),AN141+ROW()/10000000)</f>
        <v/>
      </c>
      <c r="AR141" s="256">
        <f>IF(B141="","",IFERROR(INDEX(OCC_TABLE_DESC,MATCH(B141,OCC_TABLE_CODE,0)),"Unrecognized code"))</f>
        <v/>
      </c>
    </row>
    <row r="142" ht="12.75" customHeight="1" s="545">
      <c r="A142" s="458" t="inlineStr">
        <is>
          <t>P071</t>
        </is>
      </c>
      <c r="B142" s="449" t="n">
        <v>210</v>
      </c>
      <c r="C142" s="458" t="inlineStr">
        <is>
          <t>R0084243</t>
        </is>
      </c>
      <c r="D142" s="468" t="inlineStr">
        <is>
          <t>Upland Dist Ctr I (Bldg 2)</t>
        </is>
      </c>
      <c r="E142" s="458" t="inlineStr">
        <is>
          <t>Aurora</t>
        </is>
      </c>
      <c r="F142" s="458" t="inlineStr">
        <is>
          <t>CO</t>
        </is>
      </c>
      <c r="G142" s="458" t="inlineStr">
        <is>
          <t>Industrial</t>
        </is>
      </c>
      <c r="H142" s="468" t="inlineStr">
        <is>
          <t>Multi-Tenant Industrial NNN</t>
        </is>
      </c>
      <c r="I142" s="458" t="n"/>
      <c r="J142" s="458" t="n"/>
      <c r="K142" s="458" t="n">
        <v>2024</v>
      </c>
      <c r="L142" s="469" t="n">
        <v>559154</v>
      </c>
      <c r="M142" s="458" t="n"/>
      <c r="N142" s="469" t="n">
        <v>904777</v>
      </c>
      <c r="O142" s="469" t="n">
        <v>9318</v>
      </c>
      <c r="P142" s="469" t="n">
        <v>8966</v>
      </c>
      <c r="Q142" s="458" t="n"/>
      <c r="R142" s="458" t="n"/>
      <c r="S142" s="469" t="n">
        <v>5962</v>
      </c>
      <c r="T142" s="469" t="n">
        <v>2221</v>
      </c>
      <c r="U142" s="469" t="n">
        <v>2465</v>
      </c>
      <c r="V142" s="458" t="n"/>
      <c r="W142" s="458" t="n"/>
      <c r="X142" s="469" t="n">
        <v>1589</v>
      </c>
      <c r="Y142" s="469" t="n">
        <v>12237</v>
      </c>
      <c r="Z142" s="458" t="n"/>
      <c r="AA142" s="469" t="n">
        <v>11302</v>
      </c>
      <c r="AB142" s="469" t="n">
        <v>32413</v>
      </c>
      <c r="AC142" s="469" t="n">
        <v>3096</v>
      </c>
      <c r="AD142" s="469" t="n">
        <v>23773</v>
      </c>
      <c r="AE142" s="458" t="n"/>
      <c r="AF142" s="469" t="n">
        <v>23773</v>
      </c>
      <c r="AG142" s="458" t="n"/>
      <c r="AH142" s="469" t="n">
        <v>130296</v>
      </c>
      <c r="AI142" s="469" t="n">
        <v>265848</v>
      </c>
      <c r="AJ142" s="469" t="n">
        <v>396144</v>
      </c>
      <c r="AK142" s="469" t="n">
        <v>508633</v>
      </c>
      <c r="AL142" s="458" t="n"/>
      <c r="AM142" s="468" t="inlineStr">
        <is>
          <t>Link Logistics actual accrual</t>
        </is>
      </c>
      <c r="AN142">
        <f>IF(AND($B142=Subj_OccCode,Subj_BldgSF&gt;0,ABS($J142-Subj_BldgSF)&lt;=Subj_BldgSF*Subj_SizeTol),ABS($J142-Subj_BldgSF),NA())</f>
        <v/>
      </c>
      <c r="AO142">
        <f>IF(ISNA(AN142),NA(),AN142+ROW()/10000000)</f>
        <v/>
      </c>
      <c r="AR142" s="256">
        <f>IF(B142="","",IFERROR(INDEX(OCC_TABLE_DESC,MATCH(B142,OCC_TABLE_CODE,0)),"Unrecognized code"))</f>
        <v/>
      </c>
    </row>
    <row r="143" ht="12.75" customHeight="1" s="545">
      <c r="A143" s="458" t="inlineStr">
        <is>
          <t>P071</t>
        </is>
      </c>
      <c r="B143" s="449" t="n">
        <v>210</v>
      </c>
      <c r="C143" s="458" t="inlineStr">
        <is>
          <t>R0084243</t>
        </is>
      </c>
      <c r="D143" s="468" t="inlineStr">
        <is>
          <t>Upland Dist Ctr I (Bldg 2)</t>
        </is>
      </c>
      <c r="E143" s="458" t="inlineStr">
        <is>
          <t>Aurora</t>
        </is>
      </c>
      <c r="F143" s="458" t="inlineStr">
        <is>
          <t>CO</t>
        </is>
      </c>
      <c r="G143" s="458" t="inlineStr">
        <is>
          <t>Industrial</t>
        </is>
      </c>
      <c r="H143" s="468" t="inlineStr">
        <is>
          <t>Multi-Tenant Industrial NNN</t>
        </is>
      </c>
      <c r="I143" s="458" t="n"/>
      <c r="J143" s="458" t="n"/>
      <c r="K143" s="458" t="n">
        <v>2023</v>
      </c>
      <c r="L143" s="469" t="n">
        <v>671895</v>
      </c>
      <c r="M143" s="458" t="n"/>
      <c r="N143" s="469" t="n">
        <v>1034507</v>
      </c>
      <c r="O143" s="469" t="n">
        <v>7124</v>
      </c>
      <c r="P143" s="469" t="n">
        <v>9660</v>
      </c>
      <c r="Q143" s="458" t="n"/>
      <c r="R143" s="458" t="n"/>
      <c r="S143" s="469" t="n">
        <v>5338</v>
      </c>
      <c r="T143" s="469" t="n">
        <v>2480</v>
      </c>
      <c r="U143" s="469" t="n">
        <v>875</v>
      </c>
      <c r="V143" s="458" t="n"/>
      <c r="W143" s="458" t="n"/>
      <c r="X143" s="469" t="n">
        <v>1484</v>
      </c>
      <c r="Y143" s="469" t="n">
        <v>10177</v>
      </c>
      <c r="Z143" s="458" t="n"/>
      <c r="AA143" s="469" t="n">
        <v>8120</v>
      </c>
      <c r="AB143" s="469" t="n">
        <v>15088</v>
      </c>
      <c r="AC143" s="469" t="n">
        <v>3871</v>
      </c>
      <c r="AD143" s="469" t="n">
        <v>13983</v>
      </c>
      <c r="AE143" s="458" t="n"/>
      <c r="AF143" s="469" t="n">
        <v>13983</v>
      </c>
      <c r="AG143" s="458" t="n"/>
      <c r="AH143" s="469" t="n">
        <v>29277</v>
      </c>
      <c r="AI143" s="469" t="n">
        <v>265936</v>
      </c>
      <c r="AJ143" s="469" t="n">
        <v>295213</v>
      </c>
      <c r="AK143" s="469" t="n">
        <v>739294</v>
      </c>
      <c r="AL143" s="458" t="n"/>
      <c r="AM143" s="468" t="inlineStr">
        <is>
          <t>Link Logistics actual accrual</t>
        </is>
      </c>
      <c r="AN143">
        <f>IF(AND($B143=Subj_OccCode,Subj_BldgSF&gt;0,ABS($J143-Subj_BldgSF)&lt;=Subj_BldgSF*Subj_SizeTol),ABS($J143-Subj_BldgSF),NA())</f>
        <v/>
      </c>
      <c r="AO143">
        <f>IF(ISNA(AN143),NA(),AN143+ROW()/10000000)</f>
        <v/>
      </c>
      <c r="AR143" s="256">
        <f>IF(B143="","",IFERROR(INDEX(OCC_TABLE_DESC,MATCH(B143,OCC_TABLE_CODE,0)),"Unrecognized code"))</f>
        <v/>
      </c>
    </row>
    <row r="144" ht="25.5" customHeight="1" s="545">
      <c r="A144" s="458" t="inlineStr">
        <is>
          <t>P072</t>
        </is>
      </c>
      <c r="B144" s="449" t="n">
        <v>210</v>
      </c>
      <c r="C144" s="458" t="inlineStr">
        <is>
          <t>R0084244</t>
        </is>
      </c>
      <c r="D144" s="468" t="inlineStr">
        <is>
          <t>Upland Dist Ctr I (Bldg 3)</t>
        </is>
      </c>
      <c r="E144" s="458" t="inlineStr">
        <is>
          <t>Aurora</t>
        </is>
      </c>
      <c r="F144" s="458" t="inlineStr">
        <is>
          <t>CO</t>
        </is>
      </c>
      <c r="G144" s="458" t="inlineStr">
        <is>
          <t>Industrial</t>
        </is>
      </c>
      <c r="H144" s="468" t="inlineStr">
        <is>
          <t>Multi-Tenant Industrial NNN</t>
        </is>
      </c>
      <c r="I144" s="458" t="n"/>
      <c r="J144" s="458" t="n"/>
      <c r="K144" s="458" t="n">
        <v>2023</v>
      </c>
      <c r="L144" s="469" t="n">
        <v>633240</v>
      </c>
      <c r="M144" s="458" t="n"/>
      <c r="N144" s="469" t="n">
        <v>1026818</v>
      </c>
      <c r="O144" s="469" t="n">
        <v>6101</v>
      </c>
      <c r="P144" s="469" t="n">
        <v>8518</v>
      </c>
      <c r="Q144" s="458" t="n"/>
      <c r="R144" s="458" t="n"/>
      <c r="S144" s="469" t="n">
        <v>32990</v>
      </c>
      <c r="T144" s="469" t="n">
        <v>1965</v>
      </c>
      <c r="U144" s="458" t="n"/>
      <c r="V144" s="458" t="n"/>
      <c r="W144" s="458" t="n"/>
      <c r="X144" s="469" t="n">
        <v>1498</v>
      </c>
      <c r="Y144" s="469" t="n">
        <v>34453</v>
      </c>
      <c r="Z144" s="458" t="n"/>
      <c r="AA144" s="469" t="n">
        <v>11861</v>
      </c>
      <c r="AB144" s="469" t="n">
        <v>15620</v>
      </c>
      <c r="AC144" s="469" t="n">
        <v>3871</v>
      </c>
      <c r="AD144" s="469" t="n">
        <v>5672</v>
      </c>
      <c r="AE144" s="469" t="n">
        <v>3430</v>
      </c>
      <c r="AF144" s="469" t="n">
        <v>9102</v>
      </c>
      <c r="AG144" s="458" t="n"/>
      <c r="AH144" s="469" t="n">
        <v>107544</v>
      </c>
      <c r="AI144" s="469" t="n">
        <v>284308</v>
      </c>
      <c r="AJ144" s="469" t="n">
        <v>391852</v>
      </c>
      <c r="AK144" s="469" t="n">
        <v>634966</v>
      </c>
      <c r="AL144" s="458" t="n"/>
      <c r="AM144" s="468" t="inlineStr">
        <is>
          <t>Link Logistics 2023 only; large warehouse; notable free rent ($111k) and lease-up period</t>
        </is>
      </c>
      <c r="AN144">
        <f>IF(AND($B144=Subj_OccCode,Subj_BldgSF&gt;0,ABS($J144-Subj_BldgSF)&lt;=Subj_BldgSF*Subj_SizeTol),ABS($J144-Subj_BldgSF),NA())</f>
        <v/>
      </c>
      <c r="AO144">
        <f>IF(ISNA(AN144),NA(),AN144+ROW()/10000000)</f>
        <v/>
      </c>
      <c r="AR144" s="256">
        <f>IF(B144="","",IFERROR(INDEX(OCC_TABLE_DESC,MATCH(B144,OCC_TABLE_CODE,0)),"Unrecognized code"))</f>
        <v/>
      </c>
    </row>
    <row r="145" ht="12.75" customHeight="1" s="545">
      <c r="A145" s="458" t="inlineStr">
        <is>
          <t>P073</t>
        </is>
      </c>
      <c r="B145" s="449" t="n">
        <v>210</v>
      </c>
      <c r="C145" s="458" t="inlineStr">
        <is>
          <t>R0084247</t>
        </is>
      </c>
      <c r="D145" s="468" t="inlineStr">
        <is>
          <t>13802 E 33rd Place</t>
        </is>
      </c>
      <c r="E145" s="458" t="inlineStr">
        <is>
          <t>Aurora</t>
        </is>
      </c>
      <c r="F145" s="458" t="inlineStr">
        <is>
          <t>CO</t>
        </is>
      </c>
      <c r="G145" s="458" t="inlineStr">
        <is>
          <t>Industrial</t>
        </is>
      </c>
      <c r="H145" s="468" t="inlineStr">
        <is>
          <t>Multi-Tenant Industrial NNN</t>
        </is>
      </c>
      <c r="I145" s="458" t="n"/>
      <c r="J145" s="458" t="n"/>
      <c r="K145" s="458" t="n">
        <v>2024</v>
      </c>
      <c r="L145" s="469" t="n">
        <v>318721</v>
      </c>
      <c r="M145" s="458" t="n"/>
      <c r="N145" s="469" t="n">
        <v>578332</v>
      </c>
      <c r="O145" s="469" t="n">
        <v>7156</v>
      </c>
      <c r="P145" s="469" t="n">
        <v>5471</v>
      </c>
      <c r="Q145" s="458" t="n"/>
      <c r="R145" s="458" t="n"/>
      <c r="S145" s="469" t="n">
        <v>8874</v>
      </c>
      <c r="T145" s="469" t="n">
        <v>1655</v>
      </c>
      <c r="U145" s="458" t="n"/>
      <c r="V145" s="458" t="n"/>
      <c r="W145" s="458" t="n"/>
      <c r="X145" s="469" t="n">
        <v>1556</v>
      </c>
      <c r="Y145" s="469" t="n">
        <v>12085</v>
      </c>
      <c r="Z145" s="458" t="n"/>
      <c r="AA145" s="469" t="n">
        <v>9686</v>
      </c>
      <c r="AB145" s="469" t="n">
        <v>20653</v>
      </c>
      <c r="AC145" s="469" t="n">
        <v>6987</v>
      </c>
      <c r="AD145" s="469" t="n">
        <v>10547</v>
      </c>
      <c r="AE145" s="469" t="n">
        <v>1600</v>
      </c>
      <c r="AF145" s="469" t="n">
        <v>12147</v>
      </c>
      <c r="AG145" s="458" t="n"/>
      <c r="AH145" s="469" t="n">
        <v>91002</v>
      </c>
      <c r="AI145" s="469" t="n">
        <v>204010</v>
      </c>
      <c r="AJ145" s="469" t="n">
        <v>295012</v>
      </c>
      <c r="AK145" s="469" t="n">
        <v>283320</v>
      </c>
      <c r="AL145" s="458" t="n"/>
      <c r="AM145" s="468" t="inlineStr">
        <is>
          <t>Link Logistics actual accrual</t>
        </is>
      </c>
      <c r="AN145">
        <f>IF(AND($B145=Subj_OccCode,Subj_BldgSF&gt;0,ABS($J145-Subj_BldgSF)&lt;=Subj_BldgSF*Subj_SizeTol),ABS($J145-Subj_BldgSF),NA())</f>
        <v/>
      </c>
      <c r="AO145">
        <f>IF(ISNA(AN145),NA(),AN145+ROW()/10000000)</f>
        <v/>
      </c>
      <c r="AR145" s="256">
        <f>IF(B145="","",IFERROR(INDEX(OCC_TABLE_DESC,MATCH(B145,OCC_TABLE_CODE,0)),"Unrecognized code"))</f>
        <v/>
      </c>
    </row>
    <row r="146" ht="12.75" customHeight="1" s="545">
      <c r="A146" s="458" t="inlineStr">
        <is>
          <t>P073</t>
        </is>
      </c>
      <c r="B146" s="449" t="n">
        <v>210</v>
      </c>
      <c r="C146" s="458" t="inlineStr">
        <is>
          <t>R0084247</t>
        </is>
      </c>
      <c r="D146" s="468" t="inlineStr">
        <is>
          <t>13802 E 33rd Place</t>
        </is>
      </c>
      <c r="E146" s="458" t="inlineStr">
        <is>
          <t>Aurora</t>
        </is>
      </c>
      <c r="F146" s="458" t="inlineStr">
        <is>
          <t>CO</t>
        </is>
      </c>
      <c r="G146" s="458" t="inlineStr">
        <is>
          <t>Industrial</t>
        </is>
      </c>
      <c r="H146" s="468" t="inlineStr">
        <is>
          <t>Multi-Tenant Industrial NNN</t>
        </is>
      </c>
      <c r="I146" s="458" t="n"/>
      <c r="J146" s="458" t="n"/>
      <c r="K146" s="458" t="n">
        <v>2023</v>
      </c>
      <c r="L146" s="469" t="n">
        <v>394581</v>
      </c>
      <c r="M146" s="458" t="n"/>
      <c r="N146" s="469" t="n">
        <v>671481</v>
      </c>
      <c r="O146" s="469" t="n">
        <v>6075</v>
      </c>
      <c r="P146" s="469" t="n">
        <v>5987</v>
      </c>
      <c r="Q146" s="458" t="n"/>
      <c r="R146" s="458" t="n"/>
      <c r="S146" s="469" t="n">
        <v>7762</v>
      </c>
      <c r="T146" s="469" t="n">
        <v>1575</v>
      </c>
      <c r="U146" s="458" t="n"/>
      <c r="V146" s="458" t="n"/>
      <c r="W146" s="458" t="n"/>
      <c r="X146" s="469" t="n">
        <v>1452</v>
      </c>
      <c r="Y146" s="469" t="n">
        <v>10789</v>
      </c>
      <c r="Z146" s="458" t="n"/>
      <c r="AA146" s="469" t="n">
        <v>11249</v>
      </c>
      <c r="AB146" s="469" t="n">
        <v>12318</v>
      </c>
      <c r="AC146" s="469" t="n">
        <v>6967</v>
      </c>
      <c r="AD146" s="469" t="n">
        <v>11424</v>
      </c>
      <c r="AE146" s="469" t="n">
        <v>1898</v>
      </c>
      <c r="AF146" s="469" t="n">
        <v>13322</v>
      </c>
      <c r="AG146" s="458" t="n"/>
      <c r="AH146" s="469" t="n">
        <v>37127</v>
      </c>
      <c r="AI146" s="469" t="n">
        <v>204497</v>
      </c>
      <c r="AJ146" s="469" t="n">
        <v>241624</v>
      </c>
      <c r="AK146" s="469" t="n">
        <v>429857</v>
      </c>
      <c r="AL146" s="458" t="n"/>
      <c r="AM146" s="468" t="inlineStr">
        <is>
          <t>Link Logistics actual accrual</t>
        </is>
      </c>
      <c r="AN146">
        <f>IF(AND($B146=Subj_OccCode,Subj_BldgSF&gt;0,ABS($J146-Subj_BldgSF)&lt;=Subj_BldgSF*Subj_SizeTol),ABS($J146-Subj_BldgSF),NA())</f>
        <v/>
      </c>
      <c r="AO146">
        <f>IF(ISNA(AN146),NA(),AN146+ROW()/10000000)</f>
        <v/>
      </c>
      <c r="AR146" s="256">
        <f>IF(B146="","",IFERROR(INDEX(OCC_TABLE_DESC,MATCH(B146,OCC_TABLE_CODE,0)),"Unrecognized code"))</f>
        <v/>
      </c>
    </row>
    <row r="147" ht="25.5" customHeight="1" s="545">
      <c r="A147" s="458" t="inlineStr">
        <is>
          <t>P074</t>
        </is>
      </c>
      <c r="B147" s="449" t="n">
        <v>210</v>
      </c>
      <c r="C147" s="458" t="inlineStr">
        <is>
          <t>R0084248</t>
        </is>
      </c>
      <c r="D147" s="468" t="inlineStr">
        <is>
          <t>14002 E 33rd Place</t>
        </is>
      </c>
      <c r="E147" s="458" t="inlineStr">
        <is>
          <t>Aurora</t>
        </is>
      </c>
      <c r="F147" s="458" t="inlineStr">
        <is>
          <t>CO</t>
        </is>
      </c>
      <c r="G147" s="458" t="inlineStr">
        <is>
          <t>Industrial</t>
        </is>
      </c>
      <c r="H147" s="468" t="inlineStr">
        <is>
          <t>Multi-Tenant Industrial NNN</t>
        </is>
      </c>
      <c r="I147" s="458" t="n"/>
      <c r="J147" s="458" t="n"/>
      <c r="K147" s="458" t="n">
        <v>2024</v>
      </c>
      <c r="L147" s="469" t="n">
        <v>352733</v>
      </c>
      <c r="M147" s="458" t="n"/>
      <c r="N147" s="469" t="n">
        <v>649568</v>
      </c>
      <c r="O147" s="469" t="n">
        <v>6988</v>
      </c>
      <c r="P147" s="469" t="n">
        <v>6207</v>
      </c>
      <c r="Q147" s="458" t="n"/>
      <c r="R147" s="458" t="n"/>
      <c r="S147" s="469" t="n">
        <v>16981</v>
      </c>
      <c r="T147" s="469" t="n">
        <v>1800</v>
      </c>
      <c r="U147" s="458" t="n"/>
      <c r="V147" s="458" t="n"/>
      <c r="W147" s="458" t="n"/>
      <c r="X147" s="469" t="n">
        <v>1556</v>
      </c>
      <c r="Y147" s="469" t="n">
        <v>20337</v>
      </c>
      <c r="Z147" s="458" t="n"/>
      <c r="AA147" s="469" t="n">
        <v>8036</v>
      </c>
      <c r="AB147" s="469" t="n">
        <v>22795</v>
      </c>
      <c r="AC147" s="469" t="n">
        <v>6988</v>
      </c>
      <c r="AD147" s="469" t="n">
        <v>8875</v>
      </c>
      <c r="AE147" s="458" t="n"/>
      <c r="AF147" s="469" t="n">
        <v>8875</v>
      </c>
      <c r="AG147" s="458" t="n"/>
      <c r="AH147" s="469" t="n">
        <v>94654</v>
      </c>
      <c r="AI147" s="469" t="n">
        <v>204010</v>
      </c>
      <c r="AJ147" s="469" t="n">
        <v>298664</v>
      </c>
      <c r="AK147" s="469" t="n">
        <v>350904</v>
      </c>
      <c r="AL147" s="458" t="n"/>
      <c r="AM147" s="468" t="inlineStr">
        <is>
          <t>Link Logistics actual; 2023 RE tax net $53k refund; 2024 normal rate</t>
        </is>
      </c>
      <c r="AN147">
        <f>IF(AND($B147=Subj_OccCode,Subj_BldgSF&gt;0,ABS($J147-Subj_BldgSF)&lt;=Subj_BldgSF*Subj_SizeTol),ABS($J147-Subj_BldgSF),NA())</f>
        <v/>
      </c>
      <c r="AO147">
        <f>IF(ISNA(AN147),NA(),AN147+ROW()/10000000)</f>
        <v/>
      </c>
      <c r="AR147" s="256">
        <f>IF(B147="","",IFERROR(INDEX(OCC_TABLE_DESC,MATCH(B147,OCC_TABLE_CODE,0)),"Unrecognized code"))</f>
        <v/>
      </c>
    </row>
    <row r="148" ht="25.5" customHeight="1" s="545">
      <c r="A148" s="458" t="inlineStr">
        <is>
          <t>P074</t>
        </is>
      </c>
      <c r="B148" s="449" t="n">
        <v>210</v>
      </c>
      <c r="C148" s="458" t="inlineStr">
        <is>
          <t>R0084248</t>
        </is>
      </c>
      <c r="D148" s="468" t="inlineStr">
        <is>
          <t>14002 E 33rd Place</t>
        </is>
      </c>
      <c r="E148" s="458" t="inlineStr">
        <is>
          <t>Aurora</t>
        </is>
      </c>
      <c r="F148" s="458" t="inlineStr">
        <is>
          <t>CO</t>
        </is>
      </c>
      <c r="G148" s="458" t="inlineStr">
        <is>
          <t>Industrial</t>
        </is>
      </c>
      <c r="H148" s="468" t="inlineStr">
        <is>
          <t>Multi-Tenant Industrial NNN</t>
        </is>
      </c>
      <c r="I148" s="458" t="n"/>
      <c r="J148" s="458" t="n"/>
      <c r="K148" s="458" t="n">
        <v>2023</v>
      </c>
      <c r="L148" s="469" t="n">
        <v>345583</v>
      </c>
      <c r="M148" s="458" t="n"/>
      <c r="N148" s="469" t="n">
        <v>582999</v>
      </c>
      <c r="O148" s="469" t="n">
        <v>6051</v>
      </c>
      <c r="P148" s="469" t="n">
        <v>6115</v>
      </c>
      <c r="Q148" s="458" t="n"/>
      <c r="R148" s="458" t="n"/>
      <c r="S148" s="469" t="n">
        <v>4932</v>
      </c>
      <c r="T148" s="469" t="n">
        <v>1822</v>
      </c>
      <c r="U148" s="458" t="n"/>
      <c r="V148" s="458" t="n"/>
      <c r="W148" s="458" t="n"/>
      <c r="X148" s="469" t="n">
        <v>1452</v>
      </c>
      <c r="Y148" s="469" t="n">
        <v>8206</v>
      </c>
      <c r="Z148" s="458" t="n"/>
      <c r="AA148" s="469" t="n">
        <v>6275</v>
      </c>
      <c r="AB148" s="469" t="n">
        <v>13573</v>
      </c>
      <c r="AC148" s="469" t="n">
        <v>6967</v>
      </c>
      <c r="AD148" s="469" t="n">
        <v>11933</v>
      </c>
      <c r="AE148" s="458" t="n"/>
      <c r="AF148" s="469" t="n">
        <v>11933</v>
      </c>
      <c r="AG148" s="458" t="n"/>
      <c r="AH148" s="469" t="n">
        <v>71541</v>
      </c>
      <c r="AI148" s="469" t="n">
        <v>162088</v>
      </c>
      <c r="AJ148" s="469" t="n">
        <v>233629</v>
      </c>
      <c r="AK148" s="469" t="n">
        <v>349370</v>
      </c>
      <c r="AL148" s="458" t="n"/>
      <c r="AM148" s="468" t="inlineStr">
        <is>
          <t>Link Logistics actual; 2023 RE tax net $53k refund; 2024 normal rate</t>
        </is>
      </c>
      <c r="AN148">
        <f>IF(AND($B148=Subj_OccCode,Subj_BldgSF&gt;0,ABS($J148-Subj_BldgSF)&lt;=Subj_BldgSF*Subj_SizeTol),ABS($J148-Subj_BldgSF),NA())</f>
        <v/>
      </c>
      <c r="AO148">
        <f>IF(ISNA(AN148),NA(),AN148+ROW()/10000000)</f>
        <v/>
      </c>
      <c r="AR148" s="256">
        <f>IF(B148="","",IFERROR(INDEX(OCC_TABLE_DESC,MATCH(B148,OCC_TABLE_CODE,0)),"Unrecognized code"))</f>
        <v/>
      </c>
    </row>
    <row r="149" ht="38.25" customHeight="1" s="545">
      <c r="A149" s="458" t="inlineStr">
        <is>
          <t>P075</t>
        </is>
      </c>
      <c r="B149" s="449" t="n">
        <v>210</v>
      </c>
      <c r="C149" s="458" t="inlineStr">
        <is>
          <t>R0084250</t>
        </is>
      </c>
      <c r="D149" s="468" t="inlineStr">
        <is>
          <t>3250 Abilene Street</t>
        </is>
      </c>
      <c r="E149" s="458" t="inlineStr">
        <is>
          <t>Aurora</t>
        </is>
      </c>
      <c r="F149" s="458" t="inlineStr">
        <is>
          <t>CO</t>
        </is>
      </c>
      <c r="G149" s="458" t="inlineStr">
        <is>
          <t>Industrial</t>
        </is>
      </c>
      <c r="H149" s="468" t="inlineStr">
        <is>
          <t>Multi-Tenant Industrial NNN</t>
        </is>
      </c>
      <c r="I149" s="458" t="n"/>
      <c r="J149" s="458" t="n"/>
      <c r="K149" s="458" t="n">
        <v>2024</v>
      </c>
      <c r="L149" s="469" t="n">
        <v>406844</v>
      </c>
      <c r="M149" s="458" t="n"/>
      <c r="N149" s="469" t="n">
        <v>797212</v>
      </c>
      <c r="O149" s="469" t="n">
        <v>45992</v>
      </c>
      <c r="P149" s="469" t="n">
        <v>6921</v>
      </c>
      <c r="Q149" s="458" t="n"/>
      <c r="R149" s="458" t="n"/>
      <c r="S149" s="469" t="n">
        <v>10380</v>
      </c>
      <c r="T149" s="469" t="n">
        <v>3470</v>
      </c>
      <c r="U149" s="469" t="n">
        <v>2000</v>
      </c>
      <c r="V149" s="458" t="n"/>
      <c r="W149" s="458" t="n"/>
      <c r="X149" s="469" t="n">
        <v>1676</v>
      </c>
      <c r="Y149" s="469" t="n">
        <v>17526</v>
      </c>
      <c r="Z149" s="458" t="n"/>
      <c r="AA149" s="469" t="n">
        <v>8417</v>
      </c>
      <c r="AB149" s="469" t="n">
        <v>30101</v>
      </c>
      <c r="AC149" s="469" t="n">
        <v>8211</v>
      </c>
      <c r="AD149" s="469" t="n">
        <v>12042</v>
      </c>
      <c r="AE149" s="469" t="n">
        <v>3218</v>
      </c>
      <c r="AF149" s="469" t="n">
        <v>15260</v>
      </c>
      <c r="AG149" s="458" t="n"/>
      <c r="AH149" s="469" t="n">
        <v>180865</v>
      </c>
      <c r="AI149" s="469" t="n">
        <v>410137</v>
      </c>
      <c r="AJ149" s="469" t="n">
        <v>591002</v>
      </c>
      <c r="AK149" s="469" t="n">
        <v>206210</v>
      </c>
      <c r="AL149" s="458" t="n"/>
      <c r="AM149" s="468"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256">
        <f>IF(B149="","",IFERROR(INDEX(OCC_TABLE_DESC,MATCH(B149,OCC_TABLE_CODE,0)),"Unrecognized code"))</f>
        <v/>
      </c>
    </row>
    <row r="150" ht="25.5" customHeight="1" s="545">
      <c r="A150" s="458" t="inlineStr">
        <is>
          <t>P075</t>
        </is>
      </c>
      <c r="B150" s="449" t="n">
        <v>210</v>
      </c>
      <c r="C150" s="458" t="inlineStr">
        <is>
          <t>R0084250</t>
        </is>
      </c>
      <c r="D150" s="468" t="inlineStr">
        <is>
          <t>3250 Abilene Street</t>
        </is>
      </c>
      <c r="E150" s="458" t="inlineStr">
        <is>
          <t>Aurora</t>
        </is>
      </c>
      <c r="F150" s="458" t="inlineStr">
        <is>
          <t>CO</t>
        </is>
      </c>
      <c r="G150" s="458" t="inlineStr">
        <is>
          <t>Industrial</t>
        </is>
      </c>
      <c r="H150" s="468" t="inlineStr">
        <is>
          <t>Multi-Tenant Industrial NNN</t>
        </is>
      </c>
      <c r="I150" s="458" t="n"/>
      <c r="J150" s="458" t="n"/>
      <c r="K150" s="458" t="n">
        <v>2023</v>
      </c>
      <c r="L150" s="469" t="n">
        <v>787792</v>
      </c>
      <c r="M150" s="458" t="n"/>
      <c r="N150" s="469" t="n">
        <v>1333856</v>
      </c>
      <c r="O150" s="469" t="n">
        <v>12351</v>
      </c>
      <c r="P150" s="469" t="n">
        <v>13140</v>
      </c>
      <c r="Q150" s="458" t="n"/>
      <c r="R150" s="458" t="n"/>
      <c r="S150" s="469" t="n">
        <v>10370</v>
      </c>
      <c r="T150" s="469" t="n">
        <v>3061</v>
      </c>
      <c r="U150" s="469" t="n">
        <v>0</v>
      </c>
      <c r="V150" s="458" t="n"/>
      <c r="W150" s="458" t="n"/>
      <c r="X150" s="469" t="n">
        <v>1572</v>
      </c>
      <c r="Y150" s="469" t="n">
        <v>15003</v>
      </c>
      <c r="Z150" s="458" t="n"/>
      <c r="AA150" s="469" t="n">
        <v>24879</v>
      </c>
      <c r="AB150" s="469" t="n">
        <v>16871</v>
      </c>
      <c r="AC150" s="469" t="n">
        <v>7678</v>
      </c>
      <c r="AD150" s="469" t="n">
        <v>12785</v>
      </c>
      <c r="AE150" s="458" t="n"/>
      <c r="AF150" s="469" t="n">
        <v>12785</v>
      </c>
      <c r="AG150" s="458" t="n"/>
      <c r="AH150" s="469" t="n">
        <v>123031</v>
      </c>
      <c r="AI150" s="469" t="n">
        <v>409295</v>
      </c>
      <c r="AJ150" s="469" t="n">
        <v>532326</v>
      </c>
      <c r="AK150" s="469" t="n">
        <v>801530</v>
      </c>
      <c r="AL150" s="458" t="n"/>
      <c r="AM150" s="468" t="inlineStr">
        <is>
          <t>Link Logistics actual; 2023 stable; 2024 ins inflated by $25k deductible</t>
        </is>
      </c>
      <c r="AN150">
        <f>IF(AND($B150=Subj_OccCode,Subj_BldgSF&gt;0,ABS($J150-Subj_BldgSF)&lt;=Subj_BldgSF*Subj_SizeTol),ABS($J150-Subj_BldgSF),NA())</f>
        <v/>
      </c>
      <c r="AO150">
        <f>IF(ISNA(AN150),NA(),AN150+ROW()/10000000)</f>
        <v/>
      </c>
      <c r="AR150" s="256">
        <f>IF(B150="","",IFERROR(INDEX(OCC_TABLE_DESC,MATCH(B150,OCC_TABLE_CODE,0)),"Unrecognized code"))</f>
        <v/>
      </c>
    </row>
    <row r="151" ht="25.5" customHeight="1" s="545">
      <c r="A151" s="458" t="inlineStr">
        <is>
          <t>P076</t>
        </is>
      </c>
      <c r="B151" s="449" t="n">
        <v>210</v>
      </c>
      <c r="C151" s="458" t="inlineStr">
        <is>
          <t>R0084253</t>
        </is>
      </c>
      <c r="D151" s="468" t="inlineStr">
        <is>
          <t>14509 E 33rd Place</t>
        </is>
      </c>
      <c r="E151" s="458" t="inlineStr">
        <is>
          <t>Aurora</t>
        </is>
      </c>
      <c r="F151" s="458" t="inlineStr">
        <is>
          <t>CO</t>
        </is>
      </c>
      <c r="G151" s="458" t="inlineStr">
        <is>
          <t>Industrial</t>
        </is>
      </c>
      <c r="H151" s="468" t="inlineStr">
        <is>
          <t>Multi-Tenant Industrial NNN</t>
        </is>
      </c>
      <c r="I151" s="458" t="n"/>
      <c r="J151" s="458" t="n"/>
      <c r="K151" s="458" t="n">
        <v>2024</v>
      </c>
      <c r="L151" s="469" t="n">
        <v>987101</v>
      </c>
      <c r="M151" s="458" t="n"/>
      <c r="N151" s="469" t="n">
        <v>1613814</v>
      </c>
      <c r="O151" s="469" t="n">
        <v>26027</v>
      </c>
      <c r="P151" s="469" t="n">
        <v>17785</v>
      </c>
      <c r="Q151" s="458" t="n"/>
      <c r="R151" s="458" t="n"/>
      <c r="S151" s="469" t="n">
        <v>9496</v>
      </c>
      <c r="T151" s="469" t="n">
        <v>2104</v>
      </c>
      <c r="U151" s="458" t="n"/>
      <c r="V151" s="458" t="n"/>
      <c r="W151" s="458" t="n"/>
      <c r="X151" s="469" t="n">
        <v>1676</v>
      </c>
      <c r="Y151" s="469" t="n">
        <v>13276</v>
      </c>
      <c r="Z151" s="458" t="n"/>
      <c r="AA151" s="469" t="n">
        <v>11885</v>
      </c>
      <c r="AB151" s="469" t="n">
        <v>37419</v>
      </c>
      <c r="AC151" s="469" t="n">
        <v>5705</v>
      </c>
      <c r="AD151" s="469" t="n">
        <v>39182</v>
      </c>
      <c r="AE151" s="469" t="n">
        <v>1573</v>
      </c>
      <c r="AF151" s="469" t="n">
        <v>40755</v>
      </c>
      <c r="AG151" s="458" t="n"/>
      <c r="AH151" s="469" t="n">
        <v>178810</v>
      </c>
      <c r="AI151" s="469" t="n">
        <v>442744</v>
      </c>
      <c r="AJ151" s="469" t="n">
        <v>621554</v>
      </c>
      <c r="AK151" s="469" t="n">
        <v>992260</v>
      </c>
      <c r="AL151" s="458" t="n"/>
      <c r="AM151" s="468" t="inlineStr">
        <is>
          <t>Link Logistics actual; 2023 security includes one-time $54k</t>
        </is>
      </c>
      <c r="AN151">
        <f>IF(AND($B151=Subj_OccCode,Subj_BldgSF&gt;0,ABS($J151-Subj_BldgSF)&lt;=Subj_BldgSF*Subj_SizeTol),ABS($J151-Subj_BldgSF),NA())</f>
        <v/>
      </c>
      <c r="AO151">
        <f>IF(ISNA(AN151),NA(),AN151+ROW()/10000000)</f>
        <v/>
      </c>
      <c r="AR151" s="256">
        <f>IF(B151="","",IFERROR(INDEX(OCC_TABLE_DESC,MATCH(B151,OCC_TABLE_CODE,0)),"Unrecognized code"))</f>
        <v/>
      </c>
    </row>
    <row r="152" ht="25.5" customHeight="1" s="545">
      <c r="A152" s="458" t="inlineStr">
        <is>
          <t>P076</t>
        </is>
      </c>
      <c r="B152" s="449" t="n">
        <v>210</v>
      </c>
      <c r="C152" s="458" t="inlineStr">
        <is>
          <t>R0084253</t>
        </is>
      </c>
      <c r="D152" s="468" t="inlineStr">
        <is>
          <t>14509 E 33rd Place</t>
        </is>
      </c>
      <c r="E152" s="458" t="inlineStr">
        <is>
          <t>Aurora</t>
        </is>
      </c>
      <c r="F152" s="458" t="inlineStr">
        <is>
          <t>CO</t>
        </is>
      </c>
      <c r="G152" s="458" t="inlineStr">
        <is>
          <t>Industrial</t>
        </is>
      </c>
      <c r="H152" s="468" t="inlineStr">
        <is>
          <t>Multi-Tenant Industrial NNN</t>
        </is>
      </c>
      <c r="I152" s="458" t="n"/>
      <c r="J152" s="458" t="n"/>
      <c r="K152" s="458" t="n">
        <v>2023</v>
      </c>
      <c r="L152" s="469" t="n">
        <v>932587</v>
      </c>
      <c r="M152" s="458" t="n"/>
      <c r="N152" s="469" t="n">
        <v>1610926</v>
      </c>
      <c r="O152" s="469" t="n">
        <v>12903</v>
      </c>
      <c r="P152" s="469" t="n">
        <v>15271</v>
      </c>
      <c r="Q152" s="458" t="n"/>
      <c r="R152" s="458" t="n"/>
      <c r="S152" s="469" t="n">
        <v>16438</v>
      </c>
      <c r="T152" s="469" t="n">
        <v>17000</v>
      </c>
      <c r="U152" s="458" t="n"/>
      <c r="V152" s="458" t="n"/>
      <c r="W152" s="458" t="n"/>
      <c r="X152" s="469" t="n">
        <v>1572</v>
      </c>
      <c r="Y152" s="469" t="n">
        <v>35010</v>
      </c>
      <c r="Z152" s="458" t="n"/>
      <c r="AA152" s="469" t="n">
        <v>11941</v>
      </c>
      <c r="AB152" s="469" t="n">
        <v>21409</v>
      </c>
      <c r="AC152" s="469" t="n">
        <v>54490</v>
      </c>
      <c r="AD152" s="469" t="n">
        <v>34733</v>
      </c>
      <c r="AE152" s="469" t="n">
        <v>1638</v>
      </c>
      <c r="AF152" s="469" t="n">
        <v>36371</v>
      </c>
      <c r="AG152" s="458" t="n"/>
      <c r="AH152" s="469" t="n">
        <v>211012</v>
      </c>
      <c r="AI152" s="469" t="n">
        <v>441491</v>
      </c>
      <c r="AJ152" s="469" t="n">
        <v>652503</v>
      </c>
      <c r="AK152" s="469" t="n">
        <v>958423</v>
      </c>
      <c r="AL152" s="458" t="n"/>
      <c r="AM152" s="468" t="inlineStr">
        <is>
          <t>Link Logistics actual; 2023 security includes one-time $54k</t>
        </is>
      </c>
      <c r="AN152">
        <f>IF(AND($B152=Subj_OccCode,Subj_BldgSF&gt;0,ABS($J152-Subj_BldgSF)&lt;=Subj_BldgSF*Subj_SizeTol),ABS($J152-Subj_BldgSF),NA())</f>
        <v/>
      </c>
      <c r="AO152">
        <f>IF(ISNA(AN152),NA(),AN152+ROW()/10000000)</f>
        <v/>
      </c>
      <c r="AR152" s="256">
        <f>IF(B152="","",IFERROR(INDEX(OCC_TABLE_DESC,MATCH(B152,OCC_TABLE_CODE,0)),"Unrecognized code"))</f>
        <v/>
      </c>
    </row>
    <row r="153" ht="25.5" customHeight="1" s="545">
      <c r="A153" s="458" t="inlineStr">
        <is>
          <t>P077</t>
        </is>
      </c>
      <c r="B153" s="449" t="n">
        <v>210</v>
      </c>
      <c r="C153" s="458" t="inlineStr">
        <is>
          <t>R0084253</t>
        </is>
      </c>
      <c r="D153" s="468" t="inlineStr">
        <is>
          <t>14704 E 33rd Place</t>
        </is>
      </c>
      <c r="E153" s="458" t="inlineStr">
        <is>
          <t>Aurora</t>
        </is>
      </c>
      <c r="F153" s="458" t="inlineStr">
        <is>
          <t>CO</t>
        </is>
      </c>
      <c r="G153" s="458" t="inlineStr">
        <is>
          <t>Industrial</t>
        </is>
      </c>
      <c r="H153" s="468" t="inlineStr">
        <is>
          <t>Multi-Tenant Industrial NNN</t>
        </is>
      </c>
      <c r="I153" s="458" t="n"/>
      <c r="J153" s="458" t="n"/>
      <c r="K153" s="458" t="n">
        <v>2024</v>
      </c>
      <c r="L153" s="469" t="n">
        <v>977394</v>
      </c>
      <c r="M153" s="458" t="n"/>
      <c r="N153" s="469" t="n">
        <v>1537076</v>
      </c>
      <c r="O153" s="469" t="n">
        <v>12170</v>
      </c>
      <c r="P153" s="469" t="n">
        <v>17077</v>
      </c>
      <c r="Q153" s="458" t="n"/>
      <c r="R153" s="458" t="n"/>
      <c r="S153" s="469" t="n">
        <v>10377</v>
      </c>
      <c r="T153" s="469" t="n">
        <v>1760</v>
      </c>
      <c r="U153" s="469" t="n">
        <v>265</v>
      </c>
      <c r="V153" s="458" t="n"/>
      <c r="W153" s="458" t="n"/>
      <c r="X153" s="469" t="n">
        <v>1636</v>
      </c>
      <c r="Y153" s="469" t="n">
        <v>13036</v>
      </c>
      <c r="Z153" s="458" t="n"/>
      <c r="AA153" s="469" t="n">
        <v>10043</v>
      </c>
      <c r="AB153" s="469" t="n">
        <v>41626</v>
      </c>
      <c r="AC153" s="469" t="n">
        <v>5705</v>
      </c>
      <c r="AD153" s="469" t="n">
        <v>19336</v>
      </c>
      <c r="AE153" s="469" t="n">
        <v>2462</v>
      </c>
      <c r="AF153" s="469" t="n">
        <v>21798</v>
      </c>
      <c r="AG153" s="458" t="n"/>
      <c r="AH153" s="469" t="n">
        <v>228019</v>
      </c>
      <c r="AI153" s="469" t="n">
        <v>364330</v>
      </c>
      <c r="AJ153" s="469" t="n">
        <v>592349</v>
      </c>
      <c r="AK153" s="469" t="n">
        <v>944727</v>
      </c>
      <c r="AL153" s="458" t="n"/>
      <c r="AM153" s="468" t="inlineStr">
        <is>
          <t>Link Logistics 2024; partial vacancy (elec/gas $124k); NOI understated excl vacancy costs</t>
        </is>
      </c>
      <c r="AN153">
        <f>IF(AND($B153=Subj_OccCode,Subj_BldgSF&gt;0,ABS($J153-Subj_BldgSF)&lt;=Subj_BldgSF*Subj_SizeTol),ABS($J153-Subj_BldgSF),NA())</f>
        <v/>
      </c>
      <c r="AO153">
        <f>IF(ISNA(AN153),NA(),AN153+ROW()/10000000)</f>
        <v/>
      </c>
      <c r="AR153" s="256">
        <f>IF(B153="","",IFERROR(INDEX(OCC_TABLE_DESC,MATCH(B153,OCC_TABLE_CODE,0)),"Unrecognized code"))</f>
        <v/>
      </c>
    </row>
    <row r="154" ht="25.5" customHeight="1" s="545">
      <c r="A154" s="458" t="inlineStr">
        <is>
          <t>P078</t>
        </is>
      </c>
      <c r="B154" s="449" t="n">
        <v>210</v>
      </c>
      <c r="C154" s="458" t="inlineStr">
        <is>
          <t>R0084253</t>
        </is>
      </c>
      <c r="D154" s="468" t="inlineStr">
        <is>
          <t>14705 E 33rd Place</t>
        </is>
      </c>
      <c r="E154" s="458" t="inlineStr">
        <is>
          <t>Aurora</t>
        </is>
      </c>
      <c r="F154" s="458" t="inlineStr">
        <is>
          <t>CO</t>
        </is>
      </c>
      <c r="G154" s="458" t="inlineStr">
        <is>
          <t>Industrial</t>
        </is>
      </c>
      <c r="H154" s="468" t="inlineStr">
        <is>
          <t>Multi-Tenant Industrial NNN</t>
        </is>
      </c>
      <c r="I154" s="458" t="n"/>
      <c r="J154" s="458" t="n"/>
      <c r="K154" s="458" t="n">
        <v>2024</v>
      </c>
      <c r="L154" s="469" t="n">
        <v>436928</v>
      </c>
      <c r="M154" s="458" t="n"/>
      <c r="N154" s="469" t="n">
        <v>714461</v>
      </c>
      <c r="O154" s="469" t="n">
        <v>6456</v>
      </c>
      <c r="P154" s="469" t="n">
        <v>6962</v>
      </c>
      <c r="Q154" s="458" t="n"/>
      <c r="R154" s="458" t="n"/>
      <c r="S154" s="469" t="n">
        <v>6889</v>
      </c>
      <c r="T154" s="469" t="n">
        <v>1125</v>
      </c>
      <c r="U154" s="469" t="n">
        <v>285</v>
      </c>
      <c r="V154" s="458" t="n"/>
      <c r="W154" s="458" t="n"/>
      <c r="X154" s="469" t="n">
        <v>1546</v>
      </c>
      <c r="Y154" s="469" t="n">
        <v>9845</v>
      </c>
      <c r="Z154" s="458" t="n"/>
      <c r="AA154" s="469" t="n">
        <v>6931</v>
      </c>
      <c r="AB154" s="469" t="n">
        <v>27052</v>
      </c>
      <c r="AC154" s="469" t="n">
        <v>5705</v>
      </c>
      <c r="AD154" s="458" t="n"/>
      <c r="AE154" s="469" t="n">
        <v>929</v>
      </c>
      <c r="AF154" s="469" t="n">
        <v>929</v>
      </c>
      <c r="AG154" s="458" t="n"/>
      <c r="AH154" s="469" t="n">
        <v>77944</v>
      </c>
      <c r="AI154" s="469" t="n">
        <v>188633</v>
      </c>
      <c r="AJ154" s="469" t="n">
        <v>266577</v>
      </c>
      <c r="AK154" s="469" t="n">
        <v>447884</v>
      </c>
      <c r="AL154" s="458" t="n"/>
      <c r="AM154" s="468" t="inlineStr">
        <is>
          <t>Link Logistics 2024; partial free rent ($38k); lease-up period</t>
        </is>
      </c>
      <c r="AN154">
        <f>IF(AND($B154=Subj_OccCode,Subj_BldgSF&gt;0,ABS($J154-Subj_BldgSF)&lt;=Subj_BldgSF*Subj_SizeTol),ABS($J154-Subj_BldgSF),NA())</f>
        <v/>
      </c>
      <c r="AO154">
        <f>IF(ISNA(AN154),NA(),AN154+ROW()/10000000)</f>
        <v/>
      </c>
      <c r="AR154" s="256">
        <f>IF(B154="","",IFERROR(INDEX(OCC_TABLE_DESC,MATCH(B154,OCC_TABLE_CODE,0)),"Unrecognized code"))</f>
        <v/>
      </c>
    </row>
    <row r="155" ht="25.5" customHeight="1" s="545">
      <c r="A155" s="458" t="inlineStr">
        <is>
          <t>P079</t>
        </is>
      </c>
      <c r="B155" s="449" t="n">
        <v>584</v>
      </c>
      <c r="C155" s="458" t="inlineStr">
        <is>
          <t>R0086214</t>
        </is>
      </c>
      <c r="D155" s="468" t="inlineStr">
        <is>
          <t>Aurora Warehouse (Polar)</t>
        </is>
      </c>
      <c r="E155" s="458" t="inlineStr">
        <is>
          <t>Aurora</t>
        </is>
      </c>
      <c r="F155" s="458" t="inlineStr">
        <is>
          <t>CO</t>
        </is>
      </c>
      <c r="G155" s="458" t="inlineStr">
        <is>
          <t>Industrial</t>
        </is>
      </c>
      <c r="H155" s="468" t="inlineStr">
        <is>
          <t>Mega Warehouse NNN</t>
        </is>
      </c>
      <c r="I155" s="458" t="n"/>
      <c r="J155" s="458" t="n"/>
      <c r="K155" s="458" t="n">
        <v>2024</v>
      </c>
      <c r="L155" s="469" t="n">
        <v>3771986</v>
      </c>
      <c r="M155" s="458" t="n"/>
      <c r="N155" s="469" t="n">
        <v>7045455</v>
      </c>
      <c r="O155" s="469" t="n">
        <v>83764</v>
      </c>
      <c r="P155" s="469" t="n">
        <v>67999</v>
      </c>
      <c r="Q155" s="458" t="n"/>
      <c r="R155" s="458" t="n"/>
      <c r="S155" s="458" t="n"/>
      <c r="T155" s="458" t="n"/>
      <c r="U155" s="458" t="n"/>
      <c r="V155" s="458" t="n"/>
      <c r="W155" s="458" t="n"/>
      <c r="X155" s="469" t="n">
        <v>5829</v>
      </c>
      <c r="Y155" s="469" t="n">
        <v>5829</v>
      </c>
      <c r="Z155" s="458" t="n"/>
      <c r="AA155" s="458" t="n"/>
      <c r="AB155" s="458" t="n"/>
      <c r="AC155" s="458" t="n"/>
      <c r="AD155" s="458" t="n"/>
      <c r="AE155" s="458" t="n"/>
      <c r="AF155" s="458" t="n"/>
      <c r="AG155" s="458" t="n"/>
      <c r="AH155" s="469" t="n">
        <v>381011</v>
      </c>
      <c r="AI155" s="469" t="n">
        <v>2407392</v>
      </c>
      <c r="AJ155" s="469" t="n">
        <v>2788403</v>
      </c>
      <c r="AK155" s="469" t="n">
        <v>4257052</v>
      </c>
      <c r="AL155" s="458" t="n"/>
      <c r="AM155" s="468" t="inlineStr">
        <is>
          <t>Link Logistics; very large – RE tax $2.2-2.4M; minimal CAM (near-absolute NNN); SF not confirmed</t>
        </is>
      </c>
      <c r="AN155">
        <f>IF(AND($B155=Subj_OccCode,Subj_BldgSF&gt;0,ABS($J155-Subj_BldgSF)&lt;=Subj_BldgSF*Subj_SizeTol),ABS($J155-Subj_BldgSF),NA())</f>
        <v/>
      </c>
      <c r="AO155">
        <f>IF(ISNA(AN155),NA(),AN155+ROW()/10000000)</f>
        <v/>
      </c>
      <c r="AR155" s="256">
        <f>IF(B155="","",IFERROR(INDEX(OCC_TABLE_DESC,MATCH(B155,OCC_TABLE_CODE,0)),"Unrecognized code"))</f>
        <v/>
      </c>
    </row>
    <row r="156" ht="25.5" customHeight="1" s="545">
      <c r="A156" s="458" t="inlineStr">
        <is>
          <t>P079</t>
        </is>
      </c>
      <c r="B156" s="449" t="n">
        <v>584</v>
      </c>
      <c r="C156" s="458" t="inlineStr">
        <is>
          <t>R0086214</t>
        </is>
      </c>
      <c r="D156" s="468" t="inlineStr">
        <is>
          <t>Aurora Warehouse (Polar)</t>
        </is>
      </c>
      <c r="E156" s="458" t="inlineStr">
        <is>
          <t>Aurora</t>
        </is>
      </c>
      <c r="F156" s="458" t="inlineStr">
        <is>
          <t>CO</t>
        </is>
      </c>
      <c r="G156" s="458" t="inlineStr">
        <is>
          <t>Industrial</t>
        </is>
      </c>
      <c r="H156" s="468" t="inlineStr">
        <is>
          <t>Mega Warehouse NNN</t>
        </is>
      </c>
      <c r="I156" s="458" t="n"/>
      <c r="J156" s="458" t="n"/>
      <c r="K156" s="458" t="n">
        <v>2023</v>
      </c>
      <c r="L156" s="469" t="n">
        <v>3679986</v>
      </c>
      <c r="M156" s="458" t="n"/>
      <c r="N156" s="469" t="n">
        <v>6546351</v>
      </c>
      <c r="O156" s="469" t="n">
        <v>60105</v>
      </c>
      <c r="P156" s="469" t="n">
        <v>54144</v>
      </c>
      <c r="Q156" s="458" t="n"/>
      <c r="R156" s="458" t="n"/>
      <c r="S156" s="458" t="n"/>
      <c r="T156" s="458" t="n"/>
      <c r="U156" s="458" t="n"/>
      <c r="V156" s="458" t="n"/>
      <c r="W156" s="458" t="n"/>
      <c r="X156" s="469" t="n">
        <v>4184</v>
      </c>
      <c r="Y156" s="469" t="n">
        <v>4184</v>
      </c>
      <c r="Z156" s="458" t="n"/>
      <c r="AA156" s="458" t="n"/>
      <c r="AB156" s="458" t="n"/>
      <c r="AC156" s="458" t="n"/>
      <c r="AD156" s="458" t="n"/>
      <c r="AE156" s="458" t="n"/>
      <c r="AF156" s="458" t="n"/>
      <c r="AG156" s="458" t="n"/>
      <c r="AH156" s="469" t="n">
        <v>101213</v>
      </c>
      <c r="AI156" s="469" t="n">
        <v>2175995</v>
      </c>
      <c r="AJ156" s="469" t="n">
        <v>2277208</v>
      </c>
      <c r="AK156" s="469" t="n">
        <v>4269143</v>
      </c>
      <c r="AL156" s="458" t="n"/>
      <c r="AM156" s="468" t="inlineStr">
        <is>
          <t>Link Logistics; very large – RE tax $2.2-2.4M; minimal CAM (near-absolute NNN); SF not confirmed</t>
        </is>
      </c>
      <c r="AN156">
        <f>IF(AND($B156=Subj_OccCode,Subj_BldgSF&gt;0,ABS($J156-Subj_BldgSF)&lt;=Subj_BldgSF*Subj_SizeTol),ABS($J156-Subj_BldgSF),NA())</f>
        <v/>
      </c>
      <c r="AO156">
        <f>IF(ISNA(AN156),NA(),AN156+ROW()/10000000)</f>
        <v/>
      </c>
      <c r="AR156" s="256">
        <f>IF(B156="","",IFERROR(INDEX(OCC_TABLE_DESC,MATCH(B156,OCC_TABLE_CODE,0)),"Unrecognized code"))</f>
        <v/>
      </c>
    </row>
    <row r="157" ht="25.5" customHeight="1" s="545">
      <c r="A157" s="458" t="inlineStr">
        <is>
          <t>P080</t>
        </is>
      </c>
      <c r="B157" s="449" t="n">
        <v>407</v>
      </c>
      <c r="C157" s="458" t="inlineStr">
        <is>
          <t>R0194277</t>
        </is>
      </c>
      <c r="D157" s="468" t="inlineStr">
        <is>
          <t>8251 Quintero St</t>
        </is>
      </c>
      <c r="E157" s="458" t="inlineStr">
        <is>
          <t>Commerce City</t>
        </is>
      </c>
      <c r="F157" s="458" t="inlineStr">
        <is>
          <t>CO</t>
        </is>
      </c>
      <c r="G157" s="458" t="inlineStr">
        <is>
          <t>Industrial</t>
        </is>
      </c>
      <c r="H157" s="468" t="inlineStr">
        <is>
          <t>Industrial Warehouse NNN</t>
        </is>
      </c>
      <c r="I157" s="458" t="n"/>
      <c r="J157" s="458" t="n"/>
      <c r="K157" s="458" t="n">
        <v>2024</v>
      </c>
      <c r="L157" s="469" t="n">
        <v>2966529</v>
      </c>
      <c r="M157" s="458" t="n"/>
      <c r="N157" s="469" t="n">
        <v>7433451</v>
      </c>
      <c r="O157" s="469" t="n">
        <v>32539</v>
      </c>
      <c r="P157" s="469" t="n">
        <v>86633</v>
      </c>
      <c r="Q157" s="458" t="n"/>
      <c r="R157" s="458" t="n"/>
      <c r="S157" s="469" t="n">
        <v>21784</v>
      </c>
      <c r="T157" s="458" t="n"/>
      <c r="U157" s="458" t="n"/>
      <c r="V157" s="458" t="n"/>
      <c r="W157" s="458" t="n"/>
      <c r="X157" s="458" t="n"/>
      <c r="Y157" s="469" t="n">
        <v>21784</v>
      </c>
      <c r="Z157" s="458" t="n"/>
      <c r="AA157" s="469" t="n">
        <v>30810</v>
      </c>
      <c r="AB157" s="469" t="n">
        <v>188483</v>
      </c>
      <c r="AC157" s="458" t="n"/>
      <c r="AD157" s="469" t="n">
        <v>29080</v>
      </c>
      <c r="AE157" s="458" t="n"/>
      <c r="AF157" s="469" t="n">
        <v>29080</v>
      </c>
      <c r="AG157" s="458" t="n"/>
      <c r="AH157" s="469" t="n">
        <v>1433299</v>
      </c>
      <c r="AI157" s="469" t="n">
        <v>3137254</v>
      </c>
      <c r="AJ157" s="469" t="n">
        <v>4570553</v>
      </c>
      <c r="AK157" s="469" t="n">
        <v>2862898</v>
      </c>
      <c r="AL157" s="458" t="n"/>
      <c r="AM157" s="468" t="inlineStr">
        <is>
          <t>Becknell Industrial; 2024 EGI/OPX inflated by $967k PY RE tax true-up; normalized NOI ~$2.86M</t>
        </is>
      </c>
      <c r="AN157">
        <f>IF(AND($B157=Subj_OccCode,Subj_BldgSF&gt;0,ABS($J157-Subj_BldgSF)&lt;=Subj_BldgSF*Subj_SizeTol),ABS($J157-Subj_BldgSF),NA())</f>
        <v/>
      </c>
      <c r="AO157">
        <f>IF(ISNA(AN157),NA(),AN157+ROW()/10000000)</f>
        <v/>
      </c>
      <c r="AR157" s="256">
        <f>IF(B157="","",IFERROR(INDEX(OCC_TABLE_DESC,MATCH(B157,OCC_TABLE_CODE,0)),"Unrecognized code"))</f>
        <v/>
      </c>
    </row>
    <row r="158" ht="12.75" customHeight="1" s="545">
      <c r="A158" s="458" t="inlineStr">
        <is>
          <t>P080</t>
        </is>
      </c>
      <c r="B158" s="449" t="n">
        <v>407</v>
      </c>
      <c r="C158" s="458" t="inlineStr">
        <is>
          <t>R0194277</t>
        </is>
      </c>
      <c r="D158" s="468" t="inlineStr">
        <is>
          <t>8251 Quintero St</t>
        </is>
      </c>
      <c r="E158" s="458" t="inlineStr">
        <is>
          <t>Commerce City</t>
        </is>
      </c>
      <c r="F158" s="458" t="inlineStr">
        <is>
          <t>CO</t>
        </is>
      </c>
      <c r="G158" s="458" t="inlineStr">
        <is>
          <t>Industrial</t>
        </is>
      </c>
      <c r="H158" s="468" t="inlineStr">
        <is>
          <t>Industrial Warehouse NNN</t>
        </is>
      </c>
      <c r="I158" s="458" t="n"/>
      <c r="J158" s="458" t="n"/>
      <c r="K158" s="458" t="n">
        <v>2023</v>
      </c>
      <c r="L158" s="469" t="n">
        <v>2897673</v>
      </c>
      <c r="M158" s="458" t="n"/>
      <c r="N158" s="469" t="n">
        <v>5335437</v>
      </c>
      <c r="O158" s="469" t="n">
        <v>29390</v>
      </c>
      <c r="P158" s="469" t="n">
        <v>83488</v>
      </c>
      <c r="Q158" s="458" t="n"/>
      <c r="R158" s="458" t="n"/>
      <c r="S158" s="469" t="n">
        <v>35137</v>
      </c>
      <c r="T158" s="458" t="n"/>
      <c r="U158" s="458" t="n"/>
      <c r="V158" s="458" t="n"/>
      <c r="W158" s="458" t="n"/>
      <c r="X158" s="458" t="n"/>
      <c r="Y158" s="469" t="n">
        <v>35137</v>
      </c>
      <c r="Z158" s="458" t="n"/>
      <c r="AA158" s="469" t="n">
        <v>33419</v>
      </c>
      <c r="AB158" s="469" t="n">
        <v>151223</v>
      </c>
      <c r="AC158" s="458" t="n"/>
      <c r="AD158" s="469" t="n">
        <v>24034</v>
      </c>
      <c r="AE158" s="458" t="n"/>
      <c r="AF158" s="469" t="n">
        <v>24034</v>
      </c>
      <c r="AG158" s="458" t="n"/>
      <c r="AH158" s="469" t="n">
        <v>541522</v>
      </c>
      <c r="AI158" s="469" t="n">
        <v>2045093</v>
      </c>
      <c r="AJ158" s="469" t="n">
        <v>2586615</v>
      </c>
      <c r="AK158" s="469" t="n">
        <v>2748822</v>
      </c>
      <c r="AL158" s="458" t="n"/>
      <c r="AM158" s="468" t="inlineStr">
        <is>
          <t>Becknell Industrial; actual accrual</t>
        </is>
      </c>
      <c r="AN158">
        <f>IF(AND($B158=Subj_OccCode,Subj_BldgSF&gt;0,ABS($J158-Subj_BldgSF)&lt;=Subj_BldgSF*Subj_SizeTol),ABS($J158-Subj_BldgSF),NA())</f>
        <v/>
      </c>
      <c r="AO158">
        <f>IF(ISNA(AN158),NA(),AN158+ROW()/10000000)</f>
        <v/>
      </c>
      <c r="AR158" s="256">
        <f>IF(B158="","",IFERROR(INDEX(OCC_TABLE_DESC,MATCH(B158,OCC_TABLE_CODE,0)),"Unrecognized code"))</f>
        <v/>
      </c>
    </row>
    <row r="159" ht="25.5" customHeight="1" s="545">
      <c r="A159" s="458" t="inlineStr">
        <is>
          <t>P081</t>
        </is>
      </c>
      <c r="B159" s="449" t="n">
        <v>407</v>
      </c>
      <c r="C159" s="458" t="inlineStr">
        <is>
          <t>R0198176</t>
        </is>
      </c>
      <c r="D159" s="468" t="inlineStr">
        <is>
          <t>21800 E 19th Ave</t>
        </is>
      </c>
      <c r="E159" s="458" t="inlineStr">
        <is>
          <t>Aurora</t>
        </is>
      </c>
      <c r="F159" s="458" t="inlineStr">
        <is>
          <t>CO</t>
        </is>
      </c>
      <c r="G159" s="458" t="inlineStr">
        <is>
          <t>Industrial</t>
        </is>
      </c>
      <c r="H159" s="468" t="inlineStr">
        <is>
          <t>Industrial Warehouse NNN</t>
        </is>
      </c>
      <c r="I159" s="458" t="n"/>
      <c r="J159" s="458" t="n"/>
      <c r="K159" s="458" t="n">
        <v>2024</v>
      </c>
      <c r="L159" s="469" t="n">
        <v>1502445</v>
      </c>
      <c r="M159" s="458" t="n"/>
      <c r="N159" s="469" t="n">
        <v>1698847</v>
      </c>
      <c r="O159" s="469" t="n">
        <v>18279</v>
      </c>
      <c r="P159" s="469" t="n">
        <v>45073</v>
      </c>
      <c r="Q159" s="458" t="n"/>
      <c r="R159" s="458" t="n"/>
      <c r="S159" s="469" t="n">
        <v>14583</v>
      </c>
      <c r="T159" s="458" t="n"/>
      <c r="U159" s="458" t="n"/>
      <c r="V159" s="458" t="n"/>
      <c r="W159" s="458" t="n"/>
      <c r="X159" s="458" t="n"/>
      <c r="Y159" s="469" t="n">
        <v>14583</v>
      </c>
      <c r="Z159" s="458" t="n"/>
      <c r="AA159" s="469" t="n">
        <v>30156</v>
      </c>
      <c r="AB159" s="469" t="n">
        <v>117922</v>
      </c>
      <c r="AC159" s="458" t="n"/>
      <c r="AD159" s="458" t="n"/>
      <c r="AE159" s="458" t="n"/>
      <c r="AF159" s="458" t="n"/>
      <c r="AG159" s="458" t="n"/>
      <c r="AH159" s="469" t="n">
        <v>268829</v>
      </c>
      <c r="AI159" s="469" t="n">
        <v>0</v>
      </c>
      <c r="AJ159" s="469" t="n">
        <v>268829</v>
      </c>
      <c r="AK159" s="469" t="n">
        <v>1430018</v>
      </c>
      <c r="AL159" s="458" t="n"/>
      <c r="AM159" s="468" t="inlineStr">
        <is>
          <t>Becknell; absolute NNN – tenant pays RE taxes directly; opex = CAM only</t>
        </is>
      </c>
      <c r="AN159">
        <f>IF(AND($B159=Subj_OccCode,Subj_BldgSF&gt;0,ABS($J159-Subj_BldgSF)&lt;=Subj_BldgSF*Subj_SizeTol),ABS($J159-Subj_BldgSF),NA())</f>
        <v/>
      </c>
      <c r="AO159">
        <f>IF(ISNA(AN159),NA(),AN159+ROW()/10000000)</f>
        <v/>
      </c>
      <c r="AR159" s="256">
        <f>IF(B159="","",IFERROR(INDEX(OCC_TABLE_DESC,MATCH(B159,OCC_TABLE_CODE,0)),"Unrecognized code"))</f>
        <v/>
      </c>
    </row>
    <row r="160" ht="25.5" customHeight="1" s="545">
      <c r="A160" s="458" t="inlineStr">
        <is>
          <t>P081</t>
        </is>
      </c>
      <c r="B160" s="449" t="n">
        <v>407</v>
      </c>
      <c r="C160" s="458" t="inlineStr">
        <is>
          <t>R0198176</t>
        </is>
      </c>
      <c r="D160" s="468" t="inlineStr">
        <is>
          <t>21800 E 19th Ave</t>
        </is>
      </c>
      <c r="E160" s="458" t="inlineStr">
        <is>
          <t>Aurora</t>
        </is>
      </c>
      <c r="F160" s="458" t="inlineStr">
        <is>
          <t>CO</t>
        </is>
      </c>
      <c r="G160" s="458" t="inlineStr">
        <is>
          <t>Industrial</t>
        </is>
      </c>
      <c r="H160" s="468" t="inlineStr">
        <is>
          <t>Industrial Warehouse NNN</t>
        </is>
      </c>
      <c r="I160" s="458" t="n"/>
      <c r="J160" s="458" t="n"/>
      <c r="K160" s="458" t="n">
        <v>2023</v>
      </c>
      <c r="L160" s="469" t="n">
        <v>1458685</v>
      </c>
      <c r="M160" s="458" t="n"/>
      <c r="N160" s="469" t="n">
        <v>1647477</v>
      </c>
      <c r="O160" s="469" t="n">
        <v>15865</v>
      </c>
      <c r="P160" s="469" t="n">
        <v>43761</v>
      </c>
      <c r="Q160" s="458" t="n"/>
      <c r="R160" s="458" t="n"/>
      <c r="S160" s="469" t="n">
        <v>12850</v>
      </c>
      <c r="T160" s="458" t="n"/>
      <c r="U160" s="458" t="n"/>
      <c r="V160" s="458" t="n"/>
      <c r="W160" s="458" t="n"/>
      <c r="X160" s="458" t="n"/>
      <c r="Y160" s="469" t="n">
        <v>12850</v>
      </c>
      <c r="Z160" s="458" t="n"/>
      <c r="AA160" s="469" t="n">
        <v>31555</v>
      </c>
      <c r="AB160" s="469" t="n">
        <v>112261</v>
      </c>
      <c r="AC160" s="458" t="n"/>
      <c r="AD160" s="458" t="n"/>
      <c r="AE160" s="458" t="n"/>
      <c r="AF160" s="458" t="n"/>
      <c r="AG160" s="458" t="n"/>
      <c r="AH160" s="469" t="n">
        <v>238940</v>
      </c>
      <c r="AI160" s="469" t="n">
        <v>0</v>
      </c>
      <c r="AJ160" s="469" t="n">
        <v>238940</v>
      </c>
      <c r="AK160" s="469" t="n">
        <v>1408537</v>
      </c>
      <c r="AL160" s="458" t="n"/>
      <c r="AM160" s="468" t="inlineStr">
        <is>
          <t>Becknell; absolute NNN – tenant pays RE taxes directly; opex = CAM only</t>
        </is>
      </c>
      <c r="AN160">
        <f>IF(AND($B160=Subj_OccCode,Subj_BldgSF&gt;0,ABS($J160-Subj_BldgSF)&lt;=Subj_BldgSF*Subj_SizeTol),ABS($J160-Subj_BldgSF),NA())</f>
        <v/>
      </c>
      <c r="AO160">
        <f>IF(ISNA(AN160),NA(),AN160+ROW()/10000000)</f>
        <v/>
      </c>
      <c r="AR160" s="256">
        <f>IF(B160="","",IFERROR(INDEX(OCC_TABLE_DESC,MATCH(B160,OCC_TABLE_CODE,0)),"Unrecognized code"))</f>
        <v/>
      </c>
    </row>
    <row r="161" ht="25.5" customHeight="1" s="545">
      <c r="A161" s="458" t="inlineStr">
        <is>
          <t>P082</t>
        </is>
      </c>
      <c r="B161" s="449" t="n">
        <v>407</v>
      </c>
      <c r="C161" s="458" t="inlineStr">
        <is>
          <t>R0201311</t>
        </is>
      </c>
      <c r="D161" s="468" t="inlineStr">
        <is>
          <t>Ascent Commerce Center Bldg I</t>
        </is>
      </c>
      <c r="E161" s="458" t="inlineStr">
        <is>
          <t>Aurora</t>
        </is>
      </c>
      <c r="F161" s="458" t="inlineStr">
        <is>
          <t>CO</t>
        </is>
      </c>
      <c r="G161" s="458" t="inlineStr">
        <is>
          <t>Industrial</t>
        </is>
      </c>
      <c r="H161" s="468" t="inlineStr">
        <is>
          <t>Industrial Warehouse NNN</t>
        </is>
      </c>
      <c r="I161" s="458" t="n"/>
      <c r="J161" s="458" t="n"/>
      <c r="K161" s="458" t="n">
        <v>2024</v>
      </c>
      <c r="L161" s="469" t="n">
        <v>187536</v>
      </c>
      <c r="M161" s="458" t="n"/>
      <c r="N161" s="469" t="n">
        <v>335936</v>
      </c>
      <c r="O161" s="469" t="n">
        <v>185</v>
      </c>
      <c r="P161" s="469" t="n">
        <v>6539</v>
      </c>
      <c r="Q161" s="458" t="n"/>
      <c r="R161" s="458" t="n"/>
      <c r="S161" s="469" t="n">
        <v>6694</v>
      </c>
      <c r="T161" s="458" t="n"/>
      <c r="U161" s="458" t="n"/>
      <c r="V161" s="458" t="n"/>
      <c r="W161" s="458" t="n"/>
      <c r="X161" s="458" t="n"/>
      <c r="Y161" s="469" t="n">
        <v>6694</v>
      </c>
      <c r="Z161" s="458" t="n"/>
      <c r="AA161" s="469" t="n">
        <v>1378</v>
      </c>
      <c r="AB161" s="469" t="n">
        <v>13095</v>
      </c>
      <c r="AC161" s="458" t="n"/>
      <c r="AD161" s="469" t="n">
        <v>52</v>
      </c>
      <c r="AE161" s="469" t="n">
        <v>6714</v>
      </c>
      <c r="AF161" s="469" t="n">
        <v>6766</v>
      </c>
      <c r="AG161" s="458" t="n"/>
      <c r="AH161" s="469" t="n">
        <v>42252</v>
      </c>
      <c r="AI161" s="469" t="n">
        <v>100794</v>
      </c>
      <c r="AJ161" s="469" t="n">
        <v>143046</v>
      </c>
      <c r="AK161" s="469" t="n">
        <v>181918</v>
      </c>
      <c r="AL161" s="458" t="n"/>
      <c r="AM161" s="468" t="inlineStr">
        <is>
          <t>Ambrose; Q4 2024 ONLY (Oct–Dec, 3 months); lease-up/stabilizing; DO NOT use for annual PSF</t>
        </is>
      </c>
      <c r="AN161">
        <f>IF(AND($B161=Subj_OccCode,Subj_BldgSF&gt;0,ABS($J161-Subj_BldgSF)&lt;=Subj_BldgSF*Subj_SizeTol),ABS($J161-Subj_BldgSF),NA())</f>
        <v/>
      </c>
      <c r="AO161">
        <f>IF(ISNA(AN161),NA(),AN161+ROW()/10000000)</f>
        <v/>
      </c>
      <c r="AR161" s="256">
        <f>IF(B161="","",IFERROR(INDEX(OCC_TABLE_DESC,MATCH(B161,OCC_TABLE_CODE,0)),"Unrecognized code"))</f>
        <v/>
      </c>
    </row>
    <row r="162" ht="25.5" customHeight="1" s="545">
      <c r="A162" s="458" t="inlineStr">
        <is>
          <t>P083</t>
        </is>
      </c>
      <c r="B162" s="449" t="n">
        <v>407</v>
      </c>
      <c r="C162" s="458" t="inlineStr">
        <is>
          <t>R0201311</t>
        </is>
      </c>
      <c r="D162" s="468" t="inlineStr">
        <is>
          <t>Ascent Commerce Center Bldg II</t>
        </is>
      </c>
      <c r="E162" s="458" t="inlineStr">
        <is>
          <t>Aurora</t>
        </is>
      </c>
      <c r="F162" s="458" t="inlineStr">
        <is>
          <t>CO</t>
        </is>
      </c>
      <c r="G162" s="458" t="inlineStr">
        <is>
          <t>Industrial</t>
        </is>
      </c>
      <c r="H162" s="468" t="inlineStr">
        <is>
          <t>Industrial Warehouse NNN</t>
        </is>
      </c>
      <c r="I162" s="458" t="n"/>
      <c r="J162" s="458" t="n"/>
      <c r="K162" s="458" t="n">
        <v>2024</v>
      </c>
      <c r="L162" s="469" t="n">
        <v>143974</v>
      </c>
      <c r="M162" s="458" t="n"/>
      <c r="N162" s="469" t="n">
        <v>314952</v>
      </c>
      <c r="O162" s="469" t="n">
        <v>375</v>
      </c>
      <c r="P162" s="469" t="n">
        <v>6224</v>
      </c>
      <c r="Q162" s="458" t="n"/>
      <c r="R162" s="458" t="n"/>
      <c r="S162" s="469" t="n">
        <v>13434</v>
      </c>
      <c r="T162" s="458" t="n"/>
      <c r="U162" s="458" t="n"/>
      <c r="V162" s="458" t="n"/>
      <c r="W162" s="458" t="n"/>
      <c r="X162" s="458" t="n"/>
      <c r="Y162" s="469" t="n">
        <v>13434</v>
      </c>
      <c r="Z162" s="458" t="n"/>
      <c r="AA162" s="469" t="n">
        <v>1877</v>
      </c>
      <c r="AB162" s="469" t="n">
        <v>25288</v>
      </c>
      <c r="AC162" s="458" t="n"/>
      <c r="AD162" s="469" t="n">
        <v>104</v>
      </c>
      <c r="AE162" s="469" t="n">
        <v>11552</v>
      </c>
      <c r="AF162" s="469" t="n">
        <v>11656</v>
      </c>
      <c r="AG162" s="458" t="n"/>
      <c r="AH162" s="469" t="n">
        <v>70908</v>
      </c>
      <c r="AI162" s="469" t="n">
        <v>203797</v>
      </c>
      <c r="AJ162" s="469" t="n">
        <v>274705</v>
      </c>
      <c r="AK162" s="469" t="n">
        <v>22624</v>
      </c>
      <c r="AL162" s="458" t="n"/>
      <c r="AM162" s="468" t="inlineStr">
        <is>
          <t>Ambrose; Q4 2024 ONLY (Oct–Dec, 3 months); lease-up/stabilizing; DO NOT use for annual PSF</t>
        </is>
      </c>
      <c r="AN162">
        <f>IF(AND($B162=Subj_OccCode,Subj_BldgSF&gt;0,ABS($J162-Subj_BldgSF)&lt;=Subj_BldgSF*Subj_SizeTol),ABS($J162-Subj_BldgSF),NA())</f>
        <v/>
      </c>
      <c r="AO162">
        <f>IF(ISNA(AN162),NA(),AN162+ROW()/10000000)</f>
        <v/>
      </c>
      <c r="AR162" s="256">
        <f>IF(B162="","",IFERROR(INDEX(OCC_TABLE_DESC,MATCH(B162,OCC_TABLE_CODE,0)),"Unrecognized code"))</f>
        <v/>
      </c>
    </row>
    <row r="163" ht="25.5" customHeight="1" s="545">
      <c r="A163" s="458" t="inlineStr">
        <is>
          <t>P084</t>
        </is>
      </c>
      <c r="B163" s="449" t="n">
        <v>407</v>
      </c>
      <c r="C163" s="458" t="inlineStr">
        <is>
          <t>R0201311</t>
        </is>
      </c>
      <c r="D163" s="468" t="inlineStr">
        <is>
          <t>Ascent Commerce Center Bldg III</t>
        </is>
      </c>
      <c r="E163" s="458" t="inlineStr">
        <is>
          <t>Aurora</t>
        </is>
      </c>
      <c r="F163" s="458" t="inlineStr">
        <is>
          <t>CO</t>
        </is>
      </c>
      <c r="G163" s="458" t="inlineStr">
        <is>
          <t>Industrial</t>
        </is>
      </c>
      <c r="H163" s="468" t="inlineStr">
        <is>
          <t>Industrial Warehouse NNN</t>
        </is>
      </c>
      <c r="I163" s="458" t="n"/>
      <c r="J163" s="458" t="n"/>
      <c r="K163" s="458" t="n">
        <v>2024</v>
      </c>
      <c r="L163" s="469" t="n">
        <v>49334</v>
      </c>
      <c r="M163" s="458" t="n"/>
      <c r="N163" s="469" t="n">
        <v>85139</v>
      </c>
      <c r="O163" s="469" t="n">
        <v>153</v>
      </c>
      <c r="P163" s="469" t="n">
        <v>5032</v>
      </c>
      <c r="Q163" s="458" t="n"/>
      <c r="R163" s="458" t="n"/>
      <c r="S163" s="469" t="n">
        <v>10772</v>
      </c>
      <c r="T163" s="458" t="n"/>
      <c r="U163" s="458" t="n"/>
      <c r="V163" s="458" t="n"/>
      <c r="W163" s="458" t="n"/>
      <c r="X163" s="458" t="n"/>
      <c r="Y163" s="469" t="n">
        <v>10772</v>
      </c>
      <c r="Z163" s="458" t="n"/>
      <c r="AA163" s="469" t="n">
        <v>949</v>
      </c>
      <c r="AB163" s="469" t="n">
        <v>10894</v>
      </c>
      <c r="AC163" s="458" t="n"/>
      <c r="AD163" s="469" t="n">
        <v>207</v>
      </c>
      <c r="AE163" s="469" t="n">
        <v>8484</v>
      </c>
      <c r="AF163" s="469" t="n">
        <v>8691</v>
      </c>
      <c r="AG163" s="458" t="n"/>
      <c r="AH163" s="469" t="n">
        <v>57603</v>
      </c>
      <c r="AI163" s="469" t="n">
        <v>83077</v>
      </c>
      <c r="AJ163" s="469" t="n">
        <v>140680</v>
      </c>
      <c r="AK163" s="469" t="n">
        <v>-69674</v>
      </c>
      <c r="AL163" s="458" t="n"/>
      <c r="AM163" s="468" t="inlineStr">
        <is>
          <t>Ambrose; Q4 2024 ONLY (Oct–Dec, 3 months); lease-up/stabilizing; DO NOT use for annual PSF</t>
        </is>
      </c>
      <c r="AN163">
        <f>IF(AND($B163=Subj_OccCode,Subj_BldgSF&gt;0,ABS($J163-Subj_BldgSF)&lt;=Subj_BldgSF*Subj_SizeTol),ABS($J163-Subj_BldgSF),NA())</f>
        <v/>
      </c>
      <c r="AO163">
        <f>IF(ISNA(AN163),NA(),AN163+ROW()/10000000)</f>
        <v/>
      </c>
      <c r="AR163" s="256">
        <f>IF(B163="","",IFERROR(INDEX(OCC_TABLE_DESC,MATCH(B163,OCC_TABLE_CODE,0)),"Unrecognized code"))</f>
        <v/>
      </c>
    </row>
    <row r="164" ht="38.25" customHeight="1" s="545">
      <c r="A164" s="458" t="inlineStr">
        <is>
          <t>P085</t>
        </is>
      </c>
      <c r="B164" s="449" t="n">
        <v>210</v>
      </c>
      <c r="C164" s="458" t="inlineStr">
        <is>
          <t>R0093018</t>
        </is>
      </c>
      <c r="D164" s="468" t="inlineStr">
        <is>
          <t>3350 Peoria St</t>
        </is>
      </c>
      <c r="E164" s="458" t="inlineStr">
        <is>
          <t>Denver</t>
        </is>
      </c>
      <c r="F164" s="458" t="inlineStr">
        <is>
          <t>CO</t>
        </is>
      </c>
      <c r="G164" s="458" t="inlineStr">
        <is>
          <t>Industrial</t>
        </is>
      </c>
      <c r="H164" s="468" t="inlineStr">
        <is>
          <t>Office/Industrial Flex</t>
        </is>
      </c>
      <c r="I164" s="458" t="n"/>
      <c r="J164" s="458" t="n">
        <v>33057</v>
      </c>
      <c r="K164" s="458" t="n">
        <v>2024</v>
      </c>
      <c r="L164" s="458" t="n"/>
      <c r="M164" s="458" t="n"/>
      <c r="N164" s="469" t="n">
        <v>388335</v>
      </c>
      <c r="O164" s="469" t="n">
        <v>27979</v>
      </c>
      <c r="P164" s="469" t="n">
        <v>15595</v>
      </c>
      <c r="Q164" s="458" t="n"/>
      <c r="R164" s="458" t="n"/>
      <c r="S164" s="458" t="n"/>
      <c r="T164" s="458" t="n"/>
      <c r="U164" s="469" t="n">
        <v>8229</v>
      </c>
      <c r="V164" s="458" t="n"/>
      <c r="W164" s="458" t="n"/>
      <c r="X164" s="469" t="n">
        <v>91284</v>
      </c>
      <c r="Y164" s="458" t="n"/>
      <c r="Z164" s="458" t="n"/>
      <c r="AA164" s="469" t="n">
        <v>4573</v>
      </c>
      <c r="AB164" s="469" t="n">
        <v>2505</v>
      </c>
      <c r="AC164" s="469" t="n">
        <v>52966</v>
      </c>
      <c r="AD164" s="458" t="n"/>
      <c r="AE164" s="458" t="n"/>
      <c r="AF164" s="469" t="n">
        <v>53314</v>
      </c>
      <c r="AG164" s="458" t="n"/>
      <c r="AH164" s="469" t="n">
        <v>247389</v>
      </c>
      <c r="AI164" s="458" t="n"/>
      <c r="AJ164" s="469" t="n">
        <v>247389</v>
      </c>
      <c r="AK164" s="469" t="n">
        <v>140946</v>
      </c>
      <c r="AL164" s="458" t="n"/>
      <c r="AM164" s="468"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256">
        <f>IF(B164="","",IFERROR(INDEX(OCC_TABLE_DESC,MATCH(B164,OCC_TABLE_CODE,0)),"Unrecognized code"))</f>
        <v/>
      </c>
    </row>
    <row r="165" ht="25.5" customHeight="1" s="545">
      <c r="A165" s="458" t="inlineStr">
        <is>
          <t>P086</t>
        </is>
      </c>
      <c r="B165" s="449" t="n">
        <v>406</v>
      </c>
      <c r="C165" s="458" t="inlineStr">
        <is>
          <t>R0210684</t>
        </is>
      </c>
      <c r="D165" s="468" t="inlineStr">
        <is>
          <t>14200 E Moncrieff Place</t>
        </is>
      </c>
      <c r="E165" s="458" t="inlineStr">
        <is>
          <t>Aurora</t>
        </is>
      </c>
      <c r="F165" s="458" t="inlineStr">
        <is>
          <t>CO</t>
        </is>
      </c>
      <c r="G165" s="458" t="inlineStr">
        <is>
          <t>Industrial</t>
        </is>
      </c>
      <c r="H165" s="468" t="inlineStr">
        <is>
          <t>Industrial Warehouse</t>
        </is>
      </c>
      <c r="I165" s="458" t="n">
        <v>1980</v>
      </c>
      <c r="J165" s="458" t="n">
        <v>233808</v>
      </c>
      <c r="K165" s="458" t="n">
        <v>2023</v>
      </c>
      <c r="L165" s="458" t="n"/>
      <c r="M165" s="458" t="n"/>
      <c r="N165" s="469" t="n">
        <v>2012921</v>
      </c>
      <c r="O165" s="469" t="n">
        <v>12170</v>
      </c>
      <c r="P165" s="469" t="n">
        <v>39036</v>
      </c>
      <c r="Q165" s="458" t="n"/>
      <c r="R165" s="458" t="n"/>
      <c r="S165" s="458" t="n"/>
      <c r="T165" s="458" t="n"/>
      <c r="U165" s="458" t="n"/>
      <c r="V165" s="458" t="n"/>
      <c r="W165" s="458" t="n"/>
      <c r="X165" s="469" t="n">
        <v>43894</v>
      </c>
      <c r="Y165" s="469" t="n">
        <v>43894</v>
      </c>
      <c r="Z165" s="458" t="n"/>
      <c r="AA165" s="469" t="n">
        <v>12324</v>
      </c>
      <c r="AB165" s="469" t="n">
        <v>32256</v>
      </c>
      <c r="AC165" s="469" t="n">
        <v>50799</v>
      </c>
      <c r="AD165" s="469" t="n">
        <v>28587</v>
      </c>
      <c r="AE165" s="458" t="n"/>
      <c r="AF165" s="469" t="n">
        <v>28587</v>
      </c>
      <c r="AG165" s="458" t="n"/>
      <c r="AH165" s="469" t="n">
        <v>184120</v>
      </c>
      <c r="AI165" s="469" t="n">
        <v>608865</v>
      </c>
      <c r="AJ165" s="469" t="n">
        <v>792985</v>
      </c>
      <c r="AK165" s="469" t="n">
        <v>1219936</v>
      </c>
      <c r="AL165" s="458" t="n"/>
      <c r="AM165" s="468" t="inlineStr">
        <is>
          <t>Owner P&amp;L 2023; large industrial 233,808 SF; 1980 YOC; landscape $12,324/snow $32,256 in CAM</t>
        </is>
      </c>
      <c r="AN165">
        <f>IF(AND($B165=Subj_OccCode,Subj_BldgSF&gt;0,ABS($J165-Subj_BldgSF)&lt;=Subj_BldgSF*Subj_SizeTol),ABS($J165-Subj_BldgSF),NA())</f>
        <v/>
      </c>
      <c r="AO165">
        <f>IF(ISNA(AN165),NA(),AN165+ROW()/10000000)</f>
        <v/>
      </c>
      <c r="AR165" s="256">
        <f>IF(B165="","",IFERROR(INDEX(OCC_TABLE_DESC,MATCH(B165,OCC_TABLE_CODE,0)),"Unrecognized code"))</f>
        <v/>
      </c>
    </row>
    <row r="166" ht="25.5" customHeight="1" s="545">
      <c r="A166" s="458" t="inlineStr">
        <is>
          <t>P086</t>
        </is>
      </c>
      <c r="B166" s="449" t="n">
        <v>406</v>
      </c>
      <c r="C166" s="458" t="inlineStr">
        <is>
          <t>R0210684</t>
        </is>
      </c>
      <c r="D166" s="468" t="inlineStr">
        <is>
          <t>14200 E Moncrieff Place</t>
        </is>
      </c>
      <c r="E166" s="458" t="inlineStr">
        <is>
          <t>Aurora</t>
        </is>
      </c>
      <c r="F166" s="458" t="inlineStr">
        <is>
          <t>CO</t>
        </is>
      </c>
      <c r="G166" s="458" t="inlineStr">
        <is>
          <t>Industrial</t>
        </is>
      </c>
      <c r="H166" s="468" t="inlineStr">
        <is>
          <t>Industrial Warehouse</t>
        </is>
      </c>
      <c r="I166" s="458" t="n">
        <v>1980</v>
      </c>
      <c r="J166" s="458" t="n">
        <v>233808</v>
      </c>
      <c r="K166" s="458" t="n">
        <v>2024</v>
      </c>
      <c r="L166" s="458" t="n"/>
      <c r="M166" s="458" t="n"/>
      <c r="N166" s="469" t="n">
        <v>2041933</v>
      </c>
      <c r="O166" s="458" t="n"/>
      <c r="P166" s="458" t="n"/>
      <c r="Q166" s="458" t="n"/>
      <c r="R166" s="458" t="n"/>
      <c r="S166" s="458" t="n"/>
      <c r="T166" s="458" t="n"/>
      <c r="U166" s="458" t="n"/>
      <c r="V166" s="458" t="n"/>
      <c r="W166" s="458" t="n"/>
      <c r="X166" s="458" t="n"/>
      <c r="Y166" s="458" t="n"/>
      <c r="Z166" s="458" t="n"/>
      <c r="AA166" s="458" t="n"/>
      <c r="AB166" s="458" t="n"/>
      <c r="AC166" s="458" t="n"/>
      <c r="AD166" s="458" t="n"/>
      <c r="AE166" s="458" t="n"/>
      <c r="AF166" s="458" t="n"/>
      <c r="AG166" s="458" t="n"/>
      <c r="AH166" s="458" t="n"/>
      <c r="AI166" s="458" t="n"/>
      <c r="AJ166" s="469" t="n">
        <v>835113</v>
      </c>
      <c r="AK166" s="469" t="n">
        <v>1206819</v>
      </c>
      <c r="AL166" s="458" t="n"/>
      <c r="AM166" s="468" t="inlineStr">
        <is>
          <t>Owner P&amp;L 2024; total OPX only – line items not fully detailed for 2024</t>
        </is>
      </c>
      <c r="AN166">
        <f>IF(AND($B166=Subj_OccCode,Subj_BldgSF&gt;0,ABS($J166-Subj_BldgSF)&lt;=Subj_BldgSF*Subj_SizeTol),ABS($J166-Subj_BldgSF),NA())</f>
        <v/>
      </c>
      <c r="AO166">
        <f>IF(ISNA(AN166),NA(),AN166+ROW()/10000000)</f>
        <v/>
      </c>
      <c r="AR166" s="256">
        <f>IF(B166="","",IFERROR(INDEX(OCC_TABLE_DESC,MATCH(B166,OCC_TABLE_CODE,0)),"Unrecognized code"))</f>
        <v/>
      </c>
    </row>
    <row r="167" ht="25.5" customHeight="1" s="545">
      <c r="A167" s="458" t="inlineStr">
        <is>
          <t>P087</t>
        </is>
      </c>
      <c r="B167" s="449" t="n">
        <v>407</v>
      </c>
      <c r="C167" s="458" t="inlineStr">
        <is>
          <t>R0102985</t>
        </is>
      </c>
      <c r="D167" s="468" t="inlineStr">
        <is>
          <t>5861 Tennyson St</t>
        </is>
      </c>
      <c r="E167" s="458" t="inlineStr">
        <is>
          <t>Arvada</t>
        </is>
      </c>
      <c r="F167" s="458" t="inlineStr">
        <is>
          <t>CO</t>
        </is>
      </c>
      <c r="G167" s="458" t="inlineStr">
        <is>
          <t>Industrial</t>
        </is>
      </c>
      <c r="H167" s="468" t="inlineStr">
        <is>
          <t>Industrial NNN</t>
        </is>
      </c>
      <c r="I167" s="458" t="n">
        <v>2000</v>
      </c>
      <c r="J167" s="458" t="n">
        <v>80640</v>
      </c>
      <c r="K167" s="458" t="n">
        <v>2023</v>
      </c>
      <c r="L167" s="469" t="n">
        <v>503016</v>
      </c>
      <c r="M167" s="458" t="n"/>
      <c r="N167" s="458" t="n"/>
      <c r="O167" s="458" t="n"/>
      <c r="P167" s="458" t="n"/>
      <c r="Q167" s="458" t="n"/>
      <c r="R167" s="458" t="n"/>
      <c r="S167" s="458" t="n"/>
      <c r="T167" s="458" t="n"/>
      <c r="U167" s="458" t="n"/>
      <c r="V167" s="458" t="n"/>
      <c r="W167" s="458" t="n"/>
      <c r="X167" s="458" t="n"/>
      <c r="Y167" s="458" t="n"/>
      <c r="Z167" s="458" t="n"/>
      <c r="AA167" s="458" t="n"/>
      <c r="AB167" s="458" t="n"/>
      <c r="AC167" s="458" t="n"/>
      <c r="AD167" s="458" t="n"/>
      <c r="AE167" s="458" t="n"/>
      <c r="AF167" s="458" t="n"/>
      <c r="AG167" s="458" t="n"/>
      <c r="AH167" s="469" t="n">
        <v>16587</v>
      </c>
      <c r="AI167" s="458" t="n"/>
      <c r="AJ167" s="469" t="n">
        <v>16587</v>
      </c>
      <c r="AK167" s="469" t="n">
        <v>486429</v>
      </c>
      <c r="AL167" s="458" t="n"/>
      <c r="AM167" s="468" t="inlineStr">
        <is>
          <t>NNN; landlord expenses only; tenant pays RE taxes; 2023</t>
        </is>
      </c>
      <c r="AN167">
        <f>IF(AND($B167=Subj_OccCode,Subj_BldgSF&gt;0,ABS($J167-Subj_BldgSF)&lt;=Subj_BldgSF*Subj_SizeTol),ABS($J167-Subj_BldgSF),NA())</f>
        <v/>
      </c>
      <c r="AO167">
        <f>IF(ISNA(AN167),NA(),AN167+ROW()/10000000)</f>
        <v/>
      </c>
      <c r="AR167" s="256">
        <f>IF(B167="","",IFERROR(INDEX(OCC_TABLE_DESC,MATCH(B167,OCC_TABLE_CODE,0)),"Unrecognized code"))</f>
        <v/>
      </c>
    </row>
    <row r="168" ht="25.5" customHeight="1" s="545">
      <c r="A168" s="458" t="inlineStr">
        <is>
          <t>P087</t>
        </is>
      </c>
      <c r="B168" s="449" t="n">
        <v>407</v>
      </c>
      <c r="C168" s="458" t="inlineStr">
        <is>
          <t>R0102985</t>
        </is>
      </c>
      <c r="D168" s="468" t="inlineStr">
        <is>
          <t>5861 Tennyson St</t>
        </is>
      </c>
      <c r="E168" s="458" t="inlineStr">
        <is>
          <t>Arvada</t>
        </is>
      </c>
      <c r="F168" s="458" t="inlineStr">
        <is>
          <t>CO</t>
        </is>
      </c>
      <c r="G168" s="458" t="inlineStr">
        <is>
          <t>Industrial</t>
        </is>
      </c>
      <c r="H168" s="468" t="inlineStr">
        <is>
          <t>Industrial NNN</t>
        </is>
      </c>
      <c r="I168" s="458" t="n">
        <v>2000</v>
      </c>
      <c r="J168" s="458" t="n">
        <v>80640</v>
      </c>
      <c r="K168" s="458" t="n">
        <v>2024</v>
      </c>
      <c r="L168" s="469" t="n">
        <v>513072</v>
      </c>
      <c r="M168" s="458" t="n"/>
      <c r="N168" s="458" t="n"/>
      <c r="O168" s="458" t="n"/>
      <c r="P168" s="458" t="n"/>
      <c r="Q168" s="458" t="n"/>
      <c r="R168" s="458" t="n"/>
      <c r="S168" s="458" t="n"/>
      <c r="T168" s="458" t="n"/>
      <c r="U168" s="458" t="n"/>
      <c r="V168" s="458" t="n"/>
      <c r="W168" s="458" t="n"/>
      <c r="X168" s="458" t="n"/>
      <c r="Y168" s="458" t="n"/>
      <c r="Z168" s="458" t="n"/>
      <c r="AA168" s="458" t="n"/>
      <c r="AB168" s="458" t="n"/>
      <c r="AC168" s="458" t="n"/>
      <c r="AD168" s="458" t="n"/>
      <c r="AE168" s="458" t="n"/>
      <c r="AF168" s="458" t="n"/>
      <c r="AG168" s="458" t="n"/>
      <c r="AH168" s="469" t="n">
        <v>15492</v>
      </c>
      <c r="AI168" s="458" t="n"/>
      <c r="AJ168" s="469" t="n">
        <v>15492</v>
      </c>
      <c r="AK168" s="469" t="n">
        <v>497580</v>
      </c>
      <c r="AL168" s="458" t="n"/>
      <c r="AM168" s="468" t="inlineStr">
        <is>
          <t>NNN; landlord expenses only; tenant pays RE taxes; 2024</t>
        </is>
      </c>
      <c r="AN168">
        <f>IF(AND($B168=Subj_OccCode,Subj_BldgSF&gt;0,ABS($J168-Subj_BldgSF)&lt;=Subj_BldgSF*Subj_SizeTol),ABS($J168-Subj_BldgSF),NA())</f>
        <v/>
      </c>
      <c r="AO168">
        <f>IF(ISNA(AN168),NA(),AN168+ROW()/10000000)</f>
        <v/>
      </c>
      <c r="AR168" s="256">
        <f>IF(B168="","",IFERROR(INDEX(OCC_TABLE_DESC,MATCH(B168,OCC_TABLE_CODE,0)),"Unrecognized code"))</f>
        <v/>
      </c>
    </row>
    <row r="169" ht="25.5" customHeight="1" s="545">
      <c r="A169" s="458" t="inlineStr">
        <is>
          <t>P088</t>
        </is>
      </c>
      <c r="B169" s="449" t="n">
        <v>210</v>
      </c>
      <c r="C169" s="458" t="inlineStr">
        <is>
          <t>R0090973</t>
        </is>
      </c>
      <c r="D169" s="468" t="inlineStr">
        <is>
          <t>3975 E 56th Ave</t>
        </is>
      </c>
      <c r="E169" s="458" t="inlineStr">
        <is>
          <t>Commerce City</t>
        </is>
      </c>
      <c r="F169" s="458" t="inlineStr">
        <is>
          <t>CO</t>
        </is>
      </c>
      <c r="G169" s="458" t="inlineStr">
        <is>
          <t>Industrial</t>
        </is>
      </c>
      <c r="H169" s="468" t="inlineStr">
        <is>
          <t>Multi-Tenant Industrial</t>
        </is>
      </c>
      <c r="I169" s="458" t="n"/>
      <c r="J169" s="458" t="n">
        <v>42299</v>
      </c>
      <c r="K169" s="458" t="n">
        <v>2024</v>
      </c>
      <c r="L169" s="458" t="n"/>
      <c r="M169" s="458" t="n"/>
      <c r="N169" s="469" t="n">
        <v>391669</v>
      </c>
      <c r="O169" s="458" t="n"/>
      <c r="P169" s="458" t="n"/>
      <c r="Q169" s="458" t="n"/>
      <c r="R169" s="458" t="n"/>
      <c r="S169" s="458" t="n"/>
      <c r="T169" s="458" t="n"/>
      <c r="U169" s="458" t="n"/>
      <c r="V169" s="458" t="n"/>
      <c r="W169" s="458" t="n"/>
      <c r="X169" s="458" t="n"/>
      <c r="Y169" s="458" t="n"/>
      <c r="Z169" s="458" t="n"/>
      <c r="AA169" s="458" t="n"/>
      <c r="AB169" s="458" t="n"/>
      <c r="AC169" s="458" t="n"/>
      <c r="AD169" s="458" t="n"/>
      <c r="AE169" s="458" t="n"/>
      <c r="AF169" s="458" t="n"/>
      <c r="AG169" s="458" t="n"/>
      <c r="AH169" s="469" t="n">
        <v>31334</v>
      </c>
      <c r="AI169" s="458" t="n"/>
      <c r="AJ169" s="469" t="n">
        <v>31334</v>
      </c>
      <c r="AK169" s="469" t="n">
        <v>360335</v>
      </c>
      <c r="AL169" s="458" t="n"/>
      <c r="AM169" s="468" t="inlineStr">
        <is>
          <t>Sand Creek Business Park; owner P&amp;L 2024; limited line-item detail</t>
        </is>
      </c>
      <c r="AN169">
        <f>IF(AND($B169=Subj_OccCode,Subj_BldgSF&gt;0,ABS($J169-Subj_BldgSF)&lt;=Subj_BldgSF*Subj_SizeTol),ABS($J169-Subj_BldgSF),NA())</f>
        <v/>
      </c>
      <c r="AO169">
        <f>IF(ISNA(AN169),NA(),AN169+ROW()/10000000)</f>
        <v/>
      </c>
      <c r="AR169" s="256">
        <f>IF(B169="","",IFERROR(INDEX(OCC_TABLE_DESC,MATCH(B169,OCC_TABLE_CODE,0)),"Unrecognized code"))</f>
        <v/>
      </c>
    </row>
    <row r="170" ht="38.25" customHeight="1" s="545">
      <c r="A170" s="458" t="inlineStr">
        <is>
          <t>P089</t>
        </is>
      </c>
      <c r="B170" s="449" t="n">
        <v>407</v>
      </c>
      <c r="C170" s="458" t="inlineStr">
        <is>
          <t>R0180951</t>
        </is>
      </c>
      <c r="D170" s="468" t="inlineStr">
        <is>
          <t>(Address TBD – R0180951)</t>
        </is>
      </c>
      <c r="E170" s="458" t="inlineStr">
        <is>
          <t>Adams County</t>
        </is>
      </c>
      <c r="F170" s="458" t="inlineStr">
        <is>
          <t>CO</t>
        </is>
      </c>
      <c r="G170" s="458" t="inlineStr">
        <is>
          <t>Industrial</t>
        </is>
      </c>
      <c r="H170" s="468" t="inlineStr">
        <is>
          <t>Industrial NNN</t>
        </is>
      </c>
      <c r="I170" s="458" t="n">
        <v>2016</v>
      </c>
      <c r="J170" s="458" t="n">
        <v>122106</v>
      </c>
      <c r="K170" s="458" t="n">
        <v>2023</v>
      </c>
      <c r="L170" s="458" t="n"/>
      <c r="M170" s="458" t="n"/>
      <c r="N170" s="458" t="n"/>
      <c r="O170" s="469" t="n">
        <v>7435</v>
      </c>
      <c r="P170" s="458" t="n"/>
      <c r="Q170" s="458" t="n"/>
      <c r="R170" s="458" t="n"/>
      <c r="S170" s="458" t="n"/>
      <c r="T170" s="458" t="n"/>
      <c r="U170" s="458" t="n"/>
      <c r="V170" s="458" t="n"/>
      <c r="W170" s="458" t="n"/>
      <c r="X170" s="458" t="n"/>
      <c r="Y170" s="458" t="n"/>
      <c r="Z170" s="458" t="n"/>
      <c r="AA170" s="458" t="n"/>
      <c r="AB170" s="458" t="n"/>
      <c r="AC170" s="469" t="n">
        <v>50680</v>
      </c>
      <c r="AD170" s="469" t="n">
        <v>58541</v>
      </c>
      <c r="AE170" s="458" t="n"/>
      <c r="AF170" s="469" t="n">
        <v>58541</v>
      </c>
      <c r="AG170" s="458" t="n"/>
      <c r="AH170" s="458" t="n"/>
      <c r="AI170" s="469" t="n">
        <v>394774</v>
      </c>
      <c r="AJ170" s="469" t="n">
        <v>511430</v>
      </c>
      <c r="AK170" s="458" t="n"/>
      <c r="AL170" s="458" t="n"/>
      <c r="AM170" s="468"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256">
        <f>IF(B170="","",IFERROR(INDEX(OCC_TABLE_DESC,MATCH(B170,OCC_TABLE_CODE,0)),"Unrecognized code"))</f>
        <v/>
      </c>
    </row>
    <row r="171" ht="38.25" customHeight="1" s="545">
      <c r="A171" s="458" t="inlineStr">
        <is>
          <t>P089</t>
        </is>
      </c>
      <c r="B171" s="449" t="n">
        <v>407</v>
      </c>
      <c r="C171" s="458" t="inlineStr">
        <is>
          <t>R0180951</t>
        </is>
      </c>
      <c r="D171" s="468" t="inlineStr">
        <is>
          <t>(Address TBD – R0180951)</t>
        </is>
      </c>
      <c r="E171" s="458" t="inlineStr">
        <is>
          <t>Adams County</t>
        </is>
      </c>
      <c r="F171" s="458" t="inlineStr">
        <is>
          <t>CO</t>
        </is>
      </c>
      <c r="G171" s="458" t="inlineStr">
        <is>
          <t>Industrial</t>
        </is>
      </c>
      <c r="H171" s="468" t="inlineStr">
        <is>
          <t>Industrial NNN</t>
        </is>
      </c>
      <c r="I171" s="458" t="n">
        <v>2016</v>
      </c>
      <c r="J171" s="458" t="n">
        <v>122106</v>
      </c>
      <c r="K171" s="458" t="n">
        <v>2024</v>
      </c>
      <c r="L171" s="458" t="n"/>
      <c r="M171" s="458" t="n"/>
      <c r="N171" s="458" t="n"/>
      <c r="O171" s="469" t="n">
        <v>7635</v>
      </c>
      <c r="P171" s="458" t="n"/>
      <c r="Q171" s="458" t="n"/>
      <c r="R171" s="458" t="n"/>
      <c r="S171" s="458" t="n"/>
      <c r="T171" s="458" t="n"/>
      <c r="U171" s="458" t="n"/>
      <c r="V171" s="458" t="n"/>
      <c r="W171" s="458" t="n"/>
      <c r="X171" s="458" t="n"/>
      <c r="Y171" s="458" t="n"/>
      <c r="Z171" s="458" t="n"/>
      <c r="AA171" s="458" t="n"/>
      <c r="AB171" s="458" t="n"/>
      <c r="AC171" s="469" t="n">
        <v>64465</v>
      </c>
      <c r="AD171" s="469" t="n">
        <v>58541</v>
      </c>
      <c r="AE171" s="458" t="n"/>
      <c r="AF171" s="469" t="n">
        <v>58541</v>
      </c>
      <c r="AG171" s="458" t="n"/>
      <c r="AH171" s="458" t="n"/>
      <c r="AI171" s="469" t="n">
        <v>532140</v>
      </c>
      <c r="AJ171" s="469" t="n">
        <v>662781</v>
      </c>
      <c r="AK171" s="458" t="n"/>
      <c r="AL171" s="458" t="n"/>
      <c r="AM171" s="468"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256">
        <f>IF(B171="","",IFERROR(INDEX(OCC_TABLE_DESC,MATCH(B171,OCC_TABLE_CODE,0)),"Unrecognized code"))</f>
        <v/>
      </c>
    </row>
    <row r="172" ht="38.25" customHeight="1" s="545">
      <c r="A172" s="458" t="inlineStr">
        <is>
          <t>P090</t>
        </is>
      </c>
      <c r="B172" s="449" t="n">
        <v>407</v>
      </c>
      <c r="C172" s="458" t="inlineStr">
        <is>
          <t>R0110351</t>
        </is>
      </c>
      <c r="D172" s="468" t="inlineStr">
        <is>
          <t>(Address TBD – R0110351)</t>
        </is>
      </c>
      <c r="E172" s="458" t="inlineStr">
        <is>
          <t>Adams County</t>
        </is>
      </c>
      <c r="F172" s="458" t="inlineStr">
        <is>
          <t>CO</t>
        </is>
      </c>
      <c r="G172" s="458" t="inlineStr">
        <is>
          <t>Industrial</t>
        </is>
      </c>
      <c r="H172" s="468" t="inlineStr">
        <is>
          <t>Industrial NNN</t>
        </is>
      </c>
      <c r="I172" s="458" t="n">
        <v>2000</v>
      </c>
      <c r="J172" s="458" t="n">
        <v>85200</v>
      </c>
      <c r="K172" s="458" t="n">
        <v>2023</v>
      </c>
      <c r="L172" s="458" t="n"/>
      <c r="M172" s="458" t="n"/>
      <c r="N172" s="458" t="n"/>
      <c r="O172" s="469" t="n">
        <v>20559</v>
      </c>
      <c r="P172" s="458" t="n"/>
      <c r="Q172" s="458" t="n"/>
      <c r="R172" s="458" t="n"/>
      <c r="S172" s="458" t="n"/>
      <c r="T172" s="458" t="n"/>
      <c r="U172" s="458" t="n"/>
      <c r="V172" s="458" t="n"/>
      <c r="W172" s="458" t="n"/>
      <c r="X172" s="458" t="n"/>
      <c r="Y172" s="458" t="n"/>
      <c r="Z172" s="458" t="n"/>
      <c r="AA172" s="458" t="n"/>
      <c r="AB172" s="458" t="n"/>
      <c r="AC172" s="469" t="n">
        <v>18539</v>
      </c>
      <c r="AD172" s="458" t="n"/>
      <c r="AE172" s="458" t="n"/>
      <c r="AF172" s="458" t="n"/>
      <c r="AG172" s="458" t="n"/>
      <c r="AH172" s="458" t="n"/>
      <c r="AI172" s="469" t="n">
        <v>305241</v>
      </c>
      <c r="AJ172" s="469" t="n">
        <v>344339</v>
      </c>
      <c r="AK172" s="458" t="n"/>
      <c r="AL172" s="458" t="n"/>
      <c r="AM172" s="468"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256">
        <f>IF(B172="","",IFERROR(INDEX(OCC_TABLE_DESC,MATCH(B172,OCC_TABLE_CODE,0)),"Unrecognized code"))</f>
        <v/>
      </c>
    </row>
    <row r="173" ht="38.25" customHeight="1" s="545">
      <c r="A173" s="458" t="inlineStr">
        <is>
          <t>P090</t>
        </is>
      </c>
      <c r="B173" s="449" t="n">
        <v>407</v>
      </c>
      <c r="C173" s="458" t="inlineStr">
        <is>
          <t>R0110351</t>
        </is>
      </c>
      <c r="D173" s="468" t="inlineStr">
        <is>
          <t>(Address TBD – R0110351)</t>
        </is>
      </c>
      <c r="E173" s="458" t="inlineStr">
        <is>
          <t>Adams County</t>
        </is>
      </c>
      <c r="F173" s="458" t="inlineStr">
        <is>
          <t>CO</t>
        </is>
      </c>
      <c r="G173" s="458" t="inlineStr">
        <is>
          <t>Industrial</t>
        </is>
      </c>
      <c r="H173" s="468" t="inlineStr">
        <is>
          <t>Industrial NNN</t>
        </is>
      </c>
      <c r="I173" s="458" t="n">
        <v>2000</v>
      </c>
      <c r="J173" s="458" t="n">
        <v>85200</v>
      </c>
      <c r="K173" s="458" t="n">
        <v>2024</v>
      </c>
      <c r="L173" s="458" t="n"/>
      <c r="M173" s="458" t="n"/>
      <c r="N173" s="458" t="n"/>
      <c r="O173" s="469" t="n">
        <v>25578</v>
      </c>
      <c r="P173" s="458" t="n"/>
      <c r="Q173" s="458" t="n"/>
      <c r="R173" s="458" t="n"/>
      <c r="S173" s="458" t="n"/>
      <c r="T173" s="458" t="n"/>
      <c r="U173" s="458" t="n"/>
      <c r="V173" s="458" t="n"/>
      <c r="W173" s="458" t="n"/>
      <c r="X173" s="458" t="n"/>
      <c r="Y173" s="458" t="n"/>
      <c r="Z173" s="458" t="n"/>
      <c r="AA173" s="458" t="n"/>
      <c r="AB173" s="458" t="n"/>
      <c r="AC173" s="469" t="n">
        <v>21372</v>
      </c>
      <c r="AD173" s="458" t="n"/>
      <c r="AE173" s="458" t="n"/>
      <c r="AF173" s="458" t="n"/>
      <c r="AG173" s="458" t="n"/>
      <c r="AH173" s="458" t="n"/>
      <c r="AI173" s="469" t="n">
        <v>331811</v>
      </c>
      <c r="AJ173" s="469" t="n">
        <v>378761</v>
      </c>
      <c r="AK173" s="458" t="n"/>
      <c r="AL173" s="458" t="n"/>
      <c r="AM173" s="468" t="inlineStr">
        <is>
          <t>NNN; landlord expenses only from WH Expenses 2026; 2024: RE Tax $331,811/Ins $25,578/CAM $21,372</t>
        </is>
      </c>
      <c r="AN173">
        <f>IF(AND($B173=Subj_OccCode,Subj_BldgSF&gt;0,ABS($J173-Subj_BldgSF)&lt;=Subj_BldgSF*Subj_SizeTol),ABS($J173-Subj_BldgSF),NA())</f>
        <v/>
      </c>
      <c r="AO173">
        <f>IF(ISNA(AN173),NA(),AN173+ROW()/10000000)</f>
        <v/>
      </c>
      <c r="AR173" s="256">
        <f>IF(B173="","",IFERROR(INDEX(OCC_TABLE_DESC,MATCH(B173,OCC_TABLE_CODE,0)),"Unrecognized code"))</f>
        <v/>
      </c>
    </row>
    <row r="174" ht="38.25" customHeight="1" s="545">
      <c r="A174" s="458" t="inlineStr">
        <is>
          <t>P091</t>
        </is>
      </c>
      <c r="B174" s="449" t="n">
        <v>584</v>
      </c>
      <c r="C174" s="458" t="inlineStr">
        <is>
          <t>R0198530</t>
        </is>
      </c>
      <c r="D174" s="468" t="inlineStr">
        <is>
          <t>(Address TBD – R0198530)</t>
        </is>
      </c>
      <c r="E174" s="458" t="inlineStr">
        <is>
          <t>Adams County</t>
        </is>
      </c>
      <c r="F174" s="458" t="inlineStr">
        <is>
          <t>CO</t>
        </is>
      </c>
      <c r="G174" s="458" t="inlineStr">
        <is>
          <t>Industrial</t>
        </is>
      </c>
      <c r="H174" s="468" t="inlineStr">
        <is>
          <t>Industrial Mega-Warehouse NNN</t>
        </is>
      </c>
      <c r="I174" s="458" t="n">
        <v>2019</v>
      </c>
      <c r="J174" s="458" t="n">
        <v>555867</v>
      </c>
      <c r="K174" s="458" t="n">
        <v>2024</v>
      </c>
      <c r="L174" s="458" t="n"/>
      <c r="M174" s="458" t="n"/>
      <c r="N174" s="458" t="n"/>
      <c r="O174" s="469" t="n">
        <v>86084</v>
      </c>
      <c r="P174" s="469" t="n">
        <v>64029</v>
      </c>
      <c r="Q174" s="458" t="n"/>
      <c r="R174" s="458" t="n"/>
      <c r="S174" s="458" t="n"/>
      <c r="T174" s="458" t="n"/>
      <c r="U174" s="458" t="n"/>
      <c r="V174" s="458" t="n"/>
      <c r="W174" s="458" t="n"/>
      <c r="X174" s="458" t="n"/>
      <c r="Y174" s="458" t="n"/>
      <c r="Z174" s="458" t="n"/>
      <c r="AA174" s="458" t="n"/>
      <c r="AB174" s="458" t="n"/>
      <c r="AC174" s="458" t="n"/>
      <c r="AD174" s="458" t="n"/>
      <c r="AE174" s="458" t="n"/>
      <c r="AF174" s="458" t="n"/>
      <c r="AG174" s="458" t="n"/>
      <c r="AH174" s="458" t="n"/>
      <c r="AI174" s="469" t="n">
        <v>2160792</v>
      </c>
      <c r="AJ174" s="469" t="n">
        <v>2310905</v>
      </c>
      <c r="AK174" s="458" t="n"/>
      <c r="AL174" s="458" t="n"/>
      <c r="AM174" s="468" t="inlineStr">
        <is>
          <t>Mega-warehouse 555,867 SF; NNN; landlord only: RE Tax $2,160,792/Ins $86,084/Mgmt $64,029; 2019 YOC</t>
        </is>
      </c>
      <c r="AN174">
        <f>IF(AND($B174=Subj_OccCode,Subj_BldgSF&gt;0,ABS($J174-Subj_BldgSF)&lt;=Subj_BldgSF*Subj_SizeTol),ABS($J174-Subj_BldgSF),NA())</f>
        <v/>
      </c>
      <c r="AO174">
        <f>IF(ISNA(AN174),NA(),AN174+ROW()/10000000)</f>
        <v/>
      </c>
      <c r="AR174" s="256">
        <f>IF(B174="","",IFERROR(INDEX(OCC_TABLE_DESC,MATCH(B174,OCC_TABLE_CODE,0)),"Unrecognized code"))</f>
        <v/>
      </c>
    </row>
    <row r="175" ht="38.25" customHeight="1" s="545">
      <c r="A175" s="458" t="inlineStr">
        <is>
          <t>P092</t>
        </is>
      </c>
      <c r="B175" s="449" t="n">
        <v>447</v>
      </c>
      <c r="C175" s="458" t="inlineStr">
        <is>
          <t>R0180834</t>
        </is>
      </c>
      <c r="D175" s="468" t="inlineStr">
        <is>
          <t>Denver Distribution Center (R0180834)</t>
        </is>
      </c>
      <c r="E175" s="458" t="inlineStr">
        <is>
          <t>Adams County</t>
        </is>
      </c>
      <c r="F175" s="458" t="inlineStr">
        <is>
          <t>CO</t>
        </is>
      </c>
      <c r="G175" s="458" t="inlineStr">
        <is>
          <t>Industrial</t>
        </is>
      </c>
      <c r="H175" s="468" t="inlineStr">
        <is>
          <t>Cold Storage/Mega-Warehouse NNN</t>
        </is>
      </c>
      <c r="I175" s="470" t="n">
        <v>2012</v>
      </c>
      <c r="J175" s="471" t="n">
        <v>553757</v>
      </c>
      <c r="K175" s="470" t="n">
        <v>2024</v>
      </c>
      <c r="L175" s="473" t="n">
        <v>3608516.04</v>
      </c>
      <c r="M175" s="473" t="n">
        <v>1683786.17</v>
      </c>
      <c r="N175" s="473" t="n">
        <v>5292302.21</v>
      </c>
      <c r="O175" s="472" t="n">
        <v>77116.59</v>
      </c>
      <c r="P175" s="472" t="n">
        <v>207080.18</v>
      </c>
      <c r="Q175" s="473" t="n"/>
      <c r="R175" s="473" t="n"/>
      <c r="S175" s="473" t="n">
        <v>2878.86</v>
      </c>
      <c r="T175" s="473" t="n"/>
      <c r="U175" s="473" t="n"/>
      <c r="V175" s="473" t="n"/>
      <c r="W175" s="473" t="n"/>
      <c r="X175" s="473" t="n">
        <v>21548.5</v>
      </c>
      <c r="Y175" s="473" t="n">
        <v>24427.36</v>
      </c>
      <c r="Z175" s="473" t="n"/>
      <c r="AA175" s="473" t="n"/>
      <c r="AB175" s="473" t="n"/>
      <c r="AC175" s="473" t="n">
        <v>0</v>
      </c>
      <c r="AD175" s="473" t="n"/>
      <c r="AE175" s="473" t="n"/>
      <c r="AF175" s="473" t="n">
        <v>34</v>
      </c>
      <c r="AG175" s="473" t="n">
        <v>7161.11</v>
      </c>
      <c r="AH175" s="473" t="n">
        <v>315819.24</v>
      </c>
      <c r="AI175" s="472" t="n">
        <v>2060754.14</v>
      </c>
      <c r="AJ175" s="472" t="n">
        <v>2376573.38</v>
      </c>
      <c r="AK175" s="473" t="n">
        <v>2915728.83</v>
      </c>
      <c r="AL175" s="473" t="n"/>
      <c r="AM175" s="4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c r="AN175">
        <f>IF(AND($B175=Subj_OccCode,Subj_BldgSF&gt;0,ABS($J175-Subj_BldgSF)&lt;=Subj_BldgSF*Subj_SizeTol),ABS($J175-Subj_BldgSF),NA())</f>
        <v/>
      </c>
      <c r="AO175">
        <f>IF(ISNA(AN175),NA(),AN175+ROW()/10000000)</f>
        <v/>
      </c>
      <c r="AR175" s="256">
        <f>IF(B175="","",IFERROR(INDEX(OCC_TABLE_DESC,MATCH(B175,OCC_TABLE_CODE,0)),"Unrecognized code"))</f>
        <v/>
      </c>
    </row>
    <row r="176" ht="25.5" customHeight="1" s="545">
      <c r="A176" s="458" t="inlineStr">
        <is>
          <t>P093</t>
        </is>
      </c>
      <c r="B176" s="449" t="n">
        <v>407</v>
      </c>
      <c r="C176" s="458" t="inlineStr">
        <is>
          <t>R0114792</t>
        </is>
      </c>
      <c r="D176" s="468" t="inlineStr">
        <is>
          <t>(Address TBD – R0114792)</t>
        </is>
      </c>
      <c r="E176" s="458" t="inlineStr">
        <is>
          <t>Adams County</t>
        </is>
      </c>
      <c r="F176" s="458" t="inlineStr">
        <is>
          <t>CO</t>
        </is>
      </c>
      <c r="G176" s="458" t="inlineStr">
        <is>
          <t>Industrial</t>
        </is>
      </c>
      <c r="H176" s="468" t="inlineStr">
        <is>
          <t>Industrial NNN</t>
        </is>
      </c>
      <c r="I176" s="458" t="n">
        <v>1998</v>
      </c>
      <c r="J176" s="458" t="n">
        <v>64501</v>
      </c>
      <c r="K176" s="458" t="n">
        <v>2023</v>
      </c>
      <c r="L176" s="458" t="n"/>
      <c r="M176" s="458" t="n"/>
      <c r="N176" s="458" t="n"/>
      <c r="O176" s="469" t="n">
        <v>9589</v>
      </c>
      <c r="P176" s="469" t="n">
        <v>23542</v>
      </c>
      <c r="Q176" s="458" t="n"/>
      <c r="R176" s="458" t="n"/>
      <c r="S176" s="458" t="n"/>
      <c r="T176" s="458" t="n"/>
      <c r="U176" s="458" t="n"/>
      <c r="V176" s="458" t="n"/>
      <c r="W176" s="458" t="n"/>
      <c r="X176" s="458" t="n"/>
      <c r="Y176" s="458" t="n"/>
      <c r="Z176" s="458" t="n"/>
      <c r="AA176" s="458" t="n"/>
      <c r="AB176" s="458" t="n"/>
      <c r="AC176" s="458" t="n"/>
      <c r="AD176" s="458" t="n"/>
      <c r="AE176" s="458" t="n"/>
      <c r="AF176" s="458" t="n"/>
      <c r="AG176" s="458" t="n"/>
      <c r="AH176" s="458" t="n"/>
      <c r="AI176" s="469" t="n">
        <v>201248</v>
      </c>
      <c r="AJ176" s="469" t="n">
        <v>234379</v>
      </c>
      <c r="AK176" s="458" t="n"/>
      <c r="AL176" s="458" t="n"/>
      <c r="AM176" s="468" t="inlineStr">
        <is>
          <t>NNN; landlord only: RE Tax $201,248/Ins $9,589/Mgmt $23,542; 1998 YOC</t>
        </is>
      </c>
      <c r="AN176">
        <f>IF(AND($B176=Subj_OccCode,Subj_BldgSF&gt;0,ABS($J176-Subj_BldgSF)&lt;=Subj_BldgSF*Subj_SizeTol),ABS($J176-Subj_BldgSF),NA())</f>
        <v/>
      </c>
      <c r="AO176">
        <f>IF(ISNA(AN176),NA(),AN176+ROW()/10000000)</f>
        <v/>
      </c>
      <c r="AR176" s="256">
        <f>IF(B176="","",IFERROR(INDEX(OCC_TABLE_DESC,MATCH(B176,OCC_TABLE_CODE,0)),"Unrecognized code"))</f>
        <v/>
      </c>
    </row>
    <row r="177" ht="25.5" customHeight="1" s="545">
      <c r="A177" s="458" t="inlineStr">
        <is>
          <t>P093</t>
        </is>
      </c>
      <c r="B177" s="449" t="n">
        <v>407</v>
      </c>
      <c r="C177" s="458" t="inlineStr">
        <is>
          <t>R0114792</t>
        </is>
      </c>
      <c r="D177" s="468" t="inlineStr">
        <is>
          <t>(Address TBD – R0114792)</t>
        </is>
      </c>
      <c r="E177" s="458" t="inlineStr">
        <is>
          <t>Adams County</t>
        </is>
      </c>
      <c r="F177" s="458" t="inlineStr">
        <is>
          <t>CO</t>
        </is>
      </c>
      <c r="G177" s="458" t="inlineStr">
        <is>
          <t>Industrial</t>
        </is>
      </c>
      <c r="H177" s="468" t="inlineStr">
        <is>
          <t>Industrial NNN</t>
        </is>
      </c>
      <c r="I177" s="458" t="n">
        <v>1998</v>
      </c>
      <c r="J177" s="458" t="n">
        <v>64501</v>
      </c>
      <c r="K177" s="458" t="n">
        <v>2024</v>
      </c>
      <c r="L177" s="458" t="n"/>
      <c r="M177" s="458" t="n"/>
      <c r="N177" s="458" t="n"/>
      <c r="O177" s="469" t="n">
        <v>7536</v>
      </c>
      <c r="P177" s="469" t="n">
        <v>23889</v>
      </c>
      <c r="Q177" s="458" t="n"/>
      <c r="R177" s="458" t="n"/>
      <c r="S177" s="458" t="n"/>
      <c r="T177" s="458" t="n"/>
      <c r="U177" s="458" t="n"/>
      <c r="V177" s="458" t="n"/>
      <c r="W177" s="458" t="n"/>
      <c r="X177" s="458" t="n"/>
      <c r="Y177" s="458" t="n"/>
      <c r="Z177" s="458" t="n"/>
      <c r="AA177" s="458" t="n"/>
      <c r="AB177" s="458" t="n"/>
      <c r="AC177" s="458" t="n"/>
      <c r="AD177" s="458" t="n"/>
      <c r="AE177" s="458" t="n"/>
      <c r="AF177" s="458" t="n"/>
      <c r="AG177" s="458" t="n"/>
      <c r="AH177" s="458" t="n"/>
      <c r="AI177" s="469" t="n">
        <v>244551</v>
      </c>
      <c r="AJ177" s="469" t="n">
        <v>275976</v>
      </c>
      <c r="AK177" s="458" t="n"/>
      <c r="AL177" s="458" t="n"/>
      <c r="AM177" s="468" t="inlineStr">
        <is>
          <t>NNN; landlord only: RE Tax $244,551/Ins $7,536/Mgmt $23,889</t>
        </is>
      </c>
      <c r="AN177">
        <f>IF(AND($B177=Subj_OccCode,Subj_BldgSF&gt;0,ABS($J177-Subj_BldgSF)&lt;=Subj_BldgSF*Subj_SizeTol),ABS($J177-Subj_BldgSF),NA())</f>
        <v/>
      </c>
      <c r="AO177">
        <f>IF(ISNA(AN177),NA(),AN177+ROW()/10000000)</f>
        <v/>
      </c>
      <c r="AR177" s="256">
        <f>IF(B177="","",IFERROR(INDEX(OCC_TABLE_DESC,MATCH(B177,OCC_TABLE_CODE,0)),"Unrecognized code"))</f>
        <v/>
      </c>
    </row>
    <row r="178" ht="38.25" customHeight="1" s="545">
      <c r="A178" s="458" t="inlineStr">
        <is>
          <t>P027</t>
        </is>
      </c>
      <c r="B178" s="449" t="n">
        <v>407</v>
      </c>
      <c r="C178" s="458" t="inlineStr">
        <is>
          <t>R0132030</t>
        </is>
      </c>
      <c r="D178" s="468" t="inlineStr">
        <is>
          <t>Commercenter #22 (R0132030)</t>
        </is>
      </c>
      <c r="E178" s="458" t="inlineStr">
        <is>
          <t>Aurora</t>
        </is>
      </c>
      <c r="F178" s="458" t="inlineStr">
        <is>
          <t>CO</t>
        </is>
      </c>
      <c r="G178" s="458" t="inlineStr">
        <is>
          <t>Industrial</t>
        </is>
      </c>
      <c r="H178" s="468" t="inlineStr">
        <is>
          <t>Warehouse NNN (multi-tenant)</t>
        </is>
      </c>
      <c r="I178" s="470" t="n">
        <v>2001</v>
      </c>
      <c r="J178" s="471" t="n">
        <v>200090</v>
      </c>
      <c r="K178" s="470" t="n">
        <v>2024</v>
      </c>
      <c r="L178" s="473" t="n">
        <v>865747.0600000001</v>
      </c>
      <c r="M178" s="473" t="n">
        <v>782696.1899999999</v>
      </c>
      <c r="N178" s="473" t="n">
        <v>1648443.25</v>
      </c>
      <c r="O178" s="472" t="n">
        <v>26308</v>
      </c>
      <c r="P178" s="472" t="n">
        <v>48882.34</v>
      </c>
      <c r="Q178" s="473" t="n">
        <v>1039.79</v>
      </c>
      <c r="R178" s="473" t="n">
        <v>1716.63</v>
      </c>
      <c r="S178" s="473" t="n">
        <v>56856.86</v>
      </c>
      <c r="T178" s="473" t="n">
        <v>6070.35</v>
      </c>
      <c r="U178" s="473" t="n">
        <v>7131.74</v>
      </c>
      <c r="V178" s="473" t="n">
        <v>6855</v>
      </c>
      <c r="W178" s="473" t="n">
        <v>2263.28</v>
      </c>
      <c r="X178" s="473" t="n">
        <v>19731.49</v>
      </c>
      <c r="Y178" s="473" t="n">
        <v>101665.14</v>
      </c>
      <c r="Z178" s="473" t="n"/>
      <c r="AA178" s="473" t="n">
        <v>20192.54</v>
      </c>
      <c r="AB178" s="473" t="n">
        <v>20425.46</v>
      </c>
      <c r="AC178" s="472" t="n">
        <v>40618</v>
      </c>
      <c r="AD178" s="472" t="n">
        <v>30337.63</v>
      </c>
      <c r="AE178" s="473" t="n">
        <v>18166.87</v>
      </c>
      <c r="AF178" s="472" t="n">
        <v>72124.12</v>
      </c>
      <c r="AG178" s="473" t="n">
        <v>22350.74</v>
      </c>
      <c r="AH178" s="473" t="n">
        <v>311948.34</v>
      </c>
      <c r="AI178" s="472" t="n">
        <v>560527.09</v>
      </c>
      <c r="AJ178" s="472" t="n">
        <v>872475.4300000001</v>
      </c>
      <c r="AK178" s="473" t="n">
        <v>775967.8199999999</v>
      </c>
      <c r="AL178" s="473" t="n"/>
      <c r="AM178" s="468"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c r="AN178">
        <f>IF(AND($B178=Subj_OccCode,Subj_BldgSF&gt;0,ABS($J178-Subj_BldgSF)&lt;=Subj_BldgSF*Subj_SizeTol),ABS($J178-Subj_BldgSF),NA())</f>
        <v/>
      </c>
      <c r="AO178">
        <f>IF(ISNA(AN178),NA(),AN178+ROW()/10000000)</f>
        <v/>
      </c>
      <c r="AR178" s="256">
        <f>IF(B178="","",IFERROR(INDEX(OCC_TABLE_DESC,MATCH(B178,OCC_TABLE_CODE,0)),"Unrecognized code"))</f>
        <v/>
      </c>
    </row>
    <row r="179" ht="38.25" customHeight="1" s="545">
      <c r="A179" s="458" t="inlineStr">
        <is>
          <t>P028</t>
        </is>
      </c>
      <c r="B179" s="449" t="n">
        <v>407</v>
      </c>
      <c r="C179" s="458" t="inlineStr">
        <is>
          <t>R0084040</t>
        </is>
      </c>
      <c r="D179" s="468" t="inlineStr">
        <is>
          <t>(R0084040)</t>
        </is>
      </c>
      <c r="E179" s="458" t="inlineStr">
        <is>
          <t>Adams County</t>
        </is>
      </c>
      <c r="F179" s="458" t="inlineStr">
        <is>
          <t>CO</t>
        </is>
      </c>
      <c r="G179" s="458" t="inlineStr">
        <is>
          <t>Industrial</t>
        </is>
      </c>
      <c r="H179" s="468" t="inlineStr">
        <is>
          <t>Industrial NNN</t>
        </is>
      </c>
      <c r="I179" s="458" t="n"/>
      <c r="J179" s="458" t="n"/>
      <c r="K179" s="458" t="n">
        <v>2024</v>
      </c>
      <c r="L179" s="458" t="n"/>
      <c r="M179" s="458" t="n"/>
      <c r="N179" s="458" t="n"/>
      <c r="O179" s="469" t="n">
        <v>24025</v>
      </c>
      <c r="P179" s="469" t="n">
        <v>65817</v>
      </c>
      <c r="Q179" s="458" t="n"/>
      <c r="R179" s="458" t="n"/>
      <c r="S179" s="458" t="n"/>
      <c r="T179" s="458" t="n"/>
      <c r="U179" s="458" t="n"/>
      <c r="V179" s="458" t="n"/>
      <c r="W179" s="458" t="n"/>
      <c r="X179" s="458" t="n"/>
      <c r="Y179" s="458" t="n"/>
      <c r="Z179" s="458" t="n"/>
      <c r="AA179" s="458" t="n"/>
      <c r="AB179" s="458" t="n"/>
      <c r="AC179" s="469" t="n">
        <v>128840</v>
      </c>
      <c r="AD179" s="469" t="n">
        <v>69481</v>
      </c>
      <c r="AE179" s="458" t="n"/>
      <c r="AF179" s="469" t="n">
        <v>69481</v>
      </c>
      <c r="AG179" s="458" t="n"/>
      <c r="AH179" s="458" t="n"/>
      <c r="AI179" s="469" t="n">
        <v>598274</v>
      </c>
      <c r="AJ179" s="469" t="n">
        <v>886437</v>
      </c>
      <c r="AK179" s="458" t="n"/>
      <c r="AL179" s="458" t="n"/>
      <c r="AM179" s="468"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256">
        <f>IF(B179="","",IFERROR(INDEX(OCC_TABLE_DESC,MATCH(B179,OCC_TABLE_CODE,0)),"Unrecognized code"))</f>
        <v/>
      </c>
    </row>
    <row r="180" ht="38.25" customHeight="1" s="545">
      <c r="A180" s="458" t="inlineStr">
        <is>
          <t>P034</t>
        </is>
      </c>
      <c r="B180" s="449" t="n">
        <v>407</v>
      </c>
      <c r="C180" s="458" t="inlineStr">
        <is>
          <t>R0172865</t>
        </is>
      </c>
      <c r="D180" s="468" t="inlineStr">
        <is>
          <t>(R0172865)</t>
        </is>
      </c>
      <c r="E180" s="458" t="inlineStr">
        <is>
          <t>Adams County</t>
        </is>
      </c>
      <c r="F180" s="458" t="inlineStr">
        <is>
          <t>CO</t>
        </is>
      </c>
      <c r="G180" s="458" t="inlineStr">
        <is>
          <t>Industrial</t>
        </is>
      </c>
      <c r="H180" s="468" t="inlineStr">
        <is>
          <t>Industrial NNN</t>
        </is>
      </c>
      <c r="I180" s="458" t="n"/>
      <c r="J180" s="458" t="n">
        <v>215461</v>
      </c>
      <c r="K180" s="458" t="n">
        <v>2024</v>
      </c>
      <c r="L180" s="458" t="n"/>
      <c r="M180" s="458" t="n"/>
      <c r="N180" s="458" t="n"/>
      <c r="O180" s="469" t="n">
        <v>30832</v>
      </c>
      <c r="P180" s="469" t="n">
        <v>71321</v>
      </c>
      <c r="Q180" s="458" t="n"/>
      <c r="R180" s="458" t="n"/>
      <c r="S180" s="458" t="n"/>
      <c r="T180" s="458" t="n"/>
      <c r="U180" s="458" t="n"/>
      <c r="V180" s="458" t="n"/>
      <c r="W180" s="458" t="n"/>
      <c r="X180" s="458" t="n"/>
      <c r="Y180" s="458" t="n"/>
      <c r="Z180" s="458" t="n"/>
      <c r="AA180" s="458" t="n"/>
      <c r="AB180" s="458" t="n"/>
      <c r="AC180" s="469" t="n">
        <v>127177</v>
      </c>
      <c r="AD180" s="469" t="n">
        <v>101924</v>
      </c>
      <c r="AE180" s="458" t="n"/>
      <c r="AF180" s="469" t="n">
        <v>101924</v>
      </c>
      <c r="AG180" s="458" t="n"/>
      <c r="AH180" s="458" t="n"/>
      <c r="AI180" s="469" t="n">
        <v>564450</v>
      </c>
      <c r="AJ180" s="469" t="n">
        <v>895704</v>
      </c>
      <c r="AK180" s="458" t="n"/>
      <c r="AL180" s="458" t="n"/>
      <c r="AM180" s="468"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256">
        <f>IF(B180="","",IFERROR(INDEX(OCC_TABLE_DESC,MATCH(B180,OCC_TABLE_CODE,0)),"Unrecognized code"))</f>
        <v/>
      </c>
    </row>
    <row r="181" ht="25.5" customHeight="1" s="545">
      <c r="A181" s="458" t="inlineStr">
        <is>
          <t>P036</t>
        </is>
      </c>
      <c r="B181" s="449" t="n">
        <v>407</v>
      </c>
      <c r="C181" s="458" t="inlineStr">
        <is>
          <t>R0172868</t>
        </is>
      </c>
      <c r="D181" s="468" t="inlineStr">
        <is>
          <t>(R0172868)</t>
        </is>
      </c>
      <c r="E181" s="458" t="inlineStr">
        <is>
          <t>Adams County</t>
        </is>
      </c>
      <c r="F181" s="458" t="inlineStr">
        <is>
          <t>CO</t>
        </is>
      </c>
      <c r="G181" s="458" t="inlineStr">
        <is>
          <t>Industrial</t>
        </is>
      </c>
      <c r="H181" s="468" t="inlineStr">
        <is>
          <t>Industrial NNN</t>
        </is>
      </c>
      <c r="I181" s="458" t="n"/>
      <c r="J181" s="458" t="n">
        <v>200000</v>
      </c>
      <c r="K181" s="458" t="n">
        <v>2024</v>
      </c>
      <c r="L181" s="458" t="n"/>
      <c r="M181" s="458" t="n"/>
      <c r="N181" s="458" t="n"/>
      <c r="O181" s="469" t="n">
        <v>30594</v>
      </c>
      <c r="P181" s="469" t="n">
        <v>36085</v>
      </c>
      <c r="Q181" s="458" t="n"/>
      <c r="R181" s="458" t="n"/>
      <c r="S181" s="458" t="n"/>
      <c r="T181" s="458" t="n"/>
      <c r="U181" s="458" t="n"/>
      <c r="V181" s="458" t="n"/>
      <c r="W181" s="458" t="n"/>
      <c r="X181" s="458" t="n"/>
      <c r="Y181" s="458" t="n"/>
      <c r="Z181" s="458" t="n"/>
      <c r="AA181" s="458" t="n"/>
      <c r="AB181" s="458" t="n"/>
      <c r="AC181" s="469" t="n">
        <v>95792</v>
      </c>
      <c r="AD181" s="458" t="n"/>
      <c r="AE181" s="458" t="n"/>
      <c r="AF181" s="458" t="n"/>
      <c r="AG181" s="458" t="n"/>
      <c r="AH181" s="458" t="n"/>
      <c r="AI181" s="469" t="n">
        <v>608209</v>
      </c>
      <c r="AJ181" s="469" t="n">
        <v>770680</v>
      </c>
      <c r="AK181" s="458" t="n"/>
      <c r="AL181" s="458" t="n"/>
      <c r="AM181" s="468" t="inlineStr">
        <is>
          <t>NNN; WH Expenses 2026 landlord data: RE Tax $608,209/Ins $30,594/Mgmt $36,085/CAM $95,792</t>
        </is>
      </c>
      <c r="AN181">
        <f>IF(AND($B181=Subj_OccCode,Subj_BldgSF&gt;0,ABS($J181-Subj_BldgSF)&lt;=Subj_BldgSF*Subj_SizeTol),ABS($J181-Subj_BldgSF),NA())</f>
        <v/>
      </c>
      <c r="AO181">
        <f>IF(ISNA(AN181),NA(),AN181+ROW()/10000000)</f>
        <v/>
      </c>
      <c r="AR181" s="256">
        <f>IF(B181="","",IFERROR(INDEX(OCC_TABLE_DESC,MATCH(B181,OCC_TABLE_CODE,0)),"Unrecognized code"))</f>
        <v/>
      </c>
    </row>
    <row r="182" ht="38.25" customHeight="1" s="545">
      <c r="A182" s="458" t="inlineStr">
        <is>
          <t>P061</t>
        </is>
      </c>
      <c r="B182" s="449" t="n">
        <v>584</v>
      </c>
      <c r="C182" s="458" t="inlineStr">
        <is>
          <t>R0083935</t>
        </is>
      </c>
      <c r="D182" s="468" t="inlineStr">
        <is>
          <t>(R0083935)</t>
        </is>
      </c>
      <c r="E182" s="458" t="inlineStr">
        <is>
          <t>Adams County</t>
        </is>
      </c>
      <c r="F182" s="458" t="inlineStr">
        <is>
          <t>CO</t>
        </is>
      </c>
      <c r="G182" s="458" t="inlineStr">
        <is>
          <t>Industrial</t>
        </is>
      </c>
      <c r="H182" s="468" t="inlineStr">
        <is>
          <t>Industrial NNN</t>
        </is>
      </c>
      <c r="I182" s="458" t="n"/>
      <c r="J182" s="458" t="n">
        <v>277690</v>
      </c>
      <c r="K182" s="458" t="n">
        <v>2024</v>
      </c>
      <c r="L182" s="458" t="n"/>
      <c r="M182" s="458" t="n"/>
      <c r="N182" s="458" t="n"/>
      <c r="O182" s="469" t="n">
        <v>80849</v>
      </c>
      <c r="P182" s="469" t="n">
        <v>172937</v>
      </c>
      <c r="Q182" s="458" t="n"/>
      <c r="R182" s="458" t="n"/>
      <c r="S182" s="458" t="n"/>
      <c r="T182" s="458" t="n"/>
      <c r="U182" s="458" t="n"/>
      <c r="V182" s="458" t="n"/>
      <c r="W182" s="458" t="n"/>
      <c r="X182" s="458" t="n"/>
      <c r="Y182" s="458" t="n"/>
      <c r="Z182" s="458" t="n"/>
      <c r="AA182" s="458" t="n"/>
      <c r="AB182" s="458" t="n"/>
      <c r="AC182" s="469" t="n">
        <v>282651</v>
      </c>
      <c r="AD182" s="469" t="n">
        <v>195945</v>
      </c>
      <c r="AE182" s="458" t="n"/>
      <c r="AF182" s="469" t="n">
        <v>195945</v>
      </c>
      <c r="AG182" s="458" t="n"/>
      <c r="AH182" s="458" t="n"/>
      <c r="AI182" s="469" t="n">
        <v>788195</v>
      </c>
      <c r="AJ182" s="469" t="n">
        <v>1520577</v>
      </c>
      <c r="AK182" s="458" t="n"/>
      <c r="AL182" s="458" t="n"/>
      <c r="AM182" s="468"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256">
        <f>IF(B182="","",IFERROR(INDEX(OCC_TABLE_DESC,MATCH(B182,OCC_TABLE_CODE,0)),"Unrecognized code"))</f>
        <v/>
      </c>
    </row>
    <row r="183" ht="25.5" customHeight="1" s="545">
      <c r="A183" s="458" t="inlineStr">
        <is>
          <t>P069</t>
        </is>
      </c>
      <c r="B183" s="449" t="n">
        <v>210</v>
      </c>
      <c r="C183" s="458" t="inlineStr">
        <is>
          <t>R0098223</t>
        </is>
      </c>
      <c r="D183" s="468" t="inlineStr">
        <is>
          <t>(R0098223)</t>
        </is>
      </c>
      <c r="E183" s="458" t="inlineStr">
        <is>
          <t>Adams County</t>
        </is>
      </c>
      <c r="F183" s="458" t="inlineStr">
        <is>
          <t>CO</t>
        </is>
      </c>
      <c r="G183" s="458" t="inlineStr">
        <is>
          <t>Industrial</t>
        </is>
      </c>
      <c r="H183" s="468" t="inlineStr">
        <is>
          <t>Industrial</t>
        </is>
      </c>
      <c r="I183" s="458" t="n"/>
      <c r="J183" s="458" t="n"/>
      <c r="K183" s="458" t="n">
        <v>2023</v>
      </c>
      <c r="L183" s="458" t="n"/>
      <c r="M183" s="458" t="n"/>
      <c r="N183" s="458" t="n"/>
      <c r="O183" s="458" t="n"/>
      <c r="P183" s="458" t="n"/>
      <c r="Q183" s="458" t="n"/>
      <c r="R183" s="458" t="n"/>
      <c r="S183" s="458" t="n"/>
      <c r="T183" s="458" t="n"/>
      <c r="U183" s="458" t="n"/>
      <c r="V183" s="458" t="n"/>
      <c r="W183" s="458" t="n"/>
      <c r="X183" s="458" t="n"/>
      <c r="Y183" s="458" t="n"/>
      <c r="Z183" s="458" t="n"/>
      <c r="AA183" s="458" t="n"/>
      <c r="AB183" s="458" t="n"/>
      <c r="AC183" s="458" t="n"/>
      <c r="AD183" s="458" t="n"/>
      <c r="AE183" s="458" t="n"/>
      <c r="AF183" s="458" t="n"/>
      <c r="AG183" s="458" t="n"/>
      <c r="AH183" s="458" t="n"/>
      <c r="AI183" s="458" t="n"/>
      <c r="AJ183" s="458" t="n"/>
      <c r="AK183" s="469" t="n">
        <v>951113</v>
      </c>
      <c r="AL183" s="458" t="n"/>
      <c r="AM183" s="468"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256">
        <f>IF(B183="","",IFERROR(INDEX(OCC_TABLE_DESC,MATCH(B183,OCC_TABLE_CODE,0)),"Unrecognized code"))</f>
        <v/>
      </c>
    </row>
    <row r="184" ht="25.5" customHeight="1" s="545">
      <c r="A184" s="458" t="inlineStr">
        <is>
          <t>P069</t>
        </is>
      </c>
      <c r="B184" s="449" t="n">
        <v>210</v>
      </c>
      <c r="C184" s="458" t="inlineStr">
        <is>
          <t>R0098223</t>
        </is>
      </c>
      <c r="D184" s="468" t="inlineStr">
        <is>
          <t>(R0098223)</t>
        </is>
      </c>
      <c r="E184" s="458" t="inlineStr">
        <is>
          <t>Adams County</t>
        </is>
      </c>
      <c r="F184" s="458" t="inlineStr">
        <is>
          <t>CO</t>
        </is>
      </c>
      <c r="G184" s="458" t="inlineStr">
        <is>
          <t>Industrial</t>
        </is>
      </c>
      <c r="H184" s="468" t="inlineStr">
        <is>
          <t>Industrial</t>
        </is>
      </c>
      <c r="I184" s="458" t="n"/>
      <c r="J184" s="458" t="n"/>
      <c r="K184" s="458" t="n">
        <v>2024</v>
      </c>
      <c r="L184" s="458" t="n"/>
      <c r="M184" s="458" t="n"/>
      <c r="N184" s="458" t="n"/>
      <c r="O184" s="458" t="n"/>
      <c r="P184" s="458" t="n"/>
      <c r="Q184" s="458" t="n"/>
      <c r="R184" s="458" t="n"/>
      <c r="S184" s="458" t="n"/>
      <c r="T184" s="458" t="n"/>
      <c r="U184" s="458" t="n"/>
      <c r="V184" s="458" t="n"/>
      <c r="W184" s="458" t="n"/>
      <c r="X184" s="458" t="n"/>
      <c r="Y184" s="458" t="n"/>
      <c r="Z184" s="458" t="n"/>
      <c r="AA184" s="458" t="n"/>
      <c r="AB184" s="458" t="n"/>
      <c r="AC184" s="458" t="n"/>
      <c r="AD184" s="458" t="n"/>
      <c r="AE184" s="458" t="n"/>
      <c r="AF184" s="458" t="n"/>
      <c r="AG184" s="458" t="n"/>
      <c r="AH184" s="458" t="n"/>
      <c r="AI184" s="458" t="n"/>
      <c r="AJ184" s="458" t="n"/>
      <c r="AK184" s="469" t="n">
        <v>1005999</v>
      </c>
      <c r="AL184" s="458" t="n"/>
      <c r="AM184" s="468" t="inlineStr">
        <is>
          <t>New 2024 row from WH Expenses 2026; NOI $1,005,999</t>
        </is>
      </c>
      <c r="AN184">
        <f>IF(AND($B184=Subj_OccCode,Subj_BldgSF&gt;0,ABS($J184-Subj_BldgSF)&lt;=Subj_BldgSF*Subj_SizeTol),ABS($J184-Subj_BldgSF),NA())</f>
        <v/>
      </c>
      <c r="AO184">
        <f>IF(ISNA(AN184),NA(),AN184+ROW()/10000000)</f>
        <v/>
      </c>
      <c r="AR184" s="256">
        <f>IF(B184="","",IFERROR(INDEX(OCC_TABLE_DESC,MATCH(B184,OCC_TABLE_CODE,0)),"Unrecognized code"))</f>
        <v/>
      </c>
    </row>
    <row r="185" ht="38.25" customHeight="1" s="545">
      <c r="A185" s="458" t="inlineStr">
        <is>
          <t>P094</t>
        </is>
      </c>
      <c r="B185" s="449" t="n">
        <v>407</v>
      </c>
      <c r="C185" s="458" t="inlineStr">
        <is>
          <t>R0104122</t>
        </is>
      </c>
      <c r="D185" s="468" t="inlineStr">
        <is>
          <t>550 W 53rd Pl</t>
        </is>
      </c>
      <c r="E185" s="458" t="inlineStr">
        <is>
          <t>Denver</t>
        </is>
      </c>
      <c r="F185" s="458" t="inlineStr">
        <is>
          <t>CO</t>
        </is>
      </c>
      <c r="G185" s="458" t="inlineStr">
        <is>
          <t>Industrial</t>
        </is>
      </c>
      <c r="H185" s="468" t="inlineStr">
        <is>
          <t>Distribution Warehouse</t>
        </is>
      </c>
      <c r="I185" s="458" t="n">
        <v>1971</v>
      </c>
      <c r="J185" s="458" t="n">
        <v>127900</v>
      </c>
      <c r="K185" s="458" t="n">
        <v>2024</v>
      </c>
      <c r="L185" s="469" t="n">
        <v>831350</v>
      </c>
      <c r="M185" s="458" t="n"/>
      <c r="N185" s="469" t="n">
        <v>781469</v>
      </c>
      <c r="O185" s="458" t="n"/>
      <c r="P185" s="458" t="n"/>
      <c r="Q185" s="458" t="n"/>
      <c r="R185" s="458" t="n"/>
      <c r="S185" s="458" t="n"/>
      <c r="T185" s="458" t="n"/>
      <c r="U185" s="458" t="n"/>
      <c r="V185" s="458" t="n"/>
      <c r="W185" s="458" t="n"/>
      <c r="X185" s="458" t="n"/>
      <c r="Y185" s="458" t="n"/>
      <c r="Z185" s="458" t="n"/>
      <c r="AA185" s="458" t="n"/>
      <c r="AB185" s="458" t="n"/>
      <c r="AC185" s="458" t="n"/>
      <c r="AD185" s="458" t="n"/>
      <c r="AE185" s="458" t="n"/>
      <c r="AF185" s="458" t="n"/>
      <c r="AG185" s="458" t="n"/>
      <c r="AH185" s="469" t="n">
        <v>62518</v>
      </c>
      <c r="AI185" s="458" t="n"/>
      <c r="AJ185" s="469" t="n">
        <v>62518</v>
      </c>
      <c r="AK185" s="469" t="n">
        <v>718951</v>
      </c>
      <c r="AL185" s="458" t="n"/>
      <c r="AM185" s="468"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256">
        <f>IF(B185="","",IFERROR(INDEX(OCC_TABLE_DESC,MATCH(B185,OCC_TABLE_CODE,0)),"Unrecognized code"))</f>
        <v/>
      </c>
    </row>
    <row r="186" ht="38.25" customHeight="1" s="545">
      <c r="A186" s="458" t="inlineStr">
        <is>
          <t>P095</t>
        </is>
      </c>
      <c r="B186" s="449" t="n">
        <v>386</v>
      </c>
      <c r="C186" s="458" t="inlineStr">
        <is>
          <t>R0086010</t>
        </is>
      </c>
      <c r="D186" s="468" t="inlineStr">
        <is>
          <t>15413 E 18th Ave</t>
        </is>
      </c>
      <c r="E186" s="458" t="inlineStr">
        <is>
          <t>Aurora</t>
        </is>
      </c>
      <c r="F186" s="458" t="inlineStr">
        <is>
          <t>CO</t>
        </is>
      </c>
      <c r="G186" s="458" t="inlineStr">
        <is>
          <t>Self-Storage</t>
        </is>
      </c>
      <c r="H186" s="468" t="inlineStr">
        <is>
          <t>Self-Storage</t>
        </is>
      </c>
      <c r="I186" s="458" t="n">
        <v>1984</v>
      </c>
      <c r="J186" s="458" t="n">
        <v>63989</v>
      </c>
      <c r="K186" s="458" t="n">
        <v>2024</v>
      </c>
      <c r="L186" s="469" t="n">
        <v>963336</v>
      </c>
      <c r="M186" s="469" t="n">
        <v>12500</v>
      </c>
      <c r="N186" s="469" t="n">
        <v>831336</v>
      </c>
      <c r="O186" s="458" t="n"/>
      <c r="P186" s="458" t="n"/>
      <c r="Q186" s="458" t="n"/>
      <c r="R186" s="458" t="n"/>
      <c r="S186" s="458" t="n"/>
      <c r="T186" s="458" t="n"/>
      <c r="U186" s="458" t="n"/>
      <c r="V186" s="458" t="n"/>
      <c r="W186" s="458" t="n"/>
      <c r="X186" s="458" t="n"/>
      <c r="Y186" s="458" t="n"/>
      <c r="Z186" s="458" t="n"/>
      <c r="AA186" s="458" t="n"/>
      <c r="AB186" s="458" t="n"/>
      <c r="AC186" s="458" t="n"/>
      <c r="AD186" s="458" t="n"/>
      <c r="AE186" s="458" t="n"/>
      <c r="AF186" s="458" t="n"/>
      <c r="AG186" s="458" t="n"/>
      <c r="AH186" s="469" t="n">
        <v>166267</v>
      </c>
      <c r="AI186" s="458" t="n"/>
      <c r="AJ186" s="469" t="n">
        <v>199520</v>
      </c>
      <c r="AK186" s="469" t="n">
        <v>631815</v>
      </c>
      <c r="AL186" s="469" t="n">
        <v>33253</v>
      </c>
      <c r="AM186" s="468"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256">
        <f>IF(B186="","",IFERROR(INDEX(OCC_TABLE_DESC,MATCH(B186,OCC_TABLE_CODE,0)),"Unrecognized code"))</f>
        <v/>
      </c>
    </row>
    <row r="187" ht="38.25" customHeight="1" s="545">
      <c r="A187" s="458" t="inlineStr">
        <is>
          <t>P096</t>
        </is>
      </c>
      <c r="B187" s="449" t="n">
        <v>407</v>
      </c>
      <c r="C187" s="458" t="inlineStr">
        <is>
          <t>R0083917</t>
        </is>
      </c>
      <c r="D187" s="468" t="inlineStr">
        <is>
          <t>14701 E 38th Ave</t>
        </is>
      </c>
      <c r="E187" s="458" t="inlineStr">
        <is>
          <t>Aurora</t>
        </is>
      </c>
      <c r="F187" s="458" t="inlineStr">
        <is>
          <t>CO</t>
        </is>
      </c>
      <c r="G187" s="458" t="inlineStr">
        <is>
          <t>Industrial</t>
        </is>
      </c>
      <c r="H187" s="468" t="inlineStr">
        <is>
          <t>Industrial Owner-User</t>
        </is>
      </c>
      <c r="I187" s="458" t="n"/>
      <c r="J187" s="458" t="n">
        <v>117280</v>
      </c>
      <c r="K187" s="458" t="n">
        <v>2024</v>
      </c>
      <c r="L187" s="458" t="n"/>
      <c r="M187" s="458" t="n"/>
      <c r="N187" s="458" t="n"/>
      <c r="O187" s="469" t="n">
        <v>56500</v>
      </c>
      <c r="P187" s="469" t="n">
        <v>452446</v>
      </c>
      <c r="Q187" s="458" t="n"/>
      <c r="R187" s="458" t="n"/>
      <c r="S187" s="458" t="n"/>
      <c r="T187" s="458" t="n"/>
      <c r="U187" s="458" t="n"/>
      <c r="V187" s="458" t="n"/>
      <c r="W187" s="458" t="n"/>
      <c r="X187" s="469" t="n">
        <v>219534</v>
      </c>
      <c r="Y187" s="469" t="n">
        <v>219534</v>
      </c>
      <c r="Z187" s="469" t="n">
        <v>13813</v>
      </c>
      <c r="AA187" s="469" t="n">
        <v>4696</v>
      </c>
      <c r="AB187" s="458" t="n"/>
      <c r="AC187" s="469" t="n">
        <v>18509</v>
      </c>
      <c r="AD187" s="458" t="n"/>
      <c r="AE187" s="458" t="n"/>
      <c r="AF187" s="469" t="n">
        <v>371508</v>
      </c>
      <c r="AG187" s="458" t="n"/>
      <c r="AH187" s="469" t="n">
        <v>1118497</v>
      </c>
      <c r="AI187" s="458" t="n"/>
      <c r="AJ187" s="469" t="n">
        <v>1118497</v>
      </c>
      <c r="AK187" s="458" t="n"/>
      <c r="AL187" s="458" t="n"/>
      <c r="AM187" s="468"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256">
        <f>IF(B187="","",IFERROR(INDEX(OCC_TABLE_DESC,MATCH(B187,OCC_TABLE_CODE,0)),"Unrecognized code"))</f>
        <v/>
      </c>
    </row>
    <row r="188" ht="25.5" customHeight="1" s="545">
      <c r="A188" s="458" t="inlineStr">
        <is>
          <t>P097</t>
        </is>
      </c>
      <c r="B188" s="449" t="n">
        <v>210</v>
      </c>
      <c r="C188" s="458" t="inlineStr">
        <is>
          <t>R0137586</t>
        </is>
      </c>
      <c r="D188" s="468" t="inlineStr">
        <is>
          <t>7273-7285 E 96th Ave</t>
        </is>
      </c>
      <c r="E188" s="458" t="inlineStr">
        <is>
          <t>Commerce City</t>
        </is>
      </c>
      <c r="F188" s="458" t="inlineStr">
        <is>
          <t>CO</t>
        </is>
      </c>
      <c r="G188" s="458" t="inlineStr">
        <is>
          <t>Industrial</t>
        </is>
      </c>
      <c r="H188" s="468" t="inlineStr">
        <is>
          <t>Multi-Tenant Industrial</t>
        </is>
      </c>
      <c r="I188" s="458" t="n"/>
      <c r="J188" s="458" t="n">
        <v>57200</v>
      </c>
      <c r="K188" s="458" t="n">
        <v>2023</v>
      </c>
      <c r="L188" s="469" t="n">
        <v>803900</v>
      </c>
      <c r="M188" s="458" t="n"/>
      <c r="N188" s="458" t="n"/>
      <c r="O188" s="469" t="n">
        <v>12548</v>
      </c>
      <c r="P188" s="469" t="n">
        <v>56144</v>
      </c>
      <c r="Q188" s="458" t="n"/>
      <c r="R188" s="458" t="n"/>
      <c r="S188" s="458" t="n"/>
      <c r="T188" s="458" t="n"/>
      <c r="U188" s="458" t="n"/>
      <c r="V188" s="458" t="n"/>
      <c r="W188" s="458" t="n"/>
      <c r="X188" s="469" t="n">
        <v>39723</v>
      </c>
      <c r="Y188" s="469" t="n">
        <v>39723</v>
      </c>
      <c r="Z188" s="469" t="n">
        <v>22410</v>
      </c>
      <c r="AA188" s="469" t="n">
        <v>1470</v>
      </c>
      <c r="AB188" s="458" t="n"/>
      <c r="AC188" s="469" t="n">
        <v>23880</v>
      </c>
      <c r="AD188" s="458" t="n"/>
      <c r="AE188" s="469" t="n">
        <v>6687</v>
      </c>
      <c r="AF188" s="469" t="n">
        <v>6687</v>
      </c>
      <c r="AG188" s="458" t="n"/>
      <c r="AH188" s="469" t="n">
        <v>138802</v>
      </c>
      <c r="AI188" s="458" t="n"/>
      <c r="AJ188" s="469" t="n">
        <v>138802</v>
      </c>
      <c r="AK188" s="458" t="n"/>
      <c r="AL188" s="458" t="n"/>
      <c r="AM188" s="468"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256">
        <f>IF(B188="","",IFERROR(INDEX(OCC_TABLE_DESC,MATCH(B188,OCC_TABLE_CODE,0)),"Unrecognized code"))</f>
        <v/>
      </c>
    </row>
    <row r="189" ht="38.25" customHeight="1" s="545">
      <c r="A189" s="458" t="inlineStr">
        <is>
          <t>P098</t>
        </is>
      </c>
      <c r="B189" s="449" t="n">
        <v>210</v>
      </c>
      <c r="C189" s="458" t="inlineStr">
        <is>
          <t>R0187010</t>
        </is>
      </c>
      <c r="D189" s="468" t="inlineStr">
        <is>
          <t>8020 Steele St</t>
        </is>
      </c>
      <c r="E189" s="458" t="inlineStr">
        <is>
          <t>Denver</t>
        </is>
      </c>
      <c r="F189" s="458" t="inlineStr">
        <is>
          <t>CO</t>
        </is>
      </c>
      <c r="G189" s="458" t="inlineStr">
        <is>
          <t>Industrial</t>
        </is>
      </c>
      <c r="H189" s="468" t="inlineStr">
        <is>
          <t>Industrial Modified Gross</t>
        </is>
      </c>
      <c r="I189" s="458" t="n"/>
      <c r="J189" s="458" t="n">
        <v>70000</v>
      </c>
      <c r="K189" s="458" t="n">
        <v>2024</v>
      </c>
      <c r="L189" s="469" t="n">
        <v>539000</v>
      </c>
      <c r="M189" s="458" t="n"/>
      <c r="N189" s="458" t="n"/>
      <c r="O189" s="458" t="n"/>
      <c r="P189" s="469" t="n">
        <v>16170</v>
      </c>
      <c r="Q189" s="458" t="n"/>
      <c r="R189" s="458" t="n"/>
      <c r="S189" s="458" t="n"/>
      <c r="T189" s="458" t="n"/>
      <c r="U189" s="458" t="n"/>
      <c r="V189" s="458" t="n"/>
      <c r="W189" s="458" t="n"/>
      <c r="X189" s="469" t="n">
        <v>3600</v>
      </c>
      <c r="Y189" s="469" t="n">
        <v>3600</v>
      </c>
      <c r="Z189" s="458" t="n"/>
      <c r="AA189" s="469" t="n">
        <v>4000</v>
      </c>
      <c r="AB189" s="458" t="n"/>
      <c r="AC189" s="469" t="n">
        <v>4000</v>
      </c>
      <c r="AD189" s="458" t="n"/>
      <c r="AE189" s="458" t="n"/>
      <c r="AF189" s="458" t="n"/>
      <c r="AG189" s="458" t="n"/>
      <c r="AH189" s="469" t="n">
        <v>23770</v>
      </c>
      <c r="AI189" s="458" t="n"/>
      <c r="AJ189" s="469" t="n">
        <v>23770</v>
      </c>
      <c r="AK189" s="458" t="n"/>
      <c r="AL189" s="458" t="n"/>
      <c r="AM189" s="468"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256">
        <f>IF(B189="","",IFERROR(INDEX(OCC_TABLE_DESC,MATCH(B189,OCC_TABLE_CODE,0)),"Unrecognized code"))</f>
        <v/>
      </c>
    </row>
    <row r="190" ht="25.5" customHeight="1" s="545">
      <c r="A190" s="458" t="inlineStr">
        <is>
          <t>P099</t>
        </is>
      </c>
      <c r="B190" s="449" t="n">
        <v>210</v>
      </c>
      <c r="C190" s="458" t="inlineStr">
        <is>
          <t>R0111914</t>
        </is>
      </c>
      <c r="D190" s="468" t="inlineStr">
        <is>
          <t>1963 Jasper St</t>
        </is>
      </c>
      <c r="E190" s="458" t="inlineStr">
        <is>
          <t>Aurora</t>
        </is>
      </c>
      <c r="F190" s="458" t="inlineStr">
        <is>
          <t>CO</t>
        </is>
      </c>
      <c r="G190" s="458" t="inlineStr">
        <is>
          <t>Industrial</t>
        </is>
      </c>
      <c r="H190" s="468" t="inlineStr">
        <is>
          <t>Multi-Tenant Industrial Gross</t>
        </is>
      </c>
      <c r="I190" s="458" t="n"/>
      <c r="J190" s="458" t="n">
        <v>33574</v>
      </c>
      <c r="K190" s="458" t="n">
        <v>2024</v>
      </c>
      <c r="L190" s="469" t="n">
        <v>330000</v>
      </c>
      <c r="M190" s="458" t="n"/>
      <c r="N190" s="469" t="n">
        <v>330000</v>
      </c>
      <c r="O190" s="469" t="n">
        <v>8310</v>
      </c>
      <c r="P190" s="469" t="n">
        <v>16500</v>
      </c>
      <c r="Q190" s="458" t="n"/>
      <c r="R190" s="458" t="n"/>
      <c r="S190" s="458" t="n"/>
      <c r="T190" s="458" t="n"/>
      <c r="U190" s="458" t="n"/>
      <c r="V190" s="458" t="n"/>
      <c r="W190" s="458" t="n"/>
      <c r="X190" s="469" t="n">
        <v>18881</v>
      </c>
      <c r="Y190" s="469" t="n">
        <v>18881</v>
      </c>
      <c r="Z190" s="469" t="n">
        <v>9900</v>
      </c>
      <c r="AA190" s="469" t="n">
        <v>11300</v>
      </c>
      <c r="AB190" s="458" t="n"/>
      <c r="AC190" s="469" t="n">
        <v>21200</v>
      </c>
      <c r="AD190" s="458" t="n"/>
      <c r="AE190" s="469" t="n">
        <v>11540</v>
      </c>
      <c r="AF190" s="469" t="n">
        <v>11540</v>
      </c>
      <c r="AG190" s="458" t="n"/>
      <c r="AH190" s="469" t="n">
        <v>76431</v>
      </c>
      <c r="AI190" s="458" t="n"/>
      <c r="AJ190" s="469" t="n">
        <v>76431</v>
      </c>
      <c r="AK190" s="469" t="n">
        <v>253569</v>
      </c>
      <c r="AL190" s="458" t="n"/>
      <c r="AM190" s="468"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256">
        <f>IF(B190="","",IFERROR(INDEX(OCC_TABLE_DESC,MATCH(B190,OCC_TABLE_CODE,0)),"Unrecognized code"))</f>
        <v/>
      </c>
    </row>
    <row r="191" ht="51" customHeight="1" s="545">
      <c r="A191" s="458" t="inlineStr">
        <is>
          <t>P100</t>
        </is>
      </c>
      <c r="B191" s="449" t="n">
        <v>1332</v>
      </c>
      <c r="C191" s="458" t="inlineStr">
        <is>
          <t>R0111965</t>
        </is>
      </c>
      <c r="D191" s="468" t="inlineStr">
        <is>
          <t>12101 Grant St</t>
        </is>
      </c>
      <c r="E191" s="458" t="inlineStr">
        <is>
          <t>Thornton</t>
        </is>
      </c>
      <c r="F191" s="458" t="inlineStr">
        <is>
          <t>CO</t>
        </is>
      </c>
      <c r="G191" s="458" t="inlineStr">
        <is>
          <t>Hospitality</t>
        </is>
      </c>
      <c r="H191" s="468" t="inlineStr">
        <is>
          <t>Hotel Limited Service</t>
        </is>
      </c>
      <c r="I191" s="458" t="n">
        <v>1998</v>
      </c>
      <c r="J191" s="458" t="n"/>
      <c r="K191" s="458" t="n">
        <v>2024</v>
      </c>
      <c r="L191" s="469" t="n">
        <v>3007421</v>
      </c>
      <c r="M191" s="458" t="n"/>
      <c r="N191" s="469" t="n">
        <v>3007421</v>
      </c>
      <c r="O191" s="469" t="n">
        <v>45111</v>
      </c>
      <c r="P191" s="458" t="n"/>
      <c r="Q191" s="458" t="n"/>
      <c r="R191" s="458" t="n"/>
      <c r="S191" s="458" t="n"/>
      <c r="T191" s="458" t="n"/>
      <c r="U191" s="458" t="n"/>
      <c r="V191" s="458" t="n"/>
      <c r="W191" s="458" t="n"/>
      <c r="X191" s="458" t="n"/>
      <c r="Y191" s="458" t="n"/>
      <c r="Z191" s="458" t="n"/>
      <c r="AA191" s="458" t="n"/>
      <c r="AB191" s="458" t="n"/>
      <c r="AC191" s="458" t="n"/>
      <c r="AD191" s="458" t="n"/>
      <c r="AE191" s="458" t="n"/>
      <c r="AF191" s="458" t="n"/>
      <c r="AG191" s="469" t="n">
        <v>1975907</v>
      </c>
      <c r="AH191" s="469" t="n">
        <v>2143856</v>
      </c>
      <c r="AI191" s="458" t="n"/>
      <c r="AJ191" s="469" t="n">
        <v>2143856</v>
      </c>
      <c r="AK191" s="469" t="n">
        <v>863565</v>
      </c>
      <c r="AL191" s="458" t="n"/>
      <c r="AM191" s="468"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256">
        <f>IF(B191="","",IFERROR(INDEX(OCC_TABLE_DESC,MATCH(B191,OCC_TABLE_CODE,0)),"Unrecognized code"))</f>
        <v/>
      </c>
    </row>
    <row r="192" ht="51" customHeight="1" s="545">
      <c r="A192" s="458" t="inlineStr">
        <is>
          <t>P101</t>
        </is>
      </c>
      <c r="B192" s="449" t="n">
        <v>332</v>
      </c>
      <c r="C192" s="458" t="inlineStr">
        <is>
          <t>R0202410</t>
        </is>
      </c>
      <c r="D192" s="468" t="inlineStr">
        <is>
          <t>2556 Oswego St</t>
        </is>
      </c>
      <c r="E192" s="458" t="inlineStr">
        <is>
          <t>Aurora</t>
        </is>
      </c>
      <c r="F192" s="458" t="inlineStr">
        <is>
          <t>CO</t>
        </is>
      </c>
      <c r="G192" s="458" t="inlineStr">
        <is>
          <t>Hospitality</t>
        </is>
      </c>
      <c r="H192" s="468" t="inlineStr">
        <is>
          <t>Hotel Full Service</t>
        </is>
      </c>
      <c r="I192" s="458" t="n">
        <v>2023</v>
      </c>
      <c r="J192" s="458" t="n"/>
      <c r="K192" s="458" t="n">
        <v>2024</v>
      </c>
      <c r="L192" s="469" t="n">
        <v>11899487</v>
      </c>
      <c r="M192" s="458" t="n"/>
      <c r="N192" s="469" t="n">
        <v>11899487</v>
      </c>
      <c r="O192" s="469" t="n">
        <v>154693</v>
      </c>
      <c r="P192" s="458" t="n"/>
      <c r="Q192" s="458" t="n"/>
      <c r="R192" s="458" t="n"/>
      <c r="S192" s="458" t="n"/>
      <c r="T192" s="458" t="n"/>
      <c r="U192" s="458" t="n"/>
      <c r="V192" s="458" t="n"/>
      <c r="W192" s="458" t="n"/>
      <c r="X192" s="458" t="n"/>
      <c r="Y192" s="458" t="n"/>
      <c r="Z192" s="458" t="n"/>
      <c r="AA192" s="458" t="n"/>
      <c r="AB192" s="458" t="n"/>
      <c r="AC192" s="458" t="n"/>
      <c r="AD192" s="458" t="n"/>
      <c r="AE192" s="458" t="n"/>
      <c r="AF192" s="458" t="n"/>
      <c r="AG192" s="469" t="n">
        <v>8760469</v>
      </c>
      <c r="AH192" s="469" t="n">
        <v>8915468</v>
      </c>
      <c r="AI192" s="458" t="n"/>
      <c r="AJ192" s="469" t="n">
        <v>9391447</v>
      </c>
      <c r="AK192" s="469" t="n">
        <v>2984019</v>
      </c>
      <c r="AL192" s="469" t="n">
        <v>475979</v>
      </c>
      <c r="AM192" s="468"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256">
        <f>IF(B192="","",IFERROR(INDEX(OCC_TABLE_DESC,MATCH(B192,OCC_TABLE_CODE,0)),"Unrecognized code"))</f>
        <v/>
      </c>
    </row>
    <row r="193" ht="63.75" customHeight="1" s="545">
      <c r="A193" s="458" t="inlineStr">
        <is>
          <t>P102</t>
        </is>
      </c>
      <c r="B193" s="449" t="n">
        <v>332</v>
      </c>
      <c r="C193" s="458" t="inlineStr">
        <is>
          <t>R0024498</t>
        </is>
      </c>
      <c r="D193" s="468" t="inlineStr">
        <is>
          <t>83 E 120th Ave</t>
        </is>
      </c>
      <c r="E193" s="458" t="inlineStr">
        <is>
          <t>Thornton</t>
        </is>
      </c>
      <c r="F193" s="458" t="inlineStr">
        <is>
          <t>CO</t>
        </is>
      </c>
      <c r="G193" s="458" t="inlineStr">
        <is>
          <t>Hospitality</t>
        </is>
      </c>
      <c r="H193" s="468" t="inlineStr">
        <is>
          <t>Hotel Full Service</t>
        </is>
      </c>
      <c r="I193" s="458" t="n">
        <v>1984</v>
      </c>
      <c r="J193" s="458" t="n">
        <v>114796</v>
      </c>
      <c r="K193" s="458" t="n">
        <v>2024</v>
      </c>
      <c r="L193" s="469" t="n">
        <v>7626796</v>
      </c>
      <c r="M193" s="458" t="n"/>
      <c r="N193" s="469" t="n">
        <v>7626796</v>
      </c>
      <c r="O193" s="469" t="n">
        <v>99148</v>
      </c>
      <c r="P193" s="458" t="n"/>
      <c r="Q193" s="458" t="n"/>
      <c r="R193" s="458" t="n"/>
      <c r="S193" s="458" t="n"/>
      <c r="T193" s="458" t="n"/>
      <c r="U193" s="458" t="n"/>
      <c r="V193" s="458" t="n"/>
      <c r="W193" s="458" t="n"/>
      <c r="X193" s="458" t="n"/>
      <c r="Y193" s="458" t="n"/>
      <c r="Z193" s="458" t="n"/>
      <c r="AA193" s="458" t="n"/>
      <c r="AB193" s="458" t="n"/>
      <c r="AC193" s="458" t="n"/>
      <c r="AD193" s="458" t="n"/>
      <c r="AE193" s="458" t="n"/>
      <c r="AF193" s="458" t="n"/>
      <c r="AG193" s="469" t="n">
        <v>5596452</v>
      </c>
      <c r="AH193" s="469" t="n">
        <v>5901380</v>
      </c>
      <c r="AI193" s="458" t="n"/>
      <c r="AJ193" s="469" t="n">
        <v>6206452</v>
      </c>
      <c r="AK193" s="469" t="n">
        <v>1725416</v>
      </c>
      <c r="AL193" s="469" t="n">
        <v>305072</v>
      </c>
      <c r="AM193" s="468"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256">
        <f>IF(B193="","",IFERROR(INDEX(OCC_TABLE_DESC,MATCH(B193,OCC_TABLE_CODE,0)),"Unrecognized code"))</f>
        <v/>
      </c>
    </row>
    <row r="194" ht="25.5" customHeight="1" s="545">
      <c r="A194" s="458" t="inlineStr">
        <is>
          <t>P103</t>
        </is>
      </c>
      <c r="B194" s="449" t="n">
        <v>407</v>
      </c>
      <c r="C194" s="458" t="inlineStr">
        <is>
          <t>R0075212</t>
        </is>
      </c>
      <c r="D194" s="468" t="inlineStr">
        <is>
          <t>10500 Havana Ct</t>
        </is>
      </c>
      <c r="E194" s="458" t="inlineStr">
        <is>
          <t>Commerce City</t>
        </is>
      </c>
      <c r="F194" s="458" t="inlineStr">
        <is>
          <t>CO</t>
        </is>
      </c>
      <c r="G194" s="458" t="inlineStr">
        <is>
          <t>Industrial</t>
        </is>
      </c>
      <c r="H194" s="468" t="inlineStr">
        <is>
          <t>Industrial NNN</t>
        </is>
      </c>
      <c r="I194" s="458" t="n"/>
      <c r="J194" s="458" t="n">
        <v>30000</v>
      </c>
      <c r="K194" s="458" t="n">
        <v>2024</v>
      </c>
      <c r="L194" s="469" t="n">
        <v>252000</v>
      </c>
      <c r="M194" s="458" t="n"/>
      <c r="N194" s="458" t="n"/>
      <c r="O194" s="469" t="n">
        <v>22704</v>
      </c>
      <c r="P194" s="469" t="n">
        <v>9500</v>
      </c>
      <c r="Q194" s="458" t="n"/>
      <c r="R194" s="458" t="n"/>
      <c r="S194" s="458" t="n"/>
      <c r="T194" s="458" t="n"/>
      <c r="U194" s="458" t="n"/>
      <c r="V194" s="458" t="n"/>
      <c r="W194" s="458" t="n"/>
      <c r="X194" s="469" t="n">
        <v>10941</v>
      </c>
      <c r="Y194" s="469" t="n">
        <v>10941</v>
      </c>
      <c r="Z194" s="469" t="n">
        <v>3493</v>
      </c>
      <c r="AA194" s="469" t="n">
        <v>6910</v>
      </c>
      <c r="AB194" s="458" t="n"/>
      <c r="AC194" s="469" t="n">
        <v>10403</v>
      </c>
      <c r="AD194" s="458" t="n"/>
      <c r="AE194" s="469" t="n">
        <v>1956</v>
      </c>
      <c r="AF194" s="469" t="n">
        <v>1956</v>
      </c>
      <c r="AG194" s="458" t="n"/>
      <c r="AH194" s="469" t="n">
        <v>55504</v>
      </c>
      <c r="AI194" s="458" t="n"/>
      <c r="AJ194" s="469" t="n">
        <v>55504</v>
      </c>
      <c r="AK194" s="458" t="n"/>
      <c r="AL194" s="458" t="n"/>
      <c r="AM194" s="468" t="inlineStr">
        <is>
          <t>I&amp;E Survey 2024; NNN lease; owner-reported; 30,000 SF; no NOI computed (no EGI reported)</t>
        </is>
      </c>
      <c r="AN194">
        <f>IF(AND($B194=Subj_OccCode,Subj_BldgSF&gt;0,ABS($J194-Subj_BldgSF)&lt;=Subj_BldgSF*Subj_SizeTol),ABS($J194-Subj_BldgSF),NA())</f>
        <v/>
      </c>
      <c r="AO194">
        <f>IF(ISNA(AN194),NA(),AN194+ROW()/10000000)</f>
        <v/>
      </c>
      <c r="AR194" s="256">
        <f>IF(B194="","",IFERROR(INDEX(OCC_TABLE_DESC,MATCH(B194,OCC_TABLE_CODE,0)),"Unrecognized code"))</f>
        <v/>
      </c>
    </row>
    <row r="195" ht="51" customHeight="1" s="545">
      <c r="A195" s="458" t="inlineStr">
        <is>
          <t>P089</t>
        </is>
      </c>
      <c r="B195" s="449" t="n">
        <v>407</v>
      </c>
      <c r="C195" s="458" t="inlineStr">
        <is>
          <t>R0180951</t>
        </is>
      </c>
      <c r="D195" s="468" t="inlineStr">
        <is>
          <t>21200 E 36th Dr</t>
        </is>
      </c>
      <c r="E195" s="458" t="inlineStr">
        <is>
          <t>Aurora</t>
        </is>
      </c>
      <c r="F195" s="458" t="inlineStr">
        <is>
          <t>CO</t>
        </is>
      </c>
      <c r="G195" s="458" t="inlineStr">
        <is>
          <t>Industrial</t>
        </is>
      </c>
      <c r="H195" s="468" t="inlineStr">
        <is>
          <t>Industrial NNN</t>
        </is>
      </c>
      <c r="I195" s="458" t="n">
        <v>2016</v>
      </c>
      <c r="J195" s="458" t="n">
        <v>122106</v>
      </c>
      <c r="K195" s="458" t="n">
        <v>2024</v>
      </c>
      <c r="L195" s="458" t="n"/>
      <c r="M195" s="458" t="n"/>
      <c r="N195" s="458" t="n"/>
      <c r="O195" s="469" t="n">
        <v>7635</v>
      </c>
      <c r="P195" s="458" t="n"/>
      <c r="Q195" s="458" t="n"/>
      <c r="R195" s="458" t="n"/>
      <c r="S195" s="458" t="n"/>
      <c r="T195" s="458" t="n"/>
      <c r="U195" s="458" t="n"/>
      <c r="V195" s="458" t="n"/>
      <c r="W195" s="458" t="n"/>
      <c r="X195" s="469" t="n">
        <v>38871</v>
      </c>
      <c r="Y195" s="469" t="n">
        <v>38871</v>
      </c>
      <c r="Z195" s="469" t="n">
        <v>13785</v>
      </c>
      <c r="AA195" s="469" t="n">
        <v>11809</v>
      </c>
      <c r="AB195" s="458" t="n"/>
      <c r="AC195" s="469" t="n">
        <v>25594</v>
      </c>
      <c r="AD195" s="469" t="n">
        <v>58541</v>
      </c>
      <c r="AE195" s="458" t="n"/>
      <c r="AF195" s="469" t="n">
        <v>58541</v>
      </c>
      <c r="AG195" s="458" t="n"/>
      <c r="AH195" s="458" t="n"/>
      <c r="AI195" s="469" t="n">
        <v>532140</v>
      </c>
      <c r="AJ195" s="469" t="n">
        <v>662781</v>
      </c>
      <c r="AK195" s="458" t="n"/>
      <c r="AL195" s="458" t="n"/>
      <c r="AM195" s="468"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256">
        <f>IF(B195="","",IFERROR(INDEX(OCC_TABLE_DESC,MATCH(B195,OCC_TABLE_CODE,0)),"Unrecognized code"))</f>
        <v/>
      </c>
    </row>
    <row r="196" ht="52.5" customHeight="1" s="545">
      <c r="A196" t="inlineStr">
        <is>
          <t>P104</t>
        </is>
      </c>
      <c r="B196" s="449" t="n">
        <v>210</v>
      </c>
      <c r="C196" t="inlineStr">
        <is>
          <t>R0226379</t>
        </is>
      </c>
      <c r="D196" s="653" t="inlineStr">
        <is>
          <t>26100 E 68th Ave</t>
        </is>
      </c>
      <c r="E196" t="inlineStr">
        <is>
          <t>Aurora</t>
        </is>
      </c>
      <c r="F196" t="inlineStr">
        <is>
          <t>CO</t>
        </is>
      </c>
      <c r="G196" t="inlineStr">
        <is>
          <t>Industrial</t>
        </is>
      </c>
      <c r="H196" s="653"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68623.10000000001</v>
      </c>
      <c r="AD196" t="n">
        <v>29263.75</v>
      </c>
      <c r="AE196" t="n">
        <v>11425.16</v>
      </c>
      <c r="AF196" t="n">
        <v>40688.91</v>
      </c>
      <c r="AG196" t="n">
        <v>4476.68</v>
      </c>
      <c r="AH196" t="n">
        <v>592603.42</v>
      </c>
      <c r="AI196" t="n">
        <v>681745.35</v>
      </c>
      <c r="AJ196" t="n">
        <v>1274348.77</v>
      </c>
      <c r="AK196" t="n">
        <v>1250716.32</v>
      </c>
      <c r="AM196" s="653"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256">
        <f>IF(B196="","",IFERROR(INDEX(OCC_TABLE_DESC,MATCH(B196,OCC_TABLE_CODE,0)),"Unrecognized code"))</f>
        <v/>
      </c>
    </row>
    <row r="197" ht="52.5" customHeight="1" s="545">
      <c r="A197" t="inlineStr">
        <is>
          <t>P104</t>
        </is>
      </c>
      <c r="B197" s="449" t="n">
        <v>210</v>
      </c>
      <c r="C197" t="inlineStr">
        <is>
          <t>R0226379</t>
        </is>
      </c>
      <c r="D197" s="653" t="inlineStr">
        <is>
          <t>26100 E 68th Ave</t>
        </is>
      </c>
      <c r="E197" t="inlineStr">
        <is>
          <t>Aurora</t>
        </is>
      </c>
      <c r="F197" t="inlineStr">
        <is>
          <t>CO</t>
        </is>
      </c>
      <c r="G197" t="inlineStr">
        <is>
          <t>Industrial</t>
        </is>
      </c>
      <c r="H197" s="653"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91036.77</v>
      </c>
      <c r="AD197" t="n">
        <v>25899.28</v>
      </c>
      <c r="AE197" t="n">
        <v>11031.13</v>
      </c>
      <c r="AF197" t="n">
        <v>36930.41</v>
      </c>
      <c r="AG197" t="n">
        <v>9341.34</v>
      </c>
      <c r="AH197" t="n">
        <v>540838.58</v>
      </c>
      <c r="AI197" t="n">
        <v>659137.36</v>
      </c>
      <c r="AJ197" t="n">
        <v>1199975.94</v>
      </c>
      <c r="AK197" t="n">
        <v>1117405.16</v>
      </c>
      <c r="AM197" s="653"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256">
        <f>IF(B197="","",IFERROR(INDEX(OCC_TABLE_DESC,MATCH(B197,OCC_TABLE_CODE,0)),"Unrecognized code"))</f>
        <v/>
      </c>
    </row>
    <row r="198" ht="12" customHeight="1" s="545">
      <c r="A198" t="inlineStr">
        <is>
          <t>P105</t>
        </is>
      </c>
      <c r="B198" t="n">
        <v>407</v>
      </c>
      <c r="C198" t="inlineStr">
        <is>
          <t>R0083953</t>
        </is>
      </c>
      <c r="D198" t="inlineStr">
        <is>
          <t>Majestic Commercenter - WPC ABC (20901 E 32nd Pkwy)</t>
        </is>
      </c>
      <c r="E198" t="inlineStr">
        <is>
          <t>Aurora</t>
        </is>
      </c>
      <c r="F198" t="inlineStr">
        <is>
          <t>CO</t>
        </is>
      </c>
      <c r="G198" t="inlineStr">
        <is>
          <t>Industrial</t>
        </is>
      </c>
      <c r="H198" t="inlineStr">
        <is>
          <t>Warehouse NNN (4 x 50,000 SF units)</t>
        </is>
      </c>
      <c r="I198" s="58" t="n">
        <v>1985</v>
      </c>
      <c r="J198" s="57" t="n">
        <v>200000</v>
      </c>
      <c r="K198" s="58" t="n">
        <v>2024</v>
      </c>
      <c r="L198" s="387" t="n">
        <v>698747.99</v>
      </c>
      <c r="M198" s="387" t="n">
        <v>663224.8</v>
      </c>
      <c r="N198" s="387" t="n">
        <v>1361972.79</v>
      </c>
      <c r="O198" s="387" t="n">
        <v>65797</v>
      </c>
      <c r="P198" s="387" t="n">
        <v>43037.28</v>
      </c>
      <c r="Q198" s="387" t="n"/>
      <c r="R198" s="387" t="n">
        <v>4433.48</v>
      </c>
      <c r="S198" s="387" t="n">
        <v>15031.6</v>
      </c>
      <c r="T198" s="387" t="n">
        <v>4079.61</v>
      </c>
      <c r="U198" s="387" t="n">
        <v>5126.45</v>
      </c>
      <c r="V198" s="387" t="n"/>
      <c r="W198" s="387" t="n"/>
      <c r="X198" s="387" t="n">
        <v>310</v>
      </c>
      <c r="Y198" s="387" t="n">
        <v>28981.14</v>
      </c>
      <c r="Z198" s="387" t="n"/>
      <c r="AA198" s="387" t="n">
        <v>10960.97</v>
      </c>
      <c r="AB198" s="387" t="n">
        <v>12925.25</v>
      </c>
      <c r="AC198" s="387" t="n">
        <v>23886.22</v>
      </c>
      <c r="AD198" s="387" t="n">
        <v>24928.96</v>
      </c>
      <c r="AE198" s="387" t="n"/>
      <c r="AF198" s="387" t="n">
        <v>24928.96</v>
      </c>
      <c r="AG198" s="387" t="n">
        <v>2310</v>
      </c>
      <c r="AH198" s="387" t="n">
        <v>188940.6</v>
      </c>
      <c r="AI198" s="387" t="n">
        <v>423808.38</v>
      </c>
      <c r="AJ198" s="387" t="n">
        <v>612748.98</v>
      </c>
      <c r="AK198" s="387" t="n">
        <v>749223.8100000001</v>
      </c>
      <c r="AL198" s="387" t="n"/>
      <c r="AM198" t="inlineStr">
        <is>
          <t>Source: Master Property Database (Income-Expense Detail). Colliers operating statement FY2024; 200,000 SF, 0 vacant. Exterior R&amp;M = parking lot $14,957 + sweeping $75. Other/Admin = extermination.</t>
        </is>
      </c>
      <c r="AN198">
        <f>IF(AND($B198=Subj_OccCode,Subj_BldgSF&gt;0,ABS($J198-Subj_BldgSF)&lt;=Subj_BldgSF*Subj_SizeTol),ABS($J198-Subj_BldgSF),NA())</f>
        <v/>
      </c>
      <c r="AO198">
        <f>IF(ISNA(AN198),NA(),AN198+ROW()/10000000)</f>
        <v/>
      </c>
      <c r="AR198">
        <f>IF(B198="","",IFERROR(INDEX(OCC_TABLE_DESC,MATCH(B198,OCC_TABLE_CODE,0)),"Unrecognized code"))</f>
        <v/>
      </c>
    </row>
    <row r="199" ht="12" customHeight="1" s="545">
      <c r="A199" t="inlineStr">
        <is>
          <t>P105</t>
        </is>
      </c>
      <c r="B199" t="n">
        <v>407</v>
      </c>
      <c r="C199" t="inlineStr">
        <is>
          <t>R0083953</t>
        </is>
      </c>
      <c r="D199" t="inlineStr">
        <is>
          <t>Majestic Commercenter - WPC ABC (20901 E 32nd Pkwy)</t>
        </is>
      </c>
      <c r="E199" t="inlineStr">
        <is>
          <t>Aurora</t>
        </is>
      </c>
      <c r="F199" t="inlineStr">
        <is>
          <t>CO</t>
        </is>
      </c>
      <c r="G199" t="inlineStr">
        <is>
          <t>Industrial</t>
        </is>
      </c>
      <c r="H199" t="inlineStr">
        <is>
          <t>Warehouse NNN (4 x 50,000 SF units)</t>
        </is>
      </c>
      <c r="I199" s="58" t="n">
        <v>1985</v>
      </c>
      <c r="J199" s="57" t="n">
        <v>200000</v>
      </c>
      <c r="K199" s="58" t="n">
        <v>2023</v>
      </c>
      <c r="L199" s="387" t="n">
        <v>675674.6800000001</v>
      </c>
      <c r="M199" s="387" t="n">
        <v>656555.27</v>
      </c>
      <c r="N199" s="387" t="n">
        <v>1332229.95</v>
      </c>
      <c r="O199" s="387" t="n">
        <v>29399</v>
      </c>
      <c r="P199" s="387" t="n">
        <v>38009.45</v>
      </c>
      <c r="Q199" s="387" t="n"/>
      <c r="R199" s="387" t="n">
        <v>2154.09</v>
      </c>
      <c r="S199" s="387" t="n">
        <v>46760.87</v>
      </c>
      <c r="T199" s="387" t="n">
        <v>1930</v>
      </c>
      <c r="U199" s="387" t="n">
        <v>19024.59</v>
      </c>
      <c r="V199" s="387" t="n"/>
      <c r="W199" s="387" t="n"/>
      <c r="X199" s="387" t="n">
        <v>3437</v>
      </c>
      <c r="Y199" s="387" t="n">
        <v>73306.55</v>
      </c>
      <c r="Z199" s="387" t="n"/>
      <c r="AA199" s="387" t="n">
        <v>21159.44</v>
      </c>
      <c r="AB199" s="387" t="n">
        <v>12819.5</v>
      </c>
      <c r="AC199" s="387" t="n">
        <v>33978.94</v>
      </c>
      <c r="AD199" s="387" t="n">
        <v>24936.52</v>
      </c>
      <c r="AE199" s="387" t="n"/>
      <c r="AF199" s="387" t="n">
        <v>24936.52</v>
      </c>
      <c r="AG199" s="387" t="n">
        <v>2910</v>
      </c>
      <c r="AH199" s="387" t="n">
        <v>202540.46</v>
      </c>
      <c r="AI199" s="387" t="n">
        <v>331843.02</v>
      </c>
      <c r="AJ199" s="387" t="n">
        <v>534383.48</v>
      </c>
      <c r="AK199" s="387" t="n">
        <v>797846.47</v>
      </c>
      <c r="AL199" s="387" t="n"/>
      <c r="AM199" t="inlineStr">
        <is>
          <t>Source: Master Property Database (Income-Expense Detail). Colliers operating statement FY2023. Exterior R&amp;M = parking lot $44,093 + roof $2,668. General R&amp;M = general building $1,317 recoverable + $825 non-recoverable + grounds $1,295.</t>
        </is>
      </c>
      <c r="AN199">
        <f>IF(AND($B199=Subj_OccCode,Subj_BldgSF&gt;0,ABS($J199-Subj_BldgSF)&lt;=Subj_BldgSF*Subj_SizeTol),ABS($J199-Subj_BldgSF),NA())</f>
        <v/>
      </c>
      <c r="AO199">
        <f>IF(ISNA(AN199),NA(),AN199+ROW()/10000000)</f>
        <v/>
      </c>
      <c r="AR199">
        <f>IF(B199="","",IFERROR(INDEX(OCC_TABLE_DESC,MATCH(B199,OCC_TABLE_CODE,0)),"Unrecognized code"))</f>
        <v/>
      </c>
    </row>
    <row r="200" ht="12" customHeight="1" s="545">
      <c r="A200" t="inlineStr">
        <is>
          <t>P105</t>
        </is>
      </c>
      <c r="B200" t="n">
        <v>407</v>
      </c>
      <c r="C200" t="inlineStr">
        <is>
          <t>R0083953</t>
        </is>
      </c>
      <c r="D200" t="inlineStr">
        <is>
          <t>Majestic Commercenter - WPC ABC (20901 E 32nd Pkwy)</t>
        </is>
      </c>
      <c r="E200" t="inlineStr">
        <is>
          <t>Aurora</t>
        </is>
      </c>
      <c r="F200" t="inlineStr">
        <is>
          <t>CO</t>
        </is>
      </c>
      <c r="G200" t="inlineStr">
        <is>
          <t>Industrial</t>
        </is>
      </c>
      <c r="H200" t="inlineStr">
        <is>
          <t>Warehouse NNN (4 x 50,000 SF units)</t>
        </is>
      </c>
      <c r="I200" s="58" t="n">
        <v>1985</v>
      </c>
      <c r="J200" s="57" t="n">
        <v>200000</v>
      </c>
      <c r="K200" s="58" t="n">
        <v>2022</v>
      </c>
      <c r="L200" s="387" t="n">
        <v>652664.67</v>
      </c>
      <c r="M200" s="387" t="n">
        <v>505926.68</v>
      </c>
      <c r="N200" s="387" t="n">
        <v>1158591.35</v>
      </c>
      <c r="O200" s="387" t="n">
        <v>21571</v>
      </c>
      <c r="P200" s="387" t="n">
        <v>35162.86</v>
      </c>
      <c r="Q200" s="387" t="n"/>
      <c r="R200" s="387" t="n">
        <v>646</v>
      </c>
      <c r="S200" s="387" t="n">
        <v>20753.13</v>
      </c>
      <c r="T200" s="387" t="n">
        <v>3326</v>
      </c>
      <c r="U200" s="387" t="n">
        <v>1022.84</v>
      </c>
      <c r="V200" s="387" t="n"/>
      <c r="W200" s="387" t="n"/>
      <c r="X200" s="387" t="n">
        <v>2175</v>
      </c>
      <c r="Y200" s="387" t="n">
        <v>27922.97</v>
      </c>
      <c r="Z200" s="387" t="n"/>
      <c r="AA200" s="387" t="n">
        <v>13440.66</v>
      </c>
      <c r="AB200" s="387" t="n">
        <v>19352.66</v>
      </c>
      <c r="AC200" s="387" t="n">
        <v>32793.32</v>
      </c>
      <c r="AD200" s="387" t="n">
        <v>31675.08</v>
      </c>
      <c r="AE200" s="387" t="n">
        <v>216.16</v>
      </c>
      <c r="AF200" s="387" t="n">
        <v>31891.24</v>
      </c>
      <c r="AG200" s="387" t="n">
        <v>2421.59</v>
      </c>
      <c r="AH200" s="387" t="n">
        <v>151762.98</v>
      </c>
      <c r="AI200" s="387" t="n">
        <v>366203.26</v>
      </c>
      <c r="AJ200" s="387" t="n">
        <v>517966.24</v>
      </c>
      <c r="AK200" s="387" t="n">
        <v>640625.11</v>
      </c>
      <c r="AL200" s="387" t="n"/>
      <c r="AM200" t="inlineStr">
        <is>
          <t>Source: Master Property Database (Income-Expense Detail). Colliers operating statement FY2022. Exterior R&amp;M = parking lot $19,891 + roof $862. Other/Admin = extermination $2,240 + other $182.</t>
        </is>
      </c>
      <c r="AN200">
        <f>IF(AND($B200=Subj_OccCode,Subj_BldgSF&gt;0,ABS($J200-Subj_BldgSF)&lt;=Subj_BldgSF*Subj_SizeTol),ABS($J200-Subj_BldgSF),NA())</f>
        <v/>
      </c>
      <c r="AO200">
        <f>IF(ISNA(AN200),NA(),AN200+ROW()/10000000)</f>
        <v/>
      </c>
      <c r="AR200">
        <f>IF(B200="","",IFERROR(INDEX(OCC_TABLE_DESC,MATCH(B200,OCC_TABLE_CODE,0)),"Unrecognized code"))</f>
        <v/>
      </c>
    </row>
    <row r="201" ht="12" customHeight="1" s="545">
      <c r="A201" t="inlineStr">
        <is>
          <t>P106</t>
        </is>
      </c>
      <c r="B201" t="n">
        <v>210</v>
      </c>
      <c r="C201" t="inlineStr">
        <is>
          <t>(none) 0182511303018</t>
        </is>
      </c>
      <c r="D201" t="inlineStr">
        <is>
          <t>5970 Marion Drive</t>
        </is>
      </c>
      <c r="E201" t="inlineStr">
        <is>
          <t>Denver</t>
        </is>
      </c>
      <c r="F201" t="inlineStr">
        <is>
          <t>CO</t>
        </is>
      </c>
      <c r="G201" t="inlineStr">
        <is>
          <t>Industrial</t>
        </is>
      </c>
      <c r="H201" t="inlineStr">
        <is>
          <t>Industrial Flex - 2 unit</t>
        </is>
      </c>
      <c r="I201" s="58" t="n"/>
      <c r="J201" s="57" t="n">
        <v>14400</v>
      </c>
      <c r="K201" s="58" t="n">
        <v>2024</v>
      </c>
      <c r="L201" s="387" t="n">
        <v>168399.6</v>
      </c>
      <c r="M201" s="387" t="n">
        <v>81272.60000000001</v>
      </c>
      <c r="N201" s="387" t="n">
        <v>249672.2</v>
      </c>
      <c r="O201" s="387" t="n">
        <v>10241.26</v>
      </c>
      <c r="P201" s="387" t="n">
        <v>6000</v>
      </c>
      <c r="Q201" s="387" t="n"/>
      <c r="R201" s="387" t="n"/>
      <c r="S201" s="387" t="n"/>
      <c r="T201" s="387" t="n"/>
      <c r="U201" s="387" t="n"/>
      <c r="V201" s="387" t="n"/>
      <c r="W201" s="387" t="n">
        <v>200</v>
      </c>
      <c r="X201" s="387" t="n"/>
      <c r="Y201" s="387" t="n">
        <v>200</v>
      </c>
      <c r="Z201" s="387" t="n"/>
      <c r="AA201" s="387" t="n"/>
      <c r="AB201" s="387" t="n">
        <v>927.47</v>
      </c>
      <c r="AC201" s="387" t="n">
        <v>927.47</v>
      </c>
      <c r="AD201" s="387" t="n">
        <v>2569.85</v>
      </c>
      <c r="AE201" s="387" t="n"/>
      <c r="AF201" s="387" t="n">
        <v>2569.85</v>
      </c>
      <c r="AG201" s="387" t="n">
        <v>1658.68</v>
      </c>
      <c r="AH201" s="387" t="n">
        <v>21597.26</v>
      </c>
      <c r="AI201" s="387" t="n">
        <v>62852.62</v>
      </c>
      <c r="AJ201" s="387" t="n">
        <v>84449.88</v>
      </c>
      <c r="AK201" s="387" t="n">
        <v>165222.32</v>
      </c>
      <c r="AL201" s="387" t="n"/>
      <c r="AM201"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c r="AN201">
        <f>IF(AND($B201=Subj_OccCode,Subj_BldgSF&gt;0,ABS($J201-Subj_BldgSF)&lt;=Subj_BldgSF*Subj_SizeTol),ABS($J201-Subj_BldgSF),NA())</f>
        <v/>
      </c>
      <c r="AO201">
        <f>IF(ISNA(AN201),NA(),AN201+ROW()/10000000)</f>
        <v/>
      </c>
      <c r="AR201">
        <f>IF(B201="","",IFERROR(INDEX(OCC_TABLE_DESC,MATCH(B201,OCC_TABLE_CODE,0)),"Unrecognized code"))</f>
        <v/>
      </c>
    </row>
    <row r="202" ht="12" customHeight="1" s="545">
      <c r="A202" t="inlineStr">
        <is>
          <t>P106</t>
        </is>
      </c>
      <c r="B202" t="n">
        <v>210</v>
      </c>
      <c r="C202" t="inlineStr">
        <is>
          <t>(none) 0182511303018</t>
        </is>
      </c>
      <c r="D202" t="inlineStr">
        <is>
          <t>5970 Marion Drive</t>
        </is>
      </c>
      <c r="E202" t="inlineStr">
        <is>
          <t>Denver</t>
        </is>
      </c>
      <c r="F202" t="inlineStr">
        <is>
          <t>CO</t>
        </is>
      </c>
      <c r="G202" t="inlineStr">
        <is>
          <t>Industrial</t>
        </is>
      </c>
      <c r="H202" t="inlineStr">
        <is>
          <t>Industrial Flex - 2 unit</t>
        </is>
      </c>
      <c r="I202" s="58" t="n"/>
      <c r="J202" s="57" t="n">
        <v>14400</v>
      </c>
      <c r="K202" s="58" t="n">
        <v>2023</v>
      </c>
      <c r="L202" s="387" t="n">
        <v>157145.5</v>
      </c>
      <c r="M202" s="387" t="n">
        <v>90166.05</v>
      </c>
      <c r="N202" s="387" t="n">
        <v>247311.55</v>
      </c>
      <c r="O202" s="387" t="n">
        <v>8640.99</v>
      </c>
      <c r="P202" s="387" t="n">
        <v>6000</v>
      </c>
      <c r="Q202" s="387" t="n"/>
      <c r="R202" s="387" t="n">
        <v>1550</v>
      </c>
      <c r="S202" s="387" t="n">
        <v>47000</v>
      </c>
      <c r="T202" s="387" t="n"/>
      <c r="U202" s="387" t="n"/>
      <c r="V202" s="387" t="n">
        <v>810</v>
      </c>
      <c r="W202" s="387" t="n"/>
      <c r="X202" s="387" t="n"/>
      <c r="Y202" s="387" t="n">
        <v>49360</v>
      </c>
      <c r="Z202" s="387" t="n">
        <v>151.01</v>
      </c>
      <c r="AA202" s="387" t="n"/>
      <c r="AB202" s="387" t="n">
        <v>1016.31</v>
      </c>
      <c r="AC202" s="387" t="n">
        <v>1167.32</v>
      </c>
      <c r="AD202" s="387" t="n">
        <v>2157.08</v>
      </c>
      <c r="AE202" s="387" t="n"/>
      <c r="AF202" s="387" t="n">
        <v>2157.08</v>
      </c>
      <c r="AG202" s="387" t="n">
        <v>5258.83</v>
      </c>
      <c r="AH202" s="387" t="n">
        <v>72584.22</v>
      </c>
      <c r="AI202" s="387" t="n">
        <v>37726.76</v>
      </c>
      <c r="AJ202" s="387" t="n">
        <v>110310.98</v>
      </c>
      <c r="AK202" s="387" t="n">
        <v>137000.57</v>
      </c>
      <c r="AL202" s="387" t="n"/>
      <c r="AM202" t="inlineStr">
        <is>
          <t>Source: Master Property Database (Income-Expense Detail). Deerwoods 2023 cash flow statement. Exterior R&amp;M is a $47,000 roof replacement - a one-off item, not a stabilised expense. Excludes mortgage principal $26,700 and interest $51,625.</t>
        </is>
      </c>
      <c r="AN202">
        <f>IF(AND($B202=Subj_OccCode,Subj_BldgSF&gt;0,ABS($J202-Subj_BldgSF)&lt;=Subj_BldgSF*Subj_SizeTol),ABS($J202-Subj_BldgSF),NA())</f>
        <v/>
      </c>
      <c r="AO202">
        <f>IF(ISNA(AN202),NA(),AN202+ROW()/10000000)</f>
        <v/>
      </c>
      <c r="AR202">
        <f>IF(B202="","",IFERROR(INDEX(OCC_TABLE_DESC,MATCH(B202,OCC_TABLE_CODE,0)),"Unrecognized code"))</f>
        <v/>
      </c>
    </row>
    <row r="203" ht="12" customHeight="1" s="545">
      <c r="A203" t="inlineStr">
        <is>
          <t>P107</t>
        </is>
      </c>
      <c r="B203" t="n">
        <v>406</v>
      </c>
      <c r="C203" t="inlineStr">
        <is>
          <t>R0103792</t>
        </is>
      </c>
      <c r="D203" t="inlineStr">
        <is>
          <t>2011 E 58th Ave (TempTee Brand Steaks)</t>
        </is>
      </c>
      <c r="E203" t="inlineStr">
        <is>
          <t>Denver</t>
        </is>
      </c>
      <c r="F203" t="inlineStr">
        <is>
          <t>CO</t>
        </is>
      </c>
      <c r="G203" t="inlineStr">
        <is>
          <t>Industrial</t>
        </is>
      </c>
      <c r="H203" t="inlineStr">
        <is>
          <t>Manufacturing / Food Processing</t>
        </is>
      </c>
      <c r="I203" s="58" t="n"/>
      <c r="J203" s="57" t="n">
        <v>17000</v>
      </c>
      <c r="K203" s="58" t="n">
        <v>2024</v>
      </c>
      <c r="L203" s="387" t="n"/>
      <c r="M203" s="387" t="n"/>
      <c r="N203" s="387" t="n"/>
      <c r="O203" s="387" t="n">
        <v>14050</v>
      </c>
      <c r="P203" s="387" t="n"/>
      <c r="Q203" s="387" t="n"/>
      <c r="R203" s="387" t="n"/>
      <c r="S203" s="387" t="n"/>
      <c r="T203" s="387" t="n"/>
      <c r="U203" s="387" t="n"/>
      <c r="V203" s="387" t="n"/>
      <c r="W203" s="387" t="n"/>
      <c r="X203" s="387" t="n">
        <v>10000</v>
      </c>
      <c r="Y203" s="387" t="n">
        <v>10000</v>
      </c>
      <c r="Z203" s="387" t="n"/>
      <c r="AA203" s="387" t="n"/>
      <c r="AB203" s="387" t="n">
        <v>12000</v>
      </c>
      <c r="AC203" s="387" t="n">
        <v>12000</v>
      </c>
      <c r="AD203" s="387" t="n"/>
      <c r="AE203" s="387" t="n"/>
      <c r="AF203" s="387" t="n">
        <v>102000</v>
      </c>
      <c r="AG203" s="387" t="n"/>
      <c r="AH203" s="387" t="n">
        <v>138050</v>
      </c>
      <c r="AI203" s="387" t="n"/>
      <c r="AJ203" s="387" t="n">
        <v>138050</v>
      </c>
      <c r="AK203" s="387" t="n"/>
      <c r="AL203" s="387" t="n"/>
      <c r="AM203"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c r="AN203">
        <f>IF(AND($B203=Subj_OccCode,Subj_BldgSF&gt;0,ABS($J203-Subj_BldgSF)&lt;=Subj_BldgSF*Subj_SizeTol),ABS($J203-Subj_BldgSF),NA())</f>
        <v/>
      </c>
      <c r="AO203">
        <f>IF(ISNA(AN203),NA(),AN203+ROW()/10000000)</f>
        <v/>
      </c>
      <c r="AR203">
        <f>IF(B203="","",IFERROR(INDEX(OCC_TABLE_DESC,MATCH(B203,OCC_TABLE_CODE,0)),"Unrecognized code"))</f>
        <v/>
      </c>
    </row>
    <row r="204" ht="12" customHeight="1" s="545">
      <c r="A204" t="inlineStr">
        <is>
          <t>P108</t>
        </is>
      </c>
      <c r="B204" t="n">
        <v>210</v>
      </c>
      <c r="C204" t="inlineStr">
        <is>
          <t>R0002819</t>
        </is>
      </c>
      <c r="D204" t="inlineStr">
        <is>
          <t>125 Bridge St (Broadview)</t>
        </is>
      </c>
      <c r="E204" t="inlineStr">
        <is>
          <t>Brighton</t>
        </is>
      </c>
      <c r="F204" t="inlineStr">
        <is>
          <t>CO</t>
        </is>
      </c>
      <c r="G204" t="inlineStr">
        <is>
          <t>Commercial</t>
        </is>
      </c>
      <c r="H204" t="inlineStr">
        <is>
          <t>Multi-tenant industrial</t>
        </is>
      </c>
      <c r="I204" s="58" t="n"/>
      <c r="J204" s="57" t="n"/>
      <c r="K204" s="58" t="n">
        <v>2024</v>
      </c>
      <c r="L204" s="387" t="n">
        <v>307817</v>
      </c>
      <c r="M204" s="387" t="n"/>
      <c r="N204" s="387" t="n">
        <v>307817</v>
      </c>
      <c r="O204" s="387" t="n">
        <v>12004</v>
      </c>
      <c r="P204" s="387" t="n"/>
      <c r="Q204" s="387" t="n"/>
      <c r="R204" s="387" t="n"/>
      <c r="S204" s="387" t="n"/>
      <c r="T204" s="387" t="n"/>
      <c r="U204" s="387" t="n"/>
      <c r="V204" s="387" t="n"/>
      <c r="W204" s="387" t="n"/>
      <c r="X204" s="387" t="n">
        <v>100279</v>
      </c>
      <c r="Y204" s="387" t="n">
        <v>100279</v>
      </c>
      <c r="Z204" s="387" t="n"/>
      <c r="AA204" s="387" t="n"/>
      <c r="AB204" s="387" t="n"/>
      <c r="AC204" s="387" t="n">
        <v>0</v>
      </c>
      <c r="AD204" s="387" t="n"/>
      <c r="AE204" s="387" t="n"/>
      <c r="AF204" s="387" t="n">
        <v>4731</v>
      </c>
      <c r="AG204" s="387" t="n">
        <v>50754</v>
      </c>
      <c r="AH204" s="387" t="n">
        <v>167768</v>
      </c>
      <c r="AI204" s="387" t="n"/>
      <c r="AJ204" s="387" t="n">
        <v>167768</v>
      </c>
      <c r="AK204" s="387" t="n">
        <v>140049</v>
      </c>
      <c r="AL204" s="387" t="n"/>
      <c r="AM204"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c r="AN204">
        <f>IF(AND($B204=Subj_OccCode,Subj_BldgSF&gt;0,ABS($J204-Subj_BldgSF)&lt;=Subj_BldgSF*Subj_SizeTol),ABS($J204-Subj_BldgSF),NA())</f>
        <v/>
      </c>
      <c r="AO204">
        <f>IF(ISNA(AN204),NA(),AN204+ROW()/10000000)</f>
        <v/>
      </c>
      <c r="AR204">
        <f>IF(B204="","",IFERROR(INDEX(OCC_TABLE_DESC,MATCH(B204,OCC_TABLE_CODE,0)),"Unrecognized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formula2>0</formula2>
    </dataValidation>
    <dataValidation sqref="E4:E197" showDropDown="0" showInputMessage="0" showErrorMessage="0" allowBlank="1" type="list">
      <formula1>"Adams County,Arvada,Aurora,Commerce City,Denver,Henderson,Northglenn,Thornton,Westminster"</formula1>
      <formula2>0</formula2>
    </dataValidation>
    <dataValidation sqref="F4:F197" showDropDown="0" showInputMessage="0" showErrorMessage="0" allowBlank="1" type="list">
      <formula1>"CO,Other"</formula1>
      <formula2>0</formula2>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orientation="portrait" paperSize="9" horizontalDpi="300" verticalDpi="300"/>
</worksheet>
</file>

<file path=xl/worksheets/sheet32.xml><?xml version="1.0" encoding="utf-8"?>
<worksheet xmlns="http://schemas.openxmlformats.org/spreadsheetml/2006/main">
  <sheetPr>
    <tabColor rgb="FFD97706"/>
    <outlinePr summaryBelow="1" summaryRight="1"/>
    <pageSetUpPr/>
  </sheetPr>
  <dimension ref="A1:AM204"/>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3.7109375" customWidth="1" style="545" min="9" max="9"/>
    <col width="6.85546875" customWidth="1" style="545" min="11" max="11"/>
    <col width="24" customWidth="1" style="545" min="12" max="12"/>
    <col width="16" customWidth="1" style="545" min="13" max="13"/>
    <col width="12.7109375" customWidth="1" style="545" min="14" max="14"/>
    <col width="12.5703125" customWidth="1" style="545" min="15" max="15"/>
    <col width="14.85546875" customWidth="1" style="545" min="16" max="17"/>
    <col width="18.28515625" customWidth="1" style="545" min="18" max="18"/>
    <col width="14.85546875" customWidth="1" style="545" min="19" max="19"/>
    <col width="25.140625" customWidth="1" style="545" min="20" max="20"/>
    <col width="11.42578125" customWidth="1" style="545" min="21" max="21"/>
    <col width="21.7109375" customWidth="1" style="545" min="22" max="22"/>
    <col width="24" customWidth="1" style="545" min="23" max="23"/>
    <col width="28.42578125" customWidth="1" style="545" min="24" max="24"/>
    <col width="12.5703125" customWidth="1" style="545" min="25" max="25"/>
    <col width="8" customWidth="1" style="545" min="26" max="26"/>
    <col width="12.5703125" customWidth="1" style="545" min="27" max="27"/>
    <col width="14.85546875" customWidth="1" style="545" min="28" max="28"/>
    <col width="24" customWidth="1" style="545" min="29" max="29"/>
    <col width="17.140625" customWidth="1" style="545" min="30" max="30"/>
    <col width="11.42578125" customWidth="1" style="545" min="31" max="31"/>
    <col width="19.42578125" customWidth="1" style="545" min="32" max="32"/>
    <col width="22.85546875" customWidth="1" style="545" min="33" max="33"/>
    <col width="28.42578125" customWidth="1" style="545" min="34" max="34"/>
    <col width="21.7109375" customWidth="1" style="545" min="35" max="35"/>
    <col width="28.42578125" customWidth="1" style="545" min="36" max="36"/>
    <col width="12.5703125" customWidth="1" style="545" min="37" max="37"/>
    <col width="18.28515625" customWidth="1" style="545" min="38" max="38"/>
    <col width="59.28515625" customWidth="1" style="545" min="39" max="39"/>
  </cols>
  <sheetData>
    <row r="1" ht="19.5" customHeight="1" s="545">
      <c r="A1" s="658" t="inlineStr">
        <is>
          <t>COMMERCIAL PROPERTY EXPENSE DATABASE - PSF SUMMARY  ($/SF)</t>
        </is>
      </c>
    </row>
    <row r="2" ht="13.5" customHeight="1" s="545">
      <c r="A2" s="657" t="inlineStr">
        <is>
          <t>Figures in $/SF of building area  |  Rows with no BldgSF show raw dollar amounts flagged [NO SF]  |  Text/ID fields copied from Expense Database</t>
        </is>
      </c>
    </row>
    <row r="3" ht="31.5" customHeight="1" s="545">
      <c r="A3" s="474" t="inlineStr">
        <is>
          <t>Prop ID</t>
        </is>
      </c>
      <c r="B3" s="446" t="inlineStr">
        <is>
          <t>Occ Code</t>
        </is>
      </c>
      <c r="C3" s="474" t="inlineStr">
        <is>
          <t>Account #</t>
        </is>
      </c>
      <c r="D3" s="475" t="inlineStr">
        <is>
          <t>Address</t>
        </is>
      </c>
      <c r="E3" s="474" t="inlineStr">
        <is>
          <t>City</t>
        </is>
      </c>
      <c r="F3" s="474" t="inlineStr">
        <is>
          <t>State</t>
        </is>
      </c>
      <c r="G3" s="474" t="inlineStr">
        <is>
          <t>Prop Type</t>
        </is>
      </c>
      <c r="H3" s="475" t="inlineStr">
        <is>
          <t>Subtype</t>
        </is>
      </c>
      <c r="I3" s="474" t="inlineStr">
        <is>
          <t>Year Built</t>
        </is>
      </c>
      <c r="J3" s="474" t="inlineStr">
        <is>
          <t>Bldg SF</t>
        </is>
      </c>
      <c r="K3" s="474" t="inlineStr">
        <is>
          <t>Year</t>
        </is>
      </c>
      <c r="L3" s="474" t="inlineStr">
        <is>
          <t>Gross Rental Income</t>
        </is>
      </c>
      <c r="M3" s="474" t="inlineStr">
        <is>
          <t>Other Income</t>
        </is>
      </c>
      <c r="N3" s="474" t="inlineStr">
        <is>
          <t>EGI</t>
        </is>
      </c>
      <c r="O3" s="474" t="inlineStr">
        <is>
          <t>Insurance</t>
        </is>
      </c>
      <c r="P3" s="474" t="inlineStr">
        <is>
          <t>Mgmt/Admin</t>
        </is>
      </c>
      <c r="Q3" s="474" t="inlineStr">
        <is>
          <t>Plumbing R&amp;M</t>
        </is>
      </c>
      <c r="R3" s="474" t="inlineStr">
        <is>
          <t>Electrical R&amp;M</t>
        </is>
      </c>
      <c r="S3" s="474" t="inlineStr">
        <is>
          <t>Exterior R&amp;M</t>
        </is>
      </c>
      <c r="T3" s="474" t="inlineStr">
        <is>
          <t>Fire/Life Safety R&amp;M</t>
        </is>
      </c>
      <c r="U3" s="474" t="inlineStr">
        <is>
          <t>HVAC R&amp;M</t>
        </is>
      </c>
      <c r="V3" s="474" t="inlineStr">
        <is>
          <t>Interior Unit R&amp;M</t>
        </is>
      </c>
      <c r="W3" s="474" t="inlineStr">
        <is>
          <t>Interior Common R&amp;M</t>
        </is>
      </c>
      <c r="X3" s="474" t="inlineStr">
        <is>
          <t>General Maint &amp; Repairs</t>
        </is>
      </c>
      <c r="Y3" s="474" t="inlineStr">
        <is>
          <t>Total R&amp;M</t>
        </is>
      </c>
      <c r="Z3" s="474" t="inlineStr">
        <is>
          <t>Trash</t>
        </is>
      </c>
      <c r="AA3" s="474" t="inlineStr">
        <is>
          <t>Landscape</t>
        </is>
      </c>
      <c r="AB3" s="474" t="inlineStr">
        <is>
          <t>Snow Removal</t>
        </is>
      </c>
      <c r="AC3" s="474" t="inlineStr">
        <is>
          <t>Total Contract Svcs</t>
        </is>
      </c>
      <c r="AD3" s="474" t="inlineStr">
        <is>
          <t>Water &amp; Sewer</t>
        </is>
      </c>
      <c r="AE3" s="474" t="inlineStr">
        <is>
          <t>Electric</t>
        </is>
      </c>
      <c r="AF3" s="474" t="inlineStr">
        <is>
          <t>Total Utilities</t>
        </is>
      </c>
      <c r="AG3" s="474" t="inlineStr">
        <is>
          <t>Other/Admin (Misc)</t>
        </is>
      </c>
      <c r="AH3" s="474" t="inlineStr">
        <is>
          <t>Total OPX excl RE Taxes</t>
        </is>
      </c>
      <c r="AI3" s="474" t="inlineStr">
        <is>
          <t>Real Estate Taxes</t>
        </is>
      </c>
      <c r="AJ3" s="474" t="inlineStr">
        <is>
          <t>Total OPX incl RE Taxes</t>
        </is>
      </c>
      <c r="AK3" s="474" t="inlineStr">
        <is>
          <t>NOI</t>
        </is>
      </c>
      <c r="AL3" s="474" t="inlineStr">
        <is>
          <t>CapEx (non-op)</t>
        </is>
      </c>
      <c r="AM3" s="475" t="inlineStr">
        <is>
          <t>Notes</t>
        </is>
      </c>
    </row>
    <row r="4" ht="13.5" customHeight="1" s="545">
      <c r="A4" s="476" t="inlineStr">
        <is>
          <t>P001</t>
        </is>
      </c>
      <c r="B4" s="449" t="n">
        <v>407</v>
      </c>
      <c r="C4" s="476" t="inlineStr">
        <is>
          <t>R0157664</t>
        </is>
      </c>
      <c r="D4" s="477" t="inlineStr">
        <is>
          <t>6045 E. 76th Avenue</t>
        </is>
      </c>
      <c r="E4" s="476" t="inlineStr">
        <is>
          <t>Commerce City</t>
        </is>
      </c>
      <c r="F4" s="476" t="inlineStr">
        <is>
          <t>CO</t>
        </is>
      </c>
      <c r="G4" s="476" t="inlineStr">
        <is>
          <t>Light Industrial</t>
        </is>
      </c>
      <c r="H4" s="477" t="inlineStr">
        <is>
          <t>Distribution Warehouse</t>
        </is>
      </c>
      <c r="I4" s="478" t="n">
        <v>1988</v>
      </c>
      <c r="J4" s="478" t="n">
        <v>21000</v>
      </c>
      <c r="K4" s="478" t="n">
        <v>2021</v>
      </c>
      <c r="L4" s="479" t="n">
        <v>13.465</v>
      </c>
      <c r="M4" s="479" t="n">
        <v>0.3034</v>
      </c>
      <c r="N4" s="479" t="n">
        <v>13.7684</v>
      </c>
      <c r="O4" s="479" t="n">
        <v>0.233</v>
      </c>
      <c r="P4" s="479" t="n">
        <v>0</v>
      </c>
      <c r="Q4" s="479" t="n">
        <v>0.0545</v>
      </c>
      <c r="R4" s="479" t="n">
        <v>0</v>
      </c>
      <c r="S4" s="479" t="n">
        <v>0.0095</v>
      </c>
      <c r="T4" s="479" t="n">
        <v>0</v>
      </c>
      <c r="U4" s="479" t="n">
        <v>0.0133</v>
      </c>
      <c r="V4" s="479" t="n">
        <v>0.0403</v>
      </c>
      <c r="W4" s="479" t="n">
        <v>0.1392</v>
      </c>
      <c r="X4" s="479" t="n">
        <v>0</v>
      </c>
      <c r="Y4" s="479" t="n">
        <v>0.2567</v>
      </c>
      <c r="Z4" s="479" t="n">
        <v>0.3195</v>
      </c>
      <c r="AA4" s="479" t="n">
        <v>0.1845</v>
      </c>
      <c r="AB4" s="479" t="n">
        <v>0.0414</v>
      </c>
      <c r="AC4" s="479" t="n">
        <v>0.5455</v>
      </c>
      <c r="AD4" s="479" t="n">
        <v>0.1593</v>
      </c>
      <c r="AE4" s="479" t="n">
        <v>0.0309</v>
      </c>
      <c r="AF4" s="479" t="n">
        <v>0.1901</v>
      </c>
      <c r="AG4" s="479" t="n">
        <v>0.0363</v>
      </c>
      <c r="AH4" s="479" t="n">
        <v>1.2626</v>
      </c>
      <c r="AI4" s="479" t="n">
        <v>2.2983</v>
      </c>
      <c r="AJ4" s="479" t="n">
        <v>3.5609</v>
      </c>
      <c r="AK4" s="479" t="n">
        <v>10.2075</v>
      </c>
      <c r="AL4" s="479" t="n">
        <v>0.1258</v>
      </c>
      <c r="AM4" s="477" t="inlineStr">
        <is>
          <t>2021: other income = damages $2,392 + misc $3,863 + interest $117</t>
        </is>
      </c>
    </row>
    <row r="5" ht="13.5" customHeight="1" s="545">
      <c r="A5" s="450" t="inlineStr">
        <is>
          <t>P001</t>
        </is>
      </c>
      <c r="B5" s="449" t="n">
        <v>407</v>
      </c>
      <c r="C5" s="450" t="inlineStr">
        <is>
          <t>R0157664</t>
        </is>
      </c>
      <c r="D5" s="468" t="inlineStr">
        <is>
          <t>6045 E. 76th Avenue</t>
        </is>
      </c>
      <c r="E5" s="450" t="inlineStr">
        <is>
          <t>Commerce City</t>
        </is>
      </c>
      <c r="F5" s="450" t="inlineStr">
        <is>
          <t>CO</t>
        </is>
      </c>
      <c r="G5" s="450" t="inlineStr">
        <is>
          <t>Light Industrial</t>
        </is>
      </c>
      <c r="H5" s="468" t="inlineStr">
        <is>
          <t>Distribution Warehouse</t>
        </is>
      </c>
      <c r="I5" s="480" t="n">
        <v>1988</v>
      </c>
      <c r="J5" s="480" t="n">
        <v>21000</v>
      </c>
      <c r="K5" s="480" t="n">
        <v>2022</v>
      </c>
      <c r="L5" s="481" t="n">
        <v>12.1901</v>
      </c>
      <c r="M5" s="481" t="n">
        <v>0.1429</v>
      </c>
      <c r="N5" s="481" t="n">
        <v>12.333</v>
      </c>
      <c r="O5" s="481" t="n">
        <v>0.2512</v>
      </c>
      <c r="P5" s="481" t="n">
        <v>0</v>
      </c>
      <c r="Q5" s="481" t="n">
        <v>0.196</v>
      </c>
      <c r="R5" s="481" t="n">
        <v>0.0291</v>
      </c>
      <c r="S5" s="481" t="n">
        <v>0.1111</v>
      </c>
      <c r="T5" s="481" t="n">
        <v>0</v>
      </c>
      <c r="U5" s="481" t="n">
        <v>0</v>
      </c>
      <c r="V5" s="481" t="n">
        <v>0</v>
      </c>
      <c r="W5" s="481" t="n">
        <v>0.0371</v>
      </c>
      <c r="X5" s="481" t="n">
        <v>0</v>
      </c>
      <c r="Y5" s="481" t="n">
        <v>0.3733</v>
      </c>
      <c r="Z5" s="481" t="n">
        <v>0.3954</v>
      </c>
      <c r="AA5" s="481" t="n">
        <v>0.2038</v>
      </c>
      <c r="AB5" s="481" t="n">
        <v>0</v>
      </c>
      <c r="AC5" s="481" t="n">
        <v>0.5992</v>
      </c>
      <c r="AD5" s="481" t="n">
        <v>0.1449</v>
      </c>
      <c r="AE5" s="481" t="n">
        <v>0.0423</v>
      </c>
      <c r="AF5" s="481" t="n">
        <v>0.1872</v>
      </c>
      <c r="AG5" s="481" t="n">
        <v>0.0314</v>
      </c>
      <c r="AH5" s="481" t="n">
        <v>1.4423</v>
      </c>
      <c r="AI5" s="481" t="n">
        <v>3.1478</v>
      </c>
      <c r="AJ5" s="481" t="n">
        <v>4.5902</v>
      </c>
      <c r="AK5" s="481" t="n">
        <v>7.7428</v>
      </c>
      <c r="AL5" s="481" t="n">
        <v>0.2758</v>
      </c>
      <c r="AM5" s="468" t="inlineStr">
        <is>
          <t>2022: other income = damages $500 + misc $2,500; CapEx unit interior</t>
        </is>
      </c>
    </row>
    <row r="6" ht="13.5" customHeight="1" s="545">
      <c r="A6" s="476" t="inlineStr">
        <is>
          <t>P001</t>
        </is>
      </c>
      <c r="B6" s="449" t="n">
        <v>407</v>
      </c>
      <c r="C6" s="476" t="inlineStr">
        <is>
          <t>R0157664</t>
        </is>
      </c>
      <c r="D6" s="477" t="inlineStr">
        <is>
          <t>6045 E. 76th Avenue</t>
        </is>
      </c>
      <c r="E6" s="476" t="inlineStr">
        <is>
          <t>Commerce City</t>
        </is>
      </c>
      <c r="F6" s="476" t="inlineStr">
        <is>
          <t>CO</t>
        </is>
      </c>
      <c r="G6" s="476" t="inlineStr">
        <is>
          <t>Light Industrial</t>
        </is>
      </c>
      <c r="H6" s="477" t="inlineStr">
        <is>
          <t>Distribution Warehouse</t>
        </is>
      </c>
      <c r="I6" s="478" t="n">
        <v>1988</v>
      </c>
      <c r="J6" s="478" t="n">
        <v>21000</v>
      </c>
      <c r="K6" s="478" t="n">
        <v>2023</v>
      </c>
      <c r="L6" s="479" t="n">
        <v>12.2</v>
      </c>
      <c r="M6" s="479" t="n">
        <v>0</v>
      </c>
      <c r="N6" s="479" t="n">
        <v>12.2</v>
      </c>
      <c r="O6" s="479" t="n">
        <v>0.2794</v>
      </c>
      <c r="P6" s="479" t="n">
        <v>0.0381</v>
      </c>
      <c r="Q6" s="479" t="n">
        <v>0.0521</v>
      </c>
      <c r="R6" s="479" t="n">
        <v>0.0471</v>
      </c>
      <c r="S6" s="479" t="n">
        <v>0</v>
      </c>
      <c r="T6" s="479" t="n">
        <v>0.1843</v>
      </c>
      <c r="U6" s="479" t="n">
        <v>0.0229</v>
      </c>
      <c r="V6" s="479" t="n">
        <v>0.0294</v>
      </c>
      <c r="W6" s="479" t="n">
        <v>0</v>
      </c>
      <c r="X6" s="479" t="n">
        <v>0.0229</v>
      </c>
      <c r="Y6" s="479" t="n">
        <v>0.3587</v>
      </c>
      <c r="Z6" s="479" t="n">
        <v>0.4553</v>
      </c>
      <c r="AA6" s="479" t="n">
        <v>0.1048</v>
      </c>
      <c r="AB6" s="479" t="n">
        <v>0.1333</v>
      </c>
      <c r="AC6" s="479" t="n">
        <v>0.6934</v>
      </c>
      <c r="AD6" s="479" t="n">
        <v>0.3387</v>
      </c>
      <c r="AE6" s="479" t="n">
        <v>0.0362</v>
      </c>
      <c r="AF6" s="479" t="n">
        <v>0.3749</v>
      </c>
      <c r="AG6" s="479" t="n">
        <v>0.0285</v>
      </c>
      <c r="AH6" s="479" t="n">
        <v>1.5216</v>
      </c>
      <c r="AI6" s="479" t="n">
        <v>2.8565</v>
      </c>
      <c r="AJ6" s="479" t="n">
        <v>4.378</v>
      </c>
      <c r="AK6" s="479" t="n">
        <v>7.822</v>
      </c>
      <c r="AL6" s="479" t="n">
        <v>0</v>
      </c>
      <c r="AM6" s="482" t="n"/>
    </row>
    <row r="7" ht="13.5" customHeight="1" s="545">
      <c r="A7" s="450" t="inlineStr">
        <is>
          <t>P001</t>
        </is>
      </c>
      <c r="B7" s="449" t="n">
        <v>407</v>
      </c>
      <c r="C7" s="450" t="inlineStr">
        <is>
          <t>R0157664</t>
        </is>
      </c>
      <c r="D7" s="468" t="inlineStr">
        <is>
          <t>6045 E. 76th Avenue</t>
        </is>
      </c>
      <c r="E7" s="450" t="inlineStr">
        <is>
          <t>Commerce City</t>
        </is>
      </c>
      <c r="F7" s="450" t="inlineStr">
        <is>
          <t>CO</t>
        </is>
      </c>
      <c r="G7" s="450" t="inlineStr">
        <is>
          <t>Light Industrial</t>
        </is>
      </c>
      <c r="H7" s="468" t="inlineStr">
        <is>
          <t>Distribution Warehouse</t>
        </is>
      </c>
      <c r="I7" s="480" t="n">
        <v>1988</v>
      </c>
      <c r="J7" s="480" t="n">
        <v>21000</v>
      </c>
      <c r="K7" s="480" t="n">
        <v>2024</v>
      </c>
      <c r="L7" s="481" t="n">
        <v>10.93</v>
      </c>
      <c r="M7" s="481" t="n">
        <v>0</v>
      </c>
      <c r="N7" s="481" t="n">
        <v>10.93</v>
      </c>
      <c r="O7" s="481" t="n">
        <v>0.08740000000000001</v>
      </c>
      <c r="P7" s="481" t="n">
        <v>0.07480000000000001</v>
      </c>
      <c r="Q7" s="481" t="n">
        <v>0</v>
      </c>
      <c r="R7" s="481" t="n">
        <v>0</v>
      </c>
      <c r="S7" s="481" t="n">
        <v>0.381</v>
      </c>
      <c r="T7" s="481" t="n">
        <v>0.3952</v>
      </c>
      <c r="U7" s="481" t="n">
        <v>0</v>
      </c>
      <c r="V7" s="481" t="n">
        <v>0.0083</v>
      </c>
      <c r="W7" s="481" t="n">
        <v>0</v>
      </c>
      <c r="X7" s="481" t="n">
        <v>0.039</v>
      </c>
      <c r="Y7" s="481" t="n">
        <v>0.8236</v>
      </c>
      <c r="Z7" s="481" t="n">
        <v>0.4048</v>
      </c>
      <c r="AA7" s="481" t="n">
        <v>0.1595</v>
      </c>
      <c r="AB7" s="481" t="n">
        <v>0.05</v>
      </c>
      <c r="AC7" s="481" t="n">
        <v>0.6143</v>
      </c>
      <c r="AD7" s="481" t="n">
        <v>0.1638</v>
      </c>
      <c r="AE7" s="481" t="n">
        <v>0.0339</v>
      </c>
      <c r="AF7" s="481" t="n">
        <v>0.1977</v>
      </c>
      <c r="AG7" s="481" t="n">
        <v>0.0286</v>
      </c>
      <c r="AH7" s="481" t="n">
        <v>1.8167</v>
      </c>
      <c r="AI7" s="481" t="n">
        <v>3.3048</v>
      </c>
      <c r="AJ7" s="481" t="n">
        <v>5.1216</v>
      </c>
      <c r="AK7" s="481" t="n">
        <v>5.8085</v>
      </c>
      <c r="AL7" s="481" t="n">
        <v>0</v>
      </c>
      <c r="AM7" s="483" t="n"/>
    </row>
    <row r="8" ht="13.5" customHeight="1" s="545">
      <c r="A8" s="484" t="inlineStr">
        <is>
          <t>P002</t>
        </is>
      </c>
      <c r="B8" s="449" t="n">
        <v>344</v>
      </c>
      <c r="C8" s="484" t="inlineStr">
        <is>
          <t>Unknown</t>
        </is>
      </c>
      <c r="D8" s="485" t="inlineStr">
        <is>
          <t>13659 E. 104th Ave</t>
        </is>
      </c>
      <c r="E8" s="484" t="inlineStr">
        <is>
          <t>Adams County</t>
        </is>
      </c>
      <c r="F8" s="484" t="inlineStr">
        <is>
          <t>CO</t>
        </is>
      </c>
      <c r="G8" s="484" t="inlineStr">
        <is>
          <t>Office/Commercial</t>
        </is>
      </c>
      <c r="H8" s="485" t="inlineStr">
        <is>
          <t>Multi-tenant</t>
        </is>
      </c>
      <c r="I8" s="486" t="n"/>
      <c r="J8" s="486" t="n"/>
      <c r="K8" s="486" t="n">
        <v>2023</v>
      </c>
      <c r="L8" s="484" t="n"/>
      <c r="M8" s="484" t="n"/>
      <c r="N8" s="487" t="n">
        <v>258808</v>
      </c>
      <c r="O8" s="487" t="n">
        <v>3292</v>
      </c>
      <c r="P8" s="487" t="n">
        <v>18539</v>
      </c>
      <c r="Q8" s="484" t="n"/>
      <c r="R8" s="484" t="n"/>
      <c r="S8" s="484" t="n"/>
      <c r="T8" s="484" t="n"/>
      <c r="U8" s="484" t="n"/>
      <c r="V8" s="484" t="n"/>
      <c r="W8" s="484" t="n"/>
      <c r="X8" s="487" t="n">
        <v>24750</v>
      </c>
      <c r="Y8" s="487" t="n">
        <v>24750</v>
      </c>
      <c r="Z8" s="484" t="n"/>
      <c r="AA8" s="487" t="n">
        <v>13331</v>
      </c>
      <c r="AB8" s="484" t="n"/>
      <c r="AC8" s="487" t="n">
        <v>13331</v>
      </c>
      <c r="AD8" s="484" t="n"/>
      <c r="AE8" s="484" t="n"/>
      <c r="AF8" s="487" t="n">
        <v>3990</v>
      </c>
      <c r="AG8" s="487" t="n">
        <v>11264</v>
      </c>
      <c r="AH8" s="487" t="n">
        <v>75327</v>
      </c>
      <c r="AI8" s="487" t="n">
        <v>51707</v>
      </c>
      <c r="AJ8" s="487" t="n">
        <v>127034</v>
      </c>
      <c r="AK8" s="487" t="n">
        <v>131774</v>
      </c>
      <c r="AL8" s="484" t="n"/>
      <c r="AM8" s="485" t="inlineStr">
        <is>
          <t>[NO SF] Insurance: $3,292; Mgmt fee $13,242 + asset mgmt $5,297; Professional svcs $11,264; actuals from BAA operating statement</t>
        </is>
      </c>
    </row>
    <row r="9" ht="13.5" customHeight="1" s="545">
      <c r="A9" s="484" t="inlineStr">
        <is>
          <t>P002</t>
        </is>
      </c>
      <c r="B9" s="449" t="n">
        <v>344</v>
      </c>
      <c r="C9" s="484" t="inlineStr">
        <is>
          <t>Unknown</t>
        </is>
      </c>
      <c r="D9" s="485" t="inlineStr">
        <is>
          <t>13659 E. 104th Ave</t>
        </is>
      </c>
      <c r="E9" s="484" t="inlineStr">
        <is>
          <t>Adams County</t>
        </is>
      </c>
      <c r="F9" s="484" t="inlineStr">
        <is>
          <t>CO</t>
        </is>
      </c>
      <c r="G9" s="484" t="inlineStr">
        <is>
          <t>Office/Commercial</t>
        </is>
      </c>
      <c r="H9" s="485" t="inlineStr">
        <is>
          <t>Multi-tenant</t>
        </is>
      </c>
      <c r="I9" s="486" t="n"/>
      <c r="J9" s="486" t="n"/>
      <c r="K9" s="486" t="n">
        <v>2024</v>
      </c>
      <c r="L9" s="484" t="n"/>
      <c r="M9" s="484" t="n"/>
      <c r="N9" s="487" t="n">
        <v>264959</v>
      </c>
      <c r="O9" s="487" t="n">
        <v>7442</v>
      </c>
      <c r="P9" s="487" t="n">
        <v>18228</v>
      </c>
      <c r="Q9" s="484" t="n"/>
      <c r="R9" s="484" t="n"/>
      <c r="S9" s="484" t="n"/>
      <c r="T9" s="484" t="n"/>
      <c r="U9" s="484" t="n"/>
      <c r="V9" s="484" t="n"/>
      <c r="W9" s="484" t="n"/>
      <c r="X9" s="487" t="n">
        <v>37394</v>
      </c>
      <c r="Y9" s="487" t="n">
        <v>37394</v>
      </c>
      <c r="Z9" s="484" t="n"/>
      <c r="AA9" s="487" t="n">
        <v>11888</v>
      </c>
      <c r="AB9" s="484" t="n"/>
      <c r="AC9" s="487" t="n">
        <v>11888</v>
      </c>
      <c r="AD9" s="484" t="n"/>
      <c r="AE9" s="484" t="n"/>
      <c r="AF9" s="487" t="n">
        <v>5290</v>
      </c>
      <c r="AG9" s="487" t="n">
        <v>13341</v>
      </c>
      <c r="AH9" s="487" t="n">
        <v>93583</v>
      </c>
      <c r="AI9" s="487" t="n">
        <v>44649</v>
      </c>
      <c r="AJ9" s="487" t="n">
        <v>138232</v>
      </c>
      <c r="AK9" s="487" t="n">
        <v>126727</v>
      </c>
      <c r="AL9" s="484" t="n"/>
      <c r="AM9" s="485" t="inlineStr">
        <is>
          <t>[NO SF] Insurance $7,442; Mgmt fee $13,020 + asset mgmt $5,208; Prof svcs $13,341; Utilities: gas/elec $1,091 + water/sewer $4,199</t>
        </is>
      </c>
    </row>
    <row r="10" ht="13.5" customHeight="1" s="545">
      <c r="A10" s="484" t="inlineStr">
        <is>
          <t>P003</t>
        </is>
      </c>
      <c r="B10" s="449" t="n">
        <v>344</v>
      </c>
      <c r="C10" s="484" t="inlineStr">
        <is>
          <t>R0024063</t>
        </is>
      </c>
      <c r="D10" s="485" t="inlineStr">
        <is>
          <t>Park Centre - Wells Fargo Bldg</t>
        </is>
      </c>
      <c r="E10" s="484" t="inlineStr">
        <is>
          <t>Westminster</t>
        </is>
      </c>
      <c r="F10" s="484" t="inlineStr">
        <is>
          <t>CO</t>
        </is>
      </c>
      <c r="G10" s="484" t="inlineStr">
        <is>
          <t>Office</t>
        </is>
      </c>
      <c r="H10" s="485" t="inlineStr">
        <is>
          <t>Class B Multi-tenant</t>
        </is>
      </c>
      <c r="I10" s="486" t="n"/>
      <c r="J10" s="486" t="n">
        <v>49479</v>
      </c>
      <c r="K10" s="486" t="n">
        <v>2023</v>
      </c>
      <c r="L10" s="488" t="n">
        <v>20.5729</v>
      </c>
      <c r="M10" s="488" t="n">
        <v>1.8912</v>
      </c>
      <c r="N10" s="488" t="n">
        <v>22.4641</v>
      </c>
      <c r="O10" s="484" t="n"/>
      <c r="P10" s="484" t="n"/>
      <c r="Q10" s="484" t="n"/>
      <c r="R10" s="484" t="n"/>
      <c r="S10" s="484" t="n"/>
      <c r="T10" s="484" t="n"/>
      <c r="U10" s="484" t="n"/>
      <c r="V10" s="484" t="n"/>
      <c r="W10" s="484" t="n"/>
      <c r="X10" s="484" t="n"/>
      <c r="Y10" s="484" t="n"/>
      <c r="Z10" s="484" t="n"/>
      <c r="AA10" s="484" t="n"/>
      <c r="AB10" s="484" t="n"/>
      <c r="AC10" s="484" t="n"/>
      <c r="AD10" s="484" t="n"/>
      <c r="AE10" s="484" t="n"/>
      <c r="AF10" s="484" t="n"/>
      <c r="AG10" s="484" t="n"/>
      <c r="AH10" s="488" t="n">
        <v>9.165100000000001</v>
      </c>
      <c r="AI10" s="488" t="n">
        <v>3.7364</v>
      </c>
      <c r="AJ10" s="488" t="n">
        <v>12.9015</v>
      </c>
      <c r="AK10" s="488" t="n">
        <v>9.5626</v>
      </c>
      <c r="AL10" s="484" t="n"/>
      <c r="AM10" s="485" t="inlineStr">
        <is>
          <t>Westfield managed; recoveries $49,658 + other $43,917 = $93,575; OpEx BT per PROFORMA REVISED.xlsx</t>
        </is>
      </c>
    </row>
    <row r="11" ht="13.5" customHeight="1" s="545">
      <c r="A11" s="484" t="inlineStr">
        <is>
          <t>P003</t>
        </is>
      </c>
      <c r="B11" s="449" t="n">
        <v>344</v>
      </c>
      <c r="C11" s="484" t="inlineStr">
        <is>
          <t>R0024063</t>
        </is>
      </c>
      <c r="D11" s="485" t="inlineStr">
        <is>
          <t>Park Centre - Wells Fargo Bldg</t>
        </is>
      </c>
      <c r="E11" s="484" t="inlineStr">
        <is>
          <t>Westminster</t>
        </is>
      </c>
      <c r="F11" s="484" t="inlineStr">
        <is>
          <t>CO</t>
        </is>
      </c>
      <c r="G11" s="484" t="inlineStr">
        <is>
          <t>Office</t>
        </is>
      </c>
      <c r="H11" s="485" t="inlineStr">
        <is>
          <t>Class B Multi-tenant</t>
        </is>
      </c>
      <c r="I11" s="486" t="n"/>
      <c r="J11" s="486" t="n">
        <v>49479</v>
      </c>
      <c r="K11" s="486" t="n">
        <v>2024</v>
      </c>
      <c r="L11" s="488" t="n">
        <v>19.0796</v>
      </c>
      <c r="M11" s="488" t="n">
        <v>1.5757</v>
      </c>
      <c r="N11" s="488" t="n">
        <v>20.6553</v>
      </c>
      <c r="O11" s="484" t="n"/>
      <c r="P11" s="484" t="n"/>
      <c r="Q11" s="484" t="n"/>
      <c r="R11" s="484" t="n"/>
      <c r="S11" s="484" t="n"/>
      <c r="T11" s="484" t="n"/>
      <c r="U11" s="484" t="n"/>
      <c r="V11" s="484" t="n"/>
      <c r="W11" s="484" t="n"/>
      <c r="X11" s="484" t="n"/>
      <c r="Y11" s="484" t="n"/>
      <c r="Z11" s="484" t="n"/>
      <c r="AA11" s="484" t="n"/>
      <c r="AB11" s="484" t="n"/>
      <c r="AC11" s="484" t="n"/>
      <c r="AD11" s="484" t="n"/>
      <c r="AE11" s="484" t="n"/>
      <c r="AF11" s="484" t="n"/>
      <c r="AG11" s="484" t="n"/>
      <c r="AH11" s="488" t="n">
        <v>9.867599999999999</v>
      </c>
      <c r="AI11" s="488" t="n">
        <v>3.6292</v>
      </c>
      <c r="AJ11" s="488" t="n">
        <v>13.4968</v>
      </c>
      <c r="AK11" s="488" t="n">
        <v>7.1585</v>
      </c>
      <c r="AL11" s="484" t="n"/>
      <c r="AM11" s="485" t="inlineStr">
        <is>
          <t>Recoveries $21,696 + other $56,266; OpEx BT per PROFORMA REVISED.xlsx; NOI decline reflects higher vacancy</t>
        </is>
      </c>
    </row>
    <row r="12" ht="13.5" customHeight="1" s="545">
      <c r="A12" s="476" t="inlineStr">
        <is>
          <t>P004</t>
        </is>
      </c>
      <c r="B12" s="449" t="n">
        <v>412</v>
      </c>
      <c r="C12" s="476" t="inlineStr">
        <is>
          <t>R0050221</t>
        </is>
      </c>
      <c r="D12" s="477" t="inlineStr">
        <is>
          <t>8860 Federal Blvd</t>
        </is>
      </c>
      <c r="E12" s="476" t="inlineStr">
        <is>
          <t>Adams County</t>
        </is>
      </c>
      <c r="F12" s="476" t="inlineStr">
        <is>
          <t>CO</t>
        </is>
      </c>
      <c r="G12" s="476" t="inlineStr">
        <is>
          <t>Retail</t>
        </is>
      </c>
      <c r="H12" s="477" t="inlineStr">
        <is>
          <t>Strip/Multi-tenant</t>
        </is>
      </c>
      <c r="I12" s="478" t="n"/>
      <c r="J12" s="478" t="n">
        <v>65850</v>
      </c>
      <c r="K12" s="478" t="n">
        <v>2023</v>
      </c>
      <c r="L12" s="476" t="n"/>
      <c r="M12" s="476" t="n"/>
      <c r="N12" s="479" t="n">
        <v>8.6678</v>
      </c>
      <c r="O12" s="476" t="n"/>
      <c r="P12" s="476" t="n"/>
      <c r="Q12" s="476" t="n"/>
      <c r="R12" s="476" t="n"/>
      <c r="S12" s="476" t="n"/>
      <c r="T12" s="476" t="n"/>
      <c r="U12" s="476" t="n"/>
      <c r="V12" s="476" t="n"/>
      <c r="W12" s="476" t="n"/>
      <c r="X12" s="476" t="n"/>
      <c r="Y12" s="476" t="n"/>
      <c r="Z12" s="476" t="n"/>
      <c r="AA12" s="476" t="n"/>
      <c r="AB12" s="476" t="n"/>
      <c r="AC12" s="476" t="n"/>
      <c r="AD12" s="476" t="n"/>
      <c r="AE12" s="476" t="n"/>
      <c r="AF12" s="476" t="n"/>
      <c r="AG12" s="476" t="n"/>
      <c r="AH12" s="476" t="n"/>
      <c r="AI12" s="479" t="n">
        <v>1.1238</v>
      </c>
      <c r="AJ12" s="479" t="n">
        <v>4.0992</v>
      </c>
      <c r="AK12" s="479" t="n">
        <v>4.5686</v>
      </c>
      <c r="AL12" s="476" t="n"/>
      <c r="AM12" s="477" t="inlineStr">
        <is>
          <t>RE Tax estimated ~$74k (2023 not detailed); Total OpEx per actuals submission; NOI confirmed</t>
        </is>
      </c>
    </row>
    <row r="13" ht="13.5" customHeight="1" s="545">
      <c r="A13" s="450" t="inlineStr">
        <is>
          <t>P004</t>
        </is>
      </c>
      <c r="B13" s="449" t="n">
        <v>412</v>
      </c>
      <c r="C13" s="450" t="inlineStr">
        <is>
          <t>R0050221</t>
        </is>
      </c>
      <c r="D13" s="468" t="inlineStr">
        <is>
          <t>8860 Federal Blvd</t>
        </is>
      </c>
      <c r="E13" s="450" t="inlineStr">
        <is>
          <t>Adams County</t>
        </is>
      </c>
      <c r="F13" s="450" t="inlineStr">
        <is>
          <t>CO</t>
        </is>
      </c>
      <c r="G13" s="450" t="inlineStr">
        <is>
          <t>Retail</t>
        </is>
      </c>
      <c r="H13" s="468" t="inlineStr">
        <is>
          <t>Strip/Multi-tenant</t>
        </is>
      </c>
      <c r="I13" s="480" t="n"/>
      <c r="J13" s="480" t="n">
        <v>65850</v>
      </c>
      <c r="K13" s="480" t="n">
        <v>2024</v>
      </c>
      <c r="L13" s="450" t="n"/>
      <c r="M13" s="450" t="n"/>
      <c r="N13" s="481" t="n">
        <v>8.926600000000001</v>
      </c>
      <c r="O13" s="481" t="n">
        <v>0.7779</v>
      </c>
      <c r="P13" s="450" t="n"/>
      <c r="Q13" s="450" t="n"/>
      <c r="R13" s="450" t="n"/>
      <c r="S13" s="450" t="n"/>
      <c r="T13" s="450" t="n"/>
      <c r="U13" s="450" t="n"/>
      <c r="V13" s="450" t="n"/>
      <c r="W13" s="450" t="n"/>
      <c r="X13" s="481" t="n">
        <v>0.4392</v>
      </c>
      <c r="Y13" s="481" t="n">
        <v>0.4392</v>
      </c>
      <c r="Z13" s="481" t="n">
        <v>0.2667</v>
      </c>
      <c r="AA13" s="481" t="n">
        <v>0.0304</v>
      </c>
      <c r="AB13" s="481" t="n">
        <v>0.0529</v>
      </c>
      <c r="AC13" s="481" t="n">
        <v>0.35</v>
      </c>
      <c r="AD13" s="481" t="n">
        <v>0.1958</v>
      </c>
      <c r="AE13" s="481" t="n">
        <v>0.1081</v>
      </c>
      <c r="AF13" s="481" t="n">
        <v>0.3039</v>
      </c>
      <c r="AG13" s="481" t="n">
        <v>0.1667</v>
      </c>
      <c r="AH13" s="481" t="n">
        <v>2.4196</v>
      </c>
      <c r="AI13" s="481" t="n">
        <v>1.6016</v>
      </c>
      <c r="AJ13" s="481" t="n">
        <v>4.0212</v>
      </c>
      <c r="AK13" s="481" t="n">
        <v>4.9054</v>
      </c>
      <c r="AL13" s="450" t="n"/>
      <c r="AM13" s="468" t="inlineStr">
        <is>
          <t>Detailed 2024 actuals; R&amp;M includes CAM component $261; insurance unusually high at $51,223; drainage/lighting included in Other</t>
        </is>
      </c>
    </row>
    <row r="14" ht="13.5" customHeight="1" s="545">
      <c r="A14" s="484" t="inlineStr">
        <is>
          <t>P005</t>
        </is>
      </c>
      <c r="B14" s="449" t="n">
        <v>344</v>
      </c>
      <c r="C14" s="484" t="inlineStr">
        <is>
          <t>R0050977</t>
        </is>
      </c>
      <c r="D14" s="485" t="inlineStr">
        <is>
          <t>9351 Grant St (Horizon Terrace)</t>
        </is>
      </c>
      <c r="E14" s="484" t="inlineStr">
        <is>
          <t>Thornton</t>
        </is>
      </c>
      <c r="F14" s="484" t="inlineStr">
        <is>
          <t>CO</t>
        </is>
      </c>
      <c r="G14" s="484" t="inlineStr">
        <is>
          <t>Office</t>
        </is>
      </c>
      <c r="H14" s="485" t="inlineStr">
        <is>
          <t>Class B Multi-story</t>
        </is>
      </c>
      <c r="I14" s="486" t="n"/>
      <c r="J14" s="486" t="n">
        <v>91646</v>
      </c>
      <c r="K14" s="486" t="n">
        <v>2023</v>
      </c>
      <c r="L14" s="488" t="n">
        <v>21.9536</v>
      </c>
      <c r="M14" s="488" t="n">
        <v>2.4799</v>
      </c>
      <c r="N14" s="488" t="n">
        <v>24.4335</v>
      </c>
      <c r="O14" s="488" t="n">
        <v>0.2665</v>
      </c>
      <c r="P14" s="488" t="n">
        <v>1.4405</v>
      </c>
      <c r="Q14" s="484" t="n"/>
      <c r="R14" s="484" t="n"/>
      <c r="S14" s="484" t="n"/>
      <c r="T14" s="484" t="n"/>
      <c r="U14" s="484" t="n"/>
      <c r="V14" s="484" t="n"/>
      <c r="W14" s="484" t="n"/>
      <c r="X14" s="488" t="n">
        <v>1.5772</v>
      </c>
      <c r="Y14" s="488" t="n">
        <v>1.5772</v>
      </c>
      <c r="Z14" s="484" t="n"/>
      <c r="AA14" s="488" t="n">
        <v>1.1869</v>
      </c>
      <c r="AB14" s="488" t="n">
        <v>0.7112000000000001</v>
      </c>
      <c r="AC14" s="488" t="n">
        <v>2.9825</v>
      </c>
      <c r="AD14" s="488" t="n">
        <v>0.1611</v>
      </c>
      <c r="AE14" s="488" t="n">
        <v>2.4615</v>
      </c>
      <c r="AF14" s="488" t="n">
        <v>2.6226</v>
      </c>
      <c r="AG14" s="488" t="n">
        <v>0.3593</v>
      </c>
      <c r="AH14" s="488" t="n">
        <v>9.229100000000001</v>
      </c>
      <c r="AI14" s="488" t="n">
        <v>4.0592</v>
      </c>
      <c r="AJ14" s="488" t="n">
        <v>13.2884</v>
      </c>
      <c r="AK14" s="488" t="n">
        <v>11.1451</v>
      </c>
      <c r="AL14" s="484" t="n"/>
      <c r="AM14" s="485" t="inlineStr">
        <is>
          <t>Full-service office: janitorial $164,559 in contract total; security/life safety $29,726 in Other; landscape incl snow $65,183; 2023 actuals confirmed</t>
        </is>
      </c>
    </row>
    <row r="15" ht="13.5" customHeight="1" s="545">
      <c r="A15" s="484" t="inlineStr">
        <is>
          <t>P005</t>
        </is>
      </c>
      <c r="B15" s="449" t="n">
        <v>344</v>
      </c>
      <c r="C15" s="484" t="inlineStr">
        <is>
          <t>R0050977</t>
        </is>
      </c>
      <c r="D15" s="485" t="inlineStr">
        <is>
          <t>9351 Grant St (Horizon Terrace)</t>
        </is>
      </c>
      <c r="E15" s="484" t="inlineStr">
        <is>
          <t>Thornton</t>
        </is>
      </c>
      <c r="F15" s="484" t="inlineStr">
        <is>
          <t>CO</t>
        </is>
      </c>
      <c r="G15" s="484" t="inlineStr">
        <is>
          <t>Office</t>
        </is>
      </c>
      <c r="H15" s="485" t="inlineStr">
        <is>
          <t>Class B Multi-story</t>
        </is>
      </c>
      <c r="I15" s="486" t="n"/>
      <c r="J15" s="486" t="n">
        <v>91646</v>
      </c>
      <c r="K15" s="486" t="n">
        <v>2024</v>
      </c>
      <c r="L15" s="488" t="n">
        <v>22.3966</v>
      </c>
      <c r="M15" s="488" t="n">
        <v>2.9417</v>
      </c>
      <c r="N15" s="488" t="n">
        <v>25.3383</v>
      </c>
      <c r="O15" s="488" t="n">
        <v>0.2648</v>
      </c>
      <c r="P15" s="488" t="n">
        <v>1.6305</v>
      </c>
      <c r="Q15" s="484" t="n"/>
      <c r="R15" s="484" t="n"/>
      <c r="S15" s="484" t="n"/>
      <c r="T15" s="484" t="n"/>
      <c r="U15" s="484" t="n"/>
      <c r="V15" s="484" t="n"/>
      <c r="W15" s="484" t="n"/>
      <c r="X15" s="488" t="n">
        <v>1.6418</v>
      </c>
      <c r="Y15" s="488" t="n">
        <v>1.6418</v>
      </c>
      <c r="Z15" s="484" t="n"/>
      <c r="AA15" s="488" t="n">
        <v>1.1913</v>
      </c>
      <c r="AB15" s="484" t="n"/>
      <c r="AC15" s="488" t="n">
        <v>2.8658</v>
      </c>
      <c r="AD15" s="484" t="n"/>
      <c r="AE15" s="484" t="n"/>
      <c r="AF15" s="488" t="n">
        <v>2.5334</v>
      </c>
      <c r="AG15" s="488" t="n">
        <v>0.4083</v>
      </c>
      <c r="AH15" s="488" t="n">
        <v>9.3445</v>
      </c>
      <c r="AI15" s="488" t="n">
        <v>4.5128</v>
      </c>
      <c r="AJ15" s="488" t="n">
        <v>13.8574</v>
      </c>
      <c r="AK15" s="488" t="n">
        <v>11.4809</v>
      </c>
      <c r="AL15" s="484" t="n"/>
      <c r="AM15" s="485" t="inlineStr">
        <is>
          <t>2024 actuals; janitorial $153,462 in contract total; security $32,603 in Other; sales/use tax $4,813 in Other</t>
        </is>
      </c>
    </row>
    <row r="16" ht="13.5" customHeight="1" s="545">
      <c r="A16" s="484" t="inlineStr">
        <is>
          <t>P006</t>
        </is>
      </c>
      <c r="B16" s="449" t="n">
        <v>210</v>
      </c>
      <c r="C16" s="484" t="inlineStr">
        <is>
          <t>R0062937</t>
        </is>
      </c>
      <c r="D16" s="485" t="inlineStr">
        <is>
          <t>8670 Wolff Ct (Sheridan Park 8)</t>
        </is>
      </c>
      <c r="E16" s="484" t="inlineStr">
        <is>
          <t>Westminster</t>
        </is>
      </c>
      <c r="F16" s="484" t="inlineStr">
        <is>
          <t>CO</t>
        </is>
      </c>
      <c r="G16" s="484" t="inlineStr">
        <is>
          <t>Office/Flex</t>
        </is>
      </c>
      <c r="H16" s="485" t="inlineStr">
        <is>
          <t>Multi-tenant</t>
        </is>
      </c>
      <c r="I16" s="486" t="n"/>
      <c r="J16" s="486" t="n">
        <v>37078</v>
      </c>
      <c r="K16" s="486" t="n">
        <v>2020</v>
      </c>
      <c r="L16" s="484" t="n"/>
      <c r="M16" s="484" t="n"/>
      <c r="N16" s="484" t="n"/>
      <c r="O16" s="488" t="n">
        <v>0.1558</v>
      </c>
      <c r="P16" s="488" t="n">
        <v>0.5259</v>
      </c>
      <c r="Q16" s="484" t="n"/>
      <c r="R16" s="484" t="n"/>
      <c r="S16" s="484" t="n"/>
      <c r="T16" s="484" t="n"/>
      <c r="U16" s="484" t="n"/>
      <c r="V16" s="484" t="n"/>
      <c r="W16" s="484" t="n"/>
      <c r="X16" s="484" t="n"/>
      <c r="Y16" s="484" t="n"/>
      <c r="Z16" s="484" t="n"/>
      <c r="AA16" s="484" t="n"/>
      <c r="AB16" s="484" t="n"/>
      <c r="AC16" s="488" t="n">
        <v>3.6056</v>
      </c>
      <c r="AD16" s="484" t="n"/>
      <c r="AE16" s="484" t="n"/>
      <c r="AF16" s="488" t="n">
        <v>3.1372</v>
      </c>
      <c r="AG16" s="484" t="n"/>
      <c r="AH16" s="488" t="n">
        <v>7.4245</v>
      </c>
      <c r="AI16" s="488" t="n">
        <v>2.3924</v>
      </c>
      <c r="AJ16" s="488" t="n">
        <v>9.8169</v>
      </c>
      <c r="AK16" s="484" t="n"/>
      <c r="AL16" s="484" t="n"/>
      <c r="AM16" s="485" t="inlineStr">
        <is>
          <t>Income not available; expense-only from DYCO CAM history; CAM in contract total</t>
        </is>
      </c>
    </row>
    <row r="17" ht="13.5" customHeight="1" s="545">
      <c r="A17" s="484" t="inlineStr">
        <is>
          <t>P006</t>
        </is>
      </c>
      <c r="B17" s="449" t="n">
        <v>210</v>
      </c>
      <c r="C17" s="484" t="inlineStr">
        <is>
          <t>R0062937</t>
        </is>
      </c>
      <c r="D17" s="485" t="inlineStr">
        <is>
          <t>8670 Wolff Ct (Sheridan Park 8)</t>
        </is>
      </c>
      <c r="E17" s="484" t="inlineStr">
        <is>
          <t>Westminster</t>
        </is>
      </c>
      <c r="F17" s="484" t="inlineStr">
        <is>
          <t>CO</t>
        </is>
      </c>
      <c r="G17" s="484" t="inlineStr">
        <is>
          <t>Office/Flex</t>
        </is>
      </c>
      <c r="H17" s="485" t="inlineStr">
        <is>
          <t>Multi-tenant</t>
        </is>
      </c>
      <c r="I17" s="486" t="n"/>
      <c r="J17" s="486" t="n">
        <v>37078</v>
      </c>
      <c r="K17" s="486" t="n">
        <v>2021</v>
      </c>
      <c r="L17" s="484" t="n"/>
      <c r="M17" s="484" t="n"/>
      <c r="N17" s="484" t="n"/>
      <c r="O17" s="488" t="n">
        <v>0.1841</v>
      </c>
      <c r="P17" s="488" t="n">
        <v>0.4855</v>
      </c>
      <c r="Q17" s="484" t="n"/>
      <c r="R17" s="484" t="n"/>
      <c r="S17" s="484" t="n"/>
      <c r="T17" s="484" t="n"/>
      <c r="U17" s="484" t="n"/>
      <c r="V17" s="484" t="n"/>
      <c r="W17" s="484" t="n"/>
      <c r="X17" s="484" t="n"/>
      <c r="Y17" s="484" t="n"/>
      <c r="Z17" s="484" t="n"/>
      <c r="AA17" s="484" t="n"/>
      <c r="AB17" s="484" t="n"/>
      <c r="AC17" s="488" t="n">
        <v>2.8189</v>
      </c>
      <c r="AD17" s="484" t="n"/>
      <c r="AE17" s="484" t="n"/>
      <c r="AF17" s="488" t="n">
        <v>2.9359</v>
      </c>
      <c r="AG17" s="484" t="n"/>
      <c r="AH17" s="488" t="n">
        <v>6.4243</v>
      </c>
      <c r="AI17" s="488" t="n">
        <v>2.2709</v>
      </c>
      <c r="AJ17" s="488" t="n">
        <v>8.6952</v>
      </c>
      <c r="AK17" s="484" t="n"/>
      <c r="AL17" s="484" t="n"/>
      <c r="AM17" s="485" t="inlineStr">
        <is>
          <t>Income not available; expense-only from DYCO CAM history</t>
        </is>
      </c>
    </row>
    <row r="18" ht="13.5" customHeight="1" s="545">
      <c r="A18" s="484" t="inlineStr">
        <is>
          <t>P006</t>
        </is>
      </c>
      <c r="B18" s="449" t="n">
        <v>210</v>
      </c>
      <c r="C18" s="484" t="inlineStr">
        <is>
          <t>R0062937</t>
        </is>
      </c>
      <c r="D18" s="485" t="inlineStr">
        <is>
          <t>8670 Wolff Ct (Sheridan Park 8)</t>
        </is>
      </c>
      <c r="E18" s="484" t="inlineStr">
        <is>
          <t>Westminster</t>
        </is>
      </c>
      <c r="F18" s="484" t="inlineStr">
        <is>
          <t>CO</t>
        </is>
      </c>
      <c r="G18" s="484" t="inlineStr">
        <is>
          <t>Office/Flex</t>
        </is>
      </c>
      <c r="H18" s="485" t="inlineStr">
        <is>
          <t>Multi-tenant</t>
        </is>
      </c>
      <c r="I18" s="486" t="n"/>
      <c r="J18" s="486" t="n">
        <v>37078</v>
      </c>
      <c r="K18" s="486" t="n">
        <v>2022</v>
      </c>
      <c r="L18" s="484" t="n"/>
      <c r="M18" s="484" t="n"/>
      <c r="N18" s="484" t="n"/>
      <c r="O18" s="488" t="n">
        <v>0.2122</v>
      </c>
      <c r="P18" s="488" t="n">
        <v>0.5651</v>
      </c>
      <c r="Q18" s="484" t="n"/>
      <c r="R18" s="484" t="n"/>
      <c r="S18" s="484" t="n"/>
      <c r="T18" s="484" t="n"/>
      <c r="U18" s="484" t="n"/>
      <c r="V18" s="484" t="n"/>
      <c r="W18" s="484" t="n"/>
      <c r="X18" s="484" t="n"/>
      <c r="Y18" s="484" t="n"/>
      <c r="Z18" s="484" t="n"/>
      <c r="AA18" s="484" t="n"/>
      <c r="AB18" s="484" t="n"/>
      <c r="AC18" s="488" t="n">
        <v>3.0261</v>
      </c>
      <c r="AD18" s="484" t="n"/>
      <c r="AE18" s="484" t="n"/>
      <c r="AF18" s="488" t="n">
        <v>3.0198</v>
      </c>
      <c r="AG18" s="484" t="n"/>
      <c r="AH18" s="488" t="n">
        <v>6.8231</v>
      </c>
      <c r="AI18" s="488" t="n">
        <v>3.6987</v>
      </c>
      <c r="AJ18" s="488" t="n">
        <v>10.5219</v>
      </c>
      <c r="AK18" s="484" t="n"/>
      <c r="AL18" s="484" t="n"/>
      <c r="AM18" s="485" t="inlineStr">
        <is>
          <t>Income not available; expense-only from DYCO CAM history; RE Tax jumped from $84k to $137k (reval year)</t>
        </is>
      </c>
    </row>
    <row r="19" ht="13.5" customHeight="1" s="545">
      <c r="A19" s="484" t="inlineStr">
        <is>
          <t>P006</t>
        </is>
      </c>
      <c r="B19" s="449" t="n">
        <v>210</v>
      </c>
      <c r="C19" s="484" t="inlineStr">
        <is>
          <t>R0062937</t>
        </is>
      </c>
      <c r="D19" s="485" t="inlineStr">
        <is>
          <t>8670 Wolff Ct (Sheridan Park 8)</t>
        </is>
      </c>
      <c r="E19" s="484" t="inlineStr">
        <is>
          <t>Westminster</t>
        </is>
      </c>
      <c r="F19" s="484" t="inlineStr">
        <is>
          <t>CO</t>
        </is>
      </c>
      <c r="G19" s="484" t="inlineStr">
        <is>
          <t>Office/Flex</t>
        </is>
      </c>
      <c r="H19" s="485" t="inlineStr">
        <is>
          <t>Multi-tenant</t>
        </is>
      </c>
      <c r="I19" s="486" t="n"/>
      <c r="J19" s="486" t="n">
        <v>37078</v>
      </c>
      <c r="K19" s="486" t="n">
        <v>2023</v>
      </c>
      <c r="L19" s="484" t="n"/>
      <c r="M19" s="484" t="n"/>
      <c r="N19" s="484" t="n"/>
      <c r="O19" s="488" t="n">
        <v>0.2334</v>
      </c>
      <c r="P19" s="488" t="n">
        <v>0.4855</v>
      </c>
      <c r="Q19" s="484" t="n"/>
      <c r="R19" s="484" t="n"/>
      <c r="S19" s="484" t="n"/>
      <c r="T19" s="484" t="n"/>
      <c r="U19" s="484" t="n"/>
      <c r="V19" s="484" t="n"/>
      <c r="W19" s="484" t="n"/>
      <c r="X19" s="484" t="n"/>
      <c r="Y19" s="484" t="n"/>
      <c r="Z19" s="484" t="n"/>
      <c r="AA19" s="484" t="n"/>
      <c r="AB19" s="484" t="n"/>
      <c r="AC19" s="488" t="n">
        <v>3.1419</v>
      </c>
      <c r="AD19" s="484" t="n"/>
      <c r="AE19" s="484" t="n"/>
      <c r="AF19" s="488" t="n">
        <v>3.018</v>
      </c>
      <c r="AG19" s="484" t="n"/>
      <c r="AH19" s="488" t="n">
        <v>6.8788</v>
      </c>
      <c r="AI19" s="488" t="n">
        <v>3.554</v>
      </c>
      <c r="AJ19" s="488" t="n">
        <v>10.4328</v>
      </c>
      <c r="AK19" s="484" t="n"/>
      <c r="AL19" s="484" t="n"/>
      <c r="AM19" s="485" t="inlineStr">
        <is>
          <t>Income not available; 2023 YTD annualized per DYCO</t>
        </is>
      </c>
    </row>
    <row r="20" ht="13.5" customHeight="1" s="545">
      <c r="A20" s="484" t="inlineStr">
        <is>
          <t>P006</t>
        </is>
      </c>
      <c r="B20" s="449" t="n">
        <v>210</v>
      </c>
      <c r="C20" s="484" t="inlineStr">
        <is>
          <t>R0062937</t>
        </is>
      </c>
      <c r="D20" s="485" t="inlineStr">
        <is>
          <t>8670 Wolff Ct (Sheridan Park 8)</t>
        </is>
      </c>
      <c r="E20" s="484" t="inlineStr">
        <is>
          <t>Westminster</t>
        </is>
      </c>
      <c r="F20" s="484" t="inlineStr">
        <is>
          <t>CO</t>
        </is>
      </c>
      <c r="G20" s="484" t="inlineStr">
        <is>
          <t>Office/Flex</t>
        </is>
      </c>
      <c r="H20" s="485" t="inlineStr">
        <is>
          <t>Multi-tenant</t>
        </is>
      </c>
      <c r="I20" s="486" t="n"/>
      <c r="J20" s="486" t="n">
        <v>37078</v>
      </c>
      <c r="K20" s="486" t="n">
        <v>2024</v>
      </c>
      <c r="L20" s="484" t="n"/>
      <c r="M20" s="484" t="n"/>
      <c r="N20" s="484" t="n"/>
      <c r="O20" s="488" t="n">
        <v>0.2334</v>
      </c>
      <c r="P20" s="488" t="n">
        <v>0.5826</v>
      </c>
      <c r="Q20" s="484" t="n"/>
      <c r="R20" s="484" t="n"/>
      <c r="S20" s="484" t="n"/>
      <c r="T20" s="484" t="n"/>
      <c r="U20" s="484" t="n"/>
      <c r="V20" s="484" t="n"/>
      <c r="W20" s="484" t="n"/>
      <c r="X20" s="484" t="n"/>
      <c r="Y20" s="484" t="n"/>
      <c r="Z20" s="484" t="n"/>
      <c r="AA20" s="484" t="n"/>
      <c r="AB20" s="484" t="n"/>
      <c r="AC20" s="488" t="n">
        <v>3.7703</v>
      </c>
      <c r="AD20" s="484" t="n"/>
      <c r="AE20" s="484" t="n"/>
      <c r="AF20" s="488" t="n">
        <v>3.6217</v>
      </c>
      <c r="AG20" s="484" t="n"/>
      <c r="AH20" s="488" t="n">
        <v>8.2079</v>
      </c>
      <c r="AI20" s="488" t="n">
        <v>3.554</v>
      </c>
      <c r="AJ20" s="488" t="n">
        <v>11.7619</v>
      </c>
      <c r="AK20" s="484" t="n"/>
      <c r="AL20" s="484" t="n"/>
      <c r="AM20" s="485" t="inlineStr">
        <is>
          <t>Income not available; 2024 actuals per DYCO CAM history</t>
        </is>
      </c>
    </row>
    <row r="21" ht="13.5" customHeight="1" s="545">
      <c r="A21" s="484" t="inlineStr">
        <is>
          <t>P007</t>
        </is>
      </c>
      <c r="B21" s="449" t="n">
        <v>341</v>
      </c>
      <c r="C21" s="484" t="inlineStr">
        <is>
          <t>R0062944</t>
        </is>
      </c>
      <c r="D21" s="485" t="inlineStr">
        <is>
          <t>8787 (medical office complex)</t>
        </is>
      </c>
      <c r="E21" s="484" t="inlineStr">
        <is>
          <t>Adams County</t>
        </is>
      </c>
      <c r="F21" s="484" t="inlineStr">
        <is>
          <t>CO</t>
        </is>
      </c>
      <c r="G21" s="484" t="inlineStr">
        <is>
          <t>Medical Office</t>
        </is>
      </c>
      <c r="H21" s="485" t="inlineStr">
        <is>
          <t>Multi-tenant</t>
        </is>
      </c>
      <c r="I21" s="486" t="n"/>
      <c r="J21" s="486" t="n">
        <v>19430</v>
      </c>
      <c r="K21" s="486" t="n">
        <v>2023</v>
      </c>
      <c r="L21" s="484" t="n"/>
      <c r="M21" s="484" t="n"/>
      <c r="N21" s="488" t="n">
        <v>20.2681</v>
      </c>
      <c r="O21" s="488" t="n">
        <v>0.4882</v>
      </c>
      <c r="P21" s="488" t="n">
        <v>0.525</v>
      </c>
      <c r="Q21" s="484" t="n"/>
      <c r="R21" s="484" t="n"/>
      <c r="S21" s="484" t="n"/>
      <c r="T21" s="484" t="n"/>
      <c r="U21" s="488" t="n">
        <v>1.1125</v>
      </c>
      <c r="V21" s="484" t="n"/>
      <c r="W21" s="484" t="n"/>
      <c r="X21" s="488" t="n">
        <v>1.365</v>
      </c>
      <c r="Y21" s="488" t="n">
        <v>1.365</v>
      </c>
      <c r="Z21" s="488" t="n">
        <v>0.1046</v>
      </c>
      <c r="AA21" s="488" t="n">
        <v>0.6014</v>
      </c>
      <c r="AB21" s="488" t="n">
        <v>0.3262</v>
      </c>
      <c r="AC21" s="488" t="n">
        <v>1.0322</v>
      </c>
      <c r="AD21" s="488" t="n">
        <v>0.3942</v>
      </c>
      <c r="AE21" s="488" t="n">
        <v>1.9391</v>
      </c>
      <c r="AF21" s="488" t="n">
        <v>2.3333</v>
      </c>
      <c r="AG21" s="488" t="n">
        <v>0.9338</v>
      </c>
      <c r="AH21" s="488" t="n">
        <v>7.7898</v>
      </c>
      <c r="AI21" s="488" t="n">
        <v>2.7482</v>
      </c>
      <c r="AJ21" s="488" t="n">
        <v>10.5379</v>
      </c>
      <c r="AK21" s="488" t="n">
        <v>9.7302</v>
      </c>
      <c r="AL21" s="484" t="n"/>
      <c r="AM21" s="485" t="inlineStr">
        <is>
          <t>HVAC maint $21,615 included in R&amp;M; janitorial $16,418 in Other; professional svcs $1,726 in Other; 2023 actuals</t>
        </is>
      </c>
    </row>
    <row r="22" ht="13.5" customHeight="1" s="545">
      <c r="A22" s="484" t="inlineStr">
        <is>
          <t>P007</t>
        </is>
      </c>
      <c r="B22" s="449" t="n">
        <v>341</v>
      </c>
      <c r="C22" s="484" t="inlineStr">
        <is>
          <t>R0062944</t>
        </is>
      </c>
      <c r="D22" s="485" t="inlineStr">
        <is>
          <t>8787 (medical office complex)</t>
        </is>
      </c>
      <c r="E22" s="484" t="inlineStr">
        <is>
          <t>Adams County</t>
        </is>
      </c>
      <c r="F22" s="484" t="inlineStr">
        <is>
          <t>CO</t>
        </is>
      </c>
      <c r="G22" s="484" t="inlineStr">
        <is>
          <t>Medical Office</t>
        </is>
      </c>
      <c r="H22" s="485" t="inlineStr">
        <is>
          <t>Multi-tenant</t>
        </is>
      </c>
      <c r="I22" s="486" t="n"/>
      <c r="J22" s="486" t="n">
        <v>19430</v>
      </c>
      <c r="K22" s="486" t="n">
        <v>2024</v>
      </c>
      <c r="L22" s="484" t="n"/>
      <c r="M22" s="484" t="n"/>
      <c r="N22" s="488" t="n">
        <v>20.0976</v>
      </c>
      <c r="O22" s="488" t="n">
        <v>0.7185</v>
      </c>
      <c r="P22" s="488" t="n">
        <v>1.9878</v>
      </c>
      <c r="Q22" s="484" t="n"/>
      <c r="R22" s="484" t="n"/>
      <c r="S22" s="484" t="n"/>
      <c r="T22" s="484" t="n"/>
      <c r="U22" s="488" t="n">
        <v>0.6725</v>
      </c>
      <c r="V22" s="484" t="n"/>
      <c r="W22" s="484" t="n"/>
      <c r="X22" s="488" t="n">
        <v>1.3296</v>
      </c>
      <c r="Y22" s="488" t="n">
        <v>1.3296</v>
      </c>
      <c r="Z22" s="488" t="n">
        <v>0.1008</v>
      </c>
      <c r="AA22" s="488" t="n">
        <v>0.8078</v>
      </c>
      <c r="AB22" s="488" t="n">
        <v>0.3029</v>
      </c>
      <c r="AC22" s="488" t="n">
        <v>1.2115</v>
      </c>
      <c r="AD22" s="488" t="n">
        <v>0.3305</v>
      </c>
      <c r="AE22" s="488" t="n">
        <v>1.7022</v>
      </c>
      <c r="AF22" s="488" t="n">
        <v>2.0327</v>
      </c>
      <c r="AG22" s="488" t="n">
        <v>0.8246</v>
      </c>
      <c r="AH22" s="488" t="n">
        <v>8.777100000000001</v>
      </c>
      <c r="AI22" s="488" t="n">
        <v>3.2527</v>
      </c>
      <c r="AJ22" s="488" t="n">
        <v>12.0299</v>
      </c>
      <c r="AK22" s="488" t="n">
        <v>8.0678</v>
      </c>
      <c r="AL22" s="484" t="n"/>
      <c r="AM22" s="485" t="inlineStr">
        <is>
          <t>Mgmt = CAM portion $10,600 + non-CAM $28,022; janitorial $16,022 in Other; HVAC $13,067 in R&amp;M; 2024 actuals</t>
        </is>
      </c>
    </row>
    <row r="23" ht="13.5" customHeight="1" s="545">
      <c r="A23" s="450" t="inlineStr">
        <is>
          <t>P008</t>
        </is>
      </c>
      <c r="B23" s="449" t="n">
        <v>210</v>
      </c>
      <c r="C23" s="450" t="inlineStr">
        <is>
          <t>R0070622</t>
        </is>
      </c>
      <c r="D23" s="468" t="inlineStr">
        <is>
          <t>460-550 E. 76th Ave (WPC Corporate)</t>
        </is>
      </c>
      <c r="E23" s="450" t="inlineStr">
        <is>
          <t>Adams County</t>
        </is>
      </c>
      <c r="F23" s="450" t="inlineStr">
        <is>
          <t>CO</t>
        </is>
      </c>
      <c r="G23" s="450" t="inlineStr">
        <is>
          <t>Industrial</t>
        </is>
      </c>
      <c r="H23" s="468" t="inlineStr">
        <is>
          <t>Distribution/Flex Multi-tenant</t>
        </is>
      </c>
      <c r="I23" s="480" t="n"/>
      <c r="J23" s="480" t="n">
        <v>330935</v>
      </c>
      <c r="K23" s="480" t="n">
        <v>2024</v>
      </c>
      <c r="L23" s="450" t="n"/>
      <c r="M23" s="450" t="n"/>
      <c r="N23" s="481" t="n">
        <v>8.311400000000001</v>
      </c>
      <c r="O23" s="450" t="n"/>
      <c r="P23" s="450" t="n"/>
      <c r="Q23" s="450" t="n"/>
      <c r="R23" s="450" t="n"/>
      <c r="S23" s="450" t="n"/>
      <c r="T23" s="450" t="n"/>
      <c r="U23" s="450" t="n"/>
      <c r="V23" s="450" t="n"/>
      <c r="W23" s="450" t="n"/>
      <c r="X23" s="450" t="n"/>
      <c r="Y23" s="450" t="n"/>
      <c r="Z23" s="450" t="n"/>
      <c r="AA23" s="450" t="n"/>
      <c r="AB23" s="450" t="n"/>
      <c r="AC23" s="450" t="n"/>
      <c r="AD23" s="450" t="n"/>
      <c r="AE23" s="450" t="n"/>
      <c r="AF23" s="450" t="n"/>
      <c r="AG23" s="450" t="n"/>
      <c r="AH23" s="450" t="n"/>
      <c r="AI23" s="450" t="n"/>
      <c r="AJ23" s="481" t="n">
        <v>4.0444</v>
      </c>
      <c r="AK23" s="481" t="n">
        <v>4.267</v>
      </c>
      <c r="AL23" s="450" t="n"/>
      <c r="AM23" s="468" t="inlineStr">
        <is>
          <t>2024 only; total OPX derived (EGI - NOI); limited line-item detail from scanned actuals; large multi-tenant industrial complex</t>
        </is>
      </c>
    </row>
    <row r="24" ht="13.5" customHeight="1" s="545">
      <c r="A24" s="476" t="inlineStr">
        <is>
          <t>P009</t>
        </is>
      </c>
      <c r="B24" s="449" t="n">
        <v>407</v>
      </c>
      <c r="C24" s="476" t="inlineStr">
        <is>
          <t>R0075212</t>
        </is>
      </c>
      <c r="D24" s="477" t="inlineStr">
        <is>
          <t>10500 Havana Court</t>
        </is>
      </c>
      <c r="E24" s="476" t="inlineStr">
        <is>
          <t>Adams County</t>
        </is>
      </c>
      <c r="F24" s="476" t="inlineStr">
        <is>
          <t>CO</t>
        </is>
      </c>
      <c r="G24" s="476" t="inlineStr">
        <is>
          <t>Industrial</t>
        </is>
      </c>
      <c r="H24" s="477" t="inlineStr">
        <is>
          <t>NNN Single-tenant</t>
        </is>
      </c>
      <c r="I24" s="478" t="n"/>
      <c r="J24" s="478" t="n"/>
      <c r="K24" s="478" t="n">
        <v>2023</v>
      </c>
      <c r="L24" s="476" t="n"/>
      <c r="M24" s="476" t="n"/>
      <c r="N24" s="489" t="n">
        <v>332759</v>
      </c>
      <c r="O24" s="489" t="n">
        <v>22784</v>
      </c>
      <c r="P24" s="489" t="n">
        <v>4000</v>
      </c>
      <c r="Q24" s="476" t="n"/>
      <c r="R24" s="476" t="n"/>
      <c r="S24" s="476" t="n"/>
      <c r="T24" s="476" t="n"/>
      <c r="U24" s="476" t="n"/>
      <c r="V24" s="476" t="n"/>
      <c r="W24" s="476" t="n"/>
      <c r="X24" s="489" t="n">
        <v>12804</v>
      </c>
      <c r="Y24" s="489" t="n">
        <v>12804</v>
      </c>
      <c r="Z24" s="476" t="n"/>
      <c r="AA24" s="489" t="n">
        <v>6910</v>
      </c>
      <c r="AB24" s="489" t="n">
        <v>1800</v>
      </c>
      <c r="AC24" s="489" t="n">
        <v>8710</v>
      </c>
      <c r="AD24" s="489" t="n">
        <v>2209</v>
      </c>
      <c r="AE24" s="489" t="n">
        <v>1956</v>
      </c>
      <c r="AF24" s="489" t="n">
        <v>4165</v>
      </c>
      <c r="AG24" s="489" t="n">
        <v>8397</v>
      </c>
      <c r="AH24" s="489" t="n">
        <v>127005</v>
      </c>
      <c r="AI24" s="489" t="n">
        <v>60552</v>
      </c>
      <c r="AJ24" s="489" t="n">
        <v>187557</v>
      </c>
      <c r="AK24" s="489" t="n">
        <v>265550</v>
      </c>
      <c r="AL24" s="476" t="n"/>
      <c r="AM24" s="477" t="inlineStr">
        <is>
          <t>[NO SF] NNN; P&amp;L excludes depreciation ($68,209) and mortgage interest ($60,714) from NOI calc; acctg/legal/bank/dues in Other; 2023 actuals</t>
        </is>
      </c>
    </row>
    <row r="25" ht="13.5" customHeight="1" s="545">
      <c r="A25" s="450" t="inlineStr">
        <is>
          <t>P009</t>
        </is>
      </c>
      <c r="B25" s="449" t="n">
        <v>407</v>
      </c>
      <c r="C25" s="450" t="inlineStr">
        <is>
          <t>R0075212</t>
        </is>
      </c>
      <c r="D25" s="468" t="inlineStr">
        <is>
          <t>10500 Havana Court</t>
        </is>
      </c>
      <c r="E25" s="450" t="inlineStr">
        <is>
          <t>Adams County</t>
        </is>
      </c>
      <c r="F25" s="450" t="inlineStr">
        <is>
          <t>CO</t>
        </is>
      </c>
      <c r="G25" s="450" t="inlineStr">
        <is>
          <t>Industrial</t>
        </is>
      </c>
      <c r="H25" s="468" t="inlineStr">
        <is>
          <t>NNN Single-tenant</t>
        </is>
      </c>
      <c r="I25" s="480" t="n"/>
      <c r="J25" s="480" t="n"/>
      <c r="K25" s="480" t="n">
        <v>2024</v>
      </c>
      <c r="L25" s="450" t="n"/>
      <c r="M25" s="450" t="n"/>
      <c r="N25" s="490" t="n">
        <v>359583</v>
      </c>
      <c r="O25" s="490" t="n">
        <v>27489</v>
      </c>
      <c r="P25" s="490" t="n">
        <v>6000</v>
      </c>
      <c r="Q25" s="450" t="n"/>
      <c r="R25" s="450" t="n"/>
      <c r="S25" s="450" t="n"/>
      <c r="T25" s="450" t="n"/>
      <c r="U25" s="450" t="n"/>
      <c r="V25" s="450" t="n"/>
      <c r="W25" s="450" t="n"/>
      <c r="X25" s="490" t="n">
        <v>9601</v>
      </c>
      <c r="Y25" s="490" t="n">
        <v>9601</v>
      </c>
      <c r="Z25" s="450" t="n"/>
      <c r="AA25" s="490" t="n">
        <v>3045</v>
      </c>
      <c r="AB25" s="490" t="n">
        <v>1960</v>
      </c>
      <c r="AC25" s="490" t="n">
        <v>5005</v>
      </c>
      <c r="AD25" s="490" t="n">
        <v>3555</v>
      </c>
      <c r="AE25" s="490" t="n">
        <v>1567</v>
      </c>
      <c r="AF25" s="490" t="n">
        <v>5122</v>
      </c>
      <c r="AG25" s="490" t="n">
        <v>10035</v>
      </c>
      <c r="AH25" s="490" t="n">
        <v>69350</v>
      </c>
      <c r="AI25" s="490" t="n">
        <v>101114</v>
      </c>
      <c r="AJ25" s="490" t="n">
        <v>170464</v>
      </c>
      <c r="AK25" s="490" t="n">
        <v>290993</v>
      </c>
      <c r="AL25" s="450" t="n"/>
      <c r="AM25" s="468" t="inlineStr">
        <is>
          <t>[NO SF] NNN; depreciation ($52,109) and mortgage interest ($58,574) excluded from NOI; Other includes acctg, dues, inspections; 2024 actuals</t>
        </is>
      </c>
    </row>
    <row r="26" ht="13.5" customHeight="1" s="545">
      <c r="A26" s="476" t="inlineStr">
        <is>
          <t>P010</t>
        </is>
      </c>
      <c r="B26" s="449" t="n">
        <v>210</v>
      </c>
      <c r="C26" s="476" t="inlineStr">
        <is>
          <t>R0098225</t>
        </is>
      </c>
      <c r="D26" s="477" t="inlineStr">
        <is>
          <t>Broadway Business Center (7040B Broadway)</t>
        </is>
      </c>
      <c r="E26" s="476" t="inlineStr">
        <is>
          <t>Denver</t>
        </is>
      </c>
      <c r="F26" s="476" t="inlineStr">
        <is>
          <t>CO</t>
        </is>
      </c>
      <c r="G26" s="476" t="inlineStr">
        <is>
          <t>Flex/Industrial</t>
        </is>
      </c>
      <c r="H26" s="477" t="inlineStr">
        <is>
          <t>Multi-tenant CAM</t>
        </is>
      </c>
      <c r="I26" s="478" t="n"/>
      <c r="J26" s="478" t="n">
        <v>105000</v>
      </c>
      <c r="K26" s="478" t="n">
        <v>2023</v>
      </c>
      <c r="L26" s="479" t="n">
        <v>7.0284</v>
      </c>
      <c r="M26" s="479" t="n">
        <v>4.8451</v>
      </c>
      <c r="N26" s="479" t="n">
        <v>11.8736</v>
      </c>
      <c r="O26" s="479" t="n">
        <v>0.4657</v>
      </c>
      <c r="P26" s="479" t="n">
        <v>0.9933999999999999</v>
      </c>
      <c r="Q26" s="476" t="n"/>
      <c r="R26" s="476" t="n"/>
      <c r="S26" s="476" t="n"/>
      <c r="T26" s="476" t="n"/>
      <c r="U26" s="476" t="n"/>
      <c r="V26" s="476" t="n"/>
      <c r="W26" s="476" t="n"/>
      <c r="X26" s="479" t="n">
        <v>0.6328</v>
      </c>
      <c r="Y26" s="479" t="n">
        <v>0.6328</v>
      </c>
      <c r="Z26" s="479" t="n">
        <v>0.4669</v>
      </c>
      <c r="AA26" s="479" t="n">
        <v>0.2172</v>
      </c>
      <c r="AB26" s="479" t="n">
        <v>0.5585</v>
      </c>
      <c r="AC26" s="479" t="n">
        <v>1.2425</v>
      </c>
      <c r="AD26" s="479" t="n">
        <v>0.5097</v>
      </c>
      <c r="AE26" s="476" t="n"/>
      <c r="AF26" s="479" t="n">
        <v>0.7223000000000001</v>
      </c>
      <c r="AG26" s="476" t="n"/>
      <c r="AH26" s="479" t="n">
        <v>4.6141</v>
      </c>
      <c r="AI26" s="479" t="n">
        <v>2.1859</v>
      </c>
      <c r="AJ26" s="479" t="n">
        <v>6.8</v>
      </c>
      <c r="AK26" s="479" t="n">
        <v>5.0762</v>
      </c>
      <c r="AL26" s="476" t="n"/>
      <c r="AM26" s="477" t="inlineStr">
        <is>
          <t>CAM recovery structure; mgmt = prop mgmt fee $50,590 + recoverable mgmt $53,721; snow in contract; 2023 actuals; NOI estimated</t>
        </is>
      </c>
    </row>
    <row r="27" ht="13.5" customHeight="1" s="545">
      <c r="A27" s="450" t="inlineStr">
        <is>
          <t>P010</t>
        </is>
      </c>
      <c r="B27" s="449" t="n">
        <v>210</v>
      </c>
      <c r="C27" s="450" t="inlineStr">
        <is>
          <t>R0098225</t>
        </is>
      </c>
      <c r="D27" s="468" t="inlineStr">
        <is>
          <t>Broadway Business Center (7040B Broadway)</t>
        </is>
      </c>
      <c r="E27" s="450" t="inlineStr">
        <is>
          <t>Denver</t>
        </is>
      </c>
      <c r="F27" s="450" t="inlineStr">
        <is>
          <t>CO</t>
        </is>
      </c>
      <c r="G27" s="450" t="inlineStr">
        <is>
          <t>Flex/Industrial</t>
        </is>
      </c>
      <c r="H27" s="468" t="inlineStr">
        <is>
          <t>Multi-tenant CAM</t>
        </is>
      </c>
      <c r="I27" s="480" t="n"/>
      <c r="J27" s="480" t="n">
        <v>105000</v>
      </c>
      <c r="K27" s="480" t="n">
        <v>2024</v>
      </c>
      <c r="L27" s="481" t="n">
        <v>8.597899999999999</v>
      </c>
      <c r="M27" s="481" t="n">
        <v>7.4693</v>
      </c>
      <c r="N27" s="481" t="n">
        <v>16.0672</v>
      </c>
      <c r="O27" s="481" t="n">
        <v>0.481</v>
      </c>
      <c r="P27" s="481" t="n">
        <v>1.1752</v>
      </c>
      <c r="Q27" s="450" t="n"/>
      <c r="R27" s="450" t="n"/>
      <c r="S27" s="450" t="n"/>
      <c r="T27" s="450" t="n"/>
      <c r="U27" s="450" t="n"/>
      <c r="V27" s="450" t="n"/>
      <c r="W27" s="450" t="n"/>
      <c r="X27" s="481" t="n">
        <v>0.7155</v>
      </c>
      <c r="Y27" s="481" t="n">
        <v>0.7155</v>
      </c>
      <c r="Z27" s="481" t="n">
        <v>0.5619</v>
      </c>
      <c r="AA27" s="481" t="n">
        <v>0.1728</v>
      </c>
      <c r="AB27" s="481" t="n">
        <v>0.4984</v>
      </c>
      <c r="AC27" s="481" t="n">
        <v>1.233</v>
      </c>
      <c r="AD27" s="481" t="n">
        <v>0.8304</v>
      </c>
      <c r="AE27" s="450" t="n"/>
      <c r="AF27" s="481" t="n">
        <v>0.9542</v>
      </c>
      <c r="AG27" s="450" t="n"/>
      <c r="AH27" s="481" t="n">
        <v>4.7875</v>
      </c>
      <c r="AI27" s="481" t="n">
        <v>5.1839</v>
      </c>
      <c r="AJ27" s="481" t="n">
        <v>9.971399999999999</v>
      </c>
      <c r="AK27" s="481" t="n">
        <v>6.0952</v>
      </c>
      <c r="AL27" s="450" t="n"/>
      <c r="AM27" s="468" t="inlineStr">
        <is>
          <t>2024 RE Tax inflated by $111,314 prior-yr catchup; normalized tax ~$425k; parking lot $52,328 in snow/contract; NOI estimated</t>
        </is>
      </c>
    </row>
    <row r="28" ht="13.5" customHeight="1" s="545">
      <c r="A28" s="476" t="inlineStr">
        <is>
          <t>P011</t>
        </is>
      </c>
      <c r="B28" s="449" t="n">
        <v>210</v>
      </c>
      <c r="C28" s="476" t="inlineStr">
        <is>
          <t>R0103767</t>
        </is>
      </c>
      <c r="D28" s="477" t="inlineStr">
        <is>
          <t>5650 Washington St (Washington Business Park)</t>
        </is>
      </c>
      <c r="E28" s="476" t="inlineStr">
        <is>
          <t>Adams County</t>
        </is>
      </c>
      <c r="F28" s="476" t="inlineStr">
        <is>
          <t>CO</t>
        </is>
      </c>
      <c r="G28" s="476" t="inlineStr">
        <is>
          <t>Industrial/Flex</t>
        </is>
      </c>
      <c r="H28" s="477" t="inlineStr">
        <is>
          <t>Multi-tenant</t>
        </is>
      </c>
      <c r="I28" s="478" t="n"/>
      <c r="J28" s="478" t="n"/>
      <c r="K28" s="478" t="n">
        <v>2022</v>
      </c>
      <c r="L28" s="476" t="n"/>
      <c r="M28" s="476" t="n"/>
      <c r="N28" s="489" t="n">
        <v>502006</v>
      </c>
      <c r="O28" s="489" t="n">
        <v>16872</v>
      </c>
      <c r="P28" s="489" t="n">
        <v>54025</v>
      </c>
      <c r="Q28" s="476" t="n"/>
      <c r="R28" s="476" t="n"/>
      <c r="S28" s="476" t="n"/>
      <c r="T28" s="476" t="n"/>
      <c r="U28" s="476" t="n"/>
      <c r="V28" s="476" t="n"/>
      <c r="W28" s="476" t="n"/>
      <c r="X28" s="489" t="n">
        <v>71762</v>
      </c>
      <c r="Y28" s="489" t="n">
        <v>71762</v>
      </c>
      <c r="Z28" s="476" t="n"/>
      <c r="AA28" s="489" t="n">
        <v>6528</v>
      </c>
      <c r="AB28" s="476" t="n"/>
      <c r="AC28" s="489" t="n">
        <v>6528</v>
      </c>
      <c r="AD28" s="489" t="n">
        <v>4858</v>
      </c>
      <c r="AE28" s="489" t="n">
        <v>525</v>
      </c>
      <c r="AF28" s="489" t="n">
        <v>5383</v>
      </c>
      <c r="AG28" s="476" t="n"/>
      <c r="AH28" s="489" t="n">
        <v>209625</v>
      </c>
      <c r="AI28" s="489" t="n">
        <v>64792</v>
      </c>
      <c r="AJ28" s="489" t="n">
        <v>274417</v>
      </c>
      <c r="AK28" s="489" t="n">
        <v>227649</v>
      </c>
      <c r="AL28" s="476" t="n"/>
      <c r="AM28" s="477" t="inlineStr">
        <is>
          <t>[NO SF] Mgmt fee $54,025 (2022 only ? not in later years); R&amp;M = bldg maint + repairs + HVAC + plumbing; water/gas from operating stmt</t>
        </is>
      </c>
    </row>
    <row r="29" ht="13.5" customHeight="1" s="545">
      <c r="A29" s="450" t="inlineStr">
        <is>
          <t>P011</t>
        </is>
      </c>
      <c r="B29" s="449" t="n">
        <v>210</v>
      </c>
      <c r="C29" s="450" t="inlineStr">
        <is>
          <t>R0103767</t>
        </is>
      </c>
      <c r="D29" s="468" t="inlineStr">
        <is>
          <t>5650 Washington St (Washington Business Park)</t>
        </is>
      </c>
      <c r="E29" s="450" t="inlineStr">
        <is>
          <t>Adams County</t>
        </is>
      </c>
      <c r="F29" s="450" t="inlineStr">
        <is>
          <t>CO</t>
        </is>
      </c>
      <c r="G29" s="450" t="inlineStr">
        <is>
          <t>Industrial/Flex</t>
        </is>
      </c>
      <c r="H29" s="468" t="inlineStr">
        <is>
          <t>Multi-tenant</t>
        </is>
      </c>
      <c r="I29" s="480" t="n"/>
      <c r="J29" s="480" t="n"/>
      <c r="K29" s="480" t="n">
        <v>2023</v>
      </c>
      <c r="L29" s="450" t="n"/>
      <c r="M29" s="450" t="n"/>
      <c r="N29" s="490" t="n">
        <v>532468</v>
      </c>
      <c r="O29" s="490" t="n">
        <v>15442</v>
      </c>
      <c r="P29" s="450" t="n"/>
      <c r="Q29" s="450" t="n"/>
      <c r="R29" s="450" t="n"/>
      <c r="S29" s="450" t="n"/>
      <c r="T29" s="450" t="n"/>
      <c r="U29" s="450" t="n"/>
      <c r="V29" s="450" t="n"/>
      <c r="W29" s="450" t="n"/>
      <c r="X29" s="490" t="n">
        <v>83293</v>
      </c>
      <c r="Y29" s="490" t="n">
        <v>83293</v>
      </c>
      <c r="Z29" s="450" t="n"/>
      <c r="AA29" s="490" t="n">
        <v>6029</v>
      </c>
      <c r="AB29" s="450" t="n"/>
      <c r="AC29" s="490" t="n">
        <v>6029</v>
      </c>
      <c r="AD29" s="490" t="n">
        <v>6487</v>
      </c>
      <c r="AE29" s="450" t="n"/>
      <c r="AF29" s="490" t="n">
        <v>6487</v>
      </c>
      <c r="AG29" s="450" t="n"/>
      <c r="AH29" s="490" t="n">
        <v>141304</v>
      </c>
      <c r="AI29" s="490" t="n">
        <v>63133</v>
      </c>
      <c r="AJ29" s="490" t="n">
        <v>204437</v>
      </c>
      <c r="AK29" s="490" t="n">
        <v>328030</v>
      </c>
      <c r="AL29" s="450" t="n"/>
      <c r="AM29" s="468" t="inlineStr">
        <is>
          <t>[NO SF] No mgmt fee in 2023; R&amp;M higher due to building repairs; gas negligible per statement; 2023 actuals</t>
        </is>
      </c>
    </row>
    <row r="30" ht="13.5" customHeight="1" s="545">
      <c r="A30" s="476" t="inlineStr">
        <is>
          <t>P011</t>
        </is>
      </c>
      <c r="B30" s="449" t="n">
        <v>210</v>
      </c>
      <c r="C30" s="476" t="inlineStr">
        <is>
          <t>R0103767</t>
        </is>
      </c>
      <c r="D30" s="477" t="inlineStr">
        <is>
          <t>5650 Washington St (Washington Business Park)</t>
        </is>
      </c>
      <c r="E30" s="476" t="inlineStr">
        <is>
          <t>Adams County</t>
        </is>
      </c>
      <c r="F30" s="476" t="inlineStr">
        <is>
          <t>CO</t>
        </is>
      </c>
      <c r="G30" s="476" t="inlineStr">
        <is>
          <t>Industrial/Flex</t>
        </is>
      </c>
      <c r="H30" s="477" t="inlineStr">
        <is>
          <t>Multi-tenant</t>
        </is>
      </c>
      <c r="I30" s="478" t="n"/>
      <c r="J30" s="478" t="n"/>
      <c r="K30" s="478" t="n">
        <v>2024</v>
      </c>
      <c r="L30" s="476" t="n"/>
      <c r="M30" s="476" t="n"/>
      <c r="N30" s="489" t="n">
        <v>517234</v>
      </c>
      <c r="O30" s="489" t="n">
        <v>20795</v>
      </c>
      <c r="P30" s="476" t="n"/>
      <c r="Q30" s="476" t="n"/>
      <c r="R30" s="476" t="n"/>
      <c r="S30" s="476" t="n"/>
      <c r="T30" s="476" t="n"/>
      <c r="U30" s="476" t="n"/>
      <c r="V30" s="476" t="n"/>
      <c r="W30" s="476" t="n"/>
      <c r="X30" s="489" t="n">
        <v>32385</v>
      </c>
      <c r="Y30" s="489" t="n">
        <v>32385</v>
      </c>
      <c r="Z30" s="476" t="n"/>
      <c r="AA30" s="489" t="n">
        <v>4814</v>
      </c>
      <c r="AB30" s="476" t="n"/>
      <c r="AC30" s="489" t="n">
        <v>4814</v>
      </c>
      <c r="AD30" s="489" t="n">
        <v>5690</v>
      </c>
      <c r="AE30" s="476" t="n"/>
      <c r="AF30" s="489" t="n">
        <v>5690</v>
      </c>
      <c r="AG30" s="476" t="n"/>
      <c r="AH30" s="476" t="n"/>
      <c r="AI30" s="476" t="n"/>
      <c r="AJ30" s="489" t="n">
        <v>331645</v>
      </c>
      <c r="AK30" s="489" t="n">
        <v>185389</v>
      </c>
      <c r="AL30" s="476" t="n"/>
      <c r="AM30" s="477" t="inlineStr">
        <is>
          <t>[NO SF] RE Tax not separately identified in 2024 column of operating stmt; total OPX from actuals; NOI confirmed</t>
        </is>
      </c>
    </row>
    <row r="31" ht="13.5" customHeight="1" s="545">
      <c r="A31" s="484" t="inlineStr">
        <is>
          <t>P012</t>
        </is>
      </c>
      <c r="B31" s="449" t="n">
        <v>344</v>
      </c>
      <c r="C31" s="484" t="inlineStr">
        <is>
          <t>R0124385</t>
        </is>
      </c>
      <c r="D31" s="485" t="inlineStr">
        <is>
          <t>Unknown (Tax District 555)</t>
        </is>
      </c>
      <c r="E31" s="484" t="inlineStr">
        <is>
          <t>Adams County</t>
        </is>
      </c>
      <c r="F31" s="484" t="inlineStr">
        <is>
          <t>CO</t>
        </is>
      </c>
      <c r="G31" s="484" t="inlineStr">
        <is>
          <t>Office</t>
        </is>
      </c>
      <c r="H31" s="485" t="inlineStr">
        <is>
          <t>Multi-tenant</t>
        </is>
      </c>
      <c r="I31" s="486" t="n"/>
      <c r="J31" s="486" t="n">
        <v>20170</v>
      </c>
      <c r="K31" s="486" t="n">
        <v>2023</v>
      </c>
      <c r="L31" s="484" t="n"/>
      <c r="M31" s="484" t="n"/>
      <c r="N31" s="488" t="n">
        <v>13.6708</v>
      </c>
      <c r="O31" s="484" t="n"/>
      <c r="P31" s="484" t="n"/>
      <c r="Q31" s="484" t="n"/>
      <c r="R31" s="484" t="n"/>
      <c r="S31" s="484" t="n"/>
      <c r="T31" s="484" t="n"/>
      <c r="U31" s="484" t="n"/>
      <c r="V31" s="484" t="n"/>
      <c r="W31" s="484" t="n"/>
      <c r="X31" s="484" t="n"/>
      <c r="Y31" s="484" t="n"/>
      <c r="Z31" s="484" t="n"/>
      <c r="AA31" s="484" t="n"/>
      <c r="AB31" s="484" t="n"/>
      <c r="AC31" s="484" t="n"/>
      <c r="AD31" s="484" t="n"/>
      <c r="AE31" s="484" t="n"/>
      <c r="AF31" s="484" t="n"/>
      <c r="AG31" s="484" t="n"/>
      <c r="AH31" s="488" t="n">
        <v>5.3592</v>
      </c>
      <c r="AI31" s="488" t="n">
        <v>2.2399</v>
      </c>
      <c r="AJ31" s="488" t="n">
        <v>7.5992</v>
      </c>
      <c r="AK31" s="488" t="n">
        <v>8.3116</v>
      </c>
      <c r="AL31" s="484" t="n"/>
      <c r="AM31" s="485" t="inlineStr">
        <is>
          <t>Limited line-item detail; totals from PROFORMA BASIS FOR OFFER.xlsx actuals section</t>
        </is>
      </c>
    </row>
    <row r="32" ht="13.5" customHeight="1" s="545">
      <c r="A32" s="484" t="inlineStr">
        <is>
          <t>P012</t>
        </is>
      </c>
      <c r="B32" s="449" t="n">
        <v>344</v>
      </c>
      <c r="C32" s="484" t="inlineStr">
        <is>
          <t>R0124385</t>
        </is>
      </c>
      <c r="D32" s="485" t="inlineStr">
        <is>
          <t>Unknown (Tax District 555)</t>
        </is>
      </c>
      <c r="E32" s="484" t="inlineStr">
        <is>
          <t>Adams County</t>
        </is>
      </c>
      <c r="F32" s="484" t="inlineStr">
        <is>
          <t>CO</t>
        </is>
      </c>
      <c r="G32" s="484" t="inlineStr">
        <is>
          <t>Office</t>
        </is>
      </c>
      <c r="H32" s="485" t="inlineStr">
        <is>
          <t>Multi-tenant</t>
        </is>
      </c>
      <c r="I32" s="486" t="n"/>
      <c r="J32" s="486" t="n">
        <v>20170</v>
      </c>
      <c r="K32" s="486" t="n">
        <v>2024</v>
      </c>
      <c r="L32" s="484" t="n"/>
      <c r="M32" s="484" t="n"/>
      <c r="N32" s="488" t="n">
        <v>14.802</v>
      </c>
      <c r="O32" s="484" t="n"/>
      <c r="P32" s="484" t="n"/>
      <c r="Q32" s="484" t="n"/>
      <c r="R32" s="484" t="n"/>
      <c r="S32" s="484" t="n"/>
      <c r="T32" s="484" t="n"/>
      <c r="U32" s="484" t="n"/>
      <c r="V32" s="484" t="n"/>
      <c r="W32" s="484" t="n"/>
      <c r="X32" s="484" t="n"/>
      <c r="Y32" s="484" t="n"/>
      <c r="Z32" s="484" t="n"/>
      <c r="AA32" s="484" t="n"/>
      <c r="AB32" s="484" t="n"/>
      <c r="AC32" s="484" t="n"/>
      <c r="AD32" s="484" t="n"/>
      <c r="AE32" s="484" t="n"/>
      <c r="AF32" s="484" t="n"/>
      <c r="AG32" s="484" t="n"/>
      <c r="AH32" s="488" t="n">
        <v>6.3208</v>
      </c>
      <c r="AI32" s="488" t="n">
        <v>2.1665</v>
      </c>
      <c r="AJ32" s="488" t="n">
        <v>9.1814</v>
      </c>
      <c r="AK32" s="488" t="n">
        <v>8.481199999999999</v>
      </c>
      <c r="AL32" s="484" t="n"/>
      <c r="AM32" s="485" t="inlineStr">
        <is>
          <t>CapEx $14,000 non-recurring excluded from OPX; limited line-item detail</t>
        </is>
      </c>
    </row>
    <row r="33" ht="13.5" customHeight="1" s="545">
      <c r="A33" s="484" t="inlineStr">
        <is>
          <t>P013</t>
        </is>
      </c>
      <c r="B33" s="449" t="n">
        <v>353</v>
      </c>
      <c r="C33" s="484" t="inlineStr">
        <is>
          <t>R0169176</t>
        </is>
      </c>
      <c r="D33" s="485" t="inlineStr">
        <is>
          <t>Unknown (new const., opened Oct 2023)</t>
        </is>
      </c>
      <c r="E33" s="484" t="inlineStr">
        <is>
          <t>Adams County</t>
        </is>
      </c>
      <c r="F33" s="484" t="inlineStr">
        <is>
          <t>CO</t>
        </is>
      </c>
      <c r="G33" s="484" t="inlineStr">
        <is>
          <t>Retail/Office</t>
        </is>
      </c>
      <c r="H33" s="485" t="inlineStr">
        <is>
          <t>Multi-tenant</t>
        </is>
      </c>
      <c r="I33" s="486" t="n">
        <v>2023</v>
      </c>
      <c r="J33" s="486" t="n"/>
      <c r="K33" s="486" t="n">
        <v>2023</v>
      </c>
      <c r="L33" s="487" t="n">
        <v>270793</v>
      </c>
      <c r="M33" s="487" t="n">
        <v>258323</v>
      </c>
      <c r="N33" s="487" t="n">
        <v>524533</v>
      </c>
      <c r="O33" s="487" t="n">
        <v>16865</v>
      </c>
      <c r="P33" s="487" t="n">
        <v>26496</v>
      </c>
      <c r="Q33" s="484" t="n"/>
      <c r="R33" s="484" t="n"/>
      <c r="S33" s="484" t="n"/>
      <c r="T33" s="484" t="n"/>
      <c r="U33" s="484" t="n"/>
      <c r="V33" s="484" t="n"/>
      <c r="W33" s="484" t="n"/>
      <c r="X33" s="487" t="n">
        <v>50972</v>
      </c>
      <c r="Y33" s="487" t="n">
        <v>50972</v>
      </c>
      <c r="Z33" s="484" t="n"/>
      <c r="AA33" s="487" t="n">
        <v>7543</v>
      </c>
      <c r="AB33" s="484" t="n"/>
      <c r="AC33" s="487" t="n">
        <v>7543</v>
      </c>
      <c r="AD33" s="487" t="n">
        <v>4602</v>
      </c>
      <c r="AE33" s="487" t="n">
        <v>51467</v>
      </c>
      <c r="AF33" s="487" t="n">
        <v>56069</v>
      </c>
      <c r="AG33" s="484" t="n"/>
      <c r="AH33" s="487" t="n">
        <v>157946</v>
      </c>
      <c r="AI33" s="487" t="n">
        <v>125577</v>
      </c>
      <c r="AJ33" s="487" t="n">
        <v>283523</v>
      </c>
      <c r="AK33" s="487" t="n">
        <v>241009</v>
      </c>
      <c r="AL33" s="484" t="n"/>
      <c r="AM33" s="485" t="inlineStr">
        <is>
          <t>[NO SF] 2023 partial year (opened Oct 2023); RE Tax high for new construction; gas $3,877 + elec $47,590 in utilities</t>
        </is>
      </c>
    </row>
    <row r="34" ht="13.5" customHeight="1" s="545">
      <c r="A34" s="484" t="inlineStr">
        <is>
          <t>P013</t>
        </is>
      </c>
      <c r="B34" s="449" t="n">
        <v>353</v>
      </c>
      <c r="C34" s="484" t="inlineStr">
        <is>
          <t>R0169176</t>
        </is>
      </c>
      <c r="D34" s="485" t="inlineStr">
        <is>
          <t>Unknown (new const., opened Oct 2023)</t>
        </is>
      </c>
      <c r="E34" s="484" t="inlineStr">
        <is>
          <t>Adams County</t>
        </is>
      </c>
      <c r="F34" s="484" t="inlineStr">
        <is>
          <t>CO</t>
        </is>
      </c>
      <c r="G34" s="484" t="inlineStr">
        <is>
          <t>Retail/Office</t>
        </is>
      </c>
      <c r="H34" s="485" t="inlineStr">
        <is>
          <t>Multi-tenant</t>
        </is>
      </c>
      <c r="I34" s="486" t="n">
        <v>2023</v>
      </c>
      <c r="J34" s="486" t="n"/>
      <c r="K34" s="486" t="n">
        <v>2024</v>
      </c>
      <c r="L34" s="487" t="n">
        <v>260040</v>
      </c>
      <c r="M34" s="487" t="n">
        <v>337015</v>
      </c>
      <c r="N34" s="487" t="n">
        <v>597056</v>
      </c>
      <c r="O34" s="487" t="n">
        <v>12437</v>
      </c>
      <c r="P34" s="487" t="n">
        <v>26717</v>
      </c>
      <c r="Q34" s="484" t="n"/>
      <c r="R34" s="484" t="n"/>
      <c r="S34" s="484" t="n"/>
      <c r="T34" s="484" t="n"/>
      <c r="U34" s="484" t="n"/>
      <c r="V34" s="484" t="n"/>
      <c r="W34" s="484" t="n"/>
      <c r="X34" s="487" t="n">
        <v>36931</v>
      </c>
      <c r="Y34" s="487" t="n">
        <v>36931</v>
      </c>
      <c r="Z34" s="484" t="n"/>
      <c r="AA34" s="487" t="n">
        <v>27159</v>
      </c>
      <c r="AB34" s="484" t="n"/>
      <c r="AC34" s="487" t="n">
        <v>27159</v>
      </c>
      <c r="AD34" s="487" t="n">
        <v>5043</v>
      </c>
      <c r="AE34" s="487" t="n">
        <v>54230</v>
      </c>
      <c r="AF34" s="487" t="n">
        <v>59273</v>
      </c>
      <c r="AG34" s="484" t="n"/>
      <c r="AH34" s="487" t="n">
        <v>162518</v>
      </c>
      <c r="AI34" s="487" t="n">
        <v>156074</v>
      </c>
      <c r="AJ34" s="487" t="n">
        <v>318592</v>
      </c>
      <c r="AK34" s="487" t="n">
        <v>278464</v>
      </c>
      <c r="AL34" s="484" t="n"/>
      <c r="AM34" s="485" t="inlineStr">
        <is>
          <t>[NO SF] Tax consultant $11,515 added to RE Tax line; HOA/exterior maint $27,159 in landscape; recoveries $336,319 + other $696</t>
        </is>
      </c>
    </row>
    <row r="35" ht="13.5" customHeight="1" s="545">
      <c r="A35" s="450" t="inlineStr">
        <is>
          <t>P014</t>
        </is>
      </c>
      <c r="B35" s="449" t="n">
        <v>407</v>
      </c>
      <c r="C35" s="450" t="inlineStr">
        <is>
          <t>R0198530</t>
        </is>
      </c>
      <c r="D35" s="468" t="inlineStr">
        <is>
          <t>Amazon DEN7 Distribution Center</t>
        </is>
      </c>
      <c r="E35" s="450" t="inlineStr">
        <is>
          <t>Aurora</t>
        </is>
      </c>
      <c r="F35" s="450" t="inlineStr">
        <is>
          <t>CO</t>
        </is>
      </c>
      <c r="G35" s="450" t="inlineStr">
        <is>
          <t>Industrial/Distribution</t>
        </is>
      </c>
      <c r="H35" s="468" t="inlineStr">
        <is>
          <t>Single-tenant NNN</t>
        </is>
      </c>
      <c r="I35" s="480" t="n"/>
      <c r="J35" s="480" t="n">
        <v>555840</v>
      </c>
      <c r="K35" s="480" t="n">
        <v>2023</v>
      </c>
      <c r="L35" s="481" t="n">
        <v>5.6192</v>
      </c>
      <c r="M35" s="450" t="n"/>
      <c r="N35" s="481" t="n">
        <v>5.6192</v>
      </c>
      <c r="O35" s="481" t="n">
        <v>0.1549</v>
      </c>
      <c r="P35" s="481" t="n">
        <v>0.1124</v>
      </c>
      <c r="Q35" s="450" t="n"/>
      <c r="R35" s="450" t="n"/>
      <c r="S35" s="450" t="n"/>
      <c r="T35" s="450" t="n"/>
      <c r="U35" s="450" t="n"/>
      <c r="V35" s="450" t="n"/>
      <c r="W35" s="450" t="n"/>
      <c r="X35" s="450" t="n"/>
      <c r="Y35" s="450" t="n"/>
      <c r="Z35" s="450" t="n"/>
      <c r="AA35" s="450" t="n"/>
      <c r="AB35" s="450" t="n"/>
      <c r="AC35" s="481" t="n">
        <v>0.0402</v>
      </c>
      <c r="AD35" s="450" t="n"/>
      <c r="AE35" s="450" t="n"/>
      <c r="AF35" s="481" t="n">
        <v>0.002</v>
      </c>
      <c r="AG35" s="450" t="n"/>
      <c r="AH35" s="481" t="n">
        <v>0.3551</v>
      </c>
      <c r="AI35" s="481" t="n">
        <v>2.9096</v>
      </c>
      <c r="AJ35" s="481" t="n">
        <v>3.2647</v>
      </c>
      <c r="AK35" s="450" t="n"/>
      <c r="AL35" s="450" t="n"/>
      <c r="AM35" s="468" t="inlineStr">
        <is>
          <t>NNN ? expenses = LL CAM billed to Amazon tenant; RE Tax $1.617M dominates; base rent $3.12M; 2023 CAM reconciliation</t>
        </is>
      </c>
    </row>
    <row r="36" ht="13.5" customHeight="1" s="545">
      <c r="A36" s="476" t="inlineStr">
        <is>
          <t>P014</t>
        </is>
      </c>
      <c r="B36" s="449" t="n">
        <v>407</v>
      </c>
      <c r="C36" s="476" t="inlineStr">
        <is>
          <t>R0198530</t>
        </is>
      </c>
      <c r="D36" s="477" t="inlineStr">
        <is>
          <t>Amazon DEN7 Distribution Center</t>
        </is>
      </c>
      <c r="E36" s="476" t="inlineStr">
        <is>
          <t>Aurora</t>
        </is>
      </c>
      <c r="F36" s="476" t="inlineStr">
        <is>
          <t>CO</t>
        </is>
      </c>
      <c r="G36" s="476" t="inlineStr">
        <is>
          <t>Industrial/Distribution</t>
        </is>
      </c>
      <c r="H36" s="477" t="inlineStr">
        <is>
          <t>Single-tenant NNN</t>
        </is>
      </c>
      <c r="I36" s="478" t="n"/>
      <c r="J36" s="478" t="n">
        <v>555840</v>
      </c>
      <c r="K36" s="478" t="n">
        <v>2024</v>
      </c>
      <c r="L36" s="479" t="n">
        <v>5.7597</v>
      </c>
      <c r="M36" s="476" t="n"/>
      <c r="N36" s="479" t="n">
        <v>5.7597</v>
      </c>
      <c r="O36" s="479" t="n">
        <v>0.1616</v>
      </c>
      <c r="P36" s="479" t="n">
        <v>0.1152</v>
      </c>
      <c r="Q36" s="476" t="n"/>
      <c r="R36" s="476" t="n"/>
      <c r="S36" s="476" t="n"/>
      <c r="T36" s="476" t="n"/>
      <c r="U36" s="476" t="n"/>
      <c r="V36" s="476" t="n"/>
      <c r="W36" s="476" t="n"/>
      <c r="X36" s="476" t="n"/>
      <c r="Y36" s="476" t="n"/>
      <c r="Z36" s="476" t="n"/>
      <c r="AA36" s="476" t="n"/>
      <c r="AB36" s="479" t="n">
        <v>0.0038</v>
      </c>
      <c r="AC36" s="479" t="n">
        <v>0.0314</v>
      </c>
      <c r="AD36" s="476" t="n"/>
      <c r="AE36" s="476" t="n"/>
      <c r="AF36" s="479" t="n">
        <v>0.0036</v>
      </c>
      <c r="AG36" s="476" t="n"/>
      <c r="AH36" s="479" t="n">
        <v>0.2783</v>
      </c>
      <c r="AI36" s="479" t="n">
        <v>3.8893</v>
      </c>
      <c r="AJ36" s="479" t="n">
        <v>4.1677</v>
      </c>
      <c r="AK36" s="476" t="n"/>
      <c r="AL36" s="476" t="n"/>
      <c r="AM36" s="477" t="inlineStr">
        <is>
          <t>NNN; RE Tax $2.162M = $3.89/SF reflecting Adams County assessment increase (+34% YOY); 2024 CAM reconciliation</t>
        </is>
      </c>
    </row>
    <row r="37" ht="13.5" customHeight="1" s="545">
      <c r="A37" s="450" t="inlineStr">
        <is>
          <t>P015</t>
        </is>
      </c>
      <c r="B37" s="449" t="n">
        <v>407</v>
      </c>
      <c r="C37" s="450" t="inlineStr">
        <is>
          <t>R0180894</t>
        </is>
      </c>
      <c r="D37" s="468" t="inlineStr">
        <is>
          <t>1910 N Gun Club Rd</t>
        </is>
      </c>
      <c r="E37" s="450" t="inlineStr">
        <is>
          <t>Aurora</t>
        </is>
      </c>
      <c r="F37" s="450" t="inlineStr">
        <is>
          <t>CO</t>
        </is>
      </c>
      <c r="G37" s="450" t="inlineStr">
        <is>
          <t>Industrial</t>
        </is>
      </c>
      <c r="H37" s="468" t="inlineStr">
        <is>
          <t>Distribution Warehouse Multi-Tenant NNN</t>
        </is>
      </c>
      <c r="I37" s="480" t="n">
        <v>2019</v>
      </c>
      <c r="J37" s="480" t="n">
        <v>163386</v>
      </c>
      <c r="K37" s="480" t="n">
        <v>2023</v>
      </c>
      <c r="L37" s="481" t="n">
        <v>12.829</v>
      </c>
      <c r="M37" s="450" t="n"/>
      <c r="N37" s="481" t="n">
        <v>12.829</v>
      </c>
      <c r="O37" s="481" t="n">
        <v>0.2491</v>
      </c>
      <c r="P37" s="481" t="n">
        <v>0.3371</v>
      </c>
      <c r="Q37" s="450" t="n"/>
      <c r="R37" s="450" t="n"/>
      <c r="S37" s="450" t="n"/>
      <c r="T37" s="450" t="n"/>
      <c r="U37" s="450" t="n"/>
      <c r="V37" s="450" t="n"/>
      <c r="W37" s="450" t="n"/>
      <c r="X37" s="450" t="n"/>
      <c r="Y37" s="481" t="n">
        <v>0.0395</v>
      </c>
      <c r="Z37" s="450" t="n"/>
      <c r="AA37" s="481" t="n">
        <v>0.0888</v>
      </c>
      <c r="AB37" s="481" t="n">
        <v>0.3394</v>
      </c>
      <c r="AC37" s="450" t="n"/>
      <c r="AD37" s="450" t="n"/>
      <c r="AE37" s="450" t="n"/>
      <c r="AF37" s="481" t="n">
        <v>0.2688</v>
      </c>
      <c r="AG37" s="481" t="n">
        <v>0.9762</v>
      </c>
      <c r="AH37" s="481" t="n">
        <v>2.3251</v>
      </c>
      <c r="AI37" s="481" t="n">
        <v>5.6528</v>
      </c>
      <c r="AJ37" s="481" t="n">
        <v>7.9779</v>
      </c>
      <c r="AK37" s="481" t="n">
        <v>4.8512</v>
      </c>
      <c r="AL37" s="450" t="n"/>
      <c r="AM37" s="468" t="inlineStr">
        <is>
          <t>Actual accrual; security $159,500 in Other</t>
        </is>
      </c>
    </row>
    <row r="38" ht="13.5" customHeight="1" s="545">
      <c r="A38" s="476" t="inlineStr">
        <is>
          <t>P015</t>
        </is>
      </c>
      <c r="B38" s="449" t="n">
        <v>407</v>
      </c>
      <c r="C38" s="476" t="inlineStr">
        <is>
          <t>R0180894</t>
        </is>
      </c>
      <c r="D38" s="477" t="inlineStr">
        <is>
          <t>1910 N Gun Club Rd</t>
        </is>
      </c>
      <c r="E38" s="476" t="inlineStr">
        <is>
          <t>Aurora</t>
        </is>
      </c>
      <c r="F38" s="476" t="inlineStr">
        <is>
          <t>CO</t>
        </is>
      </c>
      <c r="G38" s="476" t="inlineStr">
        <is>
          <t>Industrial</t>
        </is>
      </c>
      <c r="H38" s="477" t="inlineStr">
        <is>
          <t>Distribution Warehouse Multi-Tenant NNN</t>
        </is>
      </c>
      <c r="I38" s="478" t="n">
        <v>2019</v>
      </c>
      <c r="J38" s="478" t="n">
        <v>163386</v>
      </c>
      <c r="K38" s="478" t="n">
        <v>2024</v>
      </c>
      <c r="L38" s="479" t="n">
        <v>13.1836</v>
      </c>
      <c r="M38" s="476" t="n"/>
      <c r="N38" s="479" t="n">
        <v>13.1836</v>
      </c>
      <c r="O38" s="479" t="n">
        <v>0.2943</v>
      </c>
      <c r="P38" s="479" t="n">
        <v>0.4581</v>
      </c>
      <c r="Q38" s="476" t="n"/>
      <c r="R38" s="476" t="n"/>
      <c r="S38" s="476" t="n"/>
      <c r="T38" s="476" t="n"/>
      <c r="U38" s="476" t="n"/>
      <c r="V38" s="476" t="n"/>
      <c r="W38" s="476" t="n"/>
      <c r="X38" s="476" t="n"/>
      <c r="Y38" s="479" t="n">
        <v>0.0322</v>
      </c>
      <c r="Z38" s="476" t="n"/>
      <c r="AA38" s="479" t="n">
        <v>0.0822</v>
      </c>
      <c r="AB38" s="479" t="n">
        <v>0.2856</v>
      </c>
      <c r="AC38" s="476" t="n"/>
      <c r="AD38" s="476" t="n"/>
      <c r="AE38" s="476" t="n"/>
      <c r="AF38" s="479" t="n">
        <v>0.3299</v>
      </c>
      <c r="AG38" s="479" t="n">
        <v>0.8113</v>
      </c>
      <c r="AH38" s="479" t="n">
        <v>2.4145</v>
      </c>
      <c r="AI38" s="479" t="n">
        <v>5.5843</v>
      </c>
      <c r="AJ38" s="479" t="n">
        <v>7.9988</v>
      </c>
      <c r="AK38" s="479" t="n">
        <v>5.1848</v>
      </c>
      <c r="AL38" s="476" t="n"/>
      <c r="AM38" s="477" t="inlineStr">
        <is>
          <t>Actual accrual; security $132,552 in Other</t>
        </is>
      </c>
    </row>
    <row r="39" ht="13.5" customHeight="1" s="545">
      <c r="A39" s="450" t="inlineStr">
        <is>
          <t>P016</t>
        </is>
      </c>
      <c r="B39" s="449" t="n">
        <v>584</v>
      </c>
      <c r="C39" s="450" t="inlineStr">
        <is>
          <t>R0212546/R0212547</t>
        </is>
      </c>
      <c r="D39" s="468" t="inlineStr">
        <is>
          <t>2780 N Tower Rd</t>
        </is>
      </c>
      <c r="E39" s="450" t="inlineStr">
        <is>
          <t>Aurora</t>
        </is>
      </c>
      <c r="F39" s="450" t="inlineStr">
        <is>
          <t>CO</t>
        </is>
      </c>
      <c r="G39" s="450" t="inlineStr">
        <is>
          <t>Industrial</t>
        </is>
      </c>
      <c r="H39" s="468" t="inlineStr">
        <is>
          <t>Mega Warehouse NNN</t>
        </is>
      </c>
      <c r="I39" s="480" t="n">
        <v>1983</v>
      </c>
      <c r="J39" s="480" t="n">
        <v>384953</v>
      </c>
      <c r="K39" s="480" t="n">
        <v>2024</v>
      </c>
      <c r="L39" s="450" t="n"/>
      <c r="M39" s="450" t="n"/>
      <c r="N39" s="450" t="n"/>
      <c r="O39" s="450" t="n"/>
      <c r="P39" s="450" t="n"/>
      <c r="Q39" s="450" t="n"/>
      <c r="R39" s="450" t="n"/>
      <c r="S39" s="450" t="n"/>
      <c r="T39" s="450" t="n"/>
      <c r="U39" s="450" t="n"/>
      <c r="V39" s="450" t="n"/>
      <c r="W39" s="450" t="n"/>
      <c r="X39" s="450" t="n"/>
      <c r="Y39" s="450" t="n"/>
      <c r="Z39" s="450" t="n"/>
      <c r="AA39" s="450" t="n"/>
      <c r="AB39" s="450" t="n"/>
      <c r="AC39" s="450" t="n"/>
      <c r="AD39" s="450" t="n"/>
      <c r="AE39" s="450" t="n"/>
      <c r="AF39" s="450" t="n"/>
      <c r="AG39" s="450" t="n"/>
      <c r="AH39" s="450" t="n"/>
      <c r="AI39" s="450" t="n"/>
      <c r="AJ39" s="450" t="n"/>
      <c r="AK39" s="450" t="n"/>
      <c r="AL39" s="450" t="n"/>
      <c r="AM39" s="468" t="inlineStr">
        <is>
          <t>County proforma only; limited line-item detail available</t>
        </is>
      </c>
    </row>
    <row r="40" ht="13.5" customHeight="1" s="545">
      <c r="A40" s="476" t="inlineStr">
        <is>
          <t>P017</t>
        </is>
      </c>
      <c r="B40" s="449" t="n">
        <v>210</v>
      </c>
      <c r="C40" s="476" t="inlineStr">
        <is>
          <t>R0098098</t>
        </is>
      </c>
      <c r="D40" s="477" t="inlineStr">
        <is>
          <t>1445 E 68th Ave</t>
        </is>
      </c>
      <c r="E40" s="476" t="inlineStr">
        <is>
          <t>Denver</t>
        </is>
      </c>
      <c r="F40" s="476" t="inlineStr">
        <is>
          <t>CO</t>
        </is>
      </c>
      <c r="G40" s="476" t="inlineStr">
        <is>
          <t>Industrial</t>
        </is>
      </c>
      <c r="H40" s="477" t="inlineStr">
        <is>
          <t>Industrial Office Mix</t>
        </is>
      </c>
      <c r="I40" s="478" t="n">
        <v>1972</v>
      </c>
      <c r="J40" s="478" t="n">
        <v>63348</v>
      </c>
      <c r="K40" s="478" t="n">
        <v>2024</v>
      </c>
      <c r="L40" s="476" t="n"/>
      <c r="M40" s="476" t="n"/>
      <c r="N40" s="476" t="n"/>
      <c r="O40" s="476" t="n"/>
      <c r="P40" s="476" t="n"/>
      <c r="Q40" s="476" t="n"/>
      <c r="R40" s="476" t="n"/>
      <c r="S40" s="476" t="n"/>
      <c r="T40" s="476" t="n"/>
      <c r="U40" s="476" t="n"/>
      <c r="V40" s="476" t="n"/>
      <c r="W40" s="476" t="n"/>
      <c r="X40" s="476" t="n"/>
      <c r="Y40" s="476" t="n"/>
      <c r="Z40" s="476" t="n"/>
      <c r="AA40" s="476" t="n"/>
      <c r="AB40" s="476" t="n"/>
      <c r="AC40" s="476" t="n"/>
      <c r="AD40" s="476" t="n"/>
      <c r="AE40" s="476" t="n"/>
      <c r="AF40" s="476" t="n"/>
      <c r="AG40" s="476" t="n"/>
      <c r="AH40" s="476" t="n"/>
      <c r="AI40" s="476" t="n"/>
      <c r="AJ40" s="476" t="n"/>
      <c r="AK40" s="476" t="n"/>
      <c r="AL40" s="476" t="n"/>
      <c r="AM40" s="477" t="inlineStr">
        <is>
          <t>County proforma 2024; YOC 1972/2006/2023 additions</t>
        </is>
      </c>
    </row>
    <row r="41" ht="13.5" customHeight="1" s="545">
      <c r="A41" s="450" t="inlineStr">
        <is>
          <t>P018</t>
        </is>
      </c>
      <c r="B41" s="449" t="n">
        <v>406</v>
      </c>
      <c r="C41" s="450" t="inlineStr">
        <is>
          <t>R0103783</t>
        </is>
      </c>
      <c r="D41" s="468" t="inlineStr">
        <is>
          <t>2031 E 58th Ave</t>
        </is>
      </c>
      <c r="E41" s="450" t="inlineStr">
        <is>
          <t>Denver</t>
        </is>
      </c>
      <c r="F41" s="450" t="inlineStr">
        <is>
          <t>CO</t>
        </is>
      </c>
      <c r="G41" s="450" t="inlineStr">
        <is>
          <t>Industrial</t>
        </is>
      </c>
      <c r="H41" s="468" t="inlineStr">
        <is>
          <t>Storage Warehouse / Mod Office NNN</t>
        </is>
      </c>
      <c r="I41" s="480" t="n">
        <v>2004</v>
      </c>
      <c r="J41" s="480" t="n">
        <v>18720</v>
      </c>
      <c r="K41" s="480" t="n">
        <v>2024</v>
      </c>
      <c r="L41" s="481" t="n">
        <v>13.2904</v>
      </c>
      <c r="M41" s="450" t="n"/>
      <c r="N41" s="481" t="n">
        <v>16.0225</v>
      </c>
      <c r="O41" s="481" t="n">
        <v>0.2061</v>
      </c>
      <c r="P41" s="450" t="n"/>
      <c r="Q41" s="450" t="n"/>
      <c r="R41" s="450" t="n"/>
      <c r="S41" s="450" t="n"/>
      <c r="T41" s="450" t="n"/>
      <c r="U41" s="450" t="n"/>
      <c r="V41" s="450" t="n"/>
      <c r="W41" s="450" t="n"/>
      <c r="X41" s="450" t="n"/>
      <c r="Y41" s="450" t="n"/>
      <c r="Z41" s="450" t="n"/>
      <c r="AA41" s="450" t="n"/>
      <c r="AB41" s="450" t="n"/>
      <c r="AC41" s="481" t="n">
        <v>0.1296</v>
      </c>
      <c r="AD41" s="450" t="n"/>
      <c r="AE41" s="450" t="n"/>
      <c r="AF41" s="450" t="n"/>
      <c r="AG41" s="450" t="n"/>
      <c r="AH41" s="481" t="n">
        <v>0.3357</v>
      </c>
      <c r="AI41" s="481" t="n">
        <v>2.3964</v>
      </c>
      <c r="AJ41" s="481" t="n">
        <v>2.7321</v>
      </c>
      <c r="AK41" s="481" t="n">
        <v>13.2904</v>
      </c>
      <c r="AL41" s="450" t="n"/>
      <c r="AM41" s="468" t="inlineStr">
        <is>
          <t>NNN billed charges; EGI = base rent + NNN pass-throughs</t>
        </is>
      </c>
    </row>
    <row r="42" ht="13.5" customHeight="1" s="545">
      <c r="A42" s="476" t="inlineStr">
        <is>
          <t>P018</t>
        </is>
      </c>
      <c r="B42" s="449" t="n">
        <v>406</v>
      </c>
      <c r="C42" s="476" t="inlineStr">
        <is>
          <t>R0103783</t>
        </is>
      </c>
      <c r="D42" s="477" t="inlineStr">
        <is>
          <t>2031 E 58th Ave</t>
        </is>
      </c>
      <c r="E42" s="476" t="inlineStr">
        <is>
          <t>Denver</t>
        </is>
      </c>
      <c r="F42" s="476" t="inlineStr">
        <is>
          <t>CO</t>
        </is>
      </c>
      <c r="G42" s="476" t="inlineStr">
        <is>
          <t>Industrial</t>
        </is>
      </c>
      <c r="H42" s="477" t="inlineStr">
        <is>
          <t>Storage Warehouse / Mod Office NNN</t>
        </is>
      </c>
      <c r="I42" s="478" t="n">
        <v>2004</v>
      </c>
      <c r="J42" s="478" t="n">
        <v>18720</v>
      </c>
      <c r="K42" s="478" t="n">
        <v>2023</v>
      </c>
      <c r="L42" s="479" t="n">
        <v>13.0298</v>
      </c>
      <c r="M42" s="476" t="n"/>
      <c r="N42" s="479" t="n">
        <v>15.7619</v>
      </c>
      <c r="O42" s="479" t="n">
        <v>0.2061</v>
      </c>
      <c r="P42" s="476" t="n"/>
      <c r="Q42" s="476" t="n"/>
      <c r="R42" s="476" t="n"/>
      <c r="S42" s="476" t="n"/>
      <c r="T42" s="476" t="n"/>
      <c r="U42" s="476" t="n"/>
      <c r="V42" s="476" t="n"/>
      <c r="W42" s="476" t="n"/>
      <c r="X42" s="476" t="n"/>
      <c r="Y42" s="476" t="n"/>
      <c r="Z42" s="476" t="n"/>
      <c r="AA42" s="476" t="n"/>
      <c r="AB42" s="476" t="n"/>
      <c r="AC42" s="479" t="n">
        <v>0.1296</v>
      </c>
      <c r="AD42" s="476" t="n"/>
      <c r="AE42" s="476" t="n"/>
      <c r="AF42" s="476" t="n"/>
      <c r="AG42" s="476" t="n"/>
      <c r="AH42" s="479" t="n">
        <v>0.3357</v>
      </c>
      <c r="AI42" s="479" t="n">
        <v>2.3964</v>
      </c>
      <c r="AJ42" s="479" t="n">
        <v>2.7321</v>
      </c>
      <c r="AK42" s="479" t="n">
        <v>13.0298</v>
      </c>
      <c r="AL42" s="476" t="n"/>
      <c r="AM42" s="477" t="inlineStr">
        <is>
          <t>NNN billed charges; EGI = base rent + NNN pass-throughs</t>
        </is>
      </c>
    </row>
    <row r="43" ht="13.5" customHeight="1" s="545">
      <c r="A43" s="450" t="inlineStr">
        <is>
          <t>P019</t>
        </is>
      </c>
      <c r="B43" s="449" t="n">
        <v>407</v>
      </c>
      <c r="C43" s="450" t="inlineStr">
        <is>
          <t>R0210402/R0210403</t>
        </is>
      </c>
      <c r="D43" s="468" t="inlineStr">
        <is>
          <t>17190 E 85th Ave</t>
        </is>
      </c>
      <c r="E43" s="450" t="inlineStr">
        <is>
          <t>Commerce City</t>
        </is>
      </c>
      <c r="F43" s="450" t="inlineStr">
        <is>
          <t>CO</t>
        </is>
      </c>
      <c r="G43" s="450" t="inlineStr">
        <is>
          <t>Industrial</t>
        </is>
      </c>
      <c r="H43" s="468" t="inlineStr">
        <is>
          <t>Industrial Warehouse NNN</t>
        </is>
      </c>
      <c r="I43" s="480" t="n">
        <v>2021</v>
      </c>
      <c r="J43" s="480" t="n">
        <v>329940</v>
      </c>
      <c r="K43" s="480" t="n">
        <v>2024</v>
      </c>
      <c r="L43" s="450" t="n"/>
      <c r="M43" s="450" t="n"/>
      <c r="N43" s="450" t="n"/>
      <c r="O43" s="450" t="n"/>
      <c r="P43" s="450" t="n"/>
      <c r="Q43" s="450" t="n"/>
      <c r="R43" s="450" t="n"/>
      <c r="S43" s="450" t="n"/>
      <c r="T43" s="450" t="n"/>
      <c r="U43" s="450" t="n"/>
      <c r="V43" s="450" t="n"/>
      <c r="W43" s="450" t="n"/>
      <c r="X43" s="450" t="n"/>
      <c r="Y43" s="450" t="n"/>
      <c r="Z43" s="450" t="n"/>
      <c r="AA43" s="450" t="n"/>
      <c r="AB43" s="450" t="n"/>
      <c r="AC43" s="450" t="n"/>
      <c r="AD43" s="450" t="n"/>
      <c r="AE43" s="450" t="n"/>
      <c r="AF43" s="450" t="n"/>
      <c r="AG43" s="450" t="n"/>
      <c r="AH43" s="450" t="n"/>
      <c r="AI43" s="450" t="n"/>
      <c r="AJ43" s="450" t="n"/>
      <c r="AK43" s="450" t="n"/>
      <c r="AL43" s="450" t="n"/>
      <c r="AM43" s="468" t="inlineStr">
        <is>
          <t>Petitioner proforma 2024/25; limited line-item detail</t>
        </is>
      </c>
    </row>
    <row r="44" ht="13.5" customHeight="1" s="545">
      <c r="A44" s="476" t="inlineStr">
        <is>
          <t>P020</t>
        </is>
      </c>
      <c r="B44" s="449" t="n">
        <v>584</v>
      </c>
      <c r="C44" s="476" t="inlineStr">
        <is>
          <t>R0209679</t>
        </is>
      </c>
      <c r="D44" s="477" t="inlineStr">
        <is>
          <t>17501 E 84th Ave</t>
        </is>
      </c>
      <c r="E44" s="476" t="inlineStr">
        <is>
          <t>Commerce City</t>
        </is>
      </c>
      <c r="F44" s="476" t="inlineStr">
        <is>
          <t>CO</t>
        </is>
      </c>
      <c r="G44" s="476" t="inlineStr">
        <is>
          <t>Industrial</t>
        </is>
      </c>
      <c r="H44" s="477" t="inlineStr">
        <is>
          <t>Mega Warehouse / Distribution Center NNN (Lowe's)</t>
        </is>
      </c>
      <c r="I44" s="478" t="n">
        <v>2021</v>
      </c>
      <c r="J44" s="478" t="n">
        <v>999780</v>
      </c>
      <c r="K44" s="478" t="n">
        <v>2023</v>
      </c>
      <c r="L44" s="479" t="n">
        <v>12.3992</v>
      </c>
      <c r="M44" s="476" t="n"/>
      <c r="N44" s="479" t="n">
        <v>12.3992</v>
      </c>
      <c r="O44" s="479" t="n">
        <v>0.1505</v>
      </c>
      <c r="P44" s="479" t="n">
        <v>0.1005</v>
      </c>
      <c r="Q44" s="476" t="n"/>
      <c r="R44" s="476" t="n"/>
      <c r="S44" s="476" t="n"/>
      <c r="T44" s="476" t="n"/>
      <c r="U44" s="476" t="n"/>
      <c r="V44" s="476" t="n"/>
      <c r="W44" s="476" t="n"/>
      <c r="X44" s="476" t="n"/>
      <c r="Y44" s="479" t="n">
        <v>0.0533</v>
      </c>
      <c r="Z44" s="476" t="n"/>
      <c r="AA44" s="479" t="n">
        <v>0.0508</v>
      </c>
      <c r="AB44" s="479" t="n">
        <v>0.1178</v>
      </c>
      <c r="AC44" s="476" t="n"/>
      <c r="AD44" s="476" t="n"/>
      <c r="AE44" s="476" t="n"/>
      <c r="AF44" s="476" t="n"/>
      <c r="AG44" s="479" t="n">
        <v>0.008399999999999999</v>
      </c>
      <c r="AH44" s="479" t="n">
        <v>1.355</v>
      </c>
      <c r="AI44" s="479" t="n">
        <v>4.9234</v>
      </c>
      <c r="AJ44" s="479" t="n">
        <v>8.2796</v>
      </c>
      <c r="AK44" s="479" t="n">
        <v>4.1196</v>
      </c>
      <c r="AL44" s="476" t="n"/>
      <c r="AM44" s="477" t="inlineStr">
        <is>
          <t>Actual accrual; 2023 NOI inflated ~$2.8M by prior-yr RE tax adj; security in Other</t>
        </is>
      </c>
    </row>
    <row r="45" ht="13.5" customHeight="1" s="545">
      <c r="A45" s="450" t="inlineStr">
        <is>
          <t>P020</t>
        </is>
      </c>
      <c r="B45" s="449" t="n">
        <v>584</v>
      </c>
      <c r="C45" s="450" t="inlineStr">
        <is>
          <t>R0209679</t>
        </is>
      </c>
      <c r="D45" s="468" t="inlineStr">
        <is>
          <t>17501 E 84th Ave</t>
        </is>
      </c>
      <c r="E45" s="450" t="inlineStr">
        <is>
          <t>Commerce City</t>
        </is>
      </c>
      <c r="F45" s="450" t="inlineStr">
        <is>
          <t>CO</t>
        </is>
      </c>
      <c r="G45" s="450" t="inlineStr">
        <is>
          <t>Industrial</t>
        </is>
      </c>
      <c r="H45" s="468" t="inlineStr">
        <is>
          <t>Mega Warehouse / Distribution Center NNN (Lowe's)</t>
        </is>
      </c>
      <c r="I45" s="480" t="n">
        <v>2021</v>
      </c>
      <c r="J45" s="480" t="n">
        <v>999780</v>
      </c>
      <c r="K45" s="480" t="n">
        <v>2024</v>
      </c>
      <c r="L45" s="481" t="n">
        <v>10.003</v>
      </c>
      <c r="M45" s="450" t="n"/>
      <c r="N45" s="481" t="n">
        <v>10.003</v>
      </c>
      <c r="O45" s="481" t="n">
        <v>0.172</v>
      </c>
      <c r="P45" s="481" t="n">
        <v>0.1016</v>
      </c>
      <c r="Q45" s="450" t="n"/>
      <c r="R45" s="450" t="n"/>
      <c r="S45" s="450" t="n"/>
      <c r="T45" s="450" t="n"/>
      <c r="U45" s="450" t="n"/>
      <c r="V45" s="450" t="n"/>
      <c r="W45" s="450" t="n"/>
      <c r="X45" s="450" t="n"/>
      <c r="Y45" s="481" t="n">
        <v>0.1205</v>
      </c>
      <c r="Z45" s="450" t="n"/>
      <c r="AA45" s="481" t="n">
        <v>0.0378</v>
      </c>
      <c r="AB45" s="481" t="n">
        <v>0.1319</v>
      </c>
      <c r="AC45" s="450" t="n"/>
      <c r="AD45" s="450" t="n"/>
      <c r="AE45" s="450" t="n"/>
      <c r="AF45" s="450" t="n"/>
      <c r="AG45" s="481" t="n">
        <v>0.0308</v>
      </c>
      <c r="AH45" s="481" t="n">
        <v>0.7976</v>
      </c>
      <c r="AI45" s="481" t="n">
        <v>4.9977</v>
      </c>
      <c r="AJ45" s="481" t="n">
        <v>5.7953</v>
      </c>
      <c r="AK45" s="481" t="n">
        <v>4.2077</v>
      </c>
      <c r="AL45" s="450" t="n"/>
      <c r="AM45" s="468" t="inlineStr">
        <is>
          <t>Actual accrual; security $30,799 in Other</t>
        </is>
      </c>
    </row>
    <row r="46" ht="13.5" customHeight="1" s="545">
      <c r="A46" s="476" t="inlineStr">
        <is>
          <t>P021</t>
        </is>
      </c>
      <c r="B46" s="449" t="n">
        <v>210</v>
      </c>
      <c r="C46" s="476" t="inlineStr">
        <is>
          <t>R0091931</t>
        </is>
      </c>
      <c r="D46" s="477" t="inlineStr">
        <is>
          <t>6300 E. 58th Ave</t>
        </is>
      </c>
      <c r="E46" s="476" t="inlineStr">
        <is>
          <t>Commerce City</t>
        </is>
      </c>
      <c r="F46" s="476" t="inlineStr">
        <is>
          <t>CO</t>
        </is>
      </c>
      <c r="G46" s="476" t="inlineStr">
        <is>
          <t>Industrial</t>
        </is>
      </c>
      <c r="H46" s="477" t="inlineStr">
        <is>
          <t>Multi-Tenant Industrial/Flex</t>
        </is>
      </c>
      <c r="I46" s="478" t="n">
        <v>1999</v>
      </c>
      <c r="J46" s="478" t="n">
        <v>90000</v>
      </c>
      <c r="K46" s="478" t="n">
        <v>2023</v>
      </c>
      <c r="L46" s="479" t="n">
        <v>10.5459</v>
      </c>
      <c r="M46" s="476" t="n"/>
      <c r="N46" s="479" t="n">
        <v>13.7594</v>
      </c>
      <c r="O46" s="479" t="n">
        <v>0.176</v>
      </c>
      <c r="P46" s="479" t="n">
        <v>0.516</v>
      </c>
      <c r="Q46" s="479" t="n">
        <v>0.0441</v>
      </c>
      <c r="R46" s="476" t="n"/>
      <c r="S46" s="479" t="n">
        <v>0.3032</v>
      </c>
      <c r="T46" s="479" t="n">
        <v>0.0731</v>
      </c>
      <c r="U46" s="476" t="n"/>
      <c r="V46" s="476" t="n"/>
      <c r="W46" s="476" t="n"/>
      <c r="X46" s="479" t="n">
        <v>0.2579</v>
      </c>
      <c r="Y46" s="479" t="n">
        <v>0.6783</v>
      </c>
      <c r="Z46" s="479" t="n">
        <v>0.0103</v>
      </c>
      <c r="AA46" s="479" t="n">
        <v>0.0531</v>
      </c>
      <c r="AB46" s="479" t="n">
        <v>0.1252</v>
      </c>
      <c r="AC46" s="479" t="n">
        <v>0.1886</v>
      </c>
      <c r="AD46" s="479" t="n">
        <v>0.1574</v>
      </c>
      <c r="AE46" s="479" t="n">
        <v>0.0621</v>
      </c>
      <c r="AF46" s="479" t="n">
        <v>0.2196</v>
      </c>
      <c r="AG46" s="476" t="n"/>
      <c r="AH46" s="479" t="n">
        <v>1.8054</v>
      </c>
      <c r="AI46" s="479" t="n">
        <v>3.1511</v>
      </c>
      <c r="AJ46" s="479" t="n">
        <v>4.9565</v>
      </c>
      <c r="AK46" s="479" t="n">
        <v>8.802899999999999</v>
      </c>
      <c r="AL46" s="476" t="n"/>
      <c r="AM46" s="477" t="inlineStr">
        <is>
          <t>Actual accrual; parking sweep in Trash; admin fees in Mgmt</t>
        </is>
      </c>
    </row>
    <row r="47" ht="13.5" customHeight="1" s="545">
      <c r="A47" s="450" t="inlineStr">
        <is>
          <t>P021</t>
        </is>
      </c>
      <c r="B47" s="449" t="n">
        <v>210</v>
      </c>
      <c r="C47" s="450" t="inlineStr">
        <is>
          <t>R0091931</t>
        </is>
      </c>
      <c r="D47" s="468" t="inlineStr">
        <is>
          <t>6300 E. 58th Ave</t>
        </is>
      </c>
      <c r="E47" s="450" t="inlineStr">
        <is>
          <t>Commerce City</t>
        </is>
      </c>
      <c r="F47" s="450" t="inlineStr">
        <is>
          <t>CO</t>
        </is>
      </c>
      <c r="G47" s="450" t="inlineStr">
        <is>
          <t>Industrial</t>
        </is>
      </c>
      <c r="H47" s="468" t="inlineStr">
        <is>
          <t>Multi-Tenant Industrial/Flex</t>
        </is>
      </c>
      <c r="I47" s="480" t="n">
        <v>1999</v>
      </c>
      <c r="J47" s="480" t="n">
        <v>90000</v>
      </c>
      <c r="K47" s="480" t="n">
        <v>2024</v>
      </c>
      <c r="L47" s="481" t="n">
        <v>10.1323</v>
      </c>
      <c r="M47" s="450" t="n"/>
      <c r="N47" s="481" t="n">
        <v>14.5242</v>
      </c>
      <c r="O47" s="481" t="n">
        <v>0.1757</v>
      </c>
      <c r="P47" s="481" t="n">
        <v>0.725</v>
      </c>
      <c r="Q47" s="481" t="n">
        <v>0.0069</v>
      </c>
      <c r="R47" s="450" t="n"/>
      <c r="S47" s="481" t="n">
        <v>0.3996</v>
      </c>
      <c r="T47" s="481" t="n">
        <v>0.08699999999999999</v>
      </c>
      <c r="U47" s="450" t="n"/>
      <c r="V47" s="450" t="n"/>
      <c r="W47" s="450" t="n"/>
      <c r="X47" s="481" t="n">
        <v>0.2445</v>
      </c>
      <c r="Y47" s="481" t="n">
        <v>0.738</v>
      </c>
      <c r="Z47" s="481" t="n">
        <v>0.0131</v>
      </c>
      <c r="AA47" s="481" t="n">
        <v>0.0496</v>
      </c>
      <c r="AB47" s="481" t="n">
        <v>0.1661</v>
      </c>
      <c r="AC47" s="481" t="n">
        <v>0.2288</v>
      </c>
      <c r="AD47" s="481" t="n">
        <v>0.1748</v>
      </c>
      <c r="AE47" s="481" t="n">
        <v>0.06370000000000001</v>
      </c>
      <c r="AF47" s="481" t="n">
        <v>0.2385</v>
      </c>
      <c r="AG47" s="450" t="n"/>
      <c r="AH47" s="481" t="n">
        <v>1.7609</v>
      </c>
      <c r="AI47" s="481" t="n">
        <v>3.2332</v>
      </c>
      <c r="AJ47" s="481" t="n">
        <v>4.9941</v>
      </c>
      <c r="AK47" s="481" t="n">
        <v>9.3636</v>
      </c>
      <c r="AL47" s="450" t="n"/>
      <c r="AM47" s="468" t="inlineStr">
        <is>
          <t>Actual accrual; snow $14,953 also listed under ext R&amp;M; security/admin in ext maint</t>
        </is>
      </c>
    </row>
    <row r="48" ht="13.5" customHeight="1" s="545">
      <c r="A48" s="476" t="inlineStr">
        <is>
          <t>P022</t>
        </is>
      </c>
      <c r="B48" s="449" t="n">
        <v>210</v>
      </c>
      <c r="C48" s="476" t="inlineStr">
        <is>
          <t>R0111559</t>
        </is>
      </c>
      <c r="D48" s="477" t="inlineStr">
        <is>
          <t>3590 N. Himalaya Rd (Bldg 6)</t>
        </is>
      </c>
      <c r="E48" s="476" t="inlineStr">
        <is>
          <t>Aurora</t>
        </is>
      </c>
      <c r="F48" s="476" t="inlineStr">
        <is>
          <t>CO</t>
        </is>
      </c>
      <c r="G48" s="476" t="inlineStr">
        <is>
          <t>Industrial</t>
        </is>
      </c>
      <c r="H48" s="477" t="inlineStr">
        <is>
          <t>Multi-Tenant Industrial/Flex NNN</t>
        </is>
      </c>
      <c r="I48" s="478" t="n"/>
      <c r="J48" s="478" t="n"/>
      <c r="K48" s="478" t="n">
        <v>2024</v>
      </c>
      <c r="L48" s="489" t="n">
        <v>548918</v>
      </c>
      <c r="M48" s="476" t="n"/>
      <c r="N48" s="489" t="n">
        <v>766859</v>
      </c>
      <c r="O48" s="489" t="n">
        <v>23025</v>
      </c>
      <c r="P48" s="476" t="n"/>
      <c r="Q48" s="476" t="n"/>
      <c r="R48" s="476" t="n"/>
      <c r="S48" s="476" t="n"/>
      <c r="T48" s="476" t="n"/>
      <c r="U48" s="476" t="n"/>
      <c r="V48" s="476" t="n"/>
      <c r="W48" s="476" t="n"/>
      <c r="X48" s="476" t="n"/>
      <c r="Y48" s="476" t="n"/>
      <c r="Z48" s="476" t="n"/>
      <c r="AA48" s="476" t="n"/>
      <c r="AB48" s="476" t="n"/>
      <c r="AC48" s="476" t="n"/>
      <c r="AD48" s="489" t="n">
        <v>7986</v>
      </c>
      <c r="AE48" s="489" t="n">
        <v>33669</v>
      </c>
      <c r="AF48" s="489" t="n">
        <v>41655</v>
      </c>
      <c r="AG48" s="476" t="n"/>
      <c r="AH48" s="476" t="n"/>
      <c r="AI48" s="489" t="n">
        <v>129107</v>
      </c>
      <c r="AJ48" s="489" t="n">
        <v>250157</v>
      </c>
      <c r="AK48" s="489" t="n">
        <v>374789</v>
      </c>
      <c r="AL48" s="476" t="n"/>
      <c r="AM48" s="477" t="inlineStr">
        <is>
          <t>[NO SF] 2024 only – 2023 was transitional vacancy year; SF not confirmed; approx figures</t>
        </is>
      </c>
    </row>
    <row r="49" ht="13.5" customHeight="1" s="545">
      <c r="A49" s="450" t="inlineStr">
        <is>
          <t>P023</t>
        </is>
      </c>
      <c r="B49" s="449" t="n">
        <v>407</v>
      </c>
      <c r="C49" s="450" t="inlineStr">
        <is>
          <t>R0191098</t>
        </is>
      </c>
      <c r="D49" s="468" t="inlineStr">
        <is>
          <t>19754 E. 35th Dr (Bldg 4)</t>
        </is>
      </c>
      <c r="E49" s="450" t="inlineStr">
        <is>
          <t>Aurora</t>
        </is>
      </c>
      <c r="F49" s="450" t="inlineStr">
        <is>
          <t>CO</t>
        </is>
      </c>
      <c r="G49" s="450" t="inlineStr">
        <is>
          <t>Industrial</t>
        </is>
      </c>
      <c r="H49" s="468" t="inlineStr">
        <is>
          <t>Single-Tenant Industrial NNN</t>
        </is>
      </c>
      <c r="I49" s="480" t="n"/>
      <c r="J49" s="480" t="n">
        <v>155033</v>
      </c>
      <c r="K49" s="480" t="n">
        <v>2023</v>
      </c>
      <c r="L49" s="481" t="n">
        <v>6.2562</v>
      </c>
      <c r="M49" s="450" t="n"/>
      <c r="N49" s="481" t="n">
        <v>6.246</v>
      </c>
      <c r="O49" s="481" t="n">
        <v>0.1319</v>
      </c>
      <c r="P49" s="481" t="n">
        <v>0.1932</v>
      </c>
      <c r="Q49" s="450" t="n"/>
      <c r="R49" s="450" t="n"/>
      <c r="S49" s="450" t="n"/>
      <c r="T49" s="450" t="n"/>
      <c r="U49" s="450" t="n"/>
      <c r="V49" s="450" t="n"/>
      <c r="W49" s="450" t="n"/>
      <c r="X49" s="450" t="n"/>
      <c r="Y49" s="450" t="n"/>
      <c r="Z49" s="450" t="n"/>
      <c r="AA49" s="481" t="n">
        <v>0.0257</v>
      </c>
      <c r="AB49" s="450" t="n"/>
      <c r="AC49" s="450" t="n"/>
      <c r="AD49" s="481" t="n">
        <v>0.2449</v>
      </c>
      <c r="AE49" s="481" t="n">
        <v>0.0885</v>
      </c>
      <c r="AF49" s="481" t="n">
        <v>0.3334</v>
      </c>
      <c r="AG49" s="450" t="n"/>
      <c r="AH49" s="481" t="n">
        <v>1.9053</v>
      </c>
      <c r="AI49" s="481" t="n">
        <v>0.5968</v>
      </c>
      <c r="AJ49" s="481" t="n">
        <v>2.5021</v>
      </c>
      <c r="AK49" s="481" t="n">
        <v>3.7439</v>
      </c>
      <c r="AL49" s="450" t="n"/>
      <c r="AM49" s="468" t="inlineStr">
        <is>
          <t>NNN; tenant pays most R&amp;M directly; Quality Custom Distribution lease thru 12/31/2029</t>
        </is>
      </c>
    </row>
    <row r="50" ht="13.5" customHeight="1" s="545">
      <c r="A50" s="476" t="inlineStr">
        <is>
          <t>P023</t>
        </is>
      </c>
      <c r="B50" s="449" t="n">
        <v>407</v>
      </c>
      <c r="C50" s="476" t="inlineStr">
        <is>
          <t>R0191098</t>
        </is>
      </c>
      <c r="D50" s="477" t="inlineStr">
        <is>
          <t>19754 E. 35th Dr (Bldg 4)</t>
        </is>
      </c>
      <c r="E50" s="476" t="inlineStr">
        <is>
          <t>Aurora</t>
        </is>
      </c>
      <c r="F50" s="476" t="inlineStr">
        <is>
          <t>CO</t>
        </is>
      </c>
      <c r="G50" s="476" t="inlineStr">
        <is>
          <t>Industrial</t>
        </is>
      </c>
      <c r="H50" s="477" t="inlineStr">
        <is>
          <t>Single-Tenant Industrial NNN</t>
        </is>
      </c>
      <c r="I50" s="478" t="n"/>
      <c r="J50" s="478" t="n">
        <v>155033</v>
      </c>
      <c r="K50" s="478" t="n">
        <v>2024</v>
      </c>
      <c r="L50" s="479" t="n">
        <v>6.5223</v>
      </c>
      <c r="M50" s="476" t="n"/>
      <c r="N50" s="479" t="n">
        <v>6.5223</v>
      </c>
      <c r="O50" s="479" t="n">
        <v>0.183</v>
      </c>
      <c r="P50" s="479" t="n">
        <v>0.1894</v>
      </c>
      <c r="Q50" s="476" t="n"/>
      <c r="R50" s="476" t="n"/>
      <c r="S50" s="476" t="n"/>
      <c r="T50" s="476" t="n"/>
      <c r="U50" s="476" t="n"/>
      <c r="V50" s="476" t="n"/>
      <c r="W50" s="476" t="n"/>
      <c r="X50" s="476" t="n"/>
      <c r="Y50" s="476" t="n"/>
      <c r="Z50" s="476" t="n"/>
      <c r="AA50" s="476" t="n"/>
      <c r="AB50" s="476" t="n"/>
      <c r="AC50" s="476" t="n"/>
      <c r="AD50" s="479" t="n">
        <v>0.2365</v>
      </c>
      <c r="AE50" s="479" t="n">
        <v>0.1764</v>
      </c>
      <c r="AF50" s="479" t="n">
        <v>0.4129</v>
      </c>
      <c r="AG50" s="476" t="n"/>
      <c r="AH50" s="479" t="n">
        <v>1.7082</v>
      </c>
      <c r="AI50" s="479" t="n">
        <v>0.7799</v>
      </c>
      <c r="AJ50" s="479" t="n">
        <v>2.4881</v>
      </c>
      <c r="AK50" s="479" t="n">
        <v>4.0342</v>
      </c>
      <c r="AL50" s="476" t="n"/>
      <c r="AM50" s="477" t="inlineStr">
        <is>
          <t>NNN; tenant pays most R&amp;M directly</t>
        </is>
      </c>
    </row>
    <row r="51" ht="13.5" customHeight="1" s="545">
      <c r="A51" s="450" t="inlineStr">
        <is>
          <t>P024</t>
        </is>
      </c>
      <c r="B51" s="449" t="n">
        <v>407</v>
      </c>
      <c r="C51" s="450" t="inlineStr">
        <is>
          <t>R0111560</t>
        </is>
      </c>
      <c r="D51" s="468" t="inlineStr">
        <is>
          <t>20320 E. 36th Dr (Bldg 7)</t>
        </is>
      </c>
      <c r="E51" s="450" t="inlineStr">
        <is>
          <t>Aurora</t>
        </is>
      </c>
      <c r="F51" s="450" t="inlineStr">
        <is>
          <t>CO</t>
        </is>
      </c>
      <c r="G51" s="450" t="inlineStr">
        <is>
          <t>Industrial</t>
        </is>
      </c>
      <c r="H51" s="468" t="inlineStr">
        <is>
          <t>Single-Tenant Industrial NNN</t>
        </is>
      </c>
      <c r="I51" s="480" t="n"/>
      <c r="J51" s="480" t="n">
        <v>200000</v>
      </c>
      <c r="K51" s="480" t="n">
        <v>2023</v>
      </c>
      <c r="L51" s="481" t="n">
        <v>6.9558</v>
      </c>
      <c r="M51" s="450" t="n"/>
      <c r="N51" s="481" t="n">
        <v>6.7858</v>
      </c>
      <c r="O51" s="481" t="n">
        <v>0.02</v>
      </c>
      <c r="P51" s="450" t="n"/>
      <c r="Q51" s="450" t="n"/>
      <c r="R51" s="450" t="n"/>
      <c r="S51" s="450" t="n"/>
      <c r="T51" s="450" t="n"/>
      <c r="U51" s="450" t="n"/>
      <c r="V51" s="450" t="n"/>
      <c r="W51" s="450" t="n"/>
      <c r="X51" s="450" t="n"/>
      <c r="Y51" s="450" t="n"/>
      <c r="Z51" s="450" t="n"/>
      <c r="AA51" s="450" t="n"/>
      <c r="AB51" s="450" t="n"/>
      <c r="AC51" s="450" t="n"/>
      <c r="AD51" s="450" t="n"/>
      <c r="AE51" s="481" t="n">
        <v>0.0121</v>
      </c>
      <c r="AF51" s="481" t="n">
        <v>0.0121</v>
      </c>
      <c r="AG51" s="450" t="n"/>
      <c r="AH51" s="481" t="n">
        <v>1.179</v>
      </c>
      <c r="AI51" s="481" t="n">
        <v>0.0174</v>
      </c>
      <c r="AJ51" s="481" t="n">
        <v>1.1964</v>
      </c>
      <c r="AK51" s="481" t="n">
        <v>5.5895</v>
      </c>
      <c r="AL51" s="450" t="n"/>
      <c r="AM51" s="468" t="inlineStr">
        <is>
          <t>FedEx NNN thru 4/30/2024; tenant pays nearly all expenses; 2024 excluded (lease expiry vacancy)</t>
        </is>
      </c>
    </row>
    <row r="52" ht="13.5" customHeight="1" s="545">
      <c r="A52" s="476" t="inlineStr">
        <is>
          <t>P025</t>
        </is>
      </c>
      <c r="B52" s="449" t="n">
        <v>210</v>
      </c>
      <c r="C52" s="476" t="inlineStr">
        <is>
          <t>R0191099</t>
        </is>
      </c>
      <c r="D52" s="477" t="inlineStr">
        <is>
          <t>3559 N. Himalaya Rd (Bldg 5)</t>
        </is>
      </c>
      <c r="E52" s="476" t="inlineStr">
        <is>
          <t>Aurora</t>
        </is>
      </c>
      <c r="F52" s="476" t="inlineStr">
        <is>
          <t>CO</t>
        </is>
      </c>
      <c r="G52" s="476" t="inlineStr">
        <is>
          <t>Industrial</t>
        </is>
      </c>
      <c r="H52" s="477" t="inlineStr">
        <is>
          <t>Multi-Tenant Industrial NNN</t>
        </is>
      </c>
      <c r="I52" s="478" t="n"/>
      <c r="J52" s="478" t="n">
        <v>159047</v>
      </c>
      <c r="K52" s="478" t="n">
        <v>2023</v>
      </c>
      <c r="L52" s="476" t="n"/>
      <c r="M52" s="476" t="n"/>
      <c r="N52" s="479" t="n">
        <v>13.4944</v>
      </c>
      <c r="O52" s="476" t="n"/>
      <c r="P52" s="479" t="n">
        <v>0.0367</v>
      </c>
      <c r="Q52" s="476" t="n"/>
      <c r="R52" s="476" t="n"/>
      <c r="S52" s="476" t="n"/>
      <c r="T52" s="476" t="n"/>
      <c r="U52" s="476" t="n"/>
      <c r="V52" s="476" t="n"/>
      <c r="W52" s="476" t="n"/>
      <c r="X52" s="476" t="n"/>
      <c r="Y52" s="476" t="n"/>
      <c r="Z52" s="476" t="n"/>
      <c r="AA52" s="476" t="n"/>
      <c r="AB52" s="479" t="n">
        <v>0.0177</v>
      </c>
      <c r="AC52" s="476" t="n"/>
      <c r="AD52" s="476" t="n"/>
      <c r="AE52" s="476" t="n"/>
      <c r="AF52" s="476" t="n"/>
      <c r="AG52" s="476" t="n"/>
      <c r="AH52" s="476" t="n"/>
      <c r="AI52" s="476" t="n"/>
      <c r="AJ52" s="479" t="n">
        <v>6.3824</v>
      </c>
      <c r="AK52" s="479" t="n">
        <v>7.112</v>
      </c>
      <c r="AL52" s="476" t="n"/>
      <c r="AM52" s="477" t="inlineStr">
        <is>
          <t>Multi-tenant NNN; limited expense detail available; approx figures</t>
        </is>
      </c>
    </row>
    <row r="53" ht="13.5" customHeight="1" s="545">
      <c r="A53" s="450" t="inlineStr">
        <is>
          <t>P025</t>
        </is>
      </c>
      <c r="B53" s="449" t="n">
        <v>210</v>
      </c>
      <c r="C53" s="450" t="inlineStr">
        <is>
          <t>R0191099</t>
        </is>
      </c>
      <c r="D53" s="468" t="inlineStr">
        <is>
          <t>3559 N. Himalaya Rd (Bldg 5)</t>
        </is>
      </c>
      <c r="E53" s="450" t="inlineStr">
        <is>
          <t>Aurora</t>
        </is>
      </c>
      <c r="F53" s="450" t="inlineStr">
        <is>
          <t>CO</t>
        </is>
      </c>
      <c r="G53" s="450" t="inlineStr">
        <is>
          <t>Industrial</t>
        </is>
      </c>
      <c r="H53" s="468" t="inlineStr">
        <is>
          <t>Multi-Tenant Industrial NNN</t>
        </is>
      </c>
      <c r="I53" s="480" t="n"/>
      <c r="J53" s="480" t="n">
        <v>159047</v>
      </c>
      <c r="K53" s="480" t="n">
        <v>2024</v>
      </c>
      <c r="L53" s="450" t="n"/>
      <c r="M53" s="450" t="n"/>
      <c r="N53" s="481" t="n">
        <v>13.507</v>
      </c>
      <c r="O53" s="450" t="n"/>
      <c r="P53" s="450" t="n"/>
      <c r="Q53" s="450" t="n"/>
      <c r="R53" s="450" t="n"/>
      <c r="S53" s="450" t="n"/>
      <c r="T53" s="450" t="n"/>
      <c r="U53" s="450" t="n"/>
      <c r="V53" s="450" t="n"/>
      <c r="W53" s="450" t="n"/>
      <c r="X53" s="450" t="n"/>
      <c r="Y53" s="450" t="n"/>
      <c r="Z53" s="450" t="n"/>
      <c r="AA53" s="450" t="n"/>
      <c r="AB53" s="481" t="n">
        <v>0.0177</v>
      </c>
      <c r="AC53" s="450" t="n"/>
      <c r="AD53" s="450" t="n"/>
      <c r="AE53" s="450" t="n"/>
      <c r="AF53" s="450" t="n"/>
      <c r="AG53" s="450" t="n"/>
      <c r="AH53" s="450" t="n"/>
      <c r="AI53" s="450" t="n"/>
      <c r="AJ53" s="481" t="n">
        <v>7.3989</v>
      </c>
      <c r="AK53" s="481" t="n">
        <v>6.1082</v>
      </c>
      <c r="AL53" s="450" t="n"/>
      <c r="AM53" s="468" t="inlineStr">
        <is>
          <t>Multi-tenant NNN; limited expense detail available; approx figures</t>
        </is>
      </c>
    </row>
    <row r="54" ht="13.5" customHeight="1" s="545">
      <c r="A54" s="476" t="inlineStr">
        <is>
          <t>P026</t>
        </is>
      </c>
      <c r="B54" s="449" t="n">
        <v>406</v>
      </c>
      <c r="C54" s="476" t="inlineStr">
        <is>
          <t>R0092667</t>
        </is>
      </c>
      <c r="D54" s="477" t="inlineStr">
        <is>
          <t>4901 Locust St</t>
        </is>
      </c>
      <c r="E54" s="476" t="inlineStr">
        <is>
          <t>Commerce City</t>
        </is>
      </c>
      <c r="F54" s="476" t="inlineStr">
        <is>
          <t>CO</t>
        </is>
      </c>
      <c r="G54" s="476" t="inlineStr">
        <is>
          <t>Industrial</t>
        </is>
      </c>
      <c r="H54" s="477" t="inlineStr">
        <is>
          <t>Industrial Warehouse</t>
        </is>
      </c>
      <c r="I54" s="478" t="n"/>
      <c r="J54" s="478" t="n">
        <v>29512</v>
      </c>
      <c r="K54" s="478" t="n">
        <v>2024</v>
      </c>
      <c r="L54" s="476" t="n"/>
      <c r="M54" s="476" t="n"/>
      <c r="N54" s="479" t="n">
        <v>14.2131</v>
      </c>
      <c r="O54" s="479" t="n">
        <v>0.15</v>
      </c>
      <c r="P54" s="479" t="n">
        <v>0.3553</v>
      </c>
      <c r="Q54" s="476" t="n"/>
      <c r="R54" s="476" t="n"/>
      <c r="S54" s="476" t="n"/>
      <c r="T54" s="476" t="n"/>
      <c r="U54" s="476" t="n"/>
      <c r="V54" s="476" t="n"/>
      <c r="W54" s="476" t="n"/>
      <c r="X54" s="479" t="n">
        <v>0.55</v>
      </c>
      <c r="Y54" s="479" t="n">
        <v>0.55</v>
      </c>
      <c r="Z54" s="476" t="n"/>
      <c r="AA54" s="476" t="n"/>
      <c r="AB54" s="476" t="n"/>
      <c r="AC54" s="476" t="n"/>
      <c r="AD54" s="476" t="n"/>
      <c r="AE54" s="476" t="n"/>
      <c r="AF54" s="479" t="n">
        <v>0.25</v>
      </c>
      <c r="AG54" s="479" t="n">
        <v>0.5</v>
      </c>
      <c r="AH54" s="479" t="n">
        <v>2.0053</v>
      </c>
      <c r="AI54" s="479" t="n">
        <v>3.315</v>
      </c>
      <c r="AJ54" s="479" t="n">
        <v>5.3203</v>
      </c>
      <c r="AK54" s="479" t="n">
        <v>8.892799999999999</v>
      </c>
      <c r="AL54" s="479" t="n">
        <v>0.2</v>
      </c>
      <c r="AM54" s="477" t="inlineStr">
        <is>
          <t>Newmark stabilized proforma 6/30/2024; cap rate 7.00%; not actual historical</t>
        </is>
      </c>
    </row>
    <row r="55" ht="13.5" customHeight="1" s="545">
      <c r="A55" s="450" t="inlineStr">
        <is>
          <t>P022</t>
        </is>
      </c>
      <c r="B55" s="449" t="n">
        <v>210</v>
      </c>
      <c r="C55" s="450" t="inlineStr">
        <is>
          <t>R0111559</t>
        </is>
      </c>
      <c r="D55" s="468" t="inlineStr">
        <is>
          <t>3590 N. Himalaya Rd (Bldg 6)</t>
        </is>
      </c>
      <c r="E55" s="450" t="inlineStr">
        <is>
          <t>Aurora</t>
        </is>
      </c>
      <c r="F55" s="450" t="inlineStr">
        <is>
          <t>CO</t>
        </is>
      </c>
      <c r="G55" s="450" t="inlineStr">
        <is>
          <t>Industrial</t>
        </is>
      </c>
      <c r="H55" s="468" t="inlineStr">
        <is>
          <t>Multi-Tenant Industrial/Flex NNN</t>
        </is>
      </c>
      <c r="I55" s="480" t="n">
        <v>1998</v>
      </c>
      <c r="J55" s="480" t="n">
        <v>123603</v>
      </c>
      <c r="K55" s="480" t="n">
        <v>2021</v>
      </c>
      <c r="L55" s="450" t="n"/>
      <c r="M55" s="450" t="n"/>
      <c r="N55" s="450" t="n"/>
      <c r="O55" s="481" t="n">
        <v>0.0839</v>
      </c>
      <c r="P55" s="481" t="n">
        <v>0.351</v>
      </c>
      <c r="Q55" s="450" t="n"/>
      <c r="R55" s="450" t="n"/>
      <c r="S55" s="450" t="n"/>
      <c r="T55" s="450" t="n"/>
      <c r="U55" s="450" t="n"/>
      <c r="V55" s="450" t="n"/>
      <c r="W55" s="450" t="n"/>
      <c r="X55" s="450" t="n"/>
      <c r="Y55" s="450" t="n"/>
      <c r="Z55" s="450" t="n"/>
      <c r="AA55" s="450" t="n"/>
      <c r="AB55" s="450" t="n"/>
      <c r="AC55" s="481" t="n">
        <v>0.717</v>
      </c>
      <c r="AD55" s="450" t="n"/>
      <c r="AE55" s="450" t="n"/>
      <c r="AF55" s="481" t="n">
        <v>0.2998</v>
      </c>
      <c r="AG55" s="450" t="n"/>
      <c r="AH55" s="481" t="n">
        <v>1.4518</v>
      </c>
      <c r="AI55" s="481" t="n">
        <v>2.3392</v>
      </c>
      <c r="AJ55" s="481" t="n">
        <v>3.791</v>
      </c>
      <c r="AK55" s="450" t="n"/>
      <c r="AL55" s="450" t="n"/>
      <c r="AM55" s="468" t="inlineStr">
        <is>
          <t>NNN landlord expenses only; from AXG Whse Expenses PSF.xlsx</t>
        </is>
      </c>
    </row>
    <row r="56" ht="13.5" customHeight="1" s="545">
      <c r="A56" s="476" t="inlineStr">
        <is>
          <t>P022</t>
        </is>
      </c>
      <c r="B56" s="449" t="n">
        <v>210</v>
      </c>
      <c r="C56" s="476" t="inlineStr">
        <is>
          <t>R0111559</t>
        </is>
      </c>
      <c r="D56" s="477" t="inlineStr">
        <is>
          <t>3590 N. Himalaya Rd (Bldg 6)</t>
        </is>
      </c>
      <c r="E56" s="476" t="inlineStr">
        <is>
          <t>Aurora</t>
        </is>
      </c>
      <c r="F56" s="476" t="inlineStr">
        <is>
          <t>CO</t>
        </is>
      </c>
      <c r="G56" s="476" t="inlineStr">
        <is>
          <t>Industrial</t>
        </is>
      </c>
      <c r="H56" s="477" t="inlineStr">
        <is>
          <t>Multi-Tenant Industrial/Flex NNN</t>
        </is>
      </c>
      <c r="I56" s="478" t="n">
        <v>1998</v>
      </c>
      <c r="J56" s="478" t="n">
        <v>123603</v>
      </c>
      <c r="K56" s="478" t="n">
        <v>2022</v>
      </c>
      <c r="L56" s="476" t="n"/>
      <c r="M56" s="476" t="n"/>
      <c r="N56" s="476" t="n"/>
      <c r="O56" s="479" t="n">
        <v>0.0893</v>
      </c>
      <c r="P56" s="479" t="n">
        <v>0.3221</v>
      </c>
      <c r="Q56" s="476" t="n"/>
      <c r="R56" s="476" t="n"/>
      <c r="S56" s="476" t="n"/>
      <c r="T56" s="476" t="n"/>
      <c r="U56" s="476" t="n"/>
      <c r="V56" s="476" t="n"/>
      <c r="W56" s="476" t="n"/>
      <c r="X56" s="476" t="n"/>
      <c r="Y56" s="476" t="n"/>
      <c r="Z56" s="476" t="n"/>
      <c r="AA56" s="476" t="n"/>
      <c r="AB56" s="476" t="n"/>
      <c r="AC56" s="479" t="n">
        <v>0.7439</v>
      </c>
      <c r="AD56" s="476" t="n"/>
      <c r="AE56" s="476" t="n"/>
      <c r="AF56" s="479" t="n">
        <v>0.3112</v>
      </c>
      <c r="AG56" s="476" t="n"/>
      <c r="AH56" s="479" t="n">
        <v>1.4664</v>
      </c>
      <c r="AI56" s="479" t="n">
        <v>2.5796</v>
      </c>
      <c r="AJ56" s="479" t="n">
        <v>4.046</v>
      </c>
      <c r="AK56" s="476" t="n"/>
      <c r="AL56" s="476" t="n"/>
      <c r="AM56" s="477" t="inlineStr">
        <is>
          <t>NNN landlord expenses only; from AXG Whse Expenses PSF.xlsx</t>
        </is>
      </c>
    </row>
    <row r="57" ht="13.5" customHeight="1" s="545">
      <c r="A57" s="450" t="inlineStr">
        <is>
          <t>P024</t>
        </is>
      </c>
      <c r="B57" s="449" t="n">
        <v>407</v>
      </c>
      <c r="C57" s="450" t="inlineStr">
        <is>
          <t>R0111560</t>
        </is>
      </c>
      <c r="D57" s="468" t="inlineStr">
        <is>
          <t>20320 E. 36th Dr (Bldg 7)</t>
        </is>
      </c>
      <c r="E57" s="450" t="inlineStr">
        <is>
          <t>Aurora</t>
        </is>
      </c>
      <c r="F57" s="450" t="inlineStr">
        <is>
          <t>CO</t>
        </is>
      </c>
      <c r="G57" s="450" t="inlineStr">
        <is>
          <t>Industrial</t>
        </is>
      </c>
      <c r="H57" s="468" t="inlineStr">
        <is>
          <t>Single-Tenant Industrial NNN</t>
        </is>
      </c>
      <c r="I57" s="480" t="n">
        <v>1998</v>
      </c>
      <c r="J57" s="480" t="n">
        <v>199962</v>
      </c>
      <c r="K57" s="480" t="n">
        <v>2019</v>
      </c>
      <c r="L57" s="450" t="n"/>
      <c r="M57" s="450" t="n"/>
      <c r="N57" s="450" t="n"/>
      <c r="O57" s="481" t="n">
        <v>0.0423</v>
      </c>
      <c r="P57" s="481" t="n">
        <v>0.131</v>
      </c>
      <c r="Q57" s="450" t="n"/>
      <c r="R57" s="450" t="n"/>
      <c r="S57" s="450" t="n"/>
      <c r="T57" s="450" t="n"/>
      <c r="U57" s="450" t="n"/>
      <c r="V57" s="450" t="n"/>
      <c r="W57" s="450" t="n"/>
      <c r="X57" s="450" t="n"/>
      <c r="Y57" s="450" t="n"/>
      <c r="Z57" s="450" t="n"/>
      <c r="AA57" s="450" t="n"/>
      <c r="AB57" s="450" t="n"/>
      <c r="AC57" s="481" t="n">
        <v>1.3087</v>
      </c>
      <c r="AD57" s="450" t="n"/>
      <c r="AE57" s="450" t="n"/>
      <c r="AF57" s="450" t="n"/>
      <c r="AG57" s="450" t="n"/>
      <c r="AH57" s="481" t="n">
        <v>1.482</v>
      </c>
      <c r="AI57" s="481" t="n">
        <v>2.4741</v>
      </c>
      <c r="AJ57" s="481" t="n">
        <v>3.9561</v>
      </c>
      <c r="AK57" s="450" t="n"/>
      <c r="AL57" s="450" t="n"/>
      <c r="AM57" s="468" t="inlineStr">
        <is>
          <t>NNN landlord expenses only; from AXG Whse Expenses PSF.xlsx</t>
        </is>
      </c>
    </row>
    <row r="58" ht="13.5" customHeight="1" s="545">
      <c r="A58" s="476" t="inlineStr">
        <is>
          <t>P024</t>
        </is>
      </c>
      <c r="B58" s="449" t="n">
        <v>407</v>
      </c>
      <c r="C58" s="476" t="inlineStr">
        <is>
          <t>R0111560</t>
        </is>
      </c>
      <c r="D58" s="477" t="inlineStr">
        <is>
          <t>20320 E. 36th Dr (Bldg 7)</t>
        </is>
      </c>
      <c r="E58" s="476" t="inlineStr">
        <is>
          <t>Aurora</t>
        </is>
      </c>
      <c r="F58" s="476" t="inlineStr">
        <is>
          <t>CO</t>
        </is>
      </c>
      <c r="G58" s="476" t="inlineStr">
        <is>
          <t>Industrial</t>
        </is>
      </c>
      <c r="H58" s="477" t="inlineStr">
        <is>
          <t>Single-Tenant Industrial NNN</t>
        </is>
      </c>
      <c r="I58" s="478" t="n">
        <v>1998</v>
      </c>
      <c r="J58" s="478" t="n">
        <v>199962</v>
      </c>
      <c r="K58" s="478" t="n">
        <v>2020</v>
      </c>
      <c r="L58" s="476" t="n"/>
      <c r="M58" s="476" t="n"/>
      <c r="N58" s="476" t="n"/>
      <c r="O58" s="479" t="n">
        <v>0.0484</v>
      </c>
      <c r="P58" s="479" t="n">
        <v>0.1332</v>
      </c>
      <c r="Q58" s="476" t="n"/>
      <c r="R58" s="476" t="n"/>
      <c r="S58" s="476" t="n"/>
      <c r="T58" s="476" t="n"/>
      <c r="U58" s="476" t="n"/>
      <c r="V58" s="476" t="n"/>
      <c r="W58" s="476" t="n"/>
      <c r="X58" s="476" t="n"/>
      <c r="Y58" s="476" t="n"/>
      <c r="Z58" s="476" t="n"/>
      <c r="AA58" s="476" t="n"/>
      <c r="AB58" s="476" t="n"/>
      <c r="AC58" s="479" t="n">
        <v>0.7242</v>
      </c>
      <c r="AD58" s="476" t="n"/>
      <c r="AE58" s="476" t="n"/>
      <c r="AF58" s="476" t="n"/>
      <c r="AG58" s="476" t="n"/>
      <c r="AH58" s="479" t="n">
        <v>0.9058</v>
      </c>
      <c r="AI58" s="479" t="n">
        <v>2.0784</v>
      </c>
      <c r="AJ58" s="479" t="n">
        <v>2.9841</v>
      </c>
      <c r="AK58" s="476" t="n"/>
      <c r="AL58" s="476" t="n"/>
      <c r="AM58" s="477" t="inlineStr">
        <is>
          <t>NNN landlord expenses only; from AXG Whse Expenses PSF.xlsx</t>
        </is>
      </c>
    </row>
    <row r="59" ht="13.5" customHeight="1" s="545">
      <c r="A59" s="450" t="inlineStr">
        <is>
          <t>P025</t>
        </is>
      </c>
      <c r="B59" s="449" t="n">
        <v>210</v>
      </c>
      <c r="C59" s="450" t="inlineStr">
        <is>
          <t>R0191099</t>
        </is>
      </c>
      <c r="D59" s="468" t="inlineStr">
        <is>
          <t>3559 N. Himalaya Rd (Bldg 5)</t>
        </is>
      </c>
      <c r="E59" s="450" t="inlineStr">
        <is>
          <t>Aurora</t>
        </is>
      </c>
      <c r="F59" s="450" t="inlineStr">
        <is>
          <t>CO</t>
        </is>
      </c>
      <c r="G59" s="450" t="inlineStr">
        <is>
          <t>Industrial</t>
        </is>
      </c>
      <c r="H59" s="468" t="inlineStr">
        <is>
          <t>Multi-Tenant Industrial NNN</t>
        </is>
      </c>
      <c r="I59" s="480" t="n">
        <v>2017</v>
      </c>
      <c r="J59" s="480" t="n">
        <v>159047</v>
      </c>
      <c r="K59" s="480" t="n">
        <v>2021</v>
      </c>
      <c r="L59" s="450" t="n"/>
      <c r="M59" s="450" t="n"/>
      <c r="N59" s="450" t="n"/>
      <c r="O59" s="481" t="n">
        <v>0.0956</v>
      </c>
      <c r="P59" s="481" t="n">
        <v>0.3379</v>
      </c>
      <c r="Q59" s="450" t="n"/>
      <c r="R59" s="450" t="n"/>
      <c r="S59" s="450" t="n"/>
      <c r="T59" s="450" t="n"/>
      <c r="U59" s="450" t="n"/>
      <c r="V59" s="450" t="n"/>
      <c r="W59" s="450" t="n"/>
      <c r="X59" s="450" t="n"/>
      <c r="Y59" s="450" t="n"/>
      <c r="Z59" s="450" t="n"/>
      <c r="AA59" s="450" t="n"/>
      <c r="AB59" s="450" t="n"/>
      <c r="AC59" s="481" t="n">
        <v>0.3767</v>
      </c>
      <c r="AD59" s="450" t="n"/>
      <c r="AE59" s="450" t="n"/>
      <c r="AF59" s="481" t="n">
        <v>0.2913</v>
      </c>
      <c r="AG59" s="450" t="n"/>
      <c r="AH59" s="481" t="n">
        <v>1.1015</v>
      </c>
      <c r="AI59" s="481" t="n">
        <v>3.4893</v>
      </c>
      <c r="AJ59" s="481" t="n">
        <v>4.5908</v>
      </c>
      <c r="AK59" s="450" t="n"/>
      <c r="AL59" s="450" t="n"/>
      <c r="AM59" s="468" t="inlineStr">
        <is>
          <t>NNN landlord expenses only; from AXG Whse Expenses PSF.xlsx</t>
        </is>
      </c>
    </row>
    <row r="60" ht="13.5" customHeight="1" s="545">
      <c r="A60" s="476" t="inlineStr">
        <is>
          <t>P025</t>
        </is>
      </c>
      <c r="B60" s="449" t="n">
        <v>210</v>
      </c>
      <c r="C60" s="476" t="inlineStr">
        <is>
          <t>R0191099</t>
        </is>
      </c>
      <c r="D60" s="477" t="inlineStr">
        <is>
          <t>3559 N. Himalaya Rd (Bldg 5)</t>
        </is>
      </c>
      <c r="E60" s="476" t="inlineStr">
        <is>
          <t>Aurora</t>
        </is>
      </c>
      <c r="F60" s="476" t="inlineStr">
        <is>
          <t>CO</t>
        </is>
      </c>
      <c r="G60" s="476" t="inlineStr">
        <is>
          <t>Industrial</t>
        </is>
      </c>
      <c r="H60" s="477" t="inlineStr">
        <is>
          <t>Multi-Tenant Industrial NNN</t>
        </is>
      </c>
      <c r="I60" s="478" t="n">
        <v>2017</v>
      </c>
      <c r="J60" s="478" t="n">
        <v>159047</v>
      </c>
      <c r="K60" s="478" t="n">
        <v>2022</v>
      </c>
      <c r="L60" s="476" t="n"/>
      <c r="M60" s="476" t="n"/>
      <c r="N60" s="476" t="n"/>
      <c r="O60" s="479" t="n">
        <v>0.1017</v>
      </c>
      <c r="P60" s="479" t="n">
        <v>0.3102</v>
      </c>
      <c r="Q60" s="476" t="n"/>
      <c r="R60" s="476" t="n"/>
      <c r="S60" s="476" t="n"/>
      <c r="T60" s="476" t="n"/>
      <c r="U60" s="476" t="n"/>
      <c r="V60" s="476" t="n"/>
      <c r="W60" s="476" t="n"/>
      <c r="X60" s="476" t="n"/>
      <c r="Y60" s="476" t="n"/>
      <c r="Z60" s="476" t="n"/>
      <c r="AA60" s="476" t="n"/>
      <c r="AB60" s="476" t="n"/>
      <c r="AC60" s="479" t="n">
        <v>0.3353</v>
      </c>
      <c r="AD60" s="476" t="n"/>
      <c r="AE60" s="476" t="n"/>
      <c r="AF60" s="479" t="n">
        <v>0.3232</v>
      </c>
      <c r="AG60" s="476" t="n"/>
      <c r="AH60" s="479" t="n">
        <v>1.0704</v>
      </c>
      <c r="AI60" s="479" t="n">
        <v>2.9479</v>
      </c>
      <c r="AJ60" s="479" t="n">
        <v>4.0183</v>
      </c>
      <c r="AK60" s="476" t="n"/>
      <c r="AL60" s="476" t="n"/>
      <c r="AM60" s="477" t="inlineStr">
        <is>
          <t>NNN landlord expenses only; from AXG Whse Expenses PSF.xlsx</t>
        </is>
      </c>
    </row>
    <row r="61" ht="13.5" customHeight="1" s="545">
      <c r="A61" s="450" t="inlineStr">
        <is>
          <t>P027</t>
        </is>
      </c>
      <c r="B61" s="449" t="n">
        <v>407</v>
      </c>
      <c r="C61" s="450" t="inlineStr">
        <is>
          <t>R0132030</t>
        </is>
      </c>
      <c r="D61" s="468" t="inlineStr">
        <is>
          <t>Majestic Commercenter (R0132030)</t>
        </is>
      </c>
      <c r="E61" s="450" t="inlineStr">
        <is>
          <t>Commerce City</t>
        </is>
      </c>
      <c r="F61" s="450" t="inlineStr">
        <is>
          <t>CO</t>
        </is>
      </c>
      <c r="G61" s="450" t="inlineStr">
        <is>
          <t>Industrial</t>
        </is>
      </c>
      <c r="H61" s="468" t="inlineStr">
        <is>
          <t>Warehouse NNN</t>
        </is>
      </c>
      <c r="I61" s="480" t="n">
        <v>2001</v>
      </c>
      <c r="J61" s="480" t="n">
        <v>200094</v>
      </c>
      <c r="K61" s="480" t="n">
        <v>2021</v>
      </c>
      <c r="L61" s="450" t="n"/>
      <c r="M61" s="450" t="n"/>
      <c r="N61" s="450" t="n"/>
      <c r="O61" s="481" t="n">
        <v>0.07149999999999999</v>
      </c>
      <c r="P61" s="481" t="n">
        <v>0.2651</v>
      </c>
      <c r="Q61" s="450" t="n"/>
      <c r="R61" s="450" t="n"/>
      <c r="S61" s="450" t="n"/>
      <c r="T61" s="450" t="n"/>
      <c r="U61" s="450" t="n"/>
      <c r="V61" s="450" t="n"/>
      <c r="W61" s="450" t="n"/>
      <c r="X61" s="450" t="n"/>
      <c r="Y61" s="450" t="n"/>
      <c r="Z61" s="450" t="n"/>
      <c r="AA61" s="450" t="n"/>
      <c r="AB61" s="450" t="n"/>
      <c r="AC61" s="481" t="n">
        <v>0.49</v>
      </c>
      <c r="AD61" s="450" t="n"/>
      <c r="AE61" s="450" t="n"/>
      <c r="AF61" s="481" t="n">
        <v>0.3539</v>
      </c>
      <c r="AG61" s="450" t="n"/>
      <c r="AH61" s="481" t="n">
        <v>1.1805</v>
      </c>
      <c r="AI61" s="481" t="n">
        <v>2.8519</v>
      </c>
      <c r="AJ61" s="481" t="n">
        <v>4.0324</v>
      </c>
      <c r="AK61" s="450" t="n"/>
      <c r="AL61" s="450" t="n"/>
      <c r="AM61" s="468" t="inlineStr">
        <is>
          <t>NNN landlord expenses only; from AXG Whse Expenses PSF.xlsx (R0132030)</t>
        </is>
      </c>
    </row>
    <row r="62" ht="13.5" customHeight="1" s="545">
      <c r="A62" s="476" t="inlineStr">
        <is>
          <t>P027</t>
        </is>
      </c>
      <c r="B62" s="449" t="n">
        <v>407</v>
      </c>
      <c r="C62" s="476" t="inlineStr">
        <is>
          <t>R0132030</t>
        </is>
      </c>
      <c r="D62" s="477" t="inlineStr">
        <is>
          <t>Majestic Commercenter (R0132030)</t>
        </is>
      </c>
      <c r="E62" s="476" t="inlineStr">
        <is>
          <t>Commerce City</t>
        </is>
      </c>
      <c r="F62" s="476" t="inlineStr">
        <is>
          <t>CO</t>
        </is>
      </c>
      <c r="G62" s="476" t="inlineStr">
        <is>
          <t>Industrial</t>
        </is>
      </c>
      <c r="H62" s="477" t="inlineStr">
        <is>
          <t>Warehouse NNN</t>
        </is>
      </c>
      <c r="I62" s="478" t="n">
        <v>2001</v>
      </c>
      <c r="J62" s="478" t="n">
        <v>200094</v>
      </c>
      <c r="K62" s="478" t="n">
        <v>2022</v>
      </c>
      <c r="L62" s="476" t="n"/>
      <c r="M62" s="476" t="n"/>
      <c r="N62" s="476" t="n"/>
      <c r="O62" s="479" t="n">
        <v>0.0761</v>
      </c>
      <c r="P62" s="479" t="n">
        <v>0.2474</v>
      </c>
      <c r="Q62" s="476" t="n"/>
      <c r="R62" s="476" t="n"/>
      <c r="S62" s="476" t="n"/>
      <c r="T62" s="476" t="n"/>
      <c r="U62" s="476" t="n"/>
      <c r="V62" s="476" t="n"/>
      <c r="W62" s="476" t="n"/>
      <c r="X62" s="476" t="n"/>
      <c r="Y62" s="476" t="n"/>
      <c r="Z62" s="476" t="n"/>
      <c r="AA62" s="476" t="n"/>
      <c r="AB62" s="476" t="n"/>
      <c r="AC62" s="479" t="n">
        <v>0.49</v>
      </c>
      <c r="AD62" s="476" t="n"/>
      <c r="AE62" s="476" t="n"/>
      <c r="AF62" s="479" t="n">
        <v>0.3539</v>
      </c>
      <c r="AG62" s="476" t="n"/>
      <c r="AH62" s="479" t="n">
        <v>1.1674</v>
      </c>
      <c r="AI62" s="479" t="n">
        <v>2.2575</v>
      </c>
      <c r="AJ62" s="479" t="n">
        <v>3.4249</v>
      </c>
      <c r="AK62" s="476" t="n"/>
      <c r="AL62" s="476" t="n"/>
      <c r="AM62" s="477" t="inlineStr">
        <is>
          <t>NNN landlord expenses only; from AXG Whse Expenses PSF.xlsx (R0132030)</t>
        </is>
      </c>
    </row>
    <row r="63" ht="13.5" customHeight="1" s="545">
      <c r="A63" s="450" t="inlineStr">
        <is>
          <t>P028</t>
        </is>
      </c>
      <c r="B63" s="449" t="n">
        <v>407</v>
      </c>
      <c r="C63" s="450" t="inlineStr">
        <is>
          <t>R0084040</t>
        </is>
      </c>
      <c r="D63" s="468" t="inlineStr">
        <is>
          <t>Majestic Commercenter (R0084040)</t>
        </is>
      </c>
      <c r="E63" s="450" t="inlineStr">
        <is>
          <t>Commerce City</t>
        </is>
      </c>
      <c r="F63" s="450" t="inlineStr">
        <is>
          <t>CO</t>
        </is>
      </c>
      <c r="G63" s="450" t="inlineStr">
        <is>
          <t>Industrial</t>
        </is>
      </c>
      <c r="H63" s="468" t="inlineStr">
        <is>
          <t>Warehouse NNN</t>
        </is>
      </c>
      <c r="I63" s="480" t="n">
        <v>1997</v>
      </c>
      <c r="J63" s="480" t="n">
        <v>177736</v>
      </c>
      <c r="K63" s="480" t="n">
        <v>2021</v>
      </c>
      <c r="L63" s="450" t="n"/>
      <c r="M63" s="450" t="n"/>
      <c r="N63" s="450" t="n"/>
      <c r="O63" s="481" t="n">
        <v>0.0736</v>
      </c>
      <c r="P63" s="481" t="n">
        <v>0.3114</v>
      </c>
      <c r="Q63" s="450" t="n"/>
      <c r="R63" s="450" t="n"/>
      <c r="S63" s="450" t="n"/>
      <c r="T63" s="450" t="n"/>
      <c r="U63" s="450" t="n"/>
      <c r="V63" s="450" t="n"/>
      <c r="W63" s="450" t="n"/>
      <c r="X63" s="450" t="n"/>
      <c r="Y63" s="450" t="n"/>
      <c r="Z63" s="450" t="n"/>
      <c r="AA63" s="450" t="n"/>
      <c r="AB63" s="450" t="n"/>
      <c r="AC63" s="481" t="n">
        <v>0.552</v>
      </c>
      <c r="AD63" s="450" t="n"/>
      <c r="AE63" s="450" t="n"/>
      <c r="AF63" s="481" t="n">
        <v>0.2892</v>
      </c>
      <c r="AG63" s="450" t="n"/>
      <c r="AH63" s="481" t="n">
        <v>1.2262</v>
      </c>
      <c r="AI63" s="481" t="n">
        <v>2.7188</v>
      </c>
      <c r="AJ63" s="481" t="n">
        <v>3.945</v>
      </c>
      <c r="AK63" s="450" t="n"/>
      <c r="AL63" s="450" t="n"/>
      <c r="AM63" s="468" t="inlineStr">
        <is>
          <t>NNN landlord expenses only; from AXG Whse Expenses PSF.xlsx (R0084040)</t>
        </is>
      </c>
    </row>
    <row r="64" ht="13.5" customHeight="1" s="545">
      <c r="A64" s="476" t="inlineStr">
        <is>
          <t>P028</t>
        </is>
      </c>
      <c r="B64" s="449" t="n">
        <v>407</v>
      </c>
      <c r="C64" s="476" t="inlineStr">
        <is>
          <t>R0084040</t>
        </is>
      </c>
      <c r="D64" s="477" t="inlineStr">
        <is>
          <t>Majestic Commercenter (R0084040)</t>
        </is>
      </c>
      <c r="E64" s="476" t="inlineStr">
        <is>
          <t>Commerce City</t>
        </is>
      </c>
      <c r="F64" s="476" t="inlineStr">
        <is>
          <t>CO</t>
        </is>
      </c>
      <c r="G64" s="476" t="inlineStr">
        <is>
          <t>Industrial</t>
        </is>
      </c>
      <c r="H64" s="477" t="inlineStr">
        <is>
          <t>Warehouse NNN</t>
        </is>
      </c>
      <c r="I64" s="478" t="n">
        <v>1997</v>
      </c>
      <c r="J64" s="478" t="n">
        <v>177736</v>
      </c>
      <c r="K64" s="478" t="n">
        <v>2022</v>
      </c>
      <c r="L64" s="476" t="n"/>
      <c r="M64" s="476" t="n"/>
      <c r="N64" s="476" t="n"/>
      <c r="O64" s="479" t="n">
        <v>0.07829999999999999</v>
      </c>
      <c r="P64" s="479" t="n">
        <v>0.3114</v>
      </c>
      <c r="Q64" s="476" t="n"/>
      <c r="R64" s="476" t="n"/>
      <c r="S64" s="476" t="n"/>
      <c r="T64" s="476" t="n"/>
      <c r="U64" s="476" t="n"/>
      <c r="V64" s="476" t="n"/>
      <c r="W64" s="476" t="n"/>
      <c r="X64" s="476" t="n"/>
      <c r="Y64" s="476" t="n"/>
      <c r="Z64" s="476" t="n"/>
      <c r="AA64" s="476" t="n"/>
      <c r="AB64" s="476" t="n"/>
      <c r="AC64" s="479" t="n">
        <v>0.6591</v>
      </c>
      <c r="AD64" s="476" t="n"/>
      <c r="AE64" s="476" t="n"/>
      <c r="AF64" s="479" t="n">
        <v>0.3559</v>
      </c>
      <c r="AG64" s="476" t="n"/>
      <c r="AH64" s="479" t="n">
        <v>1.4047</v>
      </c>
      <c r="AI64" s="479" t="n">
        <v>2.8511</v>
      </c>
      <c r="AJ64" s="479" t="n">
        <v>4.2558</v>
      </c>
      <c r="AK64" s="476" t="n"/>
      <c r="AL64" s="476" t="n"/>
      <c r="AM64" s="477" t="inlineStr">
        <is>
          <t>NNN landlord expenses only; from AXG Whse Expenses PSF.xlsx (R0084040)</t>
        </is>
      </c>
    </row>
    <row r="65" ht="13.5" customHeight="1" s="545">
      <c r="A65" s="450" t="inlineStr">
        <is>
          <t>P029</t>
        </is>
      </c>
      <c r="B65" s="449" t="n">
        <v>407</v>
      </c>
      <c r="C65" s="450" t="inlineStr">
        <is>
          <t>R0084041</t>
        </is>
      </c>
      <c r="D65" s="468" t="inlineStr">
        <is>
          <t>Majestic Commercenter (R0084041)</t>
        </is>
      </c>
      <c r="E65" s="450" t="inlineStr">
        <is>
          <t>Commerce City</t>
        </is>
      </c>
      <c r="F65" s="450" t="inlineStr">
        <is>
          <t>CO</t>
        </is>
      </c>
      <c r="G65" s="450" t="inlineStr">
        <is>
          <t>Industrial</t>
        </is>
      </c>
      <c r="H65" s="468" t="inlineStr">
        <is>
          <t>Warehouse NNN</t>
        </is>
      </c>
      <c r="I65" s="480" t="n">
        <v>1997</v>
      </c>
      <c r="J65" s="480" t="n">
        <v>200371</v>
      </c>
      <c r="K65" s="480" t="n">
        <v>2021</v>
      </c>
      <c r="L65" s="450" t="n"/>
      <c r="M65" s="450" t="n"/>
      <c r="N65" s="450" t="n"/>
      <c r="O65" s="481" t="n">
        <v>0.06859999999999999</v>
      </c>
      <c r="P65" s="481" t="n">
        <v>0.1605</v>
      </c>
      <c r="Q65" s="450" t="n"/>
      <c r="R65" s="450" t="n"/>
      <c r="S65" s="450" t="n"/>
      <c r="T65" s="450" t="n"/>
      <c r="U65" s="450" t="n"/>
      <c r="V65" s="450" t="n"/>
      <c r="W65" s="450" t="n"/>
      <c r="X65" s="450" t="n"/>
      <c r="Y65" s="450" t="n"/>
      <c r="Z65" s="450" t="n"/>
      <c r="AA65" s="450" t="n"/>
      <c r="AB65" s="450" t="n"/>
      <c r="AC65" s="481" t="n">
        <v>0.5869</v>
      </c>
      <c r="AD65" s="450" t="n"/>
      <c r="AE65" s="450" t="n"/>
      <c r="AF65" s="450" t="n"/>
      <c r="AG65" s="450" t="n"/>
      <c r="AH65" s="481" t="n">
        <v>0.8159999999999999</v>
      </c>
      <c r="AI65" s="481" t="n">
        <v>2.4919</v>
      </c>
      <c r="AJ65" s="481" t="n">
        <v>3.3079</v>
      </c>
      <c r="AK65" s="450" t="n"/>
      <c r="AL65" s="450" t="n"/>
      <c r="AM65" s="468" t="inlineStr">
        <is>
          <t>NNN landlord expenses only; from AXG Whse Expenses PSF.xlsx (R0084041)</t>
        </is>
      </c>
    </row>
    <row r="66" ht="13.5" customHeight="1" s="545">
      <c r="A66" s="476" t="inlineStr">
        <is>
          <t>P029</t>
        </is>
      </c>
      <c r="B66" s="449" t="n">
        <v>407</v>
      </c>
      <c r="C66" s="476" t="inlineStr">
        <is>
          <t>R0084041</t>
        </is>
      </c>
      <c r="D66" s="477" t="inlineStr">
        <is>
          <t>Majestic Commercenter (R0084041)</t>
        </is>
      </c>
      <c r="E66" s="476" t="inlineStr">
        <is>
          <t>Commerce City</t>
        </is>
      </c>
      <c r="F66" s="476" t="inlineStr">
        <is>
          <t>CO</t>
        </is>
      </c>
      <c r="G66" s="476" t="inlineStr">
        <is>
          <t>Industrial</t>
        </is>
      </c>
      <c r="H66" s="477" t="inlineStr">
        <is>
          <t>Warehouse NNN</t>
        </is>
      </c>
      <c r="I66" s="478" t="n">
        <v>1997</v>
      </c>
      <c r="J66" s="478" t="n">
        <v>200371</v>
      </c>
      <c r="K66" s="478" t="n">
        <v>2022</v>
      </c>
      <c r="L66" s="476" t="n"/>
      <c r="M66" s="476" t="n"/>
      <c r="N66" s="476" t="n"/>
      <c r="O66" s="479" t="n">
        <v>0.073</v>
      </c>
      <c r="P66" s="479" t="n">
        <v>0.1496</v>
      </c>
      <c r="Q66" s="476" t="n"/>
      <c r="R66" s="476" t="n"/>
      <c r="S66" s="476" t="n"/>
      <c r="T66" s="476" t="n"/>
      <c r="U66" s="476" t="n"/>
      <c r="V66" s="476" t="n"/>
      <c r="W66" s="476" t="n"/>
      <c r="X66" s="476" t="n"/>
      <c r="Y66" s="476" t="n"/>
      <c r="Z66" s="476" t="n"/>
      <c r="AA66" s="476" t="n"/>
      <c r="AB66" s="476" t="n"/>
      <c r="AC66" s="479" t="n">
        <v>0.5187</v>
      </c>
      <c r="AD66" s="476" t="n"/>
      <c r="AE66" s="476" t="n"/>
      <c r="AF66" s="476" t="n"/>
      <c r="AG66" s="476" t="n"/>
      <c r="AH66" s="479" t="n">
        <v>0.7413</v>
      </c>
      <c r="AI66" s="479" t="n">
        <v>2.5893</v>
      </c>
      <c r="AJ66" s="479" t="n">
        <v>3.3306</v>
      </c>
      <c r="AK66" s="476" t="n"/>
      <c r="AL66" s="476" t="n"/>
      <c r="AM66" s="477" t="inlineStr">
        <is>
          <t>NNN landlord expenses only; from AXG Whse Expenses PSF.xlsx (R0084041)</t>
        </is>
      </c>
    </row>
    <row r="67" ht="13.5" customHeight="1" s="545">
      <c r="A67" s="450" t="inlineStr">
        <is>
          <t>P030</t>
        </is>
      </c>
      <c r="B67" s="449" t="n">
        <v>584</v>
      </c>
      <c r="C67" s="450" t="inlineStr">
        <is>
          <t>R0217015</t>
        </is>
      </c>
      <c r="D67" s="468" t="inlineStr">
        <is>
          <t>Majestic Commercenter (R0217015)</t>
        </is>
      </c>
      <c r="E67" s="450" t="inlineStr">
        <is>
          <t>Commerce City</t>
        </is>
      </c>
      <c r="F67" s="450" t="inlineStr">
        <is>
          <t>CO</t>
        </is>
      </c>
      <c r="G67" s="450" t="inlineStr">
        <is>
          <t>Industrial</t>
        </is>
      </c>
      <c r="H67" s="468" t="inlineStr">
        <is>
          <t>Warehouse NNN</t>
        </is>
      </c>
      <c r="I67" s="480" t="n">
        <v>2021</v>
      </c>
      <c r="J67" s="480" t="n">
        <v>548510</v>
      </c>
      <c r="K67" s="480" t="n">
        <v>2022</v>
      </c>
      <c r="L67" s="450" t="n"/>
      <c r="M67" s="450" t="n"/>
      <c r="N67" s="450" t="n"/>
      <c r="O67" s="481" t="n">
        <v>0.1167</v>
      </c>
      <c r="P67" s="481" t="n">
        <v>0.1062</v>
      </c>
      <c r="Q67" s="450" t="n"/>
      <c r="R67" s="450" t="n"/>
      <c r="S67" s="450" t="n"/>
      <c r="T67" s="450" t="n"/>
      <c r="U67" s="450" t="n"/>
      <c r="V67" s="450" t="n"/>
      <c r="W67" s="450" t="n"/>
      <c r="X67" s="450" t="n"/>
      <c r="Y67" s="450" t="n"/>
      <c r="Z67" s="450" t="n"/>
      <c r="AA67" s="450" t="n"/>
      <c r="AB67" s="450" t="n"/>
      <c r="AC67" s="481" t="n">
        <v>0.1767</v>
      </c>
      <c r="AD67" s="450" t="n"/>
      <c r="AE67" s="450" t="n"/>
      <c r="AF67" s="481" t="n">
        <v>0.038</v>
      </c>
      <c r="AG67" s="450" t="n"/>
      <c r="AH67" s="481" t="n">
        <v>0.4376</v>
      </c>
      <c r="AI67" s="481" t="n">
        <v>2.271</v>
      </c>
      <c r="AJ67" s="481" t="n">
        <v>2.7087</v>
      </c>
      <c r="AK67" s="450" t="n"/>
      <c r="AL67" s="450" t="n"/>
      <c r="AM67" s="468" t="inlineStr">
        <is>
          <t>NNN landlord expenses only; from AXG Whse Expenses PSF.xlsx (R0217015)</t>
        </is>
      </c>
    </row>
    <row r="68" ht="13.5" customHeight="1" s="545">
      <c r="A68" s="476" t="inlineStr">
        <is>
          <t>P031</t>
        </is>
      </c>
      <c r="B68" s="449" t="n">
        <v>407</v>
      </c>
      <c r="C68" s="476" t="inlineStr">
        <is>
          <t>R0111562</t>
        </is>
      </c>
      <c r="D68" s="477" t="inlineStr">
        <is>
          <t>Majestic Commercenter (R0111562)</t>
        </is>
      </c>
      <c r="E68" s="476" t="inlineStr">
        <is>
          <t>Commerce City</t>
        </is>
      </c>
      <c r="F68" s="476" t="inlineStr">
        <is>
          <t>CO</t>
        </is>
      </c>
      <c r="G68" s="476" t="inlineStr">
        <is>
          <t>Industrial</t>
        </is>
      </c>
      <c r="H68" s="477" t="inlineStr">
        <is>
          <t>Warehouse NNN</t>
        </is>
      </c>
      <c r="I68" s="478" t="n">
        <v>2000</v>
      </c>
      <c r="J68" s="478" t="n">
        <v>149175</v>
      </c>
      <c r="K68" s="478" t="n">
        <v>2019</v>
      </c>
      <c r="L68" s="476" t="n"/>
      <c r="M68" s="476" t="n"/>
      <c r="N68" s="476" t="n"/>
      <c r="O68" s="479" t="n">
        <v>0.0437</v>
      </c>
      <c r="P68" s="479" t="n">
        <v>0.1522</v>
      </c>
      <c r="Q68" s="476" t="n"/>
      <c r="R68" s="476" t="n"/>
      <c r="S68" s="476" t="n"/>
      <c r="T68" s="476" t="n"/>
      <c r="U68" s="476" t="n"/>
      <c r="V68" s="476" t="n"/>
      <c r="W68" s="476" t="n"/>
      <c r="X68" s="476" t="n"/>
      <c r="Y68" s="476" t="n"/>
      <c r="Z68" s="476" t="n"/>
      <c r="AA68" s="476" t="n"/>
      <c r="AB68" s="476" t="n"/>
      <c r="AC68" s="479" t="n">
        <v>0.6822</v>
      </c>
      <c r="AD68" s="476" t="n"/>
      <c r="AE68" s="476" t="n"/>
      <c r="AF68" s="476" t="n"/>
      <c r="AG68" s="476" t="n"/>
      <c r="AH68" s="479" t="n">
        <v>0.8781</v>
      </c>
      <c r="AI68" s="479" t="n">
        <v>1.8902</v>
      </c>
      <c r="AJ68" s="479" t="n">
        <v>2.7683</v>
      </c>
      <c r="AK68" s="476" t="n"/>
      <c r="AL68" s="476" t="n"/>
      <c r="AM68" s="477" t="inlineStr">
        <is>
          <t>NNN landlord expenses only; from AXG Whse Expenses PSF.xlsx (R0111562)</t>
        </is>
      </c>
    </row>
    <row r="69" ht="13.5" customHeight="1" s="545">
      <c r="A69" s="450" t="inlineStr">
        <is>
          <t>P031</t>
        </is>
      </c>
      <c r="B69" s="449" t="n">
        <v>407</v>
      </c>
      <c r="C69" s="450" t="inlineStr">
        <is>
          <t>R0111562</t>
        </is>
      </c>
      <c r="D69" s="468" t="inlineStr">
        <is>
          <t>Majestic Commercenter (R0111562)</t>
        </is>
      </c>
      <c r="E69" s="450" t="inlineStr">
        <is>
          <t>Commerce City</t>
        </is>
      </c>
      <c r="F69" s="450" t="inlineStr">
        <is>
          <t>CO</t>
        </is>
      </c>
      <c r="G69" s="450" t="inlineStr">
        <is>
          <t>Industrial</t>
        </is>
      </c>
      <c r="H69" s="468" t="inlineStr">
        <is>
          <t>Warehouse NNN</t>
        </is>
      </c>
      <c r="I69" s="480" t="n">
        <v>2000</v>
      </c>
      <c r="J69" s="480" t="n">
        <v>149175</v>
      </c>
      <c r="K69" s="480" t="n">
        <v>2020</v>
      </c>
      <c r="L69" s="450" t="n"/>
      <c r="M69" s="450" t="n"/>
      <c r="N69" s="450" t="n"/>
      <c r="O69" s="481" t="n">
        <v>0.0499</v>
      </c>
      <c r="P69" s="481" t="n">
        <v>0.0264</v>
      </c>
      <c r="Q69" s="450" t="n"/>
      <c r="R69" s="450" t="n"/>
      <c r="S69" s="450" t="n"/>
      <c r="T69" s="450" t="n"/>
      <c r="U69" s="450" t="n"/>
      <c r="V69" s="450" t="n"/>
      <c r="W69" s="450" t="n"/>
      <c r="X69" s="450" t="n"/>
      <c r="Y69" s="450" t="n"/>
      <c r="Z69" s="450" t="n"/>
      <c r="AA69" s="450" t="n"/>
      <c r="AB69" s="450" t="n"/>
      <c r="AC69" s="481" t="n">
        <v>0.1604</v>
      </c>
      <c r="AD69" s="450" t="n"/>
      <c r="AE69" s="450" t="n"/>
      <c r="AF69" s="481" t="n">
        <v>1.107</v>
      </c>
      <c r="AG69" s="450" t="n"/>
      <c r="AH69" s="481" t="n">
        <v>1.3438</v>
      </c>
      <c r="AI69" s="481" t="n">
        <v>1.897</v>
      </c>
      <c r="AJ69" s="481" t="n">
        <v>3.2408</v>
      </c>
      <c r="AK69" s="450" t="n"/>
      <c r="AL69" s="450" t="n"/>
      <c r="AM69" s="468" t="inlineStr">
        <is>
          <t>NNN landlord expenses only; from AXG Whse Expenses PSF.xlsx (R0111562)</t>
        </is>
      </c>
    </row>
    <row r="70" ht="13.5" customHeight="1" s="545">
      <c r="A70" s="476" t="inlineStr">
        <is>
          <t>P032</t>
        </is>
      </c>
      <c r="B70" s="449" t="n">
        <v>407</v>
      </c>
      <c r="C70" s="476" t="inlineStr">
        <is>
          <t>R0118875</t>
        </is>
      </c>
      <c r="D70" s="477" t="inlineStr">
        <is>
          <t>Majestic Commercenter (R0118875)</t>
        </is>
      </c>
      <c r="E70" s="476" t="inlineStr">
        <is>
          <t>Commerce City</t>
        </is>
      </c>
      <c r="F70" s="476" t="inlineStr">
        <is>
          <t>CO</t>
        </is>
      </c>
      <c r="G70" s="476" t="inlineStr">
        <is>
          <t>Industrial</t>
        </is>
      </c>
      <c r="H70" s="477" t="inlineStr">
        <is>
          <t>Warehouse NNN</t>
        </is>
      </c>
      <c r="I70" s="478" t="n">
        <v>1999</v>
      </c>
      <c r="J70" s="478" t="n">
        <v>279640</v>
      </c>
      <c r="K70" s="478" t="n">
        <v>2021</v>
      </c>
      <c r="L70" s="476" t="n"/>
      <c r="M70" s="476" t="n"/>
      <c r="N70" s="476" t="n"/>
      <c r="O70" s="479" t="n">
        <v>0.0881</v>
      </c>
      <c r="P70" s="479" t="n">
        <v>0.2248</v>
      </c>
      <c r="Q70" s="476" t="n"/>
      <c r="R70" s="476" t="n"/>
      <c r="S70" s="476" t="n"/>
      <c r="T70" s="476" t="n"/>
      <c r="U70" s="476" t="n"/>
      <c r="V70" s="476" t="n"/>
      <c r="W70" s="476" t="n"/>
      <c r="X70" s="476" t="n"/>
      <c r="Y70" s="476" t="n"/>
      <c r="Z70" s="476" t="n"/>
      <c r="AA70" s="476" t="n"/>
      <c r="AB70" s="476" t="n"/>
      <c r="AC70" s="479" t="n">
        <v>0.3589</v>
      </c>
      <c r="AD70" s="476" t="n"/>
      <c r="AE70" s="476" t="n"/>
      <c r="AF70" s="476" t="n"/>
      <c r="AG70" s="476" t="n"/>
      <c r="AH70" s="479" t="n">
        <v>0.6718</v>
      </c>
      <c r="AI70" s="479" t="n">
        <v>2.2918</v>
      </c>
      <c r="AJ70" s="479" t="n">
        <v>2.9636</v>
      </c>
      <c r="AK70" s="476" t="n"/>
      <c r="AL70" s="476" t="n"/>
      <c r="AM70" s="477" t="inlineStr">
        <is>
          <t>NNN landlord expenses only; from AXG Whse Expenses PSF.xlsx (R0118875)</t>
        </is>
      </c>
    </row>
    <row r="71" ht="13.5" customHeight="1" s="545">
      <c r="A71" s="450" t="inlineStr">
        <is>
          <t>P032</t>
        </is>
      </c>
      <c r="B71" s="449" t="n">
        <v>407</v>
      </c>
      <c r="C71" s="450" t="inlineStr">
        <is>
          <t>R0118875</t>
        </is>
      </c>
      <c r="D71" s="468" t="inlineStr">
        <is>
          <t>Majestic Commercenter (R0118875)</t>
        </is>
      </c>
      <c r="E71" s="450" t="inlineStr">
        <is>
          <t>Commerce City</t>
        </is>
      </c>
      <c r="F71" s="450" t="inlineStr">
        <is>
          <t>CO</t>
        </is>
      </c>
      <c r="G71" s="450" t="inlineStr">
        <is>
          <t>Industrial</t>
        </is>
      </c>
      <c r="H71" s="468" t="inlineStr">
        <is>
          <t>Warehouse NNN</t>
        </is>
      </c>
      <c r="I71" s="480" t="n">
        <v>1999</v>
      </c>
      <c r="J71" s="480" t="n">
        <v>279640</v>
      </c>
      <c r="K71" s="480" t="n">
        <v>2022</v>
      </c>
      <c r="L71" s="450" t="n"/>
      <c r="M71" s="450" t="n"/>
      <c r="N71" s="450" t="n"/>
      <c r="O71" s="481" t="n">
        <v>0.09370000000000001</v>
      </c>
      <c r="P71" s="481" t="n">
        <v>0.2268</v>
      </c>
      <c r="Q71" s="450" t="n"/>
      <c r="R71" s="450" t="n"/>
      <c r="S71" s="450" t="n"/>
      <c r="T71" s="450" t="n"/>
      <c r="U71" s="450" t="n"/>
      <c r="V71" s="450" t="n"/>
      <c r="W71" s="450" t="n"/>
      <c r="X71" s="450" t="n"/>
      <c r="Y71" s="450" t="n"/>
      <c r="Z71" s="450" t="n"/>
      <c r="AA71" s="450" t="n"/>
      <c r="AB71" s="450" t="n"/>
      <c r="AC71" s="481" t="n">
        <v>0.06510000000000001</v>
      </c>
      <c r="AD71" s="450" t="n"/>
      <c r="AE71" s="450" t="n"/>
      <c r="AF71" s="450" t="n"/>
      <c r="AG71" s="450" t="n"/>
      <c r="AH71" s="481" t="n">
        <v>0.3856</v>
      </c>
      <c r="AI71" s="481" t="n">
        <v>2.3497</v>
      </c>
      <c r="AJ71" s="481" t="n">
        <v>2.7353</v>
      </c>
      <c r="AK71" s="450" t="n"/>
      <c r="AL71" s="450" t="n"/>
      <c r="AM71" s="468" t="inlineStr">
        <is>
          <t>NNN landlord expenses only; from AXG Whse Expenses PSF.xlsx (R0118875)</t>
        </is>
      </c>
    </row>
    <row r="72" ht="13.5" customHeight="1" s="545">
      <c r="A72" s="476" t="inlineStr">
        <is>
          <t>P033</t>
        </is>
      </c>
      <c r="B72" s="449" t="n">
        <v>407</v>
      </c>
      <c r="C72" s="476" t="inlineStr">
        <is>
          <t>R0132031</t>
        </is>
      </c>
      <c r="D72" s="477" t="inlineStr">
        <is>
          <t>Majestic Commercenter (R0132031)</t>
        </is>
      </c>
      <c r="E72" s="476" t="inlineStr">
        <is>
          <t>Commerce City</t>
        </is>
      </c>
      <c r="F72" s="476" t="inlineStr">
        <is>
          <t>CO</t>
        </is>
      </c>
      <c r="G72" s="476" t="inlineStr">
        <is>
          <t>Industrial</t>
        </is>
      </c>
      <c r="H72" s="477" t="inlineStr">
        <is>
          <t>Warehouse NNN</t>
        </is>
      </c>
      <c r="I72" s="478" t="n">
        <v>2002</v>
      </c>
      <c r="J72" s="478" t="n">
        <v>280098</v>
      </c>
      <c r="K72" s="478" t="n">
        <v>2021</v>
      </c>
      <c r="L72" s="476" t="n"/>
      <c r="M72" s="476" t="n"/>
      <c r="N72" s="476" t="n"/>
      <c r="O72" s="479" t="n">
        <v>0.0713</v>
      </c>
      <c r="P72" s="479" t="n">
        <v>0.231</v>
      </c>
      <c r="Q72" s="476" t="n"/>
      <c r="R72" s="476" t="n"/>
      <c r="S72" s="476" t="n"/>
      <c r="T72" s="476" t="n"/>
      <c r="U72" s="476" t="n"/>
      <c r="V72" s="476" t="n"/>
      <c r="W72" s="476" t="n"/>
      <c r="X72" s="476" t="n"/>
      <c r="Y72" s="476" t="n"/>
      <c r="Z72" s="476" t="n"/>
      <c r="AA72" s="476" t="n"/>
      <c r="AB72" s="476" t="n"/>
      <c r="AC72" s="479" t="n">
        <v>0.2633</v>
      </c>
      <c r="AD72" s="476" t="n"/>
      <c r="AE72" s="476" t="n"/>
      <c r="AF72" s="479" t="n">
        <v>0.3067</v>
      </c>
      <c r="AG72" s="476" t="n"/>
      <c r="AH72" s="479" t="n">
        <v>0.8723</v>
      </c>
      <c r="AI72" s="479" t="n">
        <v>2.2816</v>
      </c>
      <c r="AJ72" s="479" t="n">
        <v>3.1539</v>
      </c>
      <c r="AK72" s="476" t="n"/>
      <c r="AL72" s="476" t="n"/>
      <c r="AM72" s="477" t="inlineStr">
        <is>
          <t>NNN landlord expenses only; from AXG Whse Expenses PSF.xlsx (R0132031)</t>
        </is>
      </c>
    </row>
    <row r="73" ht="13.5" customHeight="1" s="545">
      <c r="A73" s="450" t="inlineStr">
        <is>
          <t>P033</t>
        </is>
      </c>
      <c r="B73" s="449" t="n">
        <v>407</v>
      </c>
      <c r="C73" s="450" t="inlineStr">
        <is>
          <t>R0132031</t>
        </is>
      </c>
      <c r="D73" s="468" t="inlineStr">
        <is>
          <t>Majestic Commercenter (R0132031)</t>
        </is>
      </c>
      <c r="E73" s="450" t="inlineStr">
        <is>
          <t>Commerce City</t>
        </is>
      </c>
      <c r="F73" s="450" t="inlineStr">
        <is>
          <t>CO</t>
        </is>
      </c>
      <c r="G73" s="450" t="inlineStr">
        <is>
          <t>Industrial</t>
        </is>
      </c>
      <c r="H73" s="468" t="inlineStr">
        <is>
          <t>Warehouse NNN</t>
        </is>
      </c>
      <c r="I73" s="480" t="n">
        <v>2002</v>
      </c>
      <c r="J73" s="480" t="n">
        <v>280098</v>
      </c>
      <c r="K73" s="480" t="n">
        <v>2022</v>
      </c>
      <c r="L73" s="450" t="n"/>
      <c r="M73" s="450" t="n"/>
      <c r="N73" s="450" t="n"/>
      <c r="O73" s="481" t="n">
        <v>0.0759</v>
      </c>
      <c r="P73" s="481" t="n">
        <v>0.2109</v>
      </c>
      <c r="Q73" s="450" t="n"/>
      <c r="R73" s="450" t="n"/>
      <c r="S73" s="450" t="n"/>
      <c r="T73" s="450" t="n"/>
      <c r="U73" s="450" t="n"/>
      <c r="V73" s="450" t="n"/>
      <c r="W73" s="450" t="n"/>
      <c r="X73" s="450" t="n"/>
      <c r="Y73" s="450" t="n"/>
      <c r="Z73" s="450" t="n"/>
      <c r="AA73" s="450" t="n"/>
      <c r="AB73" s="450" t="n"/>
      <c r="AC73" s="481" t="n">
        <v>0.4318</v>
      </c>
      <c r="AD73" s="450" t="n"/>
      <c r="AE73" s="450" t="n"/>
      <c r="AF73" s="481" t="n">
        <v>0.3384</v>
      </c>
      <c r="AG73" s="450" t="n"/>
      <c r="AH73" s="481" t="n">
        <v>1.057</v>
      </c>
      <c r="AI73" s="481" t="n">
        <v>2.3888</v>
      </c>
      <c r="AJ73" s="481" t="n">
        <v>3.4457</v>
      </c>
      <c r="AK73" s="450" t="n"/>
      <c r="AL73" s="450" t="n"/>
      <c r="AM73" s="468" t="inlineStr">
        <is>
          <t>NNN landlord expenses only; from AXG Whse Expenses PSF.xlsx (R0132031)</t>
        </is>
      </c>
    </row>
    <row r="74" ht="13.5" customHeight="1" s="545">
      <c r="A74" s="476" t="inlineStr">
        <is>
          <t>P034</t>
        </is>
      </c>
      <c r="B74" s="449" t="n">
        <v>407</v>
      </c>
      <c r="C74" s="476" t="inlineStr">
        <is>
          <t>R0172865</t>
        </is>
      </c>
      <c r="D74" s="477" t="inlineStr">
        <is>
          <t>Majestic Commercenter (R0172865)</t>
        </is>
      </c>
      <c r="E74" s="476" t="inlineStr">
        <is>
          <t>Commerce City</t>
        </is>
      </c>
      <c r="F74" s="476" t="inlineStr">
        <is>
          <t>CO</t>
        </is>
      </c>
      <c r="G74" s="476" t="inlineStr">
        <is>
          <t>Industrial</t>
        </is>
      </c>
      <c r="H74" s="477" t="inlineStr">
        <is>
          <t>Warehouse NNN</t>
        </is>
      </c>
      <c r="I74" s="478" t="n">
        <v>2008</v>
      </c>
      <c r="J74" s="478" t="n">
        <v>215461</v>
      </c>
      <c r="K74" s="478" t="n">
        <v>2021</v>
      </c>
      <c r="L74" s="476" t="n"/>
      <c r="M74" s="476" t="n"/>
      <c r="N74" s="476" t="n"/>
      <c r="O74" s="479" t="n">
        <v>0.0809</v>
      </c>
      <c r="P74" s="479" t="n">
        <v>0.3054</v>
      </c>
      <c r="Q74" s="476" t="n"/>
      <c r="R74" s="476" t="n"/>
      <c r="S74" s="476" t="n"/>
      <c r="T74" s="476" t="n"/>
      <c r="U74" s="476" t="n"/>
      <c r="V74" s="476" t="n"/>
      <c r="W74" s="476" t="n"/>
      <c r="X74" s="476" t="n"/>
      <c r="Y74" s="476" t="n"/>
      <c r="Z74" s="476" t="n"/>
      <c r="AA74" s="476" t="n"/>
      <c r="AB74" s="476" t="n"/>
      <c r="AC74" s="479" t="n">
        <v>0.4686</v>
      </c>
      <c r="AD74" s="476" t="n"/>
      <c r="AE74" s="476" t="n"/>
      <c r="AF74" s="479" t="n">
        <v>0.3395</v>
      </c>
      <c r="AG74" s="476" t="n"/>
      <c r="AH74" s="479" t="n">
        <v>1.1944</v>
      </c>
      <c r="AI74" s="479" t="n">
        <v>2.8499</v>
      </c>
      <c r="AJ74" s="479" t="n">
        <v>4.0443</v>
      </c>
      <c r="AK74" s="476" t="n"/>
      <c r="AL74" s="476" t="n"/>
      <c r="AM74" s="477" t="inlineStr">
        <is>
          <t>NNN landlord expenses only; from AXG Whse Expenses PSF.xlsx (R0172865)</t>
        </is>
      </c>
    </row>
    <row r="75" ht="13.5" customHeight="1" s="545">
      <c r="A75" s="450" t="inlineStr">
        <is>
          <t>P034</t>
        </is>
      </c>
      <c r="B75" s="449" t="n">
        <v>407</v>
      </c>
      <c r="C75" s="450" t="inlineStr">
        <is>
          <t>R0172865</t>
        </is>
      </c>
      <c r="D75" s="468" t="inlineStr">
        <is>
          <t>Majestic Commercenter (R0172865)</t>
        </is>
      </c>
      <c r="E75" s="450" t="inlineStr">
        <is>
          <t>Commerce City</t>
        </is>
      </c>
      <c r="F75" s="450" t="inlineStr">
        <is>
          <t>CO</t>
        </is>
      </c>
      <c r="G75" s="450" t="inlineStr">
        <is>
          <t>Industrial</t>
        </is>
      </c>
      <c r="H75" s="468" t="inlineStr">
        <is>
          <t>Warehouse NNN</t>
        </is>
      </c>
      <c r="I75" s="480" t="n">
        <v>2008</v>
      </c>
      <c r="J75" s="480" t="n">
        <v>215461</v>
      </c>
      <c r="K75" s="480" t="n">
        <v>2022</v>
      </c>
      <c r="L75" s="450" t="n"/>
      <c r="M75" s="450" t="n"/>
      <c r="N75" s="450" t="n"/>
      <c r="O75" s="481" t="n">
        <v>0.0852</v>
      </c>
      <c r="P75" s="481" t="n">
        <v>0.2898</v>
      </c>
      <c r="Q75" s="450" t="n"/>
      <c r="R75" s="450" t="n"/>
      <c r="S75" s="450" t="n"/>
      <c r="T75" s="450" t="n"/>
      <c r="U75" s="450" t="n"/>
      <c r="V75" s="450" t="n"/>
      <c r="W75" s="450" t="n"/>
      <c r="X75" s="450" t="n"/>
      <c r="Y75" s="450" t="n"/>
      <c r="Z75" s="450" t="n"/>
      <c r="AA75" s="450" t="n"/>
      <c r="AB75" s="450" t="n"/>
      <c r="AC75" s="481" t="n">
        <v>0.3409</v>
      </c>
      <c r="AD75" s="450" t="n"/>
      <c r="AE75" s="450" t="n"/>
      <c r="AF75" s="481" t="n">
        <v>0.348</v>
      </c>
      <c r="AG75" s="450" t="n"/>
      <c r="AH75" s="481" t="n">
        <v>1.0639</v>
      </c>
      <c r="AI75" s="481" t="n">
        <v>2.7419</v>
      </c>
      <c r="AJ75" s="481" t="n">
        <v>3.8058</v>
      </c>
      <c r="AK75" s="450" t="n"/>
      <c r="AL75" s="450" t="n"/>
      <c r="AM75" s="468" t="inlineStr">
        <is>
          <t>NNN landlord expenses only; from AXG Whse Expenses PSF.xlsx (R0172865)</t>
        </is>
      </c>
    </row>
    <row r="76" ht="13.5" customHeight="1" s="545">
      <c r="A76" s="476" t="inlineStr">
        <is>
          <t>P035</t>
        </is>
      </c>
      <c r="B76" s="449" t="n">
        <v>407</v>
      </c>
      <c r="C76" s="476" t="inlineStr">
        <is>
          <t>R0172867</t>
        </is>
      </c>
      <c r="D76" s="477" t="inlineStr">
        <is>
          <t>Majestic Commercenter (R0172867)</t>
        </is>
      </c>
      <c r="E76" s="476" t="inlineStr">
        <is>
          <t>Commerce City</t>
        </is>
      </c>
      <c r="F76" s="476" t="inlineStr">
        <is>
          <t>CO</t>
        </is>
      </c>
      <c r="G76" s="476" t="inlineStr">
        <is>
          <t>Industrial</t>
        </is>
      </c>
      <c r="H76" s="477" t="inlineStr">
        <is>
          <t>Warehouse NNN</t>
        </is>
      </c>
      <c r="I76" s="478" t="n">
        <v>2007</v>
      </c>
      <c r="J76" s="478" t="n">
        <v>215560</v>
      </c>
      <c r="K76" s="478" t="n">
        <v>2021</v>
      </c>
      <c r="L76" s="476" t="n"/>
      <c r="M76" s="476" t="n"/>
      <c r="N76" s="476" t="n"/>
      <c r="O76" s="479" t="n">
        <v>0.0975</v>
      </c>
      <c r="P76" s="479" t="n">
        <v>0.2429</v>
      </c>
      <c r="Q76" s="476" t="n"/>
      <c r="R76" s="476" t="n"/>
      <c r="S76" s="476" t="n"/>
      <c r="T76" s="476" t="n"/>
      <c r="U76" s="476" t="n"/>
      <c r="V76" s="476" t="n"/>
      <c r="W76" s="476" t="n"/>
      <c r="X76" s="476" t="n"/>
      <c r="Y76" s="476" t="n"/>
      <c r="Z76" s="476" t="n"/>
      <c r="AA76" s="476" t="n"/>
      <c r="AB76" s="476" t="n"/>
      <c r="AC76" s="479" t="n">
        <v>0.2979</v>
      </c>
      <c r="AD76" s="476" t="n"/>
      <c r="AE76" s="476" t="n"/>
      <c r="AF76" s="479" t="n">
        <v>0.3114</v>
      </c>
      <c r="AG76" s="476" t="n"/>
      <c r="AH76" s="479" t="n">
        <v>0.9497</v>
      </c>
      <c r="AI76" s="479" t="n">
        <v>2.4921</v>
      </c>
      <c r="AJ76" s="479" t="n">
        <v>3.4419</v>
      </c>
      <c r="AK76" s="476" t="n"/>
      <c r="AL76" s="476" t="n"/>
      <c r="AM76" s="477" t="inlineStr">
        <is>
          <t>NNN landlord expenses only; from AXG Whse Expenses PSF.xlsx (R0172867)</t>
        </is>
      </c>
    </row>
    <row r="77" ht="13.5" customHeight="1" s="545">
      <c r="A77" s="450" t="inlineStr">
        <is>
          <t>P035</t>
        </is>
      </c>
      <c r="B77" s="449" t="n">
        <v>407</v>
      </c>
      <c r="C77" s="450" t="inlineStr">
        <is>
          <t>R0172867</t>
        </is>
      </c>
      <c r="D77" s="468" t="inlineStr">
        <is>
          <t>Majestic Commercenter (R0172867)</t>
        </is>
      </c>
      <c r="E77" s="450" t="inlineStr">
        <is>
          <t>Commerce City</t>
        </is>
      </c>
      <c r="F77" s="450" t="inlineStr">
        <is>
          <t>CO</t>
        </is>
      </c>
      <c r="G77" s="450" t="inlineStr">
        <is>
          <t>Industrial</t>
        </is>
      </c>
      <c r="H77" s="468" t="inlineStr">
        <is>
          <t>Warehouse NNN</t>
        </is>
      </c>
      <c r="I77" s="480" t="n">
        <v>2007</v>
      </c>
      <c r="J77" s="480" t="n">
        <v>215560</v>
      </c>
      <c r="K77" s="480" t="n">
        <v>2022</v>
      </c>
      <c r="L77" s="450" t="n"/>
      <c r="M77" s="450" t="n"/>
      <c r="N77" s="450" t="n"/>
      <c r="O77" s="481" t="n">
        <v>0.1037</v>
      </c>
      <c r="P77" s="481" t="n">
        <v>0.2556</v>
      </c>
      <c r="Q77" s="450" t="n"/>
      <c r="R77" s="450" t="n"/>
      <c r="S77" s="450" t="n"/>
      <c r="T77" s="450" t="n"/>
      <c r="U77" s="450" t="n"/>
      <c r="V77" s="450" t="n"/>
      <c r="W77" s="450" t="n"/>
      <c r="X77" s="450" t="n"/>
      <c r="Y77" s="450" t="n"/>
      <c r="Z77" s="450" t="n"/>
      <c r="AA77" s="450" t="n"/>
      <c r="AB77" s="450" t="n"/>
      <c r="AC77" s="481" t="n">
        <v>0.3121</v>
      </c>
      <c r="AD77" s="450" t="n"/>
      <c r="AE77" s="450" t="n"/>
      <c r="AF77" s="481" t="n">
        <v>0.3342</v>
      </c>
      <c r="AG77" s="450" t="n"/>
      <c r="AH77" s="481" t="n">
        <v>1.0056</v>
      </c>
      <c r="AI77" s="481" t="n">
        <v>2.5896</v>
      </c>
      <c r="AJ77" s="481" t="n">
        <v>3.5952</v>
      </c>
      <c r="AK77" s="450" t="n"/>
      <c r="AL77" s="450" t="n"/>
      <c r="AM77" s="468" t="inlineStr">
        <is>
          <t>NNN landlord expenses only; from AXG Whse Expenses PSF.xlsx (R0172867)</t>
        </is>
      </c>
    </row>
    <row r="78" ht="13.5" customHeight="1" s="545">
      <c r="A78" s="476" t="inlineStr">
        <is>
          <t>P036</t>
        </is>
      </c>
      <c r="B78" s="449" t="n">
        <v>407</v>
      </c>
      <c r="C78" s="476" t="inlineStr">
        <is>
          <t>R0172868</t>
        </is>
      </c>
      <c r="D78" s="477" t="inlineStr">
        <is>
          <t>Majestic Commercenter (R0172868)</t>
        </is>
      </c>
      <c r="E78" s="476" t="inlineStr">
        <is>
          <t>Commerce City</t>
        </is>
      </c>
      <c r="F78" s="476" t="inlineStr">
        <is>
          <t>CO</t>
        </is>
      </c>
      <c r="G78" s="476" t="inlineStr">
        <is>
          <t>Industrial</t>
        </is>
      </c>
      <c r="H78" s="477" t="inlineStr">
        <is>
          <t>Warehouse NNN</t>
        </is>
      </c>
      <c r="I78" s="478" t="n">
        <v>2007</v>
      </c>
      <c r="J78" s="478" t="n">
        <v>202091</v>
      </c>
      <c r="K78" s="478" t="n">
        <v>2021</v>
      </c>
      <c r="L78" s="476" t="n"/>
      <c r="M78" s="476" t="n"/>
      <c r="N78" s="476" t="n"/>
      <c r="O78" s="479" t="n">
        <v>0.0863</v>
      </c>
      <c r="P78" s="479" t="n">
        <v>0.1541</v>
      </c>
      <c r="Q78" s="476" t="n"/>
      <c r="R78" s="476" t="n"/>
      <c r="S78" s="476" t="n"/>
      <c r="T78" s="476" t="n"/>
      <c r="U78" s="476" t="n"/>
      <c r="V78" s="476" t="n"/>
      <c r="W78" s="476" t="n"/>
      <c r="X78" s="476" t="n"/>
      <c r="Y78" s="476" t="n"/>
      <c r="Z78" s="476" t="n"/>
      <c r="AA78" s="476" t="n"/>
      <c r="AB78" s="476" t="n"/>
      <c r="AC78" s="479" t="n">
        <v>0.4114</v>
      </c>
      <c r="AD78" s="476" t="n"/>
      <c r="AE78" s="476" t="n"/>
      <c r="AF78" s="476" t="n"/>
      <c r="AG78" s="476" t="n"/>
      <c r="AH78" s="479" t="n">
        <v>0.6518</v>
      </c>
      <c r="AI78" s="479" t="n">
        <v>2.4692</v>
      </c>
      <c r="AJ78" s="479" t="n">
        <v>3.121</v>
      </c>
      <c r="AK78" s="476" t="n"/>
      <c r="AL78" s="476" t="n"/>
      <c r="AM78" s="477" t="inlineStr">
        <is>
          <t>NNN landlord expenses only; from AXG Whse Expenses PSF.xlsx (R0172868)</t>
        </is>
      </c>
    </row>
    <row r="79" ht="13.5" customHeight="1" s="545">
      <c r="A79" s="450" t="inlineStr">
        <is>
          <t>P036</t>
        </is>
      </c>
      <c r="B79" s="449" t="n">
        <v>407</v>
      </c>
      <c r="C79" s="450" t="inlineStr">
        <is>
          <t>R0172868</t>
        </is>
      </c>
      <c r="D79" s="468" t="inlineStr">
        <is>
          <t>Majestic Commercenter (R0172868)</t>
        </is>
      </c>
      <c r="E79" s="450" t="inlineStr">
        <is>
          <t>Commerce City</t>
        </is>
      </c>
      <c r="F79" s="450" t="inlineStr">
        <is>
          <t>CO</t>
        </is>
      </c>
      <c r="G79" s="450" t="inlineStr">
        <is>
          <t>Industrial</t>
        </is>
      </c>
      <c r="H79" s="468" t="inlineStr">
        <is>
          <t>Warehouse NNN</t>
        </is>
      </c>
      <c r="I79" s="480" t="n">
        <v>2007</v>
      </c>
      <c r="J79" s="480" t="n">
        <v>202091</v>
      </c>
      <c r="K79" s="480" t="n">
        <v>2022</v>
      </c>
      <c r="L79" s="450" t="n"/>
      <c r="M79" s="450" t="n"/>
      <c r="N79" s="450" t="n"/>
      <c r="O79" s="481" t="n">
        <v>0.09180000000000001</v>
      </c>
      <c r="P79" s="481" t="n">
        <v>0.1363</v>
      </c>
      <c r="Q79" s="450" t="n"/>
      <c r="R79" s="450" t="n"/>
      <c r="S79" s="450" t="n"/>
      <c r="T79" s="450" t="n"/>
      <c r="U79" s="450" t="n"/>
      <c r="V79" s="450" t="n"/>
      <c r="W79" s="450" t="n"/>
      <c r="X79" s="450" t="n"/>
      <c r="Y79" s="450" t="n"/>
      <c r="Z79" s="450" t="n"/>
      <c r="AA79" s="450" t="n"/>
      <c r="AB79" s="450" t="n"/>
      <c r="AC79" s="481" t="n">
        <v>0.3275</v>
      </c>
      <c r="AD79" s="450" t="n"/>
      <c r="AE79" s="450" t="n"/>
      <c r="AF79" s="450" t="n"/>
      <c r="AG79" s="450" t="n"/>
      <c r="AH79" s="481" t="n">
        <v>0.5556</v>
      </c>
      <c r="AI79" s="481" t="n">
        <v>2.5219</v>
      </c>
      <c r="AJ79" s="481" t="n">
        <v>3.0775</v>
      </c>
      <c r="AK79" s="450" t="n"/>
      <c r="AL79" s="450" t="n"/>
      <c r="AM79" s="468" t="inlineStr">
        <is>
          <t>NNN landlord expenses only; from AXG Whse Expenses PSF.xlsx (R0172868)</t>
        </is>
      </c>
    </row>
    <row r="80" ht="13.5" customHeight="1" s="545">
      <c r="A80" s="476" t="inlineStr">
        <is>
          <t>P037</t>
        </is>
      </c>
      <c r="B80" s="449" t="n">
        <v>407</v>
      </c>
      <c r="C80" s="476" t="inlineStr">
        <is>
          <t>R0145680</t>
        </is>
      </c>
      <c r="D80" s="477" t="inlineStr">
        <is>
          <t>Majestic Commercenter (R0145680)</t>
        </is>
      </c>
      <c r="E80" s="476" t="inlineStr">
        <is>
          <t>Commerce City</t>
        </is>
      </c>
      <c r="F80" s="476" t="inlineStr">
        <is>
          <t>CO</t>
        </is>
      </c>
      <c r="G80" s="476" t="inlineStr">
        <is>
          <t>Industrial</t>
        </is>
      </c>
      <c r="H80" s="477" t="inlineStr">
        <is>
          <t>Warehouse NNN</t>
        </is>
      </c>
      <c r="I80" s="478" t="n">
        <v>2001</v>
      </c>
      <c r="J80" s="478" t="n">
        <v>150027</v>
      </c>
      <c r="K80" s="478" t="n">
        <v>2021</v>
      </c>
      <c r="L80" s="476" t="n"/>
      <c r="M80" s="476" t="n"/>
      <c r="N80" s="476" t="n"/>
      <c r="O80" s="479" t="n">
        <v>0.0779</v>
      </c>
      <c r="P80" s="479" t="n">
        <v>0.2768</v>
      </c>
      <c r="Q80" s="476" t="n"/>
      <c r="R80" s="476" t="n"/>
      <c r="S80" s="476" t="n"/>
      <c r="T80" s="476" t="n"/>
      <c r="U80" s="476" t="n"/>
      <c r="V80" s="476" t="n"/>
      <c r="W80" s="476" t="n"/>
      <c r="X80" s="476" t="n"/>
      <c r="Y80" s="476" t="n"/>
      <c r="Z80" s="476" t="n"/>
      <c r="AA80" s="476" t="n"/>
      <c r="AB80" s="476" t="n"/>
      <c r="AC80" s="479" t="n">
        <v>0.3322</v>
      </c>
      <c r="AD80" s="476" t="n"/>
      <c r="AE80" s="476" t="n"/>
      <c r="AF80" s="476" t="n"/>
      <c r="AG80" s="476" t="n"/>
      <c r="AH80" s="479" t="n">
        <v>0.6868</v>
      </c>
      <c r="AI80" s="479" t="n">
        <v>2.8525</v>
      </c>
      <c r="AJ80" s="479" t="n">
        <v>3.5393</v>
      </c>
      <c r="AK80" s="476" t="n"/>
      <c r="AL80" s="476" t="n"/>
      <c r="AM80" s="477" t="inlineStr">
        <is>
          <t>NNN landlord expenses only; from AXG Whse Expenses PSF.xlsx (R0145680)</t>
        </is>
      </c>
    </row>
    <row r="81" ht="13.5" customHeight="1" s="545">
      <c r="A81" s="450" t="inlineStr">
        <is>
          <t>P037</t>
        </is>
      </c>
      <c r="B81" s="449" t="n">
        <v>407</v>
      </c>
      <c r="C81" s="450" t="inlineStr">
        <is>
          <t>R0145680</t>
        </is>
      </c>
      <c r="D81" s="468" t="inlineStr">
        <is>
          <t>Majestic Commercenter (R0145680)</t>
        </is>
      </c>
      <c r="E81" s="450" t="inlineStr">
        <is>
          <t>Commerce City</t>
        </is>
      </c>
      <c r="F81" s="450" t="inlineStr">
        <is>
          <t>CO</t>
        </is>
      </c>
      <c r="G81" s="450" t="inlineStr">
        <is>
          <t>Industrial</t>
        </is>
      </c>
      <c r="H81" s="468" t="inlineStr">
        <is>
          <t>Warehouse NNN</t>
        </is>
      </c>
      <c r="I81" s="480" t="n">
        <v>2001</v>
      </c>
      <c r="J81" s="480" t="n">
        <v>150027</v>
      </c>
      <c r="K81" s="480" t="n">
        <v>2022</v>
      </c>
      <c r="L81" s="450" t="n"/>
      <c r="M81" s="450" t="n"/>
      <c r="N81" s="450" t="n"/>
      <c r="O81" s="481" t="n">
        <v>0.0828</v>
      </c>
      <c r="P81" s="481" t="n">
        <v>0.2294</v>
      </c>
      <c r="Q81" s="450" t="n"/>
      <c r="R81" s="450" t="n"/>
      <c r="S81" s="450" t="n"/>
      <c r="T81" s="450" t="n"/>
      <c r="U81" s="450" t="n"/>
      <c r="V81" s="450" t="n"/>
      <c r="W81" s="450" t="n"/>
      <c r="X81" s="450" t="n"/>
      <c r="Y81" s="450" t="n"/>
      <c r="Z81" s="450" t="n"/>
      <c r="AA81" s="450" t="n"/>
      <c r="AB81" s="450" t="n"/>
      <c r="AC81" s="481" t="n">
        <v>0.3617</v>
      </c>
      <c r="AD81" s="450" t="n"/>
      <c r="AE81" s="450" t="n"/>
      <c r="AF81" s="450" t="n"/>
      <c r="AG81" s="450" t="n"/>
      <c r="AH81" s="481" t="n">
        <v>0.6739000000000001</v>
      </c>
      <c r="AI81" s="481" t="n">
        <v>2.7388</v>
      </c>
      <c r="AJ81" s="481" t="n">
        <v>3.4127</v>
      </c>
      <c r="AK81" s="450" t="n"/>
      <c r="AL81" s="450" t="n"/>
      <c r="AM81" s="468" t="inlineStr">
        <is>
          <t>NNN landlord expenses only; from AXG Whse Expenses PSF.xlsx (R0145680)</t>
        </is>
      </c>
    </row>
    <row r="82" ht="13.5" customHeight="1" s="545">
      <c r="A82" s="476" t="inlineStr">
        <is>
          <t>P038</t>
        </is>
      </c>
      <c r="B82" s="449" t="n">
        <v>584</v>
      </c>
      <c r="C82" s="476" t="inlineStr">
        <is>
          <t>R0181787</t>
        </is>
      </c>
      <c r="D82" s="477" t="inlineStr">
        <is>
          <t>Majestic Commercenter (R0181787)</t>
        </is>
      </c>
      <c r="E82" s="476" t="inlineStr">
        <is>
          <t>Commerce City</t>
        </is>
      </c>
      <c r="F82" s="476" t="inlineStr">
        <is>
          <t>CO</t>
        </is>
      </c>
      <c r="G82" s="476" t="inlineStr">
        <is>
          <t>Industrial</t>
        </is>
      </c>
      <c r="H82" s="477" t="inlineStr">
        <is>
          <t>Warehouse NNN</t>
        </is>
      </c>
      <c r="I82" s="478" t="n">
        <v>2013</v>
      </c>
      <c r="J82" s="478" t="n">
        <v>500358</v>
      </c>
      <c r="K82" s="478" t="n">
        <v>2021</v>
      </c>
      <c r="L82" s="476" t="n"/>
      <c r="M82" s="476" t="n"/>
      <c r="N82" s="476" t="n"/>
      <c r="O82" s="479" t="n">
        <v>0.0743</v>
      </c>
      <c r="P82" s="479" t="n">
        <v>0.2354</v>
      </c>
      <c r="Q82" s="476" t="n"/>
      <c r="R82" s="476" t="n"/>
      <c r="S82" s="476" t="n"/>
      <c r="T82" s="476" t="n"/>
      <c r="U82" s="476" t="n"/>
      <c r="V82" s="476" t="n"/>
      <c r="W82" s="476" t="n"/>
      <c r="X82" s="476" t="n"/>
      <c r="Y82" s="476" t="n"/>
      <c r="Z82" s="476" t="n"/>
      <c r="AA82" s="476" t="n"/>
      <c r="AB82" s="476" t="n"/>
      <c r="AC82" s="479" t="n">
        <v>0.3128</v>
      </c>
      <c r="AD82" s="476" t="n"/>
      <c r="AE82" s="476" t="n"/>
      <c r="AF82" s="479" t="n">
        <v>0.2341</v>
      </c>
      <c r="AG82" s="476" t="n"/>
      <c r="AH82" s="479" t="n">
        <v>0.8566</v>
      </c>
      <c r="AI82" s="479" t="n">
        <v>2.2838</v>
      </c>
      <c r="AJ82" s="479" t="n">
        <v>3.1403</v>
      </c>
      <c r="AK82" s="476" t="n"/>
      <c r="AL82" s="476" t="n"/>
      <c r="AM82" s="477" t="inlineStr">
        <is>
          <t>NNN landlord expenses only; from AXG Whse Expenses PSF.xlsx (R0181787)</t>
        </is>
      </c>
    </row>
    <row r="83" ht="13.5" customHeight="1" s="545">
      <c r="A83" s="450" t="inlineStr">
        <is>
          <t>P038</t>
        </is>
      </c>
      <c r="B83" s="449" t="n">
        <v>584</v>
      </c>
      <c r="C83" s="450" t="inlineStr">
        <is>
          <t>R0181787</t>
        </is>
      </c>
      <c r="D83" s="468" t="inlineStr">
        <is>
          <t>Majestic Commercenter (R0181787)</t>
        </is>
      </c>
      <c r="E83" s="450" t="inlineStr">
        <is>
          <t>Commerce City</t>
        </is>
      </c>
      <c r="F83" s="450" t="inlineStr">
        <is>
          <t>CO</t>
        </is>
      </c>
      <c r="G83" s="450" t="inlineStr">
        <is>
          <t>Industrial</t>
        </is>
      </c>
      <c r="H83" s="468" t="inlineStr">
        <is>
          <t>Warehouse NNN</t>
        </is>
      </c>
      <c r="I83" s="480" t="n">
        <v>2013</v>
      </c>
      <c r="J83" s="480" t="n">
        <v>500358</v>
      </c>
      <c r="K83" s="480" t="n">
        <v>2022</v>
      </c>
      <c r="L83" s="450" t="n"/>
      <c r="M83" s="450" t="n"/>
      <c r="N83" s="450" t="n"/>
      <c r="O83" s="481" t="n">
        <v>0.079</v>
      </c>
      <c r="P83" s="481" t="n">
        <v>0.2014</v>
      </c>
      <c r="Q83" s="450" t="n"/>
      <c r="R83" s="450" t="n"/>
      <c r="S83" s="450" t="n"/>
      <c r="T83" s="450" t="n"/>
      <c r="U83" s="450" t="n"/>
      <c r="V83" s="450" t="n"/>
      <c r="W83" s="450" t="n"/>
      <c r="X83" s="450" t="n"/>
      <c r="Y83" s="450" t="n"/>
      <c r="Z83" s="450" t="n"/>
      <c r="AA83" s="450" t="n"/>
      <c r="AB83" s="450" t="n"/>
      <c r="AC83" s="481" t="n">
        <v>0.2328</v>
      </c>
      <c r="AD83" s="450" t="n"/>
      <c r="AE83" s="450" t="n"/>
      <c r="AF83" s="481" t="n">
        <v>0.2263</v>
      </c>
      <c r="AG83" s="450" t="n"/>
      <c r="AH83" s="481" t="n">
        <v>0.7396</v>
      </c>
      <c r="AI83" s="481" t="n">
        <v>2.5398</v>
      </c>
      <c r="AJ83" s="481" t="n">
        <v>3.2794</v>
      </c>
      <c r="AK83" s="450" t="n"/>
      <c r="AL83" s="450" t="n"/>
      <c r="AM83" s="468" t="inlineStr">
        <is>
          <t>NNN landlord expenses only; from AXG Whse Expenses PSF.xlsx (R0181787)</t>
        </is>
      </c>
    </row>
    <row r="84" ht="13.5" customHeight="1" s="545">
      <c r="A84" s="476" t="inlineStr">
        <is>
          <t>P039</t>
        </is>
      </c>
      <c r="B84" s="449" t="n">
        <v>584</v>
      </c>
      <c r="C84" s="476" t="inlineStr">
        <is>
          <t>R0191101</t>
        </is>
      </c>
      <c r="D84" s="477" t="inlineStr">
        <is>
          <t>Majestic Commercenter (R0191101)</t>
        </is>
      </c>
      <c r="E84" s="476" t="inlineStr">
        <is>
          <t>Commerce City</t>
        </is>
      </c>
      <c r="F84" s="476" t="inlineStr">
        <is>
          <t>CO</t>
        </is>
      </c>
      <c r="G84" s="476" t="inlineStr">
        <is>
          <t>Industrial</t>
        </is>
      </c>
      <c r="H84" s="477" t="inlineStr">
        <is>
          <t>Warehouse NNN</t>
        </is>
      </c>
      <c r="I84" s="478" t="n">
        <v>2017</v>
      </c>
      <c r="J84" s="478" t="n">
        <v>522120</v>
      </c>
      <c r="K84" s="478" t="n">
        <v>2021</v>
      </c>
      <c r="L84" s="476" t="n"/>
      <c r="M84" s="476" t="n"/>
      <c r="N84" s="476" t="n"/>
      <c r="O84" s="479" t="n">
        <v>0.0822</v>
      </c>
      <c r="P84" s="479" t="n">
        <v>0.2582</v>
      </c>
      <c r="Q84" s="476" t="n"/>
      <c r="R84" s="476" t="n"/>
      <c r="S84" s="476" t="n"/>
      <c r="T84" s="476" t="n"/>
      <c r="U84" s="476" t="n"/>
      <c r="V84" s="476" t="n"/>
      <c r="W84" s="476" t="n"/>
      <c r="X84" s="476" t="n"/>
      <c r="Y84" s="476" t="n"/>
      <c r="Z84" s="476" t="n"/>
      <c r="AA84" s="476" t="n"/>
      <c r="AB84" s="476" t="n"/>
      <c r="AC84" s="479" t="n">
        <v>0.2825</v>
      </c>
      <c r="AD84" s="476" t="n"/>
      <c r="AE84" s="476" t="n"/>
      <c r="AF84" s="479" t="n">
        <v>0.1793</v>
      </c>
      <c r="AG84" s="476" t="n"/>
      <c r="AH84" s="479" t="n">
        <v>0.8022</v>
      </c>
      <c r="AI84" s="479" t="n">
        <v>2.1785</v>
      </c>
      <c r="AJ84" s="479" t="n">
        <v>2.9807</v>
      </c>
      <c r="AK84" s="476" t="n"/>
      <c r="AL84" s="476" t="n"/>
      <c r="AM84" s="477" t="inlineStr">
        <is>
          <t>NNN landlord expenses only; from AXG Whse Expenses PSF.xlsx (R0191101)</t>
        </is>
      </c>
    </row>
    <row r="85" ht="13.5" customHeight="1" s="545">
      <c r="A85" s="450" t="inlineStr">
        <is>
          <t>P039</t>
        </is>
      </c>
      <c r="B85" s="449" t="n">
        <v>584</v>
      </c>
      <c r="C85" s="450" t="inlineStr">
        <is>
          <t>R0191101</t>
        </is>
      </c>
      <c r="D85" s="468" t="inlineStr">
        <is>
          <t>Majestic Commercenter (R0191101)</t>
        </is>
      </c>
      <c r="E85" s="450" t="inlineStr">
        <is>
          <t>Commerce City</t>
        </is>
      </c>
      <c r="F85" s="450" t="inlineStr">
        <is>
          <t>CO</t>
        </is>
      </c>
      <c r="G85" s="450" t="inlineStr">
        <is>
          <t>Industrial</t>
        </is>
      </c>
      <c r="H85" s="468" t="inlineStr">
        <is>
          <t>Warehouse NNN</t>
        </is>
      </c>
      <c r="I85" s="480" t="n">
        <v>2017</v>
      </c>
      <c r="J85" s="480" t="n">
        <v>522120</v>
      </c>
      <c r="K85" s="480" t="n">
        <v>2022</v>
      </c>
      <c r="L85" s="450" t="n"/>
      <c r="M85" s="450" t="n"/>
      <c r="N85" s="450" t="n"/>
      <c r="O85" s="481" t="n">
        <v>0.08740000000000001</v>
      </c>
      <c r="P85" s="481" t="n">
        <v>0.2219</v>
      </c>
      <c r="Q85" s="450" t="n"/>
      <c r="R85" s="450" t="n"/>
      <c r="S85" s="450" t="n"/>
      <c r="T85" s="450" t="n"/>
      <c r="U85" s="450" t="n"/>
      <c r="V85" s="450" t="n"/>
      <c r="W85" s="450" t="n"/>
      <c r="X85" s="450" t="n"/>
      <c r="Y85" s="450" t="n"/>
      <c r="Z85" s="450" t="n"/>
      <c r="AA85" s="450" t="n"/>
      <c r="AB85" s="450" t="n"/>
      <c r="AC85" s="481" t="n">
        <v>0.1719</v>
      </c>
      <c r="AD85" s="450" t="n"/>
      <c r="AE85" s="450" t="n"/>
      <c r="AF85" s="481" t="n">
        <v>0.1738</v>
      </c>
      <c r="AG85" s="450" t="n"/>
      <c r="AH85" s="481" t="n">
        <v>0.655</v>
      </c>
      <c r="AI85" s="481" t="n">
        <v>2.2402</v>
      </c>
      <c r="AJ85" s="481" t="n">
        <v>2.8952</v>
      </c>
      <c r="AK85" s="450" t="n"/>
      <c r="AL85" s="450" t="n"/>
      <c r="AM85" s="468" t="inlineStr">
        <is>
          <t>NNN landlord expenses only; from AXG Whse Expenses PSF.xlsx (R0191101)</t>
        </is>
      </c>
    </row>
    <row r="86" ht="13.5" customHeight="1" s="545">
      <c r="A86" s="476" t="inlineStr">
        <is>
          <t>P040</t>
        </is>
      </c>
      <c r="B86" s="449" t="n">
        <v>407</v>
      </c>
      <c r="C86" s="476" t="inlineStr">
        <is>
          <t>R0202874</t>
        </is>
      </c>
      <c r="D86" s="477" t="inlineStr">
        <is>
          <t>900 E 128th Ave</t>
        </is>
      </c>
      <c r="E86" s="476" t="inlineStr">
        <is>
          <t>Henderson</t>
        </is>
      </c>
      <c r="F86" s="476" t="inlineStr">
        <is>
          <t>CO</t>
        </is>
      </c>
      <c r="G86" s="476" t="inlineStr">
        <is>
          <t>Industrial</t>
        </is>
      </c>
      <c r="H86" s="477" t="inlineStr">
        <is>
          <t>Last-Mile Distribution NNN</t>
        </is>
      </c>
      <c r="I86" s="478" t="n"/>
      <c r="J86" s="478" t="n"/>
      <c r="K86" s="478" t="n">
        <v>2021</v>
      </c>
      <c r="L86" s="489" t="n">
        <v>2633716</v>
      </c>
      <c r="M86" s="476" t="n"/>
      <c r="N86" s="489" t="n">
        <v>3256403</v>
      </c>
      <c r="O86" s="489" t="n">
        <v>56624</v>
      </c>
      <c r="P86" s="476" t="n"/>
      <c r="Q86" s="489" t="n">
        <v>300</v>
      </c>
      <c r="R86" s="476" t="n"/>
      <c r="S86" s="476" t="n"/>
      <c r="T86" s="476" t="n"/>
      <c r="U86" s="476" t="n"/>
      <c r="V86" s="476" t="n"/>
      <c r="W86" s="476" t="n"/>
      <c r="X86" s="489" t="n">
        <v>29535</v>
      </c>
      <c r="Y86" s="489" t="n">
        <v>30138</v>
      </c>
      <c r="Z86" s="476" t="n"/>
      <c r="AA86" s="489" t="n">
        <v>54136</v>
      </c>
      <c r="AB86" s="489" t="n">
        <v>127274</v>
      </c>
      <c r="AC86" s="476" t="n"/>
      <c r="AD86" s="476" t="n"/>
      <c r="AE86" s="476" t="n"/>
      <c r="AF86" s="489" t="n">
        <v>18748</v>
      </c>
      <c r="AG86" s="476" t="n"/>
      <c r="AH86" s="489" t="n">
        <v>731951</v>
      </c>
      <c r="AI86" s="476" t="n"/>
      <c r="AJ86" s="476" t="n"/>
      <c r="AK86" s="489" t="n">
        <v>2524452</v>
      </c>
      <c r="AL86" s="476" t="n"/>
      <c r="AM86" s="477" t="inlineStr">
        <is>
          <t>[NO SF] Amazon AMZL Site 51812; SF not extracted; RE Tax not broken out in 2021</t>
        </is>
      </c>
    </row>
    <row r="87" ht="13.5" customHeight="1" s="545">
      <c r="A87" s="450" t="inlineStr">
        <is>
          <t>P040</t>
        </is>
      </c>
      <c r="B87" s="449" t="n">
        <v>407</v>
      </c>
      <c r="C87" s="450" t="inlineStr">
        <is>
          <t>R0202874</t>
        </is>
      </c>
      <c r="D87" s="468" t="inlineStr">
        <is>
          <t>900 E 128th Ave</t>
        </is>
      </c>
      <c r="E87" s="450" t="inlineStr">
        <is>
          <t>Henderson</t>
        </is>
      </c>
      <c r="F87" s="450" t="inlineStr">
        <is>
          <t>CO</t>
        </is>
      </c>
      <c r="G87" s="450" t="inlineStr">
        <is>
          <t>Industrial</t>
        </is>
      </c>
      <c r="H87" s="468" t="inlineStr">
        <is>
          <t>Last-Mile Distribution NNN</t>
        </is>
      </c>
      <c r="I87" s="480" t="n"/>
      <c r="J87" s="480" t="n"/>
      <c r="K87" s="480" t="n">
        <v>2022</v>
      </c>
      <c r="L87" s="450" t="n"/>
      <c r="M87" s="450" t="n"/>
      <c r="N87" s="450" t="n"/>
      <c r="O87" s="450" t="n"/>
      <c r="P87" s="490" t="n">
        <v>69999</v>
      </c>
      <c r="Q87" s="450" t="n"/>
      <c r="R87" s="450" t="n"/>
      <c r="S87" s="450" t="n"/>
      <c r="T87" s="450" t="n"/>
      <c r="U87" s="450" t="n"/>
      <c r="V87" s="450" t="n"/>
      <c r="W87" s="450" t="n"/>
      <c r="X87" s="450" t="n"/>
      <c r="Y87" s="450" t="n"/>
      <c r="Z87" s="450" t="n"/>
      <c r="AA87" s="450" t="n"/>
      <c r="AB87" s="450" t="n"/>
      <c r="AC87" s="450" t="n"/>
      <c r="AD87" s="450" t="n"/>
      <c r="AE87" s="450" t="n"/>
      <c r="AF87" s="450" t="n"/>
      <c r="AG87" s="450" t="n"/>
      <c r="AH87" s="450" t="n"/>
      <c r="AI87" s="490" t="n">
        <v>1080500</v>
      </c>
      <c r="AJ87" s="490" t="n">
        <v>1527913</v>
      </c>
      <c r="AK87" s="490" t="n">
        <v>2475461</v>
      </c>
      <c r="AL87" s="450" t="n"/>
      <c r="AM87" s="468" t="inlineStr">
        <is>
          <t>[NO SF] Amazon AMZL Site 51812; 2022 dominated by RE Tax $1.08M; asset mgmt fee $70k</t>
        </is>
      </c>
    </row>
    <row r="88" ht="13.5" customHeight="1" s="545">
      <c r="A88" s="476" t="inlineStr">
        <is>
          <t>P041</t>
        </is>
      </c>
      <c r="B88" s="449" t="n">
        <v>386</v>
      </c>
      <c r="C88" s="476" t="inlineStr">
        <is>
          <t>R0189384</t>
        </is>
      </c>
      <c r="D88" s="477" t="inlineStr">
        <is>
          <t>1101 Colorado Blvd</t>
        </is>
      </c>
      <c r="E88" s="476" t="inlineStr">
        <is>
          <t>Thornton</t>
        </is>
      </c>
      <c r="F88" s="476" t="inlineStr">
        <is>
          <t>CO</t>
        </is>
      </c>
      <c r="G88" s="476" t="inlineStr">
        <is>
          <t>Self-Storage</t>
        </is>
      </c>
      <c r="H88" s="477" t="inlineStr">
        <is>
          <t>Climate-Controlled</t>
        </is>
      </c>
      <c r="I88" s="478" t="n"/>
      <c r="J88" s="478" t="n">
        <v>65766</v>
      </c>
      <c r="K88" s="478" t="n">
        <v>2021</v>
      </c>
      <c r="L88" s="476" t="n"/>
      <c r="M88" s="476" t="n"/>
      <c r="N88" s="479" t="n">
        <v>13.3807</v>
      </c>
      <c r="O88" s="476" t="n"/>
      <c r="P88" s="476" t="n"/>
      <c r="Q88" s="476" t="n"/>
      <c r="R88" s="476" t="n"/>
      <c r="S88" s="476" t="n"/>
      <c r="T88" s="476" t="n"/>
      <c r="U88" s="476" t="n"/>
      <c r="V88" s="476" t="n"/>
      <c r="W88" s="476" t="n"/>
      <c r="X88" s="476" t="n"/>
      <c r="Y88" s="476" t="n"/>
      <c r="Z88" s="476" t="n"/>
      <c r="AA88" s="476" t="n"/>
      <c r="AB88" s="476" t="n"/>
      <c r="AC88" s="476" t="n"/>
      <c r="AD88" s="476" t="n"/>
      <c r="AE88" s="476" t="n"/>
      <c r="AF88" s="476" t="n"/>
      <c r="AG88" s="476" t="n"/>
      <c r="AH88" s="476" t="n"/>
      <c r="AI88" s="476" t="n"/>
      <c r="AJ88" s="479" t="n">
        <v>6.3574</v>
      </c>
      <c r="AK88" s="479" t="n">
        <v>7.0233</v>
      </c>
      <c r="AL88" s="476" t="n"/>
      <c r="AM88" s="477" t="inlineStr">
        <is>
          <t>Actual SS P&amp;L; mgmt=off-site+on-site combined; admin+adv in Other</t>
        </is>
      </c>
    </row>
    <row r="89" ht="13.5" customHeight="1" s="545">
      <c r="A89" s="476" t="inlineStr">
        <is>
          <t>P041</t>
        </is>
      </c>
      <c r="B89" s="449" t="n">
        <v>386</v>
      </c>
      <c r="C89" s="476" t="inlineStr">
        <is>
          <t>R0189384</t>
        </is>
      </c>
      <c r="D89" s="477" t="inlineStr">
        <is>
          <t>1101 Colorado Blvd</t>
        </is>
      </c>
      <c r="E89" s="476" t="inlineStr">
        <is>
          <t>Thornton</t>
        </is>
      </c>
      <c r="F89" s="476" t="inlineStr">
        <is>
          <t>CO</t>
        </is>
      </c>
      <c r="G89" s="476" t="inlineStr">
        <is>
          <t>Self-Storage</t>
        </is>
      </c>
      <c r="H89" s="477" t="inlineStr">
        <is>
          <t>Climate-Controlled</t>
        </is>
      </c>
      <c r="I89" s="478" t="n"/>
      <c r="J89" s="478" t="n">
        <v>65766</v>
      </c>
      <c r="K89" s="478" t="n">
        <v>2022</v>
      </c>
      <c r="L89" s="476" t="n"/>
      <c r="M89" s="476" t="n"/>
      <c r="N89" s="479" t="n">
        <v>14.0623</v>
      </c>
      <c r="O89" s="476" t="n"/>
      <c r="P89" s="476" t="n"/>
      <c r="Q89" s="476" t="n"/>
      <c r="R89" s="476" t="n"/>
      <c r="S89" s="476" t="n"/>
      <c r="T89" s="476" t="n"/>
      <c r="U89" s="476" t="n"/>
      <c r="V89" s="476" t="n"/>
      <c r="W89" s="476" t="n"/>
      <c r="X89" s="476" t="n"/>
      <c r="Y89" s="476" t="n"/>
      <c r="Z89" s="476" t="n"/>
      <c r="AA89" s="476" t="n"/>
      <c r="AB89" s="476" t="n"/>
      <c r="AC89" s="476" t="n"/>
      <c r="AD89" s="476" t="n"/>
      <c r="AE89" s="476" t="n"/>
      <c r="AF89" s="476" t="n"/>
      <c r="AG89" s="476" t="n"/>
      <c r="AH89" s="476" t="n"/>
      <c r="AI89" s="476" t="n"/>
      <c r="AJ89" s="479" t="n">
        <v>6.9302</v>
      </c>
      <c r="AK89" s="479" t="n">
        <v>7.1322</v>
      </c>
      <c r="AL89" s="476" t="n"/>
      <c r="AM89" s="477" t="inlineStr">
        <is>
          <t>Actual SS P&amp;L; mgmt=off-site+on-site combined; admin+adv in Other</t>
        </is>
      </c>
    </row>
    <row r="90" ht="13.5" customHeight="1" s="545">
      <c r="A90" s="476" t="inlineStr">
        <is>
          <t>P041</t>
        </is>
      </c>
      <c r="B90" s="449" t="n">
        <v>386</v>
      </c>
      <c r="C90" s="476" t="inlineStr">
        <is>
          <t>R0189384</t>
        </is>
      </c>
      <c r="D90" s="477" t="inlineStr">
        <is>
          <t>1101 Colorado Blvd</t>
        </is>
      </c>
      <c r="E90" s="476" t="inlineStr">
        <is>
          <t>Thornton</t>
        </is>
      </c>
      <c r="F90" s="476" t="inlineStr">
        <is>
          <t>CO</t>
        </is>
      </c>
      <c r="G90" s="476" t="inlineStr">
        <is>
          <t>Self-Storage</t>
        </is>
      </c>
      <c r="H90" s="477" t="inlineStr">
        <is>
          <t>Climate-Controlled</t>
        </is>
      </c>
      <c r="I90" s="478" t="n"/>
      <c r="J90" s="478" t="n">
        <v>65766</v>
      </c>
      <c r="K90" s="478" t="n">
        <v>2023</v>
      </c>
      <c r="L90" s="476" t="n"/>
      <c r="M90" s="476" t="n"/>
      <c r="N90" s="479" t="n">
        <v>14.16</v>
      </c>
      <c r="O90" s="479" t="n">
        <v>0.6306</v>
      </c>
      <c r="P90" s="479" t="n">
        <v>1.5829</v>
      </c>
      <c r="Q90" s="476" t="n"/>
      <c r="R90" s="476" t="n"/>
      <c r="S90" s="476" t="n"/>
      <c r="T90" s="476" t="n"/>
      <c r="U90" s="476" t="n"/>
      <c r="V90" s="476" t="n"/>
      <c r="W90" s="476" t="n"/>
      <c r="X90" s="476" t="n"/>
      <c r="Y90" s="479" t="n">
        <v>0.2367</v>
      </c>
      <c r="Z90" s="476" t="n"/>
      <c r="AA90" s="476" t="n"/>
      <c r="AB90" s="476" t="n"/>
      <c r="AC90" s="476" t="n"/>
      <c r="AD90" s="476" t="n"/>
      <c r="AE90" s="476" t="n"/>
      <c r="AF90" s="479" t="n">
        <v>0.5644</v>
      </c>
      <c r="AG90" s="476" t="n"/>
      <c r="AH90" s="479" t="n">
        <v>4.479</v>
      </c>
      <c r="AI90" s="479" t="n">
        <v>2.7358</v>
      </c>
      <c r="AJ90" s="479" t="n">
        <v>7.2147</v>
      </c>
      <c r="AK90" s="479" t="n">
        <v>7.1427</v>
      </c>
      <c r="AL90" s="476" t="n"/>
      <c r="AM90" s="477" t="inlineStr">
        <is>
          <t>Actual SS P&amp;L; mgmt=off-site+on-site combined; admin+adv in Other</t>
        </is>
      </c>
    </row>
    <row r="91" ht="13.5" customHeight="1" s="545">
      <c r="A91" s="476" t="inlineStr">
        <is>
          <t>P042</t>
        </is>
      </c>
      <c r="B91" s="449" t="n">
        <v>386</v>
      </c>
      <c r="C91" s="476" t="inlineStr">
        <is>
          <t>R0126235</t>
        </is>
      </c>
      <c r="D91" s="477" t="inlineStr">
        <is>
          <t>15024 Laroy Drive</t>
        </is>
      </c>
      <c r="E91" s="476" t="inlineStr">
        <is>
          <t>Northglenn</t>
        </is>
      </c>
      <c r="F91" s="476" t="inlineStr">
        <is>
          <t>CO</t>
        </is>
      </c>
      <c r="G91" s="476" t="inlineStr">
        <is>
          <t>Self-Storage</t>
        </is>
      </c>
      <c r="H91" s="477" t="inlineStr">
        <is>
          <t>Climate-Controlled</t>
        </is>
      </c>
      <c r="I91" s="478" t="n"/>
      <c r="J91" s="478" t="n">
        <v>79950</v>
      </c>
      <c r="K91" s="478" t="n">
        <v>2021</v>
      </c>
      <c r="L91" s="476" t="n"/>
      <c r="M91" s="476" t="n"/>
      <c r="N91" s="479" t="n">
        <v>11.9617</v>
      </c>
      <c r="O91" s="476" t="n"/>
      <c r="P91" s="476" t="n"/>
      <c r="Q91" s="476" t="n"/>
      <c r="R91" s="476" t="n"/>
      <c r="S91" s="476" t="n"/>
      <c r="T91" s="476" t="n"/>
      <c r="U91" s="476" t="n"/>
      <c r="V91" s="476" t="n"/>
      <c r="W91" s="476" t="n"/>
      <c r="X91" s="476" t="n"/>
      <c r="Y91" s="476" t="n"/>
      <c r="Z91" s="476" t="n"/>
      <c r="AA91" s="476" t="n"/>
      <c r="AB91" s="476" t="n"/>
      <c r="AC91" s="476" t="n"/>
      <c r="AD91" s="476" t="n"/>
      <c r="AE91" s="476" t="n"/>
      <c r="AF91" s="476" t="n"/>
      <c r="AG91" s="476" t="n"/>
      <c r="AH91" s="476" t="n"/>
      <c r="AI91" s="476" t="n"/>
      <c r="AJ91" s="479" t="n">
        <v>6.0239</v>
      </c>
      <c r="AK91" s="479" t="n">
        <v>6.4381</v>
      </c>
      <c r="AL91" s="476" t="n"/>
      <c r="AM91" s="477" t="inlineStr">
        <is>
          <t>Actual SS P&amp;L; mgmt=off-site+on-site combined</t>
        </is>
      </c>
    </row>
    <row r="92" ht="13.5" customHeight="1" s="545">
      <c r="A92" s="476" t="inlineStr">
        <is>
          <t>P042</t>
        </is>
      </c>
      <c r="B92" s="449" t="n">
        <v>386</v>
      </c>
      <c r="C92" s="476" t="inlineStr">
        <is>
          <t>R0126235</t>
        </is>
      </c>
      <c r="D92" s="477" t="inlineStr">
        <is>
          <t>15024 Laroy Drive</t>
        </is>
      </c>
      <c r="E92" s="476" t="inlineStr">
        <is>
          <t>Northglenn</t>
        </is>
      </c>
      <c r="F92" s="476" t="inlineStr">
        <is>
          <t>CO</t>
        </is>
      </c>
      <c r="G92" s="476" t="inlineStr">
        <is>
          <t>Self-Storage</t>
        </is>
      </c>
      <c r="H92" s="477" t="inlineStr">
        <is>
          <t>Climate-Controlled</t>
        </is>
      </c>
      <c r="I92" s="478" t="n"/>
      <c r="J92" s="478" t="n">
        <v>79950</v>
      </c>
      <c r="K92" s="478" t="n">
        <v>2022</v>
      </c>
      <c r="L92" s="476" t="n"/>
      <c r="M92" s="476" t="n"/>
      <c r="N92" s="479" t="n">
        <v>12.7321</v>
      </c>
      <c r="O92" s="476" t="n"/>
      <c r="P92" s="476" t="n"/>
      <c r="Q92" s="476" t="n"/>
      <c r="R92" s="476" t="n"/>
      <c r="S92" s="476" t="n"/>
      <c r="T92" s="476" t="n"/>
      <c r="U92" s="476" t="n"/>
      <c r="V92" s="476" t="n"/>
      <c r="W92" s="476" t="n"/>
      <c r="X92" s="476" t="n"/>
      <c r="Y92" s="476" t="n"/>
      <c r="Z92" s="476" t="n"/>
      <c r="AA92" s="476" t="n"/>
      <c r="AB92" s="476" t="n"/>
      <c r="AC92" s="476" t="n"/>
      <c r="AD92" s="476" t="n"/>
      <c r="AE92" s="476" t="n"/>
      <c r="AF92" s="476" t="n"/>
      <c r="AG92" s="476" t="n"/>
      <c r="AH92" s="476" t="n"/>
      <c r="AI92" s="476" t="n"/>
      <c r="AJ92" s="479" t="n">
        <v>5.4064</v>
      </c>
      <c r="AK92" s="479" t="n">
        <v>7.3257</v>
      </c>
      <c r="AL92" s="476" t="n"/>
      <c r="AM92" s="477" t="inlineStr">
        <is>
          <t>Actual SS P&amp;L; mgmt=off-site+on-site combined</t>
        </is>
      </c>
    </row>
    <row r="93" ht="13.5" customHeight="1" s="545">
      <c r="A93" s="476" t="inlineStr">
        <is>
          <t>P042</t>
        </is>
      </c>
      <c r="B93" s="449" t="n">
        <v>386</v>
      </c>
      <c r="C93" s="476" t="inlineStr">
        <is>
          <t>R0126235</t>
        </is>
      </c>
      <c r="D93" s="477" t="inlineStr">
        <is>
          <t>15024 Laroy Drive</t>
        </is>
      </c>
      <c r="E93" s="476" t="inlineStr">
        <is>
          <t>Northglenn</t>
        </is>
      </c>
      <c r="F93" s="476" t="inlineStr">
        <is>
          <t>CO</t>
        </is>
      </c>
      <c r="G93" s="476" t="inlineStr">
        <is>
          <t>Self-Storage</t>
        </is>
      </c>
      <c r="H93" s="477" t="inlineStr">
        <is>
          <t>Climate-Controlled</t>
        </is>
      </c>
      <c r="I93" s="478" t="n"/>
      <c r="J93" s="478" t="n">
        <v>79950</v>
      </c>
      <c r="K93" s="478" t="n">
        <v>2023</v>
      </c>
      <c r="L93" s="476" t="n"/>
      <c r="M93" s="476" t="n"/>
      <c r="N93" s="479" t="n">
        <v>11.94</v>
      </c>
      <c r="O93" s="479" t="n">
        <v>0.5105</v>
      </c>
      <c r="P93" s="479" t="n">
        <v>1.3574</v>
      </c>
      <c r="Q93" s="476" t="n"/>
      <c r="R93" s="476" t="n"/>
      <c r="S93" s="476" t="n"/>
      <c r="T93" s="476" t="n"/>
      <c r="U93" s="476" t="n"/>
      <c r="V93" s="476" t="n"/>
      <c r="W93" s="476" t="n"/>
      <c r="X93" s="476" t="n"/>
      <c r="Y93" s="479" t="n">
        <v>0.301</v>
      </c>
      <c r="Z93" s="476" t="n"/>
      <c r="AA93" s="476" t="n"/>
      <c r="AB93" s="476" t="n"/>
      <c r="AC93" s="476" t="n"/>
      <c r="AD93" s="476" t="n"/>
      <c r="AE93" s="476" t="n"/>
      <c r="AF93" s="479" t="n">
        <v>0.2587</v>
      </c>
      <c r="AG93" s="476" t="n"/>
      <c r="AH93" s="479" t="n">
        <v>3.4355</v>
      </c>
      <c r="AI93" s="479" t="n">
        <v>3.061</v>
      </c>
      <c r="AJ93" s="479" t="n">
        <v>6.4964</v>
      </c>
      <c r="AK93" s="479" t="n">
        <v>5.4436</v>
      </c>
      <c r="AL93" s="476" t="n"/>
      <c r="AM93" s="477" t="inlineStr">
        <is>
          <t>Actual SS P&amp;L; mgmt=off-site+on-site combined</t>
        </is>
      </c>
    </row>
    <row r="94" ht="13.5" customHeight="1" s="545">
      <c r="A94" s="476" t="inlineStr">
        <is>
          <t>P043</t>
        </is>
      </c>
      <c r="B94" s="449" t="n">
        <v>386</v>
      </c>
      <c r="C94" s="476" t="inlineStr">
        <is>
          <t>R0126234</t>
        </is>
      </c>
      <c r="D94" s="477" t="inlineStr">
        <is>
          <t>715 W 112th Ave</t>
        </is>
      </c>
      <c r="E94" s="476" t="inlineStr">
        <is>
          <t>Northglenn</t>
        </is>
      </c>
      <c r="F94" s="476" t="inlineStr">
        <is>
          <t>CO</t>
        </is>
      </c>
      <c r="G94" s="476" t="inlineStr">
        <is>
          <t>Self-Storage</t>
        </is>
      </c>
      <c r="H94" s="477" t="inlineStr">
        <is>
          <t>Drive-Up/Drop-Off</t>
        </is>
      </c>
      <c r="I94" s="478" t="n"/>
      <c r="J94" s="478" t="n">
        <v>83756</v>
      </c>
      <c r="K94" s="478" t="n">
        <v>2021</v>
      </c>
      <c r="L94" s="476" t="n"/>
      <c r="M94" s="476" t="n"/>
      <c r="N94" s="479" t="n">
        <v>9.7278</v>
      </c>
      <c r="O94" s="476" t="n"/>
      <c r="P94" s="476" t="n"/>
      <c r="Q94" s="476" t="n"/>
      <c r="R94" s="476" t="n"/>
      <c r="S94" s="476" t="n"/>
      <c r="T94" s="476" t="n"/>
      <c r="U94" s="476" t="n"/>
      <c r="V94" s="476" t="n"/>
      <c r="W94" s="476" t="n"/>
      <c r="X94" s="476" t="n"/>
      <c r="Y94" s="476" t="n"/>
      <c r="Z94" s="476" t="n"/>
      <c r="AA94" s="476" t="n"/>
      <c r="AB94" s="476" t="n"/>
      <c r="AC94" s="476" t="n"/>
      <c r="AD94" s="476" t="n"/>
      <c r="AE94" s="476" t="n"/>
      <c r="AF94" s="476" t="n"/>
      <c r="AG94" s="476" t="n"/>
      <c r="AH94" s="476" t="n"/>
      <c r="AI94" s="476" t="n"/>
      <c r="AJ94" s="479" t="n">
        <v>5.2127</v>
      </c>
      <c r="AK94" s="479" t="n">
        <v>4.5151</v>
      </c>
      <c r="AL94" s="476" t="n"/>
      <c r="AM94" s="477" t="inlineStr">
        <is>
          <t>Actual SS P&amp;L; mgmt=off-site+on-site combined</t>
        </is>
      </c>
    </row>
    <row r="95" ht="13.5" customHeight="1" s="545">
      <c r="A95" s="476" t="inlineStr">
        <is>
          <t>P043</t>
        </is>
      </c>
      <c r="B95" s="449" t="n">
        <v>386</v>
      </c>
      <c r="C95" s="476" t="inlineStr">
        <is>
          <t>R0126234</t>
        </is>
      </c>
      <c r="D95" s="477" t="inlineStr">
        <is>
          <t>715 W 112th Ave</t>
        </is>
      </c>
      <c r="E95" s="476" t="inlineStr">
        <is>
          <t>Northglenn</t>
        </is>
      </c>
      <c r="F95" s="476" t="inlineStr">
        <is>
          <t>CO</t>
        </is>
      </c>
      <c r="G95" s="476" t="inlineStr">
        <is>
          <t>Self-Storage</t>
        </is>
      </c>
      <c r="H95" s="477" t="inlineStr">
        <is>
          <t>Drive-Up/Drop-Off</t>
        </is>
      </c>
      <c r="I95" s="478" t="n"/>
      <c r="J95" s="478" t="n">
        <v>83756</v>
      </c>
      <c r="K95" s="478" t="n">
        <v>2022</v>
      </c>
      <c r="L95" s="476" t="n"/>
      <c r="M95" s="476" t="n"/>
      <c r="N95" s="479" t="n">
        <v>11.7102</v>
      </c>
      <c r="O95" s="476" t="n"/>
      <c r="P95" s="476" t="n"/>
      <c r="Q95" s="476" t="n"/>
      <c r="R95" s="476" t="n"/>
      <c r="S95" s="476" t="n"/>
      <c r="T95" s="476" t="n"/>
      <c r="U95" s="476" t="n"/>
      <c r="V95" s="476" t="n"/>
      <c r="W95" s="476" t="n"/>
      <c r="X95" s="476" t="n"/>
      <c r="Y95" s="476" t="n"/>
      <c r="Z95" s="476" t="n"/>
      <c r="AA95" s="476" t="n"/>
      <c r="AB95" s="476" t="n"/>
      <c r="AC95" s="476" t="n"/>
      <c r="AD95" s="476" t="n"/>
      <c r="AE95" s="476" t="n"/>
      <c r="AF95" s="476" t="n"/>
      <c r="AG95" s="476" t="n"/>
      <c r="AH95" s="476" t="n"/>
      <c r="AI95" s="476" t="n"/>
      <c r="AJ95" s="479" t="n">
        <v>5.4426</v>
      </c>
      <c r="AK95" s="479" t="n">
        <v>6.2675</v>
      </c>
      <c r="AL95" s="476" t="n"/>
      <c r="AM95" s="477" t="inlineStr">
        <is>
          <t>Actual SS P&amp;L; mgmt=off-site+on-site combined</t>
        </is>
      </c>
    </row>
    <row r="96" ht="13.5" customHeight="1" s="545">
      <c r="A96" s="476" t="inlineStr">
        <is>
          <t>P043</t>
        </is>
      </c>
      <c r="B96" s="449" t="n">
        <v>386</v>
      </c>
      <c r="C96" s="476" t="inlineStr">
        <is>
          <t>R0126234</t>
        </is>
      </c>
      <c r="D96" s="477" t="inlineStr">
        <is>
          <t>715 W 112th Ave</t>
        </is>
      </c>
      <c r="E96" s="476" t="inlineStr">
        <is>
          <t>Northglenn</t>
        </is>
      </c>
      <c r="F96" s="476" t="inlineStr">
        <is>
          <t>CO</t>
        </is>
      </c>
      <c r="G96" s="476" t="inlineStr">
        <is>
          <t>Self-Storage</t>
        </is>
      </c>
      <c r="H96" s="477" t="inlineStr">
        <is>
          <t>Drive-Up/Drop-Off</t>
        </is>
      </c>
      <c r="I96" s="478" t="n"/>
      <c r="J96" s="478" t="n">
        <v>83756</v>
      </c>
      <c r="K96" s="478" t="n">
        <v>2023</v>
      </c>
      <c r="L96" s="476" t="n"/>
      <c r="M96" s="476" t="n"/>
      <c r="N96" s="479" t="n">
        <v>12.0821</v>
      </c>
      <c r="O96" s="479" t="n">
        <v>0.5624</v>
      </c>
      <c r="P96" s="479" t="n">
        <v>1.3342</v>
      </c>
      <c r="Q96" s="476" t="n"/>
      <c r="R96" s="476" t="n"/>
      <c r="S96" s="476" t="n"/>
      <c r="T96" s="476" t="n"/>
      <c r="U96" s="476" t="n"/>
      <c r="V96" s="476" t="n"/>
      <c r="W96" s="476" t="n"/>
      <c r="X96" s="476" t="n"/>
      <c r="Y96" s="479" t="n">
        <v>0.1222</v>
      </c>
      <c r="Z96" s="476" t="n"/>
      <c r="AA96" s="476" t="n"/>
      <c r="AB96" s="476" t="n"/>
      <c r="AC96" s="476" t="n"/>
      <c r="AD96" s="476" t="n"/>
      <c r="AE96" s="476" t="n"/>
      <c r="AF96" s="479" t="n">
        <v>0.1904</v>
      </c>
      <c r="AG96" s="476" t="n"/>
      <c r="AH96" s="479" t="n">
        <v>3.0787</v>
      </c>
      <c r="AI96" s="479" t="n">
        <v>2.42</v>
      </c>
      <c r="AJ96" s="479" t="n">
        <v>5.4986</v>
      </c>
      <c r="AK96" s="479" t="n">
        <v>6.5859</v>
      </c>
      <c r="AL96" s="476" t="n"/>
      <c r="AM96" s="477" t="inlineStr">
        <is>
          <t>Actual SS P&amp;L; mgmt=off-site+on-site combined</t>
        </is>
      </c>
    </row>
    <row r="97" ht="13.5" customHeight="1" s="545">
      <c r="A97" s="476" t="inlineStr">
        <is>
          <t>P044</t>
        </is>
      </c>
      <c r="B97" s="449" t="n">
        <v>386</v>
      </c>
      <c r="C97" s="476" t="inlineStr">
        <is>
          <t>R0027089/R0178319</t>
        </is>
      </c>
      <c r="D97" s="477" t="inlineStr">
        <is>
          <t>2290 E 120th Ave</t>
        </is>
      </c>
      <c r="E97" s="476" t="inlineStr">
        <is>
          <t>Thornton</t>
        </is>
      </c>
      <c r="F97" s="476" t="inlineStr">
        <is>
          <t>CO</t>
        </is>
      </c>
      <c r="G97" s="476" t="inlineStr">
        <is>
          <t>Self-Storage</t>
        </is>
      </c>
      <c r="H97" s="477" t="inlineStr">
        <is>
          <t>Drive-Up/Drop-Off</t>
        </is>
      </c>
      <c r="I97" s="478" t="n"/>
      <c r="J97" s="478" t="n">
        <v>71909</v>
      </c>
      <c r="K97" s="478" t="n">
        <v>2021</v>
      </c>
      <c r="L97" s="476" t="n"/>
      <c r="M97" s="476" t="n"/>
      <c r="N97" s="479" t="n">
        <v>11.6457</v>
      </c>
      <c r="O97" s="476" t="n"/>
      <c r="P97" s="476" t="n"/>
      <c r="Q97" s="476" t="n"/>
      <c r="R97" s="476" t="n"/>
      <c r="S97" s="476" t="n"/>
      <c r="T97" s="476" t="n"/>
      <c r="U97" s="476" t="n"/>
      <c r="V97" s="476" t="n"/>
      <c r="W97" s="476" t="n"/>
      <c r="X97" s="476" t="n"/>
      <c r="Y97" s="476" t="n"/>
      <c r="Z97" s="476" t="n"/>
      <c r="AA97" s="476" t="n"/>
      <c r="AB97" s="476" t="n"/>
      <c r="AC97" s="476" t="n"/>
      <c r="AD97" s="476" t="n"/>
      <c r="AE97" s="476" t="n"/>
      <c r="AF97" s="476" t="n"/>
      <c r="AG97" s="476" t="n"/>
      <c r="AH97" s="476" t="n"/>
      <c r="AI97" s="476" t="n"/>
      <c r="AJ97" s="479" t="n">
        <v>6.1981</v>
      </c>
      <c r="AK97" s="479" t="n">
        <v>5.4476</v>
      </c>
      <c r="AL97" s="476" t="n"/>
      <c r="AM97" s="477" t="inlineStr">
        <is>
          <t>Actual SS P&amp;L; combined parcels R0027089+R0178319; mgmt=off-site+on-site</t>
        </is>
      </c>
    </row>
    <row r="98" ht="13.5" customHeight="1" s="545">
      <c r="A98" s="476" t="inlineStr">
        <is>
          <t>P044</t>
        </is>
      </c>
      <c r="B98" s="449" t="n">
        <v>386</v>
      </c>
      <c r="C98" s="476" t="inlineStr">
        <is>
          <t>R0027089/R0178319</t>
        </is>
      </c>
      <c r="D98" s="477" t="inlineStr">
        <is>
          <t>2290 E 120th Ave</t>
        </is>
      </c>
      <c r="E98" s="476" t="inlineStr">
        <is>
          <t>Thornton</t>
        </is>
      </c>
      <c r="F98" s="476" t="inlineStr">
        <is>
          <t>CO</t>
        </is>
      </c>
      <c r="G98" s="476" t="inlineStr">
        <is>
          <t>Self-Storage</t>
        </is>
      </c>
      <c r="H98" s="477" t="inlineStr">
        <is>
          <t>Drive-Up/Drop-Off</t>
        </is>
      </c>
      <c r="I98" s="478" t="n"/>
      <c r="J98" s="478" t="n">
        <v>71909</v>
      </c>
      <c r="K98" s="478" t="n">
        <v>2022</v>
      </c>
      <c r="L98" s="476" t="n"/>
      <c r="M98" s="476" t="n"/>
      <c r="N98" s="479" t="n">
        <v>13.1494</v>
      </c>
      <c r="O98" s="476" t="n"/>
      <c r="P98" s="476" t="n"/>
      <c r="Q98" s="476" t="n"/>
      <c r="R98" s="476" t="n"/>
      <c r="S98" s="476" t="n"/>
      <c r="T98" s="476" t="n"/>
      <c r="U98" s="476" t="n"/>
      <c r="V98" s="476" t="n"/>
      <c r="W98" s="476" t="n"/>
      <c r="X98" s="476" t="n"/>
      <c r="Y98" s="476" t="n"/>
      <c r="Z98" s="476" t="n"/>
      <c r="AA98" s="476" t="n"/>
      <c r="AB98" s="476" t="n"/>
      <c r="AC98" s="476" t="n"/>
      <c r="AD98" s="476" t="n"/>
      <c r="AE98" s="476" t="n"/>
      <c r="AF98" s="476" t="n"/>
      <c r="AG98" s="476" t="n"/>
      <c r="AH98" s="476" t="n"/>
      <c r="AI98" s="476" t="n"/>
      <c r="AJ98" s="479" t="n">
        <v>6.1981</v>
      </c>
      <c r="AK98" s="479" t="n">
        <v>6.4846</v>
      </c>
      <c r="AL98" s="476" t="n"/>
      <c r="AM98" s="477" t="inlineStr">
        <is>
          <t>Actual SS P&amp;L; combined parcels R0027089+R0178319; mgmt=off-site+on-site</t>
        </is>
      </c>
    </row>
    <row r="99" ht="13.5" customHeight="1" s="545">
      <c r="A99" s="476" t="inlineStr">
        <is>
          <t>P044</t>
        </is>
      </c>
      <c r="B99" s="449" t="n">
        <v>386</v>
      </c>
      <c r="C99" s="476" t="inlineStr">
        <is>
          <t>R0027089/R0178319</t>
        </is>
      </c>
      <c r="D99" s="477" t="inlineStr">
        <is>
          <t>2290 E 120th Ave</t>
        </is>
      </c>
      <c r="E99" s="476" t="inlineStr">
        <is>
          <t>Thornton</t>
        </is>
      </c>
      <c r="F99" s="476" t="inlineStr">
        <is>
          <t>CO</t>
        </is>
      </c>
      <c r="G99" s="476" t="inlineStr">
        <is>
          <t>Self-Storage</t>
        </is>
      </c>
      <c r="H99" s="477" t="inlineStr">
        <is>
          <t>Drive-Up/Drop-Off</t>
        </is>
      </c>
      <c r="I99" s="478" t="n"/>
      <c r="J99" s="478" t="n">
        <v>71909</v>
      </c>
      <c r="K99" s="478" t="n">
        <v>2023</v>
      </c>
      <c r="L99" s="476" t="n"/>
      <c r="M99" s="476" t="n"/>
      <c r="N99" s="479" t="n">
        <v>13.6392</v>
      </c>
      <c r="O99" s="479" t="n">
        <v>0.6036</v>
      </c>
      <c r="P99" s="479" t="n">
        <v>1.9706</v>
      </c>
      <c r="Q99" s="476" t="n"/>
      <c r="R99" s="476" t="n"/>
      <c r="S99" s="476" t="n"/>
      <c r="T99" s="476" t="n"/>
      <c r="U99" s="476" t="n"/>
      <c r="V99" s="476" t="n"/>
      <c r="W99" s="476" t="n"/>
      <c r="X99" s="476" t="n"/>
      <c r="Y99" s="479" t="n">
        <v>0.248</v>
      </c>
      <c r="Z99" s="476" t="n"/>
      <c r="AA99" s="476" t="n"/>
      <c r="AB99" s="476" t="n"/>
      <c r="AC99" s="476" t="n"/>
      <c r="AD99" s="476" t="n"/>
      <c r="AE99" s="476" t="n"/>
      <c r="AF99" s="479" t="n">
        <v>0.298</v>
      </c>
      <c r="AG99" s="476" t="n"/>
      <c r="AH99" s="479" t="n">
        <v>4.1574</v>
      </c>
      <c r="AI99" s="479" t="n">
        <v>2.5917</v>
      </c>
      <c r="AJ99" s="479" t="n">
        <v>6.7491</v>
      </c>
      <c r="AK99" s="479" t="n">
        <v>6.8462</v>
      </c>
      <c r="AL99" s="476" t="n"/>
      <c r="AM99" s="477" t="inlineStr">
        <is>
          <t>Actual SS P&amp;L; combined parcels R0027089+R0178319; mgmt=off-site+on-site</t>
        </is>
      </c>
    </row>
    <row r="100" ht="13.5" customHeight="1" s="545">
      <c r="A100" s="476" t="inlineStr">
        <is>
          <t>P045</t>
        </is>
      </c>
      <c r="B100" s="449" t="n">
        <v>386</v>
      </c>
      <c r="C100" s="476" t="inlineStr">
        <is>
          <t>R0043569</t>
        </is>
      </c>
      <c r="D100" s="477" t="inlineStr">
        <is>
          <t>40131 Quivas St</t>
        </is>
      </c>
      <c r="E100" s="476" t="inlineStr">
        <is>
          <t>Thornton</t>
        </is>
      </c>
      <c r="F100" s="476" t="inlineStr">
        <is>
          <t>CO</t>
        </is>
      </c>
      <c r="G100" s="476" t="inlineStr">
        <is>
          <t>Self-Storage</t>
        </is>
      </c>
      <c r="H100" s="477" t="inlineStr">
        <is>
          <t>Drive-Up/Drop-Off</t>
        </is>
      </c>
      <c r="I100" s="478" t="n"/>
      <c r="J100" s="478" t="n">
        <v>41900</v>
      </c>
      <c r="K100" s="478" t="n">
        <v>2024</v>
      </c>
      <c r="L100" s="476" t="n"/>
      <c r="M100" s="476" t="n"/>
      <c r="N100" s="479" t="n">
        <v>17.1375</v>
      </c>
      <c r="O100" s="479" t="n">
        <v>0.4543</v>
      </c>
      <c r="P100" s="479" t="n">
        <v>2.2428</v>
      </c>
      <c r="Q100" s="476" t="n"/>
      <c r="R100" s="476" t="n"/>
      <c r="S100" s="476" t="n"/>
      <c r="T100" s="476" t="n"/>
      <c r="U100" s="476" t="n"/>
      <c r="V100" s="476" t="n"/>
      <c r="W100" s="476" t="n"/>
      <c r="X100" s="476" t="n"/>
      <c r="Y100" s="479" t="n">
        <v>0.2809</v>
      </c>
      <c r="Z100" s="476" t="n"/>
      <c r="AA100" s="476" t="n"/>
      <c r="AB100" s="476" t="n"/>
      <c r="AC100" s="476" t="n"/>
      <c r="AD100" s="476" t="n"/>
      <c r="AE100" s="476" t="n"/>
      <c r="AF100" s="479" t="n">
        <v>0.1293</v>
      </c>
      <c r="AG100" s="476" t="n"/>
      <c r="AH100" s="479" t="n">
        <v>4.9831</v>
      </c>
      <c r="AI100" s="479" t="n">
        <v>4.213</v>
      </c>
      <c r="AJ100" s="479" t="n">
        <v>9.196</v>
      </c>
      <c r="AK100" s="479" t="n">
        <v>7.9414</v>
      </c>
      <c r="AL100" s="476" t="n"/>
      <c r="AM100" s="477" t="inlineStr">
        <is>
          <t>Actual FY2024 P&amp;L; mgmt=off-site $42,964+on-site $51,011; RE Tax est from matrix</t>
        </is>
      </c>
    </row>
    <row r="101" ht="13.5" customHeight="1" s="545">
      <c r="A101" s="476" t="inlineStr">
        <is>
          <t>P046</t>
        </is>
      </c>
      <c r="B101" s="449" t="n">
        <v>386</v>
      </c>
      <c r="C101" s="476" t="inlineStr">
        <is>
          <t>R0193009</t>
        </is>
      </c>
      <c r="D101" s="477" t="inlineStr">
        <is>
          <t>Address unknown – see R0193009</t>
        </is>
      </c>
      <c r="E101" s="476" t="inlineStr">
        <is>
          <t>Adams County</t>
        </is>
      </c>
      <c r="F101" s="476" t="inlineStr">
        <is>
          <t>CO</t>
        </is>
      </c>
      <c r="G101" s="476" t="inlineStr">
        <is>
          <t>Self-Storage</t>
        </is>
      </c>
      <c r="H101" s="477" t="inlineStr">
        <is>
          <t>Climate-Controlled</t>
        </is>
      </c>
      <c r="I101" s="478" t="n"/>
      <c r="J101" s="478" t="n">
        <v>94736</v>
      </c>
      <c r="K101" s="478" t="n"/>
      <c r="L101" s="476" t="n"/>
      <c r="M101" s="476" t="n"/>
      <c r="N101" s="479" t="n">
        <v>16.7</v>
      </c>
      <c r="O101" s="479" t="n">
        <v>0.4183</v>
      </c>
      <c r="P101" s="479" t="n">
        <v>1.7666</v>
      </c>
      <c r="Q101" s="476" t="n"/>
      <c r="R101" s="476" t="n"/>
      <c r="S101" s="476" t="n"/>
      <c r="T101" s="476" t="n"/>
      <c r="U101" s="476" t="n"/>
      <c r="V101" s="476" t="n"/>
      <c r="W101" s="476" t="n"/>
      <c r="X101" s="476" t="n"/>
      <c r="Y101" s="479" t="n">
        <v>0.4073</v>
      </c>
      <c r="Z101" s="476" t="n"/>
      <c r="AA101" s="476" t="n"/>
      <c r="AB101" s="476" t="n"/>
      <c r="AC101" s="476" t="n"/>
      <c r="AD101" s="476" t="n"/>
      <c r="AE101" s="476" t="n"/>
      <c r="AF101" s="479" t="n">
        <v>0.207</v>
      </c>
      <c r="AG101" s="476" t="n"/>
      <c r="AH101" s="479" t="n">
        <v>3.6866</v>
      </c>
      <c r="AI101" s="479" t="n">
        <v>4.474</v>
      </c>
      <c r="AJ101" s="479" t="n">
        <v>8.160600000000001</v>
      </c>
      <c r="AK101" s="479" t="n">
        <v>8.539400000000001</v>
      </c>
      <c r="AL101" s="476" t="n"/>
      <c r="AM101" s="477" t="inlineStr">
        <is>
          <t>AXG SS Expense Matrix; year not specified (~2022/23); R0193009</t>
        </is>
      </c>
    </row>
    <row r="102" ht="13.5" customHeight="1" s="545">
      <c r="A102" s="476" t="inlineStr">
        <is>
          <t>P047</t>
        </is>
      </c>
      <c r="B102" s="449" t="n">
        <v>386</v>
      </c>
      <c r="C102" s="476" t="inlineStr">
        <is>
          <t>R0099616</t>
        </is>
      </c>
      <c r="D102" s="477" t="inlineStr">
        <is>
          <t>Address unknown – see R0099616</t>
        </is>
      </c>
      <c r="E102" s="476" t="inlineStr">
        <is>
          <t>Adams County</t>
        </is>
      </c>
      <c r="F102" s="476" t="inlineStr">
        <is>
          <t>CO</t>
        </is>
      </c>
      <c r="G102" s="476" t="inlineStr">
        <is>
          <t>Self-Storage</t>
        </is>
      </c>
      <c r="H102" s="477" t="inlineStr">
        <is>
          <t>Drive-Up/Drop-Off</t>
        </is>
      </c>
      <c r="I102" s="478" t="n"/>
      <c r="J102" s="478" t="n">
        <v>73500</v>
      </c>
      <c r="K102" s="478" t="n"/>
      <c r="L102" s="476" t="n"/>
      <c r="M102" s="476" t="n"/>
      <c r="N102" s="479" t="n">
        <v>11.3518</v>
      </c>
      <c r="O102" s="479" t="n">
        <v>0.2504</v>
      </c>
      <c r="P102" s="479" t="n">
        <v>0.8845</v>
      </c>
      <c r="Q102" s="476" t="n"/>
      <c r="R102" s="476" t="n"/>
      <c r="S102" s="476" t="n"/>
      <c r="T102" s="476" t="n"/>
      <c r="U102" s="476" t="n"/>
      <c r="V102" s="476" t="n"/>
      <c r="W102" s="476" t="n"/>
      <c r="X102" s="476" t="n"/>
      <c r="Y102" s="479" t="n">
        <v>0.3368</v>
      </c>
      <c r="Z102" s="476" t="n"/>
      <c r="AA102" s="476" t="n"/>
      <c r="AB102" s="476" t="n"/>
      <c r="AC102" s="476" t="n"/>
      <c r="AD102" s="476" t="n"/>
      <c r="AE102" s="476" t="n"/>
      <c r="AF102" s="479" t="n">
        <v>0.2348</v>
      </c>
      <c r="AG102" s="476" t="n"/>
      <c r="AH102" s="479" t="n">
        <v>2.7024</v>
      </c>
      <c r="AI102" s="479" t="n">
        <v>2.144</v>
      </c>
      <c r="AJ102" s="479" t="n">
        <v>4.8463</v>
      </c>
      <c r="AK102" s="479" t="n">
        <v>6.5055</v>
      </c>
      <c r="AL102" s="476" t="n"/>
      <c r="AM102" s="477" t="inlineStr">
        <is>
          <t>AXG SS Expense Matrix; year not specified (~2022/23); R0099616</t>
        </is>
      </c>
    </row>
    <row r="103" ht="13.5" customHeight="1" s="545">
      <c r="A103" s="476" t="inlineStr">
        <is>
          <t>P048</t>
        </is>
      </c>
      <c r="B103" s="449" t="n">
        <v>386</v>
      </c>
      <c r="C103" s="476" t="inlineStr">
        <is>
          <t>R0098019</t>
        </is>
      </c>
      <c r="D103" s="477" t="inlineStr">
        <is>
          <t>Address unknown – see R0098019</t>
        </is>
      </c>
      <c r="E103" s="476" t="inlineStr">
        <is>
          <t>Adams County</t>
        </is>
      </c>
      <c r="F103" s="476" t="inlineStr">
        <is>
          <t>CO</t>
        </is>
      </c>
      <c r="G103" s="476" t="inlineStr">
        <is>
          <t>Self-Storage</t>
        </is>
      </c>
      <c r="H103" s="477" t="inlineStr">
        <is>
          <t>Drive-Up/Drop-Off</t>
        </is>
      </c>
      <c r="I103" s="478" t="n"/>
      <c r="J103" s="478" t="n">
        <v>44975</v>
      </c>
      <c r="K103" s="478" t="n"/>
      <c r="L103" s="476" t="n"/>
      <c r="M103" s="476" t="n"/>
      <c r="N103" s="479" t="n">
        <v>13.0923</v>
      </c>
      <c r="O103" s="479" t="n">
        <v>0.4933</v>
      </c>
      <c r="P103" s="479" t="n">
        <v>0.8561</v>
      </c>
      <c r="Q103" s="476" t="n"/>
      <c r="R103" s="476" t="n"/>
      <c r="S103" s="476" t="n"/>
      <c r="T103" s="476" t="n"/>
      <c r="U103" s="476" t="n"/>
      <c r="V103" s="476" t="n"/>
      <c r="W103" s="476" t="n"/>
      <c r="X103" s="476" t="n"/>
      <c r="Y103" s="479" t="n">
        <v>0.8597</v>
      </c>
      <c r="Z103" s="476" t="n"/>
      <c r="AA103" s="476" t="n"/>
      <c r="AB103" s="476" t="n"/>
      <c r="AC103" s="476" t="n"/>
      <c r="AD103" s="476" t="n"/>
      <c r="AE103" s="476" t="n"/>
      <c r="AF103" s="479" t="n">
        <v>0.6947</v>
      </c>
      <c r="AG103" s="476" t="n"/>
      <c r="AH103" s="479" t="n">
        <v>3.1997</v>
      </c>
      <c r="AI103" s="479" t="n">
        <v>2.8576</v>
      </c>
      <c r="AJ103" s="479" t="n">
        <v>6.0573</v>
      </c>
      <c r="AK103" s="479" t="n">
        <v>7.035</v>
      </c>
      <c r="AL103" s="476" t="n"/>
      <c r="AM103" s="477" t="inlineStr">
        <is>
          <t>AXG SS Expense Matrix; year not specified (~2022/23); R0098019</t>
        </is>
      </c>
    </row>
    <row r="104" ht="13.5" customHeight="1" s="545">
      <c r="A104" s="476" t="inlineStr">
        <is>
          <t>P049</t>
        </is>
      </c>
      <c r="B104" s="449" t="n">
        <v>386</v>
      </c>
      <c r="C104" s="476" t="inlineStr">
        <is>
          <t>R0102989</t>
        </is>
      </c>
      <c r="D104" s="477" t="inlineStr">
        <is>
          <t>Address unknown – see R0102989</t>
        </is>
      </c>
      <c r="E104" s="476" t="inlineStr">
        <is>
          <t>Adams County</t>
        </is>
      </c>
      <c r="F104" s="476" t="inlineStr">
        <is>
          <t>CO</t>
        </is>
      </c>
      <c r="G104" s="476" t="inlineStr">
        <is>
          <t>Self-Storage</t>
        </is>
      </c>
      <c r="H104" s="477" t="inlineStr">
        <is>
          <t>Climate-Controlled</t>
        </is>
      </c>
      <c r="I104" s="478" t="n"/>
      <c r="J104" s="478" t="n">
        <v>94797</v>
      </c>
      <c r="K104" s="478" t="n"/>
      <c r="L104" s="476" t="n"/>
      <c r="M104" s="476" t="n"/>
      <c r="N104" s="479" t="n">
        <v>12.4952</v>
      </c>
      <c r="O104" s="479" t="n">
        <v>0.2668</v>
      </c>
      <c r="P104" s="479" t="n">
        <v>2.1805</v>
      </c>
      <c r="Q104" s="476" t="n"/>
      <c r="R104" s="476" t="n"/>
      <c r="S104" s="476" t="n"/>
      <c r="T104" s="476" t="n"/>
      <c r="U104" s="476" t="n"/>
      <c r="V104" s="476" t="n"/>
      <c r="W104" s="476" t="n"/>
      <c r="X104" s="476" t="n"/>
      <c r="Y104" s="479" t="n">
        <v>0.3013</v>
      </c>
      <c r="Z104" s="476" t="n"/>
      <c r="AA104" s="476" t="n"/>
      <c r="AB104" s="476" t="n"/>
      <c r="AC104" s="476" t="n"/>
      <c r="AD104" s="476" t="n"/>
      <c r="AE104" s="476" t="n"/>
      <c r="AF104" s="479" t="n">
        <v>0.5221</v>
      </c>
      <c r="AG104" s="476" t="n"/>
      <c r="AH104" s="479" t="n">
        <v>4.5787</v>
      </c>
      <c r="AI104" s="479" t="n">
        <v>2.7378</v>
      </c>
      <c r="AJ104" s="479" t="n">
        <v>7.3165</v>
      </c>
      <c r="AK104" s="479" t="n">
        <v>5.1786</v>
      </c>
      <c r="AL104" s="476" t="n"/>
      <c r="AM104" s="477" t="inlineStr">
        <is>
          <t>AXG SS Expense Matrix; year not specified (~2022/23); R0102989</t>
        </is>
      </c>
    </row>
    <row r="105" ht="13.5" customHeight="1" s="545">
      <c r="A105" s="476" t="inlineStr">
        <is>
          <t>P050</t>
        </is>
      </c>
      <c r="B105" s="449" t="n">
        <v>386</v>
      </c>
      <c r="C105" s="476" t="inlineStr">
        <is>
          <t>R0085523</t>
        </is>
      </c>
      <c r="D105" s="477" t="inlineStr">
        <is>
          <t>Address unknown – see R0085523</t>
        </is>
      </c>
      <c r="E105" s="476" t="inlineStr">
        <is>
          <t>Adams County</t>
        </is>
      </c>
      <c r="F105" s="476" t="inlineStr">
        <is>
          <t>CO</t>
        </is>
      </c>
      <c r="G105" s="476" t="inlineStr">
        <is>
          <t>Self-Storage</t>
        </is>
      </c>
      <c r="H105" s="477" t="inlineStr">
        <is>
          <t>Drive-Up/Drop-Off</t>
        </is>
      </c>
      <c r="I105" s="478" t="n"/>
      <c r="J105" s="478" t="n">
        <v>39525</v>
      </c>
      <c r="K105" s="478" t="n"/>
      <c r="L105" s="476" t="n"/>
      <c r="M105" s="476" t="n"/>
      <c r="N105" s="479" t="n">
        <v>13.7122</v>
      </c>
      <c r="O105" s="479" t="n">
        <v>0.2102</v>
      </c>
      <c r="P105" s="479" t="n">
        <v>2.3853</v>
      </c>
      <c r="Q105" s="476" t="n"/>
      <c r="R105" s="476" t="n"/>
      <c r="S105" s="476" t="n"/>
      <c r="T105" s="476" t="n"/>
      <c r="U105" s="476" t="n"/>
      <c r="V105" s="476" t="n"/>
      <c r="W105" s="476" t="n"/>
      <c r="X105" s="476" t="n"/>
      <c r="Y105" s="479" t="n">
        <v>0.5387</v>
      </c>
      <c r="Z105" s="476" t="n"/>
      <c r="AA105" s="476" t="n"/>
      <c r="AB105" s="476" t="n"/>
      <c r="AC105" s="476" t="n"/>
      <c r="AD105" s="476" t="n"/>
      <c r="AE105" s="476" t="n"/>
      <c r="AF105" s="479" t="n">
        <v>0.4172</v>
      </c>
      <c r="AG105" s="476" t="n"/>
      <c r="AH105" s="479" t="n">
        <v>3.7856</v>
      </c>
      <c r="AI105" s="479" t="n">
        <v>5.2913</v>
      </c>
      <c r="AJ105" s="479" t="n">
        <v>9.0769</v>
      </c>
      <c r="AK105" s="479" t="n">
        <v>4.6352</v>
      </c>
      <c r="AL105" s="476" t="n"/>
      <c r="AM105" s="477" t="inlineStr">
        <is>
          <t>AXG SS Expense Matrix; year not specified (~2022/23); R0085523</t>
        </is>
      </c>
    </row>
    <row r="106" ht="13.5" customHeight="1" s="545">
      <c r="A106" s="476" t="inlineStr">
        <is>
          <t>P051</t>
        </is>
      </c>
      <c r="B106" s="449" t="n">
        <v>386</v>
      </c>
      <c r="C106" s="476" t="inlineStr">
        <is>
          <t>R0174860</t>
        </is>
      </c>
      <c r="D106" s="477" t="inlineStr">
        <is>
          <t>Address unknown – see R0174860</t>
        </is>
      </c>
      <c r="E106" s="476" t="inlineStr">
        <is>
          <t>Adams County</t>
        </is>
      </c>
      <c r="F106" s="476" t="inlineStr">
        <is>
          <t>CO</t>
        </is>
      </c>
      <c r="G106" s="476" t="inlineStr">
        <is>
          <t>Self-Storage</t>
        </is>
      </c>
      <c r="H106" s="477" t="inlineStr">
        <is>
          <t>Drive-Up/Drop-Off (containers)</t>
        </is>
      </c>
      <c r="I106" s="478" t="n"/>
      <c r="J106" s="478" t="n">
        <v>45980</v>
      </c>
      <c r="K106" s="478" t="n"/>
      <c r="L106" s="476" t="n"/>
      <c r="M106" s="476" t="n"/>
      <c r="N106" s="479" t="n">
        <v>14.0604</v>
      </c>
      <c r="O106" s="479" t="n">
        <v>0.1085</v>
      </c>
      <c r="P106" s="479" t="n">
        <v>1.5224</v>
      </c>
      <c r="Q106" s="476" t="n"/>
      <c r="R106" s="476" t="n"/>
      <c r="S106" s="476" t="n"/>
      <c r="T106" s="476" t="n"/>
      <c r="U106" s="476" t="n"/>
      <c r="V106" s="476" t="n"/>
      <c r="W106" s="476" t="n"/>
      <c r="X106" s="476" t="n"/>
      <c r="Y106" s="479" t="n">
        <v>0.261</v>
      </c>
      <c r="Z106" s="476" t="n"/>
      <c r="AA106" s="476" t="n"/>
      <c r="AB106" s="476" t="n"/>
      <c r="AC106" s="476" t="n"/>
      <c r="AD106" s="476" t="n"/>
      <c r="AE106" s="476" t="n"/>
      <c r="AF106" s="479" t="n">
        <v>0.2604</v>
      </c>
      <c r="AG106" s="476" t="n"/>
      <c r="AH106" s="479" t="n">
        <v>3.1926</v>
      </c>
      <c r="AI106" s="479" t="n">
        <v>1.806</v>
      </c>
      <c r="AJ106" s="479" t="n">
        <v>4.9986</v>
      </c>
      <c r="AK106" s="479" t="n">
        <v>9.0617</v>
      </c>
      <c r="AL106" s="476" t="n"/>
      <c r="AM106" s="477" t="inlineStr">
        <is>
          <t>AXG SS Expense Matrix; year not specified (~2022/23); R0174860</t>
        </is>
      </c>
    </row>
    <row r="107" ht="13.5" customHeight="1" s="545">
      <c r="A107" s="476" t="inlineStr">
        <is>
          <t>P052</t>
        </is>
      </c>
      <c r="B107" s="449" t="n">
        <v>386</v>
      </c>
      <c r="C107" s="476" t="inlineStr">
        <is>
          <t>R0161412</t>
        </is>
      </c>
      <c r="D107" s="477" t="inlineStr">
        <is>
          <t>Address unknown – see R0161412</t>
        </is>
      </c>
      <c r="E107" s="476" t="inlineStr">
        <is>
          <t>Adams County</t>
        </is>
      </c>
      <c r="F107" s="476" t="inlineStr">
        <is>
          <t>CO</t>
        </is>
      </c>
      <c r="G107" s="476" t="inlineStr">
        <is>
          <t>Self-Storage</t>
        </is>
      </c>
      <c r="H107" s="477" t="inlineStr">
        <is>
          <t>Drive-Up/Drop-Off</t>
        </is>
      </c>
      <c r="I107" s="478" t="n"/>
      <c r="J107" s="478" t="n">
        <v>88043</v>
      </c>
      <c r="K107" s="478" t="n"/>
      <c r="L107" s="476" t="n"/>
      <c r="M107" s="476" t="n"/>
      <c r="N107" s="479" t="n">
        <v>13.7047</v>
      </c>
      <c r="O107" s="479" t="n">
        <v>0.1417</v>
      </c>
      <c r="P107" s="479" t="n">
        <v>2.0341</v>
      </c>
      <c r="Q107" s="476" t="n"/>
      <c r="R107" s="476" t="n"/>
      <c r="S107" s="476" t="n"/>
      <c r="T107" s="476" t="n"/>
      <c r="U107" s="476" t="n"/>
      <c r="V107" s="476" t="n"/>
      <c r="W107" s="476" t="n"/>
      <c r="X107" s="476" t="n"/>
      <c r="Y107" s="479" t="n">
        <v>0.2303</v>
      </c>
      <c r="Z107" s="476" t="n"/>
      <c r="AA107" s="476" t="n"/>
      <c r="AB107" s="476" t="n"/>
      <c r="AC107" s="476" t="n"/>
      <c r="AD107" s="476" t="n"/>
      <c r="AE107" s="476" t="n"/>
      <c r="AF107" s="479" t="n">
        <v>0.1926</v>
      </c>
      <c r="AG107" s="476" t="n"/>
      <c r="AH107" s="479" t="n">
        <v>3.2267</v>
      </c>
      <c r="AI107" s="479" t="n">
        <v>4.424</v>
      </c>
      <c r="AJ107" s="479" t="n">
        <v>7.6507</v>
      </c>
      <c r="AK107" s="479" t="n">
        <v>6.054</v>
      </c>
      <c r="AL107" s="476" t="n"/>
      <c r="AM107" s="477" t="inlineStr">
        <is>
          <t>AXG SS Expense Matrix; year not specified (~2022/23); R0161412</t>
        </is>
      </c>
    </row>
    <row r="108" ht="13.5" customHeight="1" s="545">
      <c r="A108" s="476" t="inlineStr">
        <is>
          <t>P053</t>
        </is>
      </c>
      <c r="B108" s="449" t="n">
        <v>386</v>
      </c>
      <c r="C108" s="476" t="inlineStr">
        <is>
          <t>R0169115</t>
        </is>
      </c>
      <c r="D108" s="477" t="inlineStr">
        <is>
          <t>Address unknown – see R0169115</t>
        </is>
      </c>
      <c r="E108" s="476" t="inlineStr">
        <is>
          <t>Adams County</t>
        </is>
      </c>
      <c r="F108" s="476" t="inlineStr">
        <is>
          <t>CO</t>
        </is>
      </c>
      <c r="G108" s="476" t="inlineStr">
        <is>
          <t>Self-Storage</t>
        </is>
      </c>
      <c r="H108" s="477" t="inlineStr">
        <is>
          <t>Drive-Up/Drop-Off</t>
        </is>
      </c>
      <c r="I108" s="478" t="n"/>
      <c r="J108" s="478" t="n">
        <v>41764</v>
      </c>
      <c r="K108" s="478" t="n"/>
      <c r="L108" s="476" t="n"/>
      <c r="M108" s="476" t="n"/>
      <c r="N108" s="479" t="n">
        <v>18.8527</v>
      </c>
      <c r="O108" s="479" t="n">
        <v>0.2311</v>
      </c>
      <c r="P108" s="479" t="n">
        <v>1.995</v>
      </c>
      <c r="Q108" s="476" t="n"/>
      <c r="R108" s="476" t="n"/>
      <c r="S108" s="476" t="n"/>
      <c r="T108" s="476" t="n"/>
      <c r="U108" s="476" t="n"/>
      <c r="V108" s="476" t="n"/>
      <c r="W108" s="476" t="n"/>
      <c r="X108" s="476" t="n"/>
      <c r="Y108" s="479" t="n">
        <v>0.6139</v>
      </c>
      <c r="Z108" s="476" t="n"/>
      <c r="AA108" s="476" t="n"/>
      <c r="AB108" s="476" t="n"/>
      <c r="AC108" s="476" t="n"/>
      <c r="AD108" s="476" t="n"/>
      <c r="AE108" s="476" t="n"/>
      <c r="AF108" s="479" t="n">
        <v>0.3821</v>
      </c>
      <c r="AG108" s="476" t="n"/>
      <c r="AH108" s="479" t="n">
        <v>4.6124</v>
      </c>
      <c r="AI108" s="479" t="n">
        <v>4.8634</v>
      </c>
      <c r="AJ108" s="479" t="n">
        <v>9.4758</v>
      </c>
      <c r="AK108" s="479" t="n">
        <v>9.376899999999999</v>
      </c>
      <c r="AL108" s="476" t="n"/>
      <c r="AM108" s="477" t="inlineStr">
        <is>
          <t>AXG SS Expense Matrix; year not specified (~2022/23); R0169115</t>
        </is>
      </c>
    </row>
    <row r="109" ht="13.5" customHeight="1" s="545">
      <c r="A109" s="450" t="inlineStr">
        <is>
          <t>P016</t>
        </is>
      </c>
      <c r="B109" s="449" t="n">
        <v>584</v>
      </c>
      <c r="C109" s="450" t="inlineStr">
        <is>
          <t>R0212546/R0212547</t>
        </is>
      </c>
      <c r="D109" s="468" t="inlineStr">
        <is>
          <t>2780 N Tower Rd</t>
        </is>
      </c>
      <c r="E109" s="450" t="inlineStr">
        <is>
          <t>Aurora</t>
        </is>
      </c>
      <c r="F109" s="450" t="inlineStr">
        <is>
          <t>CO</t>
        </is>
      </c>
      <c r="G109" s="450" t="inlineStr">
        <is>
          <t>Industrial</t>
        </is>
      </c>
      <c r="H109" s="468" t="inlineStr">
        <is>
          <t>Mega Warehouse NNN</t>
        </is>
      </c>
      <c r="I109" s="491" t="n">
        <v>1983</v>
      </c>
      <c r="J109" s="480" t="n">
        <v>377729</v>
      </c>
      <c r="K109" s="491" t="n">
        <v>2023</v>
      </c>
      <c r="L109" s="492" t="n">
        <v>7.8884</v>
      </c>
      <c r="M109" s="493" t="n">
        <v>0</v>
      </c>
      <c r="N109" s="492" t="n">
        <v>7.8884</v>
      </c>
      <c r="O109" s="493" t="n"/>
      <c r="P109" s="492" t="n">
        <v>0.0541</v>
      </c>
      <c r="Q109" s="493" t="n"/>
      <c r="R109" s="493" t="n"/>
      <c r="S109" s="493" t="n"/>
      <c r="T109" s="493" t="n"/>
      <c r="U109" s="493" t="n"/>
      <c r="V109" s="493" t="n"/>
      <c r="W109" s="493" t="n"/>
      <c r="X109" s="493" t="n">
        <v>0.0058</v>
      </c>
      <c r="Y109" s="493" t="n">
        <v>0.0058</v>
      </c>
      <c r="Z109" s="493" t="n"/>
      <c r="AA109" s="493" t="n"/>
      <c r="AB109" s="493" t="n"/>
      <c r="AC109" s="493" t="n">
        <v>0</v>
      </c>
      <c r="AD109" s="493" t="n"/>
      <c r="AE109" s="493" t="n"/>
      <c r="AF109" s="493" t="n">
        <v>0.0018</v>
      </c>
      <c r="AG109" s="492" t="n">
        <v>0.0156</v>
      </c>
      <c r="AH109" s="492" t="n">
        <v>0.0774</v>
      </c>
      <c r="AI109" s="492" t="n">
        <v>0</v>
      </c>
      <c r="AJ109" s="492" t="n">
        <v>0.0774</v>
      </c>
      <c r="AK109" s="492" t="n">
        <v>7.811</v>
      </c>
      <c r="AL109" s="493" t="n"/>
      <c r="AM109" s="468" t="inlineStr">
        <is>
          <t>Source: Master Property Database (Income-Expense Detail). Absolute-net single tenant; tenant pays RE tax, insurance, utilities and R&amp;M direct. Owner opex = admin only. Excludes depreciation $456,096, amortisation $12,124 and interest $641,014.</t>
        </is>
      </c>
    </row>
    <row r="110" ht="13.5" customHeight="1" s="545">
      <c r="A110" s="476" t="inlineStr">
        <is>
          <t>P016</t>
        </is>
      </c>
      <c r="B110" s="449" t="n">
        <v>584</v>
      </c>
      <c r="C110" s="476" t="inlineStr">
        <is>
          <t>R0212546/R0212547</t>
        </is>
      </c>
      <c r="D110" s="477" t="inlineStr">
        <is>
          <t>2780 N Tower Rd</t>
        </is>
      </c>
      <c r="E110" s="476" t="inlineStr">
        <is>
          <t>Aurora</t>
        </is>
      </c>
      <c r="F110" s="476" t="inlineStr">
        <is>
          <t>CO</t>
        </is>
      </c>
      <c r="G110" s="476" t="inlineStr">
        <is>
          <t>Industrial</t>
        </is>
      </c>
      <c r="H110" s="477" t="inlineStr">
        <is>
          <t>Mega Warehouse NNN</t>
        </is>
      </c>
      <c r="I110" s="494" t="n">
        <v>1983</v>
      </c>
      <c r="J110" s="478" t="n">
        <v>377729</v>
      </c>
      <c r="K110" s="494" t="n">
        <v>2024</v>
      </c>
      <c r="L110" s="495" t="n">
        <v>8.067600000000001</v>
      </c>
      <c r="M110" s="496" t="n">
        <v>0</v>
      </c>
      <c r="N110" s="495" t="n">
        <v>8.067600000000001</v>
      </c>
      <c r="O110" s="496" t="n"/>
      <c r="P110" s="495" t="n">
        <v>0.053</v>
      </c>
      <c r="Q110" s="496" t="n"/>
      <c r="R110" s="496" t="n"/>
      <c r="S110" s="496" t="n"/>
      <c r="T110" s="496" t="n"/>
      <c r="U110" s="496" t="n"/>
      <c r="V110" s="496" t="n"/>
      <c r="W110" s="496" t="n"/>
      <c r="X110" s="496" t="n">
        <v>0.0393</v>
      </c>
      <c r="Y110" s="496" t="n">
        <v>0.0393</v>
      </c>
      <c r="Z110" s="496" t="n"/>
      <c r="AA110" s="496" t="n"/>
      <c r="AB110" s="496" t="n"/>
      <c r="AC110" s="496" t="n">
        <v>0</v>
      </c>
      <c r="AD110" s="496" t="n"/>
      <c r="AE110" s="496" t="n"/>
      <c r="AF110" s="496" t="n">
        <v>0</v>
      </c>
      <c r="AG110" s="495" t="n">
        <v>0.0321</v>
      </c>
      <c r="AH110" s="495" t="n">
        <v>0.1244</v>
      </c>
      <c r="AI110" s="495" t="n">
        <v>0</v>
      </c>
      <c r="AJ110" s="495" t="n">
        <v>0.1244</v>
      </c>
      <c r="AK110" s="495" t="n">
        <v>7.9433</v>
      </c>
      <c r="AL110" s="496" t="n"/>
      <c r="AM110" s="477" t="inlineStr">
        <is>
          <t>Source: Master Property Database (Income-Expense Detail). Absolute-net single tenant; rent $8.07/SF. Owner opex = admin only. Excludes depreciation $456,096, amortisation $12,124 and interest $613,282.</t>
        </is>
      </c>
    </row>
    <row r="111" ht="13.5" customHeight="1" s="545">
      <c r="A111" s="450" t="inlineStr">
        <is>
          <t>P034</t>
        </is>
      </c>
      <c r="B111" s="449" t="n">
        <v>407</v>
      </c>
      <c r="C111" s="450" t="inlineStr">
        <is>
          <t>R0172865</t>
        </is>
      </c>
      <c r="D111" s="468" t="inlineStr">
        <is>
          <t>Majestic Commercenter (R0172865)</t>
        </is>
      </c>
      <c r="E111" s="450" t="inlineStr">
        <is>
          <t>Commerce City</t>
        </is>
      </c>
      <c r="F111" s="450" t="inlineStr">
        <is>
          <t>CO</t>
        </is>
      </c>
      <c r="G111" s="450" t="inlineStr">
        <is>
          <t>Industrial</t>
        </is>
      </c>
      <c r="H111" s="468" t="inlineStr">
        <is>
          <t>Warehouse NNN</t>
        </is>
      </c>
      <c r="I111" s="480" t="n">
        <v>2008</v>
      </c>
      <c r="J111" s="480" t="n">
        <v>215461</v>
      </c>
      <c r="K111" s="480" t="n">
        <v>2024</v>
      </c>
      <c r="L111" s="481" t="n">
        <v>7.1488</v>
      </c>
      <c r="M111" s="450" t="n"/>
      <c r="N111" s="481" t="n">
        <v>7.1488</v>
      </c>
      <c r="O111" s="450" t="n"/>
      <c r="P111" s="450" t="n"/>
      <c r="Q111" s="450" t="n"/>
      <c r="R111" s="450" t="n"/>
      <c r="S111" s="450" t="n"/>
      <c r="T111" s="450" t="n"/>
      <c r="U111" s="450" t="n"/>
      <c r="V111" s="450" t="n"/>
      <c r="W111" s="450" t="n"/>
      <c r="X111" s="450" t="n"/>
      <c r="Y111" s="450" t="n"/>
      <c r="Z111" s="450" t="n"/>
      <c r="AA111" s="481" t="n">
        <v>0.0459</v>
      </c>
      <c r="AB111" s="481" t="n">
        <v>0.1387</v>
      </c>
      <c r="AC111" s="450" t="n"/>
      <c r="AD111" s="450" t="n"/>
      <c r="AE111" s="450" t="n"/>
      <c r="AF111" s="450" t="n"/>
      <c r="AG111" s="450" t="n"/>
      <c r="AH111" s="450" t="n"/>
      <c r="AI111" s="450" t="n"/>
      <c r="AJ111" s="450" t="n"/>
      <c r="AK111" s="450" t="n"/>
      <c r="AL111" s="450" t="n"/>
      <c r="AM111" s="468" t="inlineStr">
        <is>
          <t>2024 actual 12-month P&amp;L; NOI est. per expense ratio; from 08_2025 Review</t>
        </is>
      </c>
    </row>
    <row r="112" ht="13.5" customHeight="1" s="545">
      <c r="A112" s="476" t="inlineStr">
        <is>
          <t>P036</t>
        </is>
      </c>
      <c r="B112" s="449" t="n">
        <v>407</v>
      </c>
      <c r="C112" s="476" t="inlineStr">
        <is>
          <t>R0172868</t>
        </is>
      </c>
      <c r="D112" s="477" t="inlineStr">
        <is>
          <t>Majestic Commercenter (R0172868)</t>
        </is>
      </c>
      <c r="E112" s="476" t="inlineStr">
        <is>
          <t>Commerce City</t>
        </is>
      </c>
      <c r="F112" s="476" t="inlineStr">
        <is>
          <t>CO</t>
        </is>
      </c>
      <c r="G112" s="476" t="inlineStr">
        <is>
          <t>Industrial</t>
        </is>
      </c>
      <c r="H112" s="477" t="inlineStr">
        <is>
          <t>Warehouse NNN</t>
        </is>
      </c>
      <c r="I112" s="478" t="n">
        <v>2007</v>
      </c>
      <c r="J112" s="478" t="n">
        <v>202091</v>
      </c>
      <c r="K112" s="478" t="n">
        <v>2024</v>
      </c>
      <c r="L112" s="476" t="n"/>
      <c r="M112" s="476" t="n"/>
      <c r="N112" s="479" t="n">
        <v>5.233</v>
      </c>
      <c r="O112" s="476" t="n"/>
      <c r="P112" s="476" t="n"/>
      <c r="Q112" s="476" t="n"/>
      <c r="R112" s="476" t="n"/>
      <c r="S112" s="476" t="n"/>
      <c r="T112" s="476" t="n"/>
      <c r="U112" s="476" t="n"/>
      <c r="V112" s="476" t="n"/>
      <c r="W112" s="476" t="n"/>
      <c r="X112" s="476" t="n"/>
      <c r="Y112" s="476" t="n"/>
      <c r="Z112" s="476" t="n"/>
      <c r="AA112" s="476" t="n"/>
      <c r="AB112" s="476" t="n"/>
      <c r="AC112" s="476" t="n"/>
      <c r="AD112" s="476" t="n"/>
      <c r="AE112" s="476" t="n"/>
      <c r="AF112" s="476" t="n"/>
      <c r="AG112" s="476" t="n"/>
      <c r="AH112" s="479" t="n">
        <v>3.5731</v>
      </c>
      <c r="AI112" s="476" t="n"/>
      <c r="AJ112" s="479" t="n">
        <v>3.5731</v>
      </c>
      <c r="AK112" s="479" t="n">
        <v>1.6599</v>
      </c>
      <c r="AL112" s="476" t="n"/>
      <c r="AM112" s="477" t="inlineStr">
        <is>
          <t>2024 actual 12-month P&amp;L; from 08_2025 Review</t>
        </is>
      </c>
    </row>
    <row r="113" ht="13.5" customHeight="1" s="545">
      <c r="A113" s="450" t="inlineStr">
        <is>
          <t>P054</t>
        </is>
      </c>
      <c r="B113" s="449" t="n">
        <v>210</v>
      </c>
      <c r="C113" s="450" t="inlineStr">
        <is>
          <t>R0180551</t>
        </is>
      </c>
      <c r="D113" s="468" t="inlineStr">
        <is>
          <t>1953 N Gun Club Rd</t>
        </is>
      </c>
      <c r="E113" s="450" t="inlineStr">
        <is>
          <t>Aurora</t>
        </is>
      </c>
      <c r="F113" s="450" t="inlineStr">
        <is>
          <t>CO</t>
        </is>
      </c>
      <c r="G113" s="450" t="inlineStr">
        <is>
          <t>Industrial</t>
        </is>
      </c>
      <c r="H113" s="468" t="inlineStr">
        <is>
          <t>Multi-Tenant Industrial/Office NNN</t>
        </is>
      </c>
      <c r="I113" s="480" t="n"/>
      <c r="J113" s="480" t="n"/>
      <c r="K113" s="480" t="n">
        <v>2023</v>
      </c>
      <c r="L113" s="450" t="n"/>
      <c r="M113" s="450" t="n"/>
      <c r="N113" s="490" t="n">
        <v>2454080</v>
      </c>
      <c r="O113" s="490" t="n">
        <v>41179</v>
      </c>
      <c r="P113" s="490" t="n">
        <v>58394</v>
      </c>
      <c r="Q113" s="450" t="n"/>
      <c r="R113" s="450" t="n"/>
      <c r="S113" s="490" t="n">
        <v>36166</v>
      </c>
      <c r="T113" s="490" t="n">
        <v>1942</v>
      </c>
      <c r="U113" s="450" t="n"/>
      <c r="V113" s="450" t="n"/>
      <c r="W113" s="450" t="n"/>
      <c r="X113" s="490" t="n">
        <v>549</v>
      </c>
      <c r="Y113" s="490" t="n">
        <v>38657</v>
      </c>
      <c r="Z113" s="450" t="n"/>
      <c r="AA113" s="490" t="n">
        <v>15068</v>
      </c>
      <c r="AB113" s="490" t="n">
        <v>55875</v>
      </c>
      <c r="AC113" s="490" t="n">
        <v>70943</v>
      </c>
      <c r="AD113" s="490" t="n">
        <v>25682</v>
      </c>
      <c r="AE113" s="450" t="n"/>
      <c r="AF113" s="490" t="n">
        <v>25682</v>
      </c>
      <c r="AG113" s="490" t="n">
        <v>1654</v>
      </c>
      <c r="AH113" s="490" t="n">
        <v>220784</v>
      </c>
      <c r="AI113" s="490" t="n">
        <v>1347168</v>
      </c>
      <c r="AJ113" s="490" t="n">
        <v>1568172</v>
      </c>
      <c r="AK113" s="490" t="n">
        <v>885908</v>
      </c>
      <c r="AL113" s="450" t="n"/>
      <c r="AM113" s="468" t="inlineStr">
        <is>
          <t>[NO SF] Actual accrual; base rent $880k; recovery $1.59M; prior-yr adj included</t>
        </is>
      </c>
    </row>
    <row r="114" ht="13.5" customHeight="1" s="545">
      <c r="A114" s="476" t="inlineStr">
        <is>
          <t>P054</t>
        </is>
      </c>
      <c r="B114" s="449" t="n">
        <v>210</v>
      </c>
      <c r="C114" s="476" t="inlineStr">
        <is>
          <t>R0180551</t>
        </is>
      </c>
      <c r="D114" s="477" t="inlineStr">
        <is>
          <t>1953 N Gun Club Rd</t>
        </is>
      </c>
      <c r="E114" s="476" t="inlineStr">
        <is>
          <t>Aurora</t>
        </is>
      </c>
      <c r="F114" s="476" t="inlineStr">
        <is>
          <t>CO</t>
        </is>
      </c>
      <c r="G114" s="476" t="inlineStr">
        <is>
          <t>Industrial</t>
        </is>
      </c>
      <c r="H114" s="477" t="inlineStr">
        <is>
          <t>Multi-Tenant Industrial/Office NNN</t>
        </is>
      </c>
      <c r="I114" s="478" t="n"/>
      <c r="J114" s="478" t="n"/>
      <c r="K114" s="478" t="n">
        <v>2024</v>
      </c>
      <c r="L114" s="476" t="n"/>
      <c r="M114" s="476" t="n"/>
      <c r="N114" s="489" t="n">
        <v>2720117</v>
      </c>
      <c r="O114" s="489" t="n">
        <v>53324</v>
      </c>
      <c r="P114" s="489" t="n">
        <v>85426</v>
      </c>
      <c r="Q114" s="476" t="n"/>
      <c r="R114" s="476" t="n"/>
      <c r="S114" s="489" t="n">
        <v>10052</v>
      </c>
      <c r="T114" s="489" t="n">
        <v>12752</v>
      </c>
      <c r="U114" s="476" t="n"/>
      <c r="V114" s="476" t="n"/>
      <c r="W114" s="476" t="n"/>
      <c r="X114" s="489" t="n">
        <v>789</v>
      </c>
      <c r="Y114" s="489" t="n">
        <v>23593</v>
      </c>
      <c r="Z114" s="476" t="n"/>
      <c r="AA114" s="489" t="n">
        <v>16126</v>
      </c>
      <c r="AB114" s="489" t="n">
        <v>57314</v>
      </c>
      <c r="AC114" s="489" t="n">
        <v>73440</v>
      </c>
      <c r="AD114" s="489" t="n">
        <v>21725</v>
      </c>
      <c r="AE114" s="476" t="n"/>
      <c r="AF114" s="489" t="n">
        <v>21725</v>
      </c>
      <c r="AG114" s="489" t="n">
        <v>2601</v>
      </c>
      <c r="AH114" s="489" t="n">
        <v>265585</v>
      </c>
      <c r="AI114" s="489" t="n">
        <v>1331347</v>
      </c>
      <c r="AJ114" s="489" t="n">
        <v>1596932</v>
      </c>
      <c r="AK114" s="489" t="n">
        <v>1123184</v>
      </c>
      <c r="AL114" s="476" t="n"/>
      <c r="AM114" s="477" t="inlineStr">
        <is>
          <t>[NO SF] Actual accrual; base rent $1.09M stepped; recovery $1.62M</t>
        </is>
      </c>
    </row>
    <row r="115" ht="13.5" customHeight="1" s="545">
      <c r="A115" s="450" t="inlineStr">
        <is>
          <t>P055</t>
        </is>
      </c>
      <c r="B115" s="449" t="n">
        <v>407</v>
      </c>
      <c r="C115" s="450" t="inlineStr">
        <is>
          <t>R0211072/R0211073/R0211074</t>
        </is>
      </c>
      <c r="D115" s="468" t="inlineStr">
        <is>
          <t>Park 76 Distribution Center</t>
        </is>
      </c>
      <c r="E115" s="450" t="inlineStr">
        <is>
          <t>Aurora</t>
        </is>
      </c>
      <c r="F115" s="450" t="inlineStr">
        <is>
          <t>CO</t>
        </is>
      </c>
      <c r="G115" s="450" t="inlineStr">
        <is>
          <t>Industrial</t>
        </is>
      </c>
      <c r="H115" s="468" t="inlineStr">
        <is>
          <t>Industrial Warehouse NNN</t>
        </is>
      </c>
      <c r="I115" s="480" t="n"/>
      <c r="J115" s="480" t="n"/>
      <c r="K115" s="480" t="n">
        <v>2023</v>
      </c>
      <c r="L115" s="490" t="n">
        <v>1865903</v>
      </c>
      <c r="M115" s="450" t="n"/>
      <c r="N115" s="490" t="n">
        <v>2819460</v>
      </c>
      <c r="O115" s="490" t="n">
        <v>30551</v>
      </c>
      <c r="P115" s="490" t="n">
        <v>174961</v>
      </c>
      <c r="Q115" s="450" t="n"/>
      <c r="R115" s="450" t="n"/>
      <c r="S115" s="490" t="n">
        <v>38995</v>
      </c>
      <c r="T115" s="490" t="n">
        <v>27460</v>
      </c>
      <c r="U115" s="450" t="n"/>
      <c r="V115" s="450" t="n"/>
      <c r="W115" s="450" t="n"/>
      <c r="X115" s="490" t="n">
        <v>2475</v>
      </c>
      <c r="Y115" s="490" t="n">
        <v>68930</v>
      </c>
      <c r="Z115" s="450" t="n"/>
      <c r="AA115" s="490" t="n">
        <v>18672</v>
      </c>
      <c r="AB115" s="490" t="n">
        <v>19945</v>
      </c>
      <c r="AC115" s="490" t="n">
        <v>38617</v>
      </c>
      <c r="AD115" s="450" t="n"/>
      <c r="AE115" s="450" t="n"/>
      <c r="AF115" s="490" t="n">
        <v>58172</v>
      </c>
      <c r="AG115" s="490" t="n">
        <v>18488</v>
      </c>
      <c r="AH115" s="490" t="n">
        <v>379535</v>
      </c>
      <c r="AI115" s="490" t="n">
        <v>895967</v>
      </c>
      <c r="AJ115" s="490" t="n">
        <v>1013502</v>
      </c>
      <c r="AK115" s="490" t="n">
        <v>1805958</v>
      </c>
      <c r="AL115" s="450" t="n"/>
      <c r="AM115" s="468" t="inlineStr">
        <is>
          <t>[NO SF] 3-bldg campus; actual accrual; base rent $1.87M; recovery $992k; prior-yr tax credit ($186k) netted</t>
        </is>
      </c>
    </row>
    <row r="116" ht="13.5" customHeight="1" s="545">
      <c r="A116" s="476" t="inlineStr">
        <is>
          <t>P055</t>
        </is>
      </c>
      <c r="B116" s="449" t="n">
        <v>407</v>
      </c>
      <c r="C116" s="476" t="inlineStr">
        <is>
          <t>R0211072/R0211073/R0211074</t>
        </is>
      </c>
      <c r="D116" s="477" t="inlineStr">
        <is>
          <t>Park 76 Distribution Center</t>
        </is>
      </c>
      <c r="E116" s="476" t="inlineStr">
        <is>
          <t>Aurora</t>
        </is>
      </c>
      <c r="F116" s="476" t="inlineStr">
        <is>
          <t>CO</t>
        </is>
      </c>
      <c r="G116" s="476" t="inlineStr">
        <is>
          <t>Industrial</t>
        </is>
      </c>
      <c r="H116" s="477" t="inlineStr">
        <is>
          <t>Industrial Warehouse NNN</t>
        </is>
      </c>
      <c r="I116" s="478" t="n"/>
      <c r="J116" s="478" t="n"/>
      <c r="K116" s="478" t="n">
        <v>2024</v>
      </c>
      <c r="L116" s="489" t="n">
        <v>2075908</v>
      </c>
      <c r="M116" s="476" t="n"/>
      <c r="N116" s="489" t="n">
        <v>3348615</v>
      </c>
      <c r="O116" s="489" t="n">
        <v>35750</v>
      </c>
      <c r="P116" s="489" t="n">
        <v>200286</v>
      </c>
      <c r="Q116" s="476" t="n"/>
      <c r="R116" s="476" t="n"/>
      <c r="S116" s="489" t="n">
        <v>22119</v>
      </c>
      <c r="T116" s="489" t="n">
        <v>33962</v>
      </c>
      <c r="U116" s="476" t="n"/>
      <c r="V116" s="476" t="n"/>
      <c r="W116" s="476" t="n"/>
      <c r="X116" s="489" t="n">
        <v>3333</v>
      </c>
      <c r="Y116" s="489" t="n">
        <v>59414</v>
      </c>
      <c r="Z116" s="476" t="n"/>
      <c r="AA116" s="489" t="n">
        <v>26689</v>
      </c>
      <c r="AB116" s="489" t="n">
        <v>56296</v>
      </c>
      <c r="AC116" s="489" t="n">
        <v>82985</v>
      </c>
      <c r="AD116" s="476" t="n"/>
      <c r="AE116" s="476" t="n"/>
      <c r="AF116" s="489" t="n">
        <v>34195</v>
      </c>
      <c r="AG116" s="489" t="n">
        <v>4284</v>
      </c>
      <c r="AH116" s="489" t="n">
        <v>341787</v>
      </c>
      <c r="AI116" s="489" t="n">
        <v>989805</v>
      </c>
      <c r="AJ116" s="489" t="n">
        <v>1331592</v>
      </c>
      <c r="AK116" s="489" t="n">
        <v>2017023</v>
      </c>
      <c r="AL116" s="476" t="n"/>
      <c r="AM116" s="477" t="inlineStr">
        <is>
          <t>[NO SF] 3-bldg campus; actual accrual; near-stabilized; base rent $2.08M; recovery $1.23M</t>
        </is>
      </c>
    </row>
    <row r="117" ht="13.5" customHeight="1" s="545">
      <c r="A117" s="450" t="inlineStr">
        <is>
          <t>P056</t>
        </is>
      </c>
      <c r="B117" s="449" t="n">
        <v>407</v>
      </c>
      <c r="C117" s="450" t="inlineStr">
        <is>
          <t>R0210485</t>
        </is>
      </c>
      <c r="D117" s="468" t="inlineStr">
        <is>
          <t>1101 E 126th Ave (Bldg A)</t>
        </is>
      </c>
      <c r="E117" s="450" t="inlineStr">
        <is>
          <t>Thornton</t>
        </is>
      </c>
      <c r="F117" s="450" t="inlineStr">
        <is>
          <t>CO</t>
        </is>
      </c>
      <c r="G117" s="450" t="inlineStr">
        <is>
          <t>Industrial</t>
        </is>
      </c>
      <c r="H117" s="468" t="inlineStr">
        <is>
          <t>Industrial Warehouse NNN</t>
        </is>
      </c>
      <c r="I117" s="480" t="n">
        <v>2022</v>
      </c>
      <c r="J117" s="480" t="n"/>
      <c r="K117" s="480" t="n">
        <v>2024</v>
      </c>
      <c r="L117" s="490" t="n">
        <v>646186</v>
      </c>
      <c r="M117" s="450" t="n"/>
      <c r="N117" s="490" t="n">
        <v>839307</v>
      </c>
      <c r="O117" s="490" t="n">
        <v>11813</v>
      </c>
      <c r="P117" s="490" t="n">
        <v>47295</v>
      </c>
      <c r="Q117" s="450" t="n"/>
      <c r="R117" s="450" t="n"/>
      <c r="S117" s="450" t="n"/>
      <c r="T117" s="490" t="n">
        <v>9156</v>
      </c>
      <c r="U117" s="450" t="n"/>
      <c r="V117" s="450" t="n"/>
      <c r="W117" s="450" t="n"/>
      <c r="X117" s="490" t="n">
        <v>3898</v>
      </c>
      <c r="Y117" s="490" t="n">
        <v>13054</v>
      </c>
      <c r="Z117" s="450" t="n"/>
      <c r="AA117" s="490" t="n">
        <v>11343</v>
      </c>
      <c r="AB117" s="490" t="n">
        <v>24799</v>
      </c>
      <c r="AC117" s="490" t="n">
        <v>36142</v>
      </c>
      <c r="AD117" s="450" t="n"/>
      <c r="AE117" s="450" t="n"/>
      <c r="AF117" s="490" t="n">
        <v>27895</v>
      </c>
      <c r="AG117" s="450" t="n"/>
      <c r="AH117" s="490" t="n">
        <v>146517</v>
      </c>
      <c r="AI117" s="490" t="n">
        <v>558285</v>
      </c>
      <c r="AJ117" s="490" t="n">
        <v>705154</v>
      </c>
      <c r="AK117" s="490" t="n">
        <v>134153</v>
      </c>
      <c r="AL117" s="450" t="n"/>
      <c r="AM117" s="468" t="inlineStr">
        <is>
          <t>[NO SF] New (YOC ~2022); 2024 near-stabilized; 2023 excluded (lease-up, negative NOI)</t>
        </is>
      </c>
    </row>
    <row r="118" ht="13.5" customHeight="1" s="545">
      <c r="A118" s="476" t="inlineStr">
        <is>
          <t>P057</t>
        </is>
      </c>
      <c r="B118" s="449" t="n">
        <v>407</v>
      </c>
      <c r="C118" s="476" t="inlineStr">
        <is>
          <t>R0210486</t>
        </is>
      </c>
      <c r="D118" s="477" t="inlineStr">
        <is>
          <t>12625 Lafayette St (Bldg B)</t>
        </is>
      </c>
      <c r="E118" s="476" t="inlineStr">
        <is>
          <t>Thornton</t>
        </is>
      </c>
      <c r="F118" s="476" t="inlineStr">
        <is>
          <t>CO</t>
        </is>
      </c>
      <c r="G118" s="476" t="inlineStr">
        <is>
          <t>Industrial</t>
        </is>
      </c>
      <c r="H118" s="477" t="inlineStr">
        <is>
          <t>Industrial Warehouse NNN</t>
        </is>
      </c>
      <c r="I118" s="478" t="n">
        <v>2022</v>
      </c>
      <c r="J118" s="478" t="n"/>
      <c r="K118" s="478" t="n">
        <v>2024</v>
      </c>
      <c r="L118" s="489" t="n">
        <v>898845</v>
      </c>
      <c r="M118" s="476" t="n"/>
      <c r="N118" s="489" t="n">
        <v>1373599</v>
      </c>
      <c r="O118" s="489" t="n">
        <v>21888</v>
      </c>
      <c r="P118" s="489" t="n">
        <v>72220</v>
      </c>
      <c r="Q118" s="476" t="n"/>
      <c r="R118" s="476" t="n"/>
      <c r="S118" s="476" t="n"/>
      <c r="T118" s="489" t="n">
        <v>8438</v>
      </c>
      <c r="U118" s="476" t="n"/>
      <c r="V118" s="476" t="n"/>
      <c r="W118" s="476" t="n"/>
      <c r="X118" s="489" t="n">
        <v>5773</v>
      </c>
      <c r="Y118" s="489" t="n">
        <v>14211</v>
      </c>
      <c r="Z118" s="476" t="n"/>
      <c r="AA118" s="489" t="n">
        <v>21287</v>
      </c>
      <c r="AB118" s="489" t="n">
        <v>29625</v>
      </c>
      <c r="AC118" s="489" t="n">
        <v>50912</v>
      </c>
      <c r="AD118" s="476" t="n"/>
      <c r="AE118" s="476" t="n"/>
      <c r="AF118" s="489" t="n">
        <v>51235</v>
      </c>
      <c r="AG118" s="476" t="n"/>
      <c r="AH118" s="489" t="n">
        <v>209004</v>
      </c>
      <c r="AI118" s="489" t="n">
        <v>762465</v>
      </c>
      <c r="AJ118" s="489" t="n">
        <v>971469</v>
      </c>
      <c r="AK118" s="489" t="n">
        <v>402131</v>
      </c>
      <c r="AL118" s="476" t="n"/>
      <c r="AM118" s="477" t="inlineStr">
        <is>
          <t>[NO SF] New (YOC ~2022); 2024 near-stabilized; 2023 excluded (lease-up, negative NOI)</t>
        </is>
      </c>
    </row>
    <row r="119" ht="13.5" customHeight="1" s="545">
      <c r="A119" s="450" t="inlineStr">
        <is>
          <t>P058</t>
        </is>
      </c>
      <c r="B119" s="449" t="n">
        <v>407</v>
      </c>
      <c r="C119" s="450" t="inlineStr">
        <is>
          <t>R0091934</t>
        </is>
      </c>
      <c r="D119" s="468" t="inlineStr">
        <is>
          <t>350 Park Industrial (5759)</t>
        </is>
      </c>
      <c r="E119" s="450" t="inlineStr">
        <is>
          <t>Aurora</t>
        </is>
      </c>
      <c r="F119" s="450" t="inlineStr">
        <is>
          <t>CO</t>
        </is>
      </c>
      <c r="G119" s="450" t="inlineStr">
        <is>
          <t>Industrial</t>
        </is>
      </c>
      <c r="H119" s="468" t="inlineStr">
        <is>
          <t>Multi-Tenant Industrial 407</t>
        </is>
      </c>
      <c r="I119" s="480" t="n">
        <v>1995</v>
      </c>
      <c r="J119" s="480" t="n">
        <v>32600</v>
      </c>
      <c r="K119" s="480" t="n">
        <v>2023</v>
      </c>
      <c r="L119" s="481" t="n">
        <v>9.103300000000001</v>
      </c>
      <c r="M119" s="450" t="n"/>
      <c r="N119" s="481" t="n">
        <v>13.7731</v>
      </c>
      <c r="O119" s="481" t="n">
        <v>0.1782</v>
      </c>
      <c r="P119" s="481" t="n">
        <v>0.5171</v>
      </c>
      <c r="Q119" s="481" t="n">
        <v>0.0369</v>
      </c>
      <c r="R119" s="450" t="n"/>
      <c r="S119" s="481" t="n">
        <v>0.3072</v>
      </c>
      <c r="T119" s="481" t="n">
        <v>0.0153</v>
      </c>
      <c r="U119" s="450" t="n"/>
      <c r="V119" s="450" t="n"/>
      <c r="W119" s="450" t="n"/>
      <c r="X119" s="481" t="n">
        <v>0.238</v>
      </c>
      <c r="Y119" s="481" t="n">
        <v>0.5975</v>
      </c>
      <c r="Z119" s="481" t="n">
        <v>0.0417</v>
      </c>
      <c r="AA119" s="450" t="n"/>
      <c r="AB119" s="450" t="n"/>
      <c r="AC119" s="481" t="n">
        <v>0.0417</v>
      </c>
      <c r="AD119" s="481" t="n">
        <v>0.1872</v>
      </c>
      <c r="AE119" s="450" t="n"/>
      <c r="AF119" s="481" t="n">
        <v>0.1872</v>
      </c>
      <c r="AG119" s="481" t="n">
        <v>0.2377</v>
      </c>
      <c r="AH119" s="481" t="n">
        <v>1.7506</v>
      </c>
      <c r="AI119" s="481" t="n">
        <v>3.1503</v>
      </c>
      <c r="AJ119" s="481" t="n">
        <v>4.8938</v>
      </c>
      <c r="AK119" s="481" t="n">
        <v>8.879300000000001</v>
      </c>
      <c r="AL119" s="450" t="n"/>
      <c r="AM119" s="468" t="inlineStr">
        <is>
          <t>Actual accrual; 3 tenants; multi-tenant industrial</t>
        </is>
      </c>
    </row>
    <row r="120" ht="13.5" customHeight="1" s="545">
      <c r="A120" s="476" t="inlineStr">
        <is>
          <t>P058</t>
        </is>
      </c>
      <c r="B120" s="449" t="n">
        <v>407</v>
      </c>
      <c r="C120" s="476" t="inlineStr">
        <is>
          <t>R0091934</t>
        </is>
      </c>
      <c r="D120" s="477" t="inlineStr">
        <is>
          <t>350 Park Industrial (5759)</t>
        </is>
      </c>
      <c r="E120" s="476" t="inlineStr">
        <is>
          <t>Aurora</t>
        </is>
      </c>
      <c r="F120" s="476" t="inlineStr">
        <is>
          <t>CO</t>
        </is>
      </c>
      <c r="G120" s="476" t="inlineStr">
        <is>
          <t>Industrial</t>
        </is>
      </c>
      <c r="H120" s="477" t="inlineStr">
        <is>
          <t>Multi-Tenant Industrial 407</t>
        </is>
      </c>
      <c r="I120" s="478" t="n">
        <v>1995</v>
      </c>
      <c r="J120" s="478" t="n">
        <v>32600</v>
      </c>
      <c r="K120" s="478" t="n">
        <v>2024</v>
      </c>
      <c r="L120" s="479" t="n">
        <v>9.582700000000001</v>
      </c>
      <c r="M120" s="476" t="n"/>
      <c r="N120" s="479" t="n">
        <v>15.2757</v>
      </c>
      <c r="O120" s="479" t="n">
        <v>0.1809</v>
      </c>
      <c r="P120" s="479" t="n">
        <v>0.5698</v>
      </c>
      <c r="Q120" s="479" t="n">
        <v>0.0384</v>
      </c>
      <c r="R120" s="476" t="n"/>
      <c r="S120" s="479" t="n">
        <v>0.2311</v>
      </c>
      <c r="T120" s="479" t="n">
        <v>0.0375</v>
      </c>
      <c r="U120" s="476" t="n"/>
      <c r="V120" s="476" t="n"/>
      <c r="W120" s="476" t="n"/>
      <c r="X120" s="479" t="n">
        <v>0.223</v>
      </c>
      <c r="Y120" s="479" t="n">
        <v>0.53</v>
      </c>
      <c r="Z120" s="479" t="n">
        <v>0.0422</v>
      </c>
      <c r="AA120" s="476" t="n"/>
      <c r="AB120" s="476" t="n"/>
      <c r="AC120" s="479" t="n">
        <v>0.0422</v>
      </c>
      <c r="AD120" s="479" t="n">
        <v>0.2095</v>
      </c>
      <c r="AE120" s="476" t="n"/>
      <c r="AF120" s="479" t="n">
        <v>0.2095</v>
      </c>
      <c r="AG120" s="479" t="n">
        <v>0.7716</v>
      </c>
      <c r="AH120" s="479" t="n">
        <v>2.124</v>
      </c>
      <c r="AI120" s="479" t="n">
        <v>3.247</v>
      </c>
      <c r="AJ120" s="479" t="n">
        <v>5.279</v>
      </c>
      <c r="AK120" s="479" t="n">
        <v>9.996700000000001</v>
      </c>
      <c r="AL120" s="476" t="n"/>
      <c r="AM120" s="477" t="inlineStr">
        <is>
          <t>Actual accrual; 3 tenants</t>
        </is>
      </c>
    </row>
    <row r="121" ht="13.5" customHeight="1" s="545">
      <c r="A121" s="450" t="inlineStr">
        <is>
          <t>P059</t>
        </is>
      </c>
      <c r="B121" s="449" t="n">
        <v>407</v>
      </c>
      <c r="C121" s="450" t="inlineStr">
        <is>
          <t>R0093111</t>
        </is>
      </c>
      <c r="D121" s="468" t="inlineStr">
        <is>
          <t>Industrial Property (R0093111)</t>
        </is>
      </c>
      <c r="E121" s="450" t="inlineStr">
        <is>
          <t>Aurora</t>
        </is>
      </c>
      <c r="F121" s="450" t="inlineStr">
        <is>
          <t>CO</t>
        </is>
      </c>
      <c r="G121" s="450" t="inlineStr">
        <is>
          <t>Industrial</t>
        </is>
      </c>
      <c r="H121" s="468" t="inlineStr">
        <is>
          <t>Multi-Tenant Industrial 407</t>
        </is>
      </c>
      <c r="I121" s="480" t="n"/>
      <c r="J121" s="480" t="n"/>
      <c r="K121" s="480" t="n">
        <v>2023</v>
      </c>
      <c r="L121" s="490" t="n">
        <v>340825</v>
      </c>
      <c r="M121" s="450" t="n"/>
      <c r="N121" s="490" t="n">
        <v>817280</v>
      </c>
      <c r="O121" s="490" t="n">
        <v>396</v>
      </c>
      <c r="P121" s="490" t="n">
        <v>24226</v>
      </c>
      <c r="Q121" s="490" t="n">
        <v>2790</v>
      </c>
      <c r="R121" s="450" t="n"/>
      <c r="S121" s="490" t="n">
        <v>17586</v>
      </c>
      <c r="T121" s="450" t="n"/>
      <c r="U121" s="450" t="n"/>
      <c r="V121" s="450" t="n"/>
      <c r="W121" s="450" t="n"/>
      <c r="X121" s="490" t="n">
        <v>1690</v>
      </c>
      <c r="Y121" s="490" t="n">
        <v>22066</v>
      </c>
      <c r="Z121" s="490" t="n">
        <v>1690</v>
      </c>
      <c r="AA121" s="490" t="n">
        <v>10029</v>
      </c>
      <c r="AB121" s="490" t="n">
        <v>13406</v>
      </c>
      <c r="AC121" s="490" t="n">
        <v>15096</v>
      </c>
      <c r="AD121" s="490" t="n">
        <v>8414</v>
      </c>
      <c r="AE121" s="450" t="n"/>
      <c r="AF121" s="490" t="n">
        <v>8414</v>
      </c>
      <c r="AG121" s="490" t="n">
        <v>7749</v>
      </c>
      <c r="AH121" s="490" t="n">
        <v>82990</v>
      </c>
      <c r="AI121" s="490" t="n">
        <v>262422</v>
      </c>
      <c r="AJ121" s="490" t="n">
        <v>345412</v>
      </c>
      <c r="AK121" s="490" t="n">
        <v>471868</v>
      </c>
      <c r="AL121" s="450" t="n"/>
      <c r="AM121" s="468" t="inlineStr">
        <is>
          <t>[NO SF] Actual; RE tax heavy due to NNN recovery; SF not confirmed</t>
        </is>
      </c>
    </row>
    <row r="122" ht="13.5" customHeight="1" s="545">
      <c r="A122" s="476" t="inlineStr">
        <is>
          <t>P059</t>
        </is>
      </c>
      <c r="B122" s="449" t="n">
        <v>407</v>
      </c>
      <c r="C122" s="476" t="inlineStr">
        <is>
          <t>R0093111</t>
        </is>
      </c>
      <c r="D122" s="477" t="inlineStr">
        <is>
          <t>Industrial Property (R0093111)</t>
        </is>
      </c>
      <c r="E122" s="476" t="inlineStr">
        <is>
          <t>Aurora</t>
        </is>
      </c>
      <c r="F122" s="476" t="inlineStr">
        <is>
          <t>CO</t>
        </is>
      </c>
      <c r="G122" s="476" t="inlineStr">
        <is>
          <t>Industrial</t>
        </is>
      </c>
      <c r="H122" s="477" t="inlineStr">
        <is>
          <t>Multi-Tenant Industrial 407</t>
        </is>
      </c>
      <c r="I122" s="478" t="n"/>
      <c r="J122" s="478" t="n"/>
      <c r="K122" s="478" t="n">
        <v>2024</v>
      </c>
      <c r="L122" s="489" t="n">
        <v>343350</v>
      </c>
      <c r="M122" s="476" t="n"/>
      <c r="N122" s="489" t="n">
        <v>632272</v>
      </c>
      <c r="O122" s="489" t="n">
        <v>9737</v>
      </c>
      <c r="P122" s="476" t="n"/>
      <c r="Q122" s="476" t="n"/>
      <c r="R122" s="476" t="n"/>
      <c r="S122" s="476" t="n"/>
      <c r="T122" s="476" t="n"/>
      <c r="U122" s="476" t="n"/>
      <c r="V122" s="476" t="n"/>
      <c r="W122" s="476" t="n"/>
      <c r="X122" s="476" t="n"/>
      <c r="Y122" s="476" t="n"/>
      <c r="Z122" s="476" t="n"/>
      <c r="AA122" s="476" t="n"/>
      <c r="AB122" s="476" t="n"/>
      <c r="AC122" s="476" t="n"/>
      <c r="AD122" s="476" t="n"/>
      <c r="AE122" s="476" t="n"/>
      <c r="AF122" s="476" t="n"/>
      <c r="AG122" s="476" t="n"/>
      <c r="AH122" s="489" t="n">
        <v>119649</v>
      </c>
      <c r="AI122" s="489" t="n">
        <v>159461</v>
      </c>
      <c r="AJ122" s="489" t="n">
        <v>279110</v>
      </c>
      <c r="AK122" s="489" t="n">
        <v>353163</v>
      </c>
      <c r="AL122" s="476" t="n"/>
      <c r="AM122" s="477" t="inlineStr">
        <is>
          <t>[NO SF] 2024 summary data; limited line-item detail; SF not confirmed</t>
        </is>
      </c>
    </row>
    <row r="123" ht="13.5" customHeight="1" s="545">
      <c r="A123" s="450" t="inlineStr">
        <is>
          <t>P060</t>
        </is>
      </c>
      <c r="B123" s="449" t="n">
        <v>407</v>
      </c>
      <c r="C123" s="450" t="inlineStr">
        <is>
          <t>R0100104</t>
        </is>
      </c>
      <c r="D123" s="468" t="inlineStr">
        <is>
          <t>312 Kew West</t>
        </is>
      </c>
      <c r="E123" s="450" t="inlineStr">
        <is>
          <t>Aurora</t>
        </is>
      </c>
      <c r="F123" s="450" t="inlineStr">
        <is>
          <t>CO</t>
        </is>
      </c>
      <c r="G123" s="450" t="inlineStr">
        <is>
          <t>Industrial</t>
        </is>
      </c>
      <c r="H123" s="468" t="inlineStr">
        <is>
          <t>Multi-Tenant Industrial 407</t>
        </is>
      </c>
      <c r="I123" s="480" t="n"/>
      <c r="J123" s="480" t="n"/>
      <c r="K123" s="480" t="n">
        <v>2023</v>
      </c>
      <c r="L123" s="490" t="n">
        <v>246837</v>
      </c>
      <c r="M123" s="450" t="n"/>
      <c r="N123" s="490" t="n">
        <v>340193</v>
      </c>
      <c r="O123" s="490" t="n">
        <v>7355</v>
      </c>
      <c r="P123" s="490" t="n">
        <v>12734</v>
      </c>
      <c r="Q123" s="490" t="n">
        <v>1711</v>
      </c>
      <c r="R123" s="450" t="n"/>
      <c r="S123" s="490" t="n">
        <v>24740</v>
      </c>
      <c r="T123" s="490" t="n">
        <v>6577</v>
      </c>
      <c r="U123" s="450" t="n"/>
      <c r="V123" s="450" t="n"/>
      <c r="W123" s="450" t="n"/>
      <c r="X123" s="490" t="n">
        <v>10612</v>
      </c>
      <c r="Y123" s="490" t="n">
        <v>43640</v>
      </c>
      <c r="Z123" s="490" t="n">
        <v>2451</v>
      </c>
      <c r="AA123" s="490" t="n">
        <v>2474</v>
      </c>
      <c r="AB123" s="490" t="n">
        <v>9457</v>
      </c>
      <c r="AC123" s="490" t="n">
        <v>14382</v>
      </c>
      <c r="AD123" s="490" t="n">
        <v>4092</v>
      </c>
      <c r="AE123" s="450" t="n"/>
      <c r="AF123" s="490" t="n">
        <v>4092</v>
      </c>
      <c r="AG123" s="450" t="n"/>
      <c r="AH123" s="490" t="n">
        <v>68233</v>
      </c>
      <c r="AI123" s="490" t="n">
        <v>92861</v>
      </c>
      <c r="AJ123" s="490" t="n">
        <v>161094</v>
      </c>
      <c r="AK123" s="490" t="n">
        <v>179099</v>
      </c>
      <c r="AL123" s="450" t="n"/>
      <c r="AM123" s="468" t="inlineStr">
        <is>
          <t>[NO SF] Actual accrual; SF not confirmed</t>
        </is>
      </c>
    </row>
    <row r="124" ht="13.5" customHeight="1" s="545">
      <c r="A124" s="476" t="inlineStr">
        <is>
          <t>P060</t>
        </is>
      </c>
      <c r="B124" s="449" t="n">
        <v>407</v>
      </c>
      <c r="C124" s="476" t="inlineStr">
        <is>
          <t>R0100104</t>
        </is>
      </c>
      <c r="D124" s="477" t="inlineStr">
        <is>
          <t>312 Kew West</t>
        </is>
      </c>
      <c r="E124" s="476" t="inlineStr">
        <is>
          <t>Aurora</t>
        </is>
      </c>
      <c r="F124" s="476" t="inlineStr">
        <is>
          <t>CO</t>
        </is>
      </c>
      <c r="G124" s="476" t="inlineStr">
        <is>
          <t>Industrial</t>
        </is>
      </c>
      <c r="H124" s="477" t="inlineStr">
        <is>
          <t>Multi-Tenant Industrial 407</t>
        </is>
      </c>
      <c r="I124" s="478" t="n"/>
      <c r="J124" s="478" t="n"/>
      <c r="K124" s="478" t="n">
        <v>2024</v>
      </c>
      <c r="L124" s="489" t="n">
        <v>239823</v>
      </c>
      <c r="M124" s="476" t="n"/>
      <c r="N124" s="489" t="n">
        <v>375845</v>
      </c>
      <c r="O124" s="489" t="n">
        <v>7287</v>
      </c>
      <c r="P124" s="489" t="n">
        <v>18575</v>
      </c>
      <c r="Q124" s="489" t="n">
        <v>816</v>
      </c>
      <c r="R124" s="476" t="n"/>
      <c r="S124" s="489" t="n">
        <v>25607</v>
      </c>
      <c r="T124" s="489" t="n">
        <v>7834</v>
      </c>
      <c r="U124" s="476" t="n"/>
      <c r="V124" s="476" t="n"/>
      <c r="W124" s="476" t="n"/>
      <c r="X124" s="489" t="n">
        <v>8752</v>
      </c>
      <c r="Y124" s="489" t="n">
        <v>42009</v>
      </c>
      <c r="Z124" s="489" t="n">
        <v>2982</v>
      </c>
      <c r="AA124" s="489" t="n">
        <v>2720</v>
      </c>
      <c r="AB124" s="489" t="n">
        <v>10994</v>
      </c>
      <c r="AC124" s="489" t="n">
        <v>16696</v>
      </c>
      <c r="AD124" s="489" t="n">
        <v>4502</v>
      </c>
      <c r="AE124" s="476" t="n"/>
      <c r="AF124" s="489" t="n">
        <v>4502</v>
      </c>
      <c r="AG124" s="476" t="n"/>
      <c r="AH124" s="489" t="n">
        <v>69570</v>
      </c>
      <c r="AI124" s="489" t="n">
        <v>102524</v>
      </c>
      <c r="AJ124" s="489" t="n">
        <v>172094</v>
      </c>
      <c r="AK124" s="489" t="n">
        <v>203752</v>
      </c>
      <c r="AL124" s="476" t="n"/>
      <c r="AM124" s="477" t="inlineStr">
        <is>
          <t>[NO SF] Actual accrual; SF not confirmed</t>
        </is>
      </c>
    </row>
    <row r="125" ht="13.5" customHeight="1" s="545">
      <c r="A125" s="450" t="inlineStr">
        <is>
          <t>P061</t>
        </is>
      </c>
      <c r="B125" s="449" t="n">
        <v>584</v>
      </c>
      <c r="C125" s="450" t="inlineStr">
        <is>
          <t>R0083935</t>
        </is>
      </c>
      <c r="D125" s="468" t="inlineStr">
        <is>
          <t>20101 E 36th Ave</t>
        </is>
      </c>
      <c r="E125" s="450" t="inlineStr">
        <is>
          <t>Aurora</t>
        </is>
      </c>
      <c r="F125" s="450" t="inlineStr">
        <is>
          <t>CO</t>
        </is>
      </c>
      <c r="G125" s="450" t="inlineStr">
        <is>
          <t>Industrial</t>
        </is>
      </c>
      <c r="H125" s="468" t="inlineStr">
        <is>
          <t>Mega Warehouse NNN</t>
        </is>
      </c>
      <c r="I125" s="480" t="n"/>
      <c r="J125" s="480" t="n">
        <v>278538</v>
      </c>
      <c r="K125" s="480" t="n">
        <v>2024</v>
      </c>
      <c r="L125" s="481" t="n">
        <v>4.4608</v>
      </c>
      <c r="M125" s="450" t="n"/>
      <c r="N125" s="481" t="n">
        <v>10.6014</v>
      </c>
      <c r="O125" s="450" t="n"/>
      <c r="P125" s="450" t="n"/>
      <c r="Q125" s="450" t="n"/>
      <c r="R125" s="450" t="n"/>
      <c r="S125" s="450" t="n"/>
      <c r="T125" s="450" t="n"/>
      <c r="U125" s="450" t="n"/>
      <c r="V125" s="450" t="n"/>
      <c r="W125" s="450" t="n"/>
      <c r="X125" s="450" t="n"/>
      <c r="Y125" s="450" t="n"/>
      <c r="Z125" s="450" t="n"/>
      <c r="AA125" s="450" t="n"/>
      <c r="AB125" s="450" t="n"/>
      <c r="AC125" s="450" t="n"/>
      <c r="AD125" s="450" t="n"/>
      <c r="AE125" s="450" t="n"/>
      <c r="AF125" s="481" t="n">
        <v>0.7035</v>
      </c>
      <c r="AG125" s="450" t="n"/>
      <c r="AH125" s="450" t="n"/>
      <c r="AI125" s="450" t="n"/>
      <c r="AJ125" s="450" t="n"/>
      <c r="AK125" s="450" t="n"/>
      <c r="AL125" s="450" t="n"/>
      <c r="AM125" s="468" t="inlineStr">
        <is>
          <t>NNN; partial data; CBRE income statement; tenant RK Industries; rent $4.47/SF NNN; RE tax recovery ~$860k</t>
        </is>
      </c>
    </row>
    <row r="126" ht="13.5" customHeight="1" s="545">
      <c r="A126" s="476" t="inlineStr">
        <is>
          <t>P062</t>
        </is>
      </c>
      <c r="B126" s="449" t="n">
        <v>407</v>
      </c>
      <c r="C126" s="476" t="inlineStr">
        <is>
          <t>R0200721</t>
        </is>
      </c>
      <c r="D126" s="477" t="inlineStr">
        <is>
          <t>3420 N Lisbon St</t>
        </is>
      </c>
      <c r="E126" s="476" t="inlineStr">
        <is>
          <t>Aurora</t>
        </is>
      </c>
      <c r="F126" s="476" t="inlineStr">
        <is>
          <t>CO</t>
        </is>
      </c>
      <c r="G126" s="476" t="inlineStr">
        <is>
          <t>Industrial</t>
        </is>
      </c>
      <c r="H126" s="477" t="inlineStr">
        <is>
          <t>Single-Tenant Industrial NNN</t>
        </is>
      </c>
      <c r="I126" s="478" t="n">
        <v>2019</v>
      </c>
      <c r="J126" s="478" t="n">
        <v>36212</v>
      </c>
      <c r="K126" s="478" t="n">
        <v>2023</v>
      </c>
      <c r="L126" s="479" t="n">
        <v>7.519</v>
      </c>
      <c r="M126" s="476" t="n"/>
      <c r="N126" s="479" t="n">
        <v>7.519</v>
      </c>
      <c r="O126" s="476" t="n"/>
      <c r="P126" s="476" t="n"/>
      <c r="Q126" s="476" t="n"/>
      <c r="R126" s="476" t="n"/>
      <c r="S126" s="476" t="n"/>
      <c r="T126" s="476" t="n"/>
      <c r="U126" s="476" t="n"/>
      <c r="V126" s="476" t="n"/>
      <c r="W126" s="476" t="n"/>
      <c r="X126" s="476" t="n"/>
      <c r="Y126" s="476" t="n"/>
      <c r="Z126" s="476" t="n"/>
      <c r="AA126" s="476" t="n"/>
      <c r="AB126" s="476" t="n"/>
      <c r="AC126" s="476" t="n"/>
      <c r="AD126" s="476" t="n"/>
      <c r="AE126" s="476" t="n"/>
      <c r="AF126" s="476" t="n"/>
      <c r="AG126" s="476" t="n"/>
      <c r="AH126" s="476" t="n"/>
      <c r="AI126" s="476" t="n"/>
      <c r="AJ126" s="476" t="n"/>
      <c r="AK126" s="476" t="n"/>
      <c r="AL126" s="476" t="n"/>
      <c r="AM126" s="477" t="inlineStr">
        <is>
          <t>NNN absolute; tenant pays all opex; owner income = rent only; $7.52/SF</t>
        </is>
      </c>
    </row>
    <row r="127" ht="13.5" customHeight="1" s="545">
      <c r="A127" s="450" t="inlineStr">
        <is>
          <t>P062</t>
        </is>
      </c>
      <c r="B127" s="449" t="n">
        <v>407</v>
      </c>
      <c r="C127" s="450" t="inlineStr">
        <is>
          <t>R0200721</t>
        </is>
      </c>
      <c r="D127" s="468" t="inlineStr">
        <is>
          <t>3420 N Lisbon St</t>
        </is>
      </c>
      <c r="E127" s="450" t="inlineStr">
        <is>
          <t>Aurora</t>
        </is>
      </c>
      <c r="F127" s="450" t="inlineStr">
        <is>
          <t>CO</t>
        </is>
      </c>
      <c r="G127" s="450" t="inlineStr">
        <is>
          <t>Industrial</t>
        </is>
      </c>
      <c r="H127" s="468" t="inlineStr">
        <is>
          <t>Single-Tenant Industrial NNN</t>
        </is>
      </c>
      <c r="I127" s="480" t="n">
        <v>2019</v>
      </c>
      <c r="J127" s="480" t="n">
        <v>36212</v>
      </c>
      <c r="K127" s="480" t="n">
        <v>2024</v>
      </c>
      <c r="L127" s="481" t="n">
        <v>7.7446</v>
      </c>
      <c r="M127" s="450" t="n"/>
      <c r="N127" s="481" t="n">
        <v>7.7446</v>
      </c>
      <c r="O127" s="450" t="n"/>
      <c r="P127" s="450" t="n"/>
      <c r="Q127" s="450" t="n"/>
      <c r="R127" s="450" t="n"/>
      <c r="S127" s="450" t="n"/>
      <c r="T127" s="450" t="n"/>
      <c r="U127" s="450" t="n"/>
      <c r="V127" s="450" t="n"/>
      <c r="W127" s="450" t="n"/>
      <c r="X127" s="450" t="n"/>
      <c r="Y127" s="450" t="n"/>
      <c r="Z127" s="450" t="n"/>
      <c r="AA127" s="450" t="n"/>
      <c r="AB127" s="450" t="n"/>
      <c r="AC127" s="450" t="n"/>
      <c r="AD127" s="450" t="n"/>
      <c r="AE127" s="450" t="n"/>
      <c r="AF127" s="450" t="n"/>
      <c r="AG127" s="450" t="n"/>
      <c r="AH127" s="450" t="n"/>
      <c r="AI127" s="450" t="n"/>
      <c r="AJ127" s="450" t="n"/>
      <c r="AK127" s="450" t="n"/>
      <c r="AL127" s="450" t="n"/>
      <c r="AM127" s="468" t="inlineStr">
        <is>
          <t>NNN absolute; tenant pays all opex; owner income = rent only; $7.75/SF</t>
        </is>
      </c>
    </row>
    <row r="128" ht="13.5" customHeight="1" s="545">
      <c r="A128" s="484" t="inlineStr">
        <is>
          <t>P063</t>
        </is>
      </c>
      <c r="B128" s="449" t="n">
        <v>344</v>
      </c>
      <c r="C128" s="484" t="inlineStr">
        <is>
          <t>R0040581</t>
        </is>
      </c>
      <c r="D128" s="485" t="inlineStr">
        <is>
          <t>2090 E 104th Ave</t>
        </is>
      </c>
      <c r="E128" s="484" t="inlineStr">
        <is>
          <t>Thornton</t>
        </is>
      </c>
      <c r="F128" s="484" t="inlineStr">
        <is>
          <t>CO</t>
        </is>
      </c>
      <c r="G128" s="484" t="inlineStr">
        <is>
          <t>Office</t>
        </is>
      </c>
      <c r="H128" s="485" t="inlineStr">
        <is>
          <t>Multi-Tenant Office</t>
        </is>
      </c>
      <c r="I128" s="486" t="n"/>
      <c r="J128" s="486" t="n">
        <v>19764</v>
      </c>
      <c r="K128" s="486" t="n">
        <v>2023</v>
      </c>
      <c r="L128" s="484" t="n"/>
      <c r="M128" s="484" t="n"/>
      <c r="N128" s="484" t="n"/>
      <c r="O128" s="488" t="n">
        <v>0.1585</v>
      </c>
      <c r="P128" s="488" t="n">
        <v>0.4648</v>
      </c>
      <c r="Q128" s="484" t="n"/>
      <c r="R128" s="484" t="n"/>
      <c r="S128" s="484" t="n"/>
      <c r="T128" s="484" t="n"/>
      <c r="U128" s="484" t="n"/>
      <c r="V128" s="484" t="n"/>
      <c r="W128" s="484" t="n"/>
      <c r="X128" s="488" t="n">
        <v>2.4351</v>
      </c>
      <c r="Y128" s="488" t="n">
        <v>2.4351</v>
      </c>
      <c r="Z128" s="484" t="n"/>
      <c r="AA128" s="488" t="n">
        <v>0.4976</v>
      </c>
      <c r="AB128" s="484" t="n"/>
      <c r="AC128" s="488" t="n">
        <v>0.4976</v>
      </c>
      <c r="AD128" s="484" t="n"/>
      <c r="AE128" s="484" t="n"/>
      <c r="AF128" s="488" t="n">
        <v>1.8998</v>
      </c>
      <c r="AG128" s="488" t="n">
        <v>0.4171</v>
      </c>
      <c r="AH128" s="488" t="n">
        <v>6.7472</v>
      </c>
      <c r="AI128" s="488" t="n">
        <v>2.0601</v>
      </c>
      <c r="AJ128" s="488" t="n">
        <v>8.8073</v>
      </c>
      <c r="AK128" s="488" t="n">
        <v>2.7531</v>
      </c>
      <c r="AL128" s="484" t="n"/>
      <c r="AM128" s="485" t="inlineStr">
        <is>
          <t>Office; expenses only; GRI est. ~$228k at $11.56/SF 100% occ</t>
        </is>
      </c>
    </row>
    <row r="129" ht="13.5" customHeight="1" s="545">
      <c r="A129" s="484" t="inlineStr">
        <is>
          <t>P063</t>
        </is>
      </c>
      <c r="B129" s="449" t="n">
        <v>344</v>
      </c>
      <c r="C129" s="484" t="inlineStr">
        <is>
          <t>R0040581</t>
        </is>
      </c>
      <c r="D129" s="485" t="inlineStr">
        <is>
          <t>2090 E 104th Ave</t>
        </is>
      </c>
      <c r="E129" s="484" t="inlineStr">
        <is>
          <t>Thornton</t>
        </is>
      </c>
      <c r="F129" s="484" t="inlineStr">
        <is>
          <t>CO</t>
        </is>
      </c>
      <c r="G129" s="484" t="inlineStr">
        <is>
          <t>Office</t>
        </is>
      </c>
      <c r="H129" s="485" t="inlineStr">
        <is>
          <t>Multi-Tenant Office</t>
        </is>
      </c>
      <c r="I129" s="486" t="n"/>
      <c r="J129" s="486" t="n">
        <v>19764</v>
      </c>
      <c r="K129" s="486" t="n">
        <v>2024</v>
      </c>
      <c r="L129" s="484" t="n"/>
      <c r="M129" s="484" t="n"/>
      <c r="N129" s="484" t="n"/>
      <c r="O129" s="488" t="n">
        <v>0.5652</v>
      </c>
      <c r="P129" s="488" t="n">
        <v>0.4554</v>
      </c>
      <c r="Q129" s="484" t="n"/>
      <c r="R129" s="484" t="n"/>
      <c r="S129" s="484" t="n"/>
      <c r="T129" s="484" t="n"/>
      <c r="U129" s="484" t="n"/>
      <c r="V129" s="484" t="n"/>
      <c r="W129" s="484" t="n"/>
      <c r="X129" s="488" t="n">
        <v>2.4623</v>
      </c>
      <c r="Y129" s="488" t="n">
        <v>2.4623</v>
      </c>
      <c r="Z129" s="484" t="n"/>
      <c r="AA129" s="488" t="n">
        <v>0.5888</v>
      </c>
      <c r="AB129" s="484" t="n"/>
      <c r="AC129" s="488" t="n">
        <v>0.5888</v>
      </c>
      <c r="AD129" s="484" t="n"/>
      <c r="AE129" s="484" t="n"/>
      <c r="AF129" s="488" t="n">
        <v>2.4159</v>
      </c>
      <c r="AG129" s="488" t="n">
        <v>0.3126</v>
      </c>
      <c r="AH129" s="488" t="n">
        <v>6.8005</v>
      </c>
      <c r="AI129" s="488" t="n">
        <v>2.0271</v>
      </c>
      <c r="AJ129" s="488" t="n">
        <v>8.8276</v>
      </c>
      <c r="AK129" s="488" t="n">
        <v>2.7328</v>
      </c>
      <c r="AL129" s="484" t="n"/>
      <c r="AM129" s="485" t="inlineStr">
        <is>
          <t>Office; expenses only; GRI est. ~$228k</t>
        </is>
      </c>
    </row>
    <row r="130" ht="13.5" customHeight="1" s="545">
      <c r="A130" s="484" t="inlineStr">
        <is>
          <t>P064</t>
        </is>
      </c>
      <c r="B130" s="449" t="n">
        <v>344</v>
      </c>
      <c r="C130" s="484" t="inlineStr">
        <is>
          <t>R0050977</t>
        </is>
      </c>
      <c r="D130" s="485" t="inlineStr">
        <is>
          <t>9351 Grant St</t>
        </is>
      </c>
      <c r="E130" s="484" t="inlineStr">
        <is>
          <t>Thornton</t>
        </is>
      </c>
      <c r="F130" s="484" t="inlineStr">
        <is>
          <t>CO</t>
        </is>
      </c>
      <c r="G130" s="484" t="inlineStr">
        <is>
          <t>Office</t>
        </is>
      </c>
      <c r="H130" s="485" t="inlineStr">
        <is>
          <t>Multi-Tenant Office</t>
        </is>
      </c>
      <c r="I130" s="486" t="n"/>
      <c r="J130" s="486" t="n"/>
      <c r="K130" s="486" t="n">
        <v>2023</v>
      </c>
      <c r="L130" s="487" t="n">
        <v>2011958</v>
      </c>
      <c r="M130" s="484" t="n"/>
      <c r="N130" s="487" t="n">
        <v>2239234</v>
      </c>
      <c r="O130" s="484" t="n"/>
      <c r="P130" s="484" t="n"/>
      <c r="Q130" s="484" t="n"/>
      <c r="R130" s="484" t="n"/>
      <c r="S130" s="484" t="n"/>
      <c r="T130" s="484" t="n"/>
      <c r="U130" s="484" t="n"/>
      <c r="V130" s="484" t="n"/>
      <c r="W130" s="484" t="n"/>
      <c r="X130" s="487" t="n">
        <v>144543</v>
      </c>
      <c r="Y130" s="487" t="n">
        <v>144543</v>
      </c>
      <c r="Z130" s="484" t="n"/>
      <c r="AA130" s="484" t="n"/>
      <c r="AB130" s="484" t="n"/>
      <c r="AC130" s="484" t="n"/>
      <c r="AD130" s="484" t="n"/>
      <c r="AE130" s="484" t="n"/>
      <c r="AF130" s="487" t="n">
        <v>240350</v>
      </c>
      <c r="AG130" s="487" t="n">
        <v>279549</v>
      </c>
      <c r="AH130" s="487" t="n">
        <v>719555</v>
      </c>
      <c r="AI130" s="487" t="n">
        <v>497852</v>
      </c>
      <c r="AJ130" s="487" t="n">
        <v>1217407</v>
      </c>
      <c r="AK130" s="487" t="n">
        <v>1021827</v>
      </c>
      <c r="AL130" s="484" t="n"/>
      <c r="AM130" s="485" t="inlineStr">
        <is>
          <t>[NO SF] Actual P&amp;L; Crown RE Group; RE Tax + Ins combined in $497,852 line; large office property</t>
        </is>
      </c>
    </row>
    <row r="131" ht="13.5" customHeight="1" s="545">
      <c r="A131" s="484" t="inlineStr">
        <is>
          <t>P065</t>
        </is>
      </c>
      <c r="B131" s="449" t="n">
        <v>344</v>
      </c>
      <c r="C131" s="484" t="inlineStr">
        <is>
          <t>R0069041</t>
        </is>
      </c>
      <c r="D131" s="485" t="inlineStr">
        <is>
          <t>7475 Dakin St (Turnpike Tower)</t>
        </is>
      </c>
      <c r="E131" s="484" t="inlineStr">
        <is>
          <t>Denver</t>
        </is>
      </c>
      <c r="F131" s="484" t="inlineStr">
        <is>
          <t>CO</t>
        </is>
      </c>
      <c r="G131" s="484" t="inlineStr">
        <is>
          <t>Office</t>
        </is>
      </c>
      <c r="H131" s="485" t="inlineStr">
        <is>
          <t>Multi-Tenant Office</t>
        </is>
      </c>
      <c r="I131" s="486" t="n"/>
      <c r="J131" s="486" t="n">
        <v>114843</v>
      </c>
      <c r="K131" s="486" t="n">
        <v>2023</v>
      </c>
      <c r="L131" s="484" t="n"/>
      <c r="M131" s="484" t="n"/>
      <c r="N131" s="488" t="n">
        <v>5.3899</v>
      </c>
      <c r="O131" s="484" t="n"/>
      <c r="P131" s="484" t="n"/>
      <c r="Q131" s="484" t="n"/>
      <c r="R131" s="484" t="n"/>
      <c r="S131" s="484" t="n"/>
      <c r="T131" s="484" t="n"/>
      <c r="U131" s="484" t="n"/>
      <c r="V131" s="484" t="n"/>
      <c r="W131" s="484" t="n"/>
      <c r="X131" s="484" t="n"/>
      <c r="Y131" s="484" t="n"/>
      <c r="Z131" s="484" t="n"/>
      <c r="AA131" s="488" t="n">
        <v>0.0873</v>
      </c>
      <c r="AB131" s="484" t="n"/>
      <c r="AC131" s="484" t="n"/>
      <c r="AD131" s="484" t="n"/>
      <c r="AE131" s="484" t="n"/>
      <c r="AF131" s="484" t="n"/>
      <c r="AG131" s="484" t="n"/>
      <c r="AH131" s="488" t="n">
        <v>2.6434</v>
      </c>
      <c r="AI131" s="488" t="n">
        <v>2.2851</v>
      </c>
      <c r="AJ131" s="488" t="n">
        <v>4.9285</v>
      </c>
      <c r="AK131" s="488" t="n">
        <v>0.4627</v>
      </c>
      <c r="AL131" s="484" t="n"/>
      <c r="AM131" s="485" t="inlineStr">
        <is>
          <t>Actual; 87.7% occ; NNN/Modified leases; RE Tax heavy; approx figures</t>
        </is>
      </c>
    </row>
    <row r="132" ht="13.5" customHeight="1" s="545">
      <c r="A132" s="484" t="inlineStr">
        <is>
          <t>P065</t>
        </is>
      </c>
      <c r="B132" s="449" t="n">
        <v>344</v>
      </c>
      <c r="C132" s="484" t="inlineStr">
        <is>
          <t>R0069041</t>
        </is>
      </c>
      <c r="D132" s="485" t="inlineStr">
        <is>
          <t>7475 Dakin St (Turnpike Tower)</t>
        </is>
      </c>
      <c r="E132" s="484" t="inlineStr">
        <is>
          <t>Denver</t>
        </is>
      </c>
      <c r="F132" s="484" t="inlineStr">
        <is>
          <t>CO</t>
        </is>
      </c>
      <c r="G132" s="484" t="inlineStr">
        <is>
          <t>Office</t>
        </is>
      </c>
      <c r="H132" s="485" t="inlineStr">
        <is>
          <t>Multi-Tenant Office</t>
        </is>
      </c>
      <c r="I132" s="486" t="n"/>
      <c r="J132" s="486" t="n">
        <v>114843</v>
      </c>
      <c r="K132" s="486" t="n">
        <v>2024</v>
      </c>
      <c r="L132" s="484" t="n"/>
      <c r="M132" s="484" t="n"/>
      <c r="N132" s="488" t="n">
        <v>11.7878</v>
      </c>
      <c r="O132" s="484" t="n"/>
      <c r="P132" s="484" t="n"/>
      <c r="Q132" s="484" t="n"/>
      <c r="R132" s="484" t="n"/>
      <c r="S132" s="484" t="n"/>
      <c r="T132" s="484" t="n"/>
      <c r="U132" s="484" t="n"/>
      <c r="V132" s="484" t="n"/>
      <c r="W132" s="484" t="n"/>
      <c r="X132" s="484" t="n"/>
      <c r="Y132" s="484" t="n"/>
      <c r="Z132" s="484" t="n"/>
      <c r="AA132" s="484" t="n"/>
      <c r="AB132" s="484" t="n"/>
      <c r="AC132" s="484" t="n"/>
      <c r="AD132" s="484" t="n"/>
      <c r="AE132" s="484" t="n"/>
      <c r="AF132" s="484" t="n"/>
      <c r="AG132" s="484" t="n"/>
      <c r="AH132" s="488" t="n">
        <v>8.9252</v>
      </c>
      <c r="AI132" s="484" t="n"/>
      <c r="AJ132" s="488" t="n">
        <v>11.2066</v>
      </c>
      <c r="AK132" s="488" t="n">
        <v>0.5806</v>
      </c>
      <c r="AL132" s="484" t="n"/>
      <c r="AM132" s="485" t="inlineStr">
        <is>
          <t>Actual 2024; approx figures; RE Tax est. ~$262k</t>
        </is>
      </c>
    </row>
    <row r="133" ht="13.5" customHeight="1" s="545">
      <c r="A133" s="484" t="inlineStr">
        <is>
          <t>P066</t>
        </is>
      </c>
      <c r="B133" s="449" t="n">
        <v>344</v>
      </c>
      <c r="C133" s="484" t="inlineStr">
        <is>
          <t>R0079409</t>
        </is>
      </c>
      <c r="D133" s="485" t="inlineStr">
        <is>
          <t>6401 E 72nd Ave</t>
        </is>
      </c>
      <c r="E133" s="484" t="inlineStr">
        <is>
          <t>Commerce City</t>
        </is>
      </c>
      <c r="F133" s="484" t="inlineStr">
        <is>
          <t>CO</t>
        </is>
      </c>
      <c r="G133" s="484" t="inlineStr">
        <is>
          <t>Office</t>
        </is>
      </c>
      <c r="H133" s="485" t="inlineStr">
        <is>
          <t>Multi-Tenant Office</t>
        </is>
      </c>
      <c r="I133" s="486" t="n"/>
      <c r="J133" s="486" t="n">
        <v>8218</v>
      </c>
      <c r="K133" s="486" t="n">
        <v>2023</v>
      </c>
      <c r="L133" s="488" t="n">
        <v>11.7637</v>
      </c>
      <c r="M133" s="484" t="n"/>
      <c r="N133" s="488" t="n">
        <v>13.2835</v>
      </c>
      <c r="O133" s="488" t="n">
        <v>0.2901</v>
      </c>
      <c r="P133" s="488" t="n">
        <v>0.6571</v>
      </c>
      <c r="Q133" s="484" t="n"/>
      <c r="R133" s="484" t="n"/>
      <c r="S133" s="484" t="n"/>
      <c r="T133" s="484" t="n"/>
      <c r="U133" s="484" t="n"/>
      <c r="V133" s="484" t="n"/>
      <c r="W133" s="484" t="n"/>
      <c r="X133" s="488" t="n">
        <v>2.2109</v>
      </c>
      <c r="Y133" s="488" t="n">
        <v>2.2109</v>
      </c>
      <c r="Z133" s="484" t="n"/>
      <c r="AA133" s="484" t="n"/>
      <c r="AB133" s="484" t="n"/>
      <c r="AC133" s="484" t="n"/>
      <c r="AD133" s="484" t="n"/>
      <c r="AE133" s="484" t="n"/>
      <c r="AF133" s="488" t="n">
        <v>1.5784</v>
      </c>
      <c r="AG133" s="488" t="n">
        <v>0.4882</v>
      </c>
      <c r="AH133" s="488" t="n">
        <v>4.8338</v>
      </c>
      <c r="AI133" s="488" t="n">
        <v>1.9805</v>
      </c>
      <c r="AJ133" s="488" t="n">
        <v>6.8143</v>
      </c>
      <c r="AK133" s="488" t="n">
        <v>6.4493</v>
      </c>
      <c r="AL133" s="484" t="n"/>
      <c r="AM133" s="485" t="inlineStr">
        <is>
          <t>Actual 2023; 9 tenants small multi-tenant office; approx total OPX/NOI</t>
        </is>
      </c>
    </row>
    <row r="134" ht="13.5" customHeight="1" s="545">
      <c r="A134" s="484" t="inlineStr">
        <is>
          <t>P067</t>
        </is>
      </c>
      <c r="B134" s="449" t="n">
        <v>344</v>
      </c>
      <c r="C134" s="484" t="inlineStr">
        <is>
          <t>R0189338</t>
        </is>
      </c>
      <c r="D134" s="485" t="inlineStr">
        <is>
          <t>203 Telluride St</t>
        </is>
      </c>
      <c r="E134" s="484" t="inlineStr">
        <is>
          <t>Aurora</t>
        </is>
      </c>
      <c r="F134" s="484" t="inlineStr">
        <is>
          <t>CO</t>
        </is>
      </c>
      <c r="G134" s="484" t="inlineStr">
        <is>
          <t>Office</t>
        </is>
      </c>
      <c r="H134" s="485" t="inlineStr">
        <is>
          <t>Multi-Tenant Office</t>
        </is>
      </c>
      <c r="I134" s="486" t="n"/>
      <c r="J134" s="486" t="n"/>
      <c r="K134" s="486" t="n">
        <v>2023</v>
      </c>
      <c r="L134" s="487" t="n">
        <v>326779</v>
      </c>
      <c r="M134" s="484" t="n"/>
      <c r="N134" s="487" t="n">
        <v>315661</v>
      </c>
      <c r="O134" s="484" t="n"/>
      <c r="P134" s="484" t="n"/>
      <c r="Q134" s="484" t="n"/>
      <c r="R134" s="484" t="n"/>
      <c r="S134" s="484" t="n"/>
      <c r="T134" s="484" t="n"/>
      <c r="U134" s="484" t="n"/>
      <c r="V134" s="484" t="n"/>
      <c r="W134" s="484" t="n"/>
      <c r="X134" s="484" t="n"/>
      <c r="Y134" s="484" t="n"/>
      <c r="Z134" s="484" t="n"/>
      <c r="AA134" s="487" t="n">
        <v>16009</v>
      </c>
      <c r="AB134" s="484" t="n"/>
      <c r="AC134" s="484" t="n"/>
      <c r="AD134" s="484" t="n"/>
      <c r="AE134" s="484" t="n"/>
      <c r="AF134" s="484" t="n"/>
      <c r="AG134" s="484" t="n"/>
      <c r="AH134" s="487" t="n">
        <v>78034</v>
      </c>
      <c r="AI134" s="487" t="n">
        <v>66966</v>
      </c>
      <c r="AJ134" s="487" t="n">
        <v>145000</v>
      </c>
      <c r="AK134" s="487" t="n">
        <v>170661</v>
      </c>
      <c r="AL134" s="484" t="n"/>
      <c r="AM134" s="485" t="inlineStr">
        <is>
          <t>[NO SF] Actual 2023; SF not stated; approx total OPX</t>
        </is>
      </c>
    </row>
    <row r="135" ht="13.5" customHeight="1" s="545">
      <c r="A135" s="484" t="inlineStr">
        <is>
          <t>P067</t>
        </is>
      </c>
      <c r="B135" s="449" t="n">
        <v>344</v>
      </c>
      <c r="C135" s="484" t="inlineStr">
        <is>
          <t>R0189338</t>
        </is>
      </c>
      <c r="D135" s="485" t="inlineStr">
        <is>
          <t>203 Telluride St</t>
        </is>
      </c>
      <c r="E135" s="484" t="inlineStr">
        <is>
          <t>Aurora</t>
        </is>
      </c>
      <c r="F135" s="484" t="inlineStr">
        <is>
          <t>CO</t>
        </is>
      </c>
      <c r="G135" s="484" t="inlineStr">
        <is>
          <t>Office</t>
        </is>
      </c>
      <c r="H135" s="485" t="inlineStr">
        <is>
          <t>Multi-Tenant Office</t>
        </is>
      </c>
      <c r="I135" s="486" t="n"/>
      <c r="J135" s="486" t="n"/>
      <c r="K135" s="486" t="n">
        <v>2024</v>
      </c>
      <c r="L135" s="487" t="n">
        <v>357674</v>
      </c>
      <c r="M135" s="484" t="n"/>
      <c r="N135" s="487" t="n">
        <v>335977</v>
      </c>
      <c r="O135" s="487" t="n">
        <v>9791</v>
      </c>
      <c r="P135" s="487" t="n">
        <v>7884</v>
      </c>
      <c r="Q135" s="484" t="n"/>
      <c r="R135" s="484" t="n"/>
      <c r="S135" s="484" t="n"/>
      <c r="T135" s="484" t="n"/>
      <c r="U135" s="484" t="n"/>
      <c r="V135" s="484" t="n"/>
      <c r="W135" s="484" t="n"/>
      <c r="X135" s="487" t="n">
        <v>41510</v>
      </c>
      <c r="Y135" s="487" t="n">
        <v>41510</v>
      </c>
      <c r="Z135" s="484" t="n"/>
      <c r="AA135" s="487" t="n">
        <v>12092</v>
      </c>
      <c r="AB135" s="484" t="n"/>
      <c r="AC135" s="484" t="n"/>
      <c r="AD135" s="484" t="n"/>
      <c r="AE135" s="484" t="n"/>
      <c r="AF135" s="487" t="n">
        <v>9302</v>
      </c>
      <c r="AG135" s="487" t="n">
        <v>10772</v>
      </c>
      <c r="AH135" s="487" t="n">
        <v>109544</v>
      </c>
      <c r="AI135" s="487" t="n">
        <v>68307</v>
      </c>
      <c r="AJ135" s="487" t="n">
        <v>177851</v>
      </c>
      <c r="AK135" s="487" t="n">
        <v>158126</v>
      </c>
      <c r="AL135" s="484" t="n"/>
      <c r="AM135" s="485" t="inlineStr">
        <is>
          <t>[NO SF] Actual 2024; SF not stated</t>
        </is>
      </c>
    </row>
    <row r="136" ht="13.5" customHeight="1" s="545">
      <c r="A136" s="484" t="inlineStr">
        <is>
          <t>P068</t>
        </is>
      </c>
      <c r="B136" s="449" t="n">
        <v>344</v>
      </c>
      <c r="C136" s="484" t="inlineStr">
        <is>
          <t>R0193830</t>
        </is>
      </c>
      <c r="D136" s="485" t="inlineStr">
        <is>
          <t>Justice Center Office Plaza</t>
        </is>
      </c>
      <c r="E136" s="484" t="inlineStr">
        <is>
          <t>Denver</t>
        </is>
      </c>
      <c r="F136" s="484" t="inlineStr">
        <is>
          <t>CO</t>
        </is>
      </c>
      <c r="G136" s="484" t="inlineStr">
        <is>
          <t>Office</t>
        </is>
      </c>
      <c r="H136" s="485" t="inlineStr">
        <is>
          <t>Multi-Tenant Office NNN</t>
        </is>
      </c>
      <c r="I136" s="486" t="n"/>
      <c r="J136" s="486" t="n">
        <v>41979</v>
      </c>
      <c r="K136" s="486" t="n">
        <v>2023</v>
      </c>
      <c r="L136" s="488" t="n">
        <v>23.2395</v>
      </c>
      <c r="M136" s="484" t="n"/>
      <c r="N136" s="488" t="n">
        <v>32.1906</v>
      </c>
      <c r="O136" s="488" t="n">
        <v>0.7301</v>
      </c>
      <c r="P136" s="488" t="n">
        <v>2.0601</v>
      </c>
      <c r="Q136" s="484" t="n"/>
      <c r="R136" s="484" t="n"/>
      <c r="S136" s="484" t="n"/>
      <c r="T136" s="484" t="n"/>
      <c r="U136" s="484" t="n"/>
      <c r="V136" s="484" t="n"/>
      <c r="W136" s="484" t="n"/>
      <c r="X136" s="488" t="n">
        <v>3.2415</v>
      </c>
      <c r="Y136" s="488" t="n">
        <v>3.2415</v>
      </c>
      <c r="Z136" s="484" t="n"/>
      <c r="AA136" s="484" t="n"/>
      <c r="AB136" s="484" t="n"/>
      <c r="AC136" s="484" t="n"/>
      <c r="AD136" s="484" t="n"/>
      <c r="AE136" s="484" t="n"/>
      <c r="AF136" s="488" t="n">
        <v>3.4458</v>
      </c>
      <c r="AG136" s="488" t="n">
        <v>0.5937</v>
      </c>
      <c r="AH136" s="488" t="n">
        <v>10.0688</v>
      </c>
      <c r="AI136" s="488" t="n">
        <v>2.0543</v>
      </c>
      <c r="AJ136" s="488" t="n">
        <v>12.123</v>
      </c>
      <c r="AK136" s="488" t="n">
        <v>20.0676</v>
      </c>
      <c r="AL136" s="484" t="n"/>
      <c r="AM136" s="485" t="inlineStr">
        <is>
          <t>Actual accrual; govt tenants; 100% occ NNN; special assessments in Other</t>
        </is>
      </c>
    </row>
    <row r="137" ht="13.5" customHeight="1" s="545">
      <c r="A137" s="484" t="inlineStr">
        <is>
          <t>P068</t>
        </is>
      </c>
      <c r="B137" s="449" t="n">
        <v>344</v>
      </c>
      <c r="C137" s="484" t="inlineStr">
        <is>
          <t>R0193830</t>
        </is>
      </c>
      <c r="D137" s="485" t="inlineStr">
        <is>
          <t>Justice Center Office Plaza</t>
        </is>
      </c>
      <c r="E137" s="484" t="inlineStr">
        <is>
          <t>Denver</t>
        </is>
      </c>
      <c r="F137" s="484" t="inlineStr">
        <is>
          <t>CO</t>
        </is>
      </c>
      <c r="G137" s="484" t="inlineStr">
        <is>
          <t>Office</t>
        </is>
      </c>
      <c r="H137" s="485" t="inlineStr">
        <is>
          <t>Multi-Tenant Office NNN</t>
        </is>
      </c>
      <c r="I137" s="486" t="n"/>
      <c r="J137" s="486" t="n">
        <v>41979</v>
      </c>
      <c r="K137" s="486" t="n">
        <v>2024</v>
      </c>
      <c r="L137" s="488" t="n">
        <v>20.4556</v>
      </c>
      <c r="M137" s="484" t="n"/>
      <c r="N137" s="488" t="n">
        <v>33.188</v>
      </c>
      <c r="O137" s="488" t="n">
        <v>0.8289</v>
      </c>
      <c r="P137" s="488" t="n">
        <v>2.1306</v>
      </c>
      <c r="Q137" s="484" t="n"/>
      <c r="R137" s="484" t="n"/>
      <c r="S137" s="484" t="n"/>
      <c r="T137" s="484" t="n"/>
      <c r="U137" s="484" t="n"/>
      <c r="V137" s="484" t="n"/>
      <c r="W137" s="484" t="n"/>
      <c r="X137" s="488" t="n">
        <v>2.7757</v>
      </c>
      <c r="Y137" s="488" t="n">
        <v>2.7757</v>
      </c>
      <c r="Z137" s="484" t="n"/>
      <c r="AA137" s="484" t="n"/>
      <c r="AB137" s="484" t="n"/>
      <c r="AC137" s="484" t="n"/>
      <c r="AD137" s="484" t="n"/>
      <c r="AE137" s="484" t="n"/>
      <c r="AF137" s="488" t="n">
        <v>3.5734</v>
      </c>
      <c r="AG137" s="488" t="n">
        <v>0.7077</v>
      </c>
      <c r="AH137" s="488" t="n">
        <v>10.1354</v>
      </c>
      <c r="AI137" s="488" t="n">
        <v>2.0662</v>
      </c>
      <c r="AJ137" s="488" t="n">
        <v>12.2016</v>
      </c>
      <c r="AK137" s="488" t="n">
        <v>20.9864</v>
      </c>
      <c r="AL137" s="484" t="n"/>
      <c r="AM137" s="485" t="inlineStr">
        <is>
          <t>Actual accrual; govt tenants; 100% occ NNN; special assessments in Other</t>
        </is>
      </c>
    </row>
    <row r="138" ht="13.5" customHeight="1" s="545">
      <c r="A138" s="484" t="inlineStr">
        <is>
          <t>P069</t>
        </is>
      </c>
      <c r="B138" s="449" t="n">
        <v>210</v>
      </c>
      <c r="C138" s="484" t="inlineStr">
        <is>
          <t>R0098223</t>
        </is>
      </c>
      <c r="D138" s="485" t="inlineStr">
        <is>
          <t>Washington Commerce Center</t>
        </is>
      </c>
      <c r="E138" s="484" t="inlineStr">
        <is>
          <t>Commerce City</t>
        </is>
      </c>
      <c r="F138" s="484" t="inlineStr">
        <is>
          <t>CO</t>
        </is>
      </c>
      <c r="G138" s="484" t="inlineStr">
        <is>
          <t>Office/Industrial</t>
        </is>
      </c>
      <c r="H138" s="485" t="inlineStr">
        <is>
          <t>Multi-Tenant Office/Industrial</t>
        </is>
      </c>
      <c r="I138" s="486" t="n"/>
      <c r="J138" s="486" t="n">
        <v>278538</v>
      </c>
      <c r="K138" s="486" t="n">
        <v>2023</v>
      </c>
      <c r="L138" s="488" t="n">
        <v>5.8736</v>
      </c>
      <c r="M138" s="484" t="n"/>
      <c r="N138" s="488" t="n">
        <v>5.7822</v>
      </c>
      <c r="O138" s="488" t="n">
        <v>0.0183</v>
      </c>
      <c r="P138" s="488" t="n">
        <v>0.0788</v>
      </c>
      <c r="Q138" s="484" t="n"/>
      <c r="R138" s="484" t="n"/>
      <c r="S138" s="484" t="n"/>
      <c r="T138" s="484" t="n"/>
      <c r="U138" s="484" t="n"/>
      <c r="V138" s="484" t="n"/>
      <c r="W138" s="484" t="n"/>
      <c r="X138" s="488" t="n">
        <v>0.9203</v>
      </c>
      <c r="Y138" s="488" t="n">
        <v>0.9203</v>
      </c>
      <c r="Z138" s="484" t="n"/>
      <c r="AA138" s="488" t="n">
        <v>0.2083</v>
      </c>
      <c r="AB138" s="488" t="n">
        <v>0.0116</v>
      </c>
      <c r="AC138" s="488" t="n">
        <v>0.2199</v>
      </c>
      <c r="AD138" s="484" t="n"/>
      <c r="AE138" s="484" t="n"/>
      <c r="AF138" s="488" t="n">
        <v>0.1146</v>
      </c>
      <c r="AG138" s="484" t="n"/>
      <c r="AH138" s="488" t="n">
        <v>1.3485</v>
      </c>
      <c r="AI138" s="488" t="n">
        <v>0</v>
      </c>
      <c r="AJ138" s="488" t="n">
        <v>1.3485</v>
      </c>
      <c r="AK138" s="488" t="n">
        <v>0.2751</v>
      </c>
      <c r="AL138" s="484" t="n"/>
      <c r="AM138" s="485" t="inlineStr">
        <is>
          <t>Actual; tenants pay RE tax; high R&amp;M 2023 ($127k major maint); SF est.</t>
        </is>
      </c>
    </row>
    <row r="139" ht="13.5" customHeight="1" s="545">
      <c r="A139" s="484" t="inlineStr">
        <is>
          <t>P069</t>
        </is>
      </c>
      <c r="B139" s="449" t="n">
        <v>210</v>
      </c>
      <c r="C139" s="484" t="inlineStr">
        <is>
          <t>R0098223</t>
        </is>
      </c>
      <c r="D139" s="485" t="inlineStr">
        <is>
          <t>Washington Commerce Center</t>
        </is>
      </c>
      <c r="E139" s="484" t="inlineStr">
        <is>
          <t>Commerce City</t>
        </is>
      </c>
      <c r="F139" s="484" t="inlineStr">
        <is>
          <t>CO</t>
        </is>
      </c>
      <c r="G139" s="484" t="inlineStr">
        <is>
          <t>Office/Industrial</t>
        </is>
      </c>
      <c r="H139" s="485" t="inlineStr">
        <is>
          <t>Multi-Tenant Office/Industrial</t>
        </is>
      </c>
      <c r="I139" s="486" t="n"/>
      <c r="J139" s="486" t="n">
        <v>278538</v>
      </c>
      <c r="K139" s="486" t="n">
        <v>2024</v>
      </c>
      <c r="L139" s="488" t="n">
        <v>5.4604</v>
      </c>
      <c r="M139" s="484" t="n"/>
      <c r="N139" s="488" t="n">
        <v>5.4604</v>
      </c>
      <c r="O139" s="488" t="n">
        <v>0.032</v>
      </c>
      <c r="P139" s="488" t="n">
        <v>0.09180000000000001</v>
      </c>
      <c r="Q139" s="484" t="n"/>
      <c r="R139" s="484" t="n"/>
      <c r="S139" s="484" t="n"/>
      <c r="T139" s="484" t="n"/>
      <c r="U139" s="484" t="n"/>
      <c r="V139" s="484" t="n"/>
      <c r="W139" s="484" t="n"/>
      <c r="X139" s="488" t="n">
        <v>0.4497</v>
      </c>
      <c r="Y139" s="488" t="n">
        <v>0.4497</v>
      </c>
      <c r="Z139" s="484" t="n"/>
      <c r="AA139" s="488" t="n">
        <v>0.2083</v>
      </c>
      <c r="AB139" s="488" t="n">
        <v>0.0357</v>
      </c>
      <c r="AC139" s="488" t="n">
        <v>0.2441</v>
      </c>
      <c r="AD139" s="484" t="n"/>
      <c r="AE139" s="484" t="n"/>
      <c r="AF139" s="488" t="n">
        <v>0.1146</v>
      </c>
      <c r="AG139" s="484" t="n"/>
      <c r="AH139" s="488" t="n">
        <v>0.9322</v>
      </c>
      <c r="AI139" s="488" t="n">
        <v>0</v>
      </c>
      <c r="AJ139" s="488" t="n">
        <v>0.9322</v>
      </c>
      <c r="AK139" s="488" t="n">
        <v>0.3374</v>
      </c>
      <c r="AL139" s="484" t="n"/>
      <c r="AM139" s="485" t="inlineStr">
        <is>
          <t>Actual; tenants pay RE tax; lower R&amp;M 2024; SF est.</t>
        </is>
      </c>
    </row>
    <row r="140" ht="13.5" customHeight="1" s="545">
      <c r="A140" s="476" t="inlineStr">
        <is>
          <t>P070</t>
        </is>
      </c>
      <c r="B140" s="449" t="n">
        <v>210</v>
      </c>
      <c r="C140" s="476" t="inlineStr">
        <is>
          <t>R0084242</t>
        </is>
      </c>
      <c r="D140" s="477" t="inlineStr">
        <is>
          <t>Upland Dist Ctr I (Bldg 1)</t>
        </is>
      </c>
      <c r="E140" s="476" t="inlineStr">
        <is>
          <t>Aurora</t>
        </is>
      </c>
      <c r="F140" s="476" t="inlineStr">
        <is>
          <t>CO</t>
        </is>
      </c>
      <c r="G140" s="476" t="inlineStr">
        <is>
          <t>Industrial</t>
        </is>
      </c>
      <c r="H140" s="477" t="inlineStr">
        <is>
          <t>Multi-Tenant Industrial NNN</t>
        </is>
      </c>
      <c r="I140" s="478" t="n"/>
      <c r="J140" s="478" t="n"/>
      <c r="K140" s="478" t="n">
        <v>2024</v>
      </c>
      <c r="L140" s="489" t="n">
        <v>693913</v>
      </c>
      <c r="M140" s="476" t="n"/>
      <c r="N140" s="489" t="n">
        <v>1038740</v>
      </c>
      <c r="O140" s="489" t="n">
        <v>10142</v>
      </c>
      <c r="P140" s="489" t="n">
        <v>11589</v>
      </c>
      <c r="Q140" s="476" t="n"/>
      <c r="R140" s="476" t="n"/>
      <c r="S140" s="489" t="n">
        <v>10801</v>
      </c>
      <c r="T140" s="489" t="n">
        <v>2121</v>
      </c>
      <c r="U140" s="476" t="n"/>
      <c r="V140" s="476" t="n"/>
      <c r="W140" s="476" t="n"/>
      <c r="X140" s="489" t="n">
        <v>1602</v>
      </c>
      <c r="Y140" s="489" t="n">
        <v>14524</v>
      </c>
      <c r="Z140" s="476" t="n"/>
      <c r="AA140" s="489" t="n">
        <v>10822</v>
      </c>
      <c r="AB140" s="489" t="n">
        <v>32162</v>
      </c>
      <c r="AC140" s="489" t="n">
        <v>3096</v>
      </c>
      <c r="AD140" s="489" t="n">
        <v>10863</v>
      </c>
      <c r="AE140" s="476" t="n"/>
      <c r="AF140" s="489" t="n">
        <v>10863</v>
      </c>
      <c r="AG140" s="476" t="n"/>
      <c r="AH140" s="489" t="n">
        <v>103843</v>
      </c>
      <c r="AI140" s="489" t="n">
        <v>285245</v>
      </c>
      <c r="AJ140" s="489" t="n">
        <v>389088</v>
      </c>
      <c r="AK140" s="489" t="n">
        <v>649652</v>
      </c>
      <c r="AL140" s="476" t="n"/>
      <c r="AM140" s="477" t="inlineStr">
        <is>
          <t>[NO SF] Link Logistics actual accrual; security $3,096 in contract; mgmt non-billable</t>
        </is>
      </c>
    </row>
    <row r="141" ht="13.5" customHeight="1" s="545">
      <c r="A141" s="450" t="inlineStr">
        <is>
          <t>P070</t>
        </is>
      </c>
      <c r="B141" s="449" t="n">
        <v>210</v>
      </c>
      <c r="C141" s="450" t="inlineStr">
        <is>
          <t>R0084242</t>
        </is>
      </c>
      <c r="D141" s="468" t="inlineStr">
        <is>
          <t>Upland Dist Ctr I (Bldg 1)</t>
        </is>
      </c>
      <c r="E141" s="450" t="inlineStr">
        <is>
          <t>Aurora</t>
        </is>
      </c>
      <c r="F141" s="450" t="inlineStr">
        <is>
          <t>CO</t>
        </is>
      </c>
      <c r="G141" s="450" t="inlineStr">
        <is>
          <t>Industrial</t>
        </is>
      </c>
      <c r="H141" s="468" t="inlineStr">
        <is>
          <t>Multi-Tenant Industrial NNN</t>
        </is>
      </c>
      <c r="I141" s="480" t="n"/>
      <c r="J141" s="480" t="n"/>
      <c r="K141" s="480" t="n">
        <v>2023</v>
      </c>
      <c r="L141" s="490" t="n">
        <v>636291</v>
      </c>
      <c r="M141" s="450" t="n"/>
      <c r="N141" s="490" t="n">
        <v>1062200</v>
      </c>
      <c r="O141" s="490" t="n">
        <v>7751</v>
      </c>
      <c r="P141" s="490" t="n">
        <v>9831</v>
      </c>
      <c r="Q141" s="450" t="n"/>
      <c r="R141" s="450" t="n"/>
      <c r="S141" s="490" t="n">
        <v>6802</v>
      </c>
      <c r="T141" s="490" t="n">
        <v>2340</v>
      </c>
      <c r="U141" s="450" t="n"/>
      <c r="V141" s="450" t="n"/>
      <c r="W141" s="450" t="n"/>
      <c r="X141" s="490" t="n">
        <v>1498</v>
      </c>
      <c r="Y141" s="490" t="n">
        <v>10640</v>
      </c>
      <c r="Z141" s="450" t="n"/>
      <c r="AA141" s="490" t="n">
        <v>12695</v>
      </c>
      <c r="AB141" s="490" t="n">
        <v>15327</v>
      </c>
      <c r="AC141" s="490" t="n">
        <v>3871</v>
      </c>
      <c r="AD141" s="490" t="n">
        <v>18104</v>
      </c>
      <c r="AE141" s="450" t="n"/>
      <c r="AF141" s="490" t="n">
        <v>18104</v>
      </c>
      <c r="AG141" s="450" t="n"/>
      <c r="AH141" s="490" t="n">
        <v>93172</v>
      </c>
      <c r="AI141" s="490" t="n">
        <v>284308</v>
      </c>
      <c r="AJ141" s="490" t="n">
        <v>377480</v>
      </c>
      <c r="AK141" s="490" t="n">
        <v>684720</v>
      </c>
      <c r="AL141" s="450" t="n"/>
      <c r="AM141" s="468" t="inlineStr">
        <is>
          <t>[NO SF] Link Logistics actual accrual; security $3,871 in contract; mgmt non-billable</t>
        </is>
      </c>
    </row>
    <row r="142" ht="13.5" customHeight="1" s="545">
      <c r="A142" s="476" t="inlineStr">
        <is>
          <t>P071</t>
        </is>
      </c>
      <c r="B142" s="449" t="n">
        <v>210</v>
      </c>
      <c r="C142" s="476" t="inlineStr">
        <is>
          <t>R0084243</t>
        </is>
      </c>
      <c r="D142" s="477" t="inlineStr">
        <is>
          <t>Upland Dist Ctr I (Bldg 2)</t>
        </is>
      </c>
      <c r="E142" s="476" t="inlineStr">
        <is>
          <t>Aurora</t>
        </is>
      </c>
      <c r="F142" s="476" t="inlineStr">
        <is>
          <t>CO</t>
        </is>
      </c>
      <c r="G142" s="476" t="inlineStr">
        <is>
          <t>Industrial</t>
        </is>
      </c>
      <c r="H142" s="477" t="inlineStr">
        <is>
          <t>Multi-Tenant Industrial NNN</t>
        </is>
      </c>
      <c r="I142" s="478" t="n"/>
      <c r="J142" s="478" t="n"/>
      <c r="K142" s="478" t="n">
        <v>2024</v>
      </c>
      <c r="L142" s="489" t="n">
        <v>559154</v>
      </c>
      <c r="M142" s="476" t="n"/>
      <c r="N142" s="489" t="n">
        <v>904777</v>
      </c>
      <c r="O142" s="489" t="n">
        <v>9318</v>
      </c>
      <c r="P142" s="489" t="n">
        <v>8966</v>
      </c>
      <c r="Q142" s="476" t="n"/>
      <c r="R142" s="476" t="n"/>
      <c r="S142" s="489" t="n">
        <v>5962</v>
      </c>
      <c r="T142" s="489" t="n">
        <v>2221</v>
      </c>
      <c r="U142" s="489" t="n">
        <v>2465</v>
      </c>
      <c r="V142" s="476" t="n"/>
      <c r="W142" s="476" t="n"/>
      <c r="X142" s="489" t="n">
        <v>1589</v>
      </c>
      <c r="Y142" s="489" t="n">
        <v>12237</v>
      </c>
      <c r="Z142" s="476" t="n"/>
      <c r="AA142" s="489" t="n">
        <v>11302</v>
      </c>
      <c r="AB142" s="489" t="n">
        <v>32413</v>
      </c>
      <c r="AC142" s="489" t="n">
        <v>3096</v>
      </c>
      <c r="AD142" s="489" t="n">
        <v>23773</v>
      </c>
      <c r="AE142" s="476" t="n"/>
      <c r="AF142" s="489" t="n">
        <v>23773</v>
      </c>
      <c r="AG142" s="476" t="n"/>
      <c r="AH142" s="489" t="n">
        <v>130296</v>
      </c>
      <c r="AI142" s="489" t="n">
        <v>265848</v>
      </c>
      <c r="AJ142" s="489" t="n">
        <v>396144</v>
      </c>
      <c r="AK142" s="489" t="n">
        <v>508633</v>
      </c>
      <c r="AL142" s="476" t="n"/>
      <c r="AM142" s="477" t="inlineStr">
        <is>
          <t>[NO SF] Link Logistics actual accrual</t>
        </is>
      </c>
    </row>
    <row r="143" ht="13.5" customHeight="1" s="545">
      <c r="A143" s="450" t="inlineStr">
        <is>
          <t>P071</t>
        </is>
      </c>
      <c r="B143" s="449" t="n">
        <v>210</v>
      </c>
      <c r="C143" s="450" t="inlineStr">
        <is>
          <t>R0084243</t>
        </is>
      </c>
      <c r="D143" s="468" t="inlineStr">
        <is>
          <t>Upland Dist Ctr I (Bldg 2)</t>
        </is>
      </c>
      <c r="E143" s="450" t="inlineStr">
        <is>
          <t>Aurora</t>
        </is>
      </c>
      <c r="F143" s="450" t="inlineStr">
        <is>
          <t>CO</t>
        </is>
      </c>
      <c r="G143" s="450" t="inlineStr">
        <is>
          <t>Industrial</t>
        </is>
      </c>
      <c r="H143" s="468" t="inlineStr">
        <is>
          <t>Multi-Tenant Industrial NNN</t>
        </is>
      </c>
      <c r="I143" s="480" t="n"/>
      <c r="J143" s="480" t="n"/>
      <c r="K143" s="480" t="n">
        <v>2023</v>
      </c>
      <c r="L143" s="490" t="n">
        <v>671895</v>
      </c>
      <c r="M143" s="450" t="n"/>
      <c r="N143" s="490" t="n">
        <v>1034507</v>
      </c>
      <c r="O143" s="490" t="n">
        <v>7124</v>
      </c>
      <c r="P143" s="490" t="n">
        <v>9660</v>
      </c>
      <c r="Q143" s="450" t="n"/>
      <c r="R143" s="450" t="n"/>
      <c r="S143" s="490" t="n">
        <v>5338</v>
      </c>
      <c r="T143" s="490" t="n">
        <v>2480</v>
      </c>
      <c r="U143" s="490" t="n">
        <v>875</v>
      </c>
      <c r="V143" s="450" t="n"/>
      <c r="W143" s="450" t="n"/>
      <c r="X143" s="490" t="n">
        <v>1484</v>
      </c>
      <c r="Y143" s="490" t="n">
        <v>10177</v>
      </c>
      <c r="Z143" s="450" t="n"/>
      <c r="AA143" s="490" t="n">
        <v>8120</v>
      </c>
      <c r="AB143" s="490" t="n">
        <v>15088</v>
      </c>
      <c r="AC143" s="490" t="n">
        <v>3871</v>
      </c>
      <c r="AD143" s="490" t="n">
        <v>13983</v>
      </c>
      <c r="AE143" s="450" t="n"/>
      <c r="AF143" s="490" t="n">
        <v>13983</v>
      </c>
      <c r="AG143" s="450" t="n"/>
      <c r="AH143" s="490" t="n">
        <v>29277</v>
      </c>
      <c r="AI143" s="490" t="n">
        <v>265936</v>
      </c>
      <c r="AJ143" s="490" t="n">
        <v>295213</v>
      </c>
      <c r="AK143" s="490" t="n">
        <v>739294</v>
      </c>
      <c r="AL143" s="450" t="n"/>
      <c r="AM143" s="468" t="inlineStr">
        <is>
          <t>[NO SF] Link Logistics actual accrual</t>
        </is>
      </c>
    </row>
    <row r="144" ht="13.5" customHeight="1" s="545">
      <c r="A144" s="476" t="inlineStr">
        <is>
          <t>P072</t>
        </is>
      </c>
      <c r="B144" s="449" t="n">
        <v>210</v>
      </c>
      <c r="C144" s="476" t="inlineStr">
        <is>
          <t>R0084244</t>
        </is>
      </c>
      <c r="D144" s="477" t="inlineStr">
        <is>
          <t>Upland Dist Ctr I (Bldg 3)</t>
        </is>
      </c>
      <c r="E144" s="476" t="inlineStr">
        <is>
          <t>Aurora</t>
        </is>
      </c>
      <c r="F144" s="476" t="inlineStr">
        <is>
          <t>CO</t>
        </is>
      </c>
      <c r="G144" s="476" t="inlineStr">
        <is>
          <t>Industrial</t>
        </is>
      </c>
      <c r="H144" s="477" t="inlineStr">
        <is>
          <t>Multi-Tenant Industrial NNN</t>
        </is>
      </c>
      <c r="I144" s="478" t="n"/>
      <c r="J144" s="478" t="n"/>
      <c r="K144" s="478" t="n">
        <v>2023</v>
      </c>
      <c r="L144" s="489" t="n">
        <v>633240</v>
      </c>
      <c r="M144" s="476" t="n"/>
      <c r="N144" s="489" t="n">
        <v>1026818</v>
      </c>
      <c r="O144" s="489" t="n">
        <v>6101</v>
      </c>
      <c r="P144" s="489" t="n">
        <v>8518</v>
      </c>
      <c r="Q144" s="476" t="n"/>
      <c r="R144" s="476" t="n"/>
      <c r="S144" s="489" t="n">
        <v>32990</v>
      </c>
      <c r="T144" s="489" t="n">
        <v>1965</v>
      </c>
      <c r="U144" s="476" t="n"/>
      <c r="V144" s="476" t="n"/>
      <c r="W144" s="476" t="n"/>
      <c r="X144" s="489" t="n">
        <v>1498</v>
      </c>
      <c r="Y144" s="489" t="n">
        <v>34453</v>
      </c>
      <c r="Z144" s="476" t="n"/>
      <c r="AA144" s="489" t="n">
        <v>11861</v>
      </c>
      <c r="AB144" s="489" t="n">
        <v>15620</v>
      </c>
      <c r="AC144" s="489" t="n">
        <v>3871</v>
      </c>
      <c r="AD144" s="489" t="n">
        <v>5672</v>
      </c>
      <c r="AE144" s="489" t="n">
        <v>3430</v>
      </c>
      <c r="AF144" s="489" t="n">
        <v>9102</v>
      </c>
      <c r="AG144" s="476" t="n"/>
      <c r="AH144" s="489" t="n">
        <v>107544</v>
      </c>
      <c r="AI144" s="489" t="n">
        <v>284308</v>
      </c>
      <c r="AJ144" s="489" t="n">
        <v>391852</v>
      </c>
      <c r="AK144" s="489" t="n">
        <v>634966</v>
      </c>
      <c r="AL144" s="476" t="n"/>
      <c r="AM144" s="477" t="inlineStr">
        <is>
          <t>[NO SF] Link Logistics 2023 only; large warehouse; notable free rent ($111k) and lease-up period</t>
        </is>
      </c>
    </row>
    <row r="145" ht="13.5" customHeight="1" s="545">
      <c r="A145" s="450" t="inlineStr">
        <is>
          <t>P073</t>
        </is>
      </c>
      <c r="B145" s="449" t="n">
        <v>210</v>
      </c>
      <c r="C145" s="450" t="inlineStr">
        <is>
          <t>R0084247</t>
        </is>
      </c>
      <c r="D145" s="468" t="inlineStr">
        <is>
          <t>13802 E 33rd Place</t>
        </is>
      </c>
      <c r="E145" s="450" t="inlineStr">
        <is>
          <t>Aurora</t>
        </is>
      </c>
      <c r="F145" s="450" t="inlineStr">
        <is>
          <t>CO</t>
        </is>
      </c>
      <c r="G145" s="450" t="inlineStr">
        <is>
          <t>Industrial</t>
        </is>
      </c>
      <c r="H145" s="468" t="inlineStr">
        <is>
          <t>Multi-Tenant Industrial NNN</t>
        </is>
      </c>
      <c r="I145" s="480" t="n"/>
      <c r="J145" s="480" t="n"/>
      <c r="K145" s="480" t="n">
        <v>2024</v>
      </c>
      <c r="L145" s="490" t="n">
        <v>318721</v>
      </c>
      <c r="M145" s="450" t="n"/>
      <c r="N145" s="490" t="n">
        <v>578332</v>
      </c>
      <c r="O145" s="490" t="n">
        <v>7156</v>
      </c>
      <c r="P145" s="490" t="n">
        <v>5471</v>
      </c>
      <c r="Q145" s="450" t="n"/>
      <c r="R145" s="450" t="n"/>
      <c r="S145" s="490" t="n">
        <v>8874</v>
      </c>
      <c r="T145" s="490" t="n">
        <v>1655</v>
      </c>
      <c r="U145" s="450" t="n"/>
      <c r="V145" s="450" t="n"/>
      <c r="W145" s="450" t="n"/>
      <c r="X145" s="490" t="n">
        <v>1556</v>
      </c>
      <c r="Y145" s="490" t="n">
        <v>12085</v>
      </c>
      <c r="Z145" s="450" t="n"/>
      <c r="AA145" s="490" t="n">
        <v>9686</v>
      </c>
      <c r="AB145" s="490" t="n">
        <v>20653</v>
      </c>
      <c r="AC145" s="490" t="n">
        <v>6987</v>
      </c>
      <c r="AD145" s="490" t="n">
        <v>10547</v>
      </c>
      <c r="AE145" s="490" t="n">
        <v>1600</v>
      </c>
      <c r="AF145" s="490" t="n">
        <v>12147</v>
      </c>
      <c r="AG145" s="450" t="n"/>
      <c r="AH145" s="490" t="n">
        <v>91002</v>
      </c>
      <c r="AI145" s="490" t="n">
        <v>204010</v>
      </c>
      <c r="AJ145" s="490" t="n">
        <v>295012</v>
      </c>
      <c r="AK145" s="490" t="n">
        <v>283320</v>
      </c>
      <c r="AL145" s="450" t="n"/>
      <c r="AM145" s="468" t="inlineStr">
        <is>
          <t>[NO SF] Link Logistics actual accrual</t>
        </is>
      </c>
    </row>
    <row r="146" ht="13.5" customHeight="1" s="545">
      <c r="A146" s="476" t="inlineStr">
        <is>
          <t>P073</t>
        </is>
      </c>
      <c r="B146" s="449" t="n">
        <v>210</v>
      </c>
      <c r="C146" s="476" t="inlineStr">
        <is>
          <t>R0084247</t>
        </is>
      </c>
      <c r="D146" s="477" t="inlineStr">
        <is>
          <t>13802 E 33rd Place</t>
        </is>
      </c>
      <c r="E146" s="476" t="inlineStr">
        <is>
          <t>Aurora</t>
        </is>
      </c>
      <c r="F146" s="476" t="inlineStr">
        <is>
          <t>CO</t>
        </is>
      </c>
      <c r="G146" s="476" t="inlineStr">
        <is>
          <t>Industrial</t>
        </is>
      </c>
      <c r="H146" s="477" t="inlineStr">
        <is>
          <t>Multi-Tenant Industrial NNN</t>
        </is>
      </c>
      <c r="I146" s="478" t="n"/>
      <c r="J146" s="478" t="n"/>
      <c r="K146" s="478" t="n">
        <v>2023</v>
      </c>
      <c r="L146" s="489" t="n">
        <v>394581</v>
      </c>
      <c r="M146" s="476" t="n"/>
      <c r="N146" s="489" t="n">
        <v>671481</v>
      </c>
      <c r="O146" s="489" t="n">
        <v>6075</v>
      </c>
      <c r="P146" s="489" t="n">
        <v>5987</v>
      </c>
      <c r="Q146" s="476" t="n"/>
      <c r="R146" s="476" t="n"/>
      <c r="S146" s="489" t="n">
        <v>7762</v>
      </c>
      <c r="T146" s="489" t="n">
        <v>1575</v>
      </c>
      <c r="U146" s="476" t="n"/>
      <c r="V146" s="476" t="n"/>
      <c r="W146" s="476" t="n"/>
      <c r="X146" s="489" t="n">
        <v>1452</v>
      </c>
      <c r="Y146" s="489" t="n">
        <v>10789</v>
      </c>
      <c r="Z146" s="476" t="n"/>
      <c r="AA146" s="489" t="n">
        <v>11249</v>
      </c>
      <c r="AB146" s="489" t="n">
        <v>12318</v>
      </c>
      <c r="AC146" s="489" t="n">
        <v>6967</v>
      </c>
      <c r="AD146" s="489" t="n">
        <v>11424</v>
      </c>
      <c r="AE146" s="489" t="n">
        <v>1898</v>
      </c>
      <c r="AF146" s="489" t="n">
        <v>13322</v>
      </c>
      <c r="AG146" s="476" t="n"/>
      <c r="AH146" s="489" t="n">
        <v>37127</v>
      </c>
      <c r="AI146" s="489" t="n">
        <v>204497</v>
      </c>
      <c r="AJ146" s="489" t="n">
        <v>241624</v>
      </c>
      <c r="AK146" s="489" t="n">
        <v>429857</v>
      </c>
      <c r="AL146" s="476" t="n"/>
      <c r="AM146" s="477" t="inlineStr">
        <is>
          <t>[NO SF] Link Logistics actual accrual</t>
        </is>
      </c>
    </row>
    <row r="147" ht="13.5" customHeight="1" s="545">
      <c r="A147" s="450" t="inlineStr">
        <is>
          <t>P074</t>
        </is>
      </c>
      <c r="B147" s="449" t="n">
        <v>210</v>
      </c>
      <c r="C147" s="450" t="inlineStr">
        <is>
          <t>R0084248</t>
        </is>
      </c>
      <c r="D147" s="468" t="inlineStr">
        <is>
          <t>14002 E 33rd Place</t>
        </is>
      </c>
      <c r="E147" s="450" t="inlineStr">
        <is>
          <t>Aurora</t>
        </is>
      </c>
      <c r="F147" s="450" t="inlineStr">
        <is>
          <t>CO</t>
        </is>
      </c>
      <c r="G147" s="450" t="inlineStr">
        <is>
          <t>Industrial</t>
        </is>
      </c>
      <c r="H147" s="468" t="inlineStr">
        <is>
          <t>Multi-Tenant Industrial NNN</t>
        </is>
      </c>
      <c r="I147" s="480" t="n"/>
      <c r="J147" s="480" t="n"/>
      <c r="K147" s="480" t="n">
        <v>2024</v>
      </c>
      <c r="L147" s="490" t="n">
        <v>352733</v>
      </c>
      <c r="M147" s="450" t="n"/>
      <c r="N147" s="490" t="n">
        <v>649568</v>
      </c>
      <c r="O147" s="490" t="n">
        <v>6988</v>
      </c>
      <c r="P147" s="490" t="n">
        <v>6207</v>
      </c>
      <c r="Q147" s="450" t="n"/>
      <c r="R147" s="450" t="n"/>
      <c r="S147" s="490" t="n">
        <v>16981</v>
      </c>
      <c r="T147" s="490" t="n">
        <v>1800</v>
      </c>
      <c r="U147" s="450" t="n"/>
      <c r="V147" s="450" t="n"/>
      <c r="W147" s="450" t="n"/>
      <c r="X147" s="490" t="n">
        <v>1556</v>
      </c>
      <c r="Y147" s="490" t="n">
        <v>20337</v>
      </c>
      <c r="Z147" s="450" t="n"/>
      <c r="AA147" s="490" t="n">
        <v>8036</v>
      </c>
      <c r="AB147" s="490" t="n">
        <v>22795</v>
      </c>
      <c r="AC147" s="490" t="n">
        <v>6988</v>
      </c>
      <c r="AD147" s="490" t="n">
        <v>8875</v>
      </c>
      <c r="AE147" s="450" t="n"/>
      <c r="AF147" s="490" t="n">
        <v>8875</v>
      </c>
      <c r="AG147" s="450" t="n"/>
      <c r="AH147" s="490" t="n">
        <v>94654</v>
      </c>
      <c r="AI147" s="490" t="n">
        <v>204010</v>
      </c>
      <c r="AJ147" s="490" t="n">
        <v>298664</v>
      </c>
      <c r="AK147" s="490" t="n">
        <v>350904</v>
      </c>
      <c r="AL147" s="450" t="n"/>
      <c r="AM147" s="468" t="inlineStr">
        <is>
          <t>[NO SF] Link Logistics actual; 2023 RE tax net $53k refund; 2024 normal rate</t>
        </is>
      </c>
    </row>
    <row r="148" ht="13.5" customHeight="1" s="545">
      <c r="A148" s="476" t="inlineStr">
        <is>
          <t>P074</t>
        </is>
      </c>
      <c r="B148" s="449" t="n">
        <v>210</v>
      </c>
      <c r="C148" s="476" t="inlineStr">
        <is>
          <t>R0084248</t>
        </is>
      </c>
      <c r="D148" s="477" t="inlineStr">
        <is>
          <t>14002 E 33rd Place</t>
        </is>
      </c>
      <c r="E148" s="476" t="inlineStr">
        <is>
          <t>Aurora</t>
        </is>
      </c>
      <c r="F148" s="476" t="inlineStr">
        <is>
          <t>CO</t>
        </is>
      </c>
      <c r="G148" s="476" t="inlineStr">
        <is>
          <t>Industrial</t>
        </is>
      </c>
      <c r="H148" s="477" t="inlineStr">
        <is>
          <t>Multi-Tenant Industrial NNN</t>
        </is>
      </c>
      <c r="I148" s="478" t="n"/>
      <c r="J148" s="478" t="n"/>
      <c r="K148" s="478" t="n">
        <v>2023</v>
      </c>
      <c r="L148" s="489" t="n">
        <v>345583</v>
      </c>
      <c r="M148" s="476" t="n"/>
      <c r="N148" s="489" t="n">
        <v>582999</v>
      </c>
      <c r="O148" s="489" t="n">
        <v>6051</v>
      </c>
      <c r="P148" s="489" t="n">
        <v>6115</v>
      </c>
      <c r="Q148" s="476" t="n"/>
      <c r="R148" s="476" t="n"/>
      <c r="S148" s="489" t="n">
        <v>4932</v>
      </c>
      <c r="T148" s="489" t="n">
        <v>1822</v>
      </c>
      <c r="U148" s="476" t="n"/>
      <c r="V148" s="476" t="n"/>
      <c r="W148" s="476" t="n"/>
      <c r="X148" s="489" t="n">
        <v>1452</v>
      </c>
      <c r="Y148" s="489" t="n">
        <v>8206</v>
      </c>
      <c r="Z148" s="476" t="n"/>
      <c r="AA148" s="489" t="n">
        <v>6275</v>
      </c>
      <c r="AB148" s="489" t="n">
        <v>13573</v>
      </c>
      <c r="AC148" s="489" t="n">
        <v>6967</v>
      </c>
      <c r="AD148" s="489" t="n">
        <v>11933</v>
      </c>
      <c r="AE148" s="476" t="n"/>
      <c r="AF148" s="489" t="n">
        <v>11933</v>
      </c>
      <c r="AG148" s="476" t="n"/>
      <c r="AH148" s="489" t="n">
        <v>71541</v>
      </c>
      <c r="AI148" s="489" t="n">
        <v>162088</v>
      </c>
      <c r="AJ148" s="489" t="n">
        <v>233629</v>
      </c>
      <c r="AK148" s="489" t="n">
        <v>349370</v>
      </c>
      <c r="AL148" s="476" t="n"/>
      <c r="AM148" s="477" t="inlineStr">
        <is>
          <t>[NO SF] Link Logistics actual; 2023 RE tax net $53k refund; 2024 normal rate</t>
        </is>
      </c>
    </row>
    <row r="149" ht="13.5" customHeight="1" s="545">
      <c r="A149" s="450" t="inlineStr">
        <is>
          <t>P075</t>
        </is>
      </c>
      <c r="B149" s="449" t="n">
        <v>210</v>
      </c>
      <c r="C149" s="450" t="inlineStr">
        <is>
          <t>R0084250</t>
        </is>
      </c>
      <c r="D149" s="468" t="inlineStr">
        <is>
          <t>3250 Abilene Street</t>
        </is>
      </c>
      <c r="E149" s="450" t="inlineStr">
        <is>
          <t>Aurora</t>
        </is>
      </c>
      <c r="F149" s="450" t="inlineStr">
        <is>
          <t>CO</t>
        </is>
      </c>
      <c r="G149" s="450" t="inlineStr">
        <is>
          <t>Industrial</t>
        </is>
      </c>
      <c r="H149" s="468" t="inlineStr">
        <is>
          <t>Multi-Tenant Industrial NNN</t>
        </is>
      </c>
      <c r="I149" s="480" t="n"/>
      <c r="J149" s="480" t="n"/>
      <c r="K149" s="480" t="n">
        <v>2024</v>
      </c>
      <c r="L149" s="490" t="n">
        <v>406844</v>
      </c>
      <c r="M149" s="450" t="n"/>
      <c r="N149" s="490" t="n">
        <v>797212</v>
      </c>
      <c r="O149" s="490" t="n">
        <v>45992</v>
      </c>
      <c r="P149" s="490" t="n">
        <v>6921</v>
      </c>
      <c r="Q149" s="450" t="n"/>
      <c r="R149" s="450" t="n"/>
      <c r="S149" s="490" t="n">
        <v>10380</v>
      </c>
      <c r="T149" s="490" t="n">
        <v>3470</v>
      </c>
      <c r="U149" s="490" t="n">
        <v>2000</v>
      </c>
      <c r="V149" s="450" t="n"/>
      <c r="W149" s="450" t="n"/>
      <c r="X149" s="490" t="n">
        <v>1676</v>
      </c>
      <c r="Y149" s="490" t="n">
        <v>17526</v>
      </c>
      <c r="Z149" s="450" t="n"/>
      <c r="AA149" s="490" t="n">
        <v>8417</v>
      </c>
      <c r="AB149" s="490" t="n">
        <v>30101</v>
      </c>
      <c r="AC149" s="490" t="n">
        <v>8211</v>
      </c>
      <c r="AD149" s="490" t="n">
        <v>12042</v>
      </c>
      <c r="AE149" s="490" t="n">
        <v>3218</v>
      </c>
      <c r="AF149" s="490" t="n">
        <v>15260</v>
      </c>
      <c r="AG149" s="450" t="n"/>
      <c r="AH149" s="490" t="n">
        <v>180865</v>
      </c>
      <c r="AI149" s="490" t="n">
        <v>410137</v>
      </c>
      <c r="AJ149" s="490" t="n">
        <v>591002</v>
      </c>
      <c r="AK149" s="490" t="n">
        <v>206210</v>
      </c>
      <c r="AL149" s="450" t="n"/>
      <c r="AM149" s="468" t="inlineStr">
        <is>
          <t>[NO SF] Link Logistics actual; 2024 tenant turnover – NOI depressed; base rent $787k→$407k; 2024 ins inflated by $25k deductible</t>
        </is>
      </c>
    </row>
    <row r="150" ht="13.5" customHeight="1" s="545">
      <c r="A150" s="476" t="inlineStr">
        <is>
          <t>P075</t>
        </is>
      </c>
      <c r="B150" s="449" t="n">
        <v>210</v>
      </c>
      <c r="C150" s="476" t="inlineStr">
        <is>
          <t>R0084250</t>
        </is>
      </c>
      <c r="D150" s="477" t="inlineStr">
        <is>
          <t>3250 Abilene Street</t>
        </is>
      </c>
      <c r="E150" s="476" t="inlineStr">
        <is>
          <t>Aurora</t>
        </is>
      </c>
      <c r="F150" s="476" t="inlineStr">
        <is>
          <t>CO</t>
        </is>
      </c>
      <c r="G150" s="476" t="inlineStr">
        <is>
          <t>Industrial</t>
        </is>
      </c>
      <c r="H150" s="477" t="inlineStr">
        <is>
          <t>Multi-Tenant Industrial NNN</t>
        </is>
      </c>
      <c r="I150" s="478" t="n"/>
      <c r="J150" s="478" t="n"/>
      <c r="K150" s="478" t="n">
        <v>2023</v>
      </c>
      <c r="L150" s="489" t="n">
        <v>787792</v>
      </c>
      <c r="M150" s="476" t="n"/>
      <c r="N150" s="489" t="n">
        <v>1333856</v>
      </c>
      <c r="O150" s="489" t="n">
        <v>12351</v>
      </c>
      <c r="P150" s="489" t="n">
        <v>13140</v>
      </c>
      <c r="Q150" s="476" t="n"/>
      <c r="R150" s="476" t="n"/>
      <c r="S150" s="489" t="n">
        <v>10370</v>
      </c>
      <c r="T150" s="489" t="n">
        <v>3061</v>
      </c>
      <c r="U150" s="489" t="n">
        <v>0</v>
      </c>
      <c r="V150" s="476" t="n"/>
      <c r="W150" s="476" t="n"/>
      <c r="X150" s="489" t="n">
        <v>1572</v>
      </c>
      <c r="Y150" s="489" t="n">
        <v>15003</v>
      </c>
      <c r="Z150" s="476" t="n"/>
      <c r="AA150" s="489" t="n">
        <v>24879</v>
      </c>
      <c r="AB150" s="489" t="n">
        <v>16871</v>
      </c>
      <c r="AC150" s="489" t="n">
        <v>7678</v>
      </c>
      <c r="AD150" s="489" t="n">
        <v>12785</v>
      </c>
      <c r="AE150" s="476" t="n"/>
      <c r="AF150" s="489" t="n">
        <v>12785</v>
      </c>
      <c r="AG150" s="476" t="n"/>
      <c r="AH150" s="489" t="n">
        <v>123031</v>
      </c>
      <c r="AI150" s="489" t="n">
        <v>409295</v>
      </c>
      <c r="AJ150" s="489" t="n">
        <v>532326</v>
      </c>
      <c r="AK150" s="489" t="n">
        <v>801530</v>
      </c>
      <c r="AL150" s="476" t="n"/>
      <c r="AM150" s="477" t="inlineStr">
        <is>
          <t>[NO SF] Link Logistics actual; 2023 stable; 2024 ins inflated by $25k deductible</t>
        </is>
      </c>
    </row>
    <row r="151" ht="13.5" customHeight="1" s="545">
      <c r="A151" s="450" t="inlineStr">
        <is>
          <t>P076</t>
        </is>
      </c>
      <c r="B151" s="449" t="n">
        <v>210</v>
      </c>
      <c r="C151" s="450" t="inlineStr">
        <is>
          <t>R0084253</t>
        </is>
      </c>
      <c r="D151" s="468" t="inlineStr">
        <is>
          <t>14509 E 33rd Place</t>
        </is>
      </c>
      <c r="E151" s="450" t="inlineStr">
        <is>
          <t>Aurora</t>
        </is>
      </c>
      <c r="F151" s="450" t="inlineStr">
        <is>
          <t>CO</t>
        </is>
      </c>
      <c r="G151" s="450" t="inlineStr">
        <is>
          <t>Industrial</t>
        </is>
      </c>
      <c r="H151" s="468" t="inlineStr">
        <is>
          <t>Multi-Tenant Industrial NNN</t>
        </is>
      </c>
      <c r="I151" s="480" t="n"/>
      <c r="J151" s="480" t="n"/>
      <c r="K151" s="480" t="n">
        <v>2024</v>
      </c>
      <c r="L151" s="490" t="n">
        <v>987101</v>
      </c>
      <c r="M151" s="450" t="n"/>
      <c r="N151" s="490" t="n">
        <v>1613814</v>
      </c>
      <c r="O151" s="490" t="n">
        <v>26027</v>
      </c>
      <c r="P151" s="490" t="n">
        <v>17785</v>
      </c>
      <c r="Q151" s="450" t="n"/>
      <c r="R151" s="450" t="n"/>
      <c r="S151" s="490" t="n">
        <v>9496</v>
      </c>
      <c r="T151" s="490" t="n">
        <v>2104</v>
      </c>
      <c r="U151" s="450" t="n"/>
      <c r="V151" s="450" t="n"/>
      <c r="W151" s="450" t="n"/>
      <c r="X151" s="490" t="n">
        <v>1676</v>
      </c>
      <c r="Y151" s="490" t="n">
        <v>13276</v>
      </c>
      <c r="Z151" s="450" t="n"/>
      <c r="AA151" s="490" t="n">
        <v>11885</v>
      </c>
      <c r="AB151" s="490" t="n">
        <v>37419</v>
      </c>
      <c r="AC151" s="490" t="n">
        <v>5705</v>
      </c>
      <c r="AD151" s="490" t="n">
        <v>39182</v>
      </c>
      <c r="AE151" s="490" t="n">
        <v>1573</v>
      </c>
      <c r="AF151" s="490" t="n">
        <v>40755</v>
      </c>
      <c r="AG151" s="450" t="n"/>
      <c r="AH151" s="490" t="n">
        <v>178810</v>
      </c>
      <c r="AI151" s="490" t="n">
        <v>442744</v>
      </c>
      <c r="AJ151" s="490" t="n">
        <v>621554</v>
      </c>
      <c r="AK151" s="490" t="n">
        <v>992260</v>
      </c>
      <c r="AL151" s="450" t="n"/>
      <c r="AM151" s="468" t="inlineStr">
        <is>
          <t>[NO SF] Link Logistics actual; 2023 security includes one-time $54k</t>
        </is>
      </c>
    </row>
    <row r="152" ht="13.5" customHeight="1" s="545">
      <c r="A152" s="476" t="inlineStr">
        <is>
          <t>P076</t>
        </is>
      </c>
      <c r="B152" s="449" t="n">
        <v>210</v>
      </c>
      <c r="C152" s="476" t="inlineStr">
        <is>
          <t>R0084253</t>
        </is>
      </c>
      <c r="D152" s="477" t="inlineStr">
        <is>
          <t>14509 E 33rd Place</t>
        </is>
      </c>
      <c r="E152" s="476" t="inlineStr">
        <is>
          <t>Aurora</t>
        </is>
      </c>
      <c r="F152" s="476" t="inlineStr">
        <is>
          <t>CO</t>
        </is>
      </c>
      <c r="G152" s="476" t="inlineStr">
        <is>
          <t>Industrial</t>
        </is>
      </c>
      <c r="H152" s="477" t="inlineStr">
        <is>
          <t>Multi-Tenant Industrial NNN</t>
        </is>
      </c>
      <c r="I152" s="478" t="n"/>
      <c r="J152" s="478" t="n"/>
      <c r="K152" s="478" t="n">
        <v>2023</v>
      </c>
      <c r="L152" s="489" t="n">
        <v>932587</v>
      </c>
      <c r="M152" s="476" t="n"/>
      <c r="N152" s="489" t="n">
        <v>1610926</v>
      </c>
      <c r="O152" s="489" t="n">
        <v>12903</v>
      </c>
      <c r="P152" s="489" t="n">
        <v>15271</v>
      </c>
      <c r="Q152" s="476" t="n"/>
      <c r="R152" s="476" t="n"/>
      <c r="S152" s="489" t="n">
        <v>16438</v>
      </c>
      <c r="T152" s="489" t="n">
        <v>17000</v>
      </c>
      <c r="U152" s="476" t="n"/>
      <c r="V152" s="476" t="n"/>
      <c r="W152" s="476" t="n"/>
      <c r="X152" s="489" t="n">
        <v>1572</v>
      </c>
      <c r="Y152" s="489" t="n">
        <v>35010</v>
      </c>
      <c r="Z152" s="476" t="n"/>
      <c r="AA152" s="489" t="n">
        <v>11941</v>
      </c>
      <c r="AB152" s="489" t="n">
        <v>21409</v>
      </c>
      <c r="AC152" s="489" t="n">
        <v>54490</v>
      </c>
      <c r="AD152" s="489" t="n">
        <v>34733</v>
      </c>
      <c r="AE152" s="489" t="n">
        <v>1638</v>
      </c>
      <c r="AF152" s="489" t="n">
        <v>36371</v>
      </c>
      <c r="AG152" s="476" t="n"/>
      <c r="AH152" s="489" t="n">
        <v>211012</v>
      </c>
      <c r="AI152" s="489" t="n">
        <v>441491</v>
      </c>
      <c r="AJ152" s="489" t="n">
        <v>652503</v>
      </c>
      <c r="AK152" s="489" t="n">
        <v>958423</v>
      </c>
      <c r="AL152" s="476" t="n"/>
      <c r="AM152" s="477" t="inlineStr">
        <is>
          <t>[NO SF] Link Logistics actual; 2023 security includes one-time $54k</t>
        </is>
      </c>
    </row>
    <row r="153" ht="13.5" customHeight="1" s="545">
      <c r="A153" s="450" t="inlineStr">
        <is>
          <t>P077</t>
        </is>
      </c>
      <c r="B153" s="449" t="n">
        <v>210</v>
      </c>
      <c r="C153" s="450" t="inlineStr">
        <is>
          <t>R0084253</t>
        </is>
      </c>
      <c r="D153" s="468" t="inlineStr">
        <is>
          <t>14704 E 33rd Place</t>
        </is>
      </c>
      <c r="E153" s="450" t="inlineStr">
        <is>
          <t>Aurora</t>
        </is>
      </c>
      <c r="F153" s="450" t="inlineStr">
        <is>
          <t>CO</t>
        </is>
      </c>
      <c r="G153" s="450" t="inlineStr">
        <is>
          <t>Industrial</t>
        </is>
      </c>
      <c r="H153" s="468" t="inlineStr">
        <is>
          <t>Multi-Tenant Industrial NNN</t>
        </is>
      </c>
      <c r="I153" s="480" t="n"/>
      <c r="J153" s="480" t="n"/>
      <c r="K153" s="480" t="n">
        <v>2024</v>
      </c>
      <c r="L153" s="490" t="n">
        <v>977394</v>
      </c>
      <c r="M153" s="450" t="n"/>
      <c r="N153" s="490" t="n">
        <v>1537076</v>
      </c>
      <c r="O153" s="490" t="n">
        <v>12170</v>
      </c>
      <c r="P153" s="490" t="n">
        <v>17077</v>
      </c>
      <c r="Q153" s="450" t="n"/>
      <c r="R153" s="450" t="n"/>
      <c r="S153" s="490" t="n">
        <v>10377</v>
      </c>
      <c r="T153" s="490" t="n">
        <v>1760</v>
      </c>
      <c r="U153" s="490" t="n">
        <v>265</v>
      </c>
      <c r="V153" s="450" t="n"/>
      <c r="W153" s="450" t="n"/>
      <c r="X153" s="490" t="n">
        <v>1636</v>
      </c>
      <c r="Y153" s="490" t="n">
        <v>13036</v>
      </c>
      <c r="Z153" s="450" t="n"/>
      <c r="AA153" s="490" t="n">
        <v>10043</v>
      </c>
      <c r="AB153" s="490" t="n">
        <v>41626</v>
      </c>
      <c r="AC153" s="490" t="n">
        <v>5705</v>
      </c>
      <c r="AD153" s="490" t="n">
        <v>19336</v>
      </c>
      <c r="AE153" s="490" t="n">
        <v>2462</v>
      </c>
      <c r="AF153" s="490" t="n">
        <v>21798</v>
      </c>
      <c r="AG153" s="450" t="n"/>
      <c r="AH153" s="490" t="n">
        <v>228019</v>
      </c>
      <c r="AI153" s="490" t="n">
        <v>364330</v>
      </c>
      <c r="AJ153" s="490" t="n">
        <v>592349</v>
      </c>
      <c r="AK153" s="490" t="n">
        <v>944727</v>
      </c>
      <c r="AL153" s="450" t="n"/>
      <c r="AM153" s="468" t="inlineStr">
        <is>
          <t>[NO SF] Link Logistics 2024; partial vacancy (elec/gas $124k); NOI understated excl vacancy costs</t>
        </is>
      </c>
    </row>
    <row r="154" ht="13.5" customHeight="1" s="545">
      <c r="A154" s="476" t="inlineStr">
        <is>
          <t>P078</t>
        </is>
      </c>
      <c r="B154" s="449" t="n">
        <v>210</v>
      </c>
      <c r="C154" s="476" t="inlineStr">
        <is>
          <t>R0084253</t>
        </is>
      </c>
      <c r="D154" s="477" t="inlineStr">
        <is>
          <t>14705 E 33rd Place</t>
        </is>
      </c>
      <c r="E154" s="476" t="inlineStr">
        <is>
          <t>Aurora</t>
        </is>
      </c>
      <c r="F154" s="476" t="inlineStr">
        <is>
          <t>CO</t>
        </is>
      </c>
      <c r="G154" s="476" t="inlineStr">
        <is>
          <t>Industrial</t>
        </is>
      </c>
      <c r="H154" s="477" t="inlineStr">
        <is>
          <t>Multi-Tenant Industrial NNN</t>
        </is>
      </c>
      <c r="I154" s="478" t="n"/>
      <c r="J154" s="478" t="n"/>
      <c r="K154" s="478" t="n">
        <v>2024</v>
      </c>
      <c r="L154" s="489" t="n">
        <v>436928</v>
      </c>
      <c r="M154" s="476" t="n"/>
      <c r="N154" s="489" t="n">
        <v>714461</v>
      </c>
      <c r="O154" s="489" t="n">
        <v>6456</v>
      </c>
      <c r="P154" s="489" t="n">
        <v>6962</v>
      </c>
      <c r="Q154" s="476" t="n"/>
      <c r="R154" s="476" t="n"/>
      <c r="S154" s="489" t="n">
        <v>6889</v>
      </c>
      <c r="T154" s="489" t="n">
        <v>1125</v>
      </c>
      <c r="U154" s="489" t="n">
        <v>285</v>
      </c>
      <c r="V154" s="476" t="n"/>
      <c r="W154" s="476" t="n"/>
      <c r="X154" s="489" t="n">
        <v>1546</v>
      </c>
      <c r="Y154" s="489" t="n">
        <v>9845</v>
      </c>
      <c r="Z154" s="476" t="n"/>
      <c r="AA154" s="489" t="n">
        <v>6931</v>
      </c>
      <c r="AB154" s="489" t="n">
        <v>27052</v>
      </c>
      <c r="AC154" s="489" t="n">
        <v>5705</v>
      </c>
      <c r="AD154" s="476" t="n"/>
      <c r="AE154" s="489" t="n">
        <v>929</v>
      </c>
      <c r="AF154" s="489" t="n">
        <v>929</v>
      </c>
      <c r="AG154" s="476" t="n"/>
      <c r="AH154" s="489" t="n">
        <v>77944</v>
      </c>
      <c r="AI154" s="489" t="n">
        <v>188633</v>
      </c>
      <c r="AJ154" s="489" t="n">
        <v>266577</v>
      </c>
      <c r="AK154" s="489" t="n">
        <v>447884</v>
      </c>
      <c r="AL154" s="476" t="n"/>
      <c r="AM154" s="477" t="inlineStr">
        <is>
          <t>[NO SF] Link Logistics 2024; partial free rent ($38k); lease-up period</t>
        </is>
      </c>
    </row>
    <row r="155" ht="13.5" customHeight="1" s="545">
      <c r="A155" s="450" t="inlineStr">
        <is>
          <t>P079</t>
        </is>
      </c>
      <c r="B155" s="449" t="n">
        <v>584</v>
      </c>
      <c r="C155" s="450" t="inlineStr">
        <is>
          <t>R0086214</t>
        </is>
      </c>
      <c r="D155" s="468" t="inlineStr">
        <is>
          <t>Aurora Warehouse (Polar)</t>
        </is>
      </c>
      <c r="E155" s="450" t="inlineStr">
        <is>
          <t>Aurora</t>
        </is>
      </c>
      <c r="F155" s="450" t="inlineStr">
        <is>
          <t>CO</t>
        </is>
      </c>
      <c r="G155" s="450" t="inlineStr">
        <is>
          <t>Industrial</t>
        </is>
      </c>
      <c r="H155" s="468" t="inlineStr">
        <is>
          <t>Mega Warehouse NNN</t>
        </is>
      </c>
      <c r="I155" s="480" t="n"/>
      <c r="J155" s="480" t="n"/>
      <c r="K155" s="480" t="n">
        <v>2024</v>
      </c>
      <c r="L155" s="490" t="n">
        <v>3771986</v>
      </c>
      <c r="M155" s="450" t="n"/>
      <c r="N155" s="490" t="n">
        <v>7045455</v>
      </c>
      <c r="O155" s="490" t="n">
        <v>83764</v>
      </c>
      <c r="P155" s="490" t="n">
        <v>67999</v>
      </c>
      <c r="Q155" s="450" t="n"/>
      <c r="R155" s="450" t="n"/>
      <c r="S155" s="450" t="n"/>
      <c r="T155" s="450" t="n"/>
      <c r="U155" s="450" t="n"/>
      <c r="V155" s="450" t="n"/>
      <c r="W155" s="450" t="n"/>
      <c r="X155" s="490" t="n">
        <v>5829</v>
      </c>
      <c r="Y155" s="490" t="n">
        <v>5829</v>
      </c>
      <c r="Z155" s="450" t="n"/>
      <c r="AA155" s="450" t="n"/>
      <c r="AB155" s="450" t="n"/>
      <c r="AC155" s="450" t="n"/>
      <c r="AD155" s="450" t="n"/>
      <c r="AE155" s="450" t="n"/>
      <c r="AF155" s="450" t="n"/>
      <c r="AG155" s="450" t="n"/>
      <c r="AH155" s="490" t="n">
        <v>381011</v>
      </c>
      <c r="AI155" s="490" t="n">
        <v>2407392</v>
      </c>
      <c r="AJ155" s="490" t="n">
        <v>2788403</v>
      </c>
      <c r="AK155" s="490" t="n">
        <v>4257052</v>
      </c>
      <c r="AL155" s="450" t="n"/>
      <c r="AM155" s="468" t="inlineStr">
        <is>
          <t>[NO SF] Link Logistics; very large – RE tax $2.2-2.4M; minimal CAM (near-absolute NNN); SF not confirmed</t>
        </is>
      </c>
    </row>
    <row r="156" ht="13.5" customHeight="1" s="545">
      <c r="A156" s="476" t="inlineStr">
        <is>
          <t>P079</t>
        </is>
      </c>
      <c r="B156" s="449" t="n">
        <v>584</v>
      </c>
      <c r="C156" s="476" t="inlineStr">
        <is>
          <t>R0086214</t>
        </is>
      </c>
      <c r="D156" s="477" t="inlineStr">
        <is>
          <t>Aurora Warehouse (Polar)</t>
        </is>
      </c>
      <c r="E156" s="476" t="inlineStr">
        <is>
          <t>Aurora</t>
        </is>
      </c>
      <c r="F156" s="476" t="inlineStr">
        <is>
          <t>CO</t>
        </is>
      </c>
      <c r="G156" s="476" t="inlineStr">
        <is>
          <t>Industrial</t>
        </is>
      </c>
      <c r="H156" s="477" t="inlineStr">
        <is>
          <t>Mega Warehouse NNN</t>
        </is>
      </c>
      <c r="I156" s="478" t="n"/>
      <c r="J156" s="478" t="n"/>
      <c r="K156" s="478" t="n">
        <v>2023</v>
      </c>
      <c r="L156" s="489" t="n">
        <v>3679986</v>
      </c>
      <c r="M156" s="476" t="n"/>
      <c r="N156" s="489" t="n">
        <v>6546351</v>
      </c>
      <c r="O156" s="489" t="n">
        <v>60105</v>
      </c>
      <c r="P156" s="489" t="n">
        <v>54144</v>
      </c>
      <c r="Q156" s="476" t="n"/>
      <c r="R156" s="476" t="n"/>
      <c r="S156" s="476" t="n"/>
      <c r="T156" s="476" t="n"/>
      <c r="U156" s="476" t="n"/>
      <c r="V156" s="476" t="n"/>
      <c r="W156" s="476" t="n"/>
      <c r="X156" s="489" t="n">
        <v>4184</v>
      </c>
      <c r="Y156" s="489" t="n">
        <v>4184</v>
      </c>
      <c r="Z156" s="476" t="n"/>
      <c r="AA156" s="476" t="n"/>
      <c r="AB156" s="476" t="n"/>
      <c r="AC156" s="476" t="n"/>
      <c r="AD156" s="476" t="n"/>
      <c r="AE156" s="476" t="n"/>
      <c r="AF156" s="476" t="n"/>
      <c r="AG156" s="476" t="n"/>
      <c r="AH156" s="489" t="n">
        <v>101213</v>
      </c>
      <c r="AI156" s="489" t="n">
        <v>2175995</v>
      </c>
      <c r="AJ156" s="489" t="n">
        <v>2277208</v>
      </c>
      <c r="AK156" s="489" t="n">
        <v>4269143</v>
      </c>
      <c r="AL156" s="476" t="n"/>
      <c r="AM156" s="477" t="inlineStr">
        <is>
          <t>[NO SF] Link Logistics; very large – RE tax $2.2-2.4M; minimal CAM (near-absolute NNN); SF not confirmed</t>
        </is>
      </c>
    </row>
    <row r="157" ht="13.5" customHeight="1" s="545">
      <c r="A157" s="450" t="inlineStr">
        <is>
          <t>P080</t>
        </is>
      </c>
      <c r="B157" s="449" t="n">
        <v>407</v>
      </c>
      <c r="C157" s="450" t="inlineStr">
        <is>
          <t>R0194277</t>
        </is>
      </c>
      <c r="D157" s="468" t="inlineStr">
        <is>
          <t>8251 Quintero St</t>
        </is>
      </c>
      <c r="E157" s="450" t="inlineStr">
        <is>
          <t>Commerce City</t>
        </is>
      </c>
      <c r="F157" s="450" t="inlineStr">
        <is>
          <t>CO</t>
        </is>
      </c>
      <c r="G157" s="450" t="inlineStr">
        <is>
          <t>Industrial</t>
        </is>
      </c>
      <c r="H157" s="468" t="inlineStr">
        <is>
          <t>Industrial Warehouse NNN</t>
        </is>
      </c>
      <c r="I157" s="480" t="n"/>
      <c r="J157" s="480" t="n"/>
      <c r="K157" s="480" t="n">
        <v>2024</v>
      </c>
      <c r="L157" s="490" t="n">
        <v>2966529</v>
      </c>
      <c r="M157" s="450" t="n"/>
      <c r="N157" s="490" t="n">
        <v>7433451</v>
      </c>
      <c r="O157" s="490" t="n">
        <v>32539</v>
      </c>
      <c r="P157" s="490" t="n">
        <v>86633</v>
      </c>
      <c r="Q157" s="450" t="n"/>
      <c r="R157" s="450" t="n"/>
      <c r="S157" s="490" t="n">
        <v>21784</v>
      </c>
      <c r="T157" s="450" t="n"/>
      <c r="U157" s="450" t="n"/>
      <c r="V157" s="450" t="n"/>
      <c r="W157" s="450" t="n"/>
      <c r="X157" s="450" t="n"/>
      <c r="Y157" s="490" t="n">
        <v>21784</v>
      </c>
      <c r="Z157" s="450" t="n"/>
      <c r="AA157" s="490" t="n">
        <v>30810</v>
      </c>
      <c r="AB157" s="490" t="n">
        <v>188483</v>
      </c>
      <c r="AC157" s="450" t="n"/>
      <c r="AD157" s="490" t="n">
        <v>29080</v>
      </c>
      <c r="AE157" s="450" t="n"/>
      <c r="AF157" s="490" t="n">
        <v>29080</v>
      </c>
      <c r="AG157" s="450" t="n"/>
      <c r="AH157" s="490" t="n">
        <v>1433299</v>
      </c>
      <c r="AI157" s="490" t="n">
        <v>3137254</v>
      </c>
      <c r="AJ157" s="490" t="n">
        <v>4570553</v>
      </c>
      <c r="AK157" s="490" t="n">
        <v>2862898</v>
      </c>
      <c r="AL157" s="450" t="n"/>
      <c r="AM157" s="468" t="inlineStr">
        <is>
          <t>[NO SF] Becknell Industrial; 2024 EGI/OPX inflated by $967k PY RE tax true-up; normalized NOI ~$2.86M</t>
        </is>
      </c>
    </row>
    <row r="158" ht="13.5" customHeight="1" s="545">
      <c r="A158" s="476" t="inlineStr">
        <is>
          <t>P080</t>
        </is>
      </c>
      <c r="B158" s="449" t="n">
        <v>407</v>
      </c>
      <c r="C158" s="476" t="inlineStr">
        <is>
          <t>R0194277</t>
        </is>
      </c>
      <c r="D158" s="477" t="inlineStr">
        <is>
          <t>8251 Quintero St</t>
        </is>
      </c>
      <c r="E158" s="476" t="inlineStr">
        <is>
          <t>Commerce City</t>
        </is>
      </c>
      <c r="F158" s="476" t="inlineStr">
        <is>
          <t>CO</t>
        </is>
      </c>
      <c r="G158" s="476" t="inlineStr">
        <is>
          <t>Industrial</t>
        </is>
      </c>
      <c r="H158" s="477" t="inlineStr">
        <is>
          <t>Industrial Warehouse NNN</t>
        </is>
      </c>
      <c r="I158" s="478" t="n"/>
      <c r="J158" s="478" t="n"/>
      <c r="K158" s="478" t="n">
        <v>2023</v>
      </c>
      <c r="L158" s="489" t="n">
        <v>2897673</v>
      </c>
      <c r="M158" s="476" t="n"/>
      <c r="N158" s="489" t="n">
        <v>5335437</v>
      </c>
      <c r="O158" s="489" t="n">
        <v>29390</v>
      </c>
      <c r="P158" s="489" t="n">
        <v>83488</v>
      </c>
      <c r="Q158" s="476" t="n"/>
      <c r="R158" s="476" t="n"/>
      <c r="S158" s="489" t="n">
        <v>35137</v>
      </c>
      <c r="T158" s="476" t="n"/>
      <c r="U158" s="476" t="n"/>
      <c r="V158" s="476" t="n"/>
      <c r="W158" s="476" t="n"/>
      <c r="X158" s="476" t="n"/>
      <c r="Y158" s="489" t="n">
        <v>35137</v>
      </c>
      <c r="Z158" s="476" t="n"/>
      <c r="AA158" s="489" t="n">
        <v>33419</v>
      </c>
      <c r="AB158" s="489" t="n">
        <v>151223</v>
      </c>
      <c r="AC158" s="476" t="n"/>
      <c r="AD158" s="489" t="n">
        <v>24034</v>
      </c>
      <c r="AE158" s="476" t="n"/>
      <c r="AF158" s="489" t="n">
        <v>24034</v>
      </c>
      <c r="AG158" s="476" t="n"/>
      <c r="AH158" s="489" t="n">
        <v>541522</v>
      </c>
      <c r="AI158" s="489" t="n">
        <v>2045093</v>
      </c>
      <c r="AJ158" s="489" t="n">
        <v>2586615</v>
      </c>
      <c r="AK158" s="489" t="n">
        <v>2748822</v>
      </c>
      <c r="AL158" s="476" t="n"/>
      <c r="AM158" s="477" t="inlineStr">
        <is>
          <t>[NO SF] Becknell Industrial; actual accrual</t>
        </is>
      </c>
    </row>
    <row r="159" ht="13.5" customHeight="1" s="545">
      <c r="A159" s="450" t="inlineStr">
        <is>
          <t>P081</t>
        </is>
      </c>
      <c r="B159" s="449" t="n">
        <v>407</v>
      </c>
      <c r="C159" s="450" t="inlineStr">
        <is>
          <t>R0198176</t>
        </is>
      </c>
      <c r="D159" s="468" t="inlineStr">
        <is>
          <t>21800 E 19th Ave</t>
        </is>
      </c>
      <c r="E159" s="450" t="inlineStr">
        <is>
          <t>Aurora</t>
        </is>
      </c>
      <c r="F159" s="450" t="inlineStr">
        <is>
          <t>CO</t>
        </is>
      </c>
      <c r="G159" s="450" t="inlineStr">
        <is>
          <t>Industrial</t>
        </is>
      </c>
      <c r="H159" s="468" t="inlineStr">
        <is>
          <t>Industrial Warehouse NNN</t>
        </is>
      </c>
      <c r="I159" s="480" t="n"/>
      <c r="J159" s="480" t="n"/>
      <c r="K159" s="480" t="n">
        <v>2024</v>
      </c>
      <c r="L159" s="490" t="n">
        <v>1502445</v>
      </c>
      <c r="M159" s="450" t="n"/>
      <c r="N159" s="490" t="n">
        <v>1698847</v>
      </c>
      <c r="O159" s="490" t="n">
        <v>18279</v>
      </c>
      <c r="P159" s="490" t="n">
        <v>45073</v>
      </c>
      <c r="Q159" s="450" t="n"/>
      <c r="R159" s="450" t="n"/>
      <c r="S159" s="490" t="n">
        <v>14583</v>
      </c>
      <c r="T159" s="450" t="n"/>
      <c r="U159" s="450" t="n"/>
      <c r="V159" s="450" t="n"/>
      <c r="W159" s="450" t="n"/>
      <c r="X159" s="450" t="n"/>
      <c r="Y159" s="490" t="n">
        <v>14583</v>
      </c>
      <c r="Z159" s="450" t="n"/>
      <c r="AA159" s="490" t="n">
        <v>30156</v>
      </c>
      <c r="AB159" s="490" t="n">
        <v>117922</v>
      </c>
      <c r="AC159" s="450" t="n"/>
      <c r="AD159" s="450" t="n"/>
      <c r="AE159" s="450" t="n"/>
      <c r="AF159" s="450" t="n"/>
      <c r="AG159" s="450" t="n"/>
      <c r="AH159" s="490" t="n">
        <v>268829</v>
      </c>
      <c r="AI159" s="490" t="n">
        <v>0</v>
      </c>
      <c r="AJ159" s="490" t="n">
        <v>268829</v>
      </c>
      <c r="AK159" s="490" t="n">
        <v>1430018</v>
      </c>
      <c r="AL159" s="450" t="n"/>
      <c r="AM159" s="468" t="inlineStr">
        <is>
          <t>[NO SF] Becknell; absolute NNN – tenant pays RE taxes directly; opex = CAM only</t>
        </is>
      </c>
    </row>
    <row r="160" ht="13.5" customHeight="1" s="545">
      <c r="A160" s="476" t="inlineStr">
        <is>
          <t>P081</t>
        </is>
      </c>
      <c r="B160" s="449" t="n">
        <v>407</v>
      </c>
      <c r="C160" s="476" t="inlineStr">
        <is>
          <t>R0198176</t>
        </is>
      </c>
      <c r="D160" s="477" t="inlineStr">
        <is>
          <t>21800 E 19th Ave</t>
        </is>
      </c>
      <c r="E160" s="476" t="inlineStr">
        <is>
          <t>Aurora</t>
        </is>
      </c>
      <c r="F160" s="476" t="inlineStr">
        <is>
          <t>CO</t>
        </is>
      </c>
      <c r="G160" s="476" t="inlineStr">
        <is>
          <t>Industrial</t>
        </is>
      </c>
      <c r="H160" s="477" t="inlineStr">
        <is>
          <t>Industrial Warehouse NNN</t>
        </is>
      </c>
      <c r="I160" s="478" t="n"/>
      <c r="J160" s="478" t="n"/>
      <c r="K160" s="478" t="n">
        <v>2023</v>
      </c>
      <c r="L160" s="489" t="n">
        <v>1458685</v>
      </c>
      <c r="M160" s="476" t="n"/>
      <c r="N160" s="489" t="n">
        <v>1647477</v>
      </c>
      <c r="O160" s="489" t="n">
        <v>15865</v>
      </c>
      <c r="P160" s="489" t="n">
        <v>43761</v>
      </c>
      <c r="Q160" s="476" t="n"/>
      <c r="R160" s="476" t="n"/>
      <c r="S160" s="489" t="n">
        <v>12850</v>
      </c>
      <c r="T160" s="476" t="n"/>
      <c r="U160" s="476" t="n"/>
      <c r="V160" s="476" t="n"/>
      <c r="W160" s="476" t="n"/>
      <c r="X160" s="476" t="n"/>
      <c r="Y160" s="489" t="n">
        <v>12850</v>
      </c>
      <c r="Z160" s="476" t="n"/>
      <c r="AA160" s="489" t="n">
        <v>31555</v>
      </c>
      <c r="AB160" s="489" t="n">
        <v>112261</v>
      </c>
      <c r="AC160" s="476" t="n"/>
      <c r="AD160" s="476" t="n"/>
      <c r="AE160" s="476" t="n"/>
      <c r="AF160" s="476" t="n"/>
      <c r="AG160" s="476" t="n"/>
      <c r="AH160" s="489" t="n">
        <v>238940</v>
      </c>
      <c r="AI160" s="489" t="n">
        <v>0</v>
      </c>
      <c r="AJ160" s="489" t="n">
        <v>238940</v>
      </c>
      <c r="AK160" s="489" t="n">
        <v>1408537</v>
      </c>
      <c r="AL160" s="476" t="n"/>
      <c r="AM160" s="477" t="inlineStr">
        <is>
          <t>[NO SF] Becknell; absolute NNN – tenant pays RE taxes directly; opex = CAM only</t>
        </is>
      </c>
    </row>
    <row r="161" ht="13.5" customHeight="1" s="545">
      <c r="A161" s="450" t="inlineStr">
        <is>
          <t>P082</t>
        </is>
      </c>
      <c r="B161" s="449" t="n">
        <v>407</v>
      </c>
      <c r="C161" s="450" t="inlineStr">
        <is>
          <t>R0201311</t>
        </is>
      </c>
      <c r="D161" s="468" t="inlineStr">
        <is>
          <t>Ascent Commerce Center Bldg I</t>
        </is>
      </c>
      <c r="E161" s="450" t="inlineStr">
        <is>
          <t>Aurora</t>
        </is>
      </c>
      <c r="F161" s="450" t="inlineStr">
        <is>
          <t>CO</t>
        </is>
      </c>
      <c r="G161" s="450" t="inlineStr">
        <is>
          <t>Industrial</t>
        </is>
      </c>
      <c r="H161" s="468" t="inlineStr">
        <is>
          <t>Industrial Warehouse NNN</t>
        </is>
      </c>
      <c r="I161" s="480" t="n"/>
      <c r="J161" s="480" t="n"/>
      <c r="K161" s="480" t="n">
        <v>2024</v>
      </c>
      <c r="L161" s="490" t="n">
        <v>187536</v>
      </c>
      <c r="M161" s="450" t="n"/>
      <c r="N161" s="490" t="n">
        <v>335936</v>
      </c>
      <c r="O161" s="490" t="n">
        <v>185</v>
      </c>
      <c r="P161" s="490" t="n">
        <v>6539</v>
      </c>
      <c r="Q161" s="450" t="n"/>
      <c r="R161" s="450" t="n"/>
      <c r="S161" s="490" t="n">
        <v>6694</v>
      </c>
      <c r="T161" s="450" t="n"/>
      <c r="U161" s="450" t="n"/>
      <c r="V161" s="450" t="n"/>
      <c r="W161" s="450" t="n"/>
      <c r="X161" s="450" t="n"/>
      <c r="Y161" s="490" t="n">
        <v>6694</v>
      </c>
      <c r="Z161" s="450" t="n"/>
      <c r="AA161" s="490" t="n">
        <v>1378</v>
      </c>
      <c r="AB161" s="490" t="n">
        <v>13095</v>
      </c>
      <c r="AC161" s="450" t="n"/>
      <c r="AD161" s="490" t="n">
        <v>52</v>
      </c>
      <c r="AE161" s="490" t="n">
        <v>6714</v>
      </c>
      <c r="AF161" s="490" t="n">
        <v>6766</v>
      </c>
      <c r="AG161" s="450" t="n"/>
      <c r="AH161" s="490" t="n">
        <v>42252</v>
      </c>
      <c r="AI161" s="490" t="n">
        <v>100794</v>
      </c>
      <c r="AJ161" s="490" t="n">
        <v>143046</v>
      </c>
      <c r="AK161" s="490" t="n">
        <v>181918</v>
      </c>
      <c r="AL161" s="450" t="n"/>
      <c r="AM161" s="468" t="inlineStr">
        <is>
          <t>[NO SF] Ambrose; Q4 2024 ONLY (Oct–Dec, 3 months); lease-up/stabilizing; DO NOT use for annual PSF</t>
        </is>
      </c>
    </row>
    <row r="162" ht="13.5" customHeight="1" s="545">
      <c r="A162" s="476" t="inlineStr">
        <is>
          <t>P083</t>
        </is>
      </c>
      <c r="B162" s="449" t="n">
        <v>407</v>
      </c>
      <c r="C162" s="476" t="inlineStr">
        <is>
          <t>R0201311</t>
        </is>
      </c>
      <c r="D162" s="477" t="inlineStr">
        <is>
          <t>Ascent Commerce Center Bldg II</t>
        </is>
      </c>
      <c r="E162" s="476" t="inlineStr">
        <is>
          <t>Aurora</t>
        </is>
      </c>
      <c r="F162" s="476" t="inlineStr">
        <is>
          <t>CO</t>
        </is>
      </c>
      <c r="G162" s="476" t="inlineStr">
        <is>
          <t>Industrial</t>
        </is>
      </c>
      <c r="H162" s="477" t="inlineStr">
        <is>
          <t>Industrial Warehouse NNN</t>
        </is>
      </c>
      <c r="I162" s="478" t="n"/>
      <c r="J162" s="478" t="n"/>
      <c r="K162" s="478" t="n">
        <v>2024</v>
      </c>
      <c r="L162" s="489" t="n">
        <v>143974</v>
      </c>
      <c r="M162" s="476" t="n"/>
      <c r="N162" s="489" t="n">
        <v>314952</v>
      </c>
      <c r="O162" s="489" t="n">
        <v>375</v>
      </c>
      <c r="P162" s="489" t="n">
        <v>6224</v>
      </c>
      <c r="Q162" s="476" t="n"/>
      <c r="R162" s="476" t="n"/>
      <c r="S162" s="489" t="n">
        <v>13434</v>
      </c>
      <c r="T162" s="476" t="n"/>
      <c r="U162" s="476" t="n"/>
      <c r="V162" s="476" t="n"/>
      <c r="W162" s="476" t="n"/>
      <c r="X162" s="476" t="n"/>
      <c r="Y162" s="489" t="n">
        <v>13434</v>
      </c>
      <c r="Z162" s="476" t="n"/>
      <c r="AA162" s="489" t="n">
        <v>1877</v>
      </c>
      <c r="AB162" s="489" t="n">
        <v>25288</v>
      </c>
      <c r="AC162" s="476" t="n"/>
      <c r="AD162" s="489" t="n">
        <v>104</v>
      </c>
      <c r="AE162" s="489" t="n">
        <v>11552</v>
      </c>
      <c r="AF162" s="489" t="n">
        <v>11656</v>
      </c>
      <c r="AG162" s="476" t="n"/>
      <c r="AH162" s="489" t="n">
        <v>70908</v>
      </c>
      <c r="AI162" s="489" t="n">
        <v>203797</v>
      </c>
      <c r="AJ162" s="489" t="n">
        <v>274705</v>
      </c>
      <c r="AK162" s="489" t="n">
        <v>22624</v>
      </c>
      <c r="AL162" s="476" t="n"/>
      <c r="AM162" s="477" t="inlineStr">
        <is>
          <t>[NO SF] Ambrose; Q4 2024 ONLY (Oct–Dec, 3 months); lease-up/stabilizing; DO NOT use for annual PSF</t>
        </is>
      </c>
    </row>
    <row r="163" ht="13.5" customHeight="1" s="545">
      <c r="A163" s="450" t="inlineStr">
        <is>
          <t>P084</t>
        </is>
      </c>
      <c r="B163" s="449" t="n">
        <v>407</v>
      </c>
      <c r="C163" s="450" t="inlineStr">
        <is>
          <t>R0201311</t>
        </is>
      </c>
      <c r="D163" s="468" t="inlineStr">
        <is>
          <t>Ascent Commerce Center Bldg III</t>
        </is>
      </c>
      <c r="E163" s="450" t="inlineStr">
        <is>
          <t>Aurora</t>
        </is>
      </c>
      <c r="F163" s="450" t="inlineStr">
        <is>
          <t>CO</t>
        </is>
      </c>
      <c r="G163" s="450" t="inlineStr">
        <is>
          <t>Industrial</t>
        </is>
      </c>
      <c r="H163" s="468" t="inlineStr">
        <is>
          <t>Industrial Warehouse NNN</t>
        </is>
      </c>
      <c r="I163" s="480" t="n"/>
      <c r="J163" s="480" t="n"/>
      <c r="K163" s="480" t="n">
        <v>2024</v>
      </c>
      <c r="L163" s="490" t="n">
        <v>49334</v>
      </c>
      <c r="M163" s="450" t="n"/>
      <c r="N163" s="490" t="n">
        <v>85139</v>
      </c>
      <c r="O163" s="490" t="n">
        <v>153</v>
      </c>
      <c r="P163" s="490" t="n">
        <v>5032</v>
      </c>
      <c r="Q163" s="450" t="n"/>
      <c r="R163" s="450" t="n"/>
      <c r="S163" s="490" t="n">
        <v>10772</v>
      </c>
      <c r="T163" s="450" t="n"/>
      <c r="U163" s="450" t="n"/>
      <c r="V163" s="450" t="n"/>
      <c r="W163" s="450" t="n"/>
      <c r="X163" s="450" t="n"/>
      <c r="Y163" s="490" t="n">
        <v>10772</v>
      </c>
      <c r="Z163" s="450" t="n"/>
      <c r="AA163" s="490" t="n">
        <v>949</v>
      </c>
      <c r="AB163" s="490" t="n">
        <v>10894</v>
      </c>
      <c r="AC163" s="450" t="n"/>
      <c r="AD163" s="490" t="n">
        <v>207</v>
      </c>
      <c r="AE163" s="490" t="n">
        <v>8484</v>
      </c>
      <c r="AF163" s="490" t="n">
        <v>8691</v>
      </c>
      <c r="AG163" s="450" t="n"/>
      <c r="AH163" s="490" t="n">
        <v>57603</v>
      </c>
      <c r="AI163" s="490" t="n">
        <v>83077</v>
      </c>
      <c r="AJ163" s="490" t="n">
        <v>140680</v>
      </c>
      <c r="AK163" s="490" t="n">
        <v>-69674</v>
      </c>
      <c r="AL163" s="450" t="n"/>
      <c r="AM163" s="468" t="inlineStr">
        <is>
          <t>[NO SF] Ambrose; Q4 2024 ONLY (Oct–Dec, 3 months); lease-up/stabilizing; DO NOT use for annual PSF</t>
        </is>
      </c>
    </row>
    <row r="164" ht="13.5" customHeight="1" s="545">
      <c r="A164" s="476" t="inlineStr">
        <is>
          <t>P085</t>
        </is>
      </c>
      <c r="B164" s="449" t="n">
        <v>210</v>
      </c>
      <c r="C164" s="476" t="inlineStr">
        <is>
          <t>R0093018</t>
        </is>
      </c>
      <c r="D164" s="477" t="inlineStr">
        <is>
          <t>3350 Peoria St</t>
        </is>
      </c>
      <c r="E164" s="476" t="inlineStr">
        <is>
          <t>Denver</t>
        </is>
      </c>
      <c r="F164" s="476" t="inlineStr">
        <is>
          <t>CO</t>
        </is>
      </c>
      <c r="G164" s="476" t="inlineStr">
        <is>
          <t>Industrial</t>
        </is>
      </c>
      <c r="H164" s="477" t="inlineStr">
        <is>
          <t>Office/Industrial Flex</t>
        </is>
      </c>
      <c r="I164" s="478" t="n"/>
      <c r="J164" s="478" t="n">
        <v>33057</v>
      </c>
      <c r="K164" s="478" t="n">
        <v>2024</v>
      </c>
      <c r="L164" s="476" t="n"/>
      <c r="M164" s="476" t="n"/>
      <c r="N164" s="479" t="n">
        <v>11.7474</v>
      </c>
      <c r="O164" s="479" t="n">
        <v>0.8464</v>
      </c>
      <c r="P164" s="479" t="n">
        <v>0.4718</v>
      </c>
      <c r="Q164" s="476" t="n"/>
      <c r="R164" s="476" t="n"/>
      <c r="S164" s="476" t="n"/>
      <c r="T164" s="476" t="n"/>
      <c r="U164" s="479" t="n">
        <v>0.2489</v>
      </c>
      <c r="V164" s="476" t="n"/>
      <c r="W164" s="476" t="n"/>
      <c r="X164" s="479" t="n">
        <v>2.7614</v>
      </c>
      <c r="Y164" s="476" t="n"/>
      <c r="Z164" s="476" t="n"/>
      <c r="AA164" s="479" t="n">
        <v>0.1383</v>
      </c>
      <c r="AB164" s="479" t="n">
        <v>0.07580000000000001</v>
      </c>
      <c r="AC164" s="479" t="n">
        <v>1.6023</v>
      </c>
      <c r="AD164" s="476" t="n"/>
      <c r="AE164" s="476" t="n"/>
      <c r="AF164" s="479" t="n">
        <v>1.6128</v>
      </c>
      <c r="AG164" s="476" t="n"/>
      <c r="AH164" s="479" t="n">
        <v>7.4837</v>
      </c>
      <c r="AI164" s="476" t="n"/>
      <c r="AJ164" s="479" t="n">
        <v>7.4837</v>
      </c>
      <c r="AK164" s="479" t="n">
        <v>4.2637</v>
      </c>
      <c r="AL164" s="476" t="n"/>
      <c r="AM164" s="477" t="inlineStr">
        <is>
          <t>Owner P&amp;L 2024; RE taxes not broken out separately; contracts incl HVAC $8,229/alarm $9,124/landscape $4,573/snow $2,505</t>
        </is>
      </c>
    </row>
    <row r="165" ht="13.5" customHeight="1" s="545">
      <c r="A165" s="450" t="inlineStr">
        <is>
          <t>P086</t>
        </is>
      </c>
      <c r="B165" s="449" t="n">
        <v>406</v>
      </c>
      <c r="C165" s="450" t="inlineStr">
        <is>
          <t>R0210684</t>
        </is>
      </c>
      <c r="D165" s="468" t="inlineStr">
        <is>
          <t>14200 E Moncrieff Place</t>
        </is>
      </c>
      <c r="E165" s="450" t="inlineStr">
        <is>
          <t>Aurora</t>
        </is>
      </c>
      <c r="F165" s="450" t="inlineStr">
        <is>
          <t>CO</t>
        </is>
      </c>
      <c r="G165" s="450" t="inlineStr">
        <is>
          <t>Industrial</t>
        </is>
      </c>
      <c r="H165" s="468" t="inlineStr">
        <is>
          <t>Industrial Warehouse</t>
        </is>
      </c>
      <c r="I165" s="480" t="n">
        <v>1980</v>
      </c>
      <c r="J165" s="480" t="n">
        <v>233808</v>
      </c>
      <c r="K165" s="480" t="n">
        <v>2023</v>
      </c>
      <c r="L165" s="450" t="n"/>
      <c r="M165" s="450" t="n"/>
      <c r="N165" s="481" t="n">
        <v>8.609299999999999</v>
      </c>
      <c r="O165" s="481" t="n">
        <v>0.0521</v>
      </c>
      <c r="P165" s="481" t="n">
        <v>0.167</v>
      </c>
      <c r="Q165" s="450" t="n"/>
      <c r="R165" s="450" t="n"/>
      <c r="S165" s="450" t="n"/>
      <c r="T165" s="450" t="n"/>
      <c r="U165" s="450" t="n"/>
      <c r="V165" s="450" t="n"/>
      <c r="W165" s="450" t="n"/>
      <c r="X165" s="481" t="n">
        <v>0.1877</v>
      </c>
      <c r="Y165" s="481" t="n">
        <v>0.1877</v>
      </c>
      <c r="Z165" s="450" t="n"/>
      <c r="AA165" s="481" t="n">
        <v>0.0527</v>
      </c>
      <c r="AB165" s="481" t="n">
        <v>0.138</v>
      </c>
      <c r="AC165" s="481" t="n">
        <v>0.2173</v>
      </c>
      <c r="AD165" s="481" t="n">
        <v>0.1223</v>
      </c>
      <c r="AE165" s="450" t="n"/>
      <c r="AF165" s="481" t="n">
        <v>0.1223</v>
      </c>
      <c r="AG165" s="450" t="n"/>
      <c r="AH165" s="481" t="n">
        <v>0.7875</v>
      </c>
      <c r="AI165" s="481" t="n">
        <v>2.6041</v>
      </c>
      <c r="AJ165" s="481" t="n">
        <v>3.3916</v>
      </c>
      <c r="AK165" s="481" t="n">
        <v>5.2177</v>
      </c>
      <c r="AL165" s="450" t="n"/>
      <c r="AM165" s="468" t="inlineStr">
        <is>
          <t>Owner P&amp;L 2023; large industrial 233,808 SF; 1980 YOC; landscape $12,324/snow $32,256 in CAM</t>
        </is>
      </c>
    </row>
    <row r="166" ht="13.5" customHeight="1" s="545">
      <c r="A166" s="476" t="inlineStr">
        <is>
          <t>P086</t>
        </is>
      </c>
      <c r="B166" s="449" t="n">
        <v>406</v>
      </c>
      <c r="C166" s="476" t="inlineStr">
        <is>
          <t>R0210684</t>
        </is>
      </c>
      <c r="D166" s="477" t="inlineStr">
        <is>
          <t>14200 E Moncrieff Place</t>
        </is>
      </c>
      <c r="E166" s="476" t="inlineStr">
        <is>
          <t>Aurora</t>
        </is>
      </c>
      <c r="F166" s="476" t="inlineStr">
        <is>
          <t>CO</t>
        </is>
      </c>
      <c r="G166" s="476" t="inlineStr">
        <is>
          <t>Industrial</t>
        </is>
      </c>
      <c r="H166" s="477" t="inlineStr">
        <is>
          <t>Industrial Warehouse</t>
        </is>
      </c>
      <c r="I166" s="478" t="n">
        <v>1980</v>
      </c>
      <c r="J166" s="478" t="n">
        <v>233808</v>
      </c>
      <c r="K166" s="478" t="n">
        <v>2024</v>
      </c>
      <c r="L166" s="476" t="n"/>
      <c r="M166" s="476" t="n"/>
      <c r="N166" s="479" t="n">
        <v>8.7334</v>
      </c>
      <c r="O166" s="476" t="n"/>
      <c r="P166" s="476" t="n"/>
      <c r="Q166" s="476" t="n"/>
      <c r="R166" s="476" t="n"/>
      <c r="S166" s="476" t="n"/>
      <c r="T166" s="476" t="n"/>
      <c r="U166" s="476" t="n"/>
      <c r="V166" s="476" t="n"/>
      <c r="W166" s="476" t="n"/>
      <c r="X166" s="476" t="n"/>
      <c r="Y166" s="476" t="n"/>
      <c r="Z166" s="476" t="n"/>
      <c r="AA166" s="476" t="n"/>
      <c r="AB166" s="476" t="n"/>
      <c r="AC166" s="476" t="n"/>
      <c r="AD166" s="476" t="n"/>
      <c r="AE166" s="476" t="n"/>
      <c r="AF166" s="476" t="n"/>
      <c r="AG166" s="476" t="n"/>
      <c r="AH166" s="476" t="n"/>
      <c r="AI166" s="476" t="n"/>
      <c r="AJ166" s="479" t="n">
        <v>3.5718</v>
      </c>
      <c r="AK166" s="479" t="n">
        <v>5.1616</v>
      </c>
      <c r="AL166" s="476" t="n"/>
      <c r="AM166" s="477" t="inlineStr">
        <is>
          <t>Owner P&amp;L 2024; total OPX only – line items not fully detailed for 2024</t>
        </is>
      </c>
    </row>
    <row r="167" ht="13.5" customHeight="1" s="545">
      <c r="A167" s="450" t="inlineStr">
        <is>
          <t>P087</t>
        </is>
      </c>
      <c r="B167" s="449" t="n">
        <v>407</v>
      </c>
      <c r="C167" s="450" t="inlineStr">
        <is>
          <t>R0102985</t>
        </is>
      </c>
      <c r="D167" s="468" t="inlineStr">
        <is>
          <t>5861 Tennyson St</t>
        </is>
      </c>
      <c r="E167" s="450" t="inlineStr">
        <is>
          <t>Arvada</t>
        </is>
      </c>
      <c r="F167" s="450" t="inlineStr">
        <is>
          <t>CO</t>
        </is>
      </c>
      <c r="G167" s="450" t="inlineStr">
        <is>
          <t>Industrial</t>
        </is>
      </c>
      <c r="H167" s="468" t="inlineStr">
        <is>
          <t>Industrial NNN</t>
        </is>
      </c>
      <c r="I167" s="480" t="n">
        <v>2000</v>
      </c>
      <c r="J167" s="480" t="n">
        <v>80640</v>
      </c>
      <c r="K167" s="480" t="n">
        <v>2023</v>
      </c>
      <c r="L167" s="481" t="n">
        <v>6.2378</v>
      </c>
      <c r="M167" s="450" t="n"/>
      <c r="N167" s="450" t="n"/>
      <c r="O167" s="450" t="n"/>
      <c r="P167" s="450" t="n"/>
      <c r="Q167" s="450" t="n"/>
      <c r="R167" s="450" t="n"/>
      <c r="S167" s="450" t="n"/>
      <c r="T167" s="450" t="n"/>
      <c r="U167" s="450" t="n"/>
      <c r="V167" s="450" t="n"/>
      <c r="W167" s="450" t="n"/>
      <c r="X167" s="450" t="n"/>
      <c r="Y167" s="450" t="n"/>
      <c r="Z167" s="450" t="n"/>
      <c r="AA167" s="450" t="n"/>
      <c r="AB167" s="450" t="n"/>
      <c r="AC167" s="450" t="n"/>
      <c r="AD167" s="450" t="n"/>
      <c r="AE167" s="450" t="n"/>
      <c r="AF167" s="450" t="n"/>
      <c r="AG167" s="450" t="n"/>
      <c r="AH167" s="481" t="n">
        <v>0.2057</v>
      </c>
      <c r="AI167" s="450" t="n"/>
      <c r="AJ167" s="481" t="n">
        <v>0.2057</v>
      </c>
      <c r="AK167" s="481" t="n">
        <v>6.0321</v>
      </c>
      <c r="AL167" s="450" t="n"/>
      <c r="AM167" s="468" t="inlineStr">
        <is>
          <t>NNN; landlord expenses only; tenant pays RE taxes; 2023</t>
        </is>
      </c>
    </row>
    <row r="168" ht="13.5" customHeight="1" s="545">
      <c r="A168" s="476" t="inlineStr">
        <is>
          <t>P087</t>
        </is>
      </c>
      <c r="B168" s="449" t="n">
        <v>407</v>
      </c>
      <c r="C168" s="476" t="inlineStr">
        <is>
          <t>R0102985</t>
        </is>
      </c>
      <c r="D168" s="477" t="inlineStr">
        <is>
          <t>5861 Tennyson St</t>
        </is>
      </c>
      <c r="E168" s="476" t="inlineStr">
        <is>
          <t>Arvada</t>
        </is>
      </c>
      <c r="F168" s="476" t="inlineStr">
        <is>
          <t>CO</t>
        </is>
      </c>
      <c r="G168" s="476" t="inlineStr">
        <is>
          <t>Industrial</t>
        </is>
      </c>
      <c r="H168" s="477" t="inlineStr">
        <is>
          <t>Industrial NNN</t>
        </is>
      </c>
      <c r="I168" s="478" t="n">
        <v>2000</v>
      </c>
      <c r="J168" s="478" t="n">
        <v>80640</v>
      </c>
      <c r="K168" s="478" t="n">
        <v>2024</v>
      </c>
      <c r="L168" s="479" t="n">
        <v>6.3625</v>
      </c>
      <c r="M168" s="476" t="n"/>
      <c r="N168" s="476" t="n"/>
      <c r="O168" s="476" t="n"/>
      <c r="P168" s="476" t="n"/>
      <c r="Q168" s="476" t="n"/>
      <c r="R168" s="476" t="n"/>
      <c r="S168" s="476" t="n"/>
      <c r="T168" s="476" t="n"/>
      <c r="U168" s="476" t="n"/>
      <c r="V168" s="476" t="n"/>
      <c r="W168" s="476" t="n"/>
      <c r="X168" s="476" t="n"/>
      <c r="Y168" s="476" t="n"/>
      <c r="Z168" s="476" t="n"/>
      <c r="AA168" s="476" t="n"/>
      <c r="AB168" s="476" t="n"/>
      <c r="AC168" s="476" t="n"/>
      <c r="AD168" s="476" t="n"/>
      <c r="AE168" s="476" t="n"/>
      <c r="AF168" s="476" t="n"/>
      <c r="AG168" s="476" t="n"/>
      <c r="AH168" s="479" t="n">
        <v>0.1921</v>
      </c>
      <c r="AI168" s="476" t="n"/>
      <c r="AJ168" s="479" t="n">
        <v>0.1921</v>
      </c>
      <c r="AK168" s="479" t="n">
        <v>6.1704</v>
      </c>
      <c r="AL168" s="476" t="n"/>
      <c r="AM168" s="477" t="inlineStr">
        <is>
          <t>NNN; landlord expenses only; tenant pays RE taxes; 2024</t>
        </is>
      </c>
    </row>
    <row r="169" ht="13.5" customHeight="1" s="545">
      <c r="A169" s="450" t="inlineStr">
        <is>
          <t>P088</t>
        </is>
      </c>
      <c r="B169" s="449" t="n">
        <v>210</v>
      </c>
      <c r="C169" s="450" t="inlineStr">
        <is>
          <t>R0090973</t>
        </is>
      </c>
      <c r="D169" s="468" t="inlineStr">
        <is>
          <t>3975 E 56th Ave</t>
        </is>
      </c>
      <c r="E169" s="450" t="inlineStr">
        <is>
          <t>Commerce City</t>
        </is>
      </c>
      <c r="F169" s="450" t="inlineStr">
        <is>
          <t>CO</t>
        </is>
      </c>
      <c r="G169" s="450" t="inlineStr">
        <is>
          <t>Industrial</t>
        </is>
      </c>
      <c r="H169" s="468" t="inlineStr">
        <is>
          <t>Multi-Tenant Industrial</t>
        </is>
      </c>
      <c r="I169" s="480" t="n"/>
      <c r="J169" s="480" t="n">
        <v>42299</v>
      </c>
      <c r="K169" s="480" t="n">
        <v>2024</v>
      </c>
      <c r="L169" s="450" t="n"/>
      <c r="M169" s="450" t="n"/>
      <c r="N169" s="481" t="n">
        <v>9.259499999999999</v>
      </c>
      <c r="O169" s="450" t="n"/>
      <c r="P169" s="450" t="n"/>
      <c r="Q169" s="450" t="n"/>
      <c r="R169" s="450" t="n"/>
      <c r="S169" s="450" t="n"/>
      <c r="T169" s="450" t="n"/>
      <c r="U169" s="450" t="n"/>
      <c r="V169" s="450" t="n"/>
      <c r="W169" s="450" t="n"/>
      <c r="X169" s="450" t="n"/>
      <c r="Y169" s="450" t="n"/>
      <c r="Z169" s="450" t="n"/>
      <c r="AA169" s="450" t="n"/>
      <c r="AB169" s="450" t="n"/>
      <c r="AC169" s="450" t="n"/>
      <c r="AD169" s="450" t="n"/>
      <c r="AE169" s="450" t="n"/>
      <c r="AF169" s="450" t="n"/>
      <c r="AG169" s="450" t="n"/>
      <c r="AH169" s="481" t="n">
        <v>0.7408</v>
      </c>
      <c r="AI169" s="450" t="n"/>
      <c r="AJ169" s="481" t="n">
        <v>0.7408</v>
      </c>
      <c r="AK169" s="481" t="n">
        <v>8.518800000000001</v>
      </c>
      <c r="AL169" s="450" t="n"/>
      <c r="AM169" s="468" t="inlineStr">
        <is>
          <t>Sand Creek Business Park; owner P&amp;L 2024; limited line-item detail</t>
        </is>
      </c>
    </row>
    <row r="170" ht="13.5" customHeight="1" s="545">
      <c r="A170" s="476" t="inlineStr">
        <is>
          <t>P089</t>
        </is>
      </c>
      <c r="B170" s="449" t="n">
        <v>407</v>
      </c>
      <c r="C170" s="476" t="inlineStr">
        <is>
          <t>R0180951</t>
        </is>
      </c>
      <c r="D170" s="477" t="inlineStr">
        <is>
          <t>(Address TBD – R0180951)</t>
        </is>
      </c>
      <c r="E170" s="476" t="inlineStr">
        <is>
          <t>Adams County</t>
        </is>
      </c>
      <c r="F170" s="476" t="inlineStr">
        <is>
          <t>CO</t>
        </is>
      </c>
      <c r="G170" s="476" t="inlineStr">
        <is>
          <t>Industrial</t>
        </is>
      </c>
      <c r="H170" s="477" t="inlineStr">
        <is>
          <t>Industrial NNN</t>
        </is>
      </c>
      <c r="I170" s="478" t="n">
        <v>2016</v>
      </c>
      <c r="J170" s="478" t="n">
        <v>122106</v>
      </c>
      <c r="K170" s="478" t="n">
        <v>2023</v>
      </c>
      <c r="L170" s="476" t="n"/>
      <c r="M170" s="476" t="n"/>
      <c r="N170" s="476" t="n"/>
      <c r="O170" s="479" t="n">
        <v>0.0609</v>
      </c>
      <c r="P170" s="476" t="n"/>
      <c r="Q170" s="476" t="n"/>
      <c r="R170" s="476" t="n"/>
      <c r="S170" s="476" t="n"/>
      <c r="T170" s="476" t="n"/>
      <c r="U170" s="476" t="n"/>
      <c r="V170" s="476" t="n"/>
      <c r="W170" s="476" t="n"/>
      <c r="X170" s="476" t="n"/>
      <c r="Y170" s="476" t="n"/>
      <c r="Z170" s="476" t="n"/>
      <c r="AA170" s="476" t="n"/>
      <c r="AB170" s="476" t="n"/>
      <c r="AC170" s="479" t="n">
        <v>0.415</v>
      </c>
      <c r="AD170" s="479" t="n">
        <v>0.4794</v>
      </c>
      <c r="AE170" s="476" t="n"/>
      <c r="AF170" s="479" t="n">
        <v>0.4794</v>
      </c>
      <c r="AG170" s="476" t="n"/>
      <c r="AH170" s="476" t="n"/>
      <c r="AI170" s="479" t="n">
        <v>3.233</v>
      </c>
      <c r="AJ170" s="479" t="n">
        <v>4.1884</v>
      </c>
      <c r="AK170" s="476" t="n"/>
      <c r="AL170" s="476" t="n"/>
      <c r="AM170" s="477" t="inlineStr">
        <is>
          <t>NNN; landlord expenses only from WH Expenses 2026; 2016 YOC; 2023: RE Tax $394,774/Ins $7,435/Utils $58,541/CAM $50,680</t>
        </is>
      </c>
    </row>
    <row r="171" ht="13.5" customHeight="1" s="545">
      <c r="A171" s="450" t="inlineStr">
        <is>
          <t>P089</t>
        </is>
      </c>
      <c r="B171" s="449" t="n">
        <v>407</v>
      </c>
      <c r="C171" s="450" t="inlineStr">
        <is>
          <t>R0180951</t>
        </is>
      </c>
      <c r="D171" s="468" t="inlineStr">
        <is>
          <t>(Address TBD – R0180951)</t>
        </is>
      </c>
      <c r="E171" s="450" t="inlineStr">
        <is>
          <t>Adams County</t>
        </is>
      </c>
      <c r="F171" s="450" t="inlineStr">
        <is>
          <t>CO</t>
        </is>
      </c>
      <c r="G171" s="450" t="inlineStr">
        <is>
          <t>Industrial</t>
        </is>
      </c>
      <c r="H171" s="468" t="inlineStr">
        <is>
          <t>Industrial NNN</t>
        </is>
      </c>
      <c r="I171" s="480" t="n">
        <v>2016</v>
      </c>
      <c r="J171" s="480" t="n">
        <v>122106</v>
      </c>
      <c r="K171" s="480" t="n">
        <v>2024</v>
      </c>
      <c r="L171" s="450" t="n"/>
      <c r="M171" s="450" t="n"/>
      <c r="N171" s="450" t="n"/>
      <c r="O171" s="481" t="n">
        <v>0.0625</v>
      </c>
      <c r="P171" s="450" t="n"/>
      <c r="Q171" s="450" t="n"/>
      <c r="R171" s="450" t="n"/>
      <c r="S171" s="450" t="n"/>
      <c r="T171" s="450" t="n"/>
      <c r="U171" s="450" t="n"/>
      <c r="V171" s="450" t="n"/>
      <c r="W171" s="450" t="n"/>
      <c r="X171" s="450" t="n"/>
      <c r="Y171" s="450" t="n"/>
      <c r="Z171" s="450" t="n"/>
      <c r="AA171" s="450" t="n"/>
      <c r="AB171" s="450" t="n"/>
      <c r="AC171" s="481" t="n">
        <v>0.5279</v>
      </c>
      <c r="AD171" s="481" t="n">
        <v>0.4794</v>
      </c>
      <c r="AE171" s="450" t="n"/>
      <c r="AF171" s="481" t="n">
        <v>0.4794</v>
      </c>
      <c r="AG171" s="450" t="n"/>
      <c r="AH171" s="450" t="n"/>
      <c r="AI171" s="481" t="n">
        <v>4.358</v>
      </c>
      <c r="AJ171" s="481" t="n">
        <v>5.4279</v>
      </c>
      <c r="AK171" s="450" t="n"/>
      <c r="AL171" s="450" t="n"/>
      <c r="AM171" s="468" t="inlineStr">
        <is>
          <t>NNN; landlord expenses only from WH Expenses 2026; 2024: RE Tax $532,140/Ins $7,635/Utils $58,541/CAM $64,465</t>
        </is>
      </c>
    </row>
    <row r="172" ht="13.5" customHeight="1" s="545">
      <c r="A172" s="476" t="inlineStr">
        <is>
          <t>P090</t>
        </is>
      </c>
      <c r="B172" s="449" t="n">
        <v>407</v>
      </c>
      <c r="C172" s="476" t="inlineStr">
        <is>
          <t>R0110351</t>
        </is>
      </c>
      <c r="D172" s="477" t="inlineStr">
        <is>
          <t>(Address TBD – R0110351)</t>
        </is>
      </c>
      <c r="E172" s="476" t="inlineStr">
        <is>
          <t>Adams County</t>
        </is>
      </c>
      <c r="F172" s="476" t="inlineStr">
        <is>
          <t>CO</t>
        </is>
      </c>
      <c r="G172" s="476" t="inlineStr">
        <is>
          <t>Industrial</t>
        </is>
      </c>
      <c r="H172" s="477" t="inlineStr">
        <is>
          <t>Industrial NNN</t>
        </is>
      </c>
      <c r="I172" s="478" t="n">
        <v>2000</v>
      </c>
      <c r="J172" s="478" t="n">
        <v>85200</v>
      </c>
      <c r="K172" s="478" t="n">
        <v>2023</v>
      </c>
      <c r="L172" s="476" t="n"/>
      <c r="M172" s="476" t="n"/>
      <c r="N172" s="476" t="n"/>
      <c r="O172" s="479" t="n">
        <v>0.2413</v>
      </c>
      <c r="P172" s="476" t="n"/>
      <c r="Q172" s="476" t="n"/>
      <c r="R172" s="476" t="n"/>
      <c r="S172" s="476" t="n"/>
      <c r="T172" s="476" t="n"/>
      <c r="U172" s="476" t="n"/>
      <c r="V172" s="476" t="n"/>
      <c r="W172" s="476" t="n"/>
      <c r="X172" s="476" t="n"/>
      <c r="Y172" s="476" t="n"/>
      <c r="Z172" s="476" t="n"/>
      <c r="AA172" s="476" t="n"/>
      <c r="AB172" s="476" t="n"/>
      <c r="AC172" s="479" t="n">
        <v>0.2176</v>
      </c>
      <c r="AD172" s="476" t="n"/>
      <c r="AE172" s="476" t="n"/>
      <c r="AF172" s="476" t="n"/>
      <c r="AG172" s="476" t="n"/>
      <c r="AH172" s="476" t="n"/>
      <c r="AI172" s="479" t="n">
        <v>3.5826</v>
      </c>
      <c r="AJ172" s="479" t="n">
        <v>4.0415</v>
      </c>
      <c r="AK172" s="476" t="n"/>
      <c r="AL172" s="476" t="n"/>
      <c r="AM172" s="477" t="inlineStr">
        <is>
          <t>NNN; landlord expenses only from WH Expenses 2026; 2000 YOC; 2023: RE Tax $305,241/Ins $20,559/CAM $18,539</t>
        </is>
      </c>
    </row>
    <row r="173" ht="13.5" customHeight="1" s="545">
      <c r="A173" s="450" t="inlineStr">
        <is>
          <t>P090</t>
        </is>
      </c>
      <c r="B173" s="449" t="n">
        <v>407</v>
      </c>
      <c r="C173" s="450" t="inlineStr">
        <is>
          <t>R0110351</t>
        </is>
      </c>
      <c r="D173" s="468" t="inlineStr">
        <is>
          <t>(Address TBD – R0110351)</t>
        </is>
      </c>
      <c r="E173" s="450" t="inlineStr">
        <is>
          <t>Adams County</t>
        </is>
      </c>
      <c r="F173" s="450" t="inlineStr">
        <is>
          <t>CO</t>
        </is>
      </c>
      <c r="G173" s="450" t="inlineStr">
        <is>
          <t>Industrial</t>
        </is>
      </c>
      <c r="H173" s="468" t="inlineStr">
        <is>
          <t>Industrial NNN</t>
        </is>
      </c>
      <c r="I173" s="480" t="n">
        <v>2000</v>
      </c>
      <c r="J173" s="480" t="n">
        <v>85200</v>
      </c>
      <c r="K173" s="480" t="n">
        <v>2024</v>
      </c>
      <c r="L173" s="450" t="n"/>
      <c r="M173" s="450" t="n"/>
      <c r="N173" s="450" t="n"/>
      <c r="O173" s="481" t="n">
        <v>0.3002</v>
      </c>
      <c r="P173" s="450" t="n"/>
      <c r="Q173" s="450" t="n"/>
      <c r="R173" s="450" t="n"/>
      <c r="S173" s="450" t="n"/>
      <c r="T173" s="450" t="n"/>
      <c r="U173" s="450" t="n"/>
      <c r="V173" s="450" t="n"/>
      <c r="W173" s="450" t="n"/>
      <c r="X173" s="450" t="n"/>
      <c r="Y173" s="450" t="n"/>
      <c r="Z173" s="450" t="n"/>
      <c r="AA173" s="450" t="n"/>
      <c r="AB173" s="450" t="n"/>
      <c r="AC173" s="481" t="n">
        <v>0.2508</v>
      </c>
      <c r="AD173" s="450" t="n"/>
      <c r="AE173" s="450" t="n"/>
      <c r="AF173" s="450" t="n"/>
      <c r="AG173" s="450" t="n"/>
      <c r="AH173" s="450" t="n"/>
      <c r="AI173" s="481" t="n">
        <v>3.8945</v>
      </c>
      <c r="AJ173" s="481" t="n">
        <v>4.4456</v>
      </c>
      <c r="AK173" s="450" t="n"/>
      <c r="AL173" s="450" t="n"/>
      <c r="AM173" s="468" t="inlineStr">
        <is>
          <t>NNN; landlord expenses only from WH Expenses 2026; 2024: RE Tax $331,811/Ins $25,578/CAM $21,372</t>
        </is>
      </c>
    </row>
    <row r="174" ht="13.5" customHeight="1" s="545">
      <c r="A174" s="476" t="inlineStr">
        <is>
          <t>P091</t>
        </is>
      </c>
      <c r="B174" s="449" t="n">
        <v>584</v>
      </c>
      <c r="C174" s="476" t="inlineStr">
        <is>
          <t>R0198530</t>
        </is>
      </c>
      <c r="D174" s="477" t="inlineStr">
        <is>
          <t>(Address TBD – R0198530)</t>
        </is>
      </c>
      <c r="E174" s="476" t="inlineStr">
        <is>
          <t>Adams County</t>
        </is>
      </c>
      <c r="F174" s="476" t="inlineStr">
        <is>
          <t>CO</t>
        </is>
      </c>
      <c r="G174" s="476" t="inlineStr">
        <is>
          <t>Industrial</t>
        </is>
      </c>
      <c r="H174" s="477" t="inlineStr">
        <is>
          <t>Industrial Mega-Warehouse NNN</t>
        </is>
      </c>
      <c r="I174" s="478" t="n">
        <v>2019</v>
      </c>
      <c r="J174" s="478" t="n">
        <v>555867</v>
      </c>
      <c r="K174" s="478" t="n">
        <v>2024</v>
      </c>
      <c r="L174" s="476" t="n"/>
      <c r="M174" s="476" t="n"/>
      <c r="N174" s="476" t="n"/>
      <c r="O174" s="479" t="n">
        <v>0.1549</v>
      </c>
      <c r="P174" s="479" t="n">
        <v>0.1152</v>
      </c>
      <c r="Q174" s="476" t="n"/>
      <c r="R174" s="476" t="n"/>
      <c r="S174" s="476" t="n"/>
      <c r="T174" s="476" t="n"/>
      <c r="U174" s="476" t="n"/>
      <c r="V174" s="476" t="n"/>
      <c r="W174" s="476" t="n"/>
      <c r="X174" s="476" t="n"/>
      <c r="Y174" s="476" t="n"/>
      <c r="Z174" s="476" t="n"/>
      <c r="AA174" s="476" t="n"/>
      <c r="AB174" s="476" t="n"/>
      <c r="AC174" s="476" t="n"/>
      <c r="AD174" s="476" t="n"/>
      <c r="AE174" s="476" t="n"/>
      <c r="AF174" s="476" t="n"/>
      <c r="AG174" s="476" t="n"/>
      <c r="AH174" s="476" t="n"/>
      <c r="AI174" s="479" t="n">
        <v>3.8872</v>
      </c>
      <c r="AJ174" s="479" t="n">
        <v>4.1573</v>
      </c>
      <c r="AK174" s="476" t="n"/>
      <c r="AL174" s="476" t="n"/>
      <c r="AM174" s="477" t="inlineStr">
        <is>
          <t>Mega-warehouse 555,867 SF; NNN; landlord only: RE Tax $2,160,792/Ins $86,084/Mgmt $64,029; 2019 YOC</t>
        </is>
      </c>
    </row>
    <row r="175" ht="13.5" customHeight="1" s="545">
      <c r="A175" s="450" t="inlineStr">
        <is>
          <t>P092</t>
        </is>
      </c>
      <c r="B175" s="449" t="n">
        <v>447</v>
      </c>
      <c r="C175" s="450" t="inlineStr">
        <is>
          <t>R0180834</t>
        </is>
      </c>
      <c r="D175" s="468" t="inlineStr">
        <is>
          <t>Denver Distribution Center (R0180834)</t>
        </is>
      </c>
      <c r="E175" s="450" t="inlineStr">
        <is>
          <t>Adams County</t>
        </is>
      </c>
      <c r="F175" s="450" t="inlineStr">
        <is>
          <t>CO</t>
        </is>
      </c>
      <c r="G175" s="450" t="inlineStr">
        <is>
          <t>Industrial</t>
        </is>
      </c>
      <c r="H175" s="468" t="inlineStr">
        <is>
          <t>Cold Storage/Mega-Warehouse NNN</t>
        </is>
      </c>
      <c r="I175" s="491" t="n">
        <v>2012</v>
      </c>
      <c r="J175" s="480" t="n">
        <v>553757</v>
      </c>
      <c r="K175" s="491" t="n">
        <v>2024</v>
      </c>
      <c r="L175" s="493" t="n">
        <v>6.5164</v>
      </c>
      <c r="M175" s="493" t="n">
        <v>3.0407</v>
      </c>
      <c r="N175" s="493" t="n">
        <v>9.5571</v>
      </c>
      <c r="O175" s="492" t="n">
        <v>0.1393</v>
      </c>
      <c r="P175" s="492" t="n">
        <v>0.374</v>
      </c>
      <c r="Q175" s="493" t="n"/>
      <c r="R175" s="493" t="n"/>
      <c r="S175" s="493" t="n">
        <v>0.0052</v>
      </c>
      <c r="T175" s="493" t="n"/>
      <c r="U175" s="493" t="n"/>
      <c r="V175" s="493" t="n"/>
      <c r="W175" s="493" t="n"/>
      <c r="X175" s="493" t="n">
        <v>0.0389</v>
      </c>
      <c r="Y175" s="493" t="n">
        <v>0.0441</v>
      </c>
      <c r="Z175" s="493" t="n"/>
      <c r="AA175" s="493" t="n"/>
      <c r="AB175" s="493" t="n"/>
      <c r="AC175" s="493" t="n">
        <v>0</v>
      </c>
      <c r="AD175" s="493" t="n"/>
      <c r="AE175" s="493" t="n"/>
      <c r="AF175" s="493" t="n">
        <v>0.0001</v>
      </c>
      <c r="AG175" s="493" t="n">
        <v>0.0129</v>
      </c>
      <c r="AH175" s="493" t="n">
        <v>0.5703</v>
      </c>
      <c r="AI175" s="492" t="n">
        <v>3.7214</v>
      </c>
      <c r="AJ175" s="492" t="n">
        <v>4.2917</v>
      </c>
      <c r="AK175" s="493" t="n">
        <v>5.2654</v>
      </c>
      <c r="AL175" s="493" t="n"/>
      <c r="AM175" s="4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row>
    <row r="176" ht="13.5" customHeight="1" s="545">
      <c r="A176" s="476" t="inlineStr">
        <is>
          <t>P093</t>
        </is>
      </c>
      <c r="B176" s="449" t="n">
        <v>407</v>
      </c>
      <c r="C176" s="476" t="inlineStr">
        <is>
          <t>R0114792</t>
        </is>
      </c>
      <c r="D176" s="477" t="inlineStr">
        <is>
          <t>(Address TBD – R0114792)</t>
        </is>
      </c>
      <c r="E176" s="476" t="inlineStr">
        <is>
          <t>Adams County</t>
        </is>
      </c>
      <c r="F176" s="476" t="inlineStr">
        <is>
          <t>CO</t>
        </is>
      </c>
      <c r="G176" s="476" t="inlineStr">
        <is>
          <t>Industrial</t>
        </is>
      </c>
      <c r="H176" s="477" t="inlineStr">
        <is>
          <t>Industrial NNN</t>
        </is>
      </c>
      <c r="I176" s="478" t="n">
        <v>1998</v>
      </c>
      <c r="J176" s="478" t="n">
        <v>64501</v>
      </c>
      <c r="K176" s="478" t="n">
        <v>2023</v>
      </c>
      <c r="L176" s="476" t="n"/>
      <c r="M176" s="476" t="n"/>
      <c r="N176" s="476" t="n"/>
      <c r="O176" s="479" t="n">
        <v>0.1487</v>
      </c>
      <c r="P176" s="479" t="n">
        <v>0.365</v>
      </c>
      <c r="Q176" s="476" t="n"/>
      <c r="R176" s="476" t="n"/>
      <c r="S176" s="476" t="n"/>
      <c r="T176" s="476" t="n"/>
      <c r="U176" s="476" t="n"/>
      <c r="V176" s="476" t="n"/>
      <c r="W176" s="476" t="n"/>
      <c r="X176" s="476" t="n"/>
      <c r="Y176" s="476" t="n"/>
      <c r="Z176" s="476" t="n"/>
      <c r="AA176" s="476" t="n"/>
      <c r="AB176" s="476" t="n"/>
      <c r="AC176" s="476" t="n"/>
      <c r="AD176" s="476" t="n"/>
      <c r="AE176" s="476" t="n"/>
      <c r="AF176" s="476" t="n"/>
      <c r="AG176" s="476" t="n"/>
      <c r="AH176" s="476" t="n"/>
      <c r="AI176" s="479" t="n">
        <v>3.1201</v>
      </c>
      <c r="AJ176" s="479" t="n">
        <v>3.6337</v>
      </c>
      <c r="AK176" s="476" t="n"/>
      <c r="AL176" s="476" t="n"/>
      <c r="AM176" s="477" t="inlineStr">
        <is>
          <t>NNN; landlord only: RE Tax $201,248/Ins $9,589/Mgmt $23,542; 1998 YOC</t>
        </is>
      </c>
    </row>
    <row r="177" ht="13.5" customHeight="1" s="545">
      <c r="A177" s="450" t="inlineStr">
        <is>
          <t>P093</t>
        </is>
      </c>
      <c r="B177" s="449" t="n">
        <v>407</v>
      </c>
      <c r="C177" s="450" t="inlineStr">
        <is>
          <t>R0114792</t>
        </is>
      </c>
      <c r="D177" s="468" t="inlineStr">
        <is>
          <t>(Address TBD – R0114792)</t>
        </is>
      </c>
      <c r="E177" s="450" t="inlineStr">
        <is>
          <t>Adams County</t>
        </is>
      </c>
      <c r="F177" s="450" t="inlineStr">
        <is>
          <t>CO</t>
        </is>
      </c>
      <c r="G177" s="450" t="inlineStr">
        <is>
          <t>Industrial</t>
        </is>
      </c>
      <c r="H177" s="468" t="inlineStr">
        <is>
          <t>Industrial NNN</t>
        </is>
      </c>
      <c r="I177" s="480" t="n">
        <v>1998</v>
      </c>
      <c r="J177" s="480" t="n">
        <v>64501</v>
      </c>
      <c r="K177" s="480" t="n">
        <v>2024</v>
      </c>
      <c r="L177" s="450" t="n"/>
      <c r="M177" s="450" t="n"/>
      <c r="N177" s="450" t="n"/>
      <c r="O177" s="481" t="n">
        <v>0.1168</v>
      </c>
      <c r="P177" s="481" t="n">
        <v>0.3704</v>
      </c>
      <c r="Q177" s="450" t="n"/>
      <c r="R177" s="450" t="n"/>
      <c r="S177" s="450" t="n"/>
      <c r="T177" s="450" t="n"/>
      <c r="U177" s="450" t="n"/>
      <c r="V177" s="450" t="n"/>
      <c r="W177" s="450" t="n"/>
      <c r="X177" s="450" t="n"/>
      <c r="Y177" s="450" t="n"/>
      <c r="Z177" s="450" t="n"/>
      <c r="AA177" s="450" t="n"/>
      <c r="AB177" s="450" t="n"/>
      <c r="AC177" s="450" t="n"/>
      <c r="AD177" s="450" t="n"/>
      <c r="AE177" s="450" t="n"/>
      <c r="AF177" s="450" t="n"/>
      <c r="AG177" s="450" t="n"/>
      <c r="AH177" s="450" t="n"/>
      <c r="AI177" s="481" t="n">
        <v>3.7914</v>
      </c>
      <c r="AJ177" s="481" t="n">
        <v>4.2786</v>
      </c>
      <c r="AK177" s="450" t="n"/>
      <c r="AL177" s="450" t="n"/>
      <c r="AM177" s="468" t="inlineStr">
        <is>
          <t>NNN; landlord only: RE Tax $244,551/Ins $7,536/Mgmt $23,889</t>
        </is>
      </c>
    </row>
    <row r="178" ht="13.5" customHeight="1" s="545">
      <c r="A178" s="476" t="inlineStr">
        <is>
          <t>P027</t>
        </is>
      </c>
      <c r="B178" s="449" t="n">
        <v>407</v>
      </c>
      <c r="C178" s="476" t="inlineStr">
        <is>
          <t>R0132030</t>
        </is>
      </c>
      <c r="D178" s="477" t="inlineStr">
        <is>
          <t>Commercenter #22 (R0132030)</t>
        </is>
      </c>
      <c r="E178" s="476" t="inlineStr">
        <is>
          <t>Aurora</t>
        </is>
      </c>
      <c r="F178" s="476" t="inlineStr">
        <is>
          <t>CO</t>
        </is>
      </c>
      <c r="G178" s="476" t="inlineStr">
        <is>
          <t>Industrial</t>
        </is>
      </c>
      <c r="H178" s="477" t="inlineStr">
        <is>
          <t>Warehouse NNN (multi-tenant)</t>
        </is>
      </c>
      <c r="I178" s="494" t="n">
        <v>2001</v>
      </c>
      <c r="J178" s="478" t="n">
        <v>200090</v>
      </c>
      <c r="K178" s="494" t="n">
        <v>2024</v>
      </c>
      <c r="L178" s="496" t="n">
        <v>4.3268</v>
      </c>
      <c r="M178" s="496" t="n">
        <v>3.9117</v>
      </c>
      <c r="N178" s="496" t="n">
        <v>8.2385</v>
      </c>
      <c r="O178" s="495" t="n">
        <v>0.1315</v>
      </c>
      <c r="P178" s="495" t="n">
        <v>0.2443</v>
      </c>
      <c r="Q178" s="496" t="n">
        <v>0.0052</v>
      </c>
      <c r="R178" s="496" t="n">
        <v>0.0086</v>
      </c>
      <c r="S178" s="496" t="n">
        <v>0.2842</v>
      </c>
      <c r="T178" s="496" t="n">
        <v>0.0303</v>
      </c>
      <c r="U178" s="496" t="n">
        <v>0.0356</v>
      </c>
      <c r="V178" s="496" t="n">
        <v>0.0343</v>
      </c>
      <c r="W178" s="496" t="n">
        <v>0.0113</v>
      </c>
      <c r="X178" s="496" t="n">
        <v>0.09859999999999999</v>
      </c>
      <c r="Y178" s="496" t="n">
        <v>0.5081</v>
      </c>
      <c r="Z178" s="496" t="n"/>
      <c r="AA178" s="496" t="n">
        <v>0.1009</v>
      </c>
      <c r="AB178" s="496" t="n">
        <v>0.1021</v>
      </c>
      <c r="AC178" s="495" t="n">
        <v>0.203</v>
      </c>
      <c r="AD178" s="495" t="n">
        <v>0.1516</v>
      </c>
      <c r="AE178" s="496" t="n">
        <v>0.09080000000000001</v>
      </c>
      <c r="AF178" s="495" t="n">
        <v>0.3605</v>
      </c>
      <c r="AG178" s="496" t="n">
        <v>0.1117</v>
      </c>
      <c r="AH178" s="496" t="n">
        <v>1.559</v>
      </c>
      <c r="AI178" s="495" t="n">
        <v>2.8014</v>
      </c>
      <c r="AJ178" s="495" t="n">
        <v>4.3604</v>
      </c>
      <c r="AK178" s="496" t="n">
        <v>3.8781</v>
      </c>
      <c r="AL178" s="496" t="n"/>
      <c r="AM178" s="477"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row>
    <row r="179" ht="13.5" customHeight="1" s="545">
      <c r="A179" s="450" t="inlineStr">
        <is>
          <t>P028</t>
        </is>
      </c>
      <c r="B179" s="449" t="n">
        <v>407</v>
      </c>
      <c r="C179" s="450" t="inlineStr">
        <is>
          <t>R0084040</t>
        </is>
      </c>
      <c r="D179" s="468" t="inlineStr">
        <is>
          <t>(R0084040)</t>
        </is>
      </c>
      <c r="E179" s="450" t="inlineStr">
        <is>
          <t>Adams County</t>
        </is>
      </c>
      <c r="F179" s="450" t="inlineStr">
        <is>
          <t>CO</t>
        </is>
      </c>
      <c r="G179" s="450" t="inlineStr">
        <is>
          <t>Industrial</t>
        </is>
      </c>
      <c r="H179" s="468" t="inlineStr">
        <is>
          <t>Industrial NNN</t>
        </is>
      </c>
      <c r="I179" s="480" t="n"/>
      <c r="J179" s="480" t="n"/>
      <c r="K179" s="480" t="n">
        <v>2024</v>
      </c>
      <c r="L179" s="450" t="n"/>
      <c r="M179" s="450" t="n"/>
      <c r="N179" s="450" t="n"/>
      <c r="O179" s="490" t="n">
        <v>24025</v>
      </c>
      <c r="P179" s="490" t="n">
        <v>65817</v>
      </c>
      <c r="Q179" s="450" t="n"/>
      <c r="R179" s="450" t="n"/>
      <c r="S179" s="450" t="n"/>
      <c r="T179" s="450" t="n"/>
      <c r="U179" s="450" t="n"/>
      <c r="V179" s="450" t="n"/>
      <c r="W179" s="450" t="n"/>
      <c r="X179" s="450" t="n"/>
      <c r="Y179" s="450" t="n"/>
      <c r="Z179" s="450" t="n"/>
      <c r="AA179" s="450" t="n"/>
      <c r="AB179" s="450" t="n"/>
      <c r="AC179" s="490" t="n">
        <v>128840</v>
      </c>
      <c r="AD179" s="490" t="n">
        <v>69481</v>
      </c>
      <c r="AE179" s="450" t="n"/>
      <c r="AF179" s="490" t="n">
        <v>69481</v>
      </c>
      <c r="AG179" s="450" t="n"/>
      <c r="AH179" s="450" t="n"/>
      <c r="AI179" s="490" t="n">
        <v>598274</v>
      </c>
      <c r="AJ179" s="490" t="n">
        <v>886437</v>
      </c>
      <c r="AK179" s="450" t="n"/>
      <c r="AL179" s="450" t="n"/>
      <c r="AM179" s="468" t="inlineStr">
        <is>
          <t>[NO SF] NNN; WH Expenses 2026 landlord data: RE Tax $598,274/Ins $24,025/Utils $69,481/Mgmt $65,817/CAM $128,840</t>
        </is>
      </c>
    </row>
    <row r="180" ht="13.5" customHeight="1" s="545">
      <c r="A180" s="476" t="inlineStr">
        <is>
          <t>P034</t>
        </is>
      </c>
      <c r="B180" s="449" t="n">
        <v>407</v>
      </c>
      <c r="C180" s="476" t="inlineStr">
        <is>
          <t>R0172865</t>
        </is>
      </c>
      <c r="D180" s="477" t="inlineStr">
        <is>
          <t>(R0172865)</t>
        </is>
      </c>
      <c r="E180" s="476" t="inlineStr">
        <is>
          <t>Adams County</t>
        </is>
      </c>
      <c r="F180" s="476" t="inlineStr">
        <is>
          <t>CO</t>
        </is>
      </c>
      <c r="G180" s="476" t="inlineStr">
        <is>
          <t>Industrial</t>
        </is>
      </c>
      <c r="H180" s="477" t="inlineStr">
        <is>
          <t>Industrial NNN</t>
        </is>
      </c>
      <c r="I180" s="478" t="n"/>
      <c r="J180" s="478" t="n">
        <v>215461</v>
      </c>
      <c r="K180" s="478" t="n">
        <v>2024</v>
      </c>
      <c r="L180" s="476" t="n"/>
      <c r="M180" s="476" t="n"/>
      <c r="N180" s="476" t="n"/>
      <c r="O180" s="479" t="n">
        <v>0.1431</v>
      </c>
      <c r="P180" s="479" t="n">
        <v>0.331</v>
      </c>
      <c r="Q180" s="476" t="n"/>
      <c r="R180" s="476" t="n"/>
      <c r="S180" s="476" t="n"/>
      <c r="T180" s="476" t="n"/>
      <c r="U180" s="476" t="n"/>
      <c r="V180" s="476" t="n"/>
      <c r="W180" s="476" t="n"/>
      <c r="X180" s="476" t="n"/>
      <c r="Y180" s="476" t="n"/>
      <c r="Z180" s="476" t="n"/>
      <c r="AA180" s="476" t="n"/>
      <c r="AB180" s="476" t="n"/>
      <c r="AC180" s="479" t="n">
        <v>0.5903</v>
      </c>
      <c r="AD180" s="479" t="n">
        <v>0.4731</v>
      </c>
      <c r="AE180" s="476" t="n"/>
      <c r="AF180" s="479" t="n">
        <v>0.4731</v>
      </c>
      <c r="AG180" s="476" t="n"/>
      <c r="AH180" s="476" t="n"/>
      <c r="AI180" s="479" t="n">
        <v>2.6197</v>
      </c>
      <c r="AJ180" s="479" t="n">
        <v>4.1572</v>
      </c>
      <c r="AK180" s="476" t="n"/>
      <c r="AL180" s="476" t="n"/>
      <c r="AM180" s="477" t="inlineStr">
        <is>
          <t>NNN; WH Expenses 2026 landlord data: RE Tax $564,450/Ins $30,832/Utils $101,924/Mgmt $71,321/CAM $127,177</t>
        </is>
      </c>
    </row>
    <row r="181" ht="13.5" customHeight="1" s="545">
      <c r="A181" s="450" t="inlineStr">
        <is>
          <t>P036</t>
        </is>
      </c>
      <c r="B181" s="449" t="n">
        <v>407</v>
      </c>
      <c r="C181" s="450" t="inlineStr">
        <is>
          <t>R0172868</t>
        </is>
      </c>
      <c r="D181" s="468" t="inlineStr">
        <is>
          <t>(R0172868)</t>
        </is>
      </c>
      <c r="E181" s="450" t="inlineStr">
        <is>
          <t>Adams County</t>
        </is>
      </c>
      <c r="F181" s="450" t="inlineStr">
        <is>
          <t>CO</t>
        </is>
      </c>
      <c r="G181" s="450" t="inlineStr">
        <is>
          <t>Industrial</t>
        </is>
      </c>
      <c r="H181" s="468" t="inlineStr">
        <is>
          <t>Industrial NNN</t>
        </is>
      </c>
      <c r="I181" s="480" t="n"/>
      <c r="J181" s="480" t="n">
        <v>200000</v>
      </c>
      <c r="K181" s="480" t="n">
        <v>2024</v>
      </c>
      <c r="L181" s="450" t="n"/>
      <c r="M181" s="450" t="n"/>
      <c r="N181" s="450" t="n"/>
      <c r="O181" s="481" t="n">
        <v>0.153</v>
      </c>
      <c r="P181" s="481" t="n">
        <v>0.1804</v>
      </c>
      <c r="Q181" s="450" t="n"/>
      <c r="R181" s="450" t="n"/>
      <c r="S181" s="450" t="n"/>
      <c r="T181" s="450" t="n"/>
      <c r="U181" s="450" t="n"/>
      <c r="V181" s="450" t="n"/>
      <c r="W181" s="450" t="n"/>
      <c r="X181" s="450" t="n"/>
      <c r="Y181" s="450" t="n"/>
      <c r="Z181" s="450" t="n"/>
      <c r="AA181" s="450" t="n"/>
      <c r="AB181" s="450" t="n"/>
      <c r="AC181" s="481" t="n">
        <v>0.479</v>
      </c>
      <c r="AD181" s="450" t="n"/>
      <c r="AE181" s="450" t="n"/>
      <c r="AF181" s="450" t="n"/>
      <c r="AG181" s="450" t="n"/>
      <c r="AH181" s="450" t="n"/>
      <c r="AI181" s="481" t="n">
        <v>3.041</v>
      </c>
      <c r="AJ181" s="481" t="n">
        <v>3.8534</v>
      </c>
      <c r="AK181" s="450" t="n"/>
      <c r="AL181" s="450" t="n"/>
      <c r="AM181" s="468" t="inlineStr">
        <is>
          <t>NNN; WH Expenses 2026 landlord data: RE Tax $608,209/Ins $30,594/Mgmt $36,085/CAM $95,792</t>
        </is>
      </c>
    </row>
    <row r="182" ht="13.5" customHeight="1" s="545">
      <c r="A182" s="476" t="inlineStr">
        <is>
          <t>P061</t>
        </is>
      </c>
      <c r="B182" s="449" t="n">
        <v>584</v>
      </c>
      <c r="C182" s="476" t="inlineStr">
        <is>
          <t>R0083935</t>
        </is>
      </c>
      <c r="D182" s="477" t="inlineStr">
        <is>
          <t>(R0083935)</t>
        </is>
      </c>
      <c r="E182" s="476" t="inlineStr">
        <is>
          <t>Adams County</t>
        </is>
      </c>
      <c r="F182" s="476" t="inlineStr">
        <is>
          <t>CO</t>
        </is>
      </c>
      <c r="G182" s="476" t="inlineStr">
        <is>
          <t>Industrial</t>
        </is>
      </c>
      <c r="H182" s="477" t="inlineStr">
        <is>
          <t>Industrial NNN</t>
        </is>
      </c>
      <c r="I182" s="478" t="n"/>
      <c r="J182" s="478" t="n">
        <v>277690</v>
      </c>
      <c r="K182" s="478" t="n">
        <v>2024</v>
      </c>
      <c r="L182" s="476" t="n"/>
      <c r="M182" s="476" t="n"/>
      <c r="N182" s="476" t="n"/>
      <c r="O182" s="479" t="n">
        <v>0.2911</v>
      </c>
      <c r="P182" s="479" t="n">
        <v>0.6228</v>
      </c>
      <c r="Q182" s="476" t="n"/>
      <c r="R182" s="476" t="n"/>
      <c r="S182" s="476" t="n"/>
      <c r="T182" s="476" t="n"/>
      <c r="U182" s="476" t="n"/>
      <c r="V182" s="476" t="n"/>
      <c r="W182" s="476" t="n"/>
      <c r="X182" s="476" t="n"/>
      <c r="Y182" s="476" t="n"/>
      <c r="Z182" s="476" t="n"/>
      <c r="AA182" s="476" t="n"/>
      <c r="AB182" s="476" t="n"/>
      <c r="AC182" s="479" t="n">
        <v>1.0179</v>
      </c>
      <c r="AD182" s="479" t="n">
        <v>0.7056</v>
      </c>
      <c r="AE182" s="476" t="n"/>
      <c r="AF182" s="479" t="n">
        <v>0.7056</v>
      </c>
      <c r="AG182" s="476" t="n"/>
      <c r="AH182" s="476" t="n"/>
      <c r="AI182" s="479" t="n">
        <v>2.8384</v>
      </c>
      <c r="AJ182" s="479" t="n">
        <v>5.4758</v>
      </c>
      <c r="AK182" s="476" t="n"/>
      <c r="AL182" s="476" t="n"/>
      <c r="AM182" s="477" t="inlineStr">
        <is>
          <t>NNN; WH Expenses 2026 landlord data 2024; ranges used (midpoints): RE Tax ~$788k/Ins ~$81k/Utils $195,945/Mgmt $172,937/CAM ~$283k</t>
        </is>
      </c>
    </row>
    <row r="183" ht="13.5" customHeight="1" s="545">
      <c r="A183" s="450" t="inlineStr">
        <is>
          <t>P069</t>
        </is>
      </c>
      <c r="B183" s="449" t="n">
        <v>210</v>
      </c>
      <c r="C183" s="450" t="inlineStr">
        <is>
          <t>R0098223</t>
        </is>
      </c>
      <c r="D183" s="468" t="inlineStr">
        <is>
          <t>(R0098223)</t>
        </is>
      </c>
      <c r="E183" s="450" t="inlineStr">
        <is>
          <t>Adams County</t>
        </is>
      </c>
      <c r="F183" s="450" t="inlineStr">
        <is>
          <t>CO</t>
        </is>
      </c>
      <c r="G183" s="450" t="inlineStr">
        <is>
          <t>Industrial</t>
        </is>
      </c>
      <c r="H183" s="468" t="inlineStr">
        <is>
          <t>Industrial</t>
        </is>
      </c>
      <c r="I183" s="480" t="n"/>
      <c r="J183" s="480" t="n"/>
      <c r="K183" s="480" t="n">
        <v>2023</v>
      </c>
      <c r="L183" s="450" t="n"/>
      <c r="M183" s="450" t="n"/>
      <c r="N183" s="450" t="n"/>
      <c r="O183" s="450" t="n"/>
      <c r="P183" s="450" t="n"/>
      <c r="Q183" s="450" t="n"/>
      <c r="R183" s="450" t="n"/>
      <c r="S183" s="450" t="n"/>
      <c r="T183" s="450" t="n"/>
      <c r="U183" s="450" t="n"/>
      <c r="V183" s="450" t="n"/>
      <c r="W183" s="450" t="n"/>
      <c r="X183" s="450" t="n"/>
      <c r="Y183" s="450" t="n"/>
      <c r="Z183" s="450" t="n"/>
      <c r="AA183" s="450" t="n"/>
      <c r="AB183" s="450" t="n"/>
      <c r="AC183" s="450" t="n"/>
      <c r="AD183" s="450" t="n"/>
      <c r="AE183" s="450" t="n"/>
      <c r="AF183" s="450" t="n"/>
      <c r="AG183" s="450" t="n"/>
      <c r="AH183" s="450" t="n"/>
      <c r="AI183" s="450" t="n"/>
      <c r="AJ183" s="450" t="n"/>
      <c r="AK183" s="490" t="n">
        <v>951113</v>
      </c>
      <c r="AL183" s="450" t="n"/>
      <c r="AM183" s="468" t="inlineStr">
        <is>
          <t>[NO SF] CORRECTED: previous entry had wrong NOI ($76,629). Correct 2023 NOI = $951,113 per WH Expenses 2026</t>
        </is>
      </c>
    </row>
    <row r="184" ht="13.5" customHeight="1" s="545">
      <c r="A184" s="476" t="inlineStr">
        <is>
          <t>P069</t>
        </is>
      </c>
      <c r="B184" s="449" t="n">
        <v>210</v>
      </c>
      <c r="C184" s="476" t="inlineStr">
        <is>
          <t>R0098223</t>
        </is>
      </c>
      <c r="D184" s="477" t="inlineStr">
        <is>
          <t>(R0098223)</t>
        </is>
      </c>
      <c r="E184" s="476" t="inlineStr">
        <is>
          <t>Adams County</t>
        </is>
      </c>
      <c r="F184" s="476" t="inlineStr">
        <is>
          <t>CO</t>
        </is>
      </c>
      <c r="G184" s="476" t="inlineStr">
        <is>
          <t>Industrial</t>
        </is>
      </c>
      <c r="H184" s="477" t="inlineStr">
        <is>
          <t>Industrial</t>
        </is>
      </c>
      <c r="I184" s="478" t="n"/>
      <c r="J184" s="478" t="n"/>
      <c r="K184" s="478" t="n">
        <v>2024</v>
      </c>
      <c r="L184" s="476" t="n"/>
      <c r="M184" s="476" t="n"/>
      <c r="N184" s="476" t="n"/>
      <c r="O184" s="476" t="n"/>
      <c r="P184" s="476" t="n"/>
      <c r="Q184" s="476" t="n"/>
      <c r="R184" s="476" t="n"/>
      <c r="S184" s="476" t="n"/>
      <c r="T184" s="476" t="n"/>
      <c r="U184" s="476" t="n"/>
      <c r="V184" s="476" t="n"/>
      <c r="W184" s="476" t="n"/>
      <c r="X184" s="476" t="n"/>
      <c r="Y184" s="476" t="n"/>
      <c r="Z184" s="476" t="n"/>
      <c r="AA184" s="476" t="n"/>
      <c r="AB184" s="476" t="n"/>
      <c r="AC184" s="476" t="n"/>
      <c r="AD184" s="476" t="n"/>
      <c r="AE184" s="476" t="n"/>
      <c r="AF184" s="476" t="n"/>
      <c r="AG184" s="476" t="n"/>
      <c r="AH184" s="476" t="n"/>
      <c r="AI184" s="476" t="n"/>
      <c r="AJ184" s="476" t="n"/>
      <c r="AK184" s="489" t="n">
        <v>1005999</v>
      </c>
      <c r="AL184" s="476" t="n"/>
      <c r="AM184" s="477" t="inlineStr">
        <is>
          <t>[NO SF] New 2024 row from WH Expenses 2026; NOI $1,005,999</t>
        </is>
      </c>
    </row>
    <row r="185" ht="13.5" customHeight="1" s="545">
      <c r="A185" s="450" t="inlineStr">
        <is>
          <t>P094</t>
        </is>
      </c>
      <c r="B185" s="449" t="n">
        <v>407</v>
      </c>
      <c r="C185" s="450" t="inlineStr">
        <is>
          <t>R0104122</t>
        </is>
      </c>
      <c r="D185" s="468" t="inlineStr">
        <is>
          <t>550 W 53rd Pl</t>
        </is>
      </c>
      <c r="E185" s="450" t="inlineStr">
        <is>
          <t>Denver</t>
        </is>
      </c>
      <c r="F185" s="450" t="inlineStr">
        <is>
          <t>CO</t>
        </is>
      </c>
      <c r="G185" s="450" t="inlineStr">
        <is>
          <t>Industrial</t>
        </is>
      </c>
      <c r="H185" s="468" t="inlineStr">
        <is>
          <t>Distribution Warehouse</t>
        </is>
      </c>
      <c r="I185" s="480" t="n">
        <v>1971</v>
      </c>
      <c r="J185" s="480" t="n">
        <v>127900</v>
      </c>
      <c r="K185" s="480" t="n">
        <v>2024</v>
      </c>
      <c r="L185" s="481" t="n">
        <v>6.5</v>
      </c>
      <c r="M185" s="450" t="n"/>
      <c r="N185" s="481" t="n">
        <v>6.11</v>
      </c>
      <c r="O185" s="450" t="n"/>
      <c r="P185" s="450" t="n"/>
      <c r="Q185" s="450" t="n"/>
      <c r="R185" s="450" t="n"/>
      <c r="S185" s="450" t="n"/>
      <c r="T185" s="450" t="n"/>
      <c r="U185" s="450" t="n"/>
      <c r="V185" s="450" t="n"/>
      <c r="W185" s="450" t="n"/>
      <c r="X185" s="450" t="n"/>
      <c r="Y185" s="450" t="n"/>
      <c r="Z185" s="450" t="n"/>
      <c r="AA185" s="450" t="n"/>
      <c r="AB185" s="450" t="n"/>
      <c r="AC185" s="450" t="n"/>
      <c r="AD185" s="450" t="n"/>
      <c r="AE185" s="450" t="n"/>
      <c r="AF185" s="450" t="n"/>
      <c r="AG185" s="450" t="n"/>
      <c r="AH185" s="481" t="n">
        <v>0.4888</v>
      </c>
      <c r="AI185" s="450" t="n"/>
      <c r="AJ185" s="481" t="n">
        <v>0.4888</v>
      </c>
      <c r="AK185" s="481" t="n">
        <v>5.6212</v>
      </c>
      <c r="AL185" s="450" t="n"/>
      <c r="AM185" s="468" t="inlineStr">
        <is>
          <t>Appraiser income approach (CBOE 2024 abatement); market rent $6.50/SF; vac 6%; OPX 5% + reserves 3%; 6.00% OAR; value $11,985,000</t>
        </is>
      </c>
    </row>
    <row r="186" ht="13.5" customHeight="1" s="545">
      <c r="A186" s="476" t="inlineStr">
        <is>
          <t>P095</t>
        </is>
      </c>
      <c r="B186" s="449" t="n">
        <v>386</v>
      </c>
      <c r="C186" s="476" t="inlineStr">
        <is>
          <t>R0086010</t>
        </is>
      </c>
      <c r="D186" s="477" t="inlineStr">
        <is>
          <t>15413 E 18th Ave</t>
        </is>
      </c>
      <c r="E186" s="476" t="inlineStr">
        <is>
          <t>Aurora</t>
        </is>
      </c>
      <c r="F186" s="476" t="inlineStr">
        <is>
          <t>CO</t>
        </is>
      </c>
      <c r="G186" s="476" t="inlineStr">
        <is>
          <t>Self-Storage</t>
        </is>
      </c>
      <c r="H186" s="477" t="inlineStr">
        <is>
          <t>Self-Storage</t>
        </is>
      </c>
      <c r="I186" s="478" t="n">
        <v>1984</v>
      </c>
      <c r="J186" s="478" t="n">
        <v>63989</v>
      </c>
      <c r="K186" s="478" t="n">
        <v>2024</v>
      </c>
      <c r="L186" s="479" t="n">
        <v>15.0547</v>
      </c>
      <c r="M186" s="479" t="n">
        <v>0.1953</v>
      </c>
      <c r="N186" s="479" t="n">
        <v>12.9919</v>
      </c>
      <c r="O186" s="476" t="n"/>
      <c r="P186" s="476" t="n"/>
      <c r="Q186" s="476" t="n"/>
      <c r="R186" s="476" t="n"/>
      <c r="S186" s="476" t="n"/>
      <c r="T186" s="476" t="n"/>
      <c r="U186" s="476" t="n"/>
      <c r="V186" s="476" t="n"/>
      <c r="W186" s="476" t="n"/>
      <c r="X186" s="476" t="n"/>
      <c r="Y186" s="476" t="n"/>
      <c r="Z186" s="476" t="n"/>
      <c r="AA186" s="476" t="n"/>
      <c r="AB186" s="476" t="n"/>
      <c r="AC186" s="476" t="n"/>
      <c r="AD186" s="476" t="n"/>
      <c r="AE186" s="476" t="n"/>
      <c r="AF186" s="476" t="n"/>
      <c r="AG186" s="476" t="n"/>
      <c r="AH186" s="479" t="n">
        <v>2.5984</v>
      </c>
      <c r="AI186" s="476" t="n"/>
      <c r="AJ186" s="479" t="n">
        <v>3.118</v>
      </c>
      <c r="AK186" s="479" t="n">
        <v>9.873799999999999</v>
      </c>
      <c r="AL186" s="479" t="n">
        <v>0.5197000000000001</v>
      </c>
      <c r="AM186" s="477" t="inlineStr">
        <is>
          <t>Appraiser pro forma (AXG CBOE 2024); NRA 57,754 SF; market rent $1.39/mo/SF NRA; vac 15%; OPX 20% EGI; reserves 4%; 7.90% loaded cap; value $8,000,000</t>
        </is>
      </c>
    </row>
    <row r="187" ht="13.5" customHeight="1" s="545">
      <c r="A187" s="450" t="inlineStr">
        <is>
          <t>P096</t>
        </is>
      </c>
      <c r="B187" s="449" t="n">
        <v>407</v>
      </c>
      <c r="C187" s="450" t="inlineStr">
        <is>
          <t>R0083917</t>
        </is>
      </c>
      <c r="D187" s="468" t="inlineStr">
        <is>
          <t>14701 E 38th Ave</t>
        </is>
      </c>
      <c r="E187" s="450" t="inlineStr">
        <is>
          <t>Aurora</t>
        </is>
      </c>
      <c r="F187" s="450" t="inlineStr">
        <is>
          <t>CO</t>
        </is>
      </c>
      <c r="G187" s="450" t="inlineStr">
        <is>
          <t>Industrial</t>
        </is>
      </c>
      <c r="H187" s="468" t="inlineStr">
        <is>
          <t>Industrial Owner-User</t>
        </is>
      </c>
      <c r="I187" s="480" t="n"/>
      <c r="J187" s="480" t="n">
        <v>117280</v>
      </c>
      <c r="K187" s="480" t="n">
        <v>2024</v>
      </c>
      <c r="L187" s="450" t="n"/>
      <c r="M187" s="450" t="n"/>
      <c r="N187" s="450" t="n"/>
      <c r="O187" s="481" t="n">
        <v>0.4818</v>
      </c>
      <c r="P187" s="481" t="n">
        <v>3.8578</v>
      </c>
      <c r="Q187" s="450" t="n"/>
      <c r="R187" s="450" t="n"/>
      <c r="S187" s="450" t="n"/>
      <c r="T187" s="450" t="n"/>
      <c r="U187" s="450" t="n"/>
      <c r="V187" s="450" t="n"/>
      <c r="W187" s="450" t="n"/>
      <c r="X187" s="481" t="n">
        <v>1.8719</v>
      </c>
      <c r="Y187" s="481" t="n">
        <v>1.8719</v>
      </c>
      <c r="Z187" s="481" t="n">
        <v>0.1178</v>
      </c>
      <c r="AA187" s="481" t="n">
        <v>0.04</v>
      </c>
      <c r="AB187" s="450" t="n"/>
      <c r="AC187" s="481" t="n">
        <v>0.1578</v>
      </c>
      <c r="AD187" s="450" t="n"/>
      <c r="AE187" s="450" t="n"/>
      <c r="AF187" s="481" t="n">
        <v>3.1677</v>
      </c>
      <c r="AG187" s="450" t="n"/>
      <c r="AH187" s="481" t="n">
        <v>9.537000000000001</v>
      </c>
      <c r="AI187" s="450" t="n"/>
      <c r="AJ187" s="481" t="n">
        <v>9.537000000000001</v>
      </c>
      <c r="AK187" s="450" t="n"/>
      <c r="AL187" s="450" t="n"/>
      <c r="AM187" s="468" t="inlineStr">
        <is>
          <t>I&amp;E Survey 2024; owner-user; CAUTION: expenses likely include non-RE business costs (mgmt $452k + utils $372k very high); 117,280 SF</t>
        </is>
      </c>
    </row>
    <row r="188" ht="13.5" customHeight="1" s="545">
      <c r="A188" s="476" t="inlineStr">
        <is>
          <t>P097</t>
        </is>
      </c>
      <c r="B188" s="449" t="n">
        <v>210</v>
      </c>
      <c r="C188" s="476" t="inlineStr">
        <is>
          <t>R0137586</t>
        </is>
      </c>
      <c r="D188" s="477" t="inlineStr">
        <is>
          <t>7273-7285 E 96th Ave</t>
        </is>
      </c>
      <c r="E188" s="476" t="inlineStr">
        <is>
          <t>Commerce City</t>
        </is>
      </c>
      <c r="F188" s="476" t="inlineStr">
        <is>
          <t>CO</t>
        </is>
      </c>
      <c r="G188" s="476" t="inlineStr">
        <is>
          <t>Industrial</t>
        </is>
      </c>
      <c r="H188" s="477" t="inlineStr">
        <is>
          <t>Multi-Tenant Industrial</t>
        </is>
      </c>
      <c r="I188" s="478" t="n"/>
      <c r="J188" s="478" t="n">
        <v>57200</v>
      </c>
      <c r="K188" s="478" t="n">
        <v>2023</v>
      </c>
      <c r="L188" s="479" t="n">
        <v>14.0542</v>
      </c>
      <c r="M188" s="476" t="n"/>
      <c r="N188" s="476" t="n"/>
      <c r="O188" s="479" t="n">
        <v>0.2194</v>
      </c>
      <c r="P188" s="479" t="n">
        <v>0.9815</v>
      </c>
      <c r="Q188" s="476" t="n"/>
      <c r="R188" s="476" t="n"/>
      <c r="S188" s="476" t="n"/>
      <c r="T188" s="476" t="n"/>
      <c r="U188" s="476" t="n"/>
      <c r="V188" s="476" t="n"/>
      <c r="W188" s="476" t="n"/>
      <c r="X188" s="479" t="n">
        <v>0.6945</v>
      </c>
      <c r="Y188" s="479" t="n">
        <v>0.6945</v>
      </c>
      <c r="Z188" s="479" t="n">
        <v>0.3918</v>
      </c>
      <c r="AA188" s="479" t="n">
        <v>0.0257</v>
      </c>
      <c r="AB188" s="476" t="n"/>
      <c r="AC188" s="479" t="n">
        <v>0.4175</v>
      </c>
      <c r="AD188" s="476" t="n"/>
      <c r="AE188" s="479" t="n">
        <v>0.1169</v>
      </c>
      <c r="AF188" s="479" t="n">
        <v>0.1169</v>
      </c>
      <c r="AG188" s="476" t="n"/>
      <c r="AH188" s="479" t="n">
        <v>2.4266</v>
      </c>
      <c r="AI188" s="476" t="n"/>
      <c r="AJ188" s="479" t="n">
        <v>2.4266</v>
      </c>
      <c r="AK188" s="476" t="n"/>
      <c r="AL188" s="476" t="n"/>
      <c r="AM188" s="477" t="inlineStr">
        <is>
          <t>I&amp;E Survey 2023; modified lease; 57,200 SF; total expenses approx (excludes RE taxes not reported)</t>
        </is>
      </c>
    </row>
    <row r="189" ht="13.5" customHeight="1" s="545">
      <c r="A189" s="450" t="inlineStr">
        <is>
          <t>P098</t>
        </is>
      </c>
      <c r="B189" s="449" t="n">
        <v>210</v>
      </c>
      <c r="C189" s="450" t="inlineStr">
        <is>
          <t>R0187010</t>
        </is>
      </c>
      <c r="D189" s="468" t="inlineStr">
        <is>
          <t>8020 Steele St</t>
        </is>
      </c>
      <c r="E189" s="450" t="inlineStr">
        <is>
          <t>Denver</t>
        </is>
      </c>
      <c r="F189" s="450" t="inlineStr">
        <is>
          <t>CO</t>
        </is>
      </c>
      <c r="G189" s="450" t="inlineStr">
        <is>
          <t>Industrial</t>
        </is>
      </c>
      <c r="H189" s="468" t="inlineStr">
        <is>
          <t>Industrial Modified Gross</t>
        </is>
      </c>
      <c r="I189" s="480" t="n"/>
      <c r="J189" s="480" t="n">
        <v>70000</v>
      </c>
      <c r="K189" s="480" t="n">
        <v>2024</v>
      </c>
      <c r="L189" s="481" t="n">
        <v>7.7</v>
      </c>
      <c r="M189" s="450" t="n"/>
      <c r="N189" s="450" t="n"/>
      <c r="O189" s="450" t="n"/>
      <c r="P189" s="481" t="n">
        <v>0.231</v>
      </c>
      <c r="Q189" s="450" t="n"/>
      <c r="R189" s="450" t="n"/>
      <c r="S189" s="450" t="n"/>
      <c r="T189" s="450" t="n"/>
      <c r="U189" s="450" t="n"/>
      <c r="V189" s="450" t="n"/>
      <c r="W189" s="450" t="n"/>
      <c r="X189" s="481" t="n">
        <v>0.0514</v>
      </c>
      <c r="Y189" s="481" t="n">
        <v>0.0514</v>
      </c>
      <c r="Z189" s="450" t="n"/>
      <c r="AA189" s="481" t="n">
        <v>0.0571</v>
      </c>
      <c r="AB189" s="450" t="n"/>
      <c r="AC189" s="481" t="n">
        <v>0.0571</v>
      </c>
      <c r="AD189" s="450" t="n"/>
      <c r="AE189" s="450" t="n"/>
      <c r="AF189" s="450" t="n"/>
      <c r="AG189" s="450" t="n"/>
      <c r="AH189" s="481" t="n">
        <v>0.3396</v>
      </c>
      <c r="AI189" s="450" t="n"/>
      <c r="AJ189" s="481" t="n">
        <v>0.3396</v>
      </c>
      <c r="AK189" s="450" t="n"/>
      <c r="AL189" s="450" t="n"/>
      <c r="AM189" s="468" t="inlineStr">
        <is>
          <t>I&amp;E Survey 2024; modified gross; owner pays ins/R&amp;M/mgmt only; tenant pays utils/trash; 70,000 SF; partial expense data</t>
        </is>
      </c>
    </row>
    <row r="190" ht="13.5" customHeight="1" s="545">
      <c r="A190" s="476" t="inlineStr">
        <is>
          <t>P099</t>
        </is>
      </c>
      <c r="B190" s="449" t="n">
        <v>210</v>
      </c>
      <c r="C190" s="476" t="inlineStr">
        <is>
          <t>R0111914</t>
        </is>
      </c>
      <c r="D190" s="477" t="inlineStr">
        <is>
          <t>1963 Jasper St</t>
        </is>
      </c>
      <c r="E190" s="476" t="inlineStr">
        <is>
          <t>Aurora</t>
        </is>
      </c>
      <c r="F190" s="476" t="inlineStr">
        <is>
          <t>CO</t>
        </is>
      </c>
      <c r="G190" s="476" t="inlineStr">
        <is>
          <t>Industrial</t>
        </is>
      </c>
      <c r="H190" s="477" t="inlineStr">
        <is>
          <t>Multi-Tenant Industrial Gross</t>
        </is>
      </c>
      <c r="I190" s="478" t="n"/>
      <c r="J190" s="478" t="n">
        <v>33574</v>
      </c>
      <c r="K190" s="478" t="n">
        <v>2024</v>
      </c>
      <c r="L190" s="479" t="n">
        <v>9.829000000000001</v>
      </c>
      <c r="M190" s="476" t="n"/>
      <c r="N190" s="479" t="n">
        <v>9.829000000000001</v>
      </c>
      <c r="O190" s="479" t="n">
        <v>0.2475</v>
      </c>
      <c r="P190" s="479" t="n">
        <v>0.4915</v>
      </c>
      <c r="Q190" s="476" t="n"/>
      <c r="R190" s="476" t="n"/>
      <c r="S190" s="476" t="n"/>
      <c r="T190" s="476" t="n"/>
      <c r="U190" s="476" t="n"/>
      <c r="V190" s="476" t="n"/>
      <c r="W190" s="476" t="n"/>
      <c r="X190" s="479" t="n">
        <v>0.5624</v>
      </c>
      <c r="Y190" s="479" t="n">
        <v>0.5624</v>
      </c>
      <c r="Z190" s="479" t="n">
        <v>0.2949</v>
      </c>
      <c r="AA190" s="479" t="n">
        <v>0.3366</v>
      </c>
      <c r="AB190" s="476" t="n"/>
      <c r="AC190" s="479" t="n">
        <v>0.6314</v>
      </c>
      <c r="AD190" s="476" t="n"/>
      <c r="AE190" s="479" t="n">
        <v>0.3437</v>
      </c>
      <c r="AF190" s="479" t="n">
        <v>0.3437</v>
      </c>
      <c r="AG190" s="476" t="n"/>
      <c r="AH190" s="479" t="n">
        <v>2.2765</v>
      </c>
      <c r="AI190" s="476" t="n"/>
      <c r="AJ190" s="479" t="n">
        <v>2.2765</v>
      </c>
      <c r="AK190" s="479" t="n">
        <v>7.5525</v>
      </c>
      <c r="AL190" s="476" t="n"/>
      <c r="AM190" s="477" t="inlineStr">
        <is>
          <t>I&amp;E Survey 2024; gross lease (tenant pays gas/elec); approx NOI = GRI minus owner expenses; 33,574 SF</t>
        </is>
      </c>
    </row>
    <row r="191" ht="13.5" customHeight="1" s="545">
      <c r="A191" s="497" t="inlineStr">
        <is>
          <t>P100</t>
        </is>
      </c>
      <c r="B191" s="449" t="n">
        <v>1332</v>
      </c>
      <c r="C191" s="497" t="inlineStr">
        <is>
          <t>R0111965</t>
        </is>
      </c>
      <c r="D191" s="498" t="inlineStr">
        <is>
          <t>12101 Grant St</t>
        </is>
      </c>
      <c r="E191" s="497" t="inlineStr">
        <is>
          <t>Thornton</t>
        </is>
      </c>
      <c r="F191" s="497" t="inlineStr">
        <is>
          <t>CO</t>
        </is>
      </c>
      <c r="G191" s="497" t="inlineStr">
        <is>
          <t>Hospitality</t>
        </is>
      </c>
      <c r="H191" s="498" t="inlineStr">
        <is>
          <t>Hotel Limited Service</t>
        </is>
      </c>
      <c r="I191" s="499" t="n">
        <v>1998</v>
      </c>
      <c r="J191" s="499" t="n"/>
      <c r="K191" s="499" t="n">
        <v>2024</v>
      </c>
      <c r="L191" s="500" t="n">
        <v>3007421</v>
      </c>
      <c r="M191" s="497" t="n"/>
      <c r="N191" s="500" t="n">
        <v>3007421</v>
      </c>
      <c r="O191" s="500" t="n">
        <v>45111</v>
      </c>
      <c r="P191" s="497" t="n"/>
      <c r="Q191" s="497" t="n"/>
      <c r="R191" s="497" t="n"/>
      <c r="S191" s="497" t="n"/>
      <c r="T191" s="497" t="n"/>
      <c r="U191" s="497" t="n"/>
      <c r="V191" s="497" t="n"/>
      <c r="W191" s="497" t="n"/>
      <c r="X191" s="497" t="n"/>
      <c r="Y191" s="497" t="n"/>
      <c r="Z191" s="497" t="n"/>
      <c r="AA191" s="497" t="n"/>
      <c r="AB191" s="497" t="n"/>
      <c r="AC191" s="497" t="n"/>
      <c r="AD191" s="497" t="n"/>
      <c r="AE191" s="497" t="n"/>
      <c r="AF191" s="497" t="n"/>
      <c r="AG191" s="500" t="n">
        <v>1975907</v>
      </c>
      <c r="AH191" s="500" t="n">
        <v>2143856</v>
      </c>
      <c r="AI191" s="497" t="n"/>
      <c r="AJ191" s="500" t="n">
        <v>2143856</v>
      </c>
      <c r="AK191" s="500" t="n">
        <v>863565</v>
      </c>
      <c r="AL191" s="497" t="n"/>
      <c r="AM191" s="498" t="inlineStr">
        <is>
          <t>[NO SF] Appraiser Rushmore income approach (AXG CBOE 2024); 100 rooms; ADR $115; occ 70%; RevPAR $80.50; loaded cap 11.30%; RE prop value ~$7.49M. Total Revenue breakout: Rooms+F&amp;B+Other</t>
        </is>
      </c>
    </row>
    <row r="192" ht="13.5" customHeight="1" s="545">
      <c r="A192" s="497" t="inlineStr">
        <is>
          <t>P101</t>
        </is>
      </c>
      <c r="B192" s="449" t="n">
        <v>332</v>
      </c>
      <c r="C192" s="497" t="inlineStr">
        <is>
          <t>R0202410</t>
        </is>
      </c>
      <c r="D192" s="498" t="inlineStr">
        <is>
          <t>2556 Oswego St</t>
        </is>
      </c>
      <c r="E192" s="497" t="inlineStr">
        <is>
          <t>Aurora</t>
        </is>
      </c>
      <c r="F192" s="497" t="inlineStr">
        <is>
          <t>CO</t>
        </is>
      </c>
      <c r="G192" s="497" t="inlineStr">
        <is>
          <t>Hospitality</t>
        </is>
      </c>
      <c r="H192" s="498" t="inlineStr">
        <is>
          <t>Hotel Full Service</t>
        </is>
      </c>
      <c r="I192" s="499" t="n">
        <v>2023</v>
      </c>
      <c r="J192" s="499" t="n"/>
      <c r="K192" s="499" t="n">
        <v>2024</v>
      </c>
      <c r="L192" s="500" t="n">
        <v>11899487</v>
      </c>
      <c r="M192" s="497" t="n"/>
      <c r="N192" s="500" t="n">
        <v>11899487</v>
      </c>
      <c r="O192" s="500" t="n">
        <v>154693</v>
      </c>
      <c r="P192" s="497" t="n"/>
      <c r="Q192" s="497" t="n"/>
      <c r="R192" s="497" t="n"/>
      <c r="S192" s="497" t="n"/>
      <c r="T192" s="497" t="n"/>
      <c r="U192" s="497" t="n"/>
      <c r="V192" s="497" t="n"/>
      <c r="W192" s="497" t="n"/>
      <c r="X192" s="497" t="n"/>
      <c r="Y192" s="497" t="n"/>
      <c r="Z192" s="497" t="n"/>
      <c r="AA192" s="497" t="n"/>
      <c r="AB192" s="497" t="n"/>
      <c r="AC192" s="497" t="n"/>
      <c r="AD192" s="497" t="n"/>
      <c r="AE192" s="497" t="n"/>
      <c r="AF192" s="497" t="n"/>
      <c r="AG192" s="500" t="n">
        <v>8760469</v>
      </c>
      <c r="AH192" s="500" t="n">
        <v>8915468</v>
      </c>
      <c r="AI192" s="497" t="n"/>
      <c r="AJ192" s="500" t="n">
        <v>9391447</v>
      </c>
      <c r="AK192" s="500" t="n">
        <v>2984019</v>
      </c>
      <c r="AL192" s="500" t="n">
        <v>475979</v>
      </c>
      <c r="AM192" s="498" t="inlineStr">
        <is>
          <t>[NO SF] Appraiser Rushmore income approach (AXG CBOE 2024); 227 rooms; built 2023; ADR $140; occ 70%; RevPAR $98; loaded cap 12.45%; RE value ~$23.47M (less FF&amp;E)</t>
        </is>
      </c>
    </row>
    <row r="193" ht="13.5" customHeight="1" s="545">
      <c r="A193" s="497" t="inlineStr">
        <is>
          <t>P102</t>
        </is>
      </c>
      <c r="B193" s="449" t="n">
        <v>332</v>
      </c>
      <c r="C193" s="497" t="inlineStr">
        <is>
          <t>R0024498</t>
        </is>
      </c>
      <c r="D193" s="498" t="inlineStr">
        <is>
          <t>83 E 120th Ave</t>
        </is>
      </c>
      <c r="E193" s="497" t="inlineStr">
        <is>
          <t>Thornton</t>
        </is>
      </c>
      <c r="F193" s="497" t="inlineStr">
        <is>
          <t>CO</t>
        </is>
      </c>
      <c r="G193" s="497" t="inlineStr">
        <is>
          <t>Hospitality</t>
        </is>
      </c>
      <c r="H193" s="498" t="inlineStr">
        <is>
          <t>Hotel Full Service</t>
        </is>
      </c>
      <c r="I193" s="499" t="n">
        <v>1984</v>
      </c>
      <c r="J193" s="499" t="n">
        <v>114796</v>
      </c>
      <c r="K193" s="499" t="n">
        <v>2024</v>
      </c>
      <c r="L193" s="501" t="n">
        <v>66.4378</v>
      </c>
      <c r="M193" s="497" t="n"/>
      <c r="N193" s="501" t="n">
        <v>66.4378</v>
      </c>
      <c r="O193" s="501" t="n">
        <v>0.8637</v>
      </c>
      <c r="P193" s="497" t="n"/>
      <c r="Q193" s="497" t="n"/>
      <c r="R193" s="497" t="n"/>
      <c r="S193" s="497" t="n"/>
      <c r="T193" s="497" t="n"/>
      <c r="U193" s="497" t="n"/>
      <c r="V193" s="497" t="n"/>
      <c r="W193" s="497" t="n"/>
      <c r="X193" s="497" t="n"/>
      <c r="Y193" s="497" t="n"/>
      <c r="Z193" s="497" t="n"/>
      <c r="AA193" s="497" t="n"/>
      <c r="AB193" s="497" t="n"/>
      <c r="AC193" s="497" t="n"/>
      <c r="AD193" s="497" t="n"/>
      <c r="AE193" s="497" t="n"/>
      <c r="AF193" s="497" t="n"/>
      <c r="AG193" s="501" t="n">
        <v>48.7513</v>
      </c>
      <c r="AH193" s="501" t="n">
        <v>51.4075</v>
      </c>
      <c r="AI193" s="497" t="n"/>
      <c r="AJ193" s="501" t="n">
        <v>54.0651</v>
      </c>
      <c r="AK193" s="501" t="n">
        <v>15.0303</v>
      </c>
      <c r="AL193" s="501" t="n">
        <v>2.6575</v>
      </c>
      <c r="AM193" s="498" t="inlineStr">
        <is>
          <t>Appraiser Rushmore income approach (AXG CBOE 2024); 137 rooms; 114,796 SF; 2 bldgs; 1984 YOC; ADR $142; occ 70%; loaded cap 10.56%; RE value $15.78M (less FF&amp;E); STR data: occ ~73%, ADR ~$147-161</t>
        </is>
      </c>
    </row>
    <row r="194" ht="13.5" customHeight="1" s="545">
      <c r="A194" s="476" t="inlineStr">
        <is>
          <t>P103</t>
        </is>
      </c>
      <c r="B194" s="449" t="n">
        <v>407</v>
      </c>
      <c r="C194" s="476" t="inlineStr">
        <is>
          <t>R0075212</t>
        </is>
      </c>
      <c r="D194" s="477" t="inlineStr">
        <is>
          <t>10500 Havana Ct</t>
        </is>
      </c>
      <c r="E194" s="476" t="inlineStr">
        <is>
          <t>Commerce City</t>
        </is>
      </c>
      <c r="F194" s="476" t="inlineStr">
        <is>
          <t>CO</t>
        </is>
      </c>
      <c r="G194" s="476" t="inlineStr">
        <is>
          <t>Industrial</t>
        </is>
      </c>
      <c r="H194" s="477" t="inlineStr">
        <is>
          <t>Industrial NNN</t>
        </is>
      </c>
      <c r="I194" s="478" t="n"/>
      <c r="J194" s="478" t="n">
        <v>30000</v>
      </c>
      <c r="K194" s="478" t="n">
        <v>2024</v>
      </c>
      <c r="L194" s="479" t="n">
        <v>8.4</v>
      </c>
      <c r="M194" s="476" t="n"/>
      <c r="N194" s="476" t="n"/>
      <c r="O194" s="479" t="n">
        <v>0.7568</v>
      </c>
      <c r="P194" s="479" t="n">
        <v>0.3167</v>
      </c>
      <c r="Q194" s="476" t="n"/>
      <c r="R194" s="476" t="n"/>
      <c r="S194" s="476" t="n"/>
      <c r="T194" s="476" t="n"/>
      <c r="U194" s="476" t="n"/>
      <c r="V194" s="476" t="n"/>
      <c r="W194" s="476" t="n"/>
      <c r="X194" s="479" t="n">
        <v>0.3647</v>
      </c>
      <c r="Y194" s="479" t="n">
        <v>0.3647</v>
      </c>
      <c r="Z194" s="479" t="n">
        <v>0.1164</v>
      </c>
      <c r="AA194" s="479" t="n">
        <v>0.2303</v>
      </c>
      <c r="AB194" s="476" t="n"/>
      <c r="AC194" s="479" t="n">
        <v>0.3468</v>
      </c>
      <c r="AD194" s="476" t="n"/>
      <c r="AE194" s="479" t="n">
        <v>0.06519999999999999</v>
      </c>
      <c r="AF194" s="479" t="n">
        <v>0.06519999999999999</v>
      </c>
      <c r="AG194" s="476" t="n"/>
      <c r="AH194" s="479" t="n">
        <v>1.8501</v>
      </c>
      <c r="AI194" s="476" t="n"/>
      <c r="AJ194" s="479" t="n">
        <v>1.8501</v>
      </c>
      <c r="AK194" s="476" t="n"/>
      <c r="AL194" s="476" t="n"/>
      <c r="AM194" s="477" t="inlineStr">
        <is>
          <t>I&amp;E Survey 2024; NNN lease; owner-reported; 30,000 SF; no NOI computed (no EGI reported)</t>
        </is>
      </c>
    </row>
    <row r="195" ht="13.5" customHeight="1" s="545">
      <c r="A195" s="450" t="inlineStr">
        <is>
          <t>P089</t>
        </is>
      </c>
      <c r="B195" s="449" t="n">
        <v>407</v>
      </c>
      <c r="C195" s="450" t="inlineStr">
        <is>
          <t>R0180951</t>
        </is>
      </c>
      <c r="D195" s="468" t="inlineStr">
        <is>
          <t>21200 E 36th Dr</t>
        </is>
      </c>
      <c r="E195" s="450" t="inlineStr">
        <is>
          <t>Aurora</t>
        </is>
      </c>
      <c r="F195" s="450" t="inlineStr">
        <is>
          <t>CO</t>
        </is>
      </c>
      <c r="G195" s="450" t="inlineStr">
        <is>
          <t>Industrial</t>
        </is>
      </c>
      <c r="H195" s="468" t="inlineStr">
        <is>
          <t>Industrial NNN</t>
        </is>
      </c>
      <c r="I195" s="480" t="n">
        <v>2016</v>
      </c>
      <c r="J195" s="480" t="n">
        <v>122106</v>
      </c>
      <c r="K195" s="480" t="n">
        <v>2024</v>
      </c>
      <c r="L195" s="450" t="n"/>
      <c r="M195" s="450" t="n"/>
      <c r="N195" s="450" t="n"/>
      <c r="O195" s="481" t="n">
        <v>0.0625</v>
      </c>
      <c r="P195" s="450" t="n"/>
      <c r="Q195" s="450" t="n"/>
      <c r="R195" s="450" t="n"/>
      <c r="S195" s="450" t="n"/>
      <c r="T195" s="450" t="n"/>
      <c r="U195" s="450" t="n"/>
      <c r="V195" s="450" t="n"/>
      <c r="W195" s="450" t="n"/>
      <c r="X195" s="481" t="n">
        <v>0.3183</v>
      </c>
      <c r="Y195" s="481" t="n">
        <v>0.3183</v>
      </c>
      <c r="Z195" s="481" t="n">
        <v>0.1129</v>
      </c>
      <c r="AA195" s="481" t="n">
        <v>0.09669999999999999</v>
      </c>
      <c r="AB195" s="450" t="n"/>
      <c r="AC195" s="481" t="n">
        <v>0.2096</v>
      </c>
      <c r="AD195" s="481" t="n">
        <v>0.4794</v>
      </c>
      <c r="AE195" s="450" t="n"/>
      <c r="AF195" s="481" t="n">
        <v>0.4794</v>
      </c>
      <c r="AG195" s="450" t="n"/>
      <c r="AH195" s="450" t="n"/>
      <c r="AI195" s="481" t="n">
        <v>4.358</v>
      </c>
      <c r="AJ195" s="481" t="n">
        <v>5.4279</v>
      </c>
      <c r="AK195" s="450" t="n"/>
      <c r="AL195" s="450" t="n"/>
      <c r="AM195" s="468" t="inlineStr">
        <is>
          <t>MT.xlsx 2024 survey — DETAIL UPDATE for R0180951; R&amp;M $38,871/Grd Maint $11,809/Snow-Trash $13,785 additional breakdown (matches WH Expenses totals)</t>
        </is>
      </c>
    </row>
    <row r="196" ht="13.5" customHeight="1" s="545">
      <c r="A196" s="476" t="inlineStr">
        <is>
          <t>P104</t>
        </is>
      </c>
      <c r="B196" s="449" t="n">
        <v>210</v>
      </c>
      <c r="C196" s="476" t="inlineStr">
        <is>
          <t>R0226379</t>
        </is>
      </c>
      <c r="D196" s="477" t="inlineStr">
        <is>
          <t>26100 E 68th Ave</t>
        </is>
      </c>
      <c r="E196" s="476" t="inlineStr">
        <is>
          <t>Aurora</t>
        </is>
      </c>
      <c r="F196" s="476" t="inlineStr">
        <is>
          <t>CO</t>
        </is>
      </c>
      <c r="G196" s="476" t="inlineStr">
        <is>
          <t>Industrial</t>
        </is>
      </c>
      <c r="H196" s="477" t="inlineStr">
        <is>
          <t>Industrial Multi-Tenant</t>
        </is>
      </c>
      <c r="I196" s="478" t="n"/>
      <c r="J196" s="478" t="n">
        <v>187720</v>
      </c>
      <c r="K196" s="478" t="n">
        <v>2024</v>
      </c>
      <c r="L196" s="479" t="n">
        <v>7.35</v>
      </c>
      <c r="M196" s="479" t="n">
        <v>6.1013</v>
      </c>
      <c r="N196" s="479" t="n">
        <v>13.4512</v>
      </c>
      <c r="O196" s="479" t="n">
        <v>0.9408</v>
      </c>
      <c r="P196" s="479" t="n">
        <v>0.6045</v>
      </c>
      <c r="Q196" s="476" t="n"/>
      <c r="R196" s="476" t="n"/>
      <c r="S196" s="479" t="n">
        <v>0.091</v>
      </c>
      <c r="T196" s="479" t="n">
        <v>0.0133</v>
      </c>
      <c r="U196" s="476" t="n"/>
      <c r="V196" s="479" t="n">
        <v>0.0316</v>
      </c>
      <c r="W196" s="479" t="n">
        <v>0.073</v>
      </c>
      <c r="X196" s="479" t="n">
        <v>0.08649999999999999</v>
      </c>
      <c r="Y196" s="479" t="n">
        <v>0.2954</v>
      </c>
      <c r="Z196" s="476" t="n"/>
      <c r="AA196" s="479" t="n">
        <v>0.0495</v>
      </c>
      <c r="AB196" s="479" t="n">
        <v>0.1714</v>
      </c>
      <c r="AC196" s="479" t="n">
        <v>0.3656</v>
      </c>
      <c r="AD196" s="479" t="n">
        <v>0.1559</v>
      </c>
      <c r="AE196" s="479" t="n">
        <v>0.0609</v>
      </c>
      <c r="AF196" s="479" t="n">
        <v>0.2168</v>
      </c>
      <c r="AG196" s="479" t="n">
        <v>0.0238</v>
      </c>
      <c r="AH196" s="479" t="n">
        <v>3.1568</v>
      </c>
      <c r="AI196" s="479" t="n">
        <v>3.6317</v>
      </c>
      <c r="AJ196" s="479" t="n">
        <v>6.7886</v>
      </c>
      <c r="AK196" s="479" t="n">
        <v>6.6627</v>
      </c>
      <c r="AL196" s="476" t="n"/>
      <c r="AM196" s="477" t="inlineStr">
        <is>
          <t>2024 actuals; CAM reimb + TBB structure; TBBs (178,730.57) included in Total OPX; RE Taxes include Metro District (179,316.74); Mgmt = CAM Mgmt + non-recov mgmt; Landscape+Snow+Security+Sweeping in Contract Svcs; SF unknown</t>
        </is>
      </c>
    </row>
    <row r="197" ht="13.5" customHeight="1" s="545">
      <c r="A197" s="450" t="inlineStr">
        <is>
          <t>P104</t>
        </is>
      </c>
      <c r="B197" s="449" t="n">
        <v>210</v>
      </c>
      <c r="C197" s="450" t="inlineStr">
        <is>
          <t>R0226379</t>
        </is>
      </c>
      <c r="D197" s="468" t="inlineStr">
        <is>
          <t>26100 E 68th Ave</t>
        </is>
      </c>
      <c r="E197" s="450" t="inlineStr">
        <is>
          <t>Aurora</t>
        </is>
      </c>
      <c r="F197" s="450" t="inlineStr">
        <is>
          <t>CO</t>
        </is>
      </c>
      <c r="G197" s="450" t="inlineStr">
        <is>
          <t>Industrial</t>
        </is>
      </c>
      <c r="H197" s="468" t="inlineStr">
        <is>
          <t>Industrial Multi-Tenant</t>
        </is>
      </c>
      <c r="I197" s="480" t="n"/>
      <c r="J197" s="480" t="n">
        <v>187720</v>
      </c>
      <c r="K197" s="480" t="n">
        <v>2023</v>
      </c>
      <c r="L197" s="481" t="n">
        <v>6.3132</v>
      </c>
      <c r="M197" s="481" t="n">
        <v>6.0317</v>
      </c>
      <c r="N197" s="481" t="n">
        <v>12.3449</v>
      </c>
      <c r="O197" s="481" t="n">
        <v>0.6231</v>
      </c>
      <c r="P197" s="481" t="n">
        <v>0.5661</v>
      </c>
      <c r="Q197" s="450" t="n"/>
      <c r="R197" s="450" t="n"/>
      <c r="S197" s="481" t="n">
        <v>0.0179</v>
      </c>
      <c r="T197" s="481" t="n">
        <v>0.0238</v>
      </c>
      <c r="U197" s="450" t="n"/>
      <c r="V197" s="481" t="n">
        <v>0.1469</v>
      </c>
      <c r="W197" s="481" t="n">
        <v>0.0926</v>
      </c>
      <c r="X197" s="481" t="n">
        <v>0.0829</v>
      </c>
      <c r="Y197" s="481" t="n">
        <v>0.3641</v>
      </c>
      <c r="Z197" s="450" t="n"/>
      <c r="AA197" s="481" t="n">
        <v>0.057</v>
      </c>
      <c r="AB197" s="481" t="n">
        <v>0.1505</v>
      </c>
      <c r="AC197" s="481" t="n">
        <v>0.485</v>
      </c>
      <c r="AD197" s="481" t="n">
        <v>0.138</v>
      </c>
      <c r="AE197" s="481" t="n">
        <v>0.0588</v>
      </c>
      <c r="AF197" s="481" t="n">
        <v>0.1967</v>
      </c>
      <c r="AG197" s="481" t="n">
        <v>0.0498</v>
      </c>
      <c r="AH197" s="481" t="n">
        <v>2.8811</v>
      </c>
      <c r="AI197" s="481" t="n">
        <v>3.5113</v>
      </c>
      <c r="AJ197" s="481" t="n">
        <v>6.3924</v>
      </c>
      <c r="AK197" s="481" t="n">
        <v>5.9525</v>
      </c>
      <c r="AL197" s="450" t="n"/>
      <c r="AM197" s="468" t="inlineStr">
        <is>
          <t>2023 actuals; CAM reimb + TBB structure; TBBs (171,359.08) included in Total OPX; RE Taxes include Metro District (172,730.34); Int Unit R&amp;M includes R&amp;M-Other (23,055.03); Other/Admin includes Personal Prop Tax (1,206.89); SF unknown</t>
        </is>
      </c>
    </row>
    <row r="198" ht="12" customHeight="1" s="545">
      <c r="A198" t="inlineStr">
        <is>
          <t>P105</t>
        </is>
      </c>
      <c r="B198" t="n">
        <v>407</v>
      </c>
      <c r="C198" t="inlineStr">
        <is>
          <t>R0083953</t>
        </is>
      </c>
      <c r="D198" t="inlineStr">
        <is>
          <t>Majestic Commercenter - WPC ABC (20901 E 32nd Pkwy)</t>
        </is>
      </c>
      <c r="E198" t="inlineStr">
        <is>
          <t>Aurora</t>
        </is>
      </c>
      <c r="F198" t="inlineStr">
        <is>
          <t>CO</t>
        </is>
      </c>
      <c r="G198" t="inlineStr">
        <is>
          <t>Industrial</t>
        </is>
      </c>
      <c r="H198" t="inlineStr">
        <is>
          <t>Warehouse NNN (4 x 50,000 SF units)</t>
        </is>
      </c>
      <c r="I198" s="58" t="n">
        <v>1985</v>
      </c>
      <c r="J198" s="57" t="n">
        <v>200000</v>
      </c>
      <c r="K198" s="58" t="n">
        <v>2024</v>
      </c>
      <c r="L198" s="502" t="n">
        <v>3.4937</v>
      </c>
      <c r="M198" s="502" t="n">
        <v>3.3161</v>
      </c>
      <c r="N198" s="502" t="n">
        <v>6.8099</v>
      </c>
      <c r="O198" s="502" t="n">
        <v>0.329</v>
      </c>
      <c r="P198" s="502" t="n">
        <v>0.2152</v>
      </c>
      <c r="Q198" s="502" t="n"/>
      <c r="R198" s="502" t="n">
        <v>0.0222</v>
      </c>
      <c r="S198" s="502" t="n">
        <v>0.0752</v>
      </c>
      <c r="T198" s="502" t="n">
        <v>0.0204</v>
      </c>
      <c r="U198" s="502" t="n">
        <v>0.0256</v>
      </c>
      <c r="V198" s="502" t="n"/>
      <c r="W198" s="502" t="n"/>
      <c r="X198" s="502" t="n">
        <v>0.0015</v>
      </c>
      <c r="Y198" s="502" t="n">
        <v>0.1449</v>
      </c>
      <c r="Z198" s="502" t="n"/>
      <c r="AA198" s="502" t="n">
        <v>0.0548</v>
      </c>
      <c r="AB198" s="502" t="n">
        <v>0.0646</v>
      </c>
      <c r="AC198" s="502" t="n">
        <v>0.1194</v>
      </c>
      <c r="AD198" s="502" t="n">
        <v>0.1246</v>
      </c>
      <c r="AE198" s="502" t="n"/>
      <c r="AF198" s="502" t="n">
        <v>0.1246</v>
      </c>
      <c r="AG198" s="502" t="n">
        <v>0.0115</v>
      </c>
      <c r="AH198" s="502" t="n">
        <v>0.9447</v>
      </c>
      <c r="AI198" s="502" t="n">
        <v>2.119</v>
      </c>
      <c r="AJ198" s="502" t="n">
        <v>3.0637</v>
      </c>
      <c r="AK198" s="502" t="n">
        <v>3.7461</v>
      </c>
      <c r="AL198" s="502" t="n"/>
      <c r="AM198" t="inlineStr">
        <is>
          <t>Source: Master Property Database (Income-Expense Detail). Colliers operating statement FY2024; 200,000 SF, 0 vacant. Exterior R&amp;M = parking lot $14,957 + sweeping $75. Other/Admin = extermination.</t>
        </is>
      </c>
    </row>
    <row r="199" ht="12" customHeight="1" s="545">
      <c r="A199" t="inlineStr">
        <is>
          <t>P105</t>
        </is>
      </c>
      <c r="B199" t="n">
        <v>407</v>
      </c>
      <c r="C199" t="inlineStr">
        <is>
          <t>R0083953</t>
        </is>
      </c>
      <c r="D199" t="inlineStr">
        <is>
          <t>Majestic Commercenter - WPC ABC (20901 E 32nd Pkwy)</t>
        </is>
      </c>
      <c r="E199" t="inlineStr">
        <is>
          <t>Aurora</t>
        </is>
      </c>
      <c r="F199" t="inlineStr">
        <is>
          <t>CO</t>
        </is>
      </c>
      <c r="G199" t="inlineStr">
        <is>
          <t>Industrial</t>
        </is>
      </c>
      <c r="H199" t="inlineStr">
        <is>
          <t>Warehouse NNN (4 x 50,000 SF units)</t>
        </is>
      </c>
      <c r="I199" s="58" t="n">
        <v>1985</v>
      </c>
      <c r="J199" s="57" t="n">
        <v>200000</v>
      </c>
      <c r="K199" s="58" t="n">
        <v>2023</v>
      </c>
      <c r="L199" s="502" t="n">
        <v>3.3784</v>
      </c>
      <c r="M199" s="502" t="n">
        <v>3.2828</v>
      </c>
      <c r="N199" s="502" t="n">
        <v>6.6611</v>
      </c>
      <c r="O199" s="502" t="n">
        <v>0.147</v>
      </c>
      <c r="P199" s="502" t="n">
        <v>0.19</v>
      </c>
      <c r="Q199" s="502" t="n"/>
      <c r="R199" s="502" t="n">
        <v>0.0108</v>
      </c>
      <c r="S199" s="502" t="n">
        <v>0.2338</v>
      </c>
      <c r="T199" s="502" t="n">
        <v>0.0097</v>
      </c>
      <c r="U199" s="502" t="n">
        <v>0.0951</v>
      </c>
      <c r="V199" s="502" t="n"/>
      <c r="W199" s="502" t="n"/>
      <c r="X199" s="502" t="n">
        <v>0.0172</v>
      </c>
      <c r="Y199" s="502" t="n">
        <v>0.3665</v>
      </c>
      <c r="Z199" s="502" t="n"/>
      <c r="AA199" s="502" t="n">
        <v>0.1058</v>
      </c>
      <c r="AB199" s="502" t="n">
        <v>0.0641</v>
      </c>
      <c r="AC199" s="502" t="n">
        <v>0.1699</v>
      </c>
      <c r="AD199" s="502" t="n">
        <v>0.1247</v>
      </c>
      <c r="AE199" s="502" t="n"/>
      <c r="AF199" s="502" t="n">
        <v>0.1247</v>
      </c>
      <c r="AG199" s="502" t="n">
        <v>0.0146</v>
      </c>
      <c r="AH199" s="502" t="n">
        <v>1.0127</v>
      </c>
      <c r="AI199" s="502" t="n">
        <v>1.6592</v>
      </c>
      <c r="AJ199" s="502" t="n">
        <v>2.6719</v>
      </c>
      <c r="AK199" s="502" t="n">
        <v>3.9892</v>
      </c>
      <c r="AL199" s="502" t="n"/>
      <c r="AM199" t="inlineStr">
        <is>
          <t>Source: Master Property Database (Income-Expense Detail). Colliers operating statement FY2023. Exterior R&amp;M = parking lot $44,093 + roof $2,668. General R&amp;M = general building $1,317 recoverable + $825 non-recoverable + grounds $1,295.</t>
        </is>
      </c>
    </row>
    <row r="200" ht="12" customHeight="1" s="545">
      <c r="A200" t="inlineStr">
        <is>
          <t>P105</t>
        </is>
      </c>
      <c r="B200" t="n">
        <v>407</v>
      </c>
      <c r="C200" t="inlineStr">
        <is>
          <t>R0083953</t>
        </is>
      </c>
      <c r="D200" t="inlineStr">
        <is>
          <t>Majestic Commercenter - WPC ABC (20901 E 32nd Pkwy)</t>
        </is>
      </c>
      <c r="E200" t="inlineStr">
        <is>
          <t>Aurora</t>
        </is>
      </c>
      <c r="F200" t="inlineStr">
        <is>
          <t>CO</t>
        </is>
      </c>
      <c r="G200" t="inlineStr">
        <is>
          <t>Industrial</t>
        </is>
      </c>
      <c r="H200" t="inlineStr">
        <is>
          <t>Warehouse NNN (4 x 50,000 SF units)</t>
        </is>
      </c>
      <c r="I200" s="58" t="n">
        <v>1985</v>
      </c>
      <c r="J200" s="57" t="n">
        <v>200000</v>
      </c>
      <c r="K200" s="58" t="n">
        <v>2022</v>
      </c>
      <c r="L200" s="502" t="n">
        <v>3.2633</v>
      </c>
      <c r="M200" s="502" t="n">
        <v>2.5296</v>
      </c>
      <c r="N200" s="502" t="n">
        <v>5.793</v>
      </c>
      <c r="O200" s="502" t="n">
        <v>0.1079</v>
      </c>
      <c r="P200" s="502" t="n">
        <v>0.1758</v>
      </c>
      <c r="Q200" s="502" t="n"/>
      <c r="R200" s="502" t="n">
        <v>0.0032</v>
      </c>
      <c r="S200" s="502" t="n">
        <v>0.1038</v>
      </c>
      <c r="T200" s="502" t="n">
        <v>0.0166</v>
      </c>
      <c r="U200" s="502" t="n">
        <v>0.0051</v>
      </c>
      <c r="V200" s="502" t="n"/>
      <c r="W200" s="502" t="n"/>
      <c r="X200" s="502" t="n">
        <v>0.0109</v>
      </c>
      <c r="Y200" s="502" t="n">
        <v>0.1396</v>
      </c>
      <c r="Z200" s="502" t="n"/>
      <c r="AA200" s="502" t="n">
        <v>0.0672</v>
      </c>
      <c r="AB200" s="502" t="n">
        <v>0.0968</v>
      </c>
      <c r="AC200" s="502" t="n">
        <v>0.164</v>
      </c>
      <c r="AD200" s="502" t="n">
        <v>0.1584</v>
      </c>
      <c r="AE200" s="502" t="n">
        <v>0.0011</v>
      </c>
      <c r="AF200" s="502" t="n">
        <v>0.1595</v>
      </c>
      <c r="AG200" s="502" t="n">
        <v>0.0121</v>
      </c>
      <c r="AH200" s="502" t="n">
        <v>0.7588</v>
      </c>
      <c r="AI200" s="502" t="n">
        <v>1.831</v>
      </c>
      <c r="AJ200" s="502" t="n">
        <v>2.5898</v>
      </c>
      <c r="AK200" s="502" t="n">
        <v>3.2031</v>
      </c>
      <c r="AL200" s="502" t="n"/>
      <c r="AM200" t="inlineStr">
        <is>
          <t>Source: Master Property Database (Income-Expense Detail). Colliers operating statement FY2022. Exterior R&amp;M = parking lot $19,891 + roof $862. Other/Admin = extermination $2,240 + other $182.</t>
        </is>
      </c>
    </row>
    <row r="201" ht="12" customHeight="1" s="545">
      <c r="A201" t="inlineStr">
        <is>
          <t>P106</t>
        </is>
      </c>
      <c r="B201" t="n">
        <v>210</v>
      </c>
      <c r="C201" t="inlineStr">
        <is>
          <t>(none) 0182511303018</t>
        </is>
      </c>
      <c r="D201" t="inlineStr">
        <is>
          <t>5970 Marion Drive</t>
        </is>
      </c>
      <c r="E201" t="inlineStr">
        <is>
          <t>Denver</t>
        </is>
      </c>
      <c r="F201" t="inlineStr">
        <is>
          <t>CO</t>
        </is>
      </c>
      <c r="G201" t="inlineStr">
        <is>
          <t>Industrial</t>
        </is>
      </c>
      <c r="H201" t="inlineStr">
        <is>
          <t>Industrial Flex - 2 unit</t>
        </is>
      </c>
      <c r="I201" s="58" t="n"/>
      <c r="J201" s="57" t="n">
        <v>14400</v>
      </c>
      <c r="K201" s="58" t="n">
        <v>2024</v>
      </c>
      <c r="L201" s="502" t="n">
        <v>11.6944</v>
      </c>
      <c r="M201" s="502" t="n">
        <v>5.6439</v>
      </c>
      <c r="N201" s="502" t="n">
        <v>17.3383</v>
      </c>
      <c r="O201" s="502" t="n">
        <v>0.7112000000000001</v>
      </c>
      <c r="P201" s="502" t="n">
        <v>0.4167</v>
      </c>
      <c r="Q201" s="502" t="n"/>
      <c r="R201" s="502" t="n"/>
      <c r="S201" s="502" t="n"/>
      <c r="T201" s="502" t="n"/>
      <c r="U201" s="502" t="n"/>
      <c r="V201" s="502" t="n"/>
      <c r="W201" s="502" t="n">
        <v>0.0139</v>
      </c>
      <c r="X201" s="502" t="n"/>
      <c r="Y201" s="502" t="n">
        <v>0.0139</v>
      </c>
      <c r="Z201" s="502" t="n"/>
      <c r="AA201" s="502" t="n"/>
      <c r="AB201" s="502" t="n">
        <v>0.0644</v>
      </c>
      <c r="AC201" s="502" t="n">
        <v>0.0644</v>
      </c>
      <c r="AD201" s="502" t="n">
        <v>0.1785</v>
      </c>
      <c r="AE201" s="502" t="n"/>
      <c r="AF201" s="502" t="n">
        <v>0.1785</v>
      </c>
      <c r="AG201" s="502" t="n">
        <v>0.1152</v>
      </c>
      <c r="AH201" s="502" t="n">
        <v>1.4998</v>
      </c>
      <c r="AI201" s="502" t="n">
        <v>4.3648</v>
      </c>
      <c r="AJ201" s="502" t="n">
        <v>5.8646</v>
      </c>
      <c r="AK201" s="502" t="n">
        <v>11.4738</v>
      </c>
      <c r="AL201" s="502" t="n"/>
      <c r="AM201"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row>
    <row r="202" ht="12" customHeight="1" s="545">
      <c r="A202" t="inlineStr">
        <is>
          <t>P106</t>
        </is>
      </c>
      <c r="B202" t="n">
        <v>210</v>
      </c>
      <c r="C202" t="inlineStr">
        <is>
          <t>(none) 0182511303018</t>
        </is>
      </c>
      <c r="D202" t="inlineStr">
        <is>
          <t>5970 Marion Drive</t>
        </is>
      </c>
      <c r="E202" t="inlineStr">
        <is>
          <t>Denver</t>
        </is>
      </c>
      <c r="F202" t="inlineStr">
        <is>
          <t>CO</t>
        </is>
      </c>
      <c r="G202" t="inlineStr">
        <is>
          <t>Industrial</t>
        </is>
      </c>
      <c r="H202" t="inlineStr">
        <is>
          <t>Industrial Flex - 2 unit</t>
        </is>
      </c>
      <c r="I202" s="58" t="n"/>
      <c r="J202" s="57" t="n">
        <v>14400</v>
      </c>
      <c r="K202" s="58" t="n">
        <v>2023</v>
      </c>
      <c r="L202" s="502" t="n">
        <v>10.9129</v>
      </c>
      <c r="M202" s="502" t="n">
        <v>6.2615</v>
      </c>
      <c r="N202" s="502" t="n">
        <v>17.1744</v>
      </c>
      <c r="O202" s="502" t="n">
        <v>0.6001</v>
      </c>
      <c r="P202" s="502" t="n">
        <v>0.4167</v>
      </c>
      <c r="Q202" s="502" t="n"/>
      <c r="R202" s="502" t="n">
        <v>0.1076</v>
      </c>
      <c r="S202" s="502" t="n">
        <v>3.2639</v>
      </c>
      <c r="T202" s="502" t="n"/>
      <c r="U202" s="502" t="n"/>
      <c r="V202" s="502" t="n">
        <v>0.0563</v>
      </c>
      <c r="W202" s="502" t="n"/>
      <c r="X202" s="502" t="n"/>
      <c r="Y202" s="502" t="n">
        <v>3.4278</v>
      </c>
      <c r="Z202" s="502" t="n">
        <v>0.0105</v>
      </c>
      <c r="AA202" s="502" t="n"/>
      <c r="AB202" s="502" t="n">
        <v>0.0706</v>
      </c>
      <c r="AC202" s="502" t="n">
        <v>0.08110000000000001</v>
      </c>
      <c r="AD202" s="502" t="n">
        <v>0.1498</v>
      </c>
      <c r="AE202" s="502" t="n"/>
      <c r="AF202" s="502" t="n">
        <v>0.1498</v>
      </c>
      <c r="AG202" s="502" t="n">
        <v>0.3652</v>
      </c>
      <c r="AH202" s="502" t="n">
        <v>5.0406</v>
      </c>
      <c r="AI202" s="502" t="n">
        <v>2.6199</v>
      </c>
      <c r="AJ202" s="502" t="n">
        <v>7.6605</v>
      </c>
      <c r="AK202" s="502" t="n">
        <v>9.5139</v>
      </c>
      <c r="AL202" s="502" t="n"/>
      <c r="AM202" t="inlineStr">
        <is>
          <t>Source: Master Property Database (Income-Expense Detail). Deerwoods 2023 cash flow statement. Exterior R&amp;M is a $47,000 roof replacement - a one-off item, not a stabilised expense. Excludes mortgage principal $26,700 and interest $51,625.</t>
        </is>
      </c>
    </row>
    <row r="203" ht="12" customHeight="1" s="545">
      <c r="A203" t="inlineStr">
        <is>
          <t>P107</t>
        </is>
      </c>
      <c r="B203" t="n">
        <v>406</v>
      </c>
      <c r="C203" t="inlineStr">
        <is>
          <t>R0103792</t>
        </is>
      </c>
      <c r="D203" t="inlineStr">
        <is>
          <t>2011 E 58th Ave (TempTee Brand Steaks)</t>
        </is>
      </c>
      <c r="E203" t="inlineStr">
        <is>
          <t>Denver</t>
        </is>
      </c>
      <c r="F203" t="inlineStr">
        <is>
          <t>CO</t>
        </is>
      </c>
      <c r="G203" t="inlineStr">
        <is>
          <t>Industrial</t>
        </is>
      </c>
      <c r="H203" t="inlineStr">
        <is>
          <t>Manufacturing / Food Processing</t>
        </is>
      </c>
      <c r="I203" s="58" t="n"/>
      <c r="J203" s="57" t="n">
        <v>17000</v>
      </c>
      <c r="K203" s="58" t="n">
        <v>2024</v>
      </c>
      <c r="L203" s="502" t="n"/>
      <c r="M203" s="502" t="n"/>
      <c r="N203" s="502" t="n"/>
      <c r="O203" s="502" t="n">
        <v>0.8265</v>
      </c>
      <c r="P203" s="502" t="n"/>
      <c r="Q203" s="502" t="n"/>
      <c r="R203" s="502" t="n"/>
      <c r="S203" s="502" t="n"/>
      <c r="T203" s="502" t="n"/>
      <c r="U203" s="502" t="n"/>
      <c r="V203" s="502" t="n"/>
      <c r="W203" s="502" t="n"/>
      <c r="X203" s="502" t="n">
        <v>0.5881999999999999</v>
      </c>
      <c r="Y203" s="502" t="n">
        <v>0.5881999999999999</v>
      </c>
      <c r="Z203" s="502" t="n"/>
      <c r="AA203" s="502" t="n"/>
      <c r="AB203" s="502" t="n">
        <v>0.7059</v>
      </c>
      <c r="AC203" s="502" t="n">
        <v>0.7059</v>
      </c>
      <c r="AD203" s="502" t="n"/>
      <c r="AE203" s="502" t="n"/>
      <c r="AF203" s="502" t="n">
        <v>6</v>
      </c>
      <c r="AG203" s="502" t="n"/>
      <c r="AH203" s="502" t="n">
        <v>8.1206</v>
      </c>
      <c r="AI203" s="502" t="n"/>
      <c r="AJ203" s="502" t="n">
        <v>8.1206</v>
      </c>
      <c r="AK203" s="502" t="n"/>
      <c r="AL203" s="502" t="n"/>
      <c r="AM203"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row>
    <row r="204" ht="12" customHeight="1" s="545">
      <c r="A204" t="inlineStr">
        <is>
          <t>P108</t>
        </is>
      </c>
      <c r="B204" t="n">
        <v>210</v>
      </c>
      <c r="C204" t="inlineStr">
        <is>
          <t>R0002819</t>
        </is>
      </c>
      <c r="D204" t="inlineStr">
        <is>
          <t>125 Bridge St (Broadview)</t>
        </is>
      </c>
      <c r="E204" t="inlineStr">
        <is>
          <t>Brighton</t>
        </is>
      </c>
      <c r="F204" t="inlineStr">
        <is>
          <t>CO</t>
        </is>
      </c>
      <c r="G204" t="inlineStr">
        <is>
          <t>Commercial</t>
        </is>
      </c>
      <c r="H204" t="inlineStr">
        <is>
          <t>Multi-tenant industrial</t>
        </is>
      </c>
      <c r="I204" s="58" t="n"/>
      <c r="J204" s="57" t="n"/>
      <c r="K204" s="58" t="n">
        <v>2024</v>
      </c>
      <c r="L204" s="502" t="n"/>
      <c r="M204" s="502" t="n"/>
      <c r="N204" s="502" t="n"/>
      <c r="O204" s="502" t="n"/>
      <c r="P204" s="502" t="n"/>
      <c r="Q204" s="502" t="n"/>
      <c r="R204" s="502" t="n"/>
      <c r="S204" s="502" t="n"/>
      <c r="T204" s="502" t="n"/>
      <c r="U204" s="502" t="n"/>
      <c r="V204" s="502" t="n"/>
      <c r="W204" s="502" t="n"/>
      <c r="X204" s="502" t="n"/>
      <c r="Y204" s="502" t="n"/>
      <c r="Z204" s="502" t="n"/>
      <c r="AA204" s="502" t="n"/>
      <c r="AB204" s="502" t="n"/>
      <c r="AC204" s="502" t="n"/>
      <c r="AD204" s="502" t="n"/>
      <c r="AE204" s="502" t="n"/>
      <c r="AF204" s="502" t="n"/>
      <c r="AG204" s="502" t="n"/>
      <c r="AH204" s="502" t="n"/>
      <c r="AI204" s="502" t="n"/>
      <c r="AJ204" s="502" t="n"/>
      <c r="AK204" s="502" t="n"/>
      <c r="AL204" s="502" t="n"/>
      <c r="AM204"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row>
  </sheetData>
  <mergeCells count="2">
    <mergeCell ref="A2:AM2"/>
    <mergeCell ref="A1:AM1"/>
  </mergeCells>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language>en-US</dc:language>
  <dcterms:created xsi:type="dcterms:W3CDTF">1998-04-22T13:43:53Z</dcterms:created>
  <dcterms:modified xsi:type="dcterms:W3CDTF">2026-08-25T20:25:00Z</dcterms:modified>
  <cp:lastModifiedBy>Shaquille Carter</cp:lastModifiedBy>
  <cp:revision>0</cp:revision>
  <cp:lastPrinted>2021-04-29T19:41:45Z</cp:lastPrinted>
</cp:coreProperties>
</file>