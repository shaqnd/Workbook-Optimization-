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s>
  <externalReferences>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tegory">[3]OpActuals!$A:$A</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Inputs'!$B$30:$B$289</definedName>
    <definedName name="BC_KEY">'M&amp;S Inputs'!$I$30:$I$289</definedName>
    <definedName name="BC_VALUE">'M&amp;S Inputs'!$H$30:$H$289</definedName>
    <definedName name="BC_CITE">'M&amp;S Inputs'!$M$30:$M$289</definedName>
    <definedName name="OCC_NAME">'M&amp;S Inputs'!$B$293:$B$310</definedName>
    <definedName name="OCC_CODE">'M&amp;S Inputs'!$C$293:$C$310</definedName>
    <definedName name="OCC_SECTION">'M&amp;S Inputs'!$D$293:$D$310</definedName>
    <definedName name="OCC_PAGE">'M&amp;S Inputs'!$E$293:$E$310</definedName>
    <definedName name="OCC_STORY">'M&amp;S Inputs'!$F$293:$F$310</definedName>
    <definedName name="SH14_H">'M&amp;S Inputs'!$C$314:$C$337</definedName>
    <definedName name="SH14_M">'M&amp;S Inputs'!$D$314:$D$337</definedName>
    <definedName name="SH13_H">'M&amp;S Inputs'!$C$340:$C$357</definedName>
    <definedName name="SH13_M">'M&amp;S Inputs'!$D$340:$D$357</definedName>
    <definedName name="SH15_H">'M&amp;S Inputs'!$C$360:$C$374</definedName>
    <definedName name="SH15_M">'M&amp;S Inputs'!$D$360:$D$374</definedName>
    <definedName name="SH11_H">'M&amp;S Inputs'!$C$377:$C$392</definedName>
    <definedName name="SH11_M">'M&amp;S Inputs'!$D$377:$D$392</definedName>
    <definedName name="SPR_HDR">'M&amp;S Inputs'!$C$396:$F$396</definedName>
    <definedName name="SPR14_SF">'M&amp;S Inputs'!$C$398:$C$417</definedName>
    <definedName name="SPR14_VALS">'M&amp;S Inputs'!$D$398:$K$417</definedName>
    <definedName name="SPR13_SF">'M&amp;S Inputs'!$C$420:$C$437</definedName>
    <definedName name="SPR13_VALS">'M&amp;S Inputs'!$D$420:$K$437</definedName>
    <definedName name="SPR15_SF">'M&amp;S Inputs'!$C$440:$C$447</definedName>
    <definedName name="SPR15_VALS">'M&amp;S Inputs'!$D$440:$K$447</definedName>
    <definedName name="CCM_SECTIONHDR">'M&amp;S Inputs'!$D$492:$K$492</definedName>
    <definedName name="CCM_CLASS">'M&amp;S Inputs'!$C$503:$C$507</definedName>
    <definedName name="CCM_VALUES">'M&amp;S Inputs'!$D$503:$K$507</definedName>
    <definedName name="LAM_CLASSHDR">'M&amp;S Inputs'!$C$510:$G$510</definedName>
    <definedName name="LAM_CITY">'M&amp;S Inputs'!$B$511:$B$532</definedName>
    <definedName name="LAM_VALUES">'M&amp;S Inputs'!$C$511:$G$532</definedName>
    <definedName name="DEN_CLASSHDR">'M&amp;S Inputs'!$C$536:$G$536</definedName>
    <definedName name="DEN_LABEL">'M&amp;S Inputs'!$B$537:$B$549</definedName>
    <definedName name="DEN_VALUES">'M&amp;S Inputs'!$C$537:$G$549</definedName>
    <definedName name="LIFE_CLASSHDR">'M&amp;S Inputs'!$D$553:$H$553</definedName>
    <definedName name="LIFE_KEY">'M&amp;S Inputs'!$I$554:$I$623</definedName>
    <definedName name="LIFE_VALUES">'M&amp;S Inputs'!$D$554:$H$623</definedName>
    <definedName name="DEPR_LIFEHDR">'M&amp;S Inputs'!$C$627:$L$627</definedName>
    <definedName name="DEPR_AGE">'M&amp;S Inputs'!$B$628:$B$673</definedName>
    <definedName name="DEPR_VALUES">'M&amp;S Inputs'!$C$628:$L$673</definedName>
    <definedName name="caRCN">'Cost Approach'!$G$51</definedName>
    <definedName name="caRCNDeprec">'Cost Approach'!$G$64</definedName>
    <definedName name="caValue">'Cost Approach'!$G$69</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09">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1F4E78"/>
      <sz val="10"/>
    </font>
    <font>
      <b val="1"/>
      <sz val="9"/>
    </font>
    <font>
      <i val="1"/>
      <color rgb="00C00000"/>
      <sz val="8"/>
    </font>
    <font>
      <i val="1"/>
      <color rgb="00666666"/>
      <sz val="8"/>
    </font>
    <font/>
    <font>
      <b val="1"/>
      <color rgb="00FFFFFF"/>
      <sz val="11"/>
    </font>
    <font>
      <b val="1"/>
      <sz val="12"/>
    </font>
    <font>
      <b val="1"/>
      <color rgb="00203864"/>
      <sz val="14"/>
    </font>
    <font>
      <i val="1"/>
      <color rgb="00595959"/>
      <sz val="9"/>
    </font>
    <font>
      <sz val="10"/>
    </font>
    <font>
      <b val="1"/>
      <color rgb="00FFFFFF"/>
    </font>
    <font>
      <sz val="9"/>
    </font>
  </fonts>
  <fills count="59">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70AD47"/>
      </patternFill>
    </fill>
    <fill>
      <patternFill patternType="solid">
        <fgColor rgb="00DDEBF7"/>
      </patternFill>
    </fill>
    <fill>
      <patternFill patternType="solid">
        <fgColor rgb="00E2EFDA"/>
      </patternFill>
    </fill>
    <fill>
      <patternFill patternType="solid">
        <fgColor rgb="004472C4"/>
      </patternFill>
    </fill>
    <fill>
      <patternFill patternType="solid">
        <fgColor rgb="00F2F2F2"/>
      </patternFill>
    </fill>
    <fill>
      <patternFill patternType="solid">
        <fgColor rgb="001F3864"/>
      </patternFill>
    </fill>
    <fill>
      <patternFill patternType="solid">
        <fgColor rgb="00D9E1F2"/>
      </patternFill>
    </fill>
    <fill>
      <patternFill patternType="solid">
        <fgColor rgb="0044546A"/>
      </patternFill>
    </fill>
    <fill>
      <patternFill patternType="solid">
        <fgColor rgb="00FFFF00"/>
      </patternFill>
    </fill>
  </fills>
  <borders count="87">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
    <border>
      <left style="thin">
        <color rgb="00BFBFBF"/>
      </left>
      <right style="thin">
        <color rgb="00BFBFBF"/>
      </right>
      <top style="thin">
        <color rgb="00BFBFBF"/>
      </top>
      <bottom style="thin">
        <color rgb="00BFBFBF"/>
      </bottom>
    </border>
    <border>
      <right/>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501">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applyAlignment="1" pivotButton="0" quotePrefix="0" xfId="0">
      <alignment vertical="center" wrapText="1"/>
    </xf>
    <xf numFmtId="0" fontId="94" fillId="48" borderId="0" pivotButton="0" quotePrefix="0" xfId="0"/>
    <xf numFmtId="0" fontId="95" fillId="49" borderId="0" pivotButton="0" quotePrefix="0" xfId="0"/>
    <xf numFmtId="169" fontId="96" fillId="49" borderId="0" pivotButton="0" quotePrefix="0" xfId="0"/>
    <xf numFmtId="0" fontId="94" fillId="50" borderId="0" pivotButton="0" quotePrefix="0" xfId="0"/>
    <xf numFmtId="0" fontId="97" fillId="51" borderId="0" pivotButton="0" quotePrefix="0" xfId="0"/>
    <xf numFmtId="0" fontId="98" fillId="52" borderId="0" pivotButton="0" quotePrefix="0" xfId="0"/>
    <xf numFmtId="0" fontId="0" fillId="0" borderId="0" applyAlignment="1" pivotButton="0" quotePrefix="0" xfId="0">
      <alignment vertical="top" wrapText="1"/>
    </xf>
    <xf numFmtId="2" fontId="0" fillId="0" borderId="0" pivotButton="0" quotePrefix="0" xfId="0"/>
    <xf numFmtId="0" fontId="99" fillId="0" borderId="0" pivotButton="0" quotePrefix="0" xfId="0"/>
    <xf numFmtId="0" fontId="100" fillId="0" borderId="0" pivotButton="0" quotePrefix="0" xfId="0"/>
    <xf numFmtId="0" fontId="101" fillId="0" borderId="84" applyAlignment="1" pivotButton="0" quotePrefix="0" xfId="0">
      <alignment vertical="top"/>
    </xf>
    <xf numFmtId="0" fontId="93" fillId="0" borderId="84" pivotButton="0" quotePrefix="0" xfId="0"/>
    <xf numFmtId="0" fontId="101" fillId="0" borderId="84" pivotButton="0" quotePrefix="0" xfId="0"/>
    <xf numFmtId="0" fontId="101" fillId="0" borderId="84" applyAlignment="1" pivotButton="0" quotePrefix="0" xfId="0">
      <alignment horizontal="left" vertical="center"/>
    </xf>
    <xf numFmtId="0" fontId="102" fillId="47" borderId="84" applyAlignment="1" pivotButton="0" quotePrefix="0" xfId="0">
      <alignment vertical="center" wrapText="1"/>
    </xf>
    <xf numFmtId="0" fontId="102" fillId="47" borderId="0" pivotButton="0" quotePrefix="0" xfId="0"/>
    <xf numFmtId="0" fontId="101" fillId="0" borderId="84" applyAlignment="1" pivotButton="0" quotePrefix="0" xfId="0">
      <alignment vertical="center"/>
    </xf>
    <xf numFmtId="0" fontId="102" fillId="53" borderId="84" applyAlignment="1" pivotButton="0" quotePrefix="1" xfId="0">
      <alignment horizontal="center" vertical="center"/>
    </xf>
    <xf numFmtId="0" fontId="102" fillId="53" borderId="84" pivotButton="0" quotePrefix="0" xfId="0"/>
    <xf numFmtId="0" fontId="101" fillId="44" borderId="85" applyAlignment="1" pivotButton="0" quotePrefix="0" xfId="0">
      <alignment horizontal="center"/>
    </xf>
    <xf numFmtId="0" fontId="101" fillId="0" borderId="84" applyAlignment="1" pivotButton="0" quotePrefix="0" xfId="0">
      <alignment horizontal="center"/>
    </xf>
    <xf numFmtId="0" fontId="100" fillId="0" borderId="84" pivotButton="0" quotePrefix="0" xfId="0"/>
    <xf numFmtId="0" fontId="101" fillId="0" borderId="84" applyAlignment="1" pivotButton="0" quotePrefix="0" xfId="0">
      <alignment horizontal="left" vertical="center" indent="1"/>
    </xf>
    <xf numFmtId="0" fontId="101" fillId="54" borderId="84" applyAlignment="1" pivotButton="0" quotePrefix="0" xfId="0">
      <alignment vertical="center"/>
    </xf>
    <xf numFmtId="0" fontId="101" fillId="0" borderId="84" applyAlignment="1" pivotButton="0" quotePrefix="0" xfId="0">
      <alignment horizontal="left" vertical="center" indent="2"/>
    </xf>
    <xf numFmtId="0" fontId="101" fillId="44" borderId="85" applyAlignment="1" pivotButton="0" quotePrefix="0" xfId="0">
      <alignment horizontal="right"/>
    </xf>
    <xf numFmtId="0" fontId="101" fillId="44" borderId="85" pivotButton="0" quotePrefix="0" xfId="0"/>
    <xf numFmtId="0" fontId="102" fillId="53" borderId="84" applyAlignment="1" pivotButton="0" quotePrefix="0" xfId="0">
      <alignment horizontal="left" vertical="center" indent="2"/>
    </xf>
    <xf numFmtId="0" fontId="102" fillId="53" borderId="84" applyAlignment="1" pivotButton="0" quotePrefix="0" xfId="0">
      <alignment vertical="center"/>
    </xf>
    <xf numFmtId="0" fontId="101" fillId="44" borderId="85" applyAlignment="1" pivotButton="0" quotePrefix="0" xfId="0">
      <alignment horizontal="center" vertical="center"/>
    </xf>
    <xf numFmtId="0" fontId="101" fillId="44" borderId="85" applyAlignment="1" pivotButton="0" quotePrefix="0" xfId="0">
      <alignment vertical="center"/>
    </xf>
    <xf numFmtId="0" fontId="101" fillId="0" borderId="84" applyAlignment="1" pivotButton="0" quotePrefix="0" xfId="2">
      <alignment vertical="center"/>
    </xf>
    <xf numFmtId="0" fontId="102" fillId="53" borderId="84" applyAlignment="1" pivotButton="0" quotePrefix="0" xfId="2">
      <alignment vertical="center"/>
    </xf>
    <xf numFmtId="0" fontId="101" fillId="0" borderId="84" applyAlignment="1" pivotButton="0" quotePrefix="0" xfId="3">
      <alignment vertical="center"/>
    </xf>
    <xf numFmtId="0" fontId="101" fillId="0" borderId="84" applyAlignment="1" pivotButton="0" quotePrefix="0" xfId="0">
      <alignment horizontal="center" vertical="center"/>
    </xf>
    <xf numFmtId="0" fontId="101" fillId="0" borderId="84" applyAlignment="1" pivotButton="0" quotePrefix="0" xfId="0">
      <alignment horizontal="left" vertical="center" indent="3"/>
    </xf>
    <xf numFmtId="0" fontId="101" fillId="0" borderId="84" applyAlignment="1" pivotButton="0" quotePrefix="0" xfId="4">
      <alignment vertical="center"/>
    </xf>
    <xf numFmtId="0" fontId="101" fillId="0" borderId="84" applyAlignment="1" applyProtection="1" pivotButton="0" quotePrefix="0" xfId="0">
      <alignment horizontal="left"/>
      <protection locked="0" hidden="0"/>
    </xf>
    <xf numFmtId="0" fontId="101" fillId="0" borderId="84" applyAlignment="1" applyProtection="1" pivotButton="0" quotePrefix="0" xfId="0">
      <alignment horizontal="center"/>
      <protection locked="0" hidden="0"/>
    </xf>
    <xf numFmtId="0" fontId="101" fillId="0" borderId="84" applyAlignment="1" pivotButton="0" quotePrefix="0" xfId="0">
      <alignment horizontal="left"/>
    </xf>
    <xf numFmtId="0" fontId="101" fillId="0" borderId="84" applyAlignment="1" pivotButton="0" quotePrefix="1" xfId="0">
      <alignment horizontal="center" vertical="center"/>
    </xf>
    <xf numFmtId="0" fontId="101" fillId="0" borderId="84" applyAlignment="1" pivotButton="0" quotePrefix="0" xfId="0">
      <alignment horizontal="right"/>
    </xf>
    <xf numFmtId="0" fontId="101" fillId="0" borderId="84" applyAlignment="1" pivotButton="0" quotePrefix="1" xfId="0">
      <alignment vertical="center"/>
    </xf>
    <xf numFmtId="0" fontId="101" fillId="0" borderId="84" applyAlignment="1" pivotButton="0" quotePrefix="0" xfId="0">
      <alignment horizontal="right" vertical="center"/>
    </xf>
    <xf numFmtId="0" fontId="101" fillId="0" borderId="84" applyAlignment="1" pivotButton="0" quotePrefix="0" xfId="3">
      <alignment horizontal="right" vertical="center"/>
    </xf>
    <xf numFmtId="0" fontId="101" fillId="0" borderId="84" applyAlignment="1" pivotButton="0" quotePrefix="0" xfId="0">
      <alignment horizontal="left" vertical="center" wrapText="1"/>
    </xf>
    <xf numFmtId="0" fontId="101" fillId="0" borderId="84" pivotButton="0" quotePrefix="0" xfId="2"/>
    <xf numFmtId="0" fontId="102" fillId="47" borderId="86" applyAlignment="1" pivotButton="0" quotePrefix="0" xfId="0">
      <alignment vertical="center" wrapText="1"/>
    </xf>
    <xf numFmtId="0" fontId="94" fillId="55" borderId="84" applyAlignment="1" pivotButton="0" quotePrefix="0" xfId="0">
      <alignment horizontal="left" vertical="center" indent="1"/>
    </xf>
    <xf numFmtId="0" fontId="94" fillId="55" borderId="84" applyAlignment="1" pivotButton="0" quotePrefix="0" xfId="0">
      <alignment vertical="center"/>
    </xf>
    <xf numFmtId="0" fontId="98" fillId="56" borderId="84" applyAlignment="1" pivotButton="0" quotePrefix="0" xfId="0">
      <alignment horizontal="left" vertical="center" indent="2"/>
    </xf>
    <xf numFmtId="0" fontId="98" fillId="56" borderId="84" pivotButton="0" quotePrefix="0" xfId="0"/>
    <xf numFmtId="0" fontId="98" fillId="56" borderId="84" applyAlignment="1" pivotButton="0" quotePrefix="0" xfId="0">
      <alignment vertical="center"/>
    </xf>
    <xf numFmtId="0" fontId="92" fillId="0" borderId="84" applyAlignment="1" pivotButton="0" quotePrefix="0" xfId="0">
      <alignment horizontal="left" vertical="center" indent="2"/>
    </xf>
    <xf numFmtId="0" fontId="101" fillId="54" borderId="84" pivotButton="0" quotePrefix="0" xfId="0"/>
    <xf numFmtId="0" fontId="92" fillId="0" borderId="84" applyAlignment="1" pivotButton="0" quotePrefix="0" xfId="0">
      <alignment horizontal="left" vertical="center" indent="1"/>
    </xf>
    <xf numFmtId="0" fontId="92" fillId="0" borderId="84" applyAlignment="1" pivotButton="0" quotePrefix="0" xfId="0">
      <alignment vertical="center"/>
    </xf>
    <xf numFmtId="0" fontId="94" fillId="57" borderId="84" applyAlignment="1" pivotButton="0" quotePrefix="0" xfId="0">
      <alignment horizontal="left" vertical="center" indent="2"/>
    </xf>
    <xf numFmtId="0" fontId="94" fillId="57" borderId="84" applyAlignment="1" pivotButton="0" quotePrefix="0" xfId="0">
      <alignment vertical="center"/>
    </xf>
    <xf numFmtId="0" fontId="94" fillId="57" borderId="84" applyAlignment="1" pivotButton="0" quotePrefix="0" xfId="0">
      <alignment horizontal="center" vertical="center"/>
    </xf>
    <xf numFmtId="0" fontId="94" fillId="57" borderId="84" pivotButton="0" quotePrefix="0" xfId="0"/>
    <xf numFmtId="0" fontId="100" fillId="0" borderId="84" applyAlignment="1" pivotButton="0" quotePrefix="0" xfId="3">
      <alignment vertical="center"/>
    </xf>
    <xf numFmtId="0" fontId="101" fillId="44" borderId="85" applyAlignment="1" pivotButton="0" quotePrefix="0" xfId="4">
      <alignment vertical="center"/>
    </xf>
    <xf numFmtId="0" fontId="103" fillId="0" borderId="84" applyAlignment="1" pivotButton="0" quotePrefix="0" xfId="0">
      <alignment vertical="center"/>
    </xf>
    <xf numFmtId="0" fontId="94" fillId="57" borderId="84" applyAlignment="1" pivotButton="0" quotePrefix="0" xfId="0">
      <alignment horizontal="left" vertical="center" indent="1"/>
    </xf>
    <xf numFmtId="0" fontId="94" fillId="57" borderId="84" applyAlignment="1" pivotButton="0" quotePrefix="0" xfId="3">
      <alignment vertical="center"/>
    </xf>
    <xf numFmtId="0" fontId="92" fillId="0" borderId="84" pivotButton="0" quotePrefix="0" xfId="0"/>
    <xf numFmtId="0" fontId="104" fillId="0" borderId="84" pivotButton="0" quotePrefix="0" xfId="0"/>
    <xf numFmtId="0" fontId="104" fillId="0" borderId="84" applyAlignment="1" pivotButton="0" quotePrefix="0" xfId="0">
      <alignment horizontal="left" vertical="center" indent="2"/>
    </xf>
    <xf numFmtId="0" fontId="104" fillId="0" borderId="84" applyAlignment="1" pivotButton="0" quotePrefix="0" xfId="0">
      <alignment vertical="center"/>
    </xf>
    <xf numFmtId="0" fontId="92" fillId="56" borderId="0" applyAlignment="1" pivotButton="0" quotePrefix="0" xfId="0">
      <alignment horizontal="left"/>
    </xf>
    <xf numFmtId="0" fontId="92" fillId="56" borderId="0" applyAlignment="1" pivotButton="0" quotePrefix="0" xfId="0">
      <alignment horizontal="center"/>
    </xf>
    <xf numFmtId="0" fontId="92" fillId="56" borderId="82" applyAlignment="1" pivotButton="0" quotePrefix="0" xfId="0">
      <alignment horizontal="center"/>
    </xf>
    <xf numFmtId="0" fontId="0" fillId="46" borderId="85" applyAlignment="1" pivotButton="0" quotePrefix="0" xfId="0">
      <alignment horizontal="center"/>
    </xf>
    <xf numFmtId="0" fontId="32" fillId="46" borderId="85" applyAlignment="1" pivotButton="0" quotePrefix="0" xfId="0">
      <alignment horizontal="center"/>
    </xf>
    <xf numFmtId="0" fontId="34" fillId="46" borderId="85" applyAlignment="1" pivotButton="0" quotePrefix="0" xfId="0">
      <alignment horizontal="center"/>
    </xf>
    <xf numFmtId="0" fontId="0" fillId="0" borderId="85" pivotButton="0" quotePrefix="0" xfId="0"/>
    <xf numFmtId="0" fontId="105" fillId="0" borderId="0" pivotButton="0" quotePrefix="0" xfId="0"/>
    <xf numFmtId="3" fontId="0" fillId="54" borderId="0" applyAlignment="1" pivotButton="0" quotePrefix="0" xfId="0">
      <alignment horizontal="right"/>
    </xf>
    <xf numFmtId="3" fontId="0" fillId="46" borderId="85" applyAlignment="1" pivotButton="0" quotePrefix="0" xfId="0">
      <alignment horizontal="center"/>
    </xf>
    <xf numFmtId="3" fontId="32" fillId="46" borderId="85" applyAlignment="1" pivotButton="0" quotePrefix="0" xfId="0">
      <alignment horizontal="center"/>
    </xf>
    <xf numFmtId="3" fontId="0" fillId="0" borderId="85" pivotButton="0" quotePrefix="0" xfId="0"/>
    <xf numFmtId="0" fontId="0" fillId="54" borderId="0" applyAlignment="1" pivotButton="0" quotePrefix="0" xfId="0">
      <alignment horizontal="right"/>
    </xf>
    <xf numFmtId="0" fontId="0" fillId="54" borderId="0" applyAlignment="1" pivotButton="0" quotePrefix="0" xfId="0">
      <alignment horizontal="right" wrapText="1"/>
    </xf>
    <xf numFmtId="9" fontId="0" fillId="54" borderId="0" applyAlignment="1" pivotButton="0" quotePrefix="0" xfId="4">
      <alignment horizontal="right"/>
    </xf>
    <xf numFmtId="171" fontId="0" fillId="46" borderId="85" applyAlignment="1" pivotButton="0" quotePrefix="0" xfId="0">
      <alignment horizontal="center"/>
    </xf>
    <xf numFmtId="171" fontId="32" fillId="46" borderId="85" applyAlignment="1" pivotButton="0" quotePrefix="0" xfId="0">
      <alignment horizontal="center"/>
    </xf>
    <xf numFmtId="171" fontId="0" fillId="0" borderId="85" pivotButton="0" quotePrefix="0" xfId="0"/>
    <xf numFmtId="0" fontId="102" fillId="53" borderId="0" pivotButton="0" quotePrefix="0" xfId="0"/>
    <xf numFmtId="0" fontId="0" fillId="53" borderId="0" pivotButton="0" quotePrefix="0" xfId="0"/>
    <xf numFmtId="0" fontId="92" fillId="0" borderId="0" pivotButton="0" quotePrefix="0" xfId="0"/>
    <xf numFmtId="0" fontId="0" fillId="58" borderId="85" applyAlignment="1" pivotButton="0" quotePrefix="0" xfId="0">
      <alignment horizontal="center"/>
    </xf>
    <xf numFmtId="0" fontId="105" fillId="0" borderId="84" applyAlignment="1" pivotButton="0" quotePrefix="0" xfId="0">
      <alignment horizontal="left" vertical="center" indent="2"/>
    </xf>
    <xf numFmtId="0" fontId="92" fillId="56" borderId="84" applyAlignment="1" pivotButton="0" quotePrefix="0" xfId="0">
      <alignment horizontal="left" vertical="center" indent="2"/>
    </xf>
    <xf numFmtId="0" fontId="92" fillId="0" borderId="84" applyAlignment="1" pivotButton="0" quotePrefix="0" xfId="0">
      <alignment horizontal="center"/>
    </xf>
    <xf numFmtId="0" fontId="92" fillId="0" borderId="84" applyAlignment="1" pivotButton="0" quotePrefix="0" xfId="2">
      <alignment horizontal="center"/>
    </xf>
    <xf numFmtId="0" fontId="106" fillId="0" borderId="84" applyAlignment="1" pivotButton="0" quotePrefix="0" xfId="0">
      <alignment horizontal="left" vertical="center" indent="1"/>
    </xf>
    <xf numFmtId="0" fontId="106" fillId="0" borderId="84" applyAlignment="1" pivotButton="0" quotePrefix="0" xfId="0">
      <alignment horizontal="left" vertical="center" indent="2"/>
    </xf>
    <xf numFmtId="0" fontId="101" fillId="54" borderId="84" applyAlignment="1" pivotButton="0" quotePrefix="0" xfId="3">
      <alignment vertical="center"/>
    </xf>
    <xf numFmtId="0" fontId="106" fillId="0" borderId="84" applyAlignment="1" pivotButton="0" quotePrefix="0" xfId="0">
      <alignment vertical="center"/>
    </xf>
    <xf numFmtId="0" fontId="106" fillId="0" borderId="84" applyAlignment="1" pivotButton="0" quotePrefix="0" xfId="0">
      <alignment horizontal="left" vertical="center" indent="3"/>
    </xf>
    <xf numFmtId="0" fontId="92" fillId="0" borderId="84" applyAlignment="1" pivotButton="0" quotePrefix="0" xfId="0">
      <alignment horizontal="left" vertical="center" indent="3"/>
    </xf>
    <xf numFmtId="0" fontId="92" fillId="52" borderId="85" applyAlignment="1" pivotButton="0" quotePrefix="0" xfId="0">
      <alignment horizontal="center"/>
    </xf>
    <xf numFmtId="0" fontId="107" fillId="53" borderId="0" pivotButton="0" quotePrefix="0" xfId="0"/>
    <xf numFmtId="0" fontId="92" fillId="0" borderId="0" applyAlignment="1" pivotButton="0" quotePrefix="0" xfId="0">
      <alignment horizontal="center"/>
    </xf>
    <xf numFmtId="0" fontId="108" fillId="0" borderId="0" pivotButton="0" quotePrefix="0" xfId="0"/>
    <xf numFmtId="0" fontId="0" fillId="54" borderId="85" pivotButton="0" quotePrefix="0" xfId="0"/>
    <xf numFmtId="180" fontId="0" fillId="54" borderId="85" pivotButton="0" quotePrefix="0" xfId="0"/>
    <xf numFmtId="169" fontId="0" fillId="54" borderId="85" pivotButton="0" quotePrefix="0" xfId="0"/>
    <xf numFmtId="3" fontId="0" fillId="54" borderId="85" pivotButton="0" quotePrefix="0" xfId="0"/>
    <xf numFmtId="0" fontId="0" fillId="44" borderId="85" pivotButton="0" quotePrefix="0" xfId="0"/>
    <xf numFmtId="180" fontId="0" fillId="44" borderId="85" pivotButton="0" quotePrefix="0" xfId="0"/>
    <xf numFmtId="169" fontId="0" fillId="44" borderId="85" pivotButton="0" quotePrefix="0" xfId="0"/>
    <xf numFmtId="3" fontId="0" fillId="44" borderId="85" pivotButton="0" quotePrefix="0" xfId="0"/>
    <xf numFmtId="190" fontId="0" fillId="54" borderId="85" pivotButton="0" quotePrefix="0" xfId="0"/>
    <xf numFmtId="190" fontId="0" fillId="44" borderId="85" pivotButton="0" quotePrefix="0" xfId="0"/>
    <xf numFmtId="168" fontId="0" fillId="54" borderId="85" pivotButton="0" quotePrefix="0" xfId="0"/>
    <xf numFmtId="168" fontId="0" fillId="44" borderId="85" pivotButton="0" quotePrefix="0" xfId="0"/>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3">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
      <fill>
        <patternFill patternType="solid">
          <fgColor rgb="00FFFF00"/>
        </patternFill>
      </fill>
    </dxf>
    <dxf>
      <font>
        <color rgb="00FFFFFF"/>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externalLink" Target="/xl/externalLinks/externalLink1.xml" Id="rId29" /><Relationship Type="http://schemas.openxmlformats.org/officeDocument/2006/relationships/externalLink" Target="/xl/externalLinks/externalLink2.xml" Id="rId30" /><Relationship Type="http://schemas.openxmlformats.org/officeDocument/2006/relationships/externalLink" Target="/xl/externalLinks/externalLink3.xml" Id="rId31" /><Relationship Type="http://schemas.openxmlformats.org/officeDocument/2006/relationships/externalLink" Target="/xl/externalLinks/externalLink4.xml" Id="rId32" /><Relationship Type="http://schemas.openxmlformats.org/officeDocument/2006/relationships/externalLink" Target="/xl/externalLinks/externalLink5.xml" Id="rId33" /><Relationship Type="http://schemas.openxmlformats.org/officeDocument/2006/relationships/externalLink" Target="/xl/externalLinks/externalLink6.xml" Id="rId34" /><Relationship Type="http://schemas.openxmlformats.org/officeDocument/2006/relationships/externalLink" Target="/xl/externalLinks/externalLink7.xml" Id="rId35" /><Relationship Type="http://schemas.openxmlformats.org/officeDocument/2006/relationships/externalLink" Target="/xl/externalLinks/externalLink8.xml" Id="rId36" /><Relationship Type="http://schemas.openxmlformats.org/officeDocument/2006/relationships/externalLink" Target="/xl/externalLinks/externalLink9.xml" Id="rId37" /><Relationship Type="http://schemas.openxmlformats.org/officeDocument/2006/relationships/externalLink" Target="/xl/externalLinks/externalLink10.xml" Id="rId38" /><Relationship Type="http://schemas.openxmlformats.org/officeDocument/2006/relationships/externalLink" Target="/xl/externalLinks/externalLink11.xml" Id="rId39" /><Relationship Type="http://schemas.openxmlformats.org/officeDocument/2006/relationships/externalLink" Target="/xl/externalLinks/externalLink12.xml" Id="rId40" /><Relationship Type="http://schemas.openxmlformats.org/officeDocument/2006/relationships/externalLink" Target="/xl/externalLinks/externalLink13.xml" Id="rId41" /><Relationship Type="http://schemas.openxmlformats.org/officeDocument/2006/relationships/externalLink" Target="/xl/externalLinks/externalLink14.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N42"/>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5" customWidth="1" style="1449" min="3" max="3"/>
    <col width="15" customWidth="1" style="1449" min="4" max="4"/>
    <col width="15" customWidth="1" style="1449" min="5" max="5"/>
    <col width="15" customWidth="1" style="1449" min="6" max="6"/>
    <col width="15" bestFit="1" customWidth="1" style="1449" min="7" max="7"/>
    <col width="15" customWidth="1" style="1449" min="8" max="8"/>
    <col width="15" customWidth="1" style="1449" min="9" max="9"/>
    <col width="15" customWidth="1" style="1449" min="10" max="10"/>
    <col width="15" customWidth="1" style="1449" min="11" max="11"/>
    <col width="15" customWidth="1" style="1449" min="12" max="12"/>
    <col width="15" customWidth="1" style="1449" min="13" max="13"/>
    <col width="15" customWidth="1" style="1449" min="14" max="14"/>
  </cols>
  <sheetData>
    <row r="1">
      <c r="A1" s="2453" t="inlineStr">
        <is>
          <t>Field</t>
        </is>
      </c>
      <c r="B1" s="2454" t="inlineStr">
        <is>
          <t>Subject / Total</t>
        </is>
      </c>
      <c r="C1" s="2455">
        <f>IF($B$4&gt;=1,"Building 1","")</f>
        <v/>
      </c>
      <c r="D1" s="2455">
        <f>IF($B$4&gt;=2,"Building 2","")</f>
        <v/>
      </c>
      <c r="E1" s="2455">
        <f>IF($B$4&gt;=3,"Building 3","")</f>
        <v/>
      </c>
      <c r="F1" s="2455">
        <f>IF($B$4&gt;=4,"Building 4","")</f>
        <v/>
      </c>
      <c r="G1" s="2455">
        <f>IF($B$4&gt;=5,"Building 5","")</f>
        <v/>
      </c>
      <c r="H1" s="2455">
        <f>IF($B$4&gt;=6,"Building 6","")</f>
        <v/>
      </c>
      <c r="I1" s="2455">
        <f>IF($B$4&gt;=7,"Building 7","")</f>
        <v/>
      </c>
      <c r="J1" s="2455">
        <f>IF($B$4&gt;=8,"Building 8","")</f>
        <v/>
      </c>
      <c r="K1" s="2455">
        <f>IF($B$4&gt;=9,"Building 9","")</f>
        <v/>
      </c>
      <c r="L1" s="2455">
        <f>IF($B$4&gt;=10,"Building 10","")</f>
        <v/>
      </c>
      <c r="M1" s="2455">
        <f>IF($B$4&gt;=11,"Building 11","")</f>
        <v/>
      </c>
      <c r="N1" s="2454">
        <f>IF($B$4&gt;=12,"Building 12","")</f>
        <v/>
      </c>
    </row>
    <row r="2" ht="15.75" customHeight="1" s="1449" thickBot="1">
      <c r="A2" t="inlineStr">
        <is>
          <t>Account</t>
        </is>
      </c>
      <c r="B2" s="1136" t="n"/>
      <c r="C2" s="2456" t="n"/>
      <c r="D2" s="2456" t="n"/>
      <c r="E2" s="2457" t="n"/>
      <c r="F2" s="2457" t="n"/>
      <c r="G2" s="2458" t="n"/>
      <c r="H2" s="2456" t="n"/>
      <c r="I2" s="2456" t="n"/>
      <c r="J2" s="2456" t="n"/>
      <c r="K2" s="2456" t="n"/>
      <c r="L2" s="2456" t="n"/>
      <c r="M2" s="2456" t="n"/>
      <c r="N2" s="2459" t="n"/>
    </row>
    <row r="3">
      <c r="A3" t="inlineStr">
        <is>
          <t>Occ. Code</t>
        </is>
      </c>
      <c r="B3" s="1137" t="n"/>
      <c r="C3" s="1753" t="n"/>
      <c r="D3" s="1753" t="n"/>
      <c r="E3" s="1754" t="n"/>
      <c r="F3" s="1754" t="n"/>
      <c r="G3" s="1755" t="n"/>
      <c r="H3" s="1753" t="n"/>
      <c r="I3" s="1753" t="n"/>
      <c r="J3" s="1753" t="n"/>
      <c r="K3" s="1753" t="n"/>
      <c r="L3" s="1753" t="n"/>
      <c r="M3" s="1753" t="n"/>
    </row>
    <row r="4">
      <c r="A4" s="2460" t="inlineStr">
        <is>
          <t>Number of Buildings (auto — set in Multi-Building Setup below)</t>
        </is>
      </c>
      <c r="B4" s="151">
        <f>B33</f>
        <v/>
      </c>
      <c r="C4" s="1753" t="n"/>
      <c r="D4" s="1753" t="n"/>
      <c r="E4" s="1754" t="n"/>
      <c r="F4" s="1754" t="n"/>
      <c r="G4" s="1754" t="n"/>
      <c r="H4" s="1753" t="n"/>
      <c r="I4" s="1753" t="n"/>
      <c r="J4" s="1753" t="n"/>
      <c r="K4" s="1753" t="n"/>
      <c r="L4" s="1753" t="n"/>
      <c r="M4" s="1753" t="n"/>
    </row>
    <row r="5">
      <c r="A5" t="inlineStr">
        <is>
          <t>GBA</t>
        </is>
      </c>
      <c r="B5" s="2461">
        <f>SUM(C5:N5)</f>
        <v/>
      </c>
      <c r="C5" s="2462" t="n"/>
      <c r="D5" s="2462" t="n"/>
      <c r="E5" s="2463" t="n"/>
      <c r="F5" s="2463" t="n"/>
      <c r="G5" s="2463" t="n"/>
      <c r="H5" s="2462" t="n"/>
      <c r="I5" s="2462" t="n"/>
      <c r="J5" s="2462" t="n"/>
      <c r="K5" s="2462" t="n"/>
      <c r="L5" s="2462" t="n"/>
      <c r="M5" s="2462" t="n"/>
      <c r="N5" s="2464" t="n"/>
    </row>
    <row r="6">
      <c r="A6" t="inlineStr">
        <is>
          <t>Footprint</t>
        </is>
      </c>
      <c r="B6" s="2461">
        <f>SUM(C6:N6)</f>
        <v/>
      </c>
      <c r="C6" s="2462" t="n"/>
      <c r="D6" s="2462" t="n"/>
      <c r="E6" s="2463" t="n"/>
      <c r="F6" s="2463" t="n"/>
      <c r="G6" s="2463" t="n"/>
      <c r="H6" s="2462" t="n"/>
      <c r="I6" s="2462" t="n"/>
      <c r="J6" s="2462" t="n"/>
      <c r="K6" s="2462" t="n"/>
      <c r="L6" s="2462" t="n"/>
      <c r="M6" s="2462" t="n"/>
      <c r="N6" s="2464" t="n"/>
    </row>
    <row r="7">
      <c r="A7" t="inlineStr">
        <is>
          <t>NRA</t>
        </is>
      </c>
      <c r="B7" s="2461">
        <f>SUM(C7:N7)</f>
        <v/>
      </c>
      <c r="C7" s="2462" t="n"/>
      <c r="D7" s="2462" t="n"/>
      <c r="E7" s="2463" t="n"/>
      <c r="F7" s="2463" t="n"/>
      <c r="G7" s="2463" t="n"/>
      <c r="H7" s="2462" t="n"/>
      <c r="I7" s="2462" t="n"/>
      <c r="J7" s="2462" t="n"/>
      <c r="K7" s="2462" t="n"/>
      <c r="L7" s="2462" t="n"/>
      <c r="M7" s="2462" t="n"/>
      <c r="N7" s="2464"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2465">
        <f>IFERROR(INDEX(C9:N9,MATCH(MAX(C5:N5),C5:N5,0)),"")</f>
        <v/>
      </c>
      <c r="C9" s="2456" t="n"/>
      <c r="D9" s="2456" t="n"/>
      <c r="E9" s="2457" t="n"/>
      <c r="F9" s="2457" t="n"/>
      <c r="G9" s="2457" t="n"/>
      <c r="H9" s="2456" t="n"/>
      <c r="I9" s="2456" t="n"/>
      <c r="J9" s="2456" t="n"/>
      <c r="K9" s="2456" t="n"/>
      <c r="L9" s="2456" t="n"/>
      <c r="M9" s="2456" t="n"/>
      <c r="N9" s="2459" t="n"/>
    </row>
    <row r="10">
      <c r="A10" t="inlineStr">
        <is>
          <t>Condition</t>
        </is>
      </c>
      <c r="B10" s="2465">
        <f>IFERROR(INDEX(C10:N10,MATCH(MAX(C5:N5),C5:N5,0)),"")</f>
        <v/>
      </c>
      <c r="C10" s="2456" t="n"/>
      <c r="D10" s="2456" t="n"/>
      <c r="E10" s="2457" t="n"/>
      <c r="F10" s="2457" t="n"/>
      <c r="G10" s="2457" t="n"/>
      <c r="H10" s="2456" t="n"/>
      <c r="I10" s="2456" t="n"/>
      <c r="J10" s="2456" t="n"/>
      <c r="K10" s="2456" t="n"/>
      <c r="L10" s="2456" t="n"/>
      <c r="M10" s="2456" t="n"/>
      <c r="N10" s="2459" t="n"/>
    </row>
    <row r="11">
      <c r="A11" t="inlineStr">
        <is>
          <t>Year/Condition</t>
        </is>
      </c>
      <c r="B11" s="2466">
        <f>IF(B9="","",B9&amp;"/"&amp;B10)</f>
        <v/>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c r="C12" s="1753" t="n"/>
      <c r="D12" s="1753" t="n"/>
      <c r="E12" s="1754" t="n"/>
      <c r="F12" s="1754" t="n"/>
      <c r="G12" s="1754" t="n"/>
      <c r="H12" s="1753" t="n"/>
      <c r="I12" s="1753" t="n"/>
      <c r="J12" s="1753" t="n"/>
      <c r="K12" s="1753" t="n"/>
      <c r="L12" s="1753" t="n"/>
      <c r="M12" s="1753" t="n"/>
    </row>
    <row r="13">
      <c r="A13" t="inlineStr">
        <is>
          <t>Acres</t>
        </is>
      </c>
      <c r="B13" s="732">
        <f>B12/43560</f>
        <v/>
      </c>
      <c r="C13" s="1753" t="n"/>
      <c r="D13" s="1753" t="n"/>
      <c r="E13" s="1754" t="n"/>
      <c r="F13" s="1754" t="n"/>
      <c r="G13" s="1754" t="n"/>
      <c r="H13" s="1753" t="n"/>
      <c r="I13" s="1753" t="n"/>
      <c r="J13" s="1753" t="n"/>
      <c r="K13" s="1753" t="n"/>
      <c r="L13" s="1753" t="n"/>
      <c r="M13" s="1753" t="n"/>
    </row>
    <row r="14">
      <c r="A14" t="inlineStr">
        <is>
          <t>Coverage Ratio</t>
        </is>
      </c>
      <c r="B14" s="733">
        <f>B5/B12</f>
        <v/>
      </c>
      <c r="C14" s="1753" t="n"/>
      <c r="D14" s="1753" t="n"/>
      <c r="E14" s="1754" t="n"/>
      <c r="F14" s="1754" t="n"/>
      <c r="G14" s="1754" t="n"/>
      <c r="H14" s="1753" t="n"/>
      <c r="I14" s="1753" t="n"/>
      <c r="J14" s="1753" t="n"/>
      <c r="K14" s="1753" t="n"/>
      <c r="L14" s="1753" t="n"/>
      <c r="M14" s="1753" t="n"/>
    </row>
    <row r="15">
      <c r="A15" t="inlineStr">
        <is>
          <t>Office %</t>
        </is>
      </c>
      <c r="B15" s="2467">
        <f>IFERROR(SUMPRODUCT(C5:N5,C15:N15)/SUM(C5:N5),"")</f>
        <v/>
      </c>
      <c r="C15" s="2468" t="n"/>
      <c r="D15" s="2468" t="n"/>
      <c r="E15" s="2469" t="n"/>
      <c r="F15" s="2469" t="n"/>
      <c r="G15" s="2469" t="n"/>
      <c r="H15" s="2468" t="n"/>
      <c r="I15" s="2468" t="n"/>
      <c r="J15" s="2468" t="n"/>
      <c r="K15" s="2468" t="n"/>
      <c r="L15" s="2468" t="n"/>
      <c r="M15" s="2468" t="n"/>
      <c r="N15" s="2470" t="n"/>
    </row>
    <row r="16">
      <c r="A16" t="inlineStr">
        <is>
          <t>Type</t>
        </is>
      </c>
      <c r="B16" s="2465">
        <f>IFERROR(INDEX(C16:N16,MATCH(MAX(C5:N5),C5:N5,0)),"")</f>
        <v/>
      </c>
      <c r="C16" s="2456" t="n"/>
      <c r="D16" s="2456" t="n"/>
      <c r="E16" s="2457" t="n"/>
      <c r="F16" s="2457" t="n"/>
      <c r="G16" s="2457" t="n"/>
      <c r="H16" s="2456" t="n"/>
      <c r="I16" s="2456" t="n"/>
      <c r="J16" s="2456" t="n"/>
      <c r="K16" s="2456" t="n"/>
      <c r="L16" s="2456" t="n"/>
      <c r="M16" s="2456" t="n"/>
      <c r="N16" s="2459" t="n"/>
    </row>
    <row r="17">
      <c r="A17" t="inlineStr">
        <is>
          <t>Address</t>
        </is>
      </c>
      <c r="B17" s="1136" t="n"/>
      <c r="E17" s="1560" t="n"/>
      <c r="F17" s="1560" t="n"/>
      <c r="G17" s="1560" t="n"/>
    </row>
    <row r="18">
      <c r="A18" t="inlineStr">
        <is>
          <t>City</t>
        </is>
      </c>
      <c r="B18" s="1136" t="n"/>
      <c r="E18" s="1560" t="n"/>
      <c r="F18" s="1560" t="n"/>
      <c r="G18" s="1560" t="n"/>
    </row>
    <row r="19">
      <c r="A19" t="inlineStr">
        <is>
          <t>County</t>
        </is>
      </c>
      <c r="B19" s="465" t="inlineStr">
        <is>
          <t>Adams County</t>
        </is>
      </c>
      <c r="E19" s="1560" t="n"/>
      <c r="F19" s="1560" t="n"/>
      <c r="G19" s="1560" t="n"/>
    </row>
    <row r="20">
      <c r="A20" t="inlineStr">
        <is>
          <t>Assumed Occupancy</t>
        </is>
      </c>
      <c r="B20" s="1141" t="n"/>
      <c r="E20" s="1560" t="n"/>
      <c r="F20" s="1560" t="n"/>
      <c r="G20" s="1560" t="n"/>
    </row>
    <row r="21">
      <c r="A21" t="inlineStr">
        <is>
          <t>Assessor's Assigned Value</t>
        </is>
      </c>
      <c r="B21" s="1756" t="n"/>
      <c r="C21" s="1757" t="n"/>
      <c r="D21" s="1758" t="n"/>
      <c r="E21" s="1247" t="n"/>
      <c r="F21" s="1560" t="n"/>
      <c r="G21" s="1560" t="n"/>
    </row>
    <row r="22">
      <c r="A22" t="inlineStr">
        <is>
          <t>Petitioner's Value</t>
        </is>
      </c>
      <c r="B22" s="1756" t="n"/>
      <c r="C22" s="1757" t="n"/>
      <c r="E22" s="1560" t="n"/>
      <c r="F22" s="1560" t="n"/>
      <c r="G22" s="1560" t="n"/>
    </row>
    <row r="23">
      <c r="A23" t="inlineStr">
        <is>
          <t>Recent Sale Date</t>
        </is>
      </c>
      <c r="B23" s="1143" t="n"/>
      <c r="E23" s="1560" t="n"/>
      <c r="F23" s="1560" t="n"/>
      <c r="G23" s="1560" t="n"/>
    </row>
    <row r="24">
      <c r="A24" t="inlineStr">
        <is>
          <t>Recent Sale Price</t>
        </is>
      </c>
      <c r="B24" s="1756" t="n"/>
      <c r="C24" s="1757" t="n"/>
      <c r="E24" s="1560" t="n"/>
      <c r="F24" s="1560" t="n"/>
      <c r="G24" s="1560" t="n"/>
    </row>
    <row r="25">
      <c r="A25" t="inlineStr">
        <is>
          <t>Sale Type</t>
        </is>
      </c>
      <c r="B25" s="1136" t="n"/>
      <c r="E25" s="1560" t="n"/>
      <c r="F25" s="1560" t="n"/>
      <c r="G25" s="1560" t="n"/>
    </row>
    <row r="26">
      <c r="A26" t="inlineStr">
        <is>
          <t>Value Premise</t>
        </is>
      </c>
      <c r="B26" s="1759" t="inlineStr">
        <is>
          <t>Fee Simple</t>
        </is>
      </c>
      <c r="E26" s="1560" t="n"/>
      <c r="F26" s="1560" t="n"/>
      <c r="G26" s="1560" t="n"/>
    </row>
    <row r="27">
      <c r="A27" t="inlineStr">
        <is>
          <t>Date of Value</t>
        </is>
      </c>
      <c r="B27" s="1143" t="n"/>
    </row>
    <row r="28">
      <c r="A28" t="inlineStr">
        <is>
          <t>Report Date</t>
        </is>
      </c>
      <c r="B28" s="1143" t="n"/>
    </row>
    <row r="29">
      <c r="A29" t="inlineStr">
        <is>
          <t>Hearing Date</t>
        </is>
      </c>
      <c r="B29" s="1144" t="n"/>
    </row>
    <row r="30">
      <c r="A30" t="inlineStr">
        <is>
          <t>Zoning</t>
        </is>
      </c>
      <c r="B30" s="1140" t="n"/>
    </row>
    <row r="31">
      <c r="A31" t="inlineStr">
        <is>
          <t>Zoning Authority</t>
        </is>
      </c>
      <c r="B31" s="1140" t="inlineStr">
        <is>
          <t>Adams County</t>
        </is>
      </c>
    </row>
    <row r="32">
      <c r="A32" s="2471" t="inlineStr">
        <is>
          <t>MULTI-BUILDING SETUP</t>
        </is>
      </c>
      <c r="B32" s="2472" t="n"/>
      <c r="C32" s="2472" t="n"/>
      <c r="D32" s="2472" t="n"/>
      <c r="E32" s="2472" t="n"/>
      <c r="F32" s="2472" t="n"/>
      <c r="G32" s="2472" t="n"/>
      <c r="H32" s="2472" t="n"/>
      <c r="I32" s="2472" t="n"/>
      <c r="J32" s="2472" t="n"/>
      <c r="K32" s="2472" t="n"/>
      <c r="L32" s="2472" t="n"/>
      <c r="M32" s="2472" t="n"/>
      <c r="N32" s="2472" t="n"/>
    </row>
    <row r="33">
      <c r="A33" s="2473" t="inlineStr">
        <is>
          <t>Number of Buildings</t>
        </is>
      </c>
      <c r="B33" s="2474" t="n">
        <v>1</v>
      </c>
      <c r="C33" s="2460" t="inlineStr">
        <is>
          <t>Enter the count here, then fill one column per building to the right (Building 1 = column C). Columns highlight as you raise the count.</t>
        </is>
      </c>
    </row>
    <row r="35">
      <c r="A35" t="inlineStr">
        <is>
          <t>Occupancy Type (MVS)</t>
        </is>
      </c>
      <c r="C35" s="2459" t="inlineStr">
        <is>
          <t>Storage Warehouses</t>
        </is>
      </c>
      <c r="D35" s="2459" t="n"/>
      <c r="E35" s="2459" t="n"/>
      <c r="F35" s="2459" t="n"/>
      <c r="G35" s="2459" t="n"/>
      <c r="H35" s="2459" t="n"/>
      <c r="I35" s="2459" t="n"/>
      <c r="J35" s="2459" t="n"/>
      <c r="K35" s="2459" t="n"/>
      <c r="L35" s="2459" t="n"/>
      <c r="M35" s="2459" t="n"/>
      <c r="N35" s="2459" t="n"/>
    </row>
    <row r="36">
      <c r="A36" t="inlineStr">
        <is>
          <t>Building Class</t>
        </is>
      </c>
      <c r="C36" s="2459" t="inlineStr">
        <is>
          <t>C</t>
        </is>
      </c>
      <c r="D36" s="2459" t="n"/>
      <c r="E36" s="2459" t="n"/>
      <c r="F36" s="2459" t="n"/>
      <c r="G36" s="2459" t="n"/>
      <c r="H36" s="2459" t="n"/>
      <c r="I36" s="2459" t="n"/>
      <c r="J36" s="2459" t="n"/>
      <c r="K36" s="2459" t="n"/>
      <c r="L36" s="2459" t="n"/>
      <c r="M36" s="2459" t="n"/>
      <c r="N36" s="2459" t="n"/>
    </row>
    <row r="37">
      <c r="A37" t="inlineStr">
        <is>
          <t>Quality</t>
        </is>
      </c>
      <c r="C37" s="2459" t="inlineStr">
        <is>
          <t>Average</t>
        </is>
      </c>
      <c r="D37" s="2459" t="n"/>
      <c r="E37" s="2459" t="n"/>
      <c r="F37" s="2459" t="n"/>
      <c r="G37" s="2459" t="n"/>
      <c r="H37" s="2459" t="n"/>
      <c r="I37" s="2459" t="n"/>
      <c r="J37" s="2459" t="n"/>
      <c r="K37" s="2459" t="n"/>
      <c r="L37" s="2459" t="n"/>
      <c r="M37" s="2459" t="n"/>
      <c r="N37" s="2459" t="n"/>
    </row>
    <row r="38">
      <c r="A38" t="inlineStr">
        <is>
          <t>Avg Eave / Wall Height (ft)</t>
        </is>
      </c>
      <c r="C38" s="2459" t="n">
        <v>18</v>
      </c>
      <c r="D38" s="2459" t="n"/>
      <c r="E38" s="2459" t="n"/>
      <c r="F38" s="2459" t="n"/>
      <c r="G38" s="2459" t="n"/>
      <c r="H38" s="2459" t="n"/>
      <c r="I38" s="2459" t="n"/>
      <c r="J38" s="2459" t="n"/>
      <c r="K38" s="2459" t="n"/>
      <c r="L38" s="2459" t="n"/>
      <c r="M38" s="2459" t="n"/>
      <c r="N38" s="2459" t="n"/>
    </row>
    <row r="39">
      <c r="A39" t="inlineStr">
        <is>
          <t>Area/Perimeter Factor 1</t>
        </is>
      </c>
      <c r="C39" s="2459" t="n">
        <v>1</v>
      </c>
      <c r="D39" s="2459" t="n"/>
      <c r="E39" s="2459" t="n"/>
      <c r="F39" s="2459" t="n"/>
      <c r="G39" s="2459" t="n"/>
      <c r="H39" s="2459" t="n"/>
      <c r="I39" s="2459" t="n"/>
      <c r="J39" s="2459" t="n"/>
      <c r="K39" s="2459" t="n"/>
      <c r="L39" s="2459" t="n"/>
      <c r="M39" s="2459" t="n"/>
      <c r="N39" s="2459" t="n"/>
    </row>
    <row r="40">
      <c r="A40" t="inlineStr">
        <is>
          <t>Area/Perimeter Factor 2</t>
        </is>
      </c>
      <c r="C40" s="2459" t="n">
        <v>1</v>
      </c>
      <c r="D40" s="2459" t="n"/>
      <c r="E40" s="2459" t="n"/>
      <c r="F40" s="2459" t="n"/>
      <c r="G40" s="2459" t="n"/>
      <c r="H40" s="2459" t="n"/>
      <c r="I40" s="2459" t="n"/>
      <c r="J40" s="2459" t="n"/>
      <c r="K40" s="2459" t="n"/>
      <c r="L40" s="2459" t="n"/>
      <c r="M40" s="2459" t="n"/>
      <c r="N40" s="2459" t="n"/>
    </row>
    <row r="41">
      <c r="A41" t="inlineStr">
        <is>
          <t>Sprinkler Tier</t>
        </is>
      </c>
      <c r="C41" s="2459" t="inlineStr">
        <is>
          <t>Average</t>
        </is>
      </c>
      <c r="D41" s="2459" t="n"/>
      <c r="E41" s="2459" t="n"/>
      <c r="F41" s="2459" t="n"/>
      <c r="G41" s="2459" t="n"/>
      <c r="H41" s="2459" t="n"/>
      <c r="I41" s="2459" t="n"/>
      <c r="J41" s="2459" t="n"/>
      <c r="K41" s="2459" t="n"/>
      <c r="L41" s="2459" t="n"/>
      <c r="M41" s="2459" t="n"/>
      <c r="N41" s="2459" t="n"/>
    </row>
    <row r="42">
      <c r="A42" t="inlineStr">
        <is>
          <t>Effective Age (yrs)</t>
        </is>
      </c>
      <c r="C42" s="2459" t="n">
        <v>0</v>
      </c>
      <c r="D42" s="2459" t="n"/>
      <c r="E42" s="2459" t="n"/>
      <c r="F42" s="2459" t="n"/>
      <c r="G42" s="2459" t="n"/>
      <c r="H42" s="2459" t="n"/>
      <c r="I42" s="2459" t="n"/>
      <c r="J42" s="2459" t="n"/>
      <c r="K42" s="2459" t="n"/>
      <c r="L42" s="2459" t="n"/>
      <c r="M42" s="2459" t="n"/>
      <c r="N42" s="2459" t="n"/>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conditionalFormatting sqref="C2 C5 C6 C7 C9 C10 C15 C16 C35 C36 C37 C38 C39 C40 C41 C42">
    <cfRule type="expression" priority="12" dxfId="11" stopIfTrue="0">
      <formula>$B$4&gt;=1</formula>
    </cfRule>
  </conditionalFormatting>
  <conditionalFormatting sqref="C1 C2 C5 C6 C7 C9 C10 C15 C16 C35 C36 C37 C38 C39 C40 C41 C42">
    <cfRule type="expression" priority="13" dxfId="12" stopIfTrue="0">
      <formula>LEN($C$1)=0</formula>
    </cfRule>
  </conditionalFormatting>
  <conditionalFormatting sqref="D2 D5 D6 D7 D9 D10 D15 D16 D35 D36 D37 D38 D39 D40 D41 D42">
    <cfRule type="expression" priority="14" dxfId="11" stopIfTrue="0">
      <formula>$B$4&gt;=2</formula>
    </cfRule>
  </conditionalFormatting>
  <conditionalFormatting sqref="D1 D2 D5 D6 D7 D9 D10 D15 D16 D35 D36 D37 D38 D39 D40 D41 D42">
    <cfRule type="expression" priority="15" dxfId="12" stopIfTrue="0">
      <formula>LEN($D$1)=0</formula>
    </cfRule>
  </conditionalFormatting>
  <conditionalFormatting sqref="E2 E5 E6 E7 E9 E10 E15 E16 E35 E36 E37 E38 E39 E40 E41 E42">
    <cfRule type="expression" priority="16" dxfId="11" stopIfTrue="0">
      <formula>$B$4&gt;=3</formula>
    </cfRule>
  </conditionalFormatting>
  <conditionalFormatting sqref="E1 E2 E5 E6 E7 E9 E10 E15 E16 E35 E36 E37 E38 E39 E40 E41 E42">
    <cfRule type="expression" priority="17" dxfId="12" stopIfTrue="0">
      <formula>LEN($E$1)=0</formula>
    </cfRule>
  </conditionalFormatting>
  <conditionalFormatting sqref="F2 F5 F6 F7 F9 F10 F15 F16 F35 F36 F37 F38 F39 F40 F41 F42">
    <cfRule type="expression" priority="18" dxfId="11" stopIfTrue="0">
      <formula>$B$4&gt;=4</formula>
    </cfRule>
  </conditionalFormatting>
  <conditionalFormatting sqref="F1 F2 F5 F6 F7 F9 F10 F15 F16 F35 F36 F37 F38 F39 F40 F41 F42">
    <cfRule type="expression" priority="19" dxfId="12" stopIfTrue="0">
      <formula>LEN($F$1)=0</formula>
    </cfRule>
  </conditionalFormatting>
  <conditionalFormatting sqref="G2 G5 G6 G7 G9 G10 G15 G16 G35 G36 G37 G38 G39 G40 G41 G42">
    <cfRule type="expression" priority="20" dxfId="11" stopIfTrue="0">
      <formula>$B$4&gt;=5</formula>
    </cfRule>
  </conditionalFormatting>
  <conditionalFormatting sqref="G1 G2 G5 G6 G7 G9 G10 G15 G16 G35 G36 G37 G38 G39 G40 G41 G42">
    <cfRule type="expression" priority="21" dxfId="12" stopIfTrue="0">
      <formula>LEN($G$1)=0</formula>
    </cfRule>
  </conditionalFormatting>
  <conditionalFormatting sqref="H2 H5 H6 H7 H9 H10 H15 H16 H35 H36 H37 H38 H39 H40 H41 H42">
    <cfRule type="expression" priority="22" dxfId="11" stopIfTrue="0">
      <formula>$B$4&gt;=6</formula>
    </cfRule>
  </conditionalFormatting>
  <conditionalFormatting sqref="H1 H2 H5 H6 H7 H9 H10 H15 H16 H35 H36 H37 H38 H39 H40 H41 H42">
    <cfRule type="expression" priority="23" dxfId="12" stopIfTrue="0">
      <formula>LEN($H$1)=0</formula>
    </cfRule>
  </conditionalFormatting>
  <conditionalFormatting sqref="I2 I5 I6 I7 I9 I10 I15 I16 I35 I36 I37 I38 I39 I40 I41 I42">
    <cfRule type="expression" priority="24" dxfId="11" stopIfTrue="0">
      <formula>$B$4&gt;=7</formula>
    </cfRule>
  </conditionalFormatting>
  <conditionalFormatting sqref="I1 I2 I5 I6 I7 I9 I10 I15 I16 I35 I36 I37 I38 I39 I40 I41 I42">
    <cfRule type="expression" priority="25" dxfId="12" stopIfTrue="0">
      <formula>LEN($I$1)=0</formula>
    </cfRule>
  </conditionalFormatting>
  <conditionalFormatting sqref="J2 J5 J6 J7 J9 J10 J15 J16 J35 J36 J37 J38 J39 J40 J41 J42">
    <cfRule type="expression" priority="26" dxfId="11" stopIfTrue="0">
      <formula>$B$4&gt;=8</formula>
    </cfRule>
  </conditionalFormatting>
  <conditionalFormatting sqref="J1 J2 J5 J6 J7 J9 J10 J15 J16 J35 J36 J37 J38 J39 J40 J41 J42">
    <cfRule type="expression" priority="27" dxfId="12" stopIfTrue="0">
      <formula>LEN($J$1)=0</formula>
    </cfRule>
  </conditionalFormatting>
  <conditionalFormatting sqref="K2 K5 K6 K7 K9 K10 K15 K16 K35 K36 K37 K38 K39 K40 K41 K42">
    <cfRule type="expression" priority="28" dxfId="11" stopIfTrue="0">
      <formula>$B$4&gt;=9</formula>
    </cfRule>
  </conditionalFormatting>
  <conditionalFormatting sqref="K1 K2 K5 K6 K7 K9 K10 K15 K16 K35 K36 K37 K38 K39 K40 K41 K42">
    <cfRule type="expression" priority="29" dxfId="12" stopIfTrue="0">
      <formula>LEN($K$1)=0</formula>
    </cfRule>
  </conditionalFormatting>
  <conditionalFormatting sqref="L2 L5 L6 L7 L9 L10 L15 L16 L35 L36 L37 L38 L39 L40 L41 L42">
    <cfRule type="expression" priority="30" dxfId="11" stopIfTrue="0">
      <formula>$B$4&gt;=10</formula>
    </cfRule>
  </conditionalFormatting>
  <conditionalFormatting sqref="L1 L2 L5 L6 L7 L9 L10 L15 L16 L35 L36 L37 L38 L39 L40 L41 L42">
    <cfRule type="expression" priority="31" dxfId="12" stopIfTrue="0">
      <formula>LEN($L$1)=0</formula>
    </cfRule>
  </conditionalFormatting>
  <conditionalFormatting sqref="M2 M5 M6 M7 M9 M10 M15 M16 M35 M36 M37 M38 M39 M40 M41 M42">
    <cfRule type="expression" priority="32" dxfId="11" stopIfTrue="0">
      <formula>$B$4&gt;=11</formula>
    </cfRule>
  </conditionalFormatting>
  <conditionalFormatting sqref="M1 M2 M5 M6 M7 M9 M10 M15 M16 M35 M36 M37 M38 M39 M40 M41 M42">
    <cfRule type="expression" priority="33" dxfId="12" stopIfTrue="0">
      <formula>LEN($M$1)=0</formula>
    </cfRule>
  </conditionalFormatting>
  <conditionalFormatting sqref="N2 N5 N6 N7 N9 N10 N15 N16 N35 N36 N37 N38 N39 N40 N41 N42">
    <cfRule type="expression" priority="34" dxfId="11" stopIfTrue="0">
      <formula>$B$4&gt;=12</formula>
    </cfRule>
  </conditionalFormatting>
  <conditionalFormatting sqref="N1 N2 N5 N6 N7 N9 N10 N15 N16 N35 N36 N37 N38 N39 N40 N41 N42">
    <cfRule type="expression" priority="35" dxfId="12" stopIfTrue="0">
      <formula>LEN($N$1)=0</formula>
    </cfRule>
  </conditionalFormatting>
  <dataValidations count="7">
    <dataValidation sqref="B7" showDropDown="0" showInputMessage="1" showErrorMessage="1" allowBlank="1" type="list">
      <formula1>$E$7:$E$9</formula1>
    </dataValidation>
    <dataValidation sqref="C35:N35" showDropDown="0" showInputMessage="0" showErrorMessage="0" allowBlank="1" type="list">
      <formula1>=OCC_NAME</formula1>
    </dataValidation>
    <dataValidation sqref="C36:N36" showDropDown="0" showInputMessage="0" showErrorMessage="0" allowBlank="1" type="list">
      <formula1>"A,B,C,CMILL,D,DPOLE,S,A-B"</formula1>
    </dataValidation>
    <dataValidation sqref="C37:N37" showDropDown="0" showInputMessage="0" showErrorMessage="0" allowBlank="1" type="list">
      <formula1>"Low Cost,Average,Good,Excellent,Cheap"</formula1>
    </dataValidation>
    <dataValidation sqref="C41:N41" showDropDown="0" showInputMessage="0" showErrorMessage="0" allowBlank="1" type="list">
      <formula1>"Low Cost,Average,Good,Excellent,Cheap"</formula1>
    </dataValidation>
    <dataValidation sqref="C10:N10" showDropDown="0" showInputMessage="0" showErrorMessage="0" allowBlank="1" type="list">
      <formula1>"Excellent,Good,Average,Fair,Poor"</formula1>
    </dataValidation>
    <dataValidation sqref="B33" showDropDown="0" showInputMessage="0" showErrorMessage="0" allowBlank="0" type="whole" operator="between">
      <formula1>1</formula1>
      <formula2>12</formula2>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Info'!B2</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Info'!B17</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Info'!B19</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Info'!B18</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Info'!B27</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Info'!B28</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Info'!B29</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Info'!B16</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Info'!B8</f>
        <v/>
      </c>
      <c r="C14" s="1157">
        <f>IF(B14="GBA", 'Property Info'!B5,IF(B14="NRA",'Property Info'!B7,'Property Info'!B5))</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Info'!B4</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Info'!B11</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f>'Property Info'!B10</f>
        <v/>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Info'!B12</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Info'!B26</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Info'!B20</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n"/>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n"/>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Info'!B28</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n"/>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n"/>
    </row>
    <row r="97">
      <c r="N97" s="1454" t="n"/>
      <c r="O97" s="1454" t="n"/>
      <c r="P97" s="1454" t="n"/>
      <c r="Q97" s="1454" t="n"/>
      <c r="R97" s="1454" t="n"/>
      <c r="S97" s="1454" t="n"/>
      <c r="T97" s="808" t="inlineStr">
        <is>
          <t>Address</t>
        </is>
      </c>
      <c r="U97" s="1452">
        <f>'Property Info'!B17</f>
        <v/>
      </c>
    </row>
    <row r="98">
      <c r="N98" s="1454" t="n"/>
      <c r="O98" s="1454" t="n"/>
      <c r="P98" s="1454" t="n"/>
      <c r="Q98" s="1454" t="n"/>
      <c r="R98" s="1454" t="n"/>
      <c r="S98" s="1454" t="n"/>
      <c r="T98" s="808" t="n"/>
      <c r="U98" s="1452">
        <f>'Property Info'!B18</f>
        <v/>
      </c>
    </row>
    <row r="99" ht="30.75" customHeight="1" s="1449">
      <c r="N99" s="1454" t="n"/>
      <c r="O99" s="1454" t="n"/>
      <c r="P99" s="1454" t="n"/>
      <c r="Q99" s="1454" t="n"/>
      <c r="R99" s="1454" t="n"/>
      <c r="S99" s="1454" t="n"/>
      <c r="T99" s="808" t="inlineStr">
        <is>
          <t>Location</t>
        </is>
      </c>
      <c r="U99" s="1455" t="n"/>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Info'!B19</f>
        <v/>
      </c>
    </row>
    <row r="103">
      <c r="N103" s="1454" t="n"/>
      <c r="O103" s="1454" t="n"/>
      <c r="P103" s="1454" t="n"/>
      <c r="Q103" s="1454" t="n"/>
      <c r="R103" s="1454" t="n"/>
      <c r="S103" s="1454" t="n"/>
      <c r="T103" s="808" t="inlineStr">
        <is>
          <t>Account Number(s)</t>
        </is>
      </c>
      <c r="U103" s="1468">
        <f>'Property Info'!B2</f>
        <v/>
      </c>
    </row>
    <row r="104" ht="49.5" customHeight="1" s="1449">
      <c r="N104" s="1454" t="n"/>
      <c r="O104" s="1454" t="n"/>
      <c r="P104" s="1454" t="n"/>
      <c r="Q104" s="1454" t="n"/>
      <c r="R104" s="1479" t="n"/>
      <c r="S104" s="1479" t="n"/>
      <c r="T104" s="1148" t="inlineStr">
        <is>
          <t>Note:</t>
        </is>
      </c>
      <c r="U104" s="1478" t="n"/>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n"/>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Info'!B12</f>
        <v/>
      </c>
      <c r="V108" s="1769">
        <f>U108/43560</f>
        <v/>
      </c>
      <c r="W108" s="1148" t="n"/>
      <c r="X108" s="1148" t="n"/>
    </row>
    <row r="109">
      <c r="N109" s="1454" t="n"/>
      <c r="O109" s="1454" t="n"/>
      <c r="P109" s="1454" t="n"/>
      <c r="Q109" s="1454" t="n"/>
      <c r="R109" s="1454" t="n"/>
      <c r="S109" s="1454" t="n"/>
      <c r="T109" s="1209" t="inlineStr">
        <is>
          <t>Excess Land</t>
        </is>
      </c>
      <c r="U109" s="1768" t="n"/>
      <c r="V109" s="1769">
        <f>U109/43560</f>
        <v/>
      </c>
      <c r="W109" s="1148" t="n"/>
      <c r="X109" s="1148" t="n"/>
    </row>
    <row r="110">
      <c r="N110" s="1454" t="n"/>
      <c r="O110" s="1454" t="n"/>
      <c r="P110" s="1454" t="n"/>
      <c r="Q110" s="1454" t="n"/>
      <c r="R110" s="1454" t="n"/>
      <c r="S110" s="1454" t="n"/>
      <c r="T110" s="1209" t="inlineStr">
        <is>
          <t>Surplus Land</t>
        </is>
      </c>
      <c r="U110" s="1768" t="n"/>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Info'!B30</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Info'!B9</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n"/>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Info'!B4</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Info'!B5</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Info'!B7</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row>
    <row r="127">
      <c r="N127" s="1454" t="n"/>
      <c r="O127" s="1454" t="n"/>
      <c r="P127" s="1454" t="n"/>
      <c r="Q127" s="1454" t="n"/>
      <c r="R127" s="1479" t="n"/>
      <c r="S127" s="1479" t="n"/>
      <c r="T127" s="826" t="inlineStr">
        <is>
          <t>Total Number of Tenants</t>
        </is>
      </c>
      <c r="U127" s="1455" t="n"/>
    </row>
    <row r="128">
      <c r="N128" s="1454" t="n"/>
      <c r="O128" s="1454" t="n"/>
      <c r="P128" s="1454" t="n"/>
      <c r="Q128" s="1454" t="n"/>
      <c r="R128" s="1454" t="n"/>
      <c r="S128" s="1454" t="n"/>
      <c r="T128" s="826" t="inlineStr">
        <is>
          <t>Assumed Occupancy</t>
        </is>
      </c>
      <c r="U128" s="1491">
        <f>'Property Info'!B20</f>
        <v/>
      </c>
    </row>
    <row r="129">
      <c r="N129" s="1454" t="n"/>
      <c r="O129" s="1454" t="n"/>
      <c r="P129" s="1454" t="n"/>
      <c r="Q129" s="1454" t="n"/>
      <c r="R129" s="1454" t="n"/>
      <c r="S129" s="1454" t="n"/>
      <c r="T129" s="826" t="inlineStr">
        <is>
          <t>Overall Condition</t>
        </is>
      </c>
      <c r="U129" s="1452">
        <f>'Property Info'!B10</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n"/>
    </row>
    <row r="135">
      <c r="Y135" s="1190" t="n"/>
      <c r="Z135" s="1191" t="inlineStr">
        <is>
          <t>Land</t>
        </is>
      </c>
      <c r="AA135" s="1191" t="inlineStr">
        <is>
          <t>Improvements</t>
        </is>
      </c>
      <c r="AB135" s="1191" t="inlineStr">
        <is>
          <t>Total</t>
        </is>
      </c>
    </row>
    <row r="136">
      <c r="Y136" s="824" t="inlineStr">
        <is>
          <t>Assessor's Assigned Value</t>
        </is>
      </c>
      <c r="Z136" s="1773" t="n"/>
      <c r="AA136" s="1774" t="n"/>
      <c r="AB136" s="1774">
        <f>SUM(Z136:AA136)</f>
        <v/>
      </c>
    </row>
    <row r="137">
      <c r="Y137" s="824" t="inlineStr">
        <is>
          <t>Petitioners Estimated Value</t>
        </is>
      </c>
      <c r="Z137" s="1773" t="n"/>
      <c r="AA137" s="1774" t="n"/>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n"/>
      <c r="D7" s="1494" t="n"/>
      <c r="E7" s="1495" t="n"/>
      <c r="F7" t="inlineStr">
        <is>
          <t>←Change this</t>
        </is>
      </c>
    </row>
    <row r="8">
      <c r="B8" s="1496" t="inlineStr">
        <is>
          <t>Vacancy - CoStar - Industrial 20,000 SF-50,000 SF</t>
        </is>
      </c>
      <c r="D8" s="1500" t="n"/>
      <c r="E8" s="1501" t="n"/>
      <c r="F8" t="inlineStr">
        <is>
          <t>←From Income</t>
        </is>
      </c>
    </row>
    <row r="9">
      <c r="B9" s="889" t="n"/>
      <c r="C9" s="1073" t="n"/>
      <c r="D9" s="1494">
        <f>D7</f>
        <v/>
      </c>
      <c r="E9" s="1495" t="n"/>
      <c r="F9" t="inlineStr">
        <is>
          <t>←Change This</t>
        </is>
      </c>
    </row>
    <row r="10">
      <c r="B10" s="1498" t="inlineStr">
        <is>
          <t>Vacancy - CoStar - Industrial 20,000 SF-50,000 SF</t>
        </is>
      </c>
      <c r="C10" s="1464" t="n"/>
      <c r="D10" s="1503" t="n"/>
      <c r="E10" s="1504" t="n"/>
      <c r="F10" t="inlineStr">
        <is>
          <t>←From Income</t>
        </is>
      </c>
    </row>
    <row r="11">
      <c r="F11" s="1493" t="inlineStr">
        <is>
          <t>NEIGHBORHOOD DATA</t>
        </is>
      </c>
    </row>
    <row r="12" ht="173.25" customHeight="1" s="1449">
      <c r="F12" s="896" t="inlineStr">
        <is>
          <t>Market Area Comments</t>
        </is>
      </c>
      <c r="G12" s="1458" t="n"/>
    </row>
    <row r="13">
      <c r="F13" s="1502" t="inlineStr">
        <is>
          <t>Surrounding Uses</t>
        </is>
      </c>
      <c r="G13" s="1051" t="n"/>
      <c r="H13" s="1496" t="inlineStr">
        <is>
          <t>Industrial Lots</t>
        </is>
      </c>
    </row>
    <row r="14">
      <c r="G14" s="1051" t="n"/>
      <c r="H14" s="1496" t="inlineStr">
        <is>
          <t>Light Industrial</t>
        </is>
      </c>
    </row>
    <row r="15">
      <c r="G15" s="1051" t="n"/>
      <c r="H15" s="1496" t="inlineStr">
        <is>
          <t xml:space="preserve">Industrial Storage Lot </t>
        </is>
      </c>
    </row>
    <row r="16">
      <c r="F16" s="1464" t="n"/>
      <c r="G16" s="1052" t="n"/>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J20" s="601" t="n"/>
      <c r="K20" s="1794" t="n"/>
      <c r="L20" s="603" t="n"/>
      <c r="N20" s="601" t="n"/>
      <c r="O20" s="1794" t="n"/>
      <c r="P20" s="603" t="n"/>
    </row>
    <row r="21">
      <c r="J21" s="601" t="n"/>
      <c r="K21" s="1794" t="n"/>
      <c r="L21" s="1795" t="n"/>
      <c r="N21" s="601" t="n"/>
      <c r="O21" s="1794" t="n"/>
      <c r="P21" s="1795" t="n"/>
    </row>
    <row r="22">
      <c r="J22" s="601" t="n"/>
      <c r="K22" s="1794" t="n"/>
      <c r="L22" s="1795" t="n"/>
      <c r="N22" s="601" t="n"/>
      <c r="O22" s="1794" t="n"/>
      <c r="P22" s="1795" t="n"/>
    </row>
    <row r="23">
      <c r="J23" s="601" t="n"/>
      <c r="K23" s="1794" t="n"/>
      <c r="L23" s="1795" t="n"/>
      <c r="N23" s="601" t="n"/>
      <c r="O23" s="1794" t="n"/>
      <c r="P23" s="1795" t="n"/>
    </row>
    <row r="24">
      <c r="J24" s="601" t="n"/>
      <c r="K24" s="1794" t="n"/>
      <c r="L24" s="1795" t="n"/>
      <c r="N24" s="601" t="n"/>
      <c r="O24" s="1794" t="n"/>
      <c r="P24" s="1795" t="n"/>
    </row>
    <row r="25">
      <c r="J25" s="601" t="n"/>
      <c r="K25" s="1794" t="n"/>
      <c r="L25" s="1795" t="n"/>
      <c r="N25" s="601" t="n"/>
      <c r="O25" s="1794" t="n"/>
      <c r="P25" s="1795" t="n"/>
    </row>
    <row r="26">
      <c r="J26" s="601" t="n"/>
      <c r="K26" s="1794" t="n"/>
      <c r="L26" s="1795" t="n"/>
      <c r="N26" s="601" t="n"/>
      <c r="O26" s="1794" t="n"/>
      <c r="P26" s="1795" t="n"/>
    </row>
    <row r="27">
      <c r="J27" s="601" t="n"/>
      <c r="K27" s="1794" t="n"/>
      <c r="L27" s="1795" t="n"/>
      <c r="N27" s="601" t="n"/>
      <c r="O27" s="1794" t="n"/>
      <c r="P27" s="1795" t="n"/>
    </row>
    <row r="28">
      <c r="J28" s="601" t="n"/>
      <c r="K28" s="1794" t="n"/>
      <c r="L28" s="1795" t="n"/>
      <c r="N28" s="601" t="n"/>
      <c r="O28" s="1794" t="n"/>
      <c r="P28" s="1795" t="n"/>
    </row>
    <row r="29">
      <c r="J29" s="601" t="n"/>
      <c r="K29" s="1794" t="n"/>
      <c r="L29" s="1795" t="n"/>
      <c r="N29" s="601" t="n"/>
      <c r="O29" s="1794" t="n"/>
      <c r="P29" s="1795" t="n"/>
    </row>
    <row r="30">
      <c r="J30" s="601" t="n"/>
      <c r="K30" s="1794" t="n"/>
      <c r="L30" s="1795" t="n"/>
      <c r="N30" s="601" t="n"/>
      <c r="O30" s="1794" t="n"/>
      <c r="P30" s="1795" t="n"/>
    </row>
    <row r="31">
      <c r="J31" s="601" t="n"/>
      <c r="K31" s="1794" t="n"/>
      <c r="L31" s="1795" t="n"/>
      <c r="N31" s="601" t="n"/>
      <c r="O31" s="1794" t="n"/>
      <c r="P31" s="1795" t="n"/>
    </row>
    <row r="32">
      <c r="J32" s="601" t="n"/>
      <c r="K32" s="1794" t="n"/>
      <c r="L32" s="1795" t="n"/>
      <c r="N32" s="601" t="n"/>
      <c r="O32" s="1794" t="n"/>
      <c r="P32" s="1795" t="n"/>
    </row>
    <row r="33">
      <c r="J33" s="601" t="n"/>
      <c r="K33" s="1794" t="n"/>
      <c r="L33" s="1795" t="n"/>
      <c r="N33" s="601" t="n"/>
      <c r="O33" s="1794" t="n"/>
      <c r="P33" s="1795" t="n"/>
    </row>
    <row r="34">
      <c r="J34" s="601" t="n"/>
      <c r="K34" s="1794" t="n"/>
      <c r="L34" s="1795" t="n"/>
      <c r="N34" s="601" t="n"/>
      <c r="O34" s="1794" t="n"/>
      <c r="P34" s="1795" t="n"/>
    </row>
    <row r="35">
      <c r="J35" s="601" t="n"/>
      <c r="K35" s="1794" t="n"/>
      <c r="L35" s="1795" t="n"/>
      <c r="N35" s="601" t="n"/>
      <c r="O35" s="1794" t="n"/>
      <c r="P35" s="1795" t="n"/>
    </row>
    <row r="36">
      <c r="J36" s="832" t="n"/>
      <c r="K36" s="1796" t="n"/>
      <c r="L36" s="1797" t="n"/>
      <c r="N36" s="601" t="n"/>
      <c r="O36" s="1794" t="n"/>
      <c r="P36" s="1795" t="n"/>
    </row>
    <row r="37">
      <c r="J37" s="605" t="n"/>
      <c r="K37" s="1798" t="n"/>
      <c r="L37" s="1799" t="n"/>
      <c r="N37" s="605" t="n"/>
      <c r="O37" s="1798" t="n"/>
      <c r="P37" s="1799" t="n"/>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n"/>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n"/>
      <c r="E17" s="1804" t="n"/>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n"/>
    </row>
    <row r="25">
      <c r="B25" s="809" t="inlineStr">
        <is>
          <t>Hazards Nuisances</t>
        </is>
      </c>
      <c r="C25" s="1505" t="inlineStr">
        <is>
          <t>None noted</t>
        </is>
      </c>
    </row>
    <row r="26">
      <c r="B26" s="809" t="inlineStr">
        <is>
          <t>Frontage</t>
        </is>
      </c>
      <c r="C26" s="1505" t="n"/>
    </row>
    <row r="27" ht="31.5" customHeight="1" s="1449">
      <c r="B27" s="809" t="inlineStr">
        <is>
          <t>Access</t>
        </is>
      </c>
      <c r="C27" s="1505" t="n"/>
    </row>
    <row r="28" ht="33" customHeight="1" s="1449">
      <c r="B28" s="809" t="inlineStr">
        <is>
          <t>Visibility</t>
        </is>
      </c>
      <c r="C28" s="1505" t="n"/>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n"/>
    </row>
    <row r="32" ht="36" customHeight="1" s="1449">
      <c r="B32" s="809" t="inlineStr">
        <is>
          <t>Transportation Facilities</t>
        </is>
      </c>
      <c r="C32" s="1505" t="n"/>
    </row>
    <row r="33" ht="103.5" customHeight="1" s="1449">
      <c r="B33" s="810" t="inlineStr">
        <is>
          <t>Comments</t>
        </is>
      </c>
      <c r="C33" s="1513" t="n"/>
      <c r="D33" s="1464" t="n"/>
      <c r="E33" s="1464" t="n"/>
      <c r="F33" s="1464" t="n"/>
    </row>
    <row r="35">
      <c r="H35" s="1510" t="inlineStr">
        <is>
          <t>ZONING</t>
        </is>
      </c>
    </row>
    <row r="36">
      <c r="H36" s="1053" t="inlineStr">
        <is>
          <t>Designation</t>
        </is>
      </c>
      <c r="I36" s="1218" t="n"/>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Info'!B17</f>
        <v/>
      </c>
    </row>
    <row r="4">
      <c r="B4" s="808" t="n"/>
      <c r="C4" s="1518">
        <f>'Property Info'!B18</f>
        <v/>
      </c>
    </row>
    <row r="5">
      <c r="B5" s="807" t="inlineStr">
        <is>
          <t>Property Description</t>
        </is>
      </c>
      <c r="C5" s="1518">
        <f>FE!U100</f>
        <v/>
      </c>
    </row>
    <row r="6">
      <c r="B6" s="807" t="inlineStr">
        <is>
          <t>Year Built</t>
        </is>
      </c>
      <c r="C6" s="1518">
        <f>'Property Info'!B9</f>
        <v/>
      </c>
    </row>
    <row r="7">
      <c r="B7" s="809" t="inlineStr">
        <is>
          <t>Year Renovated</t>
        </is>
      </c>
      <c r="C7" s="1518">
        <f>FE!U116</f>
        <v/>
      </c>
    </row>
    <row r="8">
      <c r="B8" s="809" t="inlineStr">
        <is>
          <t>Number of Buildings</t>
        </is>
      </c>
      <c r="C8" s="1518">
        <f>FE!U120</f>
        <v/>
      </c>
    </row>
    <row r="9">
      <c r="B9" s="809" t="inlineStr">
        <is>
          <t>Number of Stories</t>
        </is>
      </c>
      <c r="C9" s="1505" t="n"/>
    </row>
    <row r="10">
      <c r="B10" s="809" t="inlineStr">
        <is>
          <t>Total Number of Units</t>
        </is>
      </c>
      <c r="C10" s="1518">
        <f>FE!U126</f>
        <v/>
      </c>
    </row>
    <row r="11">
      <c r="B11" s="809" t="inlineStr">
        <is>
          <t>Building Construction Class</t>
        </is>
      </c>
      <c r="C11" s="1505" t="n"/>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n"/>
    </row>
    <row r="17">
      <c r="B17" s="809" t="inlineStr">
        <is>
          <t>Building Footprint</t>
        </is>
      </c>
      <c r="C17" s="1805">
        <f>'Property Info'!B6</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n"/>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n"/>
    </row>
    <row r="28">
      <c r="B28" s="809" t="inlineStr">
        <is>
          <t>Percentage Office Build-Out</t>
        </is>
      </c>
      <c r="C28" s="1528">
        <f>'Property Info'!B15</f>
        <v/>
      </c>
    </row>
    <row r="29">
      <c r="B29" s="809" t="inlineStr">
        <is>
          <t>Clear Height</t>
        </is>
      </c>
      <c r="C29" s="1505" t="n"/>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row>
    <row r="33">
      <c r="B33" s="812" t="inlineStr">
        <is>
          <t>Roll-Up</t>
        </is>
      </c>
      <c r="C33" s="1505" t="n"/>
    </row>
    <row r="34">
      <c r="B34" s="809" t="inlineStr">
        <is>
          <t>Rail Access</t>
        </is>
      </c>
      <c r="C34" s="1505" t="inlineStr">
        <is>
          <t>None</t>
        </is>
      </c>
    </row>
    <row r="35">
      <c r="B35" s="809" t="inlineStr">
        <is>
          <t>Storage Yard</t>
        </is>
      </c>
      <c r="C35" s="1505" t="n"/>
    </row>
    <row r="36">
      <c r="B36" s="809" t="inlineStr">
        <is>
          <t>Truck Court</t>
        </is>
      </c>
      <c r="C36" s="1505" t="n"/>
    </row>
    <row r="37">
      <c r="B37" s="809" t="inlineStr">
        <is>
          <t>Parking</t>
        </is>
      </c>
      <c r="C37" s="1518" t="n"/>
      <c r="D37" s="871" t="n"/>
      <c r="E37" s="871" t="n"/>
      <c r="F37" s="871" t="n"/>
    </row>
    <row r="38">
      <c r="B38" s="812" t="inlineStr">
        <is>
          <t>Surface Parking Spaces</t>
        </is>
      </c>
      <c r="C38" s="1226" t="n"/>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n"/>
    </row>
    <row r="48">
      <c r="B48" s="809" t="inlineStr">
        <is>
          <t>Foundation</t>
        </is>
      </c>
      <c r="C48" s="1505" t="n"/>
    </row>
    <row r="49">
      <c r="B49" s="807" t="inlineStr">
        <is>
          <t>Construction</t>
        </is>
      </c>
      <c r="C49" s="1505" t="n"/>
    </row>
    <row r="50">
      <c r="B50" s="809" t="inlineStr">
        <is>
          <t>Floor Structure</t>
        </is>
      </c>
      <c r="C50" s="1505" t="n"/>
    </row>
    <row r="51">
      <c r="B51" s="807" t="inlineStr">
        <is>
          <t>Exterior Walls</t>
        </is>
      </c>
      <c r="C51" s="1505" t="n"/>
    </row>
    <row r="52">
      <c r="B52" s="809" t="inlineStr">
        <is>
          <t>Roof Type</t>
        </is>
      </c>
      <c r="C52" s="1505" t="n"/>
    </row>
    <row r="53">
      <c r="B53" s="807" t="inlineStr">
        <is>
          <t>Roof Cover</t>
        </is>
      </c>
      <c r="C53" s="1505" t="n"/>
    </row>
    <row r="54">
      <c r="B54" s="809" t="inlineStr">
        <is>
          <t>Windows</t>
        </is>
      </c>
      <c r="C54" s="1505" t="n"/>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n"/>
    </row>
    <row r="60">
      <c r="B60" s="809" t="inlineStr">
        <is>
          <t>Ceilings</t>
        </is>
      </c>
      <c r="C60" s="1505" t="n"/>
    </row>
    <row r="61">
      <c r="B61" s="807" t="inlineStr">
        <is>
          <t>Floor Coverings</t>
        </is>
      </c>
      <c r="C61" s="1505" t="n"/>
    </row>
    <row r="62">
      <c r="B62" s="809" t="inlineStr">
        <is>
          <t>Doors</t>
        </is>
      </c>
      <c r="C62" s="1505" t="n"/>
    </row>
    <row r="63" ht="36" customHeight="1" s="1449">
      <c r="B63" s="807" t="inlineStr">
        <is>
          <t>Lighting</t>
        </is>
      </c>
      <c r="C63" s="1505" t="n"/>
    </row>
    <row r="64">
      <c r="B64" s="809" t="inlineStr">
        <is>
          <t>Ceiling Heights</t>
        </is>
      </c>
      <c r="C64" s="1505" t="n"/>
    </row>
    <row r="65">
      <c r="B65" s="809" t="inlineStr">
        <is>
          <t>Restrooms</t>
        </is>
      </c>
      <c r="C65" s="1505" t="n"/>
    </row>
    <row r="66" hidden="1" s="1449">
      <c r="B66" s="807" t="inlineStr">
        <is>
          <t>Kitchen Finish</t>
        </is>
      </c>
      <c r="C66" s="1509" t="n"/>
    </row>
    <row r="67" hidden="1" s="1449">
      <c r="B67" s="807" t="inlineStr">
        <is>
          <t>Bathroom Finish</t>
        </is>
      </c>
      <c r="C67" s="1509" t="n"/>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n"/>
    </row>
    <row r="72">
      <c r="B72" s="809" t="inlineStr">
        <is>
          <t>Cooling</t>
        </is>
      </c>
      <c r="C72" s="1505" t="n"/>
    </row>
    <row r="73">
      <c r="B73" s="807" t="inlineStr">
        <is>
          <t>Plumbing</t>
        </is>
      </c>
      <c r="C73" s="1505" t="n"/>
    </row>
    <row r="74">
      <c r="B74" s="809" t="inlineStr">
        <is>
          <t>Electrical</t>
        </is>
      </c>
      <c r="C74" s="1518" t="n"/>
    </row>
    <row r="75">
      <c r="B75" s="810" t="inlineStr">
        <is>
          <t>Fire Protection</t>
        </is>
      </c>
      <c r="C75" s="1516" t="n"/>
      <c r="D75" s="1517" t="n"/>
      <c r="E75" s="1517" t="n"/>
      <c r="F75" s="1517" t="n"/>
    </row>
    <row r="76">
      <c r="B76" s="1560" t="n"/>
      <c r="C76" s="815" t="n"/>
      <c r="D76" s="1560" t="n"/>
      <c r="E76" s="1560" t="n"/>
      <c r="F76" s="1560" t="n"/>
    </row>
    <row r="77">
      <c r="B77" s="1506" t="inlineStr">
        <is>
          <t>SITE IMPROVEMENTS</t>
        </is>
      </c>
    </row>
    <row r="78">
      <c r="B78" s="807" t="inlineStr">
        <is>
          <t>Parking Type</t>
        </is>
      </c>
      <c r="C78" s="1505" t="n"/>
    </row>
    <row r="79">
      <c r="B79" s="809" t="inlineStr">
        <is>
          <t>Landscaping</t>
        </is>
      </c>
      <c r="C79" s="1505" t="n"/>
    </row>
    <row r="80">
      <c r="B80" s="807" t="inlineStr">
        <is>
          <t>Signage</t>
        </is>
      </c>
      <c r="C80" s="1505" t="n"/>
    </row>
    <row r="81" ht="30.75" customHeight="1" s="1449">
      <c r="B81" s="810" t="inlineStr">
        <is>
          <t>Fencing</t>
        </is>
      </c>
      <c r="C81" s="1513" t="n"/>
      <c r="D81" s="1464" t="n"/>
      <c r="E81" s="1464" t="n"/>
      <c r="F81" s="1464" t="n"/>
    </row>
    <row r="82" hidden="1" s="1449">
      <c r="B82" s="809" t="inlineStr">
        <is>
          <t>Other</t>
        </is>
      </c>
      <c r="C82" s="1505" t="n"/>
    </row>
    <row r="83" hidden="1" s="1449">
      <c r="B83" s="810" t="inlineStr">
        <is>
          <t>Amenities (Project)</t>
        </is>
      </c>
      <c r="C83" s="1524" t="n"/>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n"/>
    </row>
    <row r="87">
      <c r="B87" s="809" t="inlineStr">
        <is>
          <t>Deferred Maintenance</t>
        </is>
      </c>
      <c r="C87" s="1505" t="n"/>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YEAR('Cost Approach'!C17)-'Property Info'!B9</f>
        <v/>
      </c>
    </row>
    <row r="97">
      <c r="B97" s="807" t="inlineStr">
        <is>
          <t>Expected Economic Life</t>
        </is>
      </c>
      <c r="C97" s="1812">
        <f>'Cost Approach'!C59</f>
        <v/>
      </c>
    </row>
    <row r="98">
      <c r="B98" s="809" t="inlineStr">
        <is>
          <t>Effective Age</t>
        </is>
      </c>
      <c r="C98" s="1811">
        <f>'Cost Approach'!C58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n"/>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Info'!B12</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D8/FE!$C$14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D10/FE!$C$14</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D12/FE!$C$14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c r="E16" s="1815" t="n"/>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Info'!B27</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c r="J28" s="1830" t="n"/>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c r="J32" s="1830" t="n"/>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107"/>
  <sheetViews>
    <sheetView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c r="E7" s="2485" t="inlineStr">
        <is>
          <t>Auto</t>
        </is>
      </c>
      <c r="G7" s="2485" t="inlineStr">
        <is>
          <t>Auto</t>
        </is>
      </c>
      <c r="I7" s="2485" t="inlineStr">
        <is>
          <t>Auto</t>
        </is>
      </c>
      <c r="K7" s="2485" t="inlineStr">
        <is>
          <t>Auto</t>
        </is>
      </c>
      <c r="L7" s="2485" t="inlineStr">
        <is>
          <t>Auto</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Info'!B17</f>
        <v/>
      </c>
      <c r="D9" s="1077" t="n"/>
      <c r="E9" s="1254">
        <f>IF(E$7="Manual",E92,E72)</f>
        <v/>
      </c>
      <c r="F9" s="1077" t="n"/>
      <c r="G9" s="1254">
        <f>IF(G$7="Manual",G92,G72)</f>
        <v/>
      </c>
      <c r="H9" s="1077" t="n"/>
      <c r="I9" s="1254">
        <f>IF(I$7="Manual",I92,I72)</f>
        <v/>
      </c>
      <c r="J9" s="1076" t="n"/>
      <c r="K9" s="1255">
        <f>IF(K$7="Manual",K92,K72)</f>
        <v/>
      </c>
      <c r="L9" s="1543">
        <f>IF(L$7="Manual",L92,L72)</f>
        <v/>
      </c>
    </row>
    <row r="10" ht="30" customHeight="1" s="1449">
      <c r="B10" s="840" t="inlineStr">
        <is>
          <t>City, State</t>
        </is>
      </c>
      <c r="C10" s="842">
        <f>'Property Info'!B18</f>
        <v/>
      </c>
      <c r="D10" s="1076" t="n"/>
      <c r="E10" s="1255">
        <f>IF(E$7="Manual",E93,E73)</f>
        <v/>
      </c>
      <c r="F10" s="1076" t="n"/>
      <c r="G10" s="1255">
        <f>IF(G$7="Manual",G93,G73)</f>
        <v/>
      </c>
      <c r="H10" s="1076" t="n"/>
      <c r="I10" s="1255">
        <f>IF(I$7="Manual",I93,I73)</f>
        <v/>
      </c>
      <c r="J10" s="1076" t="n"/>
      <c r="K10" s="1255">
        <f>IF(K$7="Manual",K93,K73)</f>
        <v/>
      </c>
      <c r="L10" s="1543">
        <f>IF(L$7="Manual",L93,L73)</f>
        <v/>
      </c>
    </row>
    <row r="11" ht="27" customHeight="1" s="1449">
      <c r="B11" s="840" t="inlineStr">
        <is>
          <t>Account/Parcel Number</t>
        </is>
      </c>
      <c r="C11" s="842">
        <f>'Property Info'!B2</f>
        <v/>
      </c>
      <c r="D11" s="1076" t="n"/>
      <c r="E11" s="1255">
        <f>IF(E$7="Manual",E94,E74)</f>
        <v/>
      </c>
      <c r="F11" s="1076" t="n"/>
      <c r="G11" s="1255">
        <f>IF(G$7="Manual",G94,G74)</f>
        <v/>
      </c>
      <c r="H11" s="1076" t="n"/>
      <c r="I11" s="1255">
        <f>IF(I$7="Manual",I94,I74)</f>
        <v/>
      </c>
      <c r="J11" s="1077" t="n"/>
      <c r="K11" s="1254">
        <f>IF(K$7="Manual",K94,K74)</f>
        <v/>
      </c>
      <c r="L11" s="1542">
        <f>IF(L$7="Manual",L94,L74)</f>
        <v/>
      </c>
    </row>
    <row r="12">
      <c r="B12" s="840" t="inlineStr">
        <is>
          <t>Property Type</t>
        </is>
      </c>
      <c r="C12" s="1249" t="inlineStr">
        <is>
          <t>Industrial Land</t>
        </is>
      </c>
      <c r="D12" s="1076" t="n"/>
      <c r="E12" s="1255">
        <f>IF(E$7="Manual",E95,E75)</f>
        <v/>
      </c>
      <c r="F12" s="1076" t="n"/>
      <c r="G12" s="1255">
        <f>IF(G$7="Manual",G95,G75)</f>
        <v/>
      </c>
      <c r="H12" s="1076" t="n"/>
      <c r="I12" s="1255">
        <f>IF(I$7="Manual",I95,I75)</f>
        <v/>
      </c>
      <c r="J12" s="1076" t="n"/>
      <c r="K12" s="1255">
        <f>IF(K$7="Manual",K95,K75)</f>
        <v/>
      </c>
      <c r="L12" s="1543">
        <f>IF(L$7="Manual",L95,L75)</f>
        <v/>
      </c>
    </row>
    <row r="13">
      <c r="B13" s="840" t="inlineStr">
        <is>
          <t>Sale Date</t>
        </is>
      </c>
      <c r="C13" s="1250" t="inlineStr">
        <is>
          <t>N/A</t>
        </is>
      </c>
      <c r="D13" s="1831" t="n"/>
      <c r="E13" s="1832">
        <f>IF(E$7="Manual",E96,E76)</f>
        <v/>
      </c>
      <c r="F13" s="1831" t="n"/>
      <c r="G13" s="1832">
        <f>IF(G$7="Manual",G96,G76)</f>
        <v/>
      </c>
      <c r="H13" s="1831" t="n"/>
      <c r="I13" s="1832">
        <f>IF(I$7="Manual",I96,I76)</f>
        <v/>
      </c>
      <c r="J13" s="1831" t="n"/>
      <c r="K13" s="1832">
        <f>IF(K$7="Manual",K96,K76)</f>
        <v/>
      </c>
      <c r="L13" s="1833">
        <f>IF(L$7="Manual",L96,L76)</f>
        <v/>
      </c>
    </row>
    <row r="14" ht="12.6" customHeight="1" s="1449">
      <c r="B14" s="840" t="inlineStr">
        <is>
          <t>Sale Price</t>
        </is>
      </c>
      <c r="C14" s="1834" t="inlineStr">
        <is>
          <t>N/A</t>
        </is>
      </c>
      <c r="D14" s="1835" t="n"/>
      <c r="E14" s="1836">
        <f>IF(E$7="Manual",E97,E77)</f>
        <v/>
      </c>
      <c r="F14" s="1835" t="n"/>
      <c r="G14" s="1836">
        <f>IF(G$7="Manual",G97,G77)</f>
        <v/>
      </c>
      <c r="H14" s="1835" t="n"/>
      <c r="I14" s="1836">
        <f>IF(I$7="Manual",I97,I77)</f>
        <v/>
      </c>
      <c r="J14" s="1835" t="n"/>
      <c r="K14" s="1836">
        <f>IF(K$7="Manual",K97,K77)</f>
        <v/>
      </c>
      <c r="L14" s="1837">
        <f>IF(L$7="Manual",L97,L77)</f>
        <v/>
      </c>
    </row>
    <row r="15" ht="12.6" customHeight="1" s="1449">
      <c r="B15" s="840" t="inlineStr">
        <is>
          <t>Listing Price</t>
        </is>
      </c>
      <c r="C15" s="1834" t="inlineStr">
        <is>
          <t>N/A</t>
        </is>
      </c>
      <c r="D15" s="1835" t="n"/>
      <c r="E15" s="1836">
        <f>IF(E$7="Manual",E98,E78)</f>
        <v/>
      </c>
      <c r="F15" s="1835" t="n"/>
      <c r="G15" s="1836">
        <f>IF(G$7="Manual",G98,G78)</f>
        <v/>
      </c>
      <c r="H15" s="1835" t="n"/>
      <c r="I15" s="1836">
        <f>IF(I$7="Manual",I98,I78)</f>
        <v/>
      </c>
      <c r="J15" s="1835" t="n"/>
      <c r="K15" s="1836">
        <f>IF(K$7="Manual",K98,K78)</f>
        <v/>
      </c>
      <c r="L15" s="1837">
        <f>IF(L$7="Manual",L98,L78)</f>
        <v/>
      </c>
    </row>
    <row r="16" ht="12.6" customHeight="1" s="1449">
      <c r="B16" s="840" t="inlineStr">
        <is>
          <t>Days On Market</t>
        </is>
      </c>
      <c r="C16" s="1250" t="inlineStr">
        <is>
          <t>N/A</t>
        </is>
      </c>
      <c r="D16" s="1076" t="n"/>
      <c r="E16" s="1255">
        <f>IF(E$7="Manual",E99,E79)</f>
        <v/>
      </c>
      <c r="F16" s="1076" t="n"/>
      <c r="G16" s="1255">
        <f>IF(G$7="Manual",G99,G79)</f>
        <v/>
      </c>
      <c r="H16" s="1076" t="n"/>
      <c r="I16" s="1255">
        <f>IF(I$7="Manual",I99,I79)</f>
        <v/>
      </c>
      <c r="J16" s="1076" t="n"/>
      <c r="K16" s="1255">
        <f>IF(K$7="Manual",K99,K79)</f>
        <v/>
      </c>
      <c r="L16" s="1543">
        <f>IF(L$7="Manual",L99,L79)</f>
        <v/>
      </c>
    </row>
    <row r="17" ht="60" customHeight="1" s="1449">
      <c r="B17" s="840" t="inlineStr">
        <is>
          <t>Data Source</t>
        </is>
      </c>
      <c r="C17" s="1252" t="inlineStr">
        <is>
          <t>Assessor, appraiser measurements</t>
        </is>
      </c>
      <c r="D17" s="1077" t="n"/>
      <c r="E17" s="1254">
        <f>IF(E$7="Manual",E100,E80)</f>
        <v/>
      </c>
      <c r="F17" s="1077" t="n"/>
      <c r="G17" s="1254">
        <f>IF(G$7="Manual",G100,G80)</f>
        <v/>
      </c>
      <c r="H17" s="1077" t="n"/>
      <c r="I17" s="1254">
        <f>IF(I$7="Manual",I100,I80)</f>
        <v/>
      </c>
      <c r="J17" s="1077" t="n"/>
      <c r="K17" s="1254">
        <f>IF(K$7="Manual",K100,K80)</f>
        <v/>
      </c>
      <c r="L17" s="1542">
        <f>IF(L$7="Manual",L100,L80)</f>
        <v/>
      </c>
    </row>
    <row r="18" hidden="1" ht="12.6" customHeight="1" s="1449">
      <c r="B18" s="840" t="inlineStr">
        <is>
          <t>Grantor</t>
        </is>
      </c>
      <c r="C18" s="843" t="inlineStr">
        <is>
          <t>TBD</t>
        </is>
      </c>
      <c r="D18" s="1079" t="n"/>
      <c r="E18" s="1258">
        <f>IF(E$7="Manual",E101,E81)</f>
        <v/>
      </c>
      <c r="F18" s="1079" t="n"/>
      <c r="G18" s="1258">
        <f>IF(G$7="Manual",G101,G81)</f>
        <v/>
      </c>
      <c r="H18" s="1079" t="n"/>
      <c r="I18" s="1258">
        <f>IF(I$7="Manual",I101,I81)</f>
        <v/>
      </c>
      <c r="J18" s="1079" t="n"/>
      <c r="K18" s="1258">
        <f>IF(K$7="Manual",K101,K81)</f>
        <v/>
      </c>
      <c r="L18" s="1547">
        <f>IF(L$7="Manual",L101,L81)</f>
        <v/>
      </c>
    </row>
    <row r="19" hidden="1" ht="12.6" customHeight="1" s="1449">
      <c r="B19" s="840" t="inlineStr">
        <is>
          <t>Grantee</t>
        </is>
      </c>
      <c r="C19" s="843" t="inlineStr">
        <is>
          <t>TBD</t>
        </is>
      </c>
      <c r="D19" s="1079" t="n"/>
      <c r="E19" s="1258">
        <f>IF(E$7="Manual",E102,E82)</f>
        <v/>
      </c>
      <c r="F19" s="1079" t="n"/>
      <c r="G19" s="1258">
        <f>IF(G$7="Manual",G102,G82)</f>
        <v/>
      </c>
      <c r="H19" s="1079" t="n"/>
      <c r="I19" s="1258">
        <f>IF(I$7="Manual",I102,I82)</f>
        <v/>
      </c>
      <c r="J19" s="1079" t="n"/>
      <c r="K19" s="1258">
        <f>IF(K$7="Manual",K102,K82)</f>
        <v/>
      </c>
      <c r="L19" s="1541">
        <f>IF(L$7="Manual",L102,L82)</f>
        <v/>
      </c>
    </row>
    <row r="20">
      <c r="B20" s="840" t="inlineStr">
        <is>
          <t>Site Size (SF)</t>
        </is>
      </c>
      <c r="C20" s="843">
        <f>'Property Info'!B12</f>
        <v/>
      </c>
      <c r="D20" s="1079" t="n"/>
      <c r="E20" s="1258">
        <f>IF(E$7="Manual",E103,E83)</f>
        <v/>
      </c>
      <c r="F20" s="1079" t="n"/>
      <c r="G20" s="1258">
        <f>IF(G$7="Manual",G103,G83)</f>
        <v/>
      </c>
      <c r="H20" s="1079" t="n"/>
      <c r="I20" s="1258">
        <f>IF(I$7="Manual",I103,I83)</f>
        <v/>
      </c>
      <c r="J20" s="1079" t="n"/>
      <c r="K20" s="1258">
        <f>IF(K$7="Manual",K103,K83)</f>
        <v/>
      </c>
      <c r="L20" s="1541">
        <f>IF(L$7="Manual",L103,L83)</f>
        <v/>
      </c>
    </row>
    <row r="21">
      <c r="B21" s="840" t="inlineStr">
        <is>
          <t xml:space="preserve">Zoning </t>
        </is>
      </c>
      <c r="C21" s="843">
        <f>'Property Info'!B30</f>
        <v/>
      </c>
      <c r="D21" s="1079" t="n"/>
      <c r="E21" s="1258">
        <f>IF(E$7="Manual",E104,E84)</f>
        <v/>
      </c>
      <c r="F21" s="1079" t="n"/>
      <c r="G21" s="1258">
        <f>IF(G$7="Manual",G104,G84)</f>
        <v/>
      </c>
      <c r="H21" s="1079" t="n"/>
      <c r="I21" s="1258">
        <f>IF(I$7="Manual",I104,I84)</f>
        <v/>
      </c>
      <c r="J21" s="1079" t="n"/>
      <c r="K21" s="1258">
        <f>IF(K$7="Manual",K104,K84)</f>
        <v/>
      </c>
      <c r="L21" s="1541">
        <f>IF(L$7="Manual",L104,L84)</f>
        <v/>
      </c>
    </row>
    <row r="22" ht="48.75" customHeight="1" s="1449">
      <c r="B22" s="840" t="inlineStr">
        <is>
          <t>Comments</t>
        </is>
      </c>
      <c r="C22" s="1838" t="inlineStr">
        <is>
          <t>Industrial land</t>
        </is>
      </c>
      <c r="D22" s="1839" t="n"/>
      <c r="E22" s="1840">
        <f>IF(E$7="Manual",E105,E85)</f>
        <v/>
      </c>
      <c r="F22" s="1839" t="n"/>
      <c r="G22" s="1840">
        <f>IF(G$7="Manual",G105,G85)</f>
        <v/>
      </c>
      <c r="H22" s="1839" t="n"/>
      <c r="I22" s="1840">
        <f>IF(I$7="Manual",I105,I85)</f>
        <v/>
      </c>
      <c r="J22" s="1839" t="n"/>
      <c r="K22" s="1841">
        <f>IF(K$7="Manual",K105,K85)</f>
        <v/>
      </c>
      <c r="L22" s="1842">
        <f>IF(L$7="Manual",L105,L85)</f>
        <v/>
      </c>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c r="F37" s="1111" t="n"/>
      <c r="G37" s="1864" t="n"/>
      <c r="H37" s="1111" t="n"/>
      <c r="I37" s="1864" t="n"/>
      <c r="J37" s="1111" t="n"/>
      <c r="K37" s="1865" t="n"/>
      <c r="L37" s="618" t="n"/>
      <c r="M37" s="1866" t="n"/>
    </row>
    <row r="38" hidden="1" ht="12.6" customHeight="1" s="1449">
      <c r="B38" s="568" t="inlineStr">
        <is>
          <t>Distance from Subject</t>
        </is>
      </c>
      <c r="C38" s="1096" t="inlineStr">
        <is>
          <t>N/A</t>
        </is>
      </c>
      <c r="D38" s="854" t="n"/>
      <c r="E38" s="1864" t="n"/>
      <c r="F38" s="1112" t="n"/>
      <c r="G38" s="1864" t="n"/>
      <c r="H38" s="1112" t="n"/>
      <c r="I38" s="1864" t="n"/>
      <c r="J38" s="1112" t="n"/>
      <c r="K38" s="1865" t="n"/>
      <c r="L38" s="1112" t="n"/>
      <c r="M38" s="1867" t="n"/>
    </row>
    <row r="39" hidden="1" ht="29.25" customHeight="1" s="1449">
      <c r="B39" s="568" t="inlineStr">
        <is>
          <t>Surrounding Land Uses</t>
        </is>
      </c>
      <c r="C39" s="1096" t="inlineStr">
        <is>
          <t>Retail, residential, developable land</t>
        </is>
      </c>
      <c r="D39" s="854" t="n"/>
      <c r="E39" s="1864" t="n"/>
      <c r="F39" s="1112" t="n"/>
      <c r="G39" s="1864" t="n"/>
      <c r="H39" s="1112" t="n"/>
      <c r="I39" s="1864" t="n"/>
      <c r="J39" s="1112" t="n"/>
      <c r="K39" s="1865" t="n"/>
      <c r="L39" s="1112" t="n"/>
      <c r="M39" s="1867" t="n"/>
    </row>
    <row r="40" hidden="1" ht="12.6" customHeight="1" s="1449">
      <c r="B40" s="568" t="inlineStr">
        <is>
          <t>Quality/Condition of Surrounding Area</t>
        </is>
      </c>
      <c r="C40" s="1097" t="inlineStr">
        <is>
          <t>Average to New</t>
        </is>
      </c>
      <c r="D40" s="856" t="n"/>
      <c r="E40" s="1864" t="n"/>
      <c r="F40" s="1113" t="n"/>
      <c r="G40" s="1864" t="n"/>
      <c r="H40" s="1113" t="n"/>
      <c r="I40" s="1864" t="n"/>
      <c r="J40" s="1113" t="n"/>
      <c r="K40" s="1865" t="n"/>
      <c r="L40" s="1113" t="n"/>
      <c r="M40" s="1867" t="n"/>
    </row>
    <row r="41" hidden="1" ht="12.6" customHeight="1" s="1449">
      <c r="B41" s="568" t="inlineStr">
        <is>
          <t>Access to Commercial Services/Amenities</t>
        </is>
      </c>
      <c r="C41" s="1097" t="inlineStr">
        <is>
          <t>Good</t>
        </is>
      </c>
      <c r="D41" s="856" t="n"/>
      <c r="E41" s="1864" t="n"/>
      <c r="F41" s="1113" t="n"/>
      <c r="G41" s="1864" t="n"/>
      <c r="H41" s="1113" t="n"/>
      <c r="I41" s="1864" t="n"/>
      <c r="J41" s="1113" t="n"/>
      <c r="K41" s="1865" t="n"/>
      <c r="L41" s="1113" t="n"/>
      <c r="M41" s="1867" t="n"/>
    </row>
    <row r="42" hidden="1" ht="75.75" customHeight="1" s="1449">
      <c r="B42" s="568" t="inlineStr">
        <is>
          <t>Visibility/Access</t>
        </is>
      </c>
      <c r="C42" s="1098" t="inlineStr">
        <is>
          <t>Average- access and visibility from two secondary thoroughfares.</t>
        </is>
      </c>
      <c r="D42" s="857" t="n"/>
      <c r="E42" s="1864" t="n"/>
      <c r="F42" s="1114" t="n"/>
      <c r="G42" s="1864" t="n"/>
      <c r="H42" s="1114" t="n"/>
      <c r="I42" s="1864" t="n"/>
      <c r="J42" s="1114" t="n"/>
      <c r="K42" s="1865" t="n"/>
      <c r="L42" s="1114" t="n"/>
      <c r="M42" s="1867" t="n"/>
    </row>
    <row r="43" hidden="1" ht="70.5" customHeight="1" s="1449">
      <c r="B43" s="568" t="inlineStr">
        <is>
          <t>Description</t>
        </is>
      </c>
      <c r="C43" s="1099" t="inlineStr">
        <is>
          <t xml:space="preserve">Developing residential/retail area. Commercial thoroughfare exposure. Adjacent to anchored retail center. </t>
        </is>
      </c>
      <c r="D43" s="569" t="n"/>
      <c r="E43" s="1864" t="n"/>
      <c r="F43" s="622" t="n"/>
      <c r="G43" s="1864" t="n"/>
      <c r="H43" s="622" t="n"/>
      <c r="I43" s="1864" t="n"/>
      <c r="J43" s="622" t="n"/>
      <c r="K43" s="1865" t="n"/>
      <c r="L43" s="622" t="n"/>
      <c r="M43" s="1867" t="n"/>
    </row>
    <row r="44">
      <c r="B44" s="806">
        <f>B20</f>
        <v/>
      </c>
      <c r="C44" s="1100">
        <f>C20</f>
        <v/>
      </c>
      <c r="D44" s="1087">
        <f>D20</f>
        <v/>
      </c>
      <c r="E44" s="1864" t="n"/>
      <c r="F44" s="1115" t="n"/>
      <c r="G44" s="1864" t="n"/>
      <c r="H44" s="1115" t="n"/>
      <c r="I44" s="1864" t="n"/>
      <c r="J44" s="1115" t="n"/>
      <c r="K44" s="1865" t="n"/>
      <c r="L44" s="623" t="n"/>
      <c r="M44" s="1866" t="n"/>
    </row>
    <row r="45">
      <c r="B45" s="1088" t="inlineStr">
        <is>
          <t xml:space="preserve">Zoning </t>
        </is>
      </c>
      <c r="C45" s="1095">
        <f>C21</f>
        <v/>
      </c>
      <c r="D45" s="1089">
        <f>D21</f>
        <v/>
      </c>
      <c r="E45" s="1864" t="n"/>
      <c r="F45" s="1116" t="n"/>
      <c r="G45" s="1864" t="n"/>
      <c r="H45" s="1116" t="n"/>
      <c r="I45" s="1864" t="n"/>
      <c r="J45" s="1116" t="n"/>
      <c r="K45" s="1865" t="n"/>
      <c r="L45" s="1125" t="n"/>
      <c r="M45" s="1866" t="n"/>
    </row>
    <row r="46" ht="16.5" customHeight="1" s="1449">
      <c r="B46" s="1085" t="inlineStr">
        <is>
          <t>Utilities / Infrastructure</t>
        </is>
      </c>
      <c r="C46" s="1261" t="inlineStr">
        <is>
          <t>Average</t>
        </is>
      </c>
      <c r="D46" s="1086" t="inlineStr">
        <is>
          <t>Average</t>
        </is>
      </c>
      <c r="E46" s="1864" t="n"/>
      <c r="F46" s="1111" t="n"/>
      <c r="G46" s="1864" t="n"/>
      <c r="H46" s="1111" t="n"/>
      <c r="I46" s="1864" t="n"/>
      <c r="J46" s="1111" t="n"/>
      <c r="K46" s="1865" t="n"/>
      <c r="L46" s="618" t="n"/>
      <c r="M46" s="1866" t="n"/>
    </row>
    <row r="47" hidden="1" ht="12.6" customHeight="1" s="1449">
      <c r="B47" s="568" t="inlineStr">
        <is>
          <t>Water/Sewer</t>
        </is>
      </c>
      <c r="C47" s="1096" t="inlineStr">
        <is>
          <t>Available - Municipal Services</t>
        </is>
      </c>
      <c r="D47" s="854" t="inlineStr">
        <is>
          <t>Available - Municipal Services</t>
        </is>
      </c>
      <c r="E47" s="1868" t="n"/>
      <c r="F47" s="1112" t="n"/>
      <c r="G47" s="1868" t="n"/>
      <c r="H47" s="1112" t="n"/>
      <c r="I47" s="1868" t="n"/>
      <c r="J47" s="1112" t="n"/>
      <c r="K47" s="1869" t="n"/>
      <c r="L47" s="1112" t="n"/>
      <c r="M47" s="1870" t="n"/>
    </row>
    <row r="48" hidden="1" ht="15" customHeight="1" s="1449">
      <c r="B48" s="568" t="inlineStr">
        <is>
          <t>Electricity/Gas</t>
        </is>
      </c>
      <c r="C48" s="1096" t="inlineStr">
        <is>
          <t>Available - Xcel Energy</t>
        </is>
      </c>
      <c r="D48" s="854" t="inlineStr">
        <is>
          <t>Available - Xcel Energy</t>
        </is>
      </c>
      <c r="E48" s="1868" t="n"/>
      <c r="F48" s="1112" t="n"/>
      <c r="G48" s="1868" t="n"/>
      <c r="H48" s="1112" t="n"/>
      <c r="I48" s="1868" t="n"/>
      <c r="J48" s="1112" t="n"/>
      <c r="K48" s="1869" t="n"/>
      <c r="L48" s="1112" t="n"/>
      <c r="M48" s="1870" t="n"/>
    </row>
    <row r="49" hidden="1" ht="11.25" customHeight="1" s="1449">
      <c r="B49" s="568" t="inlineStr">
        <is>
          <t>Other</t>
        </is>
      </c>
      <c r="C49" s="1097" t="inlineStr">
        <is>
          <t>All available</t>
        </is>
      </c>
      <c r="D49" s="856" t="inlineStr">
        <is>
          <t>Historical Design</t>
        </is>
      </c>
      <c r="E49" s="1868" t="n"/>
      <c r="F49" s="1113" t="n"/>
      <c r="G49" s="1868" t="n"/>
      <c r="H49" s="1113" t="n"/>
      <c r="I49" s="1868" t="n"/>
      <c r="J49" s="1113" t="n"/>
      <c r="K49" s="1869" t="n"/>
      <c r="L49" s="1113" t="n"/>
      <c r="M49" s="1870" t="n"/>
    </row>
    <row r="50" ht="18" customHeight="1" s="1449">
      <c r="B50" s="806" t="inlineStr">
        <is>
          <t>Site Utility</t>
        </is>
      </c>
      <c r="C50" s="1261" t="inlineStr">
        <is>
          <t>Average</t>
        </is>
      </c>
      <c r="D50" s="1090" t="inlineStr">
        <is>
          <t>Average</t>
        </is>
      </c>
      <c r="E50" s="1871" t="n"/>
      <c r="F50" s="1117" t="n"/>
      <c r="G50" s="1871" t="n"/>
      <c r="H50" s="1117" t="n"/>
      <c r="I50" s="1871" t="n"/>
      <c r="J50" s="1111" t="n"/>
      <c r="K50" s="1872" t="n"/>
      <c r="L50" s="618" t="n"/>
      <c r="M50" s="1873" t="n"/>
    </row>
    <row r="51" hidden="1" s="1449">
      <c r="B51" s="568" t="inlineStr">
        <is>
          <t>Site Shape</t>
        </is>
      </c>
      <c r="C51" s="1097" t="inlineStr">
        <is>
          <t>Rectangular</t>
        </is>
      </c>
      <c r="D51" s="856" t="inlineStr">
        <is>
          <t>Rectangular</t>
        </is>
      </c>
      <c r="E51" s="1874" t="n"/>
      <c r="F51" s="1113" t="n"/>
      <c r="G51" s="1874" t="n"/>
      <c r="H51" s="1113" t="n"/>
      <c r="I51" s="1874" t="n"/>
      <c r="J51" s="1113" t="n"/>
      <c r="K51" s="1875" t="n"/>
      <c r="L51" s="1113" t="n"/>
      <c r="M51" s="1870" t="n"/>
    </row>
    <row r="52" hidden="1" ht="12" customHeight="1" s="1449">
      <c r="B52" s="568" t="inlineStr">
        <is>
          <t>Topography</t>
        </is>
      </c>
      <c r="C52" s="1101" t="inlineStr">
        <is>
          <t>Generally Level</t>
        </is>
      </c>
      <c r="D52" s="859" t="inlineStr">
        <is>
          <t>Generally Level</t>
        </is>
      </c>
      <c r="E52" s="1874" t="n"/>
      <c r="F52" s="1118" t="n"/>
      <c r="G52" s="1874" t="n"/>
      <c r="H52" s="1118" t="n"/>
      <c r="I52" s="1874" t="n"/>
      <c r="J52" s="1118" t="n"/>
      <c r="K52" s="1875" t="n"/>
      <c r="L52" s="1113" t="n"/>
      <c r="M52" s="1870" t="n"/>
    </row>
    <row r="53" hidden="1" ht="17.25" customHeight="1" s="1449">
      <c r="B53" s="568" t="inlineStr">
        <is>
          <t>Easement/Encroachments/Obstructions</t>
        </is>
      </c>
      <c r="C53" s="1101" t="inlineStr">
        <is>
          <t>None known</t>
        </is>
      </c>
      <c r="D53" s="859" t="inlineStr">
        <is>
          <t>None known</t>
        </is>
      </c>
      <c r="E53" s="1874" t="n"/>
      <c r="F53" s="1118" t="n"/>
      <c r="G53" s="1874" t="n"/>
      <c r="H53" s="1118" t="n"/>
      <c r="I53" s="1874" t="n"/>
      <c r="J53" s="1118" t="n"/>
      <c r="K53" s="1875" t="n"/>
      <c r="L53" s="1126" t="n"/>
      <c r="M53" s="1870" t="n"/>
    </row>
    <row r="54" hidden="1" ht="12" customHeight="1" s="1449">
      <c r="B54" s="568" t="inlineStr">
        <is>
          <t>Other</t>
        </is>
      </c>
      <c r="C54" s="1102" t="inlineStr">
        <is>
          <t>None</t>
        </is>
      </c>
      <c r="D54" s="860" t="inlineStr">
        <is>
          <t>None</t>
        </is>
      </c>
      <c r="E54" s="1874" t="n"/>
      <c r="F54" s="1119" t="n"/>
      <c r="G54" s="1874" t="n"/>
      <c r="H54" s="1119" t="n"/>
      <c r="I54" s="1874" t="n"/>
      <c r="J54" s="1119" t="n"/>
      <c r="K54" s="1875" t="n"/>
      <c r="L54" s="1127" t="n"/>
      <c r="M54" s="1870" t="n"/>
    </row>
    <row r="55">
      <c r="B55" s="586" t="inlineStr">
        <is>
          <t>Total Non Quantified Adj.</t>
        </is>
      </c>
      <c r="C55" s="1103" t="n"/>
      <c r="D55" s="588" t="n"/>
      <c r="E55" s="1876" t="n"/>
      <c r="F55" s="513" t="n"/>
      <c r="G55" s="1877" t="n"/>
      <c r="H55" s="1105" t="n"/>
      <c r="I55" s="1878" t="n"/>
      <c r="J55" s="1105" t="n"/>
      <c r="K55" s="1879" t="n"/>
      <c r="L55" s="1105" t="n"/>
      <c r="M55" s="1880" t="n"/>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row r="70">
      <c r="B70" s="2486" t="inlineStr">
        <is>
          <t>SELECTED LAND COMPS  (currently loaded comps - reference; no external picker for land)</t>
        </is>
      </c>
    </row>
    <row r="71">
      <c r="E71" s="2487" t="inlineStr">
        <is>
          <t>Sale 1</t>
        </is>
      </c>
      <c r="G71" s="2487" t="inlineStr">
        <is>
          <t>Sale 2</t>
        </is>
      </c>
      <c r="I71" s="2487" t="inlineStr">
        <is>
          <t>Sale 3</t>
        </is>
      </c>
      <c r="K71" s="2487" t="inlineStr">
        <is>
          <t>Sale 4</t>
        </is>
      </c>
      <c r="L71" s="2487" t="inlineStr">
        <is>
          <t>Sale 5</t>
        </is>
      </c>
    </row>
    <row r="72">
      <c r="B72" s="2488" t="inlineStr">
        <is>
          <t>Address</t>
        </is>
      </c>
      <c r="E72" s="2489" t="n"/>
      <c r="G72" s="2489" t="n"/>
      <c r="I72" s="2489" t="n"/>
      <c r="K72" s="2489" t="n"/>
      <c r="L72" s="2489" t="n"/>
    </row>
    <row r="73">
      <c r="B73" s="2488" t="inlineStr">
        <is>
          <t>City, State</t>
        </is>
      </c>
      <c r="E73" s="2489" t="n"/>
      <c r="G73" s="2489" t="n"/>
      <c r="I73" s="2489" t="n"/>
      <c r="K73" s="2489" t="n"/>
      <c r="L73" s="2489" t="n"/>
    </row>
    <row r="74">
      <c r="B74" s="2488" t="inlineStr">
        <is>
          <t>Account/Parcel Number</t>
        </is>
      </c>
      <c r="E74" s="2489" t="n"/>
      <c r="G74" s="2489" t="n"/>
      <c r="I74" s="2489" t="n"/>
      <c r="K74" s="2489" t="n"/>
      <c r="L74" s="2489" t="n"/>
    </row>
    <row r="75">
      <c r="B75" s="2488" t="inlineStr">
        <is>
          <t>Property Type</t>
        </is>
      </c>
      <c r="E75" s="2489" t="inlineStr">
        <is>
          <t>Industrial Land</t>
        </is>
      </c>
      <c r="G75" s="2489" t="inlineStr">
        <is>
          <t>Industrial Land</t>
        </is>
      </c>
      <c r="I75" s="2489" t="inlineStr">
        <is>
          <t>Industrial Land</t>
        </is>
      </c>
      <c r="K75" s="2489" t="inlineStr">
        <is>
          <t>Industrial Land</t>
        </is>
      </c>
      <c r="L75" s="2489" t="inlineStr">
        <is>
          <t>Commercial Land</t>
        </is>
      </c>
    </row>
    <row r="76">
      <c r="B76" s="2488" t="inlineStr">
        <is>
          <t>Sale Date</t>
        </is>
      </c>
      <c r="E76" s="2490" t="n"/>
      <c r="G76" s="2490" t="n"/>
      <c r="I76" s="2490" t="n"/>
      <c r="K76" s="2490" t="n"/>
      <c r="L76" s="2490" t="n"/>
    </row>
    <row r="77">
      <c r="B77" s="2488" t="inlineStr">
        <is>
          <t>Sale Price</t>
        </is>
      </c>
      <c r="E77" s="2491" t="n"/>
      <c r="G77" s="2491" t="n"/>
      <c r="I77" s="2491" t="n"/>
      <c r="K77" s="2491" t="n"/>
      <c r="L77" s="2491" t="n"/>
    </row>
    <row r="78">
      <c r="B78" s="2488" t="inlineStr">
        <is>
          <t>Listing Price</t>
        </is>
      </c>
      <c r="E78" s="2491" t="inlineStr">
        <is>
          <t>Not Reported</t>
        </is>
      </c>
      <c r="G78" s="2491" t="n">
        <v>1224040</v>
      </c>
      <c r="I78" s="2491" t="n">
        <v>1600000</v>
      </c>
      <c r="K78" s="2491" t="inlineStr">
        <is>
          <t>Not Reported</t>
        </is>
      </c>
      <c r="L78" s="2491" t="n">
        <v>500000</v>
      </c>
    </row>
    <row r="79">
      <c r="B79" s="2488" t="inlineStr">
        <is>
          <t>Days On Market</t>
        </is>
      </c>
      <c r="E79" s="2489" t="inlineStr">
        <is>
          <t>Not Reported</t>
        </is>
      </c>
      <c r="G79" s="2489" t="n">
        <v>1117</v>
      </c>
      <c r="I79" s="2489" t="n">
        <v>259</v>
      </c>
      <c r="K79" s="2489" t="inlineStr">
        <is>
          <t>Not Reported</t>
        </is>
      </c>
      <c r="L79" s="2489" t="n">
        <v>725</v>
      </c>
    </row>
    <row r="80">
      <c r="B80" s="2488" t="inlineStr">
        <is>
          <t>Data Source</t>
        </is>
      </c>
      <c r="E80" s="2489" t="inlineStr">
        <is>
          <t>Costar, Assessor Data, Deed, Troy DeVos (Buyer Representative)</t>
        </is>
      </c>
      <c r="G80" s="2489" t="inlineStr">
        <is>
          <t>CoStar, Assessor Data, Listing Broker (Phil Foster &amp; Co.)</t>
        </is>
      </c>
      <c r="I80" s="2489" t="inlineStr">
        <is>
          <t>CoStar, Assessor Data, Listing Broker (Mark Goodman/Goodman Commercial)</t>
        </is>
      </c>
      <c r="K80" s="2489" t="inlineStr">
        <is>
          <t>CoStar, Denver Assessor, Deed, Loan</t>
        </is>
      </c>
      <c r="L80" s="2489" t="inlineStr">
        <is>
          <t>CoStar, Assessor, Listing</t>
        </is>
      </c>
    </row>
    <row r="81">
      <c r="B81" s="2488" t="inlineStr">
        <is>
          <t>Grantor</t>
        </is>
      </c>
      <c r="E81" s="2492" t="n"/>
      <c r="G81" s="2492" t="n"/>
      <c r="I81" s="2492" t="n"/>
      <c r="K81" s="2492" t="n"/>
      <c r="L81" s="2492" t="n"/>
    </row>
    <row r="82">
      <c r="B82" s="2488" t="inlineStr">
        <is>
          <t>Grantee</t>
        </is>
      </c>
      <c r="E82" s="2492" t="n"/>
      <c r="G82" s="2492" t="n"/>
      <c r="I82" s="2492" t="n"/>
      <c r="K82" s="2492" t="n"/>
      <c r="L82" s="2492" t="n"/>
    </row>
    <row r="83">
      <c r="B83" s="2488" t="inlineStr">
        <is>
          <t>Site Size (SF)</t>
        </is>
      </c>
      <c r="E83" s="2492" t="n"/>
      <c r="G83" s="2492" t="n"/>
      <c r="I83" s="2492" t="n"/>
      <c r="K83" s="2492" t="n"/>
      <c r="L83" s="2492" t="n"/>
    </row>
    <row r="84">
      <c r="B84" s="2488" t="inlineStr">
        <is>
          <t xml:space="preserve">Zoning </t>
        </is>
      </c>
      <c r="E84" s="2492" t="inlineStr">
        <is>
          <t>B-3 (Business/Commercial)</t>
        </is>
      </c>
      <c r="G84" s="2492" t="inlineStr">
        <is>
          <t>PUD-I (Industrial)</t>
        </is>
      </c>
      <c r="I84" s="2492" t="inlineStr">
        <is>
          <t>I-2 (General Industrial)</t>
        </is>
      </c>
      <c r="K84" s="2492" t="inlineStr">
        <is>
          <t>I-B (General Industrial)</t>
        </is>
      </c>
      <c r="L84" s="2492" t="inlineStr">
        <is>
          <t>B-2</t>
        </is>
      </c>
    </row>
    <row r="85">
      <c r="B85" s="2488" t="inlineStr">
        <is>
          <t>Comments</t>
        </is>
      </c>
      <c r="E85" s="2491" t="n"/>
      <c r="G85" s="2491" t="n"/>
      <c r="I85" s="2491" t="n"/>
      <c r="K85" s="2491" t="n"/>
      <c r="L85" s="2491" t="n"/>
    </row>
    <row r="90">
      <c r="B90" s="2486" t="inlineStr">
        <is>
          <t>MANUAL OVERRIDES  (type here; used when a sale's Source = Manual)</t>
        </is>
      </c>
    </row>
    <row r="91">
      <c r="E91" s="2487" t="inlineStr">
        <is>
          <t>Sale 1</t>
        </is>
      </c>
      <c r="G91" s="2487" t="inlineStr">
        <is>
          <t>Sale 2</t>
        </is>
      </c>
      <c r="I91" s="2487" t="inlineStr">
        <is>
          <t>Sale 3</t>
        </is>
      </c>
      <c r="K91" s="2487" t="inlineStr">
        <is>
          <t>Sale 4</t>
        </is>
      </c>
      <c r="L91" s="2487" t="inlineStr">
        <is>
          <t>Sale 5</t>
        </is>
      </c>
    </row>
    <row r="92">
      <c r="B92" s="2488" t="inlineStr">
        <is>
          <t>Address</t>
        </is>
      </c>
      <c r="E92" s="2493" t="n"/>
      <c r="G92" s="2493" t="n"/>
      <c r="I92" s="2493" t="n"/>
      <c r="K92" s="2493" t="n"/>
      <c r="L92" s="2493" t="n"/>
    </row>
    <row r="93">
      <c r="B93" s="2488" t="inlineStr">
        <is>
          <t>City, State</t>
        </is>
      </c>
      <c r="E93" s="2493" t="n"/>
      <c r="G93" s="2493" t="n"/>
      <c r="I93" s="2493" t="n"/>
      <c r="K93" s="2493" t="n"/>
      <c r="L93" s="2493" t="n"/>
    </row>
    <row r="94">
      <c r="B94" s="2488" t="inlineStr">
        <is>
          <t>Account/Parcel Number</t>
        </is>
      </c>
      <c r="E94" s="2493" t="n"/>
      <c r="G94" s="2493" t="n"/>
      <c r="I94" s="2493" t="n"/>
      <c r="K94" s="2493" t="n"/>
      <c r="L94" s="2493" t="n"/>
    </row>
    <row r="95">
      <c r="B95" s="2488" t="inlineStr">
        <is>
          <t>Property Type</t>
        </is>
      </c>
      <c r="E95" s="2493" t="n"/>
      <c r="G95" s="2493" t="n"/>
      <c r="I95" s="2493" t="n"/>
      <c r="K95" s="2493" t="n"/>
      <c r="L95" s="2493" t="n"/>
    </row>
    <row r="96">
      <c r="B96" s="2488" t="inlineStr">
        <is>
          <t>Sale Date</t>
        </is>
      </c>
      <c r="E96" s="2494" t="n"/>
      <c r="G96" s="2494" t="n"/>
      <c r="I96" s="2494" t="n"/>
      <c r="K96" s="2494" t="n"/>
      <c r="L96" s="2494" t="n"/>
    </row>
    <row r="97">
      <c r="B97" s="2488" t="inlineStr">
        <is>
          <t>Sale Price</t>
        </is>
      </c>
      <c r="E97" s="2495" t="n"/>
      <c r="G97" s="2495" t="n"/>
      <c r="I97" s="2495" t="n"/>
      <c r="K97" s="2495" t="n"/>
      <c r="L97" s="2495" t="n"/>
    </row>
    <row r="98">
      <c r="B98" s="2488" t="inlineStr">
        <is>
          <t>Listing Price</t>
        </is>
      </c>
      <c r="E98" s="2495" t="n"/>
      <c r="G98" s="2495" t="n"/>
      <c r="I98" s="2495" t="n"/>
      <c r="K98" s="2495" t="n"/>
      <c r="L98" s="2495" t="n"/>
    </row>
    <row r="99">
      <c r="B99" s="2488" t="inlineStr">
        <is>
          <t>Days On Market</t>
        </is>
      </c>
      <c r="E99" s="2493" t="n"/>
      <c r="G99" s="2493" t="n"/>
      <c r="I99" s="2493" t="n"/>
      <c r="K99" s="2493" t="n"/>
      <c r="L99" s="2493" t="n"/>
    </row>
    <row r="100">
      <c r="B100" s="2488" t="inlineStr">
        <is>
          <t>Data Source</t>
        </is>
      </c>
      <c r="E100" s="2493" t="n"/>
      <c r="G100" s="2493" t="n"/>
      <c r="I100" s="2493" t="n"/>
      <c r="K100" s="2493" t="n"/>
      <c r="L100" s="2493" t="n"/>
    </row>
    <row r="101">
      <c r="B101" s="2488" t="inlineStr">
        <is>
          <t>Grantor</t>
        </is>
      </c>
      <c r="E101" s="2496" t="n"/>
      <c r="G101" s="2496" t="n"/>
      <c r="I101" s="2496" t="n"/>
      <c r="K101" s="2496" t="n"/>
      <c r="L101" s="2496" t="n"/>
    </row>
    <row r="102">
      <c r="B102" s="2488" t="inlineStr">
        <is>
          <t>Grantee</t>
        </is>
      </c>
      <c r="E102" s="2496" t="n"/>
      <c r="G102" s="2496" t="n"/>
      <c r="I102" s="2496" t="n"/>
      <c r="K102" s="2496" t="n"/>
      <c r="L102" s="2496" t="n"/>
    </row>
    <row r="103">
      <c r="B103" s="2488" t="inlineStr">
        <is>
          <t>Site Size (SF)</t>
        </is>
      </c>
      <c r="E103" s="2496" t="n"/>
      <c r="G103" s="2496" t="n"/>
      <c r="I103" s="2496" t="n"/>
      <c r="K103" s="2496" t="n"/>
      <c r="L103" s="2496" t="n"/>
    </row>
    <row r="104">
      <c r="B104" s="2488" t="inlineStr">
        <is>
          <t xml:space="preserve">Zoning </t>
        </is>
      </c>
      <c r="E104" s="2496" t="n"/>
      <c r="G104" s="2496" t="n"/>
      <c r="I104" s="2496" t="n"/>
      <c r="K104" s="2496" t="n"/>
      <c r="L104" s="2496" t="n"/>
    </row>
    <row r="105">
      <c r="B105" s="2488" t="inlineStr">
        <is>
          <t>Comments</t>
        </is>
      </c>
      <c r="E105" s="2495" t="n"/>
      <c r="G105" s="2495" t="n"/>
      <c r="I105" s="2495" t="n"/>
      <c r="K105" s="2495" t="n"/>
      <c r="L105" s="2495" t="n"/>
    </row>
    <row r="107">
      <c r="B107" s="2460" t="inlineStr">
        <is>
          <t>Tip: keep Source on Auto to use the picker's comp. Switch a sale to Manual and type its column here to override - the main grid, adjustments and conclusion update with no formula edits.</t>
        </is>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B7:D7"/>
    <mergeCell ref="L22:M22"/>
    <mergeCell ref="L9:M9"/>
    <mergeCell ref="D8:E8"/>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3">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 sqref="E7 G7 I7 K7 L7" showDropDown="0" showInputMessage="1" showErrorMessage="0" allowBlank="0" promptTitle="Comp source" prompt="Auto = use the comp the picker selected. Manual = use the value you type in the MANUAL OVERRIDES block below. Nothing breaks either way." type="list">
      <formula1>"Auto,Manual"</formula1>
    </dataValidation>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681"/>
  <sheetViews>
    <sheetView showGridLines="0" workbookViewId="0">
      <selection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s>
  <sheetData>
    <row r="1">
      <c r="B1" s="2381" t="inlineStr">
        <is>
          <t>MARSHALL AND SWIFT (MVS) REFERENCE ENGINE -- June 2024 Ed. (Section 99/98 multiplier inserts dated Jan 2025)</t>
        </is>
      </c>
    </row>
    <row r="2" ht="28" customHeight="1" s="1449">
      <c r="B2" s="2382" t="inlineStr">
        <is>
          <t>ALL WORKING INPUTS LIVE ON THE 'COST APPROACH' TAB -- this sheet is locked MVS reference/lookup data only. Go to Cost Approach to value a property.</t>
        </is>
      </c>
    </row>
    <row r="4">
      <c r="B4" s="2383" t="inlineStr">
        <is>
          <t>CURRENT RESULT  (mirrors the 'Cost Approach' tab)</t>
        </is>
      </c>
      <c r="C4" s="2383" t="n"/>
      <c r="D4" s="2383" t="n"/>
      <c r="E4" s="2383" t="n"/>
      <c r="F4" s="2383" t="n"/>
    </row>
    <row r="5">
      <c r="B5" s="2384" t="inlineStr">
        <is>
          <t>Total Replacement Cost New (RCN)</t>
        </is>
      </c>
      <c r="C5" s="2385">
        <f>'Cost Approach'!G51</f>
        <v/>
      </c>
    </row>
    <row r="6">
      <c r="B6" s="2384" t="inlineStr">
        <is>
          <t>Depreciated Value of Improvements</t>
        </is>
      </c>
      <c r="C6" s="2385">
        <f>'Cost Approach'!G64</f>
        <v/>
      </c>
    </row>
    <row r="7">
      <c r="B7" s="2384" t="inlineStr">
        <is>
          <t>Plus: Land Value</t>
        </is>
      </c>
      <c r="C7" s="2385">
        <f>'Cost Approach'!G67</f>
        <v/>
      </c>
    </row>
    <row r="8">
      <c r="B8" s="2384" t="inlineStr">
        <is>
          <t>INDICATED VALUE BY COST APPROACH</t>
        </is>
      </c>
      <c r="C8" s="2385">
        <f>'Cost Approach'!G70</f>
        <v/>
      </c>
    </row>
    <row r="11">
      <c r="B11" s="2386" t="inlineStr">
        <is>
          <t>MVS QUICK-REFERENCE TABLES -- DO NOT EDIT  (sourced &amp;amp; verified from the licensed MVS June 2024 edition; Sec.99/98 multiplier inserts dated Jan 2025)</t>
        </is>
      </c>
      <c r="C11" s="2386" t="n"/>
      <c r="D11" s="2386" t="n"/>
      <c r="E11" s="2386" t="n"/>
      <c r="F11" s="2386" t="n"/>
      <c r="G11" s="2386" t="n"/>
      <c r="H11" s="2386" t="n"/>
    </row>
    <row r="13">
      <c r="B13" s="2387" t="inlineStr">
        <is>
          <t>REFERENCE 1 -- Class of Construction Indicators (MVS Section 1, pp.4-9)</t>
        </is>
      </c>
      <c r="C13" s="2387" t="n"/>
      <c r="D13" s="2387" t="n"/>
      <c r="E13" s="2387" t="n"/>
      <c r="F13" s="2387" t="n"/>
      <c r="G13" s="2387" t="n"/>
      <c r="H13" s="2387" t="n"/>
    </row>
    <row r="14">
      <c r="B14" s="2388" t="inlineStr">
        <is>
          <t>Class</t>
        </is>
      </c>
      <c r="C14" s="2388" t="inlineStr">
        <is>
          <t>Frame</t>
        </is>
      </c>
      <c r="D14" s="2388" t="inlineStr">
        <is>
          <t>Floor</t>
        </is>
      </c>
      <c r="E14" s="2388" t="inlineStr">
        <is>
          <t>Roof</t>
        </is>
      </c>
      <c r="F14" s="2388" t="inlineStr">
        <is>
          <t>Walls</t>
        </is>
      </c>
    </row>
    <row r="15" ht="45" customHeight="1" s="1449">
      <c r="B15" s="2389" t="inlineStr">
        <is>
          <t>A</t>
        </is>
      </c>
      <c r="C15" s="2389" t="inlineStr">
        <is>
          <t>Structural steel columns and beams, fireproofed with masonry, concrete, plaster, or other noncombustible material.</t>
        </is>
      </c>
      <c r="D15" s="2389" t="inlineStr">
        <is>
          <t>Concrete or concrete on steel deck, fireproofed.</t>
        </is>
      </c>
      <c r="E15" s="2389" t="inlineStr">
        <is>
          <t>Formed concrete, precast slabs, concrete or gypsum on steel deck, fireproofed.</t>
        </is>
      </c>
      <c r="F15" s="2389" t="inlineStr">
        <is>
          <t>Nonbearing curtain walls, masonry, concrete, metal and glass panels, stone, steel studs and masonry, tile or stucco, etc.</t>
        </is>
      </c>
    </row>
    <row r="16" ht="45" customHeight="1" s="1449">
      <c r="B16" s="2389" t="inlineStr">
        <is>
          <t>B</t>
        </is>
      </c>
      <c r="C16" s="2389" t="inlineStr">
        <is>
          <t>Reinforced concrete columns and beams.</t>
        </is>
      </c>
      <c r="D16" s="2389" t="inlineStr">
        <is>
          <t>Concrete or concrete on steel deck, fireproofed.</t>
        </is>
      </c>
      <c r="E16" s="2389" t="inlineStr">
        <is>
          <t>Formed concrete, precast slabs, concrete or gypsum on steel deck, fireproofed.</t>
        </is>
      </c>
      <c r="F16" s="2389" t="inlineStr">
        <is>
          <t>Nonbearing curtain walls, masonry, concrete, metal and glass panels, stone, steel studs and masonry, tile or stucco, etc.</t>
        </is>
      </c>
    </row>
    <row r="17" ht="45" customHeight="1" s="1449">
      <c r="B17" s="2389" t="inlineStr">
        <is>
          <t>C</t>
        </is>
      </c>
      <c r="C17" s="2389" t="inlineStr">
        <is>
          <t>Masonry or concrete load-bearing walls with or without pilasters. Masonry, concrete or curtain walls with full or partial open steel, wood, or concrete frame.</t>
        </is>
      </c>
      <c r="D17" s="2389" t="inlineStr">
        <is>
          <t>Wood or concrete plank on wood or steel floor joists, or concrete slab on grade.</t>
        </is>
      </c>
      <c r="E17" s="2389" t="inlineStr">
        <is>
          <t>Wood or steel joists with wood or steel deck. Concrete plank.</t>
        </is>
      </c>
      <c r="F17" s="2389" t="inlineStr">
        <is>
          <t>Brick, concrete block, or tile masonry, tilt-up, formed concrete, nonbearing curtain walls.</t>
        </is>
      </c>
    </row>
    <row r="18" ht="45" customHeight="1" s="1449">
      <c r="B18" s="2389" t="inlineStr">
        <is>
          <t>D</t>
        </is>
      </c>
      <c r="C18" s="2389" t="inlineStr">
        <is>
          <t>Wood or steel studs in bearing wall, full or partial open wood or steel frame, primarily combustible construction.</t>
        </is>
      </c>
      <c r="D18" s="2389" t="inlineStr">
        <is>
          <t>Wood or steel floor joists or concrete slab on grade.</t>
        </is>
      </c>
      <c r="E18" s="2389" t="inlineStr">
        <is>
          <t>Wood or steel joists with wood or steel deck.</t>
        </is>
      </c>
      <c r="F18" s="2389" t="inlineStr">
        <is>
          <t>Almost any material except bearing or curtain walls of solid masonry or concrete. Generally combustible construction.</t>
        </is>
      </c>
    </row>
    <row r="19" ht="45" customHeight="1" s="1449">
      <c r="B19" s="2389" t="inlineStr">
        <is>
          <t>S</t>
        </is>
      </c>
      <c r="C19" s="2389" t="inlineStr">
        <is>
          <t>Metal bents, columns, girders, purlins and girts without fireproofing, incombustible construction.</t>
        </is>
      </c>
      <c r="D19" s="2389" t="inlineStr">
        <is>
          <t>Wood or steel deck on steel floor joists, or concrete slab on grade.</t>
        </is>
      </c>
      <c r="E19" s="2389" t="inlineStr">
        <is>
          <t>Steel or wood deck on steel joists.</t>
        </is>
      </c>
      <c r="F19" s="2389" t="inlineStr">
        <is>
          <t>Metal skin or sandwich panels. Generally incombustible.</t>
        </is>
      </c>
    </row>
    <row r="21">
      <c r="B21" s="2387" t="inlineStr">
        <is>
          <t>REFERENCE 2 -- Quality Tier Definitions (MVS Section 1, pp.10-12)</t>
        </is>
      </c>
      <c r="C21" s="2387" t="n"/>
      <c r="D21" s="2387" t="n"/>
      <c r="E21" s="2387" t="n"/>
      <c r="F21" s="2387" t="n"/>
      <c r="G21" s="2387" t="n"/>
      <c r="H21" s="2387" t="n"/>
    </row>
    <row r="22">
      <c r="B22" s="2388" t="inlineStr">
        <is>
          <t>Quality</t>
        </is>
      </c>
      <c r="C22" s="2388" t="inlineStr">
        <is>
          <t>Description</t>
        </is>
      </c>
    </row>
    <row r="23" ht="45" customHeight="1" s="1449">
      <c r="B23" t="inlineStr">
        <is>
          <t>Low Cost</t>
        </is>
      </c>
      <c r="C23" s="2389" t="inlineStr">
        <is>
          <t>Constructed to minimum code requirements, little regard for architectural appearance, minimum investment, little ornamentation, minimal/low-quality interior finish.</t>
        </is>
      </c>
    </row>
    <row r="24" ht="45" customHeight="1" s="1449">
      <c r="B24" t="inlineStr">
        <is>
          <t>Average</t>
        </is>
      </c>
      <c r="C24" s="2389" t="inlineStr">
        <is>
          <t>Largest group of buildings constructed (~50% of all buildings). Designed for maximum economic potential without pride-of-ownership amenities. Good standard code construction, simple ornamentation and finishes.</t>
        </is>
      </c>
    </row>
    <row r="25" ht="45" customHeight="1" s="1449">
      <c r="B25" t="inlineStr">
        <is>
          <t>Good</t>
        </is>
      </c>
      <c r="C25" s="2389" t="inlineStr">
        <is>
          <t>Designed for good appearance, comfort and convenience with an element of prestige. Higher-quality ornamental treatment, interiors designed for upper-class rentals, better lighting and mechanical work.</t>
        </is>
      </c>
    </row>
    <row r="26" ht="45" customHeight="1" s="1449">
      <c r="B26" t="inlineStr">
        <is>
          <t>Excellent</t>
        </is>
      </c>
      <c r="C26" s="2389" t="inlineStr">
        <is>
          <t>Prestige buildings. Part of cost is attributable to pride of ownership. Expensive finishes and fixtures; built for established professionals/institutions or high-profile tenants.</t>
        </is>
      </c>
    </row>
    <row r="28">
      <c r="B28" s="2387" t="inlineStr">
        <is>
          <t>REFERENCE 3 -- Occupancy Base Cost Tables (Calculator Method, $/SF)</t>
        </is>
      </c>
      <c r="C28" s="2387" t="n"/>
      <c r="D28" s="2387" t="n"/>
      <c r="E28" s="2387" t="n"/>
      <c r="F28" s="2387" t="n"/>
      <c r="G28" s="2387" t="n"/>
      <c r="H28" s="2387" t="n"/>
    </row>
    <row r="29">
      <c r="B29" s="2388" t="inlineStr">
        <is>
          <t>Occupancy Name</t>
        </is>
      </c>
      <c r="C29" s="2388" t="inlineStr">
        <is>
          <t>Occ. Code</t>
        </is>
      </c>
      <c r="D29" s="2388" t="inlineStr">
        <is>
          <t>Section</t>
        </is>
      </c>
      <c r="E29" s="2388" t="inlineStr">
        <is>
          <t>Page</t>
        </is>
      </c>
      <c r="F29" s="2388" t="inlineStr">
        <is>
          <t>Class</t>
        </is>
      </c>
      <c r="G29" s="2388" t="inlineStr">
        <is>
          <t>Quality</t>
        </is>
      </c>
      <c r="H29" s="2388" t="inlineStr">
        <is>
          <t>$/SF</t>
        </is>
      </c>
      <c r="I29" s="2388" t="inlineStr">
        <is>
          <t>Lookup Key</t>
        </is>
      </c>
      <c r="J29" s="2388" t="inlineStr">
        <is>
          <t>Story Tbl</t>
        </is>
      </c>
      <c r="K29" s="2388" t="inlineStr">
        <is>
          <t>Sprinkler Tbl</t>
        </is>
      </c>
      <c r="L29" s="2388" t="inlineStr">
        <is>
          <t>Elevator Tbl</t>
        </is>
      </c>
      <c r="M29" s="2388" t="inlineStr">
        <is>
          <t>Citation</t>
        </is>
      </c>
    </row>
    <row r="30">
      <c r="B30" t="inlineStr">
        <is>
          <t>Storage Warehouses</t>
        </is>
      </c>
      <c r="C30" t="inlineStr">
        <is>
          <t>406</t>
        </is>
      </c>
      <c r="D30" t="inlineStr">
        <is>
          <t>14</t>
        </is>
      </c>
      <c r="E30" t="inlineStr">
        <is>
          <t>26</t>
        </is>
      </c>
      <c r="F30" t="inlineStr">
        <is>
          <t>A</t>
        </is>
      </c>
      <c r="G30" t="inlineStr">
        <is>
          <t>Good</t>
        </is>
      </c>
      <c r="H30" s="2390" t="n">
        <v>137</v>
      </c>
      <c r="I30">
        <f>B30&amp;"~"&amp;F30&amp;"~"&amp;G30</f>
        <v/>
      </c>
      <c r="J30" t="inlineStr">
        <is>
          <t>14</t>
        </is>
      </c>
      <c r="K30" t="inlineStr">
        <is>
          <t>14</t>
        </is>
      </c>
      <c r="L30" t="inlineStr">
        <is>
          <t>14</t>
        </is>
      </c>
      <c r="M30" t="inlineStr">
        <is>
          <t>MVS Sec.14 p.26</t>
        </is>
      </c>
    </row>
    <row r="31">
      <c r="B31" t="inlineStr">
        <is>
          <t>Storage Warehouses</t>
        </is>
      </c>
      <c r="C31" t="inlineStr">
        <is>
          <t>406</t>
        </is>
      </c>
      <c r="D31" t="inlineStr">
        <is>
          <t>14</t>
        </is>
      </c>
      <c r="E31" t="inlineStr">
        <is>
          <t>26</t>
        </is>
      </c>
      <c r="F31" t="inlineStr">
        <is>
          <t>A</t>
        </is>
      </c>
      <c r="G31" t="inlineStr">
        <is>
          <t>Average</t>
        </is>
      </c>
      <c r="H31" s="2390" t="n">
        <v>101</v>
      </c>
      <c r="I31">
        <f>B31&amp;"~"&amp;F31&amp;"~"&amp;G31</f>
        <v/>
      </c>
      <c r="J31" t="inlineStr">
        <is>
          <t>14</t>
        </is>
      </c>
      <c r="K31" t="inlineStr">
        <is>
          <t>14</t>
        </is>
      </c>
      <c r="L31" t="inlineStr">
        <is>
          <t>14</t>
        </is>
      </c>
      <c r="M31" t="inlineStr">
        <is>
          <t>MVS Sec.14 p.26</t>
        </is>
      </c>
    </row>
    <row r="32">
      <c r="B32" t="inlineStr">
        <is>
          <t>Storage Warehouses</t>
        </is>
      </c>
      <c r="C32" t="inlineStr">
        <is>
          <t>406</t>
        </is>
      </c>
      <c r="D32" t="inlineStr">
        <is>
          <t>14</t>
        </is>
      </c>
      <c r="E32" t="inlineStr">
        <is>
          <t>26</t>
        </is>
      </c>
      <c r="F32" t="inlineStr">
        <is>
          <t>A</t>
        </is>
      </c>
      <c r="G32" t="inlineStr">
        <is>
          <t>Low Cost</t>
        </is>
      </c>
      <c r="H32" s="2390" t="n">
        <v>79.5</v>
      </c>
      <c r="I32">
        <f>B32&amp;"~"&amp;F32&amp;"~"&amp;G32</f>
        <v/>
      </c>
      <c r="J32" t="inlineStr">
        <is>
          <t>14</t>
        </is>
      </c>
      <c r="K32" t="inlineStr">
        <is>
          <t>14</t>
        </is>
      </c>
      <c r="L32" t="inlineStr">
        <is>
          <t>14</t>
        </is>
      </c>
      <c r="M32" t="inlineStr">
        <is>
          <t>MVS Sec.14 p.26</t>
        </is>
      </c>
    </row>
    <row r="33">
      <c r="B33" t="inlineStr">
        <is>
          <t>Storage Warehouses</t>
        </is>
      </c>
      <c r="C33" t="inlineStr">
        <is>
          <t>406</t>
        </is>
      </c>
      <c r="D33" t="inlineStr">
        <is>
          <t>14</t>
        </is>
      </c>
      <c r="E33" t="inlineStr">
        <is>
          <t>26</t>
        </is>
      </c>
      <c r="F33" t="inlineStr">
        <is>
          <t>B</t>
        </is>
      </c>
      <c r="G33" t="inlineStr">
        <is>
          <t>Good</t>
        </is>
      </c>
      <c r="H33" s="2390" t="n">
        <v>121</v>
      </c>
      <c r="I33">
        <f>B33&amp;"~"&amp;F33&amp;"~"&amp;G33</f>
        <v/>
      </c>
      <c r="J33" t="inlineStr">
        <is>
          <t>14</t>
        </is>
      </c>
      <c r="K33" t="inlineStr">
        <is>
          <t>14</t>
        </is>
      </c>
      <c r="L33" t="inlineStr">
        <is>
          <t>14</t>
        </is>
      </c>
      <c r="M33" t="inlineStr">
        <is>
          <t>MVS Sec.14 p.26</t>
        </is>
      </c>
    </row>
    <row r="34">
      <c r="B34" t="inlineStr">
        <is>
          <t>Storage Warehouses</t>
        </is>
      </c>
      <c r="C34" t="inlineStr">
        <is>
          <t>406</t>
        </is>
      </c>
      <c r="D34" t="inlineStr">
        <is>
          <t>14</t>
        </is>
      </c>
      <c r="E34" t="inlineStr">
        <is>
          <t>26</t>
        </is>
      </c>
      <c r="F34" t="inlineStr">
        <is>
          <t>B</t>
        </is>
      </c>
      <c r="G34" t="inlineStr">
        <is>
          <t>Average</t>
        </is>
      </c>
      <c r="H34" s="2390" t="n">
        <v>88</v>
      </c>
      <c r="I34">
        <f>B34&amp;"~"&amp;F34&amp;"~"&amp;G34</f>
        <v/>
      </c>
      <c r="J34" t="inlineStr">
        <is>
          <t>14</t>
        </is>
      </c>
      <c r="K34" t="inlineStr">
        <is>
          <t>14</t>
        </is>
      </c>
      <c r="L34" t="inlineStr">
        <is>
          <t>14</t>
        </is>
      </c>
      <c r="M34" t="inlineStr">
        <is>
          <t>MVS Sec.14 p.26</t>
        </is>
      </c>
    </row>
    <row r="35">
      <c r="B35" t="inlineStr">
        <is>
          <t>Storage Warehouses</t>
        </is>
      </c>
      <c r="C35" t="inlineStr">
        <is>
          <t>406</t>
        </is>
      </c>
      <c r="D35" t="inlineStr">
        <is>
          <t>14</t>
        </is>
      </c>
      <c r="E35" t="inlineStr">
        <is>
          <t>26</t>
        </is>
      </c>
      <c r="F35" t="inlineStr">
        <is>
          <t>B</t>
        </is>
      </c>
      <c r="G35" t="inlineStr">
        <is>
          <t>Low Cost</t>
        </is>
      </c>
      <c r="H35" s="2390" t="n">
        <v>69</v>
      </c>
      <c r="I35">
        <f>B35&amp;"~"&amp;F35&amp;"~"&amp;G35</f>
        <v/>
      </c>
      <c r="J35" t="inlineStr">
        <is>
          <t>14</t>
        </is>
      </c>
      <c r="K35" t="inlineStr">
        <is>
          <t>14</t>
        </is>
      </c>
      <c r="L35" t="inlineStr">
        <is>
          <t>14</t>
        </is>
      </c>
      <c r="M35" t="inlineStr">
        <is>
          <t>MVS Sec.14 p.26</t>
        </is>
      </c>
    </row>
    <row r="36">
      <c r="B36" t="inlineStr">
        <is>
          <t>Storage Warehouses</t>
        </is>
      </c>
      <c r="C36" t="inlineStr">
        <is>
          <t>406</t>
        </is>
      </c>
      <c r="D36" t="inlineStr">
        <is>
          <t>14</t>
        </is>
      </c>
      <c r="E36" t="inlineStr">
        <is>
          <t>26</t>
        </is>
      </c>
      <c r="F36" t="inlineStr">
        <is>
          <t>C</t>
        </is>
      </c>
      <c r="G36" t="inlineStr">
        <is>
          <t>Excellent</t>
        </is>
      </c>
      <c r="H36" s="2390" t="n">
        <v>134</v>
      </c>
      <c r="I36">
        <f>B36&amp;"~"&amp;F36&amp;"~"&amp;G36</f>
        <v/>
      </c>
      <c r="J36" t="inlineStr">
        <is>
          <t>14</t>
        </is>
      </c>
      <c r="K36" t="inlineStr">
        <is>
          <t>14</t>
        </is>
      </c>
      <c r="L36" t="inlineStr">
        <is>
          <t>14</t>
        </is>
      </c>
      <c r="M36" t="inlineStr">
        <is>
          <t>MVS Sec.14 p.26</t>
        </is>
      </c>
    </row>
    <row r="37">
      <c r="B37" t="inlineStr">
        <is>
          <t>Storage Warehouses</t>
        </is>
      </c>
      <c r="C37" t="inlineStr">
        <is>
          <t>406</t>
        </is>
      </c>
      <c r="D37" t="inlineStr">
        <is>
          <t>14</t>
        </is>
      </c>
      <c r="E37" t="inlineStr">
        <is>
          <t>26</t>
        </is>
      </c>
      <c r="F37" t="inlineStr">
        <is>
          <t>C</t>
        </is>
      </c>
      <c r="G37" t="inlineStr">
        <is>
          <t>Good</t>
        </is>
      </c>
      <c r="H37" s="2390" t="n">
        <v>86.5</v>
      </c>
      <c r="I37">
        <f>B37&amp;"~"&amp;F37&amp;"~"&amp;G37</f>
        <v/>
      </c>
      <c r="J37" t="inlineStr">
        <is>
          <t>14</t>
        </is>
      </c>
      <c r="K37" t="inlineStr">
        <is>
          <t>14</t>
        </is>
      </c>
      <c r="L37" t="inlineStr">
        <is>
          <t>14</t>
        </is>
      </c>
      <c r="M37" t="inlineStr">
        <is>
          <t>MVS Sec.14 p.26</t>
        </is>
      </c>
    </row>
    <row r="38">
      <c r="B38" t="inlineStr">
        <is>
          <t>Storage Warehouses</t>
        </is>
      </c>
      <c r="C38" t="inlineStr">
        <is>
          <t>406</t>
        </is>
      </c>
      <c r="D38" t="inlineStr">
        <is>
          <t>14</t>
        </is>
      </c>
      <c r="E38" t="inlineStr">
        <is>
          <t>26</t>
        </is>
      </c>
      <c r="F38" t="inlineStr">
        <is>
          <t>C</t>
        </is>
      </c>
      <c r="G38" t="inlineStr">
        <is>
          <t>Average</t>
        </is>
      </c>
      <c r="H38" s="2390" t="n">
        <v>61</v>
      </c>
      <c r="I38">
        <f>B38&amp;"~"&amp;F38&amp;"~"&amp;G38</f>
        <v/>
      </c>
      <c r="J38" t="inlineStr">
        <is>
          <t>14</t>
        </is>
      </c>
      <c r="K38" t="inlineStr">
        <is>
          <t>14</t>
        </is>
      </c>
      <c r="L38" t="inlineStr">
        <is>
          <t>14</t>
        </is>
      </c>
      <c r="M38" t="inlineStr">
        <is>
          <t>MVS Sec.14 p.26</t>
        </is>
      </c>
    </row>
    <row r="39">
      <c r="B39" t="inlineStr">
        <is>
          <t>Storage Warehouses</t>
        </is>
      </c>
      <c r="C39" t="inlineStr">
        <is>
          <t>406</t>
        </is>
      </c>
      <c r="D39" t="inlineStr">
        <is>
          <t>14</t>
        </is>
      </c>
      <c r="E39" t="inlineStr">
        <is>
          <t>26</t>
        </is>
      </c>
      <c r="F39" t="inlineStr">
        <is>
          <t>C</t>
        </is>
      </c>
      <c r="G39" t="inlineStr">
        <is>
          <t>Low Cost</t>
        </is>
      </c>
      <c r="H39" s="2390" t="n">
        <v>43</v>
      </c>
      <c r="I39">
        <f>B39&amp;"~"&amp;F39&amp;"~"&amp;G39</f>
        <v/>
      </c>
      <c r="J39" t="inlineStr">
        <is>
          <t>14</t>
        </is>
      </c>
      <c r="K39" t="inlineStr">
        <is>
          <t>14</t>
        </is>
      </c>
      <c r="L39" t="inlineStr">
        <is>
          <t>14</t>
        </is>
      </c>
      <c r="M39" t="inlineStr">
        <is>
          <t>MVS Sec.14 p.26</t>
        </is>
      </c>
    </row>
    <row r="40">
      <c r="B40" t="inlineStr">
        <is>
          <t>Storage Warehouses</t>
        </is>
      </c>
      <c r="C40" t="inlineStr">
        <is>
          <t>406</t>
        </is>
      </c>
      <c r="D40" t="inlineStr">
        <is>
          <t>14</t>
        </is>
      </c>
      <c r="E40" t="inlineStr">
        <is>
          <t>26</t>
        </is>
      </c>
      <c r="F40" t="inlineStr">
        <is>
          <t>CMILL</t>
        </is>
      </c>
      <c r="G40" t="inlineStr">
        <is>
          <t>Good</t>
        </is>
      </c>
      <c r="H40" s="2390" t="n">
        <v>119</v>
      </c>
      <c r="I40">
        <f>B40&amp;"~"&amp;F40&amp;"~"&amp;G40</f>
        <v/>
      </c>
      <c r="J40" t="inlineStr">
        <is>
          <t>14</t>
        </is>
      </c>
      <c r="K40" t="inlineStr">
        <is>
          <t>14</t>
        </is>
      </c>
      <c r="L40" t="inlineStr">
        <is>
          <t>14</t>
        </is>
      </c>
      <c r="M40" t="inlineStr">
        <is>
          <t>MVS Sec.14 p.26</t>
        </is>
      </c>
    </row>
    <row r="41">
      <c r="B41" t="inlineStr">
        <is>
          <t>Storage Warehouses</t>
        </is>
      </c>
      <c r="C41" t="inlineStr">
        <is>
          <t>406</t>
        </is>
      </c>
      <c r="D41" t="inlineStr">
        <is>
          <t>14</t>
        </is>
      </c>
      <c r="E41" t="inlineStr">
        <is>
          <t>26</t>
        </is>
      </c>
      <c r="F41" t="inlineStr">
        <is>
          <t>CMILL</t>
        </is>
      </c>
      <c r="G41" t="inlineStr">
        <is>
          <t>Average</t>
        </is>
      </c>
      <c r="H41" s="2390" t="n">
        <v>82</v>
      </c>
      <c r="I41">
        <f>B41&amp;"~"&amp;F41&amp;"~"&amp;G41</f>
        <v/>
      </c>
      <c r="J41" t="inlineStr">
        <is>
          <t>14</t>
        </is>
      </c>
      <c r="K41" t="inlineStr">
        <is>
          <t>14</t>
        </is>
      </c>
      <c r="L41" t="inlineStr">
        <is>
          <t>14</t>
        </is>
      </c>
      <c r="M41" t="inlineStr">
        <is>
          <t>MVS Sec.14 p.26</t>
        </is>
      </c>
    </row>
    <row r="42">
      <c r="B42" t="inlineStr">
        <is>
          <t>Storage Warehouses</t>
        </is>
      </c>
      <c r="C42" t="inlineStr">
        <is>
          <t>406</t>
        </is>
      </c>
      <c r="D42" t="inlineStr">
        <is>
          <t>14</t>
        </is>
      </c>
      <c r="E42" t="inlineStr">
        <is>
          <t>26</t>
        </is>
      </c>
      <c r="F42" t="inlineStr">
        <is>
          <t>D</t>
        </is>
      </c>
      <c r="G42" t="inlineStr">
        <is>
          <t>Good</t>
        </is>
      </c>
      <c r="H42" s="2390" t="n">
        <v>78</v>
      </c>
      <c r="I42">
        <f>B42&amp;"~"&amp;F42&amp;"~"&amp;G42</f>
        <v/>
      </c>
      <c r="J42" t="inlineStr">
        <is>
          <t>14</t>
        </is>
      </c>
      <c r="K42" t="inlineStr">
        <is>
          <t>14</t>
        </is>
      </c>
      <c r="L42" t="inlineStr">
        <is>
          <t>14</t>
        </is>
      </c>
      <c r="M42" t="inlineStr">
        <is>
          <t>MVS Sec.14 p.26</t>
        </is>
      </c>
    </row>
    <row r="43">
      <c r="B43" t="inlineStr">
        <is>
          <t>Storage Warehouses</t>
        </is>
      </c>
      <c r="C43" t="inlineStr">
        <is>
          <t>406</t>
        </is>
      </c>
      <c r="D43" t="inlineStr">
        <is>
          <t>14</t>
        </is>
      </c>
      <c r="E43" t="inlineStr">
        <is>
          <t>26</t>
        </is>
      </c>
      <c r="F43" t="inlineStr">
        <is>
          <t>D</t>
        </is>
      </c>
      <c r="G43" t="inlineStr">
        <is>
          <t>Average</t>
        </is>
      </c>
      <c r="H43" s="2390" t="n">
        <v>54.5</v>
      </c>
      <c r="I43">
        <f>B43&amp;"~"&amp;F43&amp;"~"&amp;G43</f>
        <v/>
      </c>
      <c r="J43" t="inlineStr">
        <is>
          <t>14</t>
        </is>
      </c>
      <c r="K43" t="inlineStr">
        <is>
          <t>14</t>
        </is>
      </c>
      <c r="L43" t="inlineStr">
        <is>
          <t>14</t>
        </is>
      </c>
      <c r="M43" t="inlineStr">
        <is>
          <t>MVS Sec.14 p.26</t>
        </is>
      </c>
    </row>
    <row r="44">
      <c r="B44" t="inlineStr">
        <is>
          <t>Storage Warehouses</t>
        </is>
      </c>
      <c r="C44" t="inlineStr">
        <is>
          <t>406</t>
        </is>
      </c>
      <c r="D44" t="inlineStr">
        <is>
          <t>14</t>
        </is>
      </c>
      <c r="E44" t="inlineStr">
        <is>
          <t>26</t>
        </is>
      </c>
      <c r="F44" t="inlineStr">
        <is>
          <t>D</t>
        </is>
      </c>
      <c r="G44" t="inlineStr">
        <is>
          <t>Low Cost</t>
        </is>
      </c>
      <c r="H44" s="2390" t="n">
        <v>38.75</v>
      </c>
      <c r="I44">
        <f>B44&amp;"~"&amp;F44&amp;"~"&amp;G44</f>
        <v/>
      </c>
      <c r="J44" t="inlineStr">
        <is>
          <t>14</t>
        </is>
      </c>
      <c r="K44" t="inlineStr">
        <is>
          <t>14</t>
        </is>
      </c>
      <c r="L44" t="inlineStr">
        <is>
          <t>14</t>
        </is>
      </c>
      <c r="M44" t="inlineStr">
        <is>
          <t>MVS Sec.14 p.26</t>
        </is>
      </c>
    </row>
    <row r="45">
      <c r="B45" t="inlineStr">
        <is>
          <t>Storage Warehouses</t>
        </is>
      </c>
      <c r="C45" t="inlineStr">
        <is>
          <t>406</t>
        </is>
      </c>
      <c r="D45" t="inlineStr">
        <is>
          <t>14</t>
        </is>
      </c>
      <c r="E45" t="inlineStr">
        <is>
          <t>26</t>
        </is>
      </c>
      <c r="F45" t="inlineStr">
        <is>
          <t>DPOLE</t>
        </is>
      </c>
      <c r="G45" t="inlineStr">
        <is>
          <t>Average</t>
        </is>
      </c>
      <c r="H45" s="2390" t="n">
        <v>48</v>
      </c>
      <c r="I45">
        <f>B45&amp;"~"&amp;F45&amp;"~"&amp;G45</f>
        <v/>
      </c>
      <c r="J45" t="inlineStr">
        <is>
          <t>14</t>
        </is>
      </c>
      <c r="K45" t="inlineStr">
        <is>
          <t>14</t>
        </is>
      </c>
      <c r="L45" t="inlineStr">
        <is>
          <t>14</t>
        </is>
      </c>
      <c r="M45" t="inlineStr">
        <is>
          <t>MVS Sec.14 p.26</t>
        </is>
      </c>
    </row>
    <row r="46">
      <c r="B46" t="inlineStr">
        <is>
          <t>Storage Warehouses</t>
        </is>
      </c>
      <c r="C46" t="inlineStr">
        <is>
          <t>406</t>
        </is>
      </c>
      <c r="D46" t="inlineStr">
        <is>
          <t>14</t>
        </is>
      </c>
      <c r="E46" t="inlineStr">
        <is>
          <t>26</t>
        </is>
      </c>
      <c r="F46" t="inlineStr">
        <is>
          <t>DPOLE</t>
        </is>
      </c>
      <c r="G46" t="inlineStr">
        <is>
          <t>Low Cost</t>
        </is>
      </c>
      <c r="H46" s="2390" t="n">
        <v>34</v>
      </c>
      <c r="I46">
        <f>B46&amp;"~"&amp;F46&amp;"~"&amp;G46</f>
        <v/>
      </c>
      <c r="J46" t="inlineStr">
        <is>
          <t>14</t>
        </is>
      </c>
      <c r="K46" t="inlineStr">
        <is>
          <t>14</t>
        </is>
      </c>
      <c r="L46" t="inlineStr">
        <is>
          <t>14</t>
        </is>
      </c>
      <c r="M46" t="inlineStr">
        <is>
          <t>MVS Sec.14 p.26</t>
        </is>
      </c>
    </row>
    <row r="47">
      <c r="B47" t="inlineStr">
        <is>
          <t>Storage Warehouses</t>
        </is>
      </c>
      <c r="C47" t="inlineStr">
        <is>
          <t>406</t>
        </is>
      </c>
      <c r="D47" t="inlineStr">
        <is>
          <t>14</t>
        </is>
      </c>
      <c r="E47" t="inlineStr">
        <is>
          <t>26</t>
        </is>
      </c>
      <c r="F47" t="inlineStr">
        <is>
          <t>S</t>
        </is>
      </c>
      <c r="G47" t="inlineStr">
        <is>
          <t>Excellent</t>
        </is>
      </c>
      <c r="H47" s="2390" t="n">
        <v>125</v>
      </c>
      <c r="I47">
        <f>B47&amp;"~"&amp;F47&amp;"~"&amp;G47</f>
        <v/>
      </c>
      <c r="J47" t="inlineStr">
        <is>
          <t>14</t>
        </is>
      </c>
      <c r="K47" t="inlineStr">
        <is>
          <t>14</t>
        </is>
      </c>
      <c r="L47" t="inlineStr">
        <is>
          <t>14</t>
        </is>
      </c>
      <c r="M47" t="inlineStr">
        <is>
          <t>MVS Sec.14 p.26</t>
        </is>
      </c>
    </row>
    <row r="48">
      <c r="B48" t="inlineStr">
        <is>
          <t>Storage Warehouses</t>
        </is>
      </c>
      <c r="C48" t="inlineStr">
        <is>
          <t>406</t>
        </is>
      </c>
      <c r="D48" t="inlineStr">
        <is>
          <t>14</t>
        </is>
      </c>
      <c r="E48" t="inlineStr">
        <is>
          <t>26</t>
        </is>
      </c>
      <c r="F48" t="inlineStr">
        <is>
          <t>S</t>
        </is>
      </c>
      <c r="G48" t="inlineStr">
        <is>
          <t>Good</t>
        </is>
      </c>
      <c r="H48" s="2390" t="n">
        <v>79.5</v>
      </c>
      <c r="I48">
        <f>B48&amp;"~"&amp;F48&amp;"~"&amp;G48</f>
        <v/>
      </c>
      <c r="J48" t="inlineStr">
        <is>
          <t>14</t>
        </is>
      </c>
      <c r="K48" t="inlineStr">
        <is>
          <t>14</t>
        </is>
      </c>
      <c r="L48" t="inlineStr">
        <is>
          <t>14</t>
        </is>
      </c>
      <c r="M48" t="inlineStr">
        <is>
          <t>MVS Sec.14 p.26</t>
        </is>
      </c>
    </row>
    <row r="49">
      <c r="B49" t="inlineStr">
        <is>
          <t>Storage Warehouses</t>
        </is>
      </c>
      <c r="C49" t="inlineStr">
        <is>
          <t>406</t>
        </is>
      </c>
      <c r="D49" t="inlineStr">
        <is>
          <t>14</t>
        </is>
      </c>
      <c r="E49" t="inlineStr">
        <is>
          <t>26</t>
        </is>
      </c>
      <c r="F49" t="inlineStr">
        <is>
          <t>S</t>
        </is>
      </c>
      <c r="G49" t="inlineStr">
        <is>
          <t>Average</t>
        </is>
      </c>
      <c r="H49" s="2390" t="n">
        <v>55.5</v>
      </c>
      <c r="I49">
        <f>B49&amp;"~"&amp;F49&amp;"~"&amp;G49</f>
        <v/>
      </c>
      <c r="J49" t="inlineStr">
        <is>
          <t>14</t>
        </is>
      </c>
      <c r="K49" t="inlineStr">
        <is>
          <t>14</t>
        </is>
      </c>
      <c r="L49" t="inlineStr">
        <is>
          <t>14</t>
        </is>
      </c>
      <c r="M49" t="inlineStr">
        <is>
          <t>MVS Sec.14 p.26</t>
        </is>
      </c>
    </row>
    <row r="50">
      <c r="B50" t="inlineStr">
        <is>
          <t>Storage Warehouses</t>
        </is>
      </c>
      <c r="C50" t="inlineStr">
        <is>
          <t>406</t>
        </is>
      </c>
      <c r="D50" t="inlineStr">
        <is>
          <t>14</t>
        </is>
      </c>
      <c r="E50" t="inlineStr">
        <is>
          <t>26</t>
        </is>
      </c>
      <c r="F50" t="inlineStr">
        <is>
          <t>S</t>
        </is>
      </c>
      <c r="G50" t="inlineStr">
        <is>
          <t>Low Cost</t>
        </is>
      </c>
      <c r="H50" s="2390" t="n">
        <v>38.75</v>
      </c>
      <c r="I50">
        <f>B50&amp;"~"&amp;F50&amp;"~"&amp;G50</f>
        <v/>
      </c>
      <c r="J50" t="inlineStr">
        <is>
          <t>14</t>
        </is>
      </c>
      <c r="K50" t="inlineStr">
        <is>
          <t>14</t>
        </is>
      </c>
      <c r="L50" t="inlineStr">
        <is>
          <t>14</t>
        </is>
      </c>
      <c r="M50" t="inlineStr">
        <is>
          <t>MVS Sec.14 p.26</t>
        </is>
      </c>
    </row>
    <row r="51">
      <c r="B51" t="inlineStr">
        <is>
          <t>Distribution Warehouses</t>
        </is>
      </c>
      <c r="C51" t="inlineStr">
        <is>
          <t>407</t>
        </is>
      </c>
      <c r="D51" t="inlineStr">
        <is>
          <t>14</t>
        </is>
      </c>
      <c r="E51" t="inlineStr">
        <is>
          <t>23</t>
        </is>
      </c>
      <c r="F51" t="inlineStr">
        <is>
          <t>A</t>
        </is>
      </c>
      <c r="G51" t="inlineStr">
        <is>
          <t>Good</t>
        </is>
      </c>
      <c r="H51" s="2390" t="n">
        <v>161</v>
      </c>
      <c r="I51">
        <f>B51&amp;"~"&amp;F51&amp;"~"&amp;G51</f>
        <v/>
      </c>
      <c r="J51" t="inlineStr">
        <is>
          <t>14</t>
        </is>
      </c>
      <c r="K51" t="inlineStr">
        <is>
          <t>14</t>
        </is>
      </c>
      <c r="L51" t="inlineStr">
        <is>
          <t>14</t>
        </is>
      </c>
      <c r="M51" t="inlineStr">
        <is>
          <t>MVS Sec.14 p.23</t>
        </is>
      </c>
    </row>
    <row r="52">
      <c r="B52" t="inlineStr">
        <is>
          <t>Distribution Warehouses</t>
        </is>
      </c>
      <c r="C52" t="inlineStr">
        <is>
          <t>407</t>
        </is>
      </c>
      <c r="D52" t="inlineStr">
        <is>
          <t>14</t>
        </is>
      </c>
      <c r="E52" t="inlineStr">
        <is>
          <t>23</t>
        </is>
      </c>
      <c r="F52" t="inlineStr">
        <is>
          <t>A</t>
        </is>
      </c>
      <c r="G52" t="inlineStr">
        <is>
          <t>Average</t>
        </is>
      </c>
      <c r="H52" s="2390" t="n">
        <v>123</v>
      </c>
      <c r="I52">
        <f>B52&amp;"~"&amp;F52&amp;"~"&amp;G52</f>
        <v/>
      </c>
      <c r="J52" t="inlineStr">
        <is>
          <t>14</t>
        </is>
      </c>
      <c r="K52" t="inlineStr">
        <is>
          <t>14</t>
        </is>
      </c>
      <c r="L52" t="inlineStr">
        <is>
          <t>14</t>
        </is>
      </c>
      <c r="M52" t="inlineStr">
        <is>
          <t>MVS Sec.14 p.23</t>
        </is>
      </c>
    </row>
    <row r="53">
      <c r="B53" t="inlineStr">
        <is>
          <t>Distribution Warehouses</t>
        </is>
      </c>
      <c r="C53" t="inlineStr">
        <is>
          <t>407</t>
        </is>
      </c>
      <c r="D53" t="inlineStr">
        <is>
          <t>14</t>
        </is>
      </c>
      <c r="E53" t="inlineStr">
        <is>
          <t>23</t>
        </is>
      </c>
      <c r="F53" t="inlineStr">
        <is>
          <t>B</t>
        </is>
      </c>
      <c r="G53" t="inlineStr">
        <is>
          <t>Good</t>
        </is>
      </c>
      <c r="H53" s="2390" t="n">
        <v>144</v>
      </c>
      <c r="I53">
        <f>B53&amp;"~"&amp;F53&amp;"~"&amp;G53</f>
        <v/>
      </c>
      <c r="J53" t="inlineStr">
        <is>
          <t>14</t>
        </is>
      </c>
      <c r="K53" t="inlineStr">
        <is>
          <t>14</t>
        </is>
      </c>
      <c r="L53" t="inlineStr">
        <is>
          <t>14</t>
        </is>
      </c>
      <c r="M53" t="inlineStr">
        <is>
          <t>MVS Sec.14 p.23</t>
        </is>
      </c>
    </row>
    <row r="54">
      <c r="B54" t="inlineStr">
        <is>
          <t>Distribution Warehouses</t>
        </is>
      </c>
      <c r="C54" t="inlineStr">
        <is>
          <t>407</t>
        </is>
      </c>
      <c r="D54" t="inlineStr">
        <is>
          <t>14</t>
        </is>
      </c>
      <c r="E54" t="inlineStr">
        <is>
          <t>23</t>
        </is>
      </c>
      <c r="F54" t="inlineStr">
        <is>
          <t>B</t>
        </is>
      </c>
      <c r="G54" t="inlineStr">
        <is>
          <t>Average</t>
        </is>
      </c>
      <c r="H54" s="2390" t="n">
        <v>108</v>
      </c>
      <c r="I54">
        <f>B54&amp;"~"&amp;F54&amp;"~"&amp;G54</f>
        <v/>
      </c>
      <c r="J54" t="inlineStr">
        <is>
          <t>14</t>
        </is>
      </c>
      <c r="K54" t="inlineStr">
        <is>
          <t>14</t>
        </is>
      </c>
      <c r="L54" t="inlineStr">
        <is>
          <t>14</t>
        </is>
      </c>
      <c r="M54" t="inlineStr">
        <is>
          <t>MVS Sec.14 p.23</t>
        </is>
      </c>
    </row>
    <row r="55">
      <c r="B55" t="inlineStr">
        <is>
          <t>Distribution Warehouses</t>
        </is>
      </c>
      <c r="C55" t="inlineStr">
        <is>
          <t>407</t>
        </is>
      </c>
      <c r="D55" t="inlineStr">
        <is>
          <t>14</t>
        </is>
      </c>
      <c r="E55" t="inlineStr">
        <is>
          <t>23</t>
        </is>
      </c>
      <c r="F55" t="inlineStr">
        <is>
          <t>C</t>
        </is>
      </c>
      <c r="G55" t="inlineStr">
        <is>
          <t>Excellent</t>
        </is>
      </c>
      <c r="H55" s="2390" t="n">
        <v>150</v>
      </c>
      <c r="I55">
        <f>B55&amp;"~"&amp;F55&amp;"~"&amp;G55</f>
        <v/>
      </c>
      <c r="J55" t="inlineStr">
        <is>
          <t>14</t>
        </is>
      </c>
      <c r="K55" t="inlineStr">
        <is>
          <t>14</t>
        </is>
      </c>
      <c r="L55" t="inlineStr">
        <is>
          <t>14</t>
        </is>
      </c>
      <c r="M55" t="inlineStr">
        <is>
          <t>MVS Sec.14 p.23</t>
        </is>
      </c>
    </row>
    <row r="56">
      <c r="B56" t="inlineStr">
        <is>
          <t>Distribution Warehouses</t>
        </is>
      </c>
      <c r="C56" t="inlineStr">
        <is>
          <t>407</t>
        </is>
      </c>
      <c r="D56" t="inlineStr">
        <is>
          <t>14</t>
        </is>
      </c>
      <c r="E56" t="inlineStr">
        <is>
          <t>23</t>
        </is>
      </c>
      <c r="F56" t="inlineStr">
        <is>
          <t>C</t>
        </is>
      </c>
      <c r="G56" t="inlineStr">
        <is>
          <t>Good</t>
        </is>
      </c>
      <c r="H56" s="2390" t="n">
        <v>103</v>
      </c>
      <c r="I56">
        <f>B56&amp;"~"&amp;F56&amp;"~"&amp;G56</f>
        <v/>
      </c>
      <c r="J56" t="inlineStr">
        <is>
          <t>14</t>
        </is>
      </c>
      <c r="K56" t="inlineStr">
        <is>
          <t>14</t>
        </is>
      </c>
      <c r="L56" t="inlineStr">
        <is>
          <t>14</t>
        </is>
      </c>
      <c r="M56" t="inlineStr">
        <is>
          <t>MVS Sec.14 p.23</t>
        </is>
      </c>
    </row>
    <row r="57">
      <c r="B57" t="inlineStr">
        <is>
          <t>Distribution Warehouses</t>
        </is>
      </c>
      <c r="C57" t="inlineStr">
        <is>
          <t>407</t>
        </is>
      </c>
      <c r="D57" t="inlineStr">
        <is>
          <t>14</t>
        </is>
      </c>
      <c r="E57" t="inlineStr">
        <is>
          <t>23</t>
        </is>
      </c>
      <c r="F57" t="inlineStr">
        <is>
          <t>C</t>
        </is>
      </c>
      <c r="G57" t="inlineStr">
        <is>
          <t>Average</t>
        </is>
      </c>
      <c r="H57" s="2390" t="n">
        <v>70.5</v>
      </c>
      <c r="I57">
        <f>B57&amp;"~"&amp;F57&amp;"~"&amp;G57</f>
        <v/>
      </c>
      <c r="J57" t="inlineStr">
        <is>
          <t>14</t>
        </is>
      </c>
      <c r="K57" t="inlineStr">
        <is>
          <t>14</t>
        </is>
      </c>
      <c r="L57" t="inlineStr">
        <is>
          <t>14</t>
        </is>
      </c>
      <c r="M57" t="inlineStr">
        <is>
          <t>MVS Sec.14 p.23</t>
        </is>
      </c>
    </row>
    <row r="58">
      <c r="B58" t="inlineStr">
        <is>
          <t>Distribution Warehouses</t>
        </is>
      </c>
      <c r="C58" t="inlineStr">
        <is>
          <t>407</t>
        </is>
      </c>
      <c r="D58" t="inlineStr">
        <is>
          <t>14</t>
        </is>
      </c>
      <c r="E58" t="inlineStr">
        <is>
          <t>23</t>
        </is>
      </c>
      <c r="F58" t="inlineStr">
        <is>
          <t>C</t>
        </is>
      </c>
      <c r="G58" t="inlineStr">
        <is>
          <t>Low Cost</t>
        </is>
      </c>
      <c r="H58" s="2390" t="n">
        <v>50.5</v>
      </c>
      <c r="I58">
        <f>B58&amp;"~"&amp;F58&amp;"~"&amp;G58</f>
        <v/>
      </c>
      <c r="J58" t="inlineStr">
        <is>
          <t>14</t>
        </is>
      </c>
      <c r="K58" t="inlineStr">
        <is>
          <t>14</t>
        </is>
      </c>
      <c r="L58" t="inlineStr">
        <is>
          <t>14</t>
        </is>
      </c>
      <c r="M58" t="inlineStr">
        <is>
          <t>MVS Sec.14 p.23</t>
        </is>
      </c>
    </row>
    <row r="59">
      <c r="B59" t="inlineStr">
        <is>
          <t>Distribution Warehouses</t>
        </is>
      </c>
      <c r="C59" t="inlineStr">
        <is>
          <t>407</t>
        </is>
      </c>
      <c r="D59" t="inlineStr">
        <is>
          <t>14</t>
        </is>
      </c>
      <c r="E59" t="inlineStr">
        <is>
          <t>23</t>
        </is>
      </c>
      <c r="F59" t="inlineStr">
        <is>
          <t>D</t>
        </is>
      </c>
      <c r="G59" t="inlineStr">
        <is>
          <t>Good</t>
        </is>
      </c>
      <c r="H59" s="2390" t="n">
        <v>92.5</v>
      </c>
      <c r="I59">
        <f>B59&amp;"~"&amp;F59&amp;"~"&amp;G59</f>
        <v/>
      </c>
      <c r="J59" t="inlineStr">
        <is>
          <t>14</t>
        </is>
      </c>
      <c r="K59" t="inlineStr">
        <is>
          <t>14</t>
        </is>
      </c>
      <c r="L59" t="inlineStr">
        <is>
          <t>14</t>
        </is>
      </c>
      <c r="M59" t="inlineStr">
        <is>
          <t>MVS Sec.14 p.23</t>
        </is>
      </c>
    </row>
    <row r="60">
      <c r="B60" t="inlineStr">
        <is>
          <t>Distribution Warehouses</t>
        </is>
      </c>
      <c r="C60" t="inlineStr">
        <is>
          <t>407</t>
        </is>
      </c>
      <c r="D60" t="inlineStr">
        <is>
          <t>14</t>
        </is>
      </c>
      <c r="E60" t="inlineStr">
        <is>
          <t>23</t>
        </is>
      </c>
      <c r="F60" t="inlineStr">
        <is>
          <t>D</t>
        </is>
      </c>
      <c r="G60" t="inlineStr">
        <is>
          <t>Average</t>
        </is>
      </c>
      <c r="H60" s="2390" t="n">
        <v>63</v>
      </c>
      <c r="I60">
        <f>B60&amp;"~"&amp;F60&amp;"~"&amp;G60</f>
        <v/>
      </c>
      <c r="J60" t="inlineStr">
        <is>
          <t>14</t>
        </is>
      </c>
      <c r="K60" t="inlineStr">
        <is>
          <t>14</t>
        </is>
      </c>
      <c r="L60" t="inlineStr">
        <is>
          <t>14</t>
        </is>
      </c>
      <c r="M60" t="inlineStr">
        <is>
          <t>MVS Sec.14 p.23</t>
        </is>
      </c>
    </row>
    <row r="61">
      <c r="B61" t="inlineStr">
        <is>
          <t>Distribution Warehouses</t>
        </is>
      </c>
      <c r="C61" t="inlineStr">
        <is>
          <t>407</t>
        </is>
      </c>
      <c r="D61" t="inlineStr">
        <is>
          <t>14</t>
        </is>
      </c>
      <c r="E61" t="inlineStr">
        <is>
          <t>23</t>
        </is>
      </c>
      <c r="F61" t="inlineStr">
        <is>
          <t>DPOLE</t>
        </is>
      </c>
      <c r="G61" t="inlineStr">
        <is>
          <t>Average</t>
        </is>
      </c>
      <c r="H61" s="2390" t="n">
        <v>57</v>
      </c>
      <c r="I61">
        <f>B61&amp;"~"&amp;F61&amp;"~"&amp;G61</f>
        <v/>
      </c>
      <c r="J61" t="inlineStr">
        <is>
          <t>14</t>
        </is>
      </c>
      <c r="K61" t="inlineStr">
        <is>
          <t>14</t>
        </is>
      </c>
      <c r="L61" t="inlineStr">
        <is>
          <t>14</t>
        </is>
      </c>
      <c r="M61" t="inlineStr">
        <is>
          <t>MVS Sec.14 p.23</t>
        </is>
      </c>
    </row>
    <row r="62">
      <c r="B62" t="inlineStr">
        <is>
          <t>Distribution Warehouses</t>
        </is>
      </c>
      <c r="C62" t="inlineStr">
        <is>
          <t>407</t>
        </is>
      </c>
      <c r="D62" t="inlineStr">
        <is>
          <t>14</t>
        </is>
      </c>
      <c r="E62" t="inlineStr">
        <is>
          <t>23</t>
        </is>
      </c>
      <c r="F62" t="inlineStr">
        <is>
          <t>DPOLE</t>
        </is>
      </c>
      <c r="G62" t="inlineStr">
        <is>
          <t>Low Cost</t>
        </is>
      </c>
      <c r="H62" s="2390" t="n">
        <v>41.25</v>
      </c>
      <c r="I62">
        <f>B62&amp;"~"&amp;F62&amp;"~"&amp;G62</f>
        <v/>
      </c>
      <c r="J62" t="inlineStr">
        <is>
          <t>14</t>
        </is>
      </c>
      <c r="K62" t="inlineStr">
        <is>
          <t>14</t>
        </is>
      </c>
      <c r="L62" t="inlineStr">
        <is>
          <t>14</t>
        </is>
      </c>
      <c r="M62" t="inlineStr">
        <is>
          <t>MVS Sec.14 p.23</t>
        </is>
      </c>
    </row>
    <row r="63">
      <c r="B63" t="inlineStr">
        <is>
          <t>Distribution Warehouses</t>
        </is>
      </c>
      <c r="C63" t="inlineStr">
        <is>
          <t>407</t>
        </is>
      </c>
      <c r="D63" t="inlineStr">
        <is>
          <t>14</t>
        </is>
      </c>
      <c r="E63" t="inlineStr">
        <is>
          <t>23</t>
        </is>
      </c>
      <c r="F63" t="inlineStr">
        <is>
          <t>S</t>
        </is>
      </c>
      <c r="G63" t="inlineStr">
        <is>
          <t>Excellent</t>
        </is>
      </c>
      <c r="H63" s="2390" t="n">
        <v>139</v>
      </c>
      <c r="I63">
        <f>B63&amp;"~"&amp;F63&amp;"~"&amp;G63</f>
        <v/>
      </c>
      <c r="J63" t="inlineStr">
        <is>
          <t>14</t>
        </is>
      </c>
      <c r="K63" t="inlineStr">
        <is>
          <t>14</t>
        </is>
      </c>
      <c r="L63" t="inlineStr">
        <is>
          <t>14</t>
        </is>
      </c>
      <c r="M63" t="inlineStr">
        <is>
          <t>MVS Sec.14 p.23</t>
        </is>
      </c>
    </row>
    <row r="64">
      <c r="B64" t="inlineStr">
        <is>
          <t>Distribution Warehouses</t>
        </is>
      </c>
      <c r="C64" t="inlineStr">
        <is>
          <t>407</t>
        </is>
      </c>
      <c r="D64" t="inlineStr">
        <is>
          <t>14</t>
        </is>
      </c>
      <c r="E64" t="inlineStr">
        <is>
          <t>23</t>
        </is>
      </c>
      <c r="F64" t="inlineStr">
        <is>
          <t>S</t>
        </is>
      </c>
      <c r="G64" t="inlineStr">
        <is>
          <t>Good</t>
        </is>
      </c>
      <c r="H64" s="2390" t="n">
        <v>94.5</v>
      </c>
      <c r="I64">
        <f>B64&amp;"~"&amp;F64&amp;"~"&amp;G64</f>
        <v/>
      </c>
      <c r="J64" t="inlineStr">
        <is>
          <t>14</t>
        </is>
      </c>
      <c r="K64" t="inlineStr">
        <is>
          <t>14</t>
        </is>
      </c>
      <c r="L64" t="inlineStr">
        <is>
          <t>14</t>
        </is>
      </c>
      <c r="M64" t="inlineStr">
        <is>
          <t>MVS Sec.14 p.23</t>
        </is>
      </c>
    </row>
    <row r="65">
      <c r="B65" t="inlineStr">
        <is>
          <t>Distribution Warehouses</t>
        </is>
      </c>
      <c r="C65" t="inlineStr">
        <is>
          <t>407</t>
        </is>
      </c>
      <c r="D65" t="inlineStr">
        <is>
          <t>14</t>
        </is>
      </c>
      <c r="E65" t="inlineStr">
        <is>
          <t>23</t>
        </is>
      </c>
      <c r="F65" t="inlineStr">
        <is>
          <t>S</t>
        </is>
      </c>
      <c r="G65" t="inlineStr">
        <is>
          <t>Average</t>
        </is>
      </c>
      <c r="H65" s="2390" t="n">
        <v>64</v>
      </c>
      <c r="I65">
        <f>B65&amp;"~"&amp;F65&amp;"~"&amp;G65</f>
        <v/>
      </c>
      <c r="J65" t="inlineStr">
        <is>
          <t>14</t>
        </is>
      </c>
      <c r="K65" t="inlineStr">
        <is>
          <t>14</t>
        </is>
      </c>
      <c r="L65" t="inlineStr">
        <is>
          <t>14</t>
        </is>
      </c>
      <c r="M65" t="inlineStr">
        <is>
          <t>MVS Sec.14 p.23</t>
        </is>
      </c>
    </row>
    <row r="66">
      <c r="B66" t="inlineStr">
        <is>
          <t>Distribution Warehouses</t>
        </is>
      </c>
      <c r="C66" t="inlineStr">
        <is>
          <t>407</t>
        </is>
      </c>
      <c r="D66" t="inlineStr">
        <is>
          <t>14</t>
        </is>
      </c>
      <c r="E66" t="inlineStr">
        <is>
          <t>23</t>
        </is>
      </c>
      <c r="F66" t="inlineStr">
        <is>
          <t>S</t>
        </is>
      </c>
      <c r="G66" t="inlineStr">
        <is>
          <t>Low Cost</t>
        </is>
      </c>
      <c r="H66" s="2390" t="n">
        <v>45.5</v>
      </c>
      <c r="I66">
        <f>B66&amp;"~"&amp;F66&amp;"~"&amp;G66</f>
        <v/>
      </c>
      <c r="J66" t="inlineStr">
        <is>
          <t>14</t>
        </is>
      </c>
      <c r="K66" t="inlineStr">
        <is>
          <t>14</t>
        </is>
      </c>
      <c r="L66" t="inlineStr">
        <is>
          <t>14</t>
        </is>
      </c>
      <c r="M66" t="inlineStr">
        <is>
          <t>MVS Sec.14 p.23</t>
        </is>
      </c>
    </row>
    <row r="67">
      <c r="B67" t="inlineStr">
        <is>
          <t>Mini-Warehouses / Self-Storage</t>
        </is>
      </c>
      <c r="C67" t="inlineStr">
        <is>
          <t>386</t>
        </is>
      </c>
      <c r="D67" t="inlineStr">
        <is>
          <t>14</t>
        </is>
      </c>
      <c r="E67" t="inlineStr">
        <is>
          <t>28</t>
        </is>
      </c>
      <c r="F67" t="inlineStr">
        <is>
          <t>C</t>
        </is>
      </c>
      <c r="G67" t="inlineStr">
        <is>
          <t>Good</t>
        </is>
      </c>
      <c r="H67" s="2390" t="n">
        <v>68.5</v>
      </c>
      <c r="I67">
        <f>B67&amp;"~"&amp;F67&amp;"~"&amp;G67</f>
        <v/>
      </c>
      <c r="J67" t="inlineStr">
        <is>
          <t>14</t>
        </is>
      </c>
      <c r="K67" t="inlineStr">
        <is>
          <t>14</t>
        </is>
      </c>
      <c r="L67" t="inlineStr">
        <is>
          <t>14</t>
        </is>
      </c>
      <c r="M67" t="inlineStr">
        <is>
          <t>MVS Sec.14 p.28</t>
        </is>
      </c>
    </row>
    <row r="68">
      <c r="B68" t="inlineStr">
        <is>
          <t>Mini-Warehouses / Self-Storage</t>
        </is>
      </c>
      <c r="C68" t="inlineStr">
        <is>
          <t>386</t>
        </is>
      </c>
      <c r="D68" t="inlineStr">
        <is>
          <t>14</t>
        </is>
      </c>
      <c r="E68" t="inlineStr">
        <is>
          <t>28</t>
        </is>
      </c>
      <c r="F68" t="inlineStr">
        <is>
          <t>C</t>
        </is>
      </c>
      <c r="G68" t="inlineStr">
        <is>
          <t>Average</t>
        </is>
      </c>
      <c r="H68" s="2390" t="n">
        <v>51</v>
      </c>
      <c r="I68">
        <f>B68&amp;"~"&amp;F68&amp;"~"&amp;G68</f>
        <v/>
      </c>
      <c r="J68" t="inlineStr">
        <is>
          <t>14</t>
        </is>
      </c>
      <c r="K68" t="inlineStr">
        <is>
          <t>14</t>
        </is>
      </c>
      <c r="L68" t="inlineStr">
        <is>
          <t>14</t>
        </is>
      </c>
      <c r="M68" t="inlineStr">
        <is>
          <t>MVS Sec.14 p.28</t>
        </is>
      </c>
    </row>
    <row r="69">
      <c r="B69" t="inlineStr">
        <is>
          <t>Mini-Warehouses / Self-Storage</t>
        </is>
      </c>
      <c r="C69" t="inlineStr">
        <is>
          <t>386</t>
        </is>
      </c>
      <c r="D69" t="inlineStr">
        <is>
          <t>14</t>
        </is>
      </c>
      <c r="E69" t="inlineStr">
        <is>
          <t>28</t>
        </is>
      </c>
      <c r="F69" t="inlineStr">
        <is>
          <t>C</t>
        </is>
      </c>
      <c r="G69" t="inlineStr">
        <is>
          <t>Low Cost</t>
        </is>
      </c>
      <c r="H69" s="2390" t="n">
        <v>38.25</v>
      </c>
      <c r="I69">
        <f>B69&amp;"~"&amp;F69&amp;"~"&amp;G69</f>
        <v/>
      </c>
      <c r="J69" t="inlineStr">
        <is>
          <t>14</t>
        </is>
      </c>
      <c r="K69" t="inlineStr">
        <is>
          <t>14</t>
        </is>
      </c>
      <c r="L69" t="inlineStr">
        <is>
          <t>14</t>
        </is>
      </c>
      <c r="M69" t="inlineStr">
        <is>
          <t>MVS Sec.14 p.28</t>
        </is>
      </c>
    </row>
    <row r="70">
      <c r="B70" t="inlineStr">
        <is>
          <t>Mini-Warehouses / Self-Storage</t>
        </is>
      </c>
      <c r="C70" t="inlineStr">
        <is>
          <t>386</t>
        </is>
      </c>
      <c r="D70" t="inlineStr">
        <is>
          <t>14</t>
        </is>
      </c>
      <c r="E70" t="inlineStr">
        <is>
          <t>28</t>
        </is>
      </c>
      <c r="F70" t="inlineStr">
        <is>
          <t>D</t>
        </is>
      </c>
      <c r="G70" t="inlineStr">
        <is>
          <t>Good</t>
        </is>
      </c>
      <c r="H70" s="2390" t="n">
        <v>63.5</v>
      </c>
      <c r="I70">
        <f>B70&amp;"~"&amp;F70&amp;"~"&amp;G70</f>
        <v/>
      </c>
      <c r="J70" t="inlineStr">
        <is>
          <t>14</t>
        </is>
      </c>
      <c r="K70" t="inlineStr">
        <is>
          <t>14</t>
        </is>
      </c>
      <c r="L70" t="inlineStr">
        <is>
          <t>14</t>
        </is>
      </c>
      <c r="M70" t="inlineStr">
        <is>
          <t>MVS Sec.14 p.28</t>
        </is>
      </c>
    </row>
    <row r="71">
      <c r="B71" t="inlineStr">
        <is>
          <t>Mini-Warehouses / Self-Storage</t>
        </is>
      </c>
      <c r="C71" t="inlineStr">
        <is>
          <t>386</t>
        </is>
      </c>
      <c r="D71" t="inlineStr">
        <is>
          <t>14</t>
        </is>
      </c>
      <c r="E71" t="inlineStr">
        <is>
          <t>28</t>
        </is>
      </c>
      <c r="F71" t="inlineStr">
        <is>
          <t>D</t>
        </is>
      </c>
      <c r="G71" t="inlineStr">
        <is>
          <t>Average</t>
        </is>
      </c>
      <c r="H71" s="2390" t="n">
        <v>47.5</v>
      </c>
      <c r="I71">
        <f>B71&amp;"~"&amp;F71&amp;"~"&amp;G71</f>
        <v/>
      </c>
      <c r="J71" t="inlineStr">
        <is>
          <t>14</t>
        </is>
      </c>
      <c r="K71" t="inlineStr">
        <is>
          <t>14</t>
        </is>
      </c>
      <c r="L71" t="inlineStr">
        <is>
          <t>14</t>
        </is>
      </c>
      <c r="M71" t="inlineStr">
        <is>
          <t>MVS Sec.14 p.28</t>
        </is>
      </c>
    </row>
    <row r="72">
      <c r="B72" t="inlineStr">
        <is>
          <t>Mini-Warehouses / Self-Storage</t>
        </is>
      </c>
      <c r="C72" t="inlineStr">
        <is>
          <t>386</t>
        </is>
      </c>
      <c r="D72" t="inlineStr">
        <is>
          <t>14</t>
        </is>
      </c>
      <c r="E72" t="inlineStr">
        <is>
          <t>28</t>
        </is>
      </c>
      <c r="F72" t="inlineStr">
        <is>
          <t>D</t>
        </is>
      </c>
      <c r="G72" t="inlineStr">
        <is>
          <t>Low Cost</t>
        </is>
      </c>
      <c r="H72" s="2390" t="n">
        <v>35.5</v>
      </c>
      <c r="I72">
        <f>B72&amp;"~"&amp;F72&amp;"~"&amp;G72</f>
        <v/>
      </c>
      <c r="J72" t="inlineStr">
        <is>
          <t>14</t>
        </is>
      </c>
      <c r="K72" t="inlineStr">
        <is>
          <t>14</t>
        </is>
      </c>
      <c r="L72" t="inlineStr">
        <is>
          <t>14</t>
        </is>
      </c>
      <c r="M72" t="inlineStr">
        <is>
          <t>MVS Sec.14 p.28</t>
        </is>
      </c>
    </row>
    <row r="73">
      <c r="B73" t="inlineStr">
        <is>
          <t>Mini-Warehouses / Self-Storage</t>
        </is>
      </c>
      <c r="C73" t="inlineStr">
        <is>
          <t>386</t>
        </is>
      </c>
      <c r="D73" t="inlineStr">
        <is>
          <t>14</t>
        </is>
      </c>
      <c r="E73" t="inlineStr">
        <is>
          <t>28</t>
        </is>
      </c>
      <c r="F73" t="inlineStr">
        <is>
          <t>DPOLE</t>
        </is>
      </c>
      <c r="G73" t="inlineStr">
        <is>
          <t>Good</t>
        </is>
      </c>
      <c r="H73" s="2390" t="n">
        <v>58.5</v>
      </c>
      <c r="I73">
        <f>B73&amp;"~"&amp;F73&amp;"~"&amp;G73</f>
        <v/>
      </c>
      <c r="J73" t="inlineStr">
        <is>
          <t>14</t>
        </is>
      </c>
      <c r="K73" t="inlineStr">
        <is>
          <t>14</t>
        </is>
      </c>
      <c r="L73" t="inlineStr">
        <is>
          <t>14</t>
        </is>
      </c>
      <c r="M73" t="inlineStr">
        <is>
          <t>MVS Sec.14 p.28</t>
        </is>
      </c>
    </row>
    <row r="74">
      <c r="B74" t="inlineStr">
        <is>
          <t>Mini-Warehouses / Self-Storage</t>
        </is>
      </c>
      <c r="C74" t="inlineStr">
        <is>
          <t>386</t>
        </is>
      </c>
      <c r="D74" t="inlineStr">
        <is>
          <t>14</t>
        </is>
      </c>
      <c r="E74" t="inlineStr">
        <is>
          <t>28</t>
        </is>
      </c>
      <c r="F74" t="inlineStr">
        <is>
          <t>DPOLE</t>
        </is>
      </c>
      <c r="G74" t="inlineStr">
        <is>
          <t>Average</t>
        </is>
      </c>
      <c r="H74" s="2390" t="n">
        <v>43.5</v>
      </c>
      <c r="I74">
        <f>B74&amp;"~"&amp;F74&amp;"~"&amp;G74</f>
        <v/>
      </c>
      <c r="J74" t="inlineStr">
        <is>
          <t>14</t>
        </is>
      </c>
      <c r="K74" t="inlineStr">
        <is>
          <t>14</t>
        </is>
      </c>
      <c r="L74" t="inlineStr">
        <is>
          <t>14</t>
        </is>
      </c>
      <c r="M74" t="inlineStr">
        <is>
          <t>MVS Sec.14 p.28</t>
        </is>
      </c>
    </row>
    <row r="75">
      <c r="B75" t="inlineStr">
        <is>
          <t>Mini-Warehouses / Self-Storage</t>
        </is>
      </c>
      <c r="C75" t="inlineStr">
        <is>
          <t>386</t>
        </is>
      </c>
      <c r="D75" t="inlineStr">
        <is>
          <t>14</t>
        </is>
      </c>
      <c r="E75" t="inlineStr">
        <is>
          <t>28</t>
        </is>
      </c>
      <c r="F75" t="inlineStr">
        <is>
          <t>DPOLE</t>
        </is>
      </c>
      <c r="G75" t="inlineStr">
        <is>
          <t>Low Cost</t>
        </is>
      </c>
      <c r="H75" s="2390" t="n">
        <v>32.5</v>
      </c>
      <c r="I75">
        <f>B75&amp;"~"&amp;F75&amp;"~"&amp;G75</f>
        <v/>
      </c>
      <c r="J75" t="inlineStr">
        <is>
          <t>14</t>
        </is>
      </c>
      <c r="K75" t="inlineStr">
        <is>
          <t>14</t>
        </is>
      </c>
      <c r="L75" t="inlineStr">
        <is>
          <t>14</t>
        </is>
      </c>
      <c r="M75" t="inlineStr">
        <is>
          <t>MVS Sec.14 p.28</t>
        </is>
      </c>
    </row>
    <row r="76">
      <c r="B76" t="inlineStr">
        <is>
          <t>Mini-Warehouses / Self-Storage</t>
        </is>
      </c>
      <c r="C76" t="inlineStr">
        <is>
          <t>386</t>
        </is>
      </c>
      <c r="D76" t="inlineStr">
        <is>
          <t>14</t>
        </is>
      </c>
      <c r="E76" t="inlineStr">
        <is>
          <t>28</t>
        </is>
      </c>
      <c r="F76" t="inlineStr">
        <is>
          <t>S</t>
        </is>
      </c>
      <c r="G76" t="inlineStr">
        <is>
          <t>Good</t>
        </is>
      </c>
      <c r="H76" s="2390" t="n">
        <v>63.5</v>
      </c>
      <c r="I76">
        <f>B76&amp;"~"&amp;F76&amp;"~"&amp;G76</f>
        <v/>
      </c>
      <c r="J76" t="inlineStr">
        <is>
          <t>14</t>
        </is>
      </c>
      <c r="K76" t="inlineStr">
        <is>
          <t>14</t>
        </is>
      </c>
      <c r="L76" t="inlineStr">
        <is>
          <t>14</t>
        </is>
      </c>
      <c r="M76" t="inlineStr">
        <is>
          <t>MVS Sec.14 p.28</t>
        </is>
      </c>
    </row>
    <row r="77">
      <c r="B77" t="inlineStr">
        <is>
          <t>Mini-Warehouses / Self-Storage</t>
        </is>
      </c>
      <c r="C77" t="inlineStr">
        <is>
          <t>386</t>
        </is>
      </c>
      <c r="D77" t="inlineStr">
        <is>
          <t>14</t>
        </is>
      </c>
      <c r="E77" t="inlineStr">
        <is>
          <t>28</t>
        </is>
      </c>
      <c r="F77" t="inlineStr">
        <is>
          <t>S</t>
        </is>
      </c>
      <c r="G77" t="inlineStr">
        <is>
          <t>Average</t>
        </is>
      </c>
      <c r="H77" s="2390" t="n">
        <v>47.5</v>
      </c>
      <c r="I77">
        <f>B77&amp;"~"&amp;F77&amp;"~"&amp;G77</f>
        <v/>
      </c>
      <c r="J77" t="inlineStr">
        <is>
          <t>14</t>
        </is>
      </c>
      <c r="K77" t="inlineStr">
        <is>
          <t>14</t>
        </is>
      </c>
      <c r="L77" t="inlineStr">
        <is>
          <t>14</t>
        </is>
      </c>
      <c r="M77" t="inlineStr">
        <is>
          <t>MVS Sec.14 p.28</t>
        </is>
      </c>
    </row>
    <row r="78">
      <c r="B78" t="inlineStr">
        <is>
          <t>Mini-Warehouses / Self-Storage</t>
        </is>
      </c>
      <c r="C78" t="inlineStr">
        <is>
          <t>386</t>
        </is>
      </c>
      <c r="D78" t="inlineStr">
        <is>
          <t>14</t>
        </is>
      </c>
      <c r="E78" t="inlineStr">
        <is>
          <t>28</t>
        </is>
      </c>
      <c r="F78" t="inlineStr">
        <is>
          <t>S</t>
        </is>
      </c>
      <c r="G78" t="inlineStr">
        <is>
          <t>Low Cost</t>
        </is>
      </c>
      <c r="H78" s="2390" t="n">
        <v>35.5</v>
      </c>
      <c r="I78">
        <f>B78&amp;"~"&amp;F78&amp;"~"&amp;G78</f>
        <v/>
      </c>
      <c r="J78" t="inlineStr">
        <is>
          <t>14</t>
        </is>
      </c>
      <c r="K78" t="inlineStr">
        <is>
          <t>14</t>
        </is>
      </c>
      <c r="L78" t="inlineStr">
        <is>
          <t>14</t>
        </is>
      </c>
      <c r="M78" t="inlineStr">
        <is>
          <t>MVS Sec.14 p.28</t>
        </is>
      </c>
    </row>
    <row r="79">
      <c r="B79" t="inlineStr">
        <is>
          <t>Mini-Warehouses / Self-Storage</t>
        </is>
      </c>
      <c r="C79" t="inlineStr">
        <is>
          <t>386</t>
        </is>
      </c>
      <c r="D79" t="inlineStr">
        <is>
          <t>14</t>
        </is>
      </c>
      <c r="E79" t="inlineStr">
        <is>
          <t>28</t>
        </is>
      </c>
      <c r="F79" t="inlineStr">
        <is>
          <t>S</t>
        </is>
      </c>
      <c r="G79" t="inlineStr">
        <is>
          <t>Cheap</t>
        </is>
      </c>
      <c r="H79" s="2390" t="n">
        <v>26.25</v>
      </c>
      <c r="I79">
        <f>B79&amp;"~"&amp;F79&amp;"~"&amp;G79</f>
        <v/>
      </c>
      <c r="J79" t="inlineStr">
        <is>
          <t>14</t>
        </is>
      </c>
      <c r="K79" t="inlineStr">
        <is>
          <t>14</t>
        </is>
      </c>
      <c r="L79" t="inlineStr">
        <is>
          <t>14</t>
        </is>
      </c>
      <c r="M79" t="inlineStr">
        <is>
          <t>MVS Sec.14 p.28</t>
        </is>
      </c>
    </row>
    <row r="80">
      <c r="B80" t="inlineStr">
        <is>
          <t>Mini-Warehouses, High-Rise</t>
        </is>
      </c>
      <c r="C80" t="inlineStr">
        <is>
          <t>525</t>
        </is>
      </c>
      <c r="D80" t="inlineStr">
        <is>
          <t>14</t>
        </is>
      </c>
      <c r="E80" t="inlineStr">
        <is>
          <t>28</t>
        </is>
      </c>
      <c r="F80" t="inlineStr">
        <is>
          <t>A-B</t>
        </is>
      </c>
      <c r="G80" t="inlineStr">
        <is>
          <t>Average</t>
        </is>
      </c>
      <c r="H80" s="2390" t="n">
        <v>94</v>
      </c>
      <c r="I80">
        <f>B80&amp;"~"&amp;F80&amp;"~"&amp;G80</f>
        <v/>
      </c>
      <c r="J80" t="inlineStr">
        <is>
          <t>14</t>
        </is>
      </c>
      <c r="K80" t="inlineStr">
        <is>
          <t>14</t>
        </is>
      </c>
      <c r="L80" t="inlineStr">
        <is>
          <t>14</t>
        </is>
      </c>
      <c r="M80" t="inlineStr">
        <is>
          <t>MVS Sec.14 p.28</t>
        </is>
      </c>
    </row>
    <row r="81">
      <c r="B81" t="inlineStr">
        <is>
          <t>Mini-Warehouses, High-Rise</t>
        </is>
      </c>
      <c r="C81" t="inlineStr">
        <is>
          <t>525</t>
        </is>
      </c>
      <c r="D81" t="inlineStr">
        <is>
          <t>14</t>
        </is>
      </c>
      <c r="E81" t="inlineStr">
        <is>
          <t>28</t>
        </is>
      </c>
      <c r="F81" t="inlineStr">
        <is>
          <t>C</t>
        </is>
      </c>
      <c r="G81" t="inlineStr">
        <is>
          <t>Good</t>
        </is>
      </c>
      <c r="H81" s="2390" t="n">
        <v>86.5</v>
      </c>
      <c r="I81">
        <f>B81&amp;"~"&amp;F81&amp;"~"&amp;G81</f>
        <v/>
      </c>
      <c r="J81" t="inlineStr">
        <is>
          <t>14</t>
        </is>
      </c>
      <c r="K81" t="inlineStr">
        <is>
          <t>14</t>
        </is>
      </c>
      <c r="L81" t="inlineStr">
        <is>
          <t>14</t>
        </is>
      </c>
      <c r="M81" t="inlineStr">
        <is>
          <t>MVS Sec.14 p.28</t>
        </is>
      </c>
    </row>
    <row r="82">
      <c r="B82" t="inlineStr">
        <is>
          <t>Mini-Warehouses, High-Rise</t>
        </is>
      </c>
      <c r="C82" t="inlineStr">
        <is>
          <t>525</t>
        </is>
      </c>
      <c r="D82" t="inlineStr">
        <is>
          <t>14</t>
        </is>
      </c>
      <c r="E82" t="inlineStr">
        <is>
          <t>28</t>
        </is>
      </c>
      <c r="F82" t="inlineStr">
        <is>
          <t>C</t>
        </is>
      </c>
      <c r="G82" t="inlineStr">
        <is>
          <t>Average</t>
        </is>
      </c>
      <c r="H82" s="2390" t="n">
        <v>66</v>
      </c>
      <c r="I82">
        <f>B82&amp;"~"&amp;F82&amp;"~"&amp;G82</f>
        <v/>
      </c>
      <c r="J82" t="inlineStr">
        <is>
          <t>14</t>
        </is>
      </c>
      <c r="K82" t="inlineStr">
        <is>
          <t>14</t>
        </is>
      </c>
      <c r="L82" t="inlineStr">
        <is>
          <t>14</t>
        </is>
      </c>
      <c r="M82" t="inlineStr">
        <is>
          <t>MVS Sec.14 p.28</t>
        </is>
      </c>
    </row>
    <row r="83">
      <c r="B83" t="inlineStr">
        <is>
          <t>Mini-Warehouses, High-Rise</t>
        </is>
      </c>
      <c r="C83" t="inlineStr">
        <is>
          <t>525</t>
        </is>
      </c>
      <c r="D83" t="inlineStr">
        <is>
          <t>14</t>
        </is>
      </c>
      <c r="E83" t="inlineStr">
        <is>
          <t>28</t>
        </is>
      </c>
      <c r="F83" t="inlineStr">
        <is>
          <t>D</t>
        </is>
      </c>
      <c r="G83" t="inlineStr">
        <is>
          <t>Good</t>
        </is>
      </c>
      <c r="H83" s="2390" t="n">
        <v>79.5</v>
      </c>
      <c r="I83">
        <f>B83&amp;"~"&amp;F83&amp;"~"&amp;G83</f>
        <v/>
      </c>
      <c r="J83" t="inlineStr">
        <is>
          <t>14</t>
        </is>
      </c>
      <c r="K83" t="inlineStr">
        <is>
          <t>14</t>
        </is>
      </c>
      <c r="L83" t="inlineStr">
        <is>
          <t>14</t>
        </is>
      </c>
      <c r="M83" t="inlineStr">
        <is>
          <t>MVS Sec.14 p.28</t>
        </is>
      </c>
    </row>
    <row r="84">
      <c r="B84" t="inlineStr">
        <is>
          <t>Mini-Warehouses, High-Rise</t>
        </is>
      </c>
      <c r="C84" t="inlineStr">
        <is>
          <t>525</t>
        </is>
      </c>
      <c r="D84" t="inlineStr">
        <is>
          <t>14</t>
        </is>
      </c>
      <c r="E84" t="inlineStr">
        <is>
          <t>28</t>
        </is>
      </c>
      <c r="F84" t="inlineStr">
        <is>
          <t>S</t>
        </is>
      </c>
      <c r="G84" t="inlineStr">
        <is>
          <t>Good</t>
        </is>
      </c>
      <c r="H84" s="2390" t="n">
        <v>81</v>
      </c>
      <c r="I84">
        <f>B84&amp;"~"&amp;F84&amp;"~"&amp;G84</f>
        <v/>
      </c>
      <c r="J84" t="inlineStr">
        <is>
          <t>14</t>
        </is>
      </c>
      <c r="K84" t="inlineStr">
        <is>
          <t>14</t>
        </is>
      </c>
      <c r="L84" t="inlineStr">
        <is>
          <t>14</t>
        </is>
      </c>
      <c r="M84" t="inlineStr">
        <is>
          <t>MVS Sec.14 p.28</t>
        </is>
      </c>
    </row>
    <row r="85">
      <c r="B85" t="inlineStr">
        <is>
          <t>Industrials, Light Manufacturing</t>
        </is>
      </c>
      <c r="C85" t="inlineStr">
        <is>
          <t>494</t>
        </is>
      </c>
      <c r="D85" t="inlineStr">
        <is>
          <t>14</t>
        </is>
      </c>
      <c r="E85" t="inlineStr">
        <is>
          <t>14</t>
        </is>
      </c>
      <c r="F85" t="inlineStr">
        <is>
          <t>A</t>
        </is>
      </c>
      <c r="G85" t="inlineStr">
        <is>
          <t>Average</t>
        </is>
      </c>
      <c r="H85" s="2390" t="n">
        <v>122</v>
      </c>
      <c r="I85">
        <f>B85&amp;"~"&amp;F85&amp;"~"&amp;G85</f>
        <v/>
      </c>
      <c r="J85" t="inlineStr">
        <is>
          <t>14</t>
        </is>
      </c>
      <c r="K85" t="inlineStr">
        <is>
          <t>14</t>
        </is>
      </c>
      <c r="L85" t="inlineStr">
        <is>
          <t>14</t>
        </is>
      </c>
      <c r="M85" t="inlineStr">
        <is>
          <t>MVS Sec.14 p.14</t>
        </is>
      </c>
    </row>
    <row r="86">
      <c r="B86" t="inlineStr">
        <is>
          <t>Industrials, Light Manufacturing</t>
        </is>
      </c>
      <c r="C86" t="inlineStr">
        <is>
          <t>494</t>
        </is>
      </c>
      <c r="D86" t="inlineStr">
        <is>
          <t>14</t>
        </is>
      </c>
      <c r="E86" t="inlineStr">
        <is>
          <t>14</t>
        </is>
      </c>
      <c r="F86" t="inlineStr">
        <is>
          <t>A</t>
        </is>
      </c>
      <c r="G86" t="inlineStr">
        <is>
          <t>Low Cost</t>
        </is>
      </c>
      <c r="H86" s="2390" t="n">
        <v>84.5</v>
      </c>
      <c r="I86">
        <f>B86&amp;"~"&amp;F86&amp;"~"&amp;G86</f>
        <v/>
      </c>
      <c r="J86" t="inlineStr">
        <is>
          <t>14</t>
        </is>
      </c>
      <c r="K86" t="inlineStr">
        <is>
          <t>14</t>
        </is>
      </c>
      <c r="L86" t="inlineStr">
        <is>
          <t>14</t>
        </is>
      </c>
      <c r="M86" t="inlineStr">
        <is>
          <t>MVS Sec.14 p.14</t>
        </is>
      </c>
    </row>
    <row r="87">
      <c r="B87" t="inlineStr">
        <is>
          <t>Industrials, Light Manufacturing</t>
        </is>
      </c>
      <c r="C87" t="inlineStr">
        <is>
          <t>494</t>
        </is>
      </c>
      <c r="D87" t="inlineStr">
        <is>
          <t>14</t>
        </is>
      </c>
      <c r="E87" t="inlineStr">
        <is>
          <t>14</t>
        </is>
      </c>
      <c r="F87" t="inlineStr">
        <is>
          <t>B</t>
        </is>
      </c>
      <c r="G87" t="inlineStr">
        <is>
          <t>Average</t>
        </is>
      </c>
      <c r="H87" s="2390" t="n">
        <v>107</v>
      </c>
      <c r="I87">
        <f>B87&amp;"~"&amp;F87&amp;"~"&amp;G87</f>
        <v/>
      </c>
      <c r="J87" t="inlineStr">
        <is>
          <t>14</t>
        </is>
      </c>
      <c r="K87" t="inlineStr">
        <is>
          <t>14</t>
        </is>
      </c>
      <c r="L87" t="inlineStr">
        <is>
          <t>14</t>
        </is>
      </c>
      <c r="M87" t="inlineStr">
        <is>
          <t>MVS Sec.14 p.14</t>
        </is>
      </c>
    </row>
    <row r="88">
      <c r="B88" t="inlineStr">
        <is>
          <t>Industrials, Light Manufacturing</t>
        </is>
      </c>
      <c r="C88" t="inlineStr">
        <is>
          <t>494</t>
        </is>
      </c>
      <c r="D88" t="inlineStr">
        <is>
          <t>14</t>
        </is>
      </c>
      <c r="E88" t="inlineStr">
        <is>
          <t>14</t>
        </is>
      </c>
      <c r="F88" t="inlineStr">
        <is>
          <t>B</t>
        </is>
      </c>
      <c r="G88" t="inlineStr">
        <is>
          <t>Low Cost</t>
        </is>
      </c>
      <c r="H88" s="2390" t="n">
        <v>74</v>
      </c>
      <c r="I88">
        <f>B88&amp;"~"&amp;F88&amp;"~"&amp;G88</f>
        <v/>
      </c>
      <c r="J88" t="inlineStr">
        <is>
          <t>14</t>
        </is>
      </c>
      <c r="K88" t="inlineStr">
        <is>
          <t>14</t>
        </is>
      </c>
      <c r="L88" t="inlineStr">
        <is>
          <t>14</t>
        </is>
      </c>
      <c r="M88" t="inlineStr">
        <is>
          <t>MVS Sec.14 p.14</t>
        </is>
      </c>
    </row>
    <row r="89">
      <c r="B89" t="inlineStr">
        <is>
          <t>Industrials, Light Manufacturing</t>
        </is>
      </c>
      <c r="C89" t="inlineStr">
        <is>
          <t>494</t>
        </is>
      </c>
      <c r="D89" t="inlineStr">
        <is>
          <t>14</t>
        </is>
      </c>
      <c r="E89" t="inlineStr">
        <is>
          <t>14</t>
        </is>
      </c>
      <c r="F89" t="inlineStr">
        <is>
          <t>C</t>
        </is>
      </c>
      <c r="G89" t="inlineStr">
        <is>
          <t>Good</t>
        </is>
      </c>
      <c r="H89" s="2390" t="n">
        <v>100</v>
      </c>
      <c r="I89">
        <f>B89&amp;"~"&amp;F89&amp;"~"&amp;G89</f>
        <v/>
      </c>
      <c r="J89" t="inlineStr">
        <is>
          <t>14</t>
        </is>
      </c>
      <c r="K89" t="inlineStr">
        <is>
          <t>14</t>
        </is>
      </c>
      <c r="L89" t="inlineStr">
        <is>
          <t>14</t>
        </is>
      </c>
      <c r="M89" t="inlineStr">
        <is>
          <t>MVS Sec.14 p.14</t>
        </is>
      </c>
    </row>
    <row r="90">
      <c r="B90" t="inlineStr">
        <is>
          <t>Industrials, Light Manufacturing</t>
        </is>
      </c>
      <c r="C90" t="inlineStr">
        <is>
          <t>494</t>
        </is>
      </c>
      <c r="D90" t="inlineStr">
        <is>
          <t>14</t>
        </is>
      </c>
      <c r="E90" t="inlineStr">
        <is>
          <t>14</t>
        </is>
      </c>
      <c r="F90" t="inlineStr">
        <is>
          <t>C</t>
        </is>
      </c>
      <c r="G90" t="inlineStr">
        <is>
          <t>Average</t>
        </is>
      </c>
      <c r="H90" s="2390" t="n">
        <v>72</v>
      </c>
      <c r="I90">
        <f>B90&amp;"~"&amp;F90&amp;"~"&amp;G90</f>
        <v/>
      </c>
      <c r="J90" t="inlineStr">
        <is>
          <t>14</t>
        </is>
      </c>
      <c r="K90" t="inlineStr">
        <is>
          <t>14</t>
        </is>
      </c>
      <c r="L90" t="inlineStr">
        <is>
          <t>14</t>
        </is>
      </c>
      <c r="M90" t="inlineStr">
        <is>
          <t>MVS Sec.14 p.14</t>
        </is>
      </c>
    </row>
    <row r="91">
      <c r="B91" t="inlineStr">
        <is>
          <t>Industrials, Light Manufacturing</t>
        </is>
      </c>
      <c r="C91" t="inlineStr">
        <is>
          <t>494</t>
        </is>
      </c>
      <c r="D91" t="inlineStr">
        <is>
          <t>14</t>
        </is>
      </c>
      <c r="E91" t="inlineStr">
        <is>
          <t>14</t>
        </is>
      </c>
      <c r="F91" t="inlineStr">
        <is>
          <t>C</t>
        </is>
      </c>
      <c r="G91" t="inlineStr">
        <is>
          <t>Low Cost</t>
        </is>
      </c>
      <c r="H91" s="2390" t="n">
        <v>52.5</v>
      </c>
      <c r="I91">
        <f>B91&amp;"~"&amp;F91&amp;"~"&amp;G91</f>
        <v/>
      </c>
      <c r="J91" t="inlineStr">
        <is>
          <t>14</t>
        </is>
      </c>
      <c r="K91" t="inlineStr">
        <is>
          <t>14</t>
        </is>
      </c>
      <c r="L91" t="inlineStr">
        <is>
          <t>14</t>
        </is>
      </c>
      <c r="M91" t="inlineStr">
        <is>
          <t>MVS Sec.14 p.14</t>
        </is>
      </c>
    </row>
    <row r="92">
      <c r="B92" t="inlineStr">
        <is>
          <t>Industrials, Light Manufacturing</t>
        </is>
      </c>
      <c r="C92" t="inlineStr">
        <is>
          <t>494</t>
        </is>
      </c>
      <c r="D92" t="inlineStr">
        <is>
          <t>14</t>
        </is>
      </c>
      <c r="E92" t="inlineStr">
        <is>
          <t>14</t>
        </is>
      </c>
      <c r="F92" t="inlineStr">
        <is>
          <t>D</t>
        </is>
      </c>
      <c r="G92" t="inlineStr">
        <is>
          <t>Good</t>
        </is>
      </c>
      <c r="H92" s="2390" t="n">
        <v>92</v>
      </c>
      <c r="I92">
        <f>B92&amp;"~"&amp;F92&amp;"~"&amp;G92</f>
        <v/>
      </c>
      <c r="J92" t="inlineStr">
        <is>
          <t>14</t>
        </is>
      </c>
      <c r="K92" t="inlineStr">
        <is>
          <t>14</t>
        </is>
      </c>
      <c r="L92" t="inlineStr">
        <is>
          <t>14</t>
        </is>
      </c>
      <c r="M92" t="inlineStr">
        <is>
          <t>MVS Sec.14 p.14</t>
        </is>
      </c>
    </row>
    <row r="93">
      <c r="B93" t="inlineStr">
        <is>
          <t>Industrials, Light Manufacturing</t>
        </is>
      </c>
      <c r="C93" t="inlineStr">
        <is>
          <t>494</t>
        </is>
      </c>
      <c r="D93" t="inlineStr">
        <is>
          <t>14</t>
        </is>
      </c>
      <c r="E93" t="inlineStr">
        <is>
          <t>14</t>
        </is>
      </c>
      <c r="F93" t="inlineStr">
        <is>
          <t>D</t>
        </is>
      </c>
      <c r="G93" t="inlineStr">
        <is>
          <t>Average</t>
        </is>
      </c>
      <c r="H93" s="2390" t="n">
        <v>65.5</v>
      </c>
      <c r="I93">
        <f>B93&amp;"~"&amp;F93&amp;"~"&amp;G93</f>
        <v/>
      </c>
      <c r="J93" t="inlineStr">
        <is>
          <t>14</t>
        </is>
      </c>
      <c r="K93" t="inlineStr">
        <is>
          <t>14</t>
        </is>
      </c>
      <c r="L93" t="inlineStr">
        <is>
          <t>14</t>
        </is>
      </c>
      <c r="M93" t="inlineStr">
        <is>
          <t>MVS Sec.14 p.14</t>
        </is>
      </c>
    </row>
    <row r="94">
      <c r="B94" t="inlineStr">
        <is>
          <t>Industrials, Light Manufacturing</t>
        </is>
      </c>
      <c r="C94" t="inlineStr">
        <is>
          <t>494</t>
        </is>
      </c>
      <c r="D94" t="inlineStr">
        <is>
          <t>14</t>
        </is>
      </c>
      <c r="E94" t="inlineStr">
        <is>
          <t>14</t>
        </is>
      </c>
      <c r="F94" t="inlineStr">
        <is>
          <t>D</t>
        </is>
      </c>
      <c r="G94" t="inlineStr">
        <is>
          <t>Low Cost</t>
        </is>
      </c>
      <c r="H94" s="2390" t="n">
        <v>47</v>
      </c>
      <c r="I94">
        <f>B94&amp;"~"&amp;F94&amp;"~"&amp;G94</f>
        <v/>
      </c>
      <c r="J94" t="inlineStr">
        <is>
          <t>14</t>
        </is>
      </c>
      <c r="K94" t="inlineStr">
        <is>
          <t>14</t>
        </is>
      </c>
      <c r="L94" t="inlineStr">
        <is>
          <t>14</t>
        </is>
      </c>
      <c r="M94" t="inlineStr">
        <is>
          <t>MVS Sec.14 p.14</t>
        </is>
      </c>
    </row>
    <row r="95">
      <c r="B95" t="inlineStr">
        <is>
          <t>Industrials, Light Manufacturing</t>
        </is>
      </c>
      <c r="C95" t="inlineStr">
        <is>
          <t>494</t>
        </is>
      </c>
      <c r="D95" t="inlineStr">
        <is>
          <t>14</t>
        </is>
      </c>
      <c r="E95" t="inlineStr">
        <is>
          <t>14</t>
        </is>
      </c>
      <c r="F95" t="inlineStr">
        <is>
          <t>DPOLE</t>
        </is>
      </c>
      <c r="G95" t="inlineStr">
        <is>
          <t>Good</t>
        </is>
      </c>
      <c r="H95" s="2390" t="n">
        <v>84</v>
      </c>
      <c r="I95">
        <f>B95&amp;"~"&amp;F95&amp;"~"&amp;G95</f>
        <v/>
      </c>
      <c r="J95" t="inlineStr">
        <is>
          <t>14</t>
        </is>
      </c>
      <c r="K95" t="inlineStr">
        <is>
          <t>14</t>
        </is>
      </c>
      <c r="L95" t="inlineStr">
        <is>
          <t>14</t>
        </is>
      </c>
      <c r="M95" t="inlineStr">
        <is>
          <t>MVS Sec.14 p.14</t>
        </is>
      </c>
    </row>
    <row r="96">
      <c r="B96" t="inlineStr">
        <is>
          <t>Industrials, Light Manufacturing</t>
        </is>
      </c>
      <c r="C96" t="inlineStr">
        <is>
          <t>494</t>
        </is>
      </c>
      <c r="D96" t="inlineStr">
        <is>
          <t>14</t>
        </is>
      </c>
      <c r="E96" t="inlineStr">
        <is>
          <t>14</t>
        </is>
      </c>
      <c r="F96" t="inlineStr">
        <is>
          <t>DPOLE</t>
        </is>
      </c>
      <c r="G96" t="inlineStr">
        <is>
          <t>Average</t>
        </is>
      </c>
      <c r="H96" s="2390" t="n">
        <v>60.5</v>
      </c>
      <c r="I96">
        <f>B96&amp;"~"&amp;F96&amp;"~"&amp;G96</f>
        <v/>
      </c>
      <c r="J96" t="inlineStr">
        <is>
          <t>14</t>
        </is>
      </c>
      <c r="K96" t="inlineStr">
        <is>
          <t>14</t>
        </is>
      </c>
      <c r="L96" t="inlineStr">
        <is>
          <t>14</t>
        </is>
      </c>
      <c r="M96" t="inlineStr">
        <is>
          <t>MVS Sec.14 p.14</t>
        </is>
      </c>
    </row>
    <row r="97">
      <c r="B97" t="inlineStr">
        <is>
          <t>Industrials, Light Manufacturing</t>
        </is>
      </c>
      <c r="C97" t="inlineStr">
        <is>
          <t>494</t>
        </is>
      </c>
      <c r="D97" t="inlineStr">
        <is>
          <t>14</t>
        </is>
      </c>
      <c r="E97" t="inlineStr">
        <is>
          <t>14</t>
        </is>
      </c>
      <c r="F97" t="inlineStr">
        <is>
          <t>DPOLE</t>
        </is>
      </c>
      <c r="G97" t="inlineStr">
        <is>
          <t>Low Cost</t>
        </is>
      </c>
      <c r="H97" s="2390" t="n">
        <v>43.5</v>
      </c>
      <c r="I97">
        <f>B97&amp;"~"&amp;F97&amp;"~"&amp;G97</f>
        <v/>
      </c>
      <c r="J97" t="inlineStr">
        <is>
          <t>14</t>
        </is>
      </c>
      <c r="K97" t="inlineStr">
        <is>
          <t>14</t>
        </is>
      </c>
      <c r="L97" t="inlineStr">
        <is>
          <t>14</t>
        </is>
      </c>
      <c r="M97" t="inlineStr">
        <is>
          <t>MVS Sec.14 p.14</t>
        </is>
      </c>
    </row>
    <row r="98">
      <c r="B98" t="inlineStr">
        <is>
          <t>Industrials, Light Manufacturing</t>
        </is>
      </c>
      <c r="C98" t="inlineStr">
        <is>
          <t>494</t>
        </is>
      </c>
      <c r="D98" t="inlineStr">
        <is>
          <t>14</t>
        </is>
      </c>
      <c r="E98" t="inlineStr">
        <is>
          <t>14</t>
        </is>
      </c>
      <c r="F98" t="inlineStr">
        <is>
          <t>S</t>
        </is>
      </c>
      <c r="G98" t="inlineStr">
        <is>
          <t>Good</t>
        </is>
      </c>
      <c r="H98" s="2390" t="n">
        <v>93</v>
      </c>
      <c r="I98">
        <f>B98&amp;"~"&amp;F98&amp;"~"&amp;G98</f>
        <v/>
      </c>
      <c r="J98" t="inlineStr">
        <is>
          <t>14</t>
        </is>
      </c>
      <c r="K98" t="inlineStr">
        <is>
          <t>14</t>
        </is>
      </c>
      <c r="L98" t="inlineStr">
        <is>
          <t>14</t>
        </is>
      </c>
      <c r="M98" t="inlineStr">
        <is>
          <t>MVS Sec.14 p.14</t>
        </is>
      </c>
    </row>
    <row r="99">
      <c r="B99" t="inlineStr">
        <is>
          <t>Industrials, Light Manufacturing</t>
        </is>
      </c>
      <c r="C99" t="inlineStr">
        <is>
          <t>494</t>
        </is>
      </c>
      <c r="D99" t="inlineStr">
        <is>
          <t>14</t>
        </is>
      </c>
      <c r="E99" t="inlineStr">
        <is>
          <t>14</t>
        </is>
      </c>
      <c r="F99" t="inlineStr">
        <is>
          <t>S</t>
        </is>
      </c>
      <c r="G99" t="inlineStr">
        <is>
          <t>Average</t>
        </is>
      </c>
      <c r="H99" s="2390" t="n">
        <v>66</v>
      </c>
      <c r="I99">
        <f>B99&amp;"~"&amp;F99&amp;"~"&amp;G99</f>
        <v/>
      </c>
      <c r="J99" t="inlineStr">
        <is>
          <t>14</t>
        </is>
      </c>
      <c r="K99" t="inlineStr">
        <is>
          <t>14</t>
        </is>
      </c>
      <c r="L99" t="inlineStr">
        <is>
          <t>14</t>
        </is>
      </c>
      <c r="M99" t="inlineStr">
        <is>
          <t>MVS Sec.14 p.14</t>
        </is>
      </c>
    </row>
    <row r="100">
      <c r="B100" t="inlineStr">
        <is>
          <t>Industrials, Light Manufacturing</t>
        </is>
      </c>
      <c r="C100" t="inlineStr">
        <is>
          <t>494</t>
        </is>
      </c>
      <c r="D100" t="inlineStr">
        <is>
          <t>14</t>
        </is>
      </c>
      <c r="E100" t="inlineStr">
        <is>
          <t>14</t>
        </is>
      </c>
      <c r="F100" t="inlineStr">
        <is>
          <t>S</t>
        </is>
      </c>
      <c r="G100" t="inlineStr">
        <is>
          <t>Low Cost</t>
        </is>
      </c>
      <c r="H100" s="2390" t="n">
        <v>46.75</v>
      </c>
      <c r="I100">
        <f>B100&amp;"~"&amp;F100&amp;"~"&amp;G100</f>
        <v/>
      </c>
      <c r="J100" t="inlineStr">
        <is>
          <t>14</t>
        </is>
      </c>
      <c r="K100" t="inlineStr">
        <is>
          <t>14</t>
        </is>
      </c>
      <c r="L100" t="inlineStr">
        <is>
          <t>14</t>
        </is>
      </c>
      <c r="M100" t="inlineStr">
        <is>
          <t>MVS Sec.14 p.14</t>
        </is>
      </c>
    </row>
    <row r="101">
      <c r="B101" t="inlineStr">
        <is>
          <t>Industrials, Heavy (Process) Manufacturing</t>
        </is>
      </c>
      <c r="C101" t="inlineStr">
        <is>
          <t>495</t>
        </is>
      </c>
      <c r="D101" t="inlineStr">
        <is>
          <t>14</t>
        </is>
      </c>
      <c r="E101" t="inlineStr">
        <is>
          <t>15</t>
        </is>
      </c>
      <c r="F101" t="inlineStr">
        <is>
          <t>A</t>
        </is>
      </c>
      <c r="G101" t="inlineStr">
        <is>
          <t>Excellent</t>
        </is>
      </c>
      <c r="H101" s="2390" t="n">
        <v>376</v>
      </c>
      <c r="I101">
        <f>B101&amp;"~"&amp;F101&amp;"~"&amp;G101</f>
        <v/>
      </c>
      <c r="J101" t="inlineStr">
        <is>
          <t>14</t>
        </is>
      </c>
      <c r="K101" t="inlineStr">
        <is>
          <t>14</t>
        </is>
      </c>
      <c r="L101" t="inlineStr">
        <is>
          <t>14</t>
        </is>
      </c>
      <c r="M101" t="inlineStr">
        <is>
          <t>MVS Sec.14 p.15</t>
        </is>
      </c>
    </row>
    <row r="102">
      <c r="B102" t="inlineStr">
        <is>
          <t>Industrials, Heavy (Process) Manufacturing</t>
        </is>
      </c>
      <c r="C102" t="inlineStr">
        <is>
          <t>495</t>
        </is>
      </c>
      <c r="D102" t="inlineStr">
        <is>
          <t>14</t>
        </is>
      </c>
      <c r="E102" t="inlineStr">
        <is>
          <t>15</t>
        </is>
      </c>
      <c r="F102" t="inlineStr">
        <is>
          <t>A</t>
        </is>
      </c>
      <c r="G102" t="inlineStr">
        <is>
          <t>Good</t>
        </is>
      </c>
      <c r="H102" s="2390" t="n">
        <v>302</v>
      </c>
      <c r="I102">
        <f>B102&amp;"~"&amp;F102&amp;"~"&amp;G102</f>
        <v/>
      </c>
      <c r="J102" t="inlineStr">
        <is>
          <t>14</t>
        </is>
      </c>
      <c r="K102" t="inlineStr">
        <is>
          <t>14</t>
        </is>
      </c>
      <c r="L102" t="inlineStr">
        <is>
          <t>14</t>
        </is>
      </c>
      <c r="M102" t="inlineStr">
        <is>
          <t>MVS Sec.14 p.15</t>
        </is>
      </c>
    </row>
    <row r="103">
      <c r="B103" t="inlineStr">
        <is>
          <t>Industrials, Heavy (Process) Manufacturing</t>
        </is>
      </c>
      <c r="C103" t="inlineStr">
        <is>
          <t>495</t>
        </is>
      </c>
      <c r="D103" t="inlineStr">
        <is>
          <t>14</t>
        </is>
      </c>
      <c r="E103" t="inlineStr">
        <is>
          <t>15</t>
        </is>
      </c>
      <c r="F103" t="inlineStr">
        <is>
          <t>A</t>
        </is>
      </c>
      <c r="G103" t="inlineStr">
        <is>
          <t>Average</t>
        </is>
      </c>
      <c r="H103" s="2390" t="n">
        <v>232</v>
      </c>
      <c r="I103">
        <f>B103&amp;"~"&amp;F103&amp;"~"&amp;G103</f>
        <v/>
      </c>
      <c r="J103" t="inlineStr">
        <is>
          <t>14</t>
        </is>
      </c>
      <c r="K103" t="inlineStr">
        <is>
          <t>14</t>
        </is>
      </c>
      <c r="L103" t="inlineStr">
        <is>
          <t>14</t>
        </is>
      </c>
      <c r="M103" t="inlineStr">
        <is>
          <t>MVS Sec.14 p.15</t>
        </is>
      </c>
    </row>
    <row r="104">
      <c r="B104" t="inlineStr">
        <is>
          <t>Industrials, Heavy (Process) Manufacturing</t>
        </is>
      </c>
      <c r="C104" t="inlineStr">
        <is>
          <t>495</t>
        </is>
      </c>
      <c r="D104" t="inlineStr">
        <is>
          <t>14</t>
        </is>
      </c>
      <c r="E104" t="inlineStr">
        <is>
          <t>15</t>
        </is>
      </c>
      <c r="F104" t="inlineStr">
        <is>
          <t>A</t>
        </is>
      </c>
      <c r="G104" t="inlineStr">
        <is>
          <t>Low Cost</t>
        </is>
      </c>
      <c r="H104" s="2390" t="n">
        <v>180</v>
      </c>
      <c r="I104">
        <f>B104&amp;"~"&amp;F104&amp;"~"&amp;G104</f>
        <v/>
      </c>
      <c r="J104" t="inlineStr">
        <is>
          <t>14</t>
        </is>
      </c>
      <c r="K104" t="inlineStr">
        <is>
          <t>14</t>
        </is>
      </c>
      <c r="L104" t="inlineStr">
        <is>
          <t>14</t>
        </is>
      </c>
      <c r="M104" t="inlineStr">
        <is>
          <t>MVS Sec.14 p.15</t>
        </is>
      </c>
    </row>
    <row r="105">
      <c r="B105" t="inlineStr">
        <is>
          <t>Industrials, Heavy (Process) Manufacturing</t>
        </is>
      </c>
      <c r="C105" t="inlineStr">
        <is>
          <t>495</t>
        </is>
      </c>
      <c r="D105" t="inlineStr">
        <is>
          <t>14</t>
        </is>
      </c>
      <c r="E105" t="inlineStr">
        <is>
          <t>15</t>
        </is>
      </c>
      <c r="F105" t="inlineStr">
        <is>
          <t>B</t>
        </is>
      </c>
      <c r="G105" t="inlineStr">
        <is>
          <t>Excellent</t>
        </is>
      </c>
      <c r="H105" s="2390" t="n">
        <v>339</v>
      </c>
      <c r="I105">
        <f>B105&amp;"~"&amp;F105&amp;"~"&amp;G105</f>
        <v/>
      </c>
      <c r="J105" t="inlineStr">
        <is>
          <t>14</t>
        </is>
      </c>
      <c r="K105" t="inlineStr">
        <is>
          <t>14</t>
        </is>
      </c>
      <c r="L105" t="inlineStr">
        <is>
          <t>14</t>
        </is>
      </c>
      <c r="M105" t="inlineStr">
        <is>
          <t>MVS Sec.14 p.15</t>
        </is>
      </c>
    </row>
    <row r="106">
      <c r="B106" t="inlineStr">
        <is>
          <t>Industrials, Heavy (Process) Manufacturing</t>
        </is>
      </c>
      <c r="C106" t="inlineStr">
        <is>
          <t>495</t>
        </is>
      </c>
      <c r="D106" t="inlineStr">
        <is>
          <t>14</t>
        </is>
      </c>
      <c r="E106" t="inlineStr">
        <is>
          <t>15</t>
        </is>
      </c>
      <c r="F106" t="inlineStr">
        <is>
          <t>B</t>
        </is>
      </c>
      <c r="G106" t="inlineStr">
        <is>
          <t>Good</t>
        </is>
      </c>
      <c r="H106" s="2390" t="n">
        <v>272</v>
      </c>
      <c r="I106">
        <f>B106&amp;"~"&amp;F106&amp;"~"&amp;G106</f>
        <v/>
      </c>
      <c r="J106" t="inlineStr">
        <is>
          <t>14</t>
        </is>
      </c>
      <c r="K106" t="inlineStr">
        <is>
          <t>14</t>
        </is>
      </c>
      <c r="L106" t="inlineStr">
        <is>
          <t>14</t>
        </is>
      </c>
      <c r="M106" t="inlineStr">
        <is>
          <t>MVS Sec.14 p.15</t>
        </is>
      </c>
    </row>
    <row r="107">
      <c r="B107" t="inlineStr">
        <is>
          <t>Industrials, Heavy (Process) Manufacturing</t>
        </is>
      </c>
      <c r="C107" t="inlineStr">
        <is>
          <t>495</t>
        </is>
      </c>
      <c r="D107" t="inlineStr">
        <is>
          <t>14</t>
        </is>
      </c>
      <c r="E107" t="inlineStr">
        <is>
          <t>15</t>
        </is>
      </c>
      <c r="F107" t="inlineStr">
        <is>
          <t>B</t>
        </is>
      </c>
      <c r="G107" t="inlineStr">
        <is>
          <t>Average</t>
        </is>
      </c>
      <c r="H107" s="2390" t="n">
        <v>208</v>
      </c>
      <c r="I107">
        <f>B107&amp;"~"&amp;F107&amp;"~"&amp;G107</f>
        <v/>
      </c>
      <c r="J107" t="inlineStr">
        <is>
          <t>14</t>
        </is>
      </c>
      <c r="K107" t="inlineStr">
        <is>
          <t>14</t>
        </is>
      </c>
      <c r="L107" t="inlineStr">
        <is>
          <t>14</t>
        </is>
      </c>
      <c r="M107" t="inlineStr">
        <is>
          <t>MVS Sec.14 p.15</t>
        </is>
      </c>
    </row>
    <row r="108">
      <c r="B108" t="inlineStr">
        <is>
          <t>Industrials, Heavy (Process) Manufacturing</t>
        </is>
      </c>
      <c r="C108" t="inlineStr">
        <is>
          <t>495</t>
        </is>
      </c>
      <c r="D108" t="inlineStr">
        <is>
          <t>14</t>
        </is>
      </c>
      <c r="E108" t="inlineStr">
        <is>
          <t>15</t>
        </is>
      </c>
      <c r="F108" t="inlineStr">
        <is>
          <t>B</t>
        </is>
      </c>
      <c r="G108" t="inlineStr">
        <is>
          <t>Low Cost</t>
        </is>
      </c>
      <c r="H108" s="2390" t="n">
        <v>161</v>
      </c>
      <c r="I108">
        <f>B108&amp;"~"&amp;F108&amp;"~"&amp;G108</f>
        <v/>
      </c>
      <c r="J108" t="inlineStr">
        <is>
          <t>14</t>
        </is>
      </c>
      <c r="K108" t="inlineStr">
        <is>
          <t>14</t>
        </is>
      </c>
      <c r="L108" t="inlineStr">
        <is>
          <t>14</t>
        </is>
      </c>
      <c r="M108" t="inlineStr">
        <is>
          <t>MVS Sec.14 p.15</t>
        </is>
      </c>
    </row>
    <row r="109">
      <c r="B109" t="inlineStr">
        <is>
          <t>Industrials, Heavy (Process) Manufacturing</t>
        </is>
      </c>
      <c r="C109" t="inlineStr">
        <is>
          <t>495</t>
        </is>
      </c>
      <c r="D109" t="inlineStr">
        <is>
          <t>14</t>
        </is>
      </c>
      <c r="E109" t="inlineStr">
        <is>
          <t>15</t>
        </is>
      </c>
      <c r="F109" t="inlineStr">
        <is>
          <t>C</t>
        </is>
      </c>
      <c r="G109" t="inlineStr">
        <is>
          <t>Good</t>
        </is>
      </c>
      <c r="H109" s="2390" t="n">
        <v>217</v>
      </c>
      <c r="I109">
        <f>B109&amp;"~"&amp;F109&amp;"~"&amp;G109</f>
        <v/>
      </c>
      <c r="J109" t="inlineStr">
        <is>
          <t>14</t>
        </is>
      </c>
      <c r="K109" t="inlineStr">
        <is>
          <t>14</t>
        </is>
      </c>
      <c r="L109" t="inlineStr">
        <is>
          <t>14</t>
        </is>
      </c>
      <c r="M109" t="inlineStr">
        <is>
          <t>MVS Sec.14 p.15</t>
        </is>
      </c>
    </row>
    <row r="110">
      <c r="B110" t="inlineStr">
        <is>
          <t>Industrials, Heavy (Process) Manufacturing</t>
        </is>
      </c>
      <c r="C110" t="inlineStr">
        <is>
          <t>495</t>
        </is>
      </c>
      <c r="D110" t="inlineStr">
        <is>
          <t>14</t>
        </is>
      </c>
      <c r="E110" t="inlineStr">
        <is>
          <t>15</t>
        </is>
      </c>
      <c r="F110" t="inlineStr">
        <is>
          <t>C</t>
        </is>
      </c>
      <c r="G110" t="inlineStr">
        <is>
          <t>Average</t>
        </is>
      </c>
      <c r="H110" s="2390" t="n">
        <v>162</v>
      </c>
      <c r="I110">
        <f>B110&amp;"~"&amp;F110&amp;"~"&amp;G110</f>
        <v/>
      </c>
      <c r="J110" t="inlineStr">
        <is>
          <t>14</t>
        </is>
      </c>
      <c r="K110" t="inlineStr">
        <is>
          <t>14</t>
        </is>
      </c>
      <c r="L110" t="inlineStr">
        <is>
          <t>14</t>
        </is>
      </c>
      <c r="M110" t="inlineStr">
        <is>
          <t>MVS Sec.14 p.15</t>
        </is>
      </c>
    </row>
    <row r="111">
      <c r="B111" t="inlineStr">
        <is>
          <t>Industrials, Heavy (Process) Manufacturing</t>
        </is>
      </c>
      <c r="C111" t="inlineStr">
        <is>
          <t>495</t>
        </is>
      </c>
      <c r="D111" t="inlineStr">
        <is>
          <t>14</t>
        </is>
      </c>
      <c r="E111" t="inlineStr">
        <is>
          <t>15</t>
        </is>
      </c>
      <c r="F111" t="inlineStr">
        <is>
          <t>C</t>
        </is>
      </c>
      <c r="G111" t="inlineStr">
        <is>
          <t>Low Cost</t>
        </is>
      </c>
      <c r="H111" s="2390" t="n">
        <v>117</v>
      </c>
      <c r="I111">
        <f>B111&amp;"~"&amp;F111&amp;"~"&amp;G111</f>
        <v/>
      </c>
      <c r="J111" t="inlineStr">
        <is>
          <t>14</t>
        </is>
      </c>
      <c r="K111" t="inlineStr">
        <is>
          <t>14</t>
        </is>
      </c>
      <c r="L111" t="inlineStr">
        <is>
          <t>14</t>
        </is>
      </c>
      <c r="M111" t="inlineStr">
        <is>
          <t>MVS Sec.14 p.15</t>
        </is>
      </c>
    </row>
    <row r="112">
      <c r="B112" t="inlineStr">
        <is>
          <t>Industrials, Heavy (Process) Manufacturing</t>
        </is>
      </c>
      <c r="C112" t="inlineStr">
        <is>
          <t>495</t>
        </is>
      </c>
      <c r="D112" t="inlineStr">
        <is>
          <t>14</t>
        </is>
      </c>
      <c r="E112" t="inlineStr">
        <is>
          <t>15</t>
        </is>
      </c>
      <c r="F112" t="inlineStr">
        <is>
          <t>CMILL</t>
        </is>
      </c>
      <c r="G112" t="inlineStr">
        <is>
          <t>Good</t>
        </is>
      </c>
      <c r="H112" s="2390" t="n">
        <v>139</v>
      </c>
      <c r="I112">
        <f>B112&amp;"~"&amp;F112&amp;"~"&amp;G112</f>
        <v/>
      </c>
      <c r="J112" t="inlineStr">
        <is>
          <t>14</t>
        </is>
      </c>
      <c r="K112" t="inlineStr">
        <is>
          <t>14</t>
        </is>
      </c>
      <c r="L112" t="inlineStr">
        <is>
          <t>14</t>
        </is>
      </c>
      <c r="M112" t="inlineStr">
        <is>
          <t>MVS Sec.14 p.15</t>
        </is>
      </c>
    </row>
    <row r="113">
      <c r="B113" t="inlineStr">
        <is>
          <t>Industrials, Heavy (Process) Manufacturing</t>
        </is>
      </c>
      <c r="C113" t="inlineStr">
        <is>
          <t>495</t>
        </is>
      </c>
      <c r="D113" t="inlineStr">
        <is>
          <t>14</t>
        </is>
      </c>
      <c r="E113" t="inlineStr">
        <is>
          <t>15</t>
        </is>
      </c>
      <c r="F113" t="inlineStr">
        <is>
          <t>CMILL</t>
        </is>
      </c>
      <c r="G113" t="inlineStr">
        <is>
          <t>Average</t>
        </is>
      </c>
      <c r="H113" s="2390" t="n">
        <v>106</v>
      </c>
      <c r="I113">
        <f>B113&amp;"~"&amp;F113&amp;"~"&amp;G113</f>
        <v/>
      </c>
      <c r="J113" t="inlineStr">
        <is>
          <t>14</t>
        </is>
      </c>
      <c r="K113" t="inlineStr">
        <is>
          <t>14</t>
        </is>
      </c>
      <c r="L113" t="inlineStr">
        <is>
          <t>14</t>
        </is>
      </c>
      <c r="M113" t="inlineStr">
        <is>
          <t>MVS Sec.14 p.15</t>
        </is>
      </c>
    </row>
    <row r="114">
      <c r="B114" t="inlineStr">
        <is>
          <t>Industrials, Heavy (Process) Manufacturing</t>
        </is>
      </c>
      <c r="C114" t="inlineStr">
        <is>
          <t>495</t>
        </is>
      </c>
      <c r="D114" t="inlineStr">
        <is>
          <t>14</t>
        </is>
      </c>
      <c r="E114" t="inlineStr">
        <is>
          <t>15</t>
        </is>
      </c>
      <c r="F114" t="inlineStr">
        <is>
          <t>D</t>
        </is>
      </c>
      <c r="G114" t="inlineStr">
        <is>
          <t>Average</t>
        </is>
      </c>
      <c r="H114" s="2390" t="n">
        <v>144</v>
      </c>
      <c r="I114">
        <f>B114&amp;"~"&amp;F114&amp;"~"&amp;G114</f>
        <v/>
      </c>
      <c r="J114" t="inlineStr">
        <is>
          <t>14</t>
        </is>
      </c>
      <c r="K114" t="inlineStr">
        <is>
          <t>14</t>
        </is>
      </c>
      <c r="L114" t="inlineStr">
        <is>
          <t>14</t>
        </is>
      </c>
      <c r="M114" t="inlineStr">
        <is>
          <t>MVS Sec.14 p.15</t>
        </is>
      </c>
    </row>
    <row r="115">
      <c r="B115" t="inlineStr">
        <is>
          <t>Industrials, Heavy (Process) Manufacturing</t>
        </is>
      </c>
      <c r="C115" t="inlineStr">
        <is>
          <t>495</t>
        </is>
      </c>
      <c r="D115" t="inlineStr">
        <is>
          <t>14</t>
        </is>
      </c>
      <c r="E115" t="inlineStr">
        <is>
          <t>15</t>
        </is>
      </c>
      <c r="F115" t="inlineStr">
        <is>
          <t>D</t>
        </is>
      </c>
      <c r="G115" t="inlineStr">
        <is>
          <t>Low Cost</t>
        </is>
      </c>
      <c r="H115" s="2390" t="n">
        <v>111</v>
      </c>
      <c r="I115">
        <f>B115&amp;"~"&amp;F115&amp;"~"&amp;G115</f>
        <v/>
      </c>
      <c r="J115" t="inlineStr">
        <is>
          <t>14</t>
        </is>
      </c>
      <c r="K115" t="inlineStr">
        <is>
          <t>14</t>
        </is>
      </c>
      <c r="L115" t="inlineStr">
        <is>
          <t>14</t>
        </is>
      </c>
      <c r="M115" t="inlineStr">
        <is>
          <t>MVS Sec.14 p.15</t>
        </is>
      </c>
    </row>
    <row r="116">
      <c r="B116" t="inlineStr">
        <is>
          <t>Industrials, Heavy (Process) Manufacturing</t>
        </is>
      </c>
      <c r="C116" t="inlineStr">
        <is>
          <t>495</t>
        </is>
      </c>
      <c r="D116" t="inlineStr">
        <is>
          <t>14</t>
        </is>
      </c>
      <c r="E116" t="inlineStr">
        <is>
          <t>15</t>
        </is>
      </c>
      <c r="F116" t="inlineStr">
        <is>
          <t>S</t>
        </is>
      </c>
      <c r="G116" t="inlineStr">
        <is>
          <t>Good</t>
        </is>
      </c>
      <c r="H116" s="2390" t="n">
        <v>209</v>
      </c>
      <c r="I116">
        <f>B116&amp;"~"&amp;F116&amp;"~"&amp;G116</f>
        <v/>
      </c>
      <c r="J116" t="inlineStr">
        <is>
          <t>14</t>
        </is>
      </c>
      <c r="K116" t="inlineStr">
        <is>
          <t>14</t>
        </is>
      </c>
      <c r="L116" t="inlineStr">
        <is>
          <t>14</t>
        </is>
      </c>
      <c r="M116" t="inlineStr">
        <is>
          <t>MVS Sec.14 p.15</t>
        </is>
      </c>
    </row>
    <row r="117">
      <c r="B117" t="inlineStr">
        <is>
          <t>Industrials, Heavy (Process) Manufacturing</t>
        </is>
      </c>
      <c r="C117" t="inlineStr">
        <is>
          <t>495</t>
        </is>
      </c>
      <c r="D117" t="inlineStr">
        <is>
          <t>14</t>
        </is>
      </c>
      <c r="E117" t="inlineStr">
        <is>
          <t>15</t>
        </is>
      </c>
      <c r="F117" t="inlineStr">
        <is>
          <t>S</t>
        </is>
      </c>
      <c r="G117" t="inlineStr">
        <is>
          <t>Average</t>
        </is>
      </c>
      <c r="H117" s="2390" t="n">
        <v>149</v>
      </c>
      <c r="I117">
        <f>B117&amp;"~"&amp;F117&amp;"~"&amp;G117</f>
        <v/>
      </c>
      <c r="J117" t="inlineStr">
        <is>
          <t>14</t>
        </is>
      </c>
      <c r="K117" t="inlineStr">
        <is>
          <t>14</t>
        </is>
      </c>
      <c r="L117" t="inlineStr">
        <is>
          <t>14</t>
        </is>
      </c>
      <c r="M117" t="inlineStr">
        <is>
          <t>MVS Sec.14 p.15</t>
        </is>
      </c>
    </row>
    <row r="118">
      <c r="B118" t="inlineStr">
        <is>
          <t>Industrials, Heavy (Process) Manufacturing</t>
        </is>
      </c>
      <c r="C118" t="inlineStr">
        <is>
          <t>495</t>
        </is>
      </c>
      <c r="D118" t="inlineStr">
        <is>
          <t>14</t>
        </is>
      </c>
      <c r="E118" t="inlineStr">
        <is>
          <t>15</t>
        </is>
      </c>
      <c r="F118" t="inlineStr">
        <is>
          <t>S</t>
        </is>
      </c>
      <c r="G118" t="inlineStr">
        <is>
          <t>Low Cost</t>
        </is>
      </c>
      <c r="H118" s="2390" t="n">
        <v>113</v>
      </c>
      <c r="I118">
        <f>B118&amp;"~"&amp;F118&amp;"~"&amp;G118</f>
        <v/>
      </c>
      <c r="J118" t="inlineStr">
        <is>
          <t>14</t>
        </is>
      </c>
      <c r="K118" t="inlineStr">
        <is>
          <t>14</t>
        </is>
      </c>
      <c r="L118" t="inlineStr">
        <is>
          <t>14</t>
        </is>
      </c>
      <c r="M118" t="inlineStr">
        <is>
          <t>MVS Sec.14 p.15</t>
        </is>
      </c>
    </row>
    <row r="119">
      <c r="B119" t="inlineStr">
        <is>
          <t>Service Garages (Commercial/Repair)</t>
        </is>
      </c>
      <c r="C119" t="inlineStr">
        <is>
          <t>528</t>
        </is>
      </c>
      <c r="D119" t="inlineStr">
        <is>
          <t>14</t>
        </is>
      </c>
      <c r="E119" t="inlineStr">
        <is>
          <t>32</t>
        </is>
      </c>
      <c r="F119" t="inlineStr">
        <is>
          <t>A-B</t>
        </is>
      </c>
      <c r="G119" t="inlineStr">
        <is>
          <t>Average</t>
        </is>
      </c>
      <c r="H119" s="2390" t="n">
        <v>122</v>
      </c>
      <c r="I119">
        <f>B119&amp;"~"&amp;F119&amp;"~"&amp;G119</f>
        <v/>
      </c>
      <c r="J119" t="inlineStr">
        <is>
          <t>14</t>
        </is>
      </c>
      <c r="K119" t="inlineStr">
        <is>
          <t>14</t>
        </is>
      </c>
      <c r="L119" t="inlineStr">
        <is>
          <t>14</t>
        </is>
      </c>
      <c r="M119" t="inlineStr">
        <is>
          <t>MVS Sec.14 p.32</t>
        </is>
      </c>
    </row>
    <row r="120">
      <c r="B120" t="inlineStr">
        <is>
          <t>Service Garages (Commercial/Repair)</t>
        </is>
      </c>
      <c r="C120" t="inlineStr">
        <is>
          <t>528</t>
        </is>
      </c>
      <c r="D120" t="inlineStr">
        <is>
          <t>14</t>
        </is>
      </c>
      <c r="E120" t="inlineStr">
        <is>
          <t>32</t>
        </is>
      </c>
      <c r="F120" t="inlineStr">
        <is>
          <t>C</t>
        </is>
      </c>
      <c r="G120" t="inlineStr">
        <is>
          <t>Excellent</t>
        </is>
      </c>
      <c r="H120" s="2390" t="n">
        <v>156</v>
      </c>
      <c r="I120">
        <f>B120&amp;"~"&amp;F120&amp;"~"&amp;G120</f>
        <v/>
      </c>
      <c r="J120" t="inlineStr">
        <is>
          <t>14</t>
        </is>
      </c>
      <c r="K120" t="inlineStr">
        <is>
          <t>14</t>
        </is>
      </c>
      <c r="L120" t="inlineStr">
        <is>
          <t>14</t>
        </is>
      </c>
      <c r="M120" t="inlineStr">
        <is>
          <t>MVS Sec.14 p.32</t>
        </is>
      </c>
    </row>
    <row r="121">
      <c r="B121" t="inlineStr">
        <is>
          <t>Service Garages (Commercial/Repair)</t>
        </is>
      </c>
      <c r="C121" t="inlineStr">
        <is>
          <t>528</t>
        </is>
      </c>
      <c r="D121" t="inlineStr">
        <is>
          <t>14</t>
        </is>
      </c>
      <c r="E121" t="inlineStr">
        <is>
          <t>32</t>
        </is>
      </c>
      <c r="F121" t="inlineStr">
        <is>
          <t>C</t>
        </is>
      </c>
      <c r="G121" t="inlineStr">
        <is>
          <t>Good</t>
        </is>
      </c>
      <c r="H121" s="2390" t="n">
        <v>109</v>
      </c>
      <c r="I121">
        <f>B121&amp;"~"&amp;F121&amp;"~"&amp;G121</f>
        <v/>
      </c>
      <c r="J121" t="inlineStr">
        <is>
          <t>14</t>
        </is>
      </c>
      <c r="K121" t="inlineStr">
        <is>
          <t>14</t>
        </is>
      </c>
      <c r="L121" t="inlineStr">
        <is>
          <t>14</t>
        </is>
      </c>
      <c r="M121" t="inlineStr">
        <is>
          <t>MVS Sec.14 p.32</t>
        </is>
      </c>
    </row>
    <row r="122">
      <c r="B122" t="inlineStr">
        <is>
          <t>Service Garages (Commercial/Repair)</t>
        </is>
      </c>
      <c r="C122" t="inlineStr">
        <is>
          <t>528</t>
        </is>
      </c>
      <c r="D122" t="inlineStr">
        <is>
          <t>14</t>
        </is>
      </c>
      <c r="E122" t="inlineStr">
        <is>
          <t>32</t>
        </is>
      </c>
      <c r="F122" t="inlineStr">
        <is>
          <t>C</t>
        </is>
      </c>
      <c r="G122" t="inlineStr">
        <is>
          <t>Average</t>
        </is>
      </c>
      <c r="H122" s="2390" t="n">
        <v>79.5</v>
      </c>
      <c r="I122">
        <f>B122&amp;"~"&amp;F122&amp;"~"&amp;G122</f>
        <v/>
      </c>
      <c r="J122" t="inlineStr">
        <is>
          <t>14</t>
        </is>
      </c>
      <c r="K122" t="inlineStr">
        <is>
          <t>14</t>
        </is>
      </c>
      <c r="L122" t="inlineStr">
        <is>
          <t>14</t>
        </is>
      </c>
      <c r="M122" t="inlineStr">
        <is>
          <t>MVS Sec.14 p.32</t>
        </is>
      </c>
    </row>
    <row r="123">
      <c r="B123" t="inlineStr">
        <is>
          <t>Service Garages (Commercial/Repair)</t>
        </is>
      </c>
      <c r="C123" t="inlineStr">
        <is>
          <t>528</t>
        </is>
      </c>
      <c r="D123" t="inlineStr">
        <is>
          <t>14</t>
        </is>
      </c>
      <c r="E123" t="inlineStr">
        <is>
          <t>32</t>
        </is>
      </c>
      <c r="F123" t="inlineStr">
        <is>
          <t>C</t>
        </is>
      </c>
      <c r="G123" t="inlineStr">
        <is>
          <t>Low Cost</t>
        </is>
      </c>
      <c r="H123" s="2390" t="n">
        <v>57.5</v>
      </c>
      <c r="I123">
        <f>B123&amp;"~"&amp;F123&amp;"~"&amp;G123</f>
        <v/>
      </c>
      <c r="J123" t="inlineStr">
        <is>
          <t>14</t>
        </is>
      </c>
      <c r="K123" t="inlineStr">
        <is>
          <t>14</t>
        </is>
      </c>
      <c r="L123" t="inlineStr">
        <is>
          <t>14</t>
        </is>
      </c>
      <c r="M123" t="inlineStr">
        <is>
          <t>MVS Sec.14 p.32</t>
        </is>
      </c>
    </row>
    <row r="124">
      <c r="B124" t="inlineStr">
        <is>
          <t>Service Garages (Commercial/Repair)</t>
        </is>
      </c>
      <c r="C124" t="inlineStr">
        <is>
          <t>528</t>
        </is>
      </c>
      <c r="D124" t="inlineStr">
        <is>
          <t>14</t>
        </is>
      </c>
      <c r="E124" t="inlineStr">
        <is>
          <t>32</t>
        </is>
      </c>
      <c r="F124" t="inlineStr">
        <is>
          <t>D</t>
        </is>
      </c>
      <c r="G124" t="inlineStr">
        <is>
          <t>Good</t>
        </is>
      </c>
      <c r="H124" s="2390" t="n">
        <v>96</v>
      </c>
      <c r="I124">
        <f>B124&amp;"~"&amp;F124&amp;"~"&amp;G124</f>
        <v/>
      </c>
      <c r="J124" t="inlineStr">
        <is>
          <t>14</t>
        </is>
      </c>
      <c r="K124" t="inlineStr">
        <is>
          <t>14</t>
        </is>
      </c>
      <c r="L124" t="inlineStr">
        <is>
          <t>14</t>
        </is>
      </c>
      <c r="M124" t="inlineStr">
        <is>
          <t>MVS Sec.14 p.32</t>
        </is>
      </c>
    </row>
    <row r="125">
      <c r="B125" t="inlineStr">
        <is>
          <t>Service Garages (Commercial/Repair)</t>
        </is>
      </c>
      <c r="C125" t="inlineStr">
        <is>
          <t>528</t>
        </is>
      </c>
      <c r="D125" t="inlineStr">
        <is>
          <t>14</t>
        </is>
      </c>
      <c r="E125" t="inlineStr">
        <is>
          <t>32</t>
        </is>
      </c>
      <c r="F125" t="inlineStr">
        <is>
          <t>D</t>
        </is>
      </c>
      <c r="G125" t="inlineStr">
        <is>
          <t>Average</t>
        </is>
      </c>
      <c r="H125" s="2390" t="n">
        <v>70.5</v>
      </c>
      <c r="I125">
        <f>B125&amp;"~"&amp;F125&amp;"~"&amp;G125</f>
        <v/>
      </c>
      <c r="J125" t="inlineStr">
        <is>
          <t>14</t>
        </is>
      </c>
      <c r="K125" t="inlineStr">
        <is>
          <t>14</t>
        </is>
      </c>
      <c r="L125" t="inlineStr">
        <is>
          <t>14</t>
        </is>
      </c>
      <c r="M125" t="inlineStr">
        <is>
          <t>MVS Sec.14 p.32</t>
        </is>
      </c>
    </row>
    <row r="126">
      <c r="B126" t="inlineStr">
        <is>
          <t>Service Garages (Commercial/Repair)</t>
        </is>
      </c>
      <c r="C126" t="inlineStr">
        <is>
          <t>528</t>
        </is>
      </c>
      <c r="D126" t="inlineStr">
        <is>
          <t>14</t>
        </is>
      </c>
      <c r="E126" t="inlineStr">
        <is>
          <t>32</t>
        </is>
      </c>
      <c r="F126" t="inlineStr">
        <is>
          <t>D</t>
        </is>
      </c>
      <c r="G126" t="inlineStr">
        <is>
          <t>Low Cost</t>
        </is>
      </c>
      <c r="H126" s="2390" t="n">
        <v>52</v>
      </c>
      <c r="I126">
        <f>B126&amp;"~"&amp;F126&amp;"~"&amp;G126</f>
        <v/>
      </c>
      <c r="J126" t="inlineStr">
        <is>
          <t>14</t>
        </is>
      </c>
      <c r="K126" t="inlineStr">
        <is>
          <t>14</t>
        </is>
      </c>
      <c r="L126" t="inlineStr">
        <is>
          <t>14</t>
        </is>
      </c>
      <c r="M126" t="inlineStr">
        <is>
          <t>MVS Sec.14 p.32</t>
        </is>
      </c>
    </row>
    <row r="127">
      <c r="B127" t="inlineStr">
        <is>
          <t>Service Garages (Commercial/Repair)</t>
        </is>
      </c>
      <c r="C127" t="inlineStr">
        <is>
          <t>528</t>
        </is>
      </c>
      <c r="D127" t="inlineStr">
        <is>
          <t>14</t>
        </is>
      </c>
      <c r="E127" t="inlineStr">
        <is>
          <t>32</t>
        </is>
      </c>
      <c r="F127" t="inlineStr">
        <is>
          <t>DPOLE</t>
        </is>
      </c>
      <c r="G127" t="inlineStr">
        <is>
          <t>Average</t>
        </is>
      </c>
      <c r="H127" s="2390" t="n">
        <v>62</v>
      </c>
      <c r="I127">
        <f>B127&amp;"~"&amp;F127&amp;"~"&amp;G127</f>
        <v/>
      </c>
      <c r="J127" t="inlineStr">
        <is>
          <t>14</t>
        </is>
      </c>
      <c r="K127" t="inlineStr">
        <is>
          <t>14</t>
        </is>
      </c>
      <c r="L127" t="inlineStr">
        <is>
          <t>14</t>
        </is>
      </c>
      <c r="M127" t="inlineStr">
        <is>
          <t>MVS Sec.14 p.32</t>
        </is>
      </c>
    </row>
    <row r="128">
      <c r="B128" t="inlineStr">
        <is>
          <t>Service Garages (Commercial/Repair)</t>
        </is>
      </c>
      <c r="C128" t="inlineStr">
        <is>
          <t>528</t>
        </is>
      </c>
      <c r="D128" t="inlineStr">
        <is>
          <t>14</t>
        </is>
      </c>
      <c r="E128" t="inlineStr">
        <is>
          <t>32</t>
        </is>
      </c>
      <c r="F128" t="inlineStr">
        <is>
          <t>DPOLE</t>
        </is>
      </c>
      <c r="G128" t="inlineStr">
        <is>
          <t>Low Cost</t>
        </is>
      </c>
      <c r="H128" s="2390" t="n">
        <v>45.5</v>
      </c>
      <c r="I128">
        <f>B128&amp;"~"&amp;F128&amp;"~"&amp;G128</f>
        <v/>
      </c>
      <c r="J128" t="inlineStr">
        <is>
          <t>14</t>
        </is>
      </c>
      <c r="K128" t="inlineStr">
        <is>
          <t>14</t>
        </is>
      </c>
      <c r="L128" t="inlineStr">
        <is>
          <t>14</t>
        </is>
      </c>
      <c r="M128" t="inlineStr">
        <is>
          <t>MVS Sec.14 p.32</t>
        </is>
      </c>
    </row>
    <row r="129">
      <c r="B129" t="inlineStr">
        <is>
          <t>Service Garages (Commercial/Repair)</t>
        </is>
      </c>
      <c r="C129" t="inlineStr">
        <is>
          <t>528</t>
        </is>
      </c>
      <c r="D129" t="inlineStr">
        <is>
          <t>14</t>
        </is>
      </c>
      <c r="E129" t="inlineStr">
        <is>
          <t>32</t>
        </is>
      </c>
      <c r="F129" t="inlineStr">
        <is>
          <t>S</t>
        </is>
      </c>
      <c r="G129" t="inlineStr">
        <is>
          <t>Good</t>
        </is>
      </c>
      <c r="H129" s="2390" t="n">
        <v>94.5</v>
      </c>
      <c r="I129">
        <f>B129&amp;"~"&amp;F129&amp;"~"&amp;G129</f>
        <v/>
      </c>
      <c r="J129" t="inlineStr">
        <is>
          <t>14</t>
        </is>
      </c>
      <c r="K129" t="inlineStr">
        <is>
          <t>14</t>
        </is>
      </c>
      <c r="L129" t="inlineStr">
        <is>
          <t>14</t>
        </is>
      </c>
      <c r="M129" t="inlineStr">
        <is>
          <t>MVS Sec.14 p.32</t>
        </is>
      </c>
    </row>
    <row r="130">
      <c r="B130" t="inlineStr">
        <is>
          <t>Service Garages (Commercial/Repair)</t>
        </is>
      </c>
      <c r="C130" t="inlineStr">
        <is>
          <t>528</t>
        </is>
      </c>
      <c r="D130" t="inlineStr">
        <is>
          <t>14</t>
        </is>
      </c>
      <c r="E130" t="inlineStr">
        <is>
          <t>32</t>
        </is>
      </c>
      <c r="F130" t="inlineStr">
        <is>
          <t>S</t>
        </is>
      </c>
      <c r="G130" t="inlineStr">
        <is>
          <t>Average</t>
        </is>
      </c>
      <c r="H130" s="2390" t="n">
        <v>68</v>
      </c>
      <c r="I130">
        <f>B130&amp;"~"&amp;F130&amp;"~"&amp;G130</f>
        <v/>
      </c>
      <c r="J130" t="inlineStr">
        <is>
          <t>14</t>
        </is>
      </c>
      <c r="K130" t="inlineStr">
        <is>
          <t>14</t>
        </is>
      </c>
      <c r="L130" t="inlineStr">
        <is>
          <t>14</t>
        </is>
      </c>
      <c r="M130" t="inlineStr">
        <is>
          <t>MVS Sec.14 p.32</t>
        </is>
      </c>
    </row>
    <row r="131">
      <c r="B131" t="inlineStr">
        <is>
          <t>Service Garages (Commercial/Repair)</t>
        </is>
      </c>
      <c r="C131" t="inlineStr">
        <is>
          <t>528</t>
        </is>
      </c>
      <c r="D131" t="inlineStr">
        <is>
          <t>14</t>
        </is>
      </c>
      <c r="E131" t="inlineStr">
        <is>
          <t>32</t>
        </is>
      </c>
      <c r="F131" t="inlineStr">
        <is>
          <t>S</t>
        </is>
      </c>
      <c r="G131" t="inlineStr">
        <is>
          <t>Low Cost</t>
        </is>
      </c>
      <c r="H131" s="2390" t="n">
        <v>49.5</v>
      </c>
      <c r="I131">
        <f>B131&amp;"~"&amp;F131&amp;"~"&amp;G131</f>
        <v/>
      </c>
      <c r="J131" t="inlineStr">
        <is>
          <t>14</t>
        </is>
      </c>
      <c r="K131" t="inlineStr">
        <is>
          <t>14</t>
        </is>
      </c>
      <c r="L131" t="inlineStr">
        <is>
          <t>14</t>
        </is>
      </c>
      <c r="M131" t="inlineStr">
        <is>
          <t>MVS Sec.14 p.32</t>
        </is>
      </c>
    </row>
    <row r="132">
      <c r="B132" t="inlineStr">
        <is>
          <t>Retail Stores</t>
        </is>
      </c>
      <c r="C132" t="inlineStr">
        <is>
          <t>353</t>
        </is>
      </c>
      <c r="D132" t="inlineStr">
        <is>
          <t>13</t>
        </is>
      </c>
      <c r="E132" t="inlineStr">
        <is>
          <t>26</t>
        </is>
      </c>
      <c r="F132" t="inlineStr">
        <is>
          <t>A</t>
        </is>
      </c>
      <c r="G132" t="inlineStr">
        <is>
          <t>Excellent</t>
        </is>
      </c>
      <c r="H132" s="2390" t="n">
        <v>273</v>
      </c>
      <c r="I132">
        <f>B132&amp;"~"&amp;F132&amp;"~"&amp;G132</f>
        <v/>
      </c>
      <c r="J132" t="inlineStr">
        <is>
          <t>13</t>
        </is>
      </c>
      <c r="K132" t="inlineStr">
        <is>
          <t>13</t>
        </is>
      </c>
      <c r="L132" t="inlineStr">
        <is>
          <t>13</t>
        </is>
      </c>
      <c r="M132" t="inlineStr">
        <is>
          <t>MVS Sec.13 p.26</t>
        </is>
      </c>
    </row>
    <row r="133">
      <c r="B133" t="inlineStr">
        <is>
          <t>Retail Stores</t>
        </is>
      </c>
      <c r="C133" t="inlineStr">
        <is>
          <t>353</t>
        </is>
      </c>
      <c r="D133" t="inlineStr">
        <is>
          <t>13</t>
        </is>
      </c>
      <c r="E133" t="inlineStr">
        <is>
          <t>26</t>
        </is>
      </c>
      <c r="F133" t="inlineStr">
        <is>
          <t>A</t>
        </is>
      </c>
      <c r="G133" t="inlineStr">
        <is>
          <t>Good</t>
        </is>
      </c>
      <c r="H133" s="2390" t="n">
        <v>205</v>
      </c>
      <c r="I133">
        <f>B133&amp;"~"&amp;F133&amp;"~"&amp;G133</f>
        <v/>
      </c>
      <c r="J133" t="inlineStr">
        <is>
          <t>13</t>
        </is>
      </c>
      <c r="K133" t="inlineStr">
        <is>
          <t>13</t>
        </is>
      </c>
      <c r="L133" t="inlineStr">
        <is>
          <t>13</t>
        </is>
      </c>
      <c r="M133" t="inlineStr">
        <is>
          <t>MVS Sec.13 p.26</t>
        </is>
      </c>
    </row>
    <row r="134">
      <c r="B134" t="inlineStr">
        <is>
          <t>Retail Stores</t>
        </is>
      </c>
      <c r="C134" t="inlineStr">
        <is>
          <t>353</t>
        </is>
      </c>
      <c r="D134" t="inlineStr">
        <is>
          <t>13</t>
        </is>
      </c>
      <c r="E134" t="inlineStr">
        <is>
          <t>26</t>
        </is>
      </c>
      <c r="F134" t="inlineStr">
        <is>
          <t>A</t>
        </is>
      </c>
      <c r="G134" t="inlineStr">
        <is>
          <t>Average</t>
        </is>
      </c>
      <c r="H134" s="2390" t="n">
        <v>161</v>
      </c>
      <c r="I134">
        <f>B134&amp;"~"&amp;F134&amp;"~"&amp;G134</f>
        <v/>
      </c>
      <c r="J134" t="inlineStr">
        <is>
          <t>13</t>
        </is>
      </c>
      <c r="K134" t="inlineStr">
        <is>
          <t>13</t>
        </is>
      </c>
      <c r="L134" t="inlineStr">
        <is>
          <t>13</t>
        </is>
      </c>
      <c r="M134" t="inlineStr">
        <is>
          <t>MVS Sec.13 p.26</t>
        </is>
      </c>
    </row>
    <row r="135">
      <c r="B135" t="inlineStr">
        <is>
          <t>Retail Stores</t>
        </is>
      </c>
      <c r="C135" t="inlineStr">
        <is>
          <t>353</t>
        </is>
      </c>
      <c r="D135" t="inlineStr">
        <is>
          <t>13</t>
        </is>
      </c>
      <c r="E135" t="inlineStr">
        <is>
          <t>26</t>
        </is>
      </c>
      <c r="F135" t="inlineStr">
        <is>
          <t>A</t>
        </is>
      </c>
      <c r="G135" t="inlineStr">
        <is>
          <t>Low Cost</t>
        </is>
      </c>
      <c r="H135" s="2390" t="n">
        <v>123</v>
      </c>
      <c r="I135">
        <f>B135&amp;"~"&amp;F135&amp;"~"&amp;G135</f>
        <v/>
      </c>
      <c r="J135" t="inlineStr">
        <is>
          <t>13</t>
        </is>
      </c>
      <c r="K135" t="inlineStr">
        <is>
          <t>13</t>
        </is>
      </c>
      <c r="L135" t="inlineStr">
        <is>
          <t>13</t>
        </is>
      </c>
      <c r="M135" t="inlineStr">
        <is>
          <t>MVS Sec.13 p.26</t>
        </is>
      </c>
    </row>
    <row r="136">
      <c r="B136" t="inlineStr">
        <is>
          <t>Retail Stores</t>
        </is>
      </c>
      <c r="C136" t="inlineStr">
        <is>
          <t>353</t>
        </is>
      </c>
      <c r="D136" t="inlineStr">
        <is>
          <t>13</t>
        </is>
      </c>
      <c r="E136" t="inlineStr">
        <is>
          <t>26</t>
        </is>
      </c>
      <c r="F136" t="inlineStr">
        <is>
          <t>B</t>
        </is>
      </c>
      <c r="G136" t="inlineStr">
        <is>
          <t>Excellent</t>
        </is>
      </c>
      <c r="H136" s="2390" t="n">
        <v>248</v>
      </c>
      <c r="I136">
        <f>B136&amp;"~"&amp;F136&amp;"~"&amp;G136</f>
        <v/>
      </c>
      <c r="J136" t="inlineStr">
        <is>
          <t>13</t>
        </is>
      </c>
      <c r="K136" t="inlineStr">
        <is>
          <t>13</t>
        </is>
      </c>
      <c r="L136" t="inlineStr">
        <is>
          <t>13</t>
        </is>
      </c>
      <c r="M136" t="inlineStr">
        <is>
          <t>MVS Sec.13 p.26</t>
        </is>
      </c>
    </row>
    <row r="137">
      <c r="B137" t="inlineStr">
        <is>
          <t>Retail Stores</t>
        </is>
      </c>
      <c r="C137" t="inlineStr">
        <is>
          <t>353</t>
        </is>
      </c>
      <c r="D137" t="inlineStr">
        <is>
          <t>13</t>
        </is>
      </c>
      <c r="E137" t="inlineStr">
        <is>
          <t>26</t>
        </is>
      </c>
      <c r="F137" t="inlineStr">
        <is>
          <t>B</t>
        </is>
      </c>
      <c r="G137" t="inlineStr">
        <is>
          <t>Good</t>
        </is>
      </c>
      <c r="H137" s="2390" t="n">
        <v>185</v>
      </c>
      <c r="I137">
        <f>B137&amp;"~"&amp;F137&amp;"~"&amp;G137</f>
        <v/>
      </c>
      <c r="J137" t="inlineStr">
        <is>
          <t>13</t>
        </is>
      </c>
      <c r="K137" t="inlineStr">
        <is>
          <t>13</t>
        </is>
      </c>
      <c r="L137" t="inlineStr">
        <is>
          <t>13</t>
        </is>
      </c>
      <c r="M137" t="inlineStr">
        <is>
          <t>MVS Sec.13 p.26</t>
        </is>
      </c>
    </row>
    <row r="138">
      <c r="B138" t="inlineStr">
        <is>
          <t>Retail Stores</t>
        </is>
      </c>
      <c r="C138" t="inlineStr">
        <is>
          <t>353</t>
        </is>
      </c>
      <c r="D138" t="inlineStr">
        <is>
          <t>13</t>
        </is>
      </c>
      <c r="E138" t="inlineStr">
        <is>
          <t>26</t>
        </is>
      </c>
      <c r="F138" t="inlineStr">
        <is>
          <t>B</t>
        </is>
      </c>
      <c r="G138" t="inlineStr">
        <is>
          <t>Average</t>
        </is>
      </c>
      <c r="H138" s="2390" t="n">
        <v>145</v>
      </c>
      <c r="I138">
        <f>B138&amp;"~"&amp;F138&amp;"~"&amp;G138</f>
        <v/>
      </c>
      <c r="J138" t="inlineStr">
        <is>
          <t>13</t>
        </is>
      </c>
      <c r="K138" t="inlineStr">
        <is>
          <t>13</t>
        </is>
      </c>
      <c r="L138" t="inlineStr">
        <is>
          <t>13</t>
        </is>
      </c>
      <c r="M138" t="inlineStr">
        <is>
          <t>MVS Sec.13 p.26</t>
        </is>
      </c>
    </row>
    <row r="139">
      <c r="B139" t="inlineStr">
        <is>
          <t>Retail Stores</t>
        </is>
      </c>
      <c r="C139" t="inlineStr">
        <is>
          <t>353</t>
        </is>
      </c>
      <c r="D139" t="inlineStr">
        <is>
          <t>13</t>
        </is>
      </c>
      <c r="E139" t="inlineStr">
        <is>
          <t>26</t>
        </is>
      </c>
      <c r="F139" t="inlineStr">
        <is>
          <t>B</t>
        </is>
      </c>
      <c r="G139" t="inlineStr">
        <is>
          <t>Low Cost</t>
        </is>
      </c>
      <c r="H139" s="2390" t="n">
        <v>110</v>
      </c>
      <c r="I139">
        <f>B139&amp;"~"&amp;F139&amp;"~"&amp;G139</f>
        <v/>
      </c>
      <c r="J139" t="inlineStr">
        <is>
          <t>13</t>
        </is>
      </c>
      <c r="K139" t="inlineStr">
        <is>
          <t>13</t>
        </is>
      </c>
      <c r="L139" t="inlineStr">
        <is>
          <t>13</t>
        </is>
      </c>
      <c r="M139" t="inlineStr">
        <is>
          <t>MVS Sec.13 p.26</t>
        </is>
      </c>
    </row>
    <row r="140">
      <c r="B140" t="inlineStr">
        <is>
          <t>Retail Stores</t>
        </is>
      </c>
      <c r="C140" t="inlineStr">
        <is>
          <t>353</t>
        </is>
      </c>
      <c r="D140" t="inlineStr">
        <is>
          <t>13</t>
        </is>
      </c>
      <c r="E140" t="inlineStr">
        <is>
          <t>26</t>
        </is>
      </c>
      <c r="F140" t="inlineStr">
        <is>
          <t>C</t>
        </is>
      </c>
      <c r="G140" t="inlineStr">
        <is>
          <t>Excellent</t>
        </is>
      </c>
      <c r="H140" s="2390" t="n">
        <v>208</v>
      </c>
      <c r="I140">
        <f>B140&amp;"~"&amp;F140&amp;"~"&amp;G140</f>
        <v/>
      </c>
      <c r="J140" t="inlineStr">
        <is>
          <t>13</t>
        </is>
      </c>
      <c r="K140" t="inlineStr">
        <is>
          <t>13</t>
        </is>
      </c>
      <c r="L140" t="inlineStr">
        <is>
          <t>13</t>
        </is>
      </c>
      <c r="M140" t="inlineStr">
        <is>
          <t>MVS Sec.13 p.26</t>
        </is>
      </c>
    </row>
    <row r="141">
      <c r="B141" t="inlineStr">
        <is>
          <t>Retail Stores</t>
        </is>
      </c>
      <c r="C141" t="inlineStr">
        <is>
          <t>353</t>
        </is>
      </c>
      <c r="D141" t="inlineStr">
        <is>
          <t>13</t>
        </is>
      </c>
      <c r="E141" t="inlineStr">
        <is>
          <t>26</t>
        </is>
      </c>
      <c r="F141" t="inlineStr">
        <is>
          <t>C</t>
        </is>
      </c>
      <c r="G141" t="inlineStr">
        <is>
          <t>Good</t>
        </is>
      </c>
      <c r="H141" s="2390" t="n">
        <v>154</v>
      </c>
      <c r="I141">
        <f>B141&amp;"~"&amp;F141&amp;"~"&amp;G141</f>
        <v/>
      </c>
      <c r="J141" t="inlineStr">
        <is>
          <t>13</t>
        </is>
      </c>
      <c r="K141" t="inlineStr">
        <is>
          <t>13</t>
        </is>
      </c>
      <c r="L141" t="inlineStr">
        <is>
          <t>13</t>
        </is>
      </c>
      <c r="M141" t="inlineStr">
        <is>
          <t>MVS Sec.13 p.26</t>
        </is>
      </c>
    </row>
    <row r="142">
      <c r="B142" t="inlineStr">
        <is>
          <t>Retail Stores</t>
        </is>
      </c>
      <c r="C142" t="inlineStr">
        <is>
          <t>353</t>
        </is>
      </c>
      <c r="D142" t="inlineStr">
        <is>
          <t>13</t>
        </is>
      </c>
      <c r="E142" t="inlineStr">
        <is>
          <t>26</t>
        </is>
      </c>
      <c r="F142" t="inlineStr">
        <is>
          <t>C</t>
        </is>
      </c>
      <c r="G142" t="inlineStr">
        <is>
          <t>Average</t>
        </is>
      </c>
      <c r="H142" s="2390" t="n">
        <v>117</v>
      </c>
      <c r="I142">
        <f>B142&amp;"~"&amp;F142&amp;"~"&amp;G142</f>
        <v/>
      </c>
      <c r="J142" t="inlineStr">
        <is>
          <t>13</t>
        </is>
      </c>
      <c r="K142" t="inlineStr">
        <is>
          <t>13</t>
        </is>
      </c>
      <c r="L142" t="inlineStr">
        <is>
          <t>13</t>
        </is>
      </c>
      <c r="M142" t="inlineStr">
        <is>
          <t>MVS Sec.13 p.26</t>
        </is>
      </c>
    </row>
    <row r="143">
      <c r="B143" t="inlineStr">
        <is>
          <t>Retail Stores</t>
        </is>
      </c>
      <c r="C143" t="inlineStr">
        <is>
          <t>353</t>
        </is>
      </c>
      <c r="D143" t="inlineStr">
        <is>
          <t>13</t>
        </is>
      </c>
      <c r="E143" t="inlineStr">
        <is>
          <t>26</t>
        </is>
      </c>
      <c r="F143" t="inlineStr">
        <is>
          <t>C</t>
        </is>
      </c>
      <c r="G143" t="inlineStr">
        <is>
          <t>Low Cost</t>
        </is>
      </c>
      <c r="H143" s="2390" t="n">
        <v>84</v>
      </c>
      <c r="I143">
        <f>B143&amp;"~"&amp;F143&amp;"~"&amp;G143</f>
        <v/>
      </c>
      <c r="J143" t="inlineStr">
        <is>
          <t>13</t>
        </is>
      </c>
      <c r="K143" t="inlineStr">
        <is>
          <t>13</t>
        </is>
      </c>
      <c r="L143" t="inlineStr">
        <is>
          <t>13</t>
        </is>
      </c>
      <c r="M143" t="inlineStr">
        <is>
          <t>MVS Sec.13 p.26</t>
        </is>
      </c>
    </row>
    <row r="144">
      <c r="B144" t="inlineStr">
        <is>
          <t>Retail Stores</t>
        </is>
      </c>
      <c r="C144" t="inlineStr">
        <is>
          <t>353</t>
        </is>
      </c>
      <c r="D144" t="inlineStr">
        <is>
          <t>13</t>
        </is>
      </c>
      <c r="E144" t="inlineStr">
        <is>
          <t>26</t>
        </is>
      </c>
      <c r="F144" t="inlineStr">
        <is>
          <t>D</t>
        </is>
      </c>
      <c r="G144" t="inlineStr">
        <is>
          <t>Excellent</t>
        </is>
      </c>
      <c r="H144" s="2390" t="n">
        <v>198</v>
      </c>
      <c r="I144">
        <f>B144&amp;"~"&amp;F144&amp;"~"&amp;G144</f>
        <v/>
      </c>
      <c r="J144" t="inlineStr">
        <is>
          <t>13</t>
        </is>
      </c>
      <c r="K144" t="inlineStr">
        <is>
          <t>13</t>
        </is>
      </c>
      <c r="L144" t="inlineStr">
        <is>
          <t>13</t>
        </is>
      </c>
      <c r="M144" t="inlineStr">
        <is>
          <t>MVS Sec.13 p.26</t>
        </is>
      </c>
    </row>
    <row r="145">
      <c r="B145" t="inlineStr">
        <is>
          <t>Retail Stores</t>
        </is>
      </c>
      <c r="C145" t="inlineStr">
        <is>
          <t>353</t>
        </is>
      </c>
      <c r="D145" t="inlineStr">
        <is>
          <t>13</t>
        </is>
      </c>
      <c r="E145" t="inlineStr">
        <is>
          <t>26</t>
        </is>
      </c>
      <c r="F145" t="inlineStr">
        <is>
          <t>D</t>
        </is>
      </c>
      <c r="G145" t="inlineStr">
        <is>
          <t>Good</t>
        </is>
      </c>
      <c r="H145" s="2390" t="n">
        <v>145</v>
      </c>
      <c r="I145">
        <f>B145&amp;"~"&amp;F145&amp;"~"&amp;G145</f>
        <v/>
      </c>
      <c r="J145" t="inlineStr">
        <is>
          <t>13</t>
        </is>
      </c>
      <c r="K145" t="inlineStr">
        <is>
          <t>13</t>
        </is>
      </c>
      <c r="L145" t="inlineStr">
        <is>
          <t>13</t>
        </is>
      </c>
      <c r="M145" t="inlineStr">
        <is>
          <t>MVS Sec.13 p.26</t>
        </is>
      </c>
    </row>
    <row r="146">
      <c r="B146" t="inlineStr">
        <is>
          <t>Retail Stores</t>
        </is>
      </c>
      <c r="C146" t="inlineStr">
        <is>
          <t>353</t>
        </is>
      </c>
      <c r="D146" t="inlineStr">
        <is>
          <t>13</t>
        </is>
      </c>
      <c r="E146" t="inlineStr">
        <is>
          <t>26</t>
        </is>
      </c>
      <c r="F146" t="inlineStr">
        <is>
          <t>D</t>
        </is>
      </c>
      <c r="G146" t="inlineStr">
        <is>
          <t>Average</t>
        </is>
      </c>
      <c r="H146" s="2390" t="n">
        <v>110</v>
      </c>
      <c r="I146">
        <f>B146&amp;"~"&amp;F146&amp;"~"&amp;G146</f>
        <v/>
      </c>
      <c r="J146" t="inlineStr">
        <is>
          <t>13</t>
        </is>
      </c>
      <c r="K146" t="inlineStr">
        <is>
          <t>13</t>
        </is>
      </c>
      <c r="L146" t="inlineStr">
        <is>
          <t>13</t>
        </is>
      </c>
      <c r="M146" t="inlineStr">
        <is>
          <t>MVS Sec.13 p.26</t>
        </is>
      </c>
    </row>
    <row r="147">
      <c r="B147" t="inlineStr">
        <is>
          <t>Retail Stores</t>
        </is>
      </c>
      <c r="C147" t="inlineStr">
        <is>
          <t>353</t>
        </is>
      </c>
      <c r="D147" t="inlineStr">
        <is>
          <t>13</t>
        </is>
      </c>
      <c r="E147" t="inlineStr">
        <is>
          <t>26</t>
        </is>
      </c>
      <c r="F147" t="inlineStr">
        <is>
          <t>D</t>
        </is>
      </c>
      <c r="G147" t="inlineStr">
        <is>
          <t>Low Cost</t>
        </is>
      </c>
      <c r="H147" s="2390" t="n">
        <v>78.5</v>
      </c>
      <c r="I147">
        <f>B147&amp;"~"&amp;F147&amp;"~"&amp;G147</f>
        <v/>
      </c>
      <c r="J147" t="inlineStr">
        <is>
          <t>13</t>
        </is>
      </c>
      <c r="K147" t="inlineStr">
        <is>
          <t>13</t>
        </is>
      </c>
      <c r="L147" t="inlineStr">
        <is>
          <t>13</t>
        </is>
      </c>
      <c r="M147" t="inlineStr">
        <is>
          <t>MVS Sec.13 p.26</t>
        </is>
      </c>
    </row>
    <row r="148">
      <c r="B148" t="inlineStr">
        <is>
          <t>Retail Stores</t>
        </is>
      </c>
      <c r="C148" t="inlineStr">
        <is>
          <t>353</t>
        </is>
      </c>
      <c r="D148" t="inlineStr">
        <is>
          <t>13</t>
        </is>
      </c>
      <c r="E148" t="inlineStr">
        <is>
          <t>26</t>
        </is>
      </c>
      <c r="F148" t="inlineStr">
        <is>
          <t>DPOLE</t>
        </is>
      </c>
      <c r="G148" t="inlineStr">
        <is>
          <t>Low Cost</t>
        </is>
      </c>
      <c r="H148" s="2390" t="n">
        <v>73</v>
      </c>
      <c r="I148">
        <f>B148&amp;"~"&amp;F148&amp;"~"&amp;G148</f>
        <v/>
      </c>
      <c r="J148" t="inlineStr">
        <is>
          <t>13</t>
        </is>
      </c>
      <c r="K148" t="inlineStr">
        <is>
          <t>13</t>
        </is>
      </c>
      <c r="L148" t="inlineStr">
        <is>
          <t>13</t>
        </is>
      </c>
      <c r="M148" t="inlineStr">
        <is>
          <t>MVS Sec.13 p.26</t>
        </is>
      </c>
    </row>
    <row r="149">
      <c r="B149" t="inlineStr">
        <is>
          <t>Retail Stores</t>
        </is>
      </c>
      <c r="C149" t="inlineStr">
        <is>
          <t>353</t>
        </is>
      </c>
      <c r="D149" t="inlineStr">
        <is>
          <t>13</t>
        </is>
      </c>
      <c r="E149" t="inlineStr">
        <is>
          <t>26</t>
        </is>
      </c>
      <c r="F149" t="inlineStr">
        <is>
          <t>S</t>
        </is>
      </c>
      <c r="G149" t="inlineStr">
        <is>
          <t>Good</t>
        </is>
      </c>
      <c r="H149" s="2390" t="n">
        <v>146</v>
      </c>
      <c r="I149">
        <f>B149&amp;"~"&amp;F149&amp;"~"&amp;G149</f>
        <v/>
      </c>
      <c r="J149" t="inlineStr">
        <is>
          <t>13</t>
        </is>
      </c>
      <c r="K149" t="inlineStr">
        <is>
          <t>13</t>
        </is>
      </c>
      <c r="L149" t="inlineStr">
        <is>
          <t>13</t>
        </is>
      </c>
      <c r="M149" t="inlineStr">
        <is>
          <t>MVS Sec.13 p.26</t>
        </is>
      </c>
    </row>
    <row r="150">
      <c r="B150" t="inlineStr">
        <is>
          <t>Retail Stores</t>
        </is>
      </c>
      <c r="C150" t="inlineStr">
        <is>
          <t>353</t>
        </is>
      </c>
      <c r="D150" t="inlineStr">
        <is>
          <t>13</t>
        </is>
      </c>
      <c r="E150" t="inlineStr">
        <is>
          <t>26</t>
        </is>
      </c>
      <c r="F150" t="inlineStr">
        <is>
          <t>S</t>
        </is>
      </c>
      <c r="G150" t="inlineStr">
        <is>
          <t>Average</t>
        </is>
      </c>
      <c r="H150" s="2390" t="n">
        <v>108</v>
      </c>
      <c r="I150">
        <f>B150&amp;"~"&amp;F150&amp;"~"&amp;G150</f>
        <v/>
      </c>
      <c r="J150" t="inlineStr">
        <is>
          <t>13</t>
        </is>
      </c>
      <c r="K150" t="inlineStr">
        <is>
          <t>13</t>
        </is>
      </c>
      <c r="L150" t="inlineStr">
        <is>
          <t>13</t>
        </is>
      </c>
      <c r="M150" t="inlineStr">
        <is>
          <t>MVS Sec.13 p.26</t>
        </is>
      </c>
    </row>
    <row r="151">
      <c r="B151" t="inlineStr">
        <is>
          <t>Retail Stores</t>
        </is>
      </c>
      <c r="C151" t="inlineStr">
        <is>
          <t>353</t>
        </is>
      </c>
      <c r="D151" t="inlineStr">
        <is>
          <t>13</t>
        </is>
      </c>
      <c r="E151" t="inlineStr">
        <is>
          <t>26</t>
        </is>
      </c>
      <c r="F151" t="inlineStr">
        <is>
          <t>S</t>
        </is>
      </c>
      <c r="G151" t="inlineStr">
        <is>
          <t>Low Cost</t>
        </is>
      </c>
      <c r="H151" s="2390" t="n">
        <v>76</v>
      </c>
      <c r="I151">
        <f>B151&amp;"~"&amp;F151&amp;"~"&amp;G151</f>
        <v/>
      </c>
      <c r="J151" t="inlineStr">
        <is>
          <t>13</t>
        </is>
      </c>
      <c r="K151" t="inlineStr">
        <is>
          <t>13</t>
        </is>
      </c>
      <c r="L151" t="inlineStr">
        <is>
          <t>13</t>
        </is>
      </c>
      <c r="M151" t="inlineStr">
        <is>
          <t>MVS Sec.13 p.26</t>
        </is>
      </c>
    </row>
    <row r="152">
      <c r="B152" t="inlineStr">
        <is>
          <t>Neighborhood Shopping Centers</t>
        </is>
      </c>
      <c r="C152" t="inlineStr">
        <is>
          <t>412</t>
        </is>
      </c>
      <c r="D152" t="inlineStr">
        <is>
          <t>13</t>
        </is>
      </c>
      <c r="E152" t="inlineStr">
        <is>
          <t>33</t>
        </is>
      </c>
      <c r="F152" t="inlineStr">
        <is>
          <t>C</t>
        </is>
      </c>
      <c r="G152" t="inlineStr">
        <is>
          <t>Good</t>
        </is>
      </c>
      <c r="H152" s="2390" t="n">
        <v>152</v>
      </c>
      <c r="I152">
        <f>B152&amp;"~"&amp;F152&amp;"~"&amp;G152</f>
        <v/>
      </c>
      <c r="J152" t="inlineStr">
        <is>
          <t>13</t>
        </is>
      </c>
      <c r="K152" t="inlineStr">
        <is>
          <t>13</t>
        </is>
      </c>
      <c r="L152" t="inlineStr">
        <is>
          <t>13</t>
        </is>
      </c>
      <c r="M152" t="inlineStr">
        <is>
          <t>MVS Sec.13 p.33</t>
        </is>
      </c>
    </row>
    <row r="153">
      <c r="B153" t="inlineStr">
        <is>
          <t>Neighborhood Shopping Centers</t>
        </is>
      </c>
      <c r="C153" t="inlineStr">
        <is>
          <t>412</t>
        </is>
      </c>
      <c r="D153" t="inlineStr">
        <is>
          <t>13</t>
        </is>
      </c>
      <c r="E153" t="inlineStr">
        <is>
          <t>33</t>
        </is>
      </c>
      <c r="F153" t="inlineStr">
        <is>
          <t>C</t>
        </is>
      </c>
      <c r="G153" t="inlineStr">
        <is>
          <t>Average</t>
        </is>
      </c>
      <c r="H153" s="2390" t="n">
        <v>127</v>
      </c>
      <c r="I153">
        <f>B153&amp;"~"&amp;F153&amp;"~"&amp;G153</f>
        <v/>
      </c>
      <c r="J153" t="inlineStr">
        <is>
          <t>13</t>
        </is>
      </c>
      <c r="K153" t="inlineStr">
        <is>
          <t>13</t>
        </is>
      </c>
      <c r="L153" t="inlineStr">
        <is>
          <t>13</t>
        </is>
      </c>
      <c r="M153" t="inlineStr">
        <is>
          <t>MVS Sec.13 p.33</t>
        </is>
      </c>
    </row>
    <row r="154">
      <c r="B154" t="inlineStr">
        <is>
          <t>Neighborhood Shopping Centers</t>
        </is>
      </c>
      <c r="C154" t="inlineStr">
        <is>
          <t>412</t>
        </is>
      </c>
      <c r="D154" t="inlineStr">
        <is>
          <t>13</t>
        </is>
      </c>
      <c r="E154" t="inlineStr">
        <is>
          <t>33</t>
        </is>
      </c>
      <c r="F154" t="inlineStr">
        <is>
          <t>C</t>
        </is>
      </c>
      <c r="G154" t="inlineStr">
        <is>
          <t>Low Cost</t>
        </is>
      </c>
      <c r="H154" s="2390" t="n">
        <v>100</v>
      </c>
      <c r="I154">
        <f>B154&amp;"~"&amp;F154&amp;"~"&amp;G154</f>
        <v/>
      </c>
      <c r="J154" t="inlineStr">
        <is>
          <t>13</t>
        </is>
      </c>
      <c r="K154" t="inlineStr">
        <is>
          <t>13</t>
        </is>
      </c>
      <c r="L154" t="inlineStr">
        <is>
          <t>13</t>
        </is>
      </c>
      <c r="M154" t="inlineStr">
        <is>
          <t>MVS Sec.13 p.33</t>
        </is>
      </c>
    </row>
    <row r="155">
      <c r="B155" t="inlineStr">
        <is>
          <t>Neighborhood Shopping Centers</t>
        </is>
      </c>
      <c r="C155" t="inlineStr">
        <is>
          <t>412</t>
        </is>
      </c>
      <c r="D155" t="inlineStr">
        <is>
          <t>13</t>
        </is>
      </c>
      <c r="E155" t="inlineStr">
        <is>
          <t>33</t>
        </is>
      </c>
      <c r="F155" t="inlineStr">
        <is>
          <t>CMILL</t>
        </is>
      </c>
      <c r="G155" t="inlineStr">
        <is>
          <t>Average</t>
        </is>
      </c>
      <c r="H155" s="2390" t="n">
        <v>145</v>
      </c>
      <c r="I155">
        <f>B155&amp;"~"&amp;F155&amp;"~"&amp;G155</f>
        <v/>
      </c>
      <c r="J155" t="inlineStr">
        <is>
          <t>13</t>
        </is>
      </c>
      <c r="K155" t="inlineStr">
        <is>
          <t>13</t>
        </is>
      </c>
      <c r="L155" t="inlineStr">
        <is>
          <t>13</t>
        </is>
      </c>
      <c r="M155" t="inlineStr">
        <is>
          <t>MVS Sec.13 p.33</t>
        </is>
      </c>
    </row>
    <row r="156">
      <c r="B156" t="inlineStr">
        <is>
          <t>Neighborhood Shopping Centers</t>
        </is>
      </c>
      <c r="C156" t="inlineStr">
        <is>
          <t>412</t>
        </is>
      </c>
      <c r="D156" t="inlineStr">
        <is>
          <t>13</t>
        </is>
      </c>
      <c r="E156" t="inlineStr">
        <is>
          <t>33</t>
        </is>
      </c>
      <c r="F156" t="inlineStr">
        <is>
          <t>D</t>
        </is>
      </c>
      <c r="G156" t="inlineStr">
        <is>
          <t>Good</t>
        </is>
      </c>
      <c r="H156" s="2390" t="n">
        <v>143</v>
      </c>
      <c r="I156">
        <f>B156&amp;"~"&amp;F156&amp;"~"&amp;G156</f>
        <v/>
      </c>
      <c r="J156" t="inlineStr">
        <is>
          <t>13</t>
        </is>
      </c>
      <c r="K156" t="inlineStr">
        <is>
          <t>13</t>
        </is>
      </c>
      <c r="L156" t="inlineStr">
        <is>
          <t>13</t>
        </is>
      </c>
      <c r="M156" t="inlineStr">
        <is>
          <t>MVS Sec.13 p.33</t>
        </is>
      </c>
    </row>
    <row r="157">
      <c r="B157" t="inlineStr">
        <is>
          <t>Neighborhood Shopping Centers</t>
        </is>
      </c>
      <c r="C157" t="inlineStr">
        <is>
          <t>412</t>
        </is>
      </c>
      <c r="D157" t="inlineStr">
        <is>
          <t>13</t>
        </is>
      </c>
      <c r="E157" t="inlineStr">
        <is>
          <t>33</t>
        </is>
      </c>
      <c r="F157" t="inlineStr">
        <is>
          <t>D</t>
        </is>
      </c>
      <c r="G157" t="inlineStr">
        <is>
          <t>Average</t>
        </is>
      </c>
      <c r="H157" s="2390" t="n">
        <v>119</v>
      </c>
      <c r="I157">
        <f>B157&amp;"~"&amp;F157&amp;"~"&amp;G157</f>
        <v/>
      </c>
      <c r="J157" t="inlineStr">
        <is>
          <t>13</t>
        </is>
      </c>
      <c r="K157" t="inlineStr">
        <is>
          <t>13</t>
        </is>
      </c>
      <c r="L157" t="inlineStr">
        <is>
          <t>13</t>
        </is>
      </c>
      <c r="M157" t="inlineStr">
        <is>
          <t>MVS Sec.13 p.33</t>
        </is>
      </c>
    </row>
    <row r="158">
      <c r="B158" t="inlineStr">
        <is>
          <t>Neighborhood Shopping Centers</t>
        </is>
      </c>
      <c r="C158" t="inlineStr">
        <is>
          <t>412</t>
        </is>
      </c>
      <c r="D158" t="inlineStr">
        <is>
          <t>13</t>
        </is>
      </c>
      <c r="E158" t="inlineStr">
        <is>
          <t>33</t>
        </is>
      </c>
      <c r="F158" t="inlineStr">
        <is>
          <t>D</t>
        </is>
      </c>
      <c r="G158" t="inlineStr">
        <is>
          <t>Low Cost</t>
        </is>
      </c>
      <c r="H158" s="2390" t="n">
        <v>93</v>
      </c>
      <c r="I158">
        <f>B158&amp;"~"&amp;F158&amp;"~"&amp;G158</f>
        <v/>
      </c>
      <c r="J158" t="inlineStr">
        <is>
          <t>13</t>
        </is>
      </c>
      <c r="K158" t="inlineStr">
        <is>
          <t>13</t>
        </is>
      </c>
      <c r="L158" t="inlineStr">
        <is>
          <t>13</t>
        </is>
      </c>
      <c r="M158" t="inlineStr">
        <is>
          <t>MVS Sec.13 p.33</t>
        </is>
      </c>
    </row>
    <row r="159">
      <c r="B159" t="inlineStr">
        <is>
          <t>Neighborhood Shopping Centers</t>
        </is>
      </c>
      <c r="C159" t="inlineStr">
        <is>
          <t>412</t>
        </is>
      </c>
      <c r="D159" t="inlineStr">
        <is>
          <t>13</t>
        </is>
      </c>
      <c r="E159" t="inlineStr">
        <is>
          <t>33</t>
        </is>
      </c>
      <c r="F159" t="inlineStr">
        <is>
          <t>DPOLE</t>
        </is>
      </c>
      <c r="G159" t="inlineStr">
        <is>
          <t>Low Cost</t>
        </is>
      </c>
      <c r="H159" s="2390" t="n">
        <v>88.5</v>
      </c>
      <c r="I159">
        <f>B159&amp;"~"&amp;F159&amp;"~"&amp;G159</f>
        <v/>
      </c>
      <c r="J159" t="inlineStr">
        <is>
          <t>13</t>
        </is>
      </c>
      <c r="K159" t="inlineStr">
        <is>
          <t>13</t>
        </is>
      </c>
      <c r="L159" t="inlineStr">
        <is>
          <t>13</t>
        </is>
      </c>
      <c r="M159" t="inlineStr">
        <is>
          <t>MVS Sec.13 p.33</t>
        </is>
      </c>
    </row>
    <row r="160">
      <c r="B160" t="inlineStr">
        <is>
          <t>Neighborhood Shopping Centers</t>
        </is>
      </c>
      <c r="C160" t="inlineStr">
        <is>
          <t>412</t>
        </is>
      </c>
      <c r="D160" t="inlineStr">
        <is>
          <t>13</t>
        </is>
      </c>
      <c r="E160" t="inlineStr">
        <is>
          <t>33</t>
        </is>
      </c>
      <c r="F160" t="inlineStr">
        <is>
          <t>S</t>
        </is>
      </c>
      <c r="G160" t="inlineStr">
        <is>
          <t>Average</t>
        </is>
      </c>
      <c r="H160" s="2390" t="n">
        <v>116</v>
      </c>
      <c r="I160">
        <f>B160&amp;"~"&amp;F160&amp;"~"&amp;G160</f>
        <v/>
      </c>
      <c r="J160" t="inlineStr">
        <is>
          <t>13</t>
        </is>
      </c>
      <c r="K160" t="inlineStr">
        <is>
          <t>13</t>
        </is>
      </c>
      <c r="L160" t="inlineStr">
        <is>
          <t>13</t>
        </is>
      </c>
      <c r="M160" t="inlineStr">
        <is>
          <t>MVS Sec.13 p.33</t>
        </is>
      </c>
    </row>
    <row r="161">
      <c r="B161" t="inlineStr">
        <is>
          <t>Neighborhood Shopping Centers</t>
        </is>
      </c>
      <c r="C161" t="inlineStr">
        <is>
          <t>412</t>
        </is>
      </c>
      <c r="D161" t="inlineStr">
        <is>
          <t>13</t>
        </is>
      </c>
      <c r="E161" t="inlineStr">
        <is>
          <t>33</t>
        </is>
      </c>
      <c r="F161" t="inlineStr">
        <is>
          <t>S</t>
        </is>
      </c>
      <c r="G161" t="inlineStr">
        <is>
          <t>Low Cost</t>
        </is>
      </c>
      <c r="H161" s="2390" t="n">
        <v>91</v>
      </c>
      <c r="I161">
        <f>B161&amp;"~"&amp;F161&amp;"~"&amp;G161</f>
        <v/>
      </c>
      <c r="J161" t="inlineStr">
        <is>
          <t>13</t>
        </is>
      </c>
      <c r="K161" t="inlineStr">
        <is>
          <t>13</t>
        </is>
      </c>
      <c r="L161" t="inlineStr">
        <is>
          <t>13</t>
        </is>
      </c>
      <c r="M161" t="inlineStr">
        <is>
          <t>MVS Sec.13 p.33</t>
        </is>
      </c>
    </row>
    <row r="162">
      <c r="B162" t="inlineStr">
        <is>
          <t>Community Shopping Centers</t>
        </is>
      </c>
      <c r="C162" t="inlineStr">
        <is>
          <t>413</t>
        </is>
      </c>
      <c r="D162" t="inlineStr">
        <is>
          <t>13</t>
        </is>
      </c>
      <c r="E162" t="inlineStr">
        <is>
          <t>34</t>
        </is>
      </c>
      <c r="F162" t="inlineStr">
        <is>
          <t>C</t>
        </is>
      </c>
      <c r="G162" t="inlineStr">
        <is>
          <t>Excellent</t>
        </is>
      </c>
      <c r="H162" s="2390" t="n">
        <v>207</v>
      </c>
      <c r="I162">
        <f>B162&amp;"~"&amp;F162&amp;"~"&amp;G162</f>
        <v/>
      </c>
      <c r="J162" t="inlineStr">
        <is>
          <t>13</t>
        </is>
      </c>
      <c r="K162" t="inlineStr">
        <is>
          <t>13</t>
        </is>
      </c>
      <c r="L162" t="inlineStr">
        <is>
          <t>13</t>
        </is>
      </c>
      <c r="M162" t="inlineStr">
        <is>
          <t>MVS Sec.13 p.34</t>
        </is>
      </c>
    </row>
    <row r="163">
      <c r="B163" t="inlineStr">
        <is>
          <t>Community Shopping Centers</t>
        </is>
      </c>
      <c r="C163" t="inlineStr">
        <is>
          <t>413</t>
        </is>
      </c>
      <c r="D163" t="inlineStr">
        <is>
          <t>13</t>
        </is>
      </c>
      <c r="E163" t="inlineStr">
        <is>
          <t>34</t>
        </is>
      </c>
      <c r="F163" t="inlineStr">
        <is>
          <t>C</t>
        </is>
      </c>
      <c r="G163" t="inlineStr">
        <is>
          <t>Good</t>
        </is>
      </c>
      <c r="H163" s="2390" t="n">
        <v>169</v>
      </c>
      <c r="I163">
        <f>B163&amp;"~"&amp;F163&amp;"~"&amp;G163</f>
        <v/>
      </c>
      <c r="J163" t="inlineStr">
        <is>
          <t>13</t>
        </is>
      </c>
      <c r="K163" t="inlineStr">
        <is>
          <t>13</t>
        </is>
      </c>
      <c r="L163" t="inlineStr">
        <is>
          <t>13</t>
        </is>
      </c>
      <c r="M163" t="inlineStr">
        <is>
          <t>MVS Sec.13 p.34</t>
        </is>
      </c>
    </row>
    <row r="164">
      <c r="B164" t="inlineStr">
        <is>
          <t>Community Shopping Centers</t>
        </is>
      </c>
      <c r="C164" t="inlineStr">
        <is>
          <t>413</t>
        </is>
      </c>
      <c r="D164" t="inlineStr">
        <is>
          <t>13</t>
        </is>
      </c>
      <c r="E164" t="inlineStr">
        <is>
          <t>34</t>
        </is>
      </c>
      <c r="F164" t="inlineStr">
        <is>
          <t>C</t>
        </is>
      </c>
      <c r="G164" t="inlineStr">
        <is>
          <t>Average</t>
        </is>
      </c>
      <c r="H164" s="2390" t="n">
        <v>135</v>
      </c>
      <c r="I164">
        <f>B164&amp;"~"&amp;F164&amp;"~"&amp;G164</f>
        <v/>
      </c>
      <c r="J164" t="inlineStr">
        <is>
          <t>13</t>
        </is>
      </c>
      <c r="K164" t="inlineStr">
        <is>
          <t>13</t>
        </is>
      </c>
      <c r="L164" t="inlineStr">
        <is>
          <t>13</t>
        </is>
      </c>
      <c r="M164" t="inlineStr">
        <is>
          <t>MVS Sec.13 p.34</t>
        </is>
      </c>
    </row>
    <row r="165">
      <c r="B165" t="inlineStr">
        <is>
          <t>Community Shopping Centers</t>
        </is>
      </c>
      <c r="C165" t="inlineStr">
        <is>
          <t>413</t>
        </is>
      </c>
      <c r="D165" t="inlineStr">
        <is>
          <t>13</t>
        </is>
      </c>
      <c r="E165" t="inlineStr">
        <is>
          <t>34</t>
        </is>
      </c>
      <c r="F165" t="inlineStr">
        <is>
          <t>C</t>
        </is>
      </c>
      <c r="G165" t="inlineStr">
        <is>
          <t>Low Cost</t>
        </is>
      </c>
      <c r="H165" s="2390" t="n">
        <v>111</v>
      </c>
      <c r="I165">
        <f>B165&amp;"~"&amp;F165&amp;"~"&amp;G165</f>
        <v/>
      </c>
      <c r="J165" t="inlineStr">
        <is>
          <t>13</t>
        </is>
      </c>
      <c r="K165" t="inlineStr">
        <is>
          <t>13</t>
        </is>
      </c>
      <c r="L165" t="inlineStr">
        <is>
          <t>13</t>
        </is>
      </c>
      <c r="M165" t="inlineStr">
        <is>
          <t>MVS Sec.13 p.34</t>
        </is>
      </c>
    </row>
    <row r="166">
      <c r="B166" t="inlineStr">
        <is>
          <t>Community Shopping Centers</t>
        </is>
      </c>
      <c r="C166" t="inlineStr">
        <is>
          <t>413</t>
        </is>
      </c>
      <c r="D166" t="inlineStr">
        <is>
          <t>13</t>
        </is>
      </c>
      <c r="E166" t="inlineStr">
        <is>
          <t>34</t>
        </is>
      </c>
      <c r="F166" t="inlineStr">
        <is>
          <t>D</t>
        </is>
      </c>
      <c r="G166" t="inlineStr">
        <is>
          <t>Excellent</t>
        </is>
      </c>
      <c r="H166" s="2390" t="n">
        <v>195</v>
      </c>
      <c r="I166">
        <f>B166&amp;"~"&amp;F166&amp;"~"&amp;G166</f>
        <v/>
      </c>
      <c r="J166" t="inlineStr">
        <is>
          <t>13</t>
        </is>
      </c>
      <c r="K166" t="inlineStr">
        <is>
          <t>13</t>
        </is>
      </c>
      <c r="L166" t="inlineStr">
        <is>
          <t>13</t>
        </is>
      </c>
      <c r="M166" t="inlineStr">
        <is>
          <t>MVS Sec.13 p.34</t>
        </is>
      </c>
    </row>
    <row r="167">
      <c r="B167" t="inlineStr">
        <is>
          <t>Community Shopping Centers</t>
        </is>
      </c>
      <c r="C167" t="inlineStr">
        <is>
          <t>413</t>
        </is>
      </c>
      <c r="D167" t="inlineStr">
        <is>
          <t>13</t>
        </is>
      </c>
      <c r="E167" t="inlineStr">
        <is>
          <t>34</t>
        </is>
      </c>
      <c r="F167" t="inlineStr">
        <is>
          <t>D</t>
        </is>
      </c>
      <c r="G167" t="inlineStr">
        <is>
          <t>Good</t>
        </is>
      </c>
      <c r="H167" s="2390" t="n">
        <v>159</v>
      </c>
      <c r="I167">
        <f>B167&amp;"~"&amp;F167&amp;"~"&amp;G167</f>
        <v/>
      </c>
      <c r="J167" t="inlineStr">
        <is>
          <t>13</t>
        </is>
      </c>
      <c r="K167" t="inlineStr">
        <is>
          <t>13</t>
        </is>
      </c>
      <c r="L167" t="inlineStr">
        <is>
          <t>13</t>
        </is>
      </c>
      <c r="M167" t="inlineStr">
        <is>
          <t>MVS Sec.13 p.34</t>
        </is>
      </c>
    </row>
    <row r="168">
      <c r="B168" t="inlineStr">
        <is>
          <t>Community Shopping Centers</t>
        </is>
      </c>
      <c r="C168" t="inlineStr">
        <is>
          <t>413</t>
        </is>
      </c>
      <c r="D168" t="inlineStr">
        <is>
          <t>13</t>
        </is>
      </c>
      <c r="E168" t="inlineStr">
        <is>
          <t>34</t>
        </is>
      </c>
      <c r="F168" t="inlineStr">
        <is>
          <t>D</t>
        </is>
      </c>
      <c r="G168" t="inlineStr">
        <is>
          <t>Average</t>
        </is>
      </c>
      <c r="H168" s="2390" t="n">
        <v>126</v>
      </c>
      <c r="I168">
        <f>B168&amp;"~"&amp;F168&amp;"~"&amp;G168</f>
        <v/>
      </c>
      <c r="J168" t="inlineStr">
        <is>
          <t>13</t>
        </is>
      </c>
      <c r="K168" t="inlineStr">
        <is>
          <t>13</t>
        </is>
      </c>
      <c r="L168" t="inlineStr">
        <is>
          <t>13</t>
        </is>
      </c>
      <c r="M168" t="inlineStr">
        <is>
          <t>MVS Sec.13 p.34</t>
        </is>
      </c>
    </row>
    <row r="169">
      <c r="B169" t="inlineStr">
        <is>
          <t>Community Shopping Centers</t>
        </is>
      </c>
      <c r="C169" t="inlineStr">
        <is>
          <t>413</t>
        </is>
      </c>
      <c r="D169" t="inlineStr">
        <is>
          <t>13</t>
        </is>
      </c>
      <c r="E169" t="inlineStr">
        <is>
          <t>34</t>
        </is>
      </c>
      <c r="F169" t="inlineStr">
        <is>
          <t>S</t>
        </is>
      </c>
      <c r="G169" t="inlineStr">
        <is>
          <t>Average</t>
        </is>
      </c>
      <c r="H169" s="2390" t="n">
        <v>124</v>
      </c>
      <c r="I169">
        <f>B169&amp;"~"&amp;F169&amp;"~"&amp;G169</f>
        <v/>
      </c>
      <c r="J169" t="inlineStr">
        <is>
          <t>13</t>
        </is>
      </c>
      <c r="K169" t="inlineStr">
        <is>
          <t>13</t>
        </is>
      </c>
      <c r="L169" t="inlineStr">
        <is>
          <t>13</t>
        </is>
      </c>
      <c r="M169" t="inlineStr">
        <is>
          <t>MVS Sec.13 p.34</t>
        </is>
      </c>
    </row>
    <row r="170">
      <c r="B170" t="inlineStr">
        <is>
          <t>Regional Shopping Centers</t>
        </is>
      </c>
      <c r="C170" t="inlineStr">
        <is>
          <t>414</t>
        </is>
      </c>
      <c r="D170" t="inlineStr">
        <is>
          <t>13</t>
        </is>
      </c>
      <c r="E170" t="inlineStr">
        <is>
          <t>35</t>
        </is>
      </c>
      <c r="F170" t="inlineStr">
        <is>
          <t>A-B</t>
        </is>
      </c>
      <c r="G170" t="inlineStr">
        <is>
          <t>Excellent*</t>
        </is>
      </c>
      <c r="H170" s="2390" t="n">
        <v>284</v>
      </c>
      <c r="I170">
        <f>B170&amp;"~"&amp;F170&amp;"~"&amp;G170</f>
        <v/>
      </c>
      <c r="J170" t="inlineStr">
        <is>
          <t>13</t>
        </is>
      </c>
      <c r="K170" t="inlineStr">
        <is>
          <t>13</t>
        </is>
      </c>
      <c r="L170" t="inlineStr">
        <is>
          <t>13</t>
        </is>
      </c>
      <c r="M170" t="inlineStr">
        <is>
          <t>MVS Sec.13 p.35</t>
        </is>
      </c>
    </row>
    <row r="171">
      <c r="B171" t="inlineStr">
        <is>
          <t>Regional Shopping Centers</t>
        </is>
      </c>
      <c r="C171" t="inlineStr">
        <is>
          <t>414</t>
        </is>
      </c>
      <c r="D171" t="inlineStr">
        <is>
          <t>13</t>
        </is>
      </c>
      <c r="E171" t="inlineStr">
        <is>
          <t>35</t>
        </is>
      </c>
      <c r="F171" t="inlineStr">
        <is>
          <t>A-B</t>
        </is>
      </c>
      <c r="G171" t="inlineStr">
        <is>
          <t>Good*</t>
        </is>
      </c>
      <c r="H171" s="2390" t="n">
        <v>233</v>
      </c>
      <c r="I171">
        <f>B171&amp;"~"&amp;F171&amp;"~"&amp;G171</f>
        <v/>
      </c>
      <c r="J171" t="inlineStr">
        <is>
          <t>13</t>
        </is>
      </c>
      <c r="K171" t="inlineStr">
        <is>
          <t>13</t>
        </is>
      </c>
      <c r="L171" t="inlineStr">
        <is>
          <t>13</t>
        </is>
      </c>
      <c r="M171" t="inlineStr">
        <is>
          <t>MVS Sec.13 p.35</t>
        </is>
      </c>
    </row>
    <row r="172">
      <c r="B172" t="inlineStr">
        <is>
          <t>Regional Shopping Centers</t>
        </is>
      </c>
      <c r="C172" t="inlineStr">
        <is>
          <t>414</t>
        </is>
      </c>
      <c r="D172" t="inlineStr">
        <is>
          <t>13</t>
        </is>
      </c>
      <c r="E172" t="inlineStr">
        <is>
          <t>35</t>
        </is>
      </c>
      <c r="F172" t="inlineStr">
        <is>
          <t>C</t>
        </is>
      </c>
      <c r="G172" t="inlineStr">
        <is>
          <t>Excellent*</t>
        </is>
      </c>
      <c r="H172" s="2390" t="n">
        <v>238</v>
      </c>
      <c r="I172">
        <f>B172&amp;"~"&amp;F172&amp;"~"&amp;G172</f>
        <v/>
      </c>
      <c r="J172" t="inlineStr">
        <is>
          <t>13</t>
        </is>
      </c>
      <c r="K172" t="inlineStr">
        <is>
          <t>13</t>
        </is>
      </c>
      <c r="L172" t="inlineStr">
        <is>
          <t>13</t>
        </is>
      </c>
      <c r="M172" t="inlineStr">
        <is>
          <t>MVS Sec.13 p.35</t>
        </is>
      </c>
    </row>
    <row r="173">
      <c r="B173" t="inlineStr">
        <is>
          <t>Regional Shopping Centers</t>
        </is>
      </c>
      <c r="C173" t="inlineStr">
        <is>
          <t>414</t>
        </is>
      </c>
      <c r="D173" t="inlineStr">
        <is>
          <t>13</t>
        </is>
      </c>
      <c r="E173" t="inlineStr">
        <is>
          <t>35</t>
        </is>
      </c>
      <c r="F173" t="inlineStr">
        <is>
          <t>C</t>
        </is>
      </c>
      <c r="G173" t="inlineStr">
        <is>
          <t>Good*</t>
        </is>
      </c>
      <c r="H173" s="2390" t="n">
        <v>189</v>
      </c>
      <c r="I173">
        <f>B173&amp;"~"&amp;F173&amp;"~"&amp;G173</f>
        <v/>
      </c>
      <c r="J173" t="inlineStr">
        <is>
          <t>13</t>
        </is>
      </c>
      <c r="K173" t="inlineStr">
        <is>
          <t>13</t>
        </is>
      </c>
      <c r="L173" t="inlineStr">
        <is>
          <t>13</t>
        </is>
      </c>
      <c r="M173" t="inlineStr">
        <is>
          <t>MVS Sec.13 p.35</t>
        </is>
      </c>
    </row>
    <row r="174">
      <c r="B174" t="inlineStr">
        <is>
          <t>Regional Shopping Centers</t>
        </is>
      </c>
      <c r="C174" t="inlineStr">
        <is>
          <t>414</t>
        </is>
      </c>
      <c r="D174" t="inlineStr">
        <is>
          <t>13</t>
        </is>
      </c>
      <c r="E174" t="inlineStr">
        <is>
          <t>35</t>
        </is>
      </c>
      <c r="F174" t="inlineStr">
        <is>
          <t>C</t>
        </is>
      </c>
      <c r="G174" t="inlineStr">
        <is>
          <t>Average</t>
        </is>
      </c>
      <c r="H174" s="2390" t="n">
        <v>153</v>
      </c>
      <c r="I174">
        <f>B174&amp;"~"&amp;F174&amp;"~"&amp;G174</f>
        <v/>
      </c>
      <c r="J174" t="inlineStr">
        <is>
          <t>13</t>
        </is>
      </c>
      <c r="K174" t="inlineStr">
        <is>
          <t>13</t>
        </is>
      </c>
      <c r="L174" t="inlineStr">
        <is>
          <t>13</t>
        </is>
      </c>
      <c r="M174" t="inlineStr">
        <is>
          <t>MVS Sec.13 p.35</t>
        </is>
      </c>
    </row>
    <row r="175">
      <c r="B175" t="inlineStr">
        <is>
          <t>Regional Shopping Centers</t>
        </is>
      </c>
      <c r="C175" t="inlineStr">
        <is>
          <t>414</t>
        </is>
      </c>
      <c r="D175" t="inlineStr">
        <is>
          <t>13</t>
        </is>
      </c>
      <c r="E175" t="inlineStr">
        <is>
          <t>35</t>
        </is>
      </c>
      <c r="F175" t="inlineStr">
        <is>
          <t>D</t>
        </is>
      </c>
      <c r="G175" t="inlineStr">
        <is>
          <t>Excellent*</t>
        </is>
      </c>
      <c r="H175" s="2390" t="n">
        <v>223</v>
      </c>
      <c r="I175">
        <f>B175&amp;"~"&amp;F175&amp;"~"&amp;G175</f>
        <v/>
      </c>
      <c r="J175" t="inlineStr">
        <is>
          <t>13</t>
        </is>
      </c>
      <c r="K175" t="inlineStr">
        <is>
          <t>13</t>
        </is>
      </c>
      <c r="L175" t="inlineStr">
        <is>
          <t>13</t>
        </is>
      </c>
      <c r="M175" t="inlineStr">
        <is>
          <t>MVS Sec.13 p.35</t>
        </is>
      </c>
    </row>
    <row r="176">
      <c r="B176" t="inlineStr">
        <is>
          <t>Regional Shopping Centers</t>
        </is>
      </c>
      <c r="C176" t="inlineStr">
        <is>
          <t>414</t>
        </is>
      </c>
      <c r="D176" t="inlineStr">
        <is>
          <t>13</t>
        </is>
      </c>
      <c r="E176" t="inlineStr">
        <is>
          <t>35</t>
        </is>
      </c>
      <c r="F176" t="inlineStr">
        <is>
          <t>D</t>
        </is>
      </c>
      <c r="G176" t="inlineStr">
        <is>
          <t>Good*</t>
        </is>
      </c>
      <c r="H176" s="2390" t="n">
        <v>176</v>
      </c>
      <c r="I176">
        <f>B176&amp;"~"&amp;F176&amp;"~"&amp;G176</f>
        <v/>
      </c>
      <c r="J176" t="inlineStr">
        <is>
          <t>13</t>
        </is>
      </c>
      <c r="K176" t="inlineStr">
        <is>
          <t>13</t>
        </is>
      </c>
      <c r="L176" t="inlineStr">
        <is>
          <t>13</t>
        </is>
      </c>
      <c r="M176" t="inlineStr">
        <is>
          <t>MVS Sec.13 p.35</t>
        </is>
      </c>
    </row>
    <row r="177">
      <c r="B177" t="inlineStr">
        <is>
          <t>Regional Shopping Centers</t>
        </is>
      </c>
      <c r="C177" t="inlineStr">
        <is>
          <t>414</t>
        </is>
      </c>
      <c r="D177" t="inlineStr">
        <is>
          <t>13</t>
        </is>
      </c>
      <c r="E177" t="inlineStr">
        <is>
          <t>35</t>
        </is>
      </c>
      <c r="F177" t="inlineStr">
        <is>
          <t>D</t>
        </is>
      </c>
      <c r="G177" t="inlineStr">
        <is>
          <t>Average</t>
        </is>
      </c>
      <c r="H177" s="2390" t="n">
        <v>142</v>
      </c>
      <c r="I177">
        <f>B177&amp;"~"&amp;F177&amp;"~"&amp;G177</f>
        <v/>
      </c>
      <c r="J177" t="inlineStr">
        <is>
          <t>13</t>
        </is>
      </c>
      <c r="K177" t="inlineStr">
        <is>
          <t>13</t>
        </is>
      </c>
      <c r="L177" t="inlineStr">
        <is>
          <t>13</t>
        </is>
      </c>
      <c r="M177" t="inlineStr">
        <is>
          <t>MVS Sec.13 p.35</t>
        </is>
      </c>
    </row>
    <row r="178">
      <c r="B178" t="inlineStr">
        <is>
          <t>Regional Shopping Centers</t>
        </is>
      </c>
      <c r="C178" t="inlineStr">
        <is>
          <t>414</t>
        </is>
      </c>
      <c r="D178" t="inlineStr">
        <is>
          <t>13</t>
        </is>
      </c>
      <c r="E178" t="inlineStr">
        <is>
          <t>35</t>
        </is>
      </c>
      <c r="F178" t="inlineStr">
        <is>
          <t>S</t>
        </is>
      </c>
      <c r="G178" t="inlineStr">
        <is>
          <t>Average</t>
        </is>
      </c>
      <c r="H178" s="2390" t="n">
        <v>142</v>
      </c>
      <c r="I178">
        <f>B178&amp;"~"&amp;F178&amp;"~"&amp;G178</f>
        <v/>
      </c>
      <c r="J178" t="inlineStr">
        <is>
          <t>13</t>
        </is>
      </c>
      <c r="K178" t="inlineStr">
        <is>
          <t>13</t>
        </is>
      </c>
      <c r="L178" t="inlineStr">
        <is>
          <t>13</t>
        </is>
      </c>
      <c r="M178" t="inlineStr">
        <is>
          <t>MVS Sec.13 p.35</t>
        </is>
      </c>
    </row>
    <row r="179">
      <c r="B179" t="inlineStr">
        <is>
          <t>Department Stores</t>
        </is>
      </c>
      <c r="C179" t="inlineStr">
        <is>
          <t>318</t>
        </is>
      </c>
      <c r="D179" t="inlineStr">
        <is>
          <t>13</t>
        </is>
      </c>
      <c r="E179" t="inlineStr">
        <is>
          <t>27</t>
        </is>
      </c>
      <c r="F179" t="inlineStr">
        <is>
          <t>A</t>
        </is>
      </c>
      <c r="G179" t="inlineStr">
        <is>
          <t>Excellent</t>
        </is>
      </c>
      <c r="H179" s="2390" t="n">
        <v>317</v>
      </c>
      <c r="I179">
        <f>B179&amp;"~"&amp;F179&amp;"~"&amp;G179</f>
        <v/>
      </c>
      <c r="J179" t="inlineStr">
        <is>
          <t>13</t>
        </is>
      </c>
      <c r="K179" t="inlineStr">
        <is>
          <t>13</t>
        </is>
      </c>
      <c r="L179" t="inlineStr">
        <is>
          <t>13</t>
        </is>
      </c>
      <c r="M179" t="inlineStr">
        <is>
          <t>MVS Sec.13 p.27</t>
        </is>
      </c>
    </row>
    <row r="180">
      <c r="B180" t="inlineStr">
        <is>
          <t>Department Stores</t>
        </is>
      </c>
      <c r="C180" t="inlineStr">
        <is>
          <t>318</t>
        </is>
      </c>
      <c r="D180" t="inlineStr">
        <is>
          <t>13</t>
        </is>
      </c>
      <c r="E180" t="inlineStr">
        <is>
          <t>27</t>
        </is>
      </c>
      <c r="F180" t="inlineStr">
        <is>
          <t>A</t>
        </is>
      </c>
      <c r="G180" t="inlineStr">
        <is>
          <t>Good</t>
        </is>
      </c>
      <c r="H180" s="2390" t="n">
        <v>256</v>
      </c>
      <c r="I180">
        <f>B180&amp;"~"&amp;F180&amp;"~"&amp;G180</f>
        <v/>
      </c>
      <c r="J180" t="inlineStr">
        <is>
          <t>13</t>
        </is>
      </c>
      <c r="K180" t="inlineStr">
        <is>
          <t>13</t>
        </is>
      </c>
      <c r="L180" t="inlineStr">
        <is>
          <t>13</t>
        </is>
      </c>
      <c r="M180" t="inlineStr">
        <is>
          <t>MVS Sec.13 p.27</t>
        </is>
      </c>
    </row>
    <row r="181">
      <c r="B181" t="inlineStr">
        <is>
          <t>Department Stores</t>
        </is>
      </c>
      <c r="C181" t="inlineStr">
        <is>
          <t>318</t>
        </is>
      </c>
      <c r="D181" t="inlineStr">
        <is>
          <t>13</t>
        </is>
      </c>
      <c r="E181" t="inlineStr">
        <is>
          <t>27</t>
        </is>
      </c>
      <c r="F181" t="inlineStr">
        <is>
          <t>A</t>
        </is>
      </c>
      <c r="G181" t="inlineStr">
        <is>
          <t>Average</t>
        </is>
      </c>
      <c r="H181" s="2390" t="n">
        <v>198</v>
      </c>
      <c r="I181">
        <f>B181&amp;"~"&amp;F181&amp;"~"&amp;G181</f>
        <v/>
      </c>
      <c r="J181" t="inlineStr">
        <is>
          <t>13</t>
        </is>
      </c>
      <c r="K181" t="inlineStr">
        <is>
          <t>13</t>
        </is>
      </c>
      <c r="L181" t="inlineStr">
        <is>
          <t>13</t>
        </is>
      </c>
      <c r="M181" t="inlineStr">
        <is>
          <t>MVS Sec.13 p.27</t>
        </is>
      </c>
    </row>
    <row r="182">
      <c r="B182" t="inlineStr">
        <is>
          <t>Department Stores</t>
        </is>
      </c>
      <c r="C182" t="inlineStr">
        <is>
          <t>318</t>
        </is>
      </c>
      <c r="D182" t="inlineStr">
        <is>
          <t>13</t>
        </is>
      </c>
      <c r="E182" t="inlineStr">
        <is>
          <t>27</t>
        </is>
      </c>
      <c r="F182" t="inlineStr">
        <is>
          <t>B</t>
        </is>
      </c>
      <c r="G182" t="inlineStr">
        <is>
          <t>Excellent</t>
        </is>
      </c>
      <c r="H182" s="2390" t="n">
        <v>289</v>
      </c>
      <c r="I182">
        <f>B182&amp;"~"&amp;F182&amp;"~"&amp;G182</f>
        <v/>
      </c>
      <c r="J182" t="inlineStr">
        <is>
          <t>13</t>
        </is>
      </c>
      <c r="K182" t="inlineStr">
        <is>
          <t>13</t>
        </is>
      </c>
      <c r="L182" t="inlineStr">
        <is>
          <t>13</t>
        </is>
      </c>
      <c r="M182" t="inlineStr">
        <is>
          <t>MVS Sec.13 p.27</t>
        </is>
      </c>
    </row>
    <row r="183">
      <c r="B183" t="inlineStr">
        <is>
          <t>Department Stores</t>
        </is>
      </c>
      <c r="C183" t="inlineStr">
        <is>
          <t>318</t>
        </is>
      </c>
      <c r="D183" t="inlineStr">
        <is>
          <t>13</t>
        </is>
      </c>
      <c r="E183" t="inlineStr">
        <is>
          <t>27</t>
        </is>
      </c>
      <c r="F183" t="inlineStr">
        <is>
          <t>B</t>
        </is>
      </c>
      <c r="G183" t="inlineStr">
        <is>
          <t>Good</t>
        </is>
      </c>
      <c r="H183" s="2390" t="n">
        <v>233</v>
      </c>
      <c r="I183">
        <f>B183&amp;"~"&amp;F183&amp;"~"&amp;G183</f>
        <v/>
      </c>
      <c r="J183" t="inlineStr">
        <is>
          <t>13</t>
        </is>
      </c>
      <c r="K183" t="inlineStr">
        <is>
          <t>13</t>
        </is>
      </c>
      <c r="L183" t="inlineStr">
        <is>
          <t>13</t>
        </is>
      </c>
      <c r="M183" t="inlineStr">
        <is>
          <t>MVS Sec.13 p.27</t>
        </is>
      </c>
    </row>
    <row r="184">
      <c r="B184" t="inlineStr">
        <is>
          <t>Department Stores</t>
        </is>
      </c>
      <c r="C184" t="inlineStr">
        <is>
          <t>318</t>
        </is>
      </c>
      <c r="D184" t="inlineStr">
        <is>
          <t>13</t>
        </is>
      </c>
      <c r="E184" t="inlineStr">
        <is>
          <t>27</t>
        </is>
      </c>
      <c r="F184" t="inlineStr">
        <is>
          <t>B</t>
        </is>
      </c>
      <c r="G184" t="inlineStr">
        <is>
          <t>Average</t>
        </is>
      </c>
      <c r="H184" s="2390" t="n">
        <v>180</v>
      </c>
      <c r="I184">
        <f>B184&amp;"~"&amp;F184&amp;"~"&amp;G184</f>
        <v/>
      </c>
      <c r="J184" t="inlineStr">
        <is>
          <t>13</t>
        </is>
      </c>
      <c r="K184" t="inlineStr">
        <is>
          <t>13</t>
        </is>
      </c>
      <c r="L184" t="inlineStr">
        <is>
          <t>13</t>
        </is>
      </c>
      <c r="M184" t="inlineStr">
        <is>
          <t>MVS Sec.13 p.27</t>
        </is>
      </c>
    </row>
    <row r="185">
      <c r="B185" t="inlineStr">
        <is>
          <t>Department Stores</t>
        </is>
      </c>
      <c r="C185" t="inlineStr">
        <is>
          <t>318</t>
        </is>
      </c>
      <c r="D185" t="inlineStr">
        <is>
          <t>13</t>
        </is>
      </c>
      <c r="E185" t="inlineStr">
        <is>
          <t>27</t>
        </is>
      </c>
      <c r="F185" t="inlineStr">
        <is>
          <t>C</t>
        </is>
      </c>
      <c r="G185" t="inlineStr">
        <is>
          <t>Excellent</t>
        </is>
      </c>
      <c r="H185" s="2390" t="n">
        <v>254</v>
      </c>
      <c r="I185">
        <f>B185&amp;"~"&amp;F185&amp;"~"&amp;G185</f>
        <v/>
      </c>
      <c r="J185" t="inlineStr">
        <is>
          <t>13</t>
        </is>
      </c>
      <c r="K185" t="inlineStr">
        <is>
          <t>13</t>
        </is>
      </c>
      <c r="L185" t="inlineStr">
        <is>
          <t>13</t>
        </is>
      </c>
      <c r="M185" t="inlineStr">
        <is>
          <t>MVS Sec.13 p.27</t>
        </is>
      </c>
    </row>
    <row r="186">
      <c r="B186" t="inlineStr">
        <is>
          <t>Department Stores</t>
        </is>
      </c>
      <c r="C186" t="inlineStr">
        <is>
          <t>318</t>
        </is>
      </c>
      <c r="D186" t="inlineStr">
        <is>
          <t>13</t>
        </is>
      </c>
      <c r="E186" t="inlineStr">
        <is>
          <t>27</t>
        </is>
      </c>
      <c r="F186" t="inlineStr">
        <is>
          <t>C</t>
        </is>
      </c>
      <c r="G186" t="inlineStr">
        <is>
          <t>Good</t>
        </is>
      </c>
      <c r="H186" s="2390" t="n">
        <v>193</v>
      </c>
      <c r="I186">
        <f>B186&amp;"~"&amp;F186&amp;"~"&amp;G186</f>
        <v/>
      </c>
      <c r="J186" t="inlineStr">
        <is>
          <t>13</t>
        </is>
      </c>
      <c r="K186" t="inlineStr">
        <is>
          <t>13</t>
        </is>
      </c>
      <c r="L186" t="inlineStr">
        <is>
          <t>13</t>
        </is>
      </c>
      <c r="M186" t="inlineStr">
        <is>
          <t>MVS Sec.13 p.27</t>
        </is>
      </c>
    </row>
    <row r="187">
      <c r="B187" t="inlineStr">
        <is>
          <t>Department Stores</t>
        </is>
      </c>
      <c r="C187" t="inlineStr">
        <is>
          <t>318</t>
        </is>
      </c>
      <c r="D187" t="inlineStr">
        <is>
          <t>13</t>
        </is>
      </c>
      <c r="E187" t="inlineStr">
        <is>
          <t>27</t>
        </is>
      </c>
      <c r="F187" t="inlineStr">
        <is>
          <t>C</t>
        </is>
      </c>
      <c r="G187" t="inlineStr">
        <is>
          <t>Average</t>
        </is>
      </c>
      <c r="H187" s="2390" t="n">
        <v>154</v>
      </c>
      <c r="I187">
        <f>B187&amp;"~"&amp;F187&amp;"~"&amp;G187</f>
        <v/>
      </c>
      <c r="J187" t="inlineStr">
        <is>
          <t>13</t>
        </is>
      </c>
      <c r="K187" t="inlineStr">
        <is>
          <t>13</t>
        </is>
      </c>
      <c r="L187" t="inlineStr">
        <is>
          <t>13</t>
        </is>
      </c>
      <c r="M187" t="inlineStr">
        <is>
          <t>MVS Sec.13 p.27</t>
        </is>
      </c>
    </row>
    <row r="188">
      <c r="B188" t="inlineStr">
        <is>
          <t>Discount Stores</t>
        </is>
      </c>
      <c r="C188" t="inlineStr">
        <is>
          <t>319</t>
        </is>
      </c>
      <c r="D188" t="inlineStr">
        <is>
          <t>13</t>
        </is>
      </c>
      <c r="E188" t="inlineStr">
        <is>
          <t>28</t>
        </is>
      </c>
      <c r="F188" t="inlineStr">
        <is>
          <t>A-B</t>
        </is>
      </c>
      <c r="G188" t="inlineStr">
        <is>
          <t>Average</t>
        </is>
      </c>
      <c r="H188" s="2390" t="n">
        <v>121</v>
      </c>
      <c r="I188">
        <f>B188&amp;"~"&amp;F188&amp;"~"&amp;G188</f>
        <v/>
      </c>
      <c r="J188" t="inlineStr">
        <is>
          <t>13</t>
        </is>
      </c>
      <c r="K188" t="inlineStr">
        <is>
          <t>13</t>
        </is>
      </c>
      <c r="L188" t="inlineStr">
        <is>
          <t>13</t>
        </is>
      </c>
      <c r="M188" t="inlineStr">
        <is>
          <t>MVS Sec.13 p.28</t>
        </is>
      </c>
    </row>
    <row r="189">
      <c r="B189" t="inlineStr">
        <is>
          <t>Discount Stores</t>
        </is>
      </c>
      <c r="C189" t="inlineStr">
        <is>
          <t>319</t>
        </is>
      </c>
      <c r="D189" t="inlineStr">
        <is>
          <t>13</t>
        </is>
      </c>
      <c r="E189" t="inlineStr">
        <is>
          <t>28</t>
        </is>
      </c>
      <c r="F189" t="inlineStr">
        <is>
          <t>C</t>
        </is>
      </c>
      <c r="G189" t="inlineStr">
        <is>
          <t>Good</t>
        </is>
      </c>
      <c r="H189" s="2390" t="n">
        <v>118</v>
      </c>
      <c r="I189">
        <f>B189&amp;"~"&amp;F189&amp;"~"&amp;G189</f>
        <v/>
      </c>
      <c r="J189" t="inlineStr">
        <is>
          <t>13</t>
        </is>
      </c>
      <c r="K189" t="inlineStr">
        <is>
          <t>13</t>
        </is>
      </c>
      <c r="L189" t="inlineStr">
        <is>
          <t>13</t>
        </is>
      </c>
      <c r="M189" t="inlineStr">
        <is>
          <t>MVS Sec.13 p.28</t>
        </is>
      </c>
    </row>
    <row r="190">
      <c r="B190" t="inlineStr">
        <is>
          <t>Discount Stores</t>
        </is>
      </c>
      <c r="C190" t="inlineStr">
        <is>
          <t>319</t>
        </is>
      </c>
      <c r="D190" t="inlineStr">
        <is>
          <t>13</t>
        </is>
      </c>
      <c r="E190" t="inlineStr">
        <is>
          <t>28</t>
        </is>
      </c>
      <c r="F190" t="inlineStr">
        <is>
          <t>C</t>
        </is>
      </c>
      <c r="G190" t="inlineStr">
        <is>
          <t>Average</t>
        </is>
      </c>
      <c r="H190" s="2390" t="n">
        <v>94</v>
      </c>
      <c r="I190">
        <f>B190&amp;"~"&amp;F190&amp;"~"&amp;G190</f>
        <v/>
      </c>
      <c r="J190" t="inlineStr">
        <is>
          <t>13</t>
        </is>
      </c>
      <c r="K190" t="inlineStr">
        <is>
          <t>13</t>
        </is>
      </c>
      <c r="L190" t="inlineStr">
        <is>
          <t>13</t>
        </is>
      </c>
      <c r="M190" t="inlineStr">
        <is>
          <t>MVS Sec.13 p.28</t>
        </is>
      </c>
    </row>
    <row r="191">
      <c r="B191" t="inlineStr">
        <is>
          <t>Discount Stores</t>
        </is>
      </c>
      <c r="C191" t="inlineStr">
        <is>
          <t>319</t>
        </is>
      </c>
      <c r="D191" t="inlineStr">
        <is>
          <t>13</t>
        </is>
      </c>
      <c r="E191" t="inlineStr">
        <is>
          <t>28</t>
        </is>
      </c>
      <c r="F191" t="inlineStr">
        <is>
          <t>C</t>
        </is>
      </c>
      <c r="G191" t="inlineStr">
        <is>
          <t>Low Cost</t>
        </is>
      </c>
      <c r="H191" s="2390" t="n">
        <v>72</v>
      </c>
      <c r="I191">
        <f>B191&amp;"~"&amp;F191&amp;"~"&amp;G191</f>
        <v/>
      </c>
      <c r="J191" t="inlineStr">
        <is>
          <t>13</t>
        </is>
      </c>
      <c r="K191" t="inlineStr">
        <is>
          <t>13</t>
        </is>
      </c>
      <c r="L191" t="inlineStr">
        <is>
          <t>13</t>
        </is>
      </c>
      <c r="M191" t="inlineStr">
        <is>
          <t>MVS Sec.13 p.28</t>
        </is>
      </c>
    </row>
    <row r="192">
      <c r="B192" t="inlineStr">
        <is>
          <t>Discount Stores</t>
        </is>
      </c>
      <c r="C192" t="inlineStr">
        <is>
          <t>319</t>
        </is>
      </c>
      <c r="D192" t="inlineStr">
        <is>
          <t>13</t>
        </is>
      </c>
      <c r="E192" t="inlineStr">
        <is>
          <t>28</t>
        </is>
      </c>
      <c r="F192" t="inlineStr">
        <is>
          <t>D</t>
        </is>
      </c>
      <c r="G192" t="inlineStr">
        <is>
          <t>Good</t>
        </is>
      </c>
      <c r="H192" s="2390" t="n">
        <v>111</v>
      </c>
      <c r="I192">
        <f>B192&amp;"~"&amp;F192&amp;"~"&amp;G192</f>
        <v/>
      </c>
      <c r="J192" t="inlineStr">
        <is>
          <t>13</t>
        </is>
      </c>
      <c r="K192" t="inlineStr">
        <is>
          <t>13</t>
        </is>
      </c>
      <c r="L192" t="inlineStr">
        <is>
          <t>13</t>
        </is>
      </c>
      <c r="M192" t="inlineStr">
        <is>
          <t>MVS Sec.13 p.28</t>
        </is>
      </c>
    </row>
    <row r="193">
      <c r="B193" t="inlineStr">
        <is>
          <t>Discount Stores</t>
        </is>
      </c>
      <c r="C193" t="inlineStr">
        <is>
          <t>319</t>
        </is>
      </c>
      <c r="D193" t="inlineStr">
        <is>
          <t>13</t>
        </is>
      </c>
      <c r="E193" t="inlineStr">
        <is>
          <t>28</t>
        </is>
      </c>
      <c r="F193" t="inlineStr">
        <is>
          <t>D</t>
        </is>
      </c>
      <c r="G193" t="inlineStr">
        <is>
          <t>Average</t>
        </is>
      </c>
      <c r="H193" s="2390" t="n">
        <v>87</v>
      </c>
      <c r="I193">
        <f>B193&amp;"~"&amp;F193&amp;"~"&amp;G193</f>
        <v/>
      </c>
      <c r="J193" t="inlineStr">
        <is>
          <t>13</t>
        </is>
      </c>
      <c r="K193" t="inlineStr">
        <is>
          <t>13</t>
        </is>
      </c>
      <c r="L193" t="inlineStr">
        <is>
          <t>13</t>
        </is>
      </c>
      <c r="M193" t="inlineStr">
        <is>
          <t>MVS Sec.13 p.28</t>
        </is>
      </c>
    </row>
    <row r="194">
      <c r="B194" t="inlineStr">
        <is>
          <t>Discount Stores</t>
        </is>
      </c>
      <c r="C194" t="inlineStr">
        <is>
          <t>319</t>
        </is>
      </c>
      <c r="D194" t="inlineStr">
        <is>
          <t>13</t>
        </is>
      </c>
      <c r="E194" t="inlineStr">
        <is>
          <t>28</t>
        </is>
      </c>
      <c r="F194" t="inlineStr">
        <is>
          <t>D</t>
        </is>
      </c>
      <c r="G194" t="inlineStr">
        <is>
          <t>Low Cost</t>
        </is>
      </c>
      <c r="H194" s="2390" t="n">
        <v>65.5</v>
      </c>
      <c r="I194">
        <f>B194&amp;"~"&amp;F194&amp;"~"&amp;G194</f>
        <v/>
      </c>
      <c r="J194" t="inlineStr">
        <is>
          <t>13</t>
        </is>
      </c>
      <c r="K194" t="inlineStr">
        <is>
          <t>13</t>
        </is>
      </c>
      <c r="L194" t="inlineStr">
        <is>
          <t>13</t>
        </is>
      </c>
      <c r="M194" t="inlineStr">
        <is>
          <t>MVS Sec.13 p.28</t>
        </is>
      </c>
    </row>
    <row r="195">
      <c r="B195" t="inlineStr">
        <is>
          <t>Discount Stores</t>
        </is>
      </c>
      <c r="C195" t="inlineStr">
        <is>
          <t>319</t>
        </is>
      </c>
      <c r="D195" t="inlineStr">
        <is>
          <t>13</t>
        </is>
      </c>
      <c r="E195" t="inlineStr">
        <is>
          <t>28</t>
        </is>
      </c>
      <c r="F195" t="inlineStr">
        <is>
          <t>DPOLE</t>
        </is>
      </c>
      <c r="G195" t="inlineStr">
        <is>
          <t>Low Cost</t>
        </is>
      </c>
      <c r="H195" s="2390" t="n">
        <v>59</v>
      </c>
      <c r="I195">
        <f>B195&amp;"~"&amp;F195&amp;"~"&amp;G195</f>
        <v/>
      </c>
      <c r="J195" t="inlineStr">
        <is>
          <t>13</t>
        </is>
      </c>
      <c r="K195" t="inlineStr">
        <is>
          <t>13</t>
        </is>
      </c>
      <c r="L195" t="inlineStr">
        <is>
          <t>13</t>
        </is>
      </c>
      <c r="M195" t="inlineStr">
        <is>
          <t>MVS Sec.13 p.28</t>
        </is>
      </c>
    </row>
    <row r="196">
      <c r="B196" t="inlineStr">
        <is>
          <t>Discount Stores</t>
        </is>
      </c>
      <c r="C196" t="inlineStr">
        <is>
          <t>319</t>
        </is>
      </c>
      <c r="D196" t="inlineStr">
        <is>
          <t>13</t>
        </is>
      </c>
      <c r="E196" t="inlineStr">
        <is>
          <t>28</t>
        </is>
      </c>
      <c r="F196" t="inlineStr">
        <is>
          <t>S</t>
        </is>
      </c>
      <c r="G196" t="inlineStr">
        <is>
          <t>Good</t>
        </is>
      </c>
      <c r="H196" s="2390" t="n">
        <v>111</v>
      </c>
      <c r="I196">
        <f>B196&amp;"~"&amp;F196&amp;"~"&amp;G196</f>
        <v/>
      </c>
      <c r="J196" t="inlineStr">
        <is>
          <t>13</t>
        </is>
      </c>
      <c r="K196" t="inlineStr">
        <is>
          <t>13</t>
        </is>
      </c>
      <c r="L196" t="inlineStr">
        <is>
          <t>13</t>
        </is>
      </c>
      <c r="M196" t="inlineStr">
        <is>
          <t>MVS Sec.13 p.28</t>
        </is>
      </c>
    </row>
    <row r="197">
      <c r="B197" t="inlineStr">
        <is>
          <t>Discount Stores</t>
        </is>
      </c>
      <c r="C197" t="inlineStr">
        <is>
          <t>319</t>
        </is>
      </c>
      <c r="D197" t="inlineStr">
        <is>
          <t>13</t>
        </is>
      </c>
      <c r="E197" t="inlineStr">
        <is>
          <t>28</t>
        </is>
      </c>
      <c r="F197" t="inlineStr">
        <is>
          <t>S</t>
        </is>
      </c>
      <c r="G197" t="inlineStr">
        <is>
          <t>Average</t>
        </is>
      </c>
      <c r="H197" s="2390" t="n">
        <v>85</v>
      </c>
      <c r="I197">
        <f>B197&amp;"~"&amp;F197&amp;"~"&amp;G197</f>
        <v/>
      </c>
      <c r="J197" t="inlineStr">
        <is>
          <t>13</t>
        </is>
      </c>
      <c r="K197" t="inlineStr">
        <is>
          <t>13</t>
        </is>
      </c>
      <c r="L197" t="inlineStr">
        <is>
          <t>13</t>
        </is>
      </c>
      <c r="M197" t="inlineStr">
        <is>
          <t>MVS Sec.13 p.28</t>
        </is>
      </c>
    </row>
    <row r="198">
      <c r="B198" t="inlineStr">
        <is>
          <t>Discount Stores</t>
        </is>
      </c>
      <c r="C198" t="inlineStr">
        <is>
          <t>319</t>
        </is>
      </c>
      <c r="D198" t="inlineStr">
        <is>
          <t>13</t>
        </is>
      </c>
      <c r="E198" t="inlineStr">
        <is>
          <t>28</t>
        </is>
      </c>
      <c r="F198" t="inlineStr">
        <is>
          <t>S</t>
        </is>
      </c>
      <c r="G198" t="inlineStr">
        <is>
          <t>Low Cost</t>
        </is>
      </c>
      <c r="H198" s="2390" t="n">
        <v>63</v>
      </c>
      <c r="I198">
        <f>B198&amp;"~"&amp;F198&amp;"~"&amp;G198</f>
        <v/>
      </c>
      <c r="J198" t="inlineStr">
        <is>
          <t>13</t>
        </is>
      </c>
      <c r="K198" t="inlineStr">
        <is>
          <t>13</t>
        </is>
      </c>
      <c r="L198" t="inlineStr">
        <is>
          <t>13</t>
        </is>
      </c>
      <c r="M198" t="inlineStr">
        <is>
          <t>MVS Sec.13 p.28</t>
        </is>
      </c>
    </row>
    <row r="199">
      <c r="B199" t="inlineStr">
        <is>
          <t>Office Buildings</t>
        </is>
      </c>
      <c r="C199" t="inlineStr">
        <is>
          <t>344</t>
        </is>
      </c>
      <c r="D199" t="inlineStr">
        <is>
          <t>15</t>
        </is>
      </c>
      <c r="E199" t="inlineStr">
        <is>
          <t>17</t>
        </is>
      </c>
      <c r="F199" t="inlineStr">
        <is>
          <t>A</t>
        </is>
      </c>
      <c r="G199" t="inlineStr">
        <is>
          <t>Excellent</t>
        </is>
      </c>
      <c r="H199" s="2390" t="n">
        <v>404</v>
      </c>
      <c r="I199">
        <f>B199&amp;"~"&amp;F199&amp;"~"&amp;G199</f>
        <v/>
      </c>
      <c r="J199" t="inlineStr">
        <is>
          <t>15</t>
        </is>
      </c>
      <c r="K199" t="inlineStr">
        <is>
          <t>15</t>
        </is>
      </c>
      <c r="L199" t="inlineStr">
        <is>
          <t>15</t>
        </is>
      </c>
      <c r="M199" t="inlineStr">
        <is>
          <t>MVS Sec.15 p.17</t>
        </is>
      </c>
    </row>
    <row r="200">
      <c r="B200" t="inlineStr">
        <is>
          <t>Office Buildings</t>
        </is>
      </c>
      <c r="C200" t="inlineStr">
        <is>
          <t>344</t>
        </is>
      </c>
      <c r="D200" t="inlineStr">
        <is>
          <t>15</t>
        </is>
      </c>
      <c r="E200" t="inlineStr">
        <is>
          <t>17</t>
        </is>
      </c>
      <c r="F200" t="inlineStr">
        <is>
          <t>A</t>
        </is>
      </c>
      <c r="G200" t="inlineStr">
        <is>
          <t>Good</t>
        </is>
      </c>
      <c r="H200" s="2390" t="n">
        <v>320</v>
      </c>
      <c r="I200">
        <f>B200&amp;"~"&amp;F200&amp;"~"&amp;G200</f>
        <v/>
      </c>
      <c r="J200" t="inlineStr">
        <is>
          <t>15</t>
        </is>
      </c>
      <c r="K200" t="inlineStr">
        <is>
          <t>15</t>
        </is>
      </c>
      <c r="L200" t="inlineStr">
        <is>
          <t>15</t>
        </is>
      </c>
      <c r="M200" t="inlineStr">
        <is>
          <t>MVS Sec.15 p.17</t>
        </is>
      </c>
    </row>
    <row r="201">
      <c r="B201" t="inlineStr">
        <is>
          <t>Office Buildings</t>
        </is>
      </c>
      <c r="C201" t="inlineStr">
        <is>
          <t>344</t>
        </is>
      </c>
      <c r="D201" t="inlineStr">
        <is>
          <t>15</t>
        </is>
      </c>
      <c r="E201" t="inlineStr">
        <is>
          <t>17</t>
        </is>
      </c>
      <c r="F201" t="inlineStr">
        <is>
          <t>A</t>
        </is>
      </c>
      <c r="G201" t="inlineStr">
        <is>
          <t>Average</t>
        </is>
      </c>
      <c r="H201" s="2390" t="n">
        <v>241</v>
      </c>
      <c r="I201">
        <f>B201&amp;"~"&amp;F201&amp;"~"&amp;G201</f>
        <v/>
      </c>
      <c r="J201" t="inlineStr">
        <is>
          <t>15</t>
        </is>
      </c>
      <c r="K201" t="inlineStr">
        <is>
          <t>15</t>
        </is>
      </c>
      <c r="L201" t="inlineStr">
        <is>
          <t>15</t>
        </is>
      </c>
      <c r="M201" t="inlineStr">
        <is>
          <t>MVS Sec.15 p.17</t>
        </is>
      </c>
    </row>
    <row r="202">
      <c r="B202" t="inlineStr">
        <is>
          <t>Office Buildings</t>
        </is>
      </c>
      <c r="C202" t="inlineStr">
        <is>
          <t>344</t>
        </is>
      </c>
      <c r="D202" t="inlineStr">
        <is>
          <t>15</t>
        </is>
      </c>
      <c r="E202" t="inlineStr">
        <is>
          <t>17</t>
        </is>
      </c>
      <c r="F202" t="inlineStr">
        <is>
          <t>A</t>
        </is>
      </c>
      <c r="G202" t="inlineStr">
        <is>
          <t>Low Cost</t>
        </is>
      </c>
      <c r="H202" s="2390" t="n">
        <v>192</v>
      </c>
      <c r="I202">
        <f>B202&amp;"~"&amp;F202&amp;"~"&amp;G202</f>
        <v/>
      </c>
      <c r="J202" t="inlineStr">
        <is>
          <t>15</t>
        </is>
      </c>
      <c r="K202" t="inlineStr">
        <is>
          <t>15</t>
        </is>
      </c>
      <c r="L202" t="inlineStr">
        <is>
          <t>15</t>
        </is>
      </c>
      <c r="M202" t="inlineStr">
        <is>
          <t>MVS Sec.15 p.17</t>
        </is>
      </c>
    </row>
    <row r="203">
      <c r="B203" t="inlineStr">
        <is>
          <t>Office Buildings</t>
        </is>
      </c>
      <c r="C203" t="inlineStr">
        <is>
          <t>344</t>
        </is>
      </c>
      <c r="D203" t="inlineStr">
        <is>
          <t>15</t>
        </is>
      </c>
      <c r="E203" t="inlineStr">
        <is>
          <t>17</t>
        </is>
      </c>
      <c r="F203" t="inlineStr">
        <is>
          <t>B</t>
        </is>
      </c>
      <c r="G203" t="inlineStr">
        <is>
          <t>Excellent</t>
        </is>
      </c>
      <c r="H203" s="2390" t="n">
        <v>372</v>
      </c>
      <c r="I203">
        <f>B203&amp;"~"&amp;F203&amp;"~"&amp;G203</f>
        <v/>
      </c>
      <c r="J203" t="inlineStr">
        <is>
          <t>15</t>
        </is>
      </c>
      <c r="K203" t="inlineStr">
        <is>
          <t>15</t>
        </is>
      </c>
      <c r="L203" t="inlineStr">
        <is>
          <t>15</t>
        </is>
      </c>
      <c r="M203" t="inlineStr">
        <is>
          <t>MVS Sec.15 p.17</t>
        </is>
      </c>
    </row>
    <row r="204">
      <c r="B204" t="inlineStr">
        <is>
          <t>Office Buildings</t>
        </is>
      </c>
      <c r="C204" t="inlineStr">
        <is>
          <t>344</t>
        </is>
      </c>
      <c r="D204" t="inlineStr">
        <is>
          <t>15</t>
        </is>
      </c>
      <c r="E204" t="inlineStr">
        <is>
          <t>17</t>
        </is>
      </c>
      <c r="F204" t="inlineStr">
        <is>
          <t>B</t>
        </is>
      </c>
      <c r="G204" t="inlineStr">
        <is>
          <t>Good</t>
        </is>
      </c>
      <c r="H204" s="2390" t="n">
        <v>293</v>
      </c>
      <c r="I204">
        <f>B204&amp;"~"&amp;F204&amp;"~"&amp;G204</f>
        <v/>
      </c>
      <c r="J204" t="inlineStr">
        <is>
          <t>15</t>
        </is>
      </c>
      <c r="K204" t="inlineStr">
        <is>
          <t>15</t>
        </is>
      </c>
      <c r="L204" t="inlineStr">
        <is>
          <t>15</t>
        </is>
      </c>
      <c r="M204" t="inlineStr">
        <is>
          <t>MVS Sec.15 p.17</t>
        </is>
      </c>
    </row>
    <row r="205">
      <c r="B205" t="inlineStr">
        <is>
          <t>Office Buildings</t>
        </is>
      </c>
      <c r="C205" t="inlineStr">
        <is>
          <t>344</t>
        </is>
      </c>
      <c r="D205" t="inlineStr">
        <is>
          <t>15</t>
        </is>
      </c>
      <c r="E205" t="inlineStr">
        <is>
          <t>17</t>
        </is>
      </c>
      <c r="F205" t="inlineStr">
        <is>
          <t>B</t>
        </is>
      </c>
      <c r="G205" t="inlineStr">
        <is>
          <t>Average</t>
        </is>
      </c>
      <c r="H205" s="2390" t="n">
        <v>219</v>
      </c>
      <c r="I205">
        <f>B205&amp;"~"&amp;F205&amp;"~"&amp;G205</f>
        <v/>
      </c>
      <c r="J205" t="inlineStr">
        <is>
          <t>15</t>
        </is>
      </c>
      <c r="K205" t="inlineStr">
        <is>
          <t>15</t>
        </is>
      </c>
      <c r="L205" t="inlineStr">
        <is>
          <t>15</t>
        </is>
      </c>
      <c r="M205" t="inlineStr">
        <is>
          <t>MVS Sec.15 p.17</t>
        </is>
      </c>
    </row>
    <row r="206">
      <c r="B206" t="inlineStr">
        <is>
          <t>Office Buildings</t>
        </is>
      </c>
      <c r="C206" t="inlineStr">
        <is>
          <t>344</t>
        </is>
      </c>
      <c r="D206" t="inlineStr">
        <is>
          <t>15</t>
        </is>
      </c>
      <c r="E206" t="inlineStr">
        <is>
          <t>17</t>
        </is>
      </c>
      <c r="F206" t="inlineStr">
        <is>
          <t>B</t>
        </is>
      </c>
      <c r="G206" t="inlineStr">
        <is>
          <t>Low Cost</t>
        </is>
      </c>
      <c r="H206" s="2390" t="n">
        <v>173</v>
      </c>
      <c r="I206">
        <f>B206&amp;"~"&amp;F206&amp;"~"&amp;G206</f>
        <v/>
      </c>
      <c r="J206" t="inlineStr">
        <is>
          <t>15</t>
        </is>
      </c>
      <c r="K206" t="inlineStr">
        <is>
          <t>15</t>
        </is>
      </c>
      <c r="L206" t="inlineStr">
        <is>
          <t>15</t>
        </is>
      </c>
      <c r="M206" t="inlineStr">
        <is>
          <t>MVS Sec.15 p.17</t>
        </is>
      </c>
    </row>
    <row r="207">
      <c r="B207" t="inlineStr">
        <is>
          <t>Office Buildings</t>
        </is>
      </c>
      <c r="C207" t="inlineStr">
        <is>
          <t>344</t>
        </is>
      </c>
      <c r="D207" t="inlineStr">
        <is>
          <t>15</t>
        </is>
      </c>
      <c r="E207" t="inlineStr">
        <is>
          <t>17</t>
        </is>
      </c>
      <c r="F207" t="inlineStr">
        <is>
          <t>C</t>
        </is>
      </c>
      <c r="G207" t="inlineStr">
        <is>
          <t>Excellent</t>
        </is>
      </c>
      <c r="H207" s="2390" t="n">
        <v>317</v>
      </c>
      <c r="I207">
        <f>B207&amp;"~"&amp;F207&amp;"~"&amp;G207</f>
        <v/>
      </c>
      <c r="J207" t="inlineStr">
        <is>
          <t>15</t>
        </is>
      </c>
      <c r="K207" t="inlineStr">
        <is>
          <t>15</t>
        </is>
      </c>
      <c r="L207" t="inlineStr">
        <is>
          <t>15</t>
        </is>
      </c>
      <c r="M207" t="inlineStr">
        <is>
          <t>MVS Sec.15 p.17</t>
        </is>
      </c>
    </row>
    <row r="208">
      <c r="B208" t="inlineStr">
        <is>
          <t>Office Buildings</t>
        </is>
      </c>
      <c r="C208" t="inlineStr">
        <is>
          <t>344</t>
        </is>
      </c>
      <c r="D208" t="inlineStr">
        <is>
          <t>15</t>
        </is>
      </c>
      <c r="E208" t="inlineStr">
        <is>
          <t>17</t>
        </is>
      </c>
      <c r="F208" t="inlineStr">
        <is>
          <t>C</t>
        </is>
      </c>
      <c r="G208" t="inlineStr">
        <is>
          <t>Good</t>
        </is>
      </c>
      <c r="H208" s="2390" t="n">
        <v>221</v>
      </c>
      <c r="I208">
        <f>B208&amp;"~"&amp;F208&amp;"~"&amp;G208</f>
        <v/>
      </c>
      <c r="J208" t="inlineStr">
        <is>
          <t>15</t>
        </is>
      </c>
      <c r="K208" t="inlineStr">
        <is>
          <t>15</t>
        </is>
      </c>
      <c r="L208" t="inlineStr">
        <is>
          <t>15</t>
        </is>
      </c>
      <c r="M208" t="inlineStr">
        <is>
          <t>MVS Sec.15 p.17</t>
        </is>
      </c>
    </row>
    <row r="209">
      <c r="B209" t="inlineStr">
        <is>
          <t>Office Buildings</t>
        </is>
      </c>
      <c r="C209" t="inlineStr">
        <is>
          <t>344</t>
        </is>
      </c>
      <c r="D209" t="inlineStr">
        <is>
          <t>15</t>
        </is>
      </c>
      <c r="E209" t="inlineStr">
        <is>
          <t>17</t>
        </is>
      </c>
      <c r="F209" t="inlineStr">
        <is>
          <t>C</t>
        </is>
      </c>
      <c r="G209" t="inlineStr">
        <is>
          <t>Average</t>
        </is>
      </c>
      <c r="H209" s="2390" t="n">
        <v>157</v>
      </c>
      <c r="I209">
        <f>B209&amp;"~"&amp;F209&amp;"~"&amp;G209</f>
        <v/>
      </c>
      <c r="J209" t="inlineStr">
        <is>
          <t>15</t>
        </is>
      </c>
      <c r="K209" t="inlineStr">
        <is>
          <t>15</t>
        </is>
      </c>
      <c r="L209" t="inlineStr">
        <is>
          <t>15</t>
        </is>
      </c>
      <c r="M209" t="inlineStr">
        <is>
          <t>MVS Sec.15 p.17</t>
        </is>
      </c>
    </row>
    <row r="210">
      <c r="B210" t="inlineStr">
        <is>
          <t>Office Buildings</t>
        </is>
      </c>
      <c r="C210" t="inlineStr">
        <is>
          <t>344</t>
        </is>
      </c>
      <c r="D210" t="inlineStr">
        <is>
          <t>15</t>
        </is>
      </c>
      <c r="E210" t="inlineStr">
        <is>
          <t>17</t>
        </is>
      </c>
      <c r="F210" t="inlineStr">
        <is>
          <t>C</t>
        </is>
      </c>
      <c r="G210" t="inlineStr">
        <is>
          <t>Low Cost</t>
        </is>
      </c>
      <c r="H210" s="2390" t="n">
        <v>106</v>
      </c>
      <c r="I210">
        <f>B210&amp;"~"&amp;F210&amp;"~"&amp;G210</f>
        <v/>
      </c>
      <c r="J210" t="inlineStr">
        <is>
          <t>15</t>
        </is>
      </c>
      <c r="K210" t="inlineStr">
        <is>
          <t>15</t>
        </is>
      </c>
      <c r="L210" t="inlineStr">
        <is>
          <t>15</t>
        </is>
      </c>
      <c r="M210" t="inlineStr">
        <is>
          <t>MVS Sec.15 p.17</t>
        </is>
      </c>
    </row>
    <row r="211">
      <c r="B211" t="inlineStr">
        <is>
          <t>Office Buildings</t>
        </is>
      </c>
      <c r="C211" t="inlineStr">
        <is>
          <t>344</t>
        </is>
      </c>
      <c r="D211" t="inlineStr">
        <is>
          <t>15</t>
        </is>
      </c>
      <c r="E211" t="inlineStr">
        <is>
          <t>17</t>
        </is>
      </c>
      <c r="F211" t="inlineStr">
        <is>
          <t>D</t>
        </is>
      </c>
      <c r="G211" t="inlineStr">
        <is>
          <t>Excellent</t>
        </is>
      </c>
      <c r="H211" s="2390" t="n">
        <v>302</v>
      </c>
      <c r="I211">
        <f>B211&amp;"~"&amp;F211&amp;"~"&amp;G211</f>
        <v/>
      </c>
      <c r="J211" t="inlineStr">
        <is>
          <t>15</t>
        </is>
      </c>
      <c r="K211" t="inlineStr">
        <is>
          <t>15</t>
        </is>
      </c>
      <c r="L211" t="inlineStr">
        <is>
          <t>15</t>
        </is>
      </c>
      <c r="M211" t="inlineStr">
        <is>
          <t>MVS Sec.15 p.17</t>
        </is>
      </c>
    </row>
    <row r="212">
      <c r="B212" t="inlineStr">
        <is>
          <t>Office Buildings</t>
        </is>
      </c>
      <c r="C212" t="inlineStr">
        <is>
          <t>344</t>
        </is>
      </c>
      <c r="D212" t="inlineStr">
        <is>
          <t>15</t>
        </is>
      </c>
      <c r="E212" t="inlineStr">
        <is>
          <t>17</t>
        </is>
      </c>
      <c r="F212" t="inlineStr">
        <is>
          <t>D</t>
        </is>
      </c>
      <c r="G212" t="inlineStr">
        <is>
          <t>Good</t>
        </is>
      </c>
      <c r="H212" s="2390" t="n">
        <v>210</v>
      </c>
      <c r="I212">
        <f>B212&amp;"~"&amp;F212&amp;"~"&amp;G212</f>
        <v/>
      </c>
      <c r="J212" t="inlineStr">
        <is>
          <t>15</t>
        </is>
      </c>
      <c r="K212" t="inlineStr">
        <is>
          <t>15</t>
        </is>
      </c>
      <c r="L212" t="inlineStr">
        <is>
          <t>15</t>
        </is>
      </c>
      <c r="M212" t="inlineStr">
        <is>
          <t>MVS Sec.15 p.17</t>
        </is>
      </c>
    </row>
    <row r="213">
      <c r="B213" t="inlineStr">
        <is>
          <t>Office Buildings</t>
        </is>
      </c>
      <c r="C213" t="inlineStr">
        <is>
          <t>344</t>
        </is>
      </c>
      <c r="D213" t="inlineStr">
        <is>
          <t>15</t>
        </is>
      </c>
      <c r="E213" t="inlineStr">
        <is>
          <t>17</t>
        </is>
      </c>
      <c r="F213" t="inlineStr">
        <is>
          <t>D</t>
        </is>
      </c>
      <c r="G213" t="inlineStr">
        <is>
          <t>Average</t>
        </is>
      </c>
      <c r="H213" s="2390" t="n">
        <v>149</v>
      </c>
      <c r="I213">
        <f>B213&amp;"~"&amp;F213&amp;"~"&amp;G213</f>
        <v/>
      </c>
      <c r="J213" t="inlineStr">
        <is>
          <t>15</t>
        </is>
      </c>
      <c r="K213" t="inlineStr">
        <is>
          <t>15</t>
        </is>
      </c>
      <c r="L213" t="inlineStr">
        <is>
          <t>15</t>
        </is>
      </c>
      <c r="M213" t="inlineStr">
        <is>
          <t>MVS Sec.15 p.17</t>
        </is>
      </c>
    </row>
    <row r="214">
      <c r="B214" t="inlineStr">
        <is>
          <t>Office Buildings</t>
        </is>
      </c>
      <c r="C214" t="inlineStr">
        <is>
          <t>344</t>
        </is>
      </c>
      <c r="D214" t="inlineStr">
        <is>
          <t>15</t>
        </is>
      </c>
      <c r="E214" t="inlineStr">
        <is>
          <t>17</t>
        </is>
      </c>
      <c r="F214" t="inlineStr">
        <is>
          <t>D</t>
        </is>
      </c>
      <c r="G214" t="inlineStr">
        <is>
          <t>Low Cost</t>
        </is>
      </c>
      <c r="H214" s="2390" t="n">
        <v>99.5</v>
      </c>
      <c r="I214">
        <f>B214&amp;"~"&amp;F214&amp;"~"&amp;G214</f>
        <v/>
      </c>
      <c r="J214" t="inlineStr">
        <is>
          <t>15</t>
        </is>
      </c>
      <c r="K214" t="inlineStr">
        <is>
          <t>15</t>
        </is>
      </c>
      <c r="L214" t="inlineStr">
        <is>
          <t>15</t>
        </is>
      </c>
      <c r="M214" t="inlineStr">
        <is>
          <t>MVS Sec.15 p.17</t>
        </is>
      </c>
    </row>
    <row r="215">
      <c r="B215" t="inlineStr">
        <is>
          <t>Office Buildings</t>
        </is>
      </c>
      <c r="C215" t="inlineStr">
        <is>
          <t>344</t>
        </is>
      </c>
      <c r="D215" t="inlineStr">
        <is>
          <t>15</t>
        </is>
      </c>
      <c r="E215" t="inlineStr">
        <is>
          <t>17</t>
        </is>
      </c>
      <c r="F215" t="inlineStr">
        <is>
          <t>DPOLE</t>
        </is>
      </c>
      <c r="G215" t="inlineStr">
        <is>
          <t>Good</t>
        </is>
      </c>
      <c r="H215" s="2390" t="n">
        <v>198</v>
      </c>
      <c r="I215">
        <f>B215&amp;"~"&amp;F215&amp;"~"&amp;G215</f>
        <v/>
      </c>
      <c r="J215" t="inlineStr">
        <is>
          <t>15</t>
        </is>
      </c>
      <c r="K215" t="inlineStr">
        <is>
          <t>15</t>
        </is>
      </c>
      <c r="L215" t="inlineStr">
        <is>
          <t>15</t>
        </is>
      </c>
      <c r="M215" t="inlineStr">
        <is>
          <t>MVS Sec.15 p.17</t>
        </is>
      </c>
    </row>
    <row r="216">
      <c r="B216" t="inlineStr">
        <is>
          <t>Office Buildings</t>
        </is>
      </c>
      <c r="C216" t="inlineStr">
        <is>
          <t>344</t>
        </is>
      </c>
      <c r="D216" t="inlineStr">
        <is>
          <t>15</t>
        </is>
      </c>
      <c r="E216" t="inlineStr">
        <is>
          <t>17</t>
        </is>
      </c>
      <c r="F216" t="inlineStr">
        <is>
          <t>DPOLE</t>
        </is>
      </c>
      <c r="G216" t="inlineStr">
        <is>
          <t>Average</t>
        </is>
      </c>
      <c r="H216" s="2390" t="n">
        <v>135</v>
      </c>
      <c r="I216">
        <f>B216&amp;"~"&amp;F216&amp;"~"&amp;G216</f>
        <v/>
      </c>
      <c r="J216" t="inlineStr">
        <is>
          <t>15</t>
        </is>
      </c>
      <c r="K216" t="inlineStr">
        <is>
          <t>15</t>
        </is>
      </c>
      <c r="L216" t="inlineStr">
        <is>
          <t>15</t>
        </is>
      </c>
      <c r="M216" t="inlineStr">
        <is>
          <t>MVS Sec.15 p.17</t>
        </is>
      </c>
    </row>
    <row r="217">
      <c r="B217" t="inlineStr">
        <is>
          <t>Office Buildings</t>
        </is>
      </c>
      <c r="C217" t="inlineStr">
        <is>
          <t>344</t>
        </is>
      </c>
      <c r="D217" t="inlineStr">
        <is>
          <t>15</t>
        </is>
      </c>
      <c r="E217" t="inlineStr">
        <is>
          <t>17</t>
        </is>
      </c>
      <c r="F217" t="inlineStr">
        <is>
          <t>DPOLE</t>
        </is>
      </c>
      <c r="G217" t="inlineStr">
        <is>
          <t>Low Cost</t>
        </is>
      </c>
      <c r="H217" s="2390" t="n">
        <v>91.5</v>
      </c>
      <c r="I217">
        <f>B217&amp;"~"&amp;F217&amp;"~"&amp;G217</f>
        <v/>
      </c>
      <c r="J217" t="inlineStr">
        <is>
          <t>15</t>
        </is>
      </c>
      <c r="K217" t="inlineStr">
        <is>
          <t>15</t>
        </is>
      </c>
      <c r="L217" t="inlineStr">
        <is>
          <t>15</t>
        </is>
      </c>
      <c r="M217" t="inlineStr">
        <is>
          <t>MVS Sec.15 p.17</t>
        </is>
      </c>
    </row>
    <row r="218">
      <c r="B218" t="inlineStr">
        <is>
          <t>Office Buildings</t>
        </is>
      </c>
      <c r="C218" t="inlineStr">
        <is>
          <t>344</t>
        </is>
      </c>
      <c r="D218" t="inlineStr">
        <is>
          <t>15</t>
        </is>
      </c>
      <c r="E218" t="inlineStr">
        <is>
          <t>17</t>
        </is>
      </c>
      <c r="F218" t="inlineStr">
        <is>
          <t>S</t>
        </is>
      </c>
      <c r="G218" t="inlineStr">
        <is>
          <t>Good</t>
        </is>
      </c>
      <c r="H218" s="2390" t="n">
        <v>203</v>
      </c>
      <c r="I218">
        <f>B218&amp;"~"&amp;F218&amp;"~"&amp;G218</f>
        <v/>
      </c>
      <c r="J218" t="inlineStr">
        <is>
          <t>15</t>
        </is>
      </c>
      <c r="K218" t="inlineStr">
        <is>
          <t>15</t>
        </is>
      </c>
      <c r="L218" t="inlineStr">
        <is>
          <t>15</t>
        </is>
      </c>
      <c r="M218" t="inlineStr">
        <is>
          <t>MVS Sec.15 p.17</t>
        </is>
      </c>
    </row>
    <row r="219">
      <c r="B219" t="inlineStr">
        <is>
          <t>Office Buildings</t>
        </is>
      </c>
      <c r="C219" t="inlineStr">
        <is>
          <t>344</t>
        </is>
      </c>
      <c r="D219" t="inlineStr">
        <is>
          <t>15</t>
        </is>
      </c>
      <c r="E219" t="inlineStr">
        <is>
          <t>17</t>
        </is>
      </c>
      <c r="F219" t="inlineStr">
        <is>
          <t>S</t>
        </is>
      </c>
      <c r="G219" t="inlineStr">
        <is>
          <t>Average</t>
        </is>
      </c>
      <c r="H219" s="2390" t="n">
        <v>140</v>
      </c>
      <c r="I219">
        <f>B219&amp;"~"&amp;F219&amp;"~"&amp;G219</f>
        <v/>
      </c>
      <c r="J219" t="inlineStr">
        <is>
          <t>15</t>
        </is>
      </c>
      <c r="K219" t="inlineStr">
        <is>
          <t>15</t>
        </is>
      </c>
      <c r="L219" t="inlineStr">
        <is>
          <t>15</t>
        </is>
      </c>
      <c r="M219" t="inlineStr">
        <is>
          <t>MVS Sec.15 p.17</t>
        </is>
      </c>
    </row>
    <row r="220">
      <c r="B220" t="inlineStr">
        <is>
          <t>Office Buildings</t>
        </is>
      </c>
      <c r="C220" t="inlineStr">
        <is>
          <t>344</t>
        </is>
      </c>
      <c r="D220" t="inlineStr">
        <is>
          <t>15</t>
        </is>
      </c>
      <c r="E220" t="inlineStr">
        <is>
          <t>17</t>
        </is>
      </c>
      <c r="F220" t="inlineStr">
        <is>
          <t>S</t>
        </is>
      </c>
      <c r="G220" t="inlineStr">
        <is>
          <t>Low Cost</t>
        </is>
      </c>
      <c r="H220" s="2390" t="n">
        <v>94.5</v>
      </c>
      <c r="I220">
        <f>B220&amp;"~"&amp;F220&amp;"~"&amp;G220</f>
        <v/>
      </c>
      <c r="J220" t="inlineStr">
        <is>
          <t>15</t>
        </is>
      </c>
      <c r="K220" t="inlineStr">
        <is>
          <t>15</t>
        </is>
      </c>
      <c r="L220" t="inlineStr">
        <is>
          <t>15</t>
        </is>
      </c>
      <c r="M220" t="inlineStr">
        <is>
          <t>MVS Sec.15 p.17</t>
        </is>
      </c>
    </row>
    <row r="221">
      <c r="B221" t="inlineStr">
        <is>
          <t>Medical Office Buildings</t>
        </is>
      </c>
      <c r="C221" t="inlineStr">
        <is>
          <t>341</t>
        </is>
      </c>
      <c r="D221" t="inlineStr">
        <is>
          <t>15</t>
        </is>
      </c>
      <c r="E221" t="inlineStr">
        <is>
          <t>22</t>
        </is>
      </c>
      <c r="F221" t="inlineStr">
        <is>
          <t>A</t>
        </is>
      </c>
      <c r="G221" t="inlineStr">
        <is>
          <t>Excellent</t>
        </is>
      </c>
      <c r="H221" s="2390" t="n">
        <v>438</v>
      </c>
      <c r="I221">
        <f>B221&amp;"~"&amp;F221&amp;"~"&amp;G221</f>
        <v/>
      </c>
      <c r="J221" t="inlineStr">
        <is>
          <t>15</t>
        </is>
      </c>
      <c r="K221" t="inlineStr">
        <is>
          <t>15</t>
        </is>
      </c>
      <c r="L221" t="inlineStr">
        <is>
          <t>15</t>
        </is>
      </c>
      <c r="M221" t="inlineStr">
        <is>
          <t>MVS Sec.15 p.22</t>
        </is>
      </c>
    </row>
    <row r="222">
      <c r="B222" t="inlineStr">
        <is>
          <t>Medical Office Buildings</t>
        </is>
      </c>
      <c r="C222" t="inlineStr">
        <is>
          <t>341</t>
        </is>
      </c>
      <c r="D222" t="inlineStr">
        <is>
          <t>15</t>
        </is>
      </c>
      <c r="E222" t="inlineStr">
        <is>
          <t>22</t>
        </is>
      </c>
      <c r="F222" t="inlineStr">
        <is>
          <t>A</t>
        </is>
      </c>
      <c r="G222" t="inlineStr">
        <is>
          <t>Good</t>
        </is>
      </c>
      <c r="H222" s="2390" t="n">
        <v>351</v>
      </c>
      <c r="I222">
        <f>B222&amp;"~"&amp;F222&amp;"~"&amp;G222</f>
        <v/>
      </c>
      <c r="J222" t="inlineStr">
        <is>
          <t>15</t>
        </is>
      </c>
      <c r="K222" t="inlineStr">
        <is>
          <t>15</t>
        </is>
      </c>
      <c r="L222" t="inlineStr">
        <is>
          <t>15</t>
        </is>
      </c>
      <c r="M222" t="inlineStr">
        <is>
          <t>MVS Sec.15 p.22</t>
        </is>
      </c>
    </row>
    <row r="223">
      <c r="B223" t="inlineStr">
        <is>
          <t>Medical Office Buildings</t>
        </is>
      </c>
      <c r="C223" t="inlineStr">
        <is>
          <t>341</t>
        </is>
      </c>
      <c r="D223" t="inlineStr">
        <is>
          <t>15</t>
        </is>
      </c>
      <c r="E223" t="inlineStr">
        <is>
          <t>22</t>
        </is>
      </c>
      <c r="F223" t="inlineStr">
        <is>
          <t>A</t>
        </is>
      </c>
      <c r="G223" t="inlineStr">
        <is>
          <t>Average</t>
        </is>
      </c>
      <c r="H223" s="2390" t="n">
        <v>270</v>
      </c>
      <c r="I223">
        <f>B223&amp;"~"&amp;F223&amp;"~"&amp;G223</f>
        <v/>
      </c>
      <c r="J223" t="inlineStr">
        <is>
          <t>15</t>
        </is>
      </c>
      <c r="K223" t="inlineStr">
        <is>
          <t>15</t>
        </is>
      </c>
      <c r="L223" t="inlineStr">
        <is>
          <t>15</t>
        </is>
      </c>
      <c r="M223" t="inlineStr">
        <is>
          <t>MVS Sec.15 p.22</t>
        </is>
      </c>
    </row>
    <row r="224">
      <c r="B224" t="inlineStr">
        <is>
          <t>Medical Office Buildings</t>
        </is>
      </c>
      <c r="C224" t="inlineStr">
        <is>
          <t>341</t>
        </is>
      </c>
      <c r="D224" t="inlineStr">
        <is>
          <t>15</t>
        </is>
      </c>
      <c r="E224" t="inlineStr">
        <is>
          <t>22</t>
        </is>
      </c>
      <c r="F224" t="inlineStr">
        <is>
          <t>A</t>
        </is>
      </c>
      <c r="G224" t="inlineStr">
        <is>
          <t>Low Cost</t>
        </is>
      </c>
      <c r="H224" s="2390" t="n">
        <v>207</v>
      </c>
      <c r="I224">
        <f>B224&amp;"~"&amp;F224&amp;"~"&amp;G224</f>
        <v/>
      </c>
      <c r="J224" t="inlineStr">
        <is>
          <t>15</t>
        </is>
      </c>
      <c r="K224" t="inlineStr">
        <is>
          <t>15</t>
        </is>
      </c>
      <c r="L224" t="inlineStr">
        <is>
          <t>15</t>
        </is>
      </c>
      <c r="M224" t="inlineStr">
        <is>
          <t>MVS Sec.15 p.22</t>
        </is>
      </c>
    </row>
    <row r="225">
      <c r="B225" t="inlineStr">
        <is>
          <t>Medical Office Buildings</t>
        </is>
      </c>
      <c r="C225" t="inlineStr">
        <is>
          <t>341</t>
        </is>
      </c>
      <c r="D225" t="inlineStr">
        <is>
          <t>15</t>
        </is>
      </c>
      <c r="E225" t="inlineStr">
        <is>
          <t>22</t>
        </is>
      </c>
      <c r="F225" t="inlineStr">
        <is>
          <t>B</t>
        </is>
      </c>
      <c r="G225" t="inlineStr">
        <is>
          <t>Excellent</t>
        </is>
      </c>
      <c r="H225" s="2390" t="n">
        <v>402</v>
      </c>
      <c r="I225">
        <f>B225&amp;"~"&amp;F225&amp;"~"&amp;G225</f>
        <v/>
      </c>
      <c r="J225" t="inlineStr">
        <is>
          <t>15</t>
        </is>
      </c>
      <c r="K225" t="inlineStr">
        <is>
          <t>15</t>
        </is>
      </c>
      <c r="L225" t="inlineStr">
        <is>
          <t>15</t>
        </is>
      </c>
      <c r="M225" t="inlineStr">
        <is>
          <t>MVS Sec.15 p.22</t>
        </is>
      </c>
    </row>
    <row r="226">
      <c r="B226" t="inlineStr">
        <is>
          <t>Medical Office Buildings</t>
        </is>
      </c>
      <c r="C226" t="inlineStr">
        <is>
          <t>341</t>
        </is>
      </c>
      <c r="D226" t="inlineStr">
        <is>
          <t>15</t>
        </is>
      </c>
      <c r="E226" t="inlineStr">
        <is>
          <t>22</t>
        </is>
      </c>
      <c r="F226" t="inlineStr">
        <is>
          <t>B</t>
        </is>
      </c>
      <c r="G226" t="inlineStr">
        <is>
          <t>Good</t>
        </is>
      </c>
      <c r="H226" s="2390" t="n">
        <v>322</v>
      </c>
      <c r="I226">
        <f>B226&amp;"~"&amp;F226&amp;"~"&amp;G226</f>
        <v/>
      </c>
      <c r="J226" t="inlineStr">
        <is>
          <t>15</t>
        </is>
      </c>
      <c r="K226" t="inlineStr">
        <is>
          <t>15</t>
        </is>
      </c>
      <c r="L226" t="inlineStr">
        <is>
          <t>15</t>
        </is>
      </c>
      <c r="M226" t="inlineStr">
        <is>
          <t>MVS Sec.15 p.22</t>
        </is>
      </c>
    </row>
    <row r="227">
      <c r="B227" t="inlineStr">
        <is>
          <t>Medical Office Buildings</t>
        </is>
      </c>
      <c r="C227" t="inlineStr">
        <is>
          <t>341</t>
        </is>
      </c>
      <c r="D227" t="inlineStr">
        <is>
          <t>15</t>
        </is>
      </c>
      <c r="E227" t="inlineStr">
        <is>
          <t>22</t>
        </is>
      </c>
      <c r="F227" t="inlineStr">
        <is>
          <t>B</t>
        </is>
      </c>
      <c r="G227" t="inlineStr">
        <is>
          <t>Average</t>
        </is>
      </c>
      <c r="H227" s="2390" t="n">
        <v>246</v>
      </c>
      <c r="I227">
        <f>B227&amp;"~"&amp;F227&amp;"~"&amp;G227</f>
        <v/>
      </c>
      <c r="J227" t="inlineStr">
        <is>
          <t>15</t>
        </is>
      </c>
      <c r="K227" t="inlineStr">
        <is>
          <t>15</t>
        </is>
      </c>
      <c r="L227" t="inlineStr">
        <is>
          <t>15</t>
        </is>
      </c>
      <c r="M227" t="inlineStr">
        <is>
          <t>MVS Sec.15 p.22</t>
        </is>
      </c>
    </row>
    <row r="228">
      <c r="B228" t="inlineStr">
        <is>
          <t>Medical Office Buildings</t>
        </is>
      </c>
      <c r="C228" t="inlineStr">
        <is>
          <t>341</t>
        </is>
      </c>
      <c r="D228" t="inlineStr">
        <is>
          <t>15</t>
        </is>
      </c>
      <c r="E228" t="inlineStr">
        <is>
          <t>22</t>
        </is>
      </c>
      <c r="F228" t="inlineStr">
        <is>
          <t>B</t>
        </is>
      </c>
      <c r="G228" t="inlineStr">
        <is>
          <t>Low Cost</t>
        </is>
      </c>
      <c r="H228" s="2390" t="n">
        <v>187</v>
      </c>
      <c r="I228">
        <f>B228&amp;"~"&amp;F228&amp;"~"&amp;G228</f>
        <v/>
      </c>
      <c r="J228" t="inlineStr">
        <is>
          <t>15</t>
        </is>
      </c>
      <c r="K228" t="inlineStr">
        <is>
          <t>15</t>
        </is>
      </c>
      <c r="L228" t="inlineStr">
        <is>
          <t>15</t>
        </is>
      </c>
      <c r="M228" t="inlineStr">
        <is>
          <t>MVS Sec.15 p.22</t>
        </is>
      </c>
    </row>
    <row r="229">
      <c r="B229" t="inlineStr">
        <is>
          <t>Medical Office Buildings</t>
        </is>
      </c>
      <c r="C229" t="inlineStr">
        <is>
          <t>341</t>
        </is>
      </c>
      <c r="D229" t="inlineStr">
        <is>
          <t>15</t>
        </is>
      </c>
      <c r="E229" t="inlineStr">
        <is>
          <t>22</t>
        </is>
      </c>
      <c r="F229" t="inlineStr">
        <is>
          <t>C</t>
        </is>
      </c>
      <c r="G229" t="inlineStr">
        <is>
          <t>Excellent</t>
        </is>
      </c>
      <c r="H229" s="2390" t="n">
        <v>344</v>
      </c>
      <c r="I229">
        <f>B229&amp;"~"&amp;F229&amp;"~"&amp;G229</f>
        <v/>
      </c>
      <c r="J229" t="inlineStr">
        <is>
          <t>15</t>
        </is>
      </c>
      <c r="K229" t="inlineStr">
        <is>
          <t>15</t>
        </is>
      </c>
      <c r="L229" t="inlineStr">
        <is>
          <t>15</t>
        </is>
      </c>
      <c r="M229" t="inlineStr">
        <is>
          <t>MVS Sec.15 p.22</t>
        </is>
      </c>
    </row>
    <row r="230">
      <c r="B230" t="inlineStr">
        <is>
          <t>Medical Office Buildings</t>
        </is>
      </c>
      <c r="C230" t="inlineStr">
        <is>
          <t>341</t>
        </is>
      </c>
      <c r="D230" t="inlineStr">
        <is>
          <t>15</t>
        </is>
      </c>
      <c r="E230" t="inlineStr">
        <is>
          <t>22</t>
        </is>
      </c>
      <c r="F230" t="inlineStr">
        <is>
          <t>C</t>
        </is>
      </c>
      <c r="G230" t="inlineStr">
        <is>
          <t>Good</t>
        </is>
      </c>
      <c r="H230" s="2390" t="n">
        <v>261</v>
      </c>
      <c r="I230">
        <f>B230&amp;"~"&amp;F230&amp;"~"&amp;G230</f>
        <v/>
      </c>
      <c r="J230" t="inlineStr">
        <is>
          <t>15</t>
        </is>
      </c>
      <c r="K230" t="inlineStr">
        <is>
          <t>15</t>
        </is>
      </c>
      <c r="L230" t="inlineStr">
        <is>
          <t>15</t>
        </is>
      </c>
      <c r="M230" t="inlineStr">
        <is>
          <t>MVS Sec.15 p.22</t>
        </is>
      </c>
    </row>
    <row r="231">
      <c r="B231" t="inlineStr">
        <is>
          <t>Medical Office Buildings</t>
        </is>
      </c>
      <c r="C231" t="inlineStr">
        <is>
          <t>341</t>
        </is>
      </c>
      <c r="D231" t="inlineStr">
        <is>
          <t>15</t>
        </is>
      </c>
      <c r="E231" t="inlineStr">
        <is>
          <t>22</t>
        </is>
      </c>
      <c r="F231" t="inlineStr">
        <is>
          <t>C</t>
        </is>
      </c>
      <c r="G231" t="inlineStr">
        <is>
          <t>Average</t>
        </is>
      </c>
      <c r="H231" s="2390" t="n">
        <v>198</v>
      </c>
      <c r="I231">
        <f>B231&amp;"~"&amp;F231&amp;"~"&amp;G231</f>
        <v/>
      </c>
      <c r="J231" t="inlineStr">
        <is>
          <t>15</t>
        </is>
      </c>
      <c r="K231" t="inlineStr">
        <is>
          <t>15</t>
        </is>
      </c>
      <c r="L231" t="inlineStr">
        <is>
          <t>15</t>
        </is>
      </c>
      <c r="M231" t="inlineStr">
        <is>
          <t>MVS Sec.15 p.22</t>
        </is>
      </c>
    </row>
    <row r="232">
      <c r="B232" t="inlineStr">
        <is>
          <t>Medical Office Buildings</t>
        </is>
      </c>
      <c r="C232" t="inlineStr">
        <is>
          <t>341</t>
        </is>
      </c>
      <c r="D232" t="inlineStr">
        <is>
          <t>15</t>
        </is>
      </c>
      <c r="E232" t="inlineStr">
        <is>
          <t>22</t>
        </is>
      </c>
      <c r="F232" t="inlineStr">
        <is>
          <t>C</t>
        </is>
      </c>
      <c r="G232" t="inlineStr">
        <is>
          <t>Low Cost</t>
        </is>
      </c>
      <c r="H232" s="2390" t="n">
        <v>150</v>
      </c>
      <c r="I232">
        <f>B232&amp;"~"&amp;F232&amp;"~"&amp;G232</f>
        <v/>
      </c>
      <c r="J232" t="inlineStr">
        <is>
          <t>15</t>
        </is>
      </c>
      <c r="K232" t="inlineStr">
        <is>
          <t>15</t>
        </is>
      </c>
      <c r="L232" t="inlineStr">
        <is>
          <t>15</t>
        </is>
      </c>
      <c r="M232" t="inlineStr">
        <is>
          <t>MVS Sec.15 p.22</t>
        </is>
      </c>
    </row>
    <row r="233">
      <c r="B233" t="inlineStr">
        <is>
          <t>Medical Office Buildings</t>
        </is>
      </c>
      <c r="C233" t="inlineStr">
        <is>
          <t>341</t>
        </is>
      </c>
      <c r="D233" t="inlineStr">
        <is>
          <t>15</t>
        </is>
      </c>
      <c r="E233" t="inlineStr">
        <is>
          <t>22</t>
        </is>
      </c>
      <c r="F233" t="inlineStr">
        <is>
          <t>D</t>
        </is>
      </c>
      <c r="G233" t="inlineStr">
        <is>
          <t>Excellent</t>
        </is>
      </c>
      <c r="H233" s="2390" t="n">
        <v>314</v>
      </c>
      <c r="I233">
        <f>B233&amp;"~"&amp;F233&amp;"~"&amp;G233</f>
        <v/>
      </c>
      <c r="J233" t="inlineStr">
        <is>
          <t>15</t>
        </is>
      </c>
      <c r="K233" t="inlineStr">
        <is>
          <t>15</t>
        </is>
      </c>
      <c r="L233" t="inlineStr">
        <is>
          <t>15</t>
        </is>
      </c>
      <c r="M233" t="inlineStr">
        <is>
          <t>MVS Sec.15 p.22</t>
        </is>
      </c>
    </row>
    <row r="234">
      <c r="B234" t="inlineStr">
        <is>
          <t>Medical Office Buildings</t>
        </is>
      </c>
      <c r="C234" t="inlineStr">
        <is>
          <t>341</t>
        </is>
      </c>
      <c r="D234" t="inlineStr">
        <is>
          <t>15</t>
        </is>
      </c>
      <c r="E234" t="inlineStr">
        <is>
          <t>22</t>
        </is>
      </c>
      <c r="F234" t="inlineStr">
        <is>
          <t>D</t>
        </is>
      </c>
      <c r="G234" t="inlineStr">
        <is>
          <t>Good</t>
        </is>
      </c>
      <c r="H234" s="2390" t="n">
        <v>249</v>
      </c>
      <c r="I234">
        <f>B234&amp;"~"&amp;F234&amp;"~"&amp;G234</f>
        <v/>
      </c>
      <c r="J234" t="inlineStr">
        <is>
          <t>15</t>
        </is>
      </c>
      <c r="K234" t="inlineStr">
        <is>
          <t>15</t>
        </is>
      </c>
      <c r="L234" t="inlineStr">
        <is>
          <t>15</t>
        </is>
      </c>
      <c r="M234" t="inlineStr">
        <is>
          <t>MVS Sec.15 p.22</t>
        </is>
      </c>
    </row>
    <row r="235">
      <c r="B235" t="inlineStr">
        <is>
          <t>Medical Office Buildings</t>
        </is>
      </c>
      <c r="C235" t="inlineStr">
        <is>
          <t>341</t>
        </is>
      </c>
      <c r="D235" t="inlineStr">
        <is>
          <t>15</t>
        </is>
      </c>
      <c r="E235" t="inlineStr">
        <is>
          <t>22</t>
        </is>
      </c>
      <c r="F235" t="inlineStr">
        <is>
          <t>D</t>
        </is>
      </c>
      <c r="G235" t="inlineStr">
        <is>
          <t>Average</t>
        </is>
      </c>
      <c r="H235" s="2390" t="n">
        <v>189</v>
      </c>
      <c r="I235">
        <f>B235&amp;"~"&amp;F235&amp;"~"&amp;G235</f>
        <v/>
      </c>
      <c r="J235" t="inlineStr">
        <is>
          <t>15</t>
        </is>
      </c>
      <c r="K235" t="inlineStr">
        <is>
          <t>15</t>
        </is>
      </c>
      <c r="L235" t="inlineStr">
        <is>
          <t>15</t>
        </is>
      </c>
      <c r="M235" t="inlineStr">
        <is>
          <t>MVS Sec.15 p.22</t>
        </is>
      </c>
    </row>
    <row r="236">
      <c r="B236" t="inlineStr">
        <is>
          <t>Medical Office Buildings</t>
        </is>
      </c>
      <c r="C236" t="inlineStr">
        <is>
          <t>341</t>
        </is>
      </c>
      <c r="D236" t="inlineStr">
        <is>
          <t>15</t>
        </is>
      </c>
      <c r="E236" t="inlineStr">
        <is>
          <t>22</t>
        </is>
      </c>
      <c r="F236" t="inlineStr">
        <is>
          <t>D</t>
        </is>
      </c>
      <c r="G236" t="inlineStr">
        <is>
          <t>Low Cost</t>
        </is>
      </c>
      <c r="H236" s="2390" t="n">
        <v>144</v>
      </c>
      <c r="I236">
        <f>B236&amp;"~"&amp;F236&amp;"~"&amp;G236</f>
        <v/>
      </c>
      <c r="J236" t="inlineStr">
        <is>
          <t>15</t>
        </is>
      </c>
      <c r="K236" t="inlineStr">
        <is>
          <t>15</t>
        </is>
      </c>
      <c r="L236" t="inlineStr">
        <is>
          <t>15</t>
        </is>
      </c>
      <c r="M236" t="inlineStr">
        <is>
          <t>MVS Sec.15 p.22</t>
        </is>
      </c>
    </row>
    <row r="237">
      <c r="B237" t="inlineStr">
        <is>
          <t>Medical Office Buildings</t>
        </is>
      </c>
      <c r="C237" t="inlineStr">
        <is>
          <t>341</t>
        </is>
      </c>
      <c r="D237" t="inlineStr">
        <is>
          <t>15</t>
        </is>
      </c>
      <c r="E237" t="inlineStr">
        <is>
          <t>22</t>
        </is>
      </c>
      <c r="F237" t="inlineStr">
        <is>
          <t>DPOLE</t>
        </is>
      </c>
      <c r="G237" t="inlineStr">
        <is>
          <t>Low Cost</t>
        </is>
      </c>
      <c r="H237" s="2390" t="n">
        <v>132</v>
      </c>
      <c r="I237">
        <f>B237&amp;"~"&amp;F237&amp;"~"&amp;G237</f>
        <v/>
      </c>
      <c r="J237" t="inlineStr">
        <is>
          <t>15</t>
        </is>
      </c>
      <c r="K237" t="inlineStr">
        <is>
          <t>15</t>
        </is>
      </c>
      <c r="L237" t="inlineStr">
        <is>
          <t>15</t>
        </is>
      </c>
      <c r="M237" t="inlineStr">
        <is>
          <t>MVS Sec.15 p.22</t>
        </is>
      </c>
    </row>
    <row r="238">
      <c r="B238" t="inlineStr">
        <is>
          <t>Medical Office Buildings</t>
        </is>
      </c>
      <c r="C238" t="inlineStr">
        <is>
          <t>341</t>
        </is>
      </c>
      <c r="D238" t="inlineStr">
        <is>
          <t>15</t>
        </is>
      </c>
      <c r="E238" t="inlineStr">
        <is>
          <t>22</t>
        </is>
      </c>
      <c r="F238" t="inlineStr">
        <is>
          <t>S</t>
        </is>
      </c>
      <c r="G238" t="inlineStr">
        <is>
          <t>Good</t>
        </is>
      </c>
      <c r="H238" s="2390" t="n">
        <v>242</v>
      </c>
      <c r="I238">
        <f>B238&amp;"~"&amp;F238&amp;"~"&amp;G238</f>
        <v/>
      </c>
      <c r="J238" t="inlineStr">
        <is>
          <t>15</t>
        </is>
      </c>
      <c r="K238" t="inlineStr">
        <is>
          <t>15</t>
        </is>
      </c>
      <c r="L238" t="inlineStr">
        <is>
          <t>15</t>
        </is>
      </c>
      <c r="M238" t="inlineStr">
        <is>
          <t>MVS Sec.15 p.22</t>
        </is>
      </c>
    </row>
    <row r="239">
      <c r="B239" t="inlineStr">
        <is>
          <t>Medical Office Buildings</t>
        </is>
      </c>
      <c r="C239" t="inlineStr">
        <is>
          <t>341</t>
        </is>
      </c>
      <c r="D239" t="inlineStr">
        <is>
          <t>15</t>
        </is>
      </c>
      <c r="E239" t="inlineStr">
        <is>
          <t>22</t>
        </is>
      </c>
      <c r="F239" t="inlineStr">
        <is>
          <t>S</t>
        </is>
      </c>
      <c r="G239" t="inlineStr">
        <is>
          <t>Average</t>
        </is>
      </c>
      <c r="H239" s="2390" t="n">
        <v>177</v>
      </c>
      <c r="I239">
        <f>B239&amp;"~"&amp;F239&amp;"~"&amp;G239</f>
        <v/>
      </c>
      <c r="J239" t="inlineStr">
        <is>
          <t>15</t>
        </is>
      </c>
      <c r="K239" t="inlineStr">
        <is>
          <t>15</t>
        </is>
      </c>
      <c r="L239" t="inlineStr">
        <is>
          <t>15</t>
        </is>
      </c>
      <c r="M239" t="inlineStr">
        <is>
          <t>MVS Sec.15 p.22</t>
        </is>
      </c>
    </row>
    <row r="240">
      <c r="B240" t="inlineStr">
        <is>
          <t>Medical Office Buildings</t>
        </is>
      </c>
      <c r="C240" t="inlineStr">
        <is>
          <t>341</t>
        </is>
      </c>
      <c r="D240" t="inlineStr">
        <is>
          <t>15</t>
        </is>
      </c>
      <c r="E240" t="inlineStr">
        <is>
          <t>22</t>
        </is>
      </c>
      <c r="F240" t="inlineStr">
        <is>
          <t>S</t>
        </is>
      </c>
      <c r="G240" t="inlineStr">
        <is>
          <t>Low Cost</t>
        </is>
      </c>
      <c r="H240" s="2390" t="n">
        <v>135</v>
      </c>
      <c r="I240">
        <f>B240&amp;"~"&amp;F240&amp;"~"&amp;G240</f>
        <v/>
      </c>
      <c r="J240" t="inlineStr">
        <is>
          <t>15</t>
        </is>
      </c>
      <c r="K240" t="inlineStr">
        <is>
          <t>15</t>
        </is>
      </c>
      <c r="L240" t="inlineStr">
        <is>
          <t>15</t>
        </is>
      </c>
      <c r="M240" t="inlineStr">
        <is>
          <t>MVS Sec.15 p.22</t>
        </is>
      </c>
    </row>
    <row r="241">
      <c r="B241" t="inlineStr">
        <is>
          <t>Banks, Branch</t>
        </is>
      </c>
      <c r="C241" t="inlineStr">
        <is>
          <t>304</t>
        </is>
      </c>
      <c r="D241" t="inlineStr">
        <is>
          <t>15</t>
        </is>
      </c>
      <c r="E241" t="inlineStr">
        <is>
          <t>21</t>
        </is>
      </c>
      <c r="F241" t="inlineStr">
        <is>
          <t>A</t>
        </is>
      </c>
      <c r="G241" t="inlineStr">
        <is>
          <t>Good</t>
        </is>
      </c>
      <c r="H241" s="2390" t="n">
        <v>416</v>
      </c>
      <c r="I241">
        <f>B241&amp;"~"&amp;F241&amp;"~"&amp;G241</f>
        <v/>
      </c>
      <c r="J241" t="inlineStr">
        <is>
          <t>15</t>
        </is>
      </c>
      <c r="K241" t="inlineStr">
        <is>
          <t>15</t>
        </is>
      </c>
      <c r="L241" t="inlineStr">
        <is>
          <t>15</t>
        </is>
      </c>
      <c r="M241" t="inlineStr">
        <is>
          <t>MVS Sec.15 p.21</t>
        </is>
      </c>
    </row>
    <row r="242">
      <c r="B242" t="inlineStr">
        <is>
          <t>Banks, Branch</t>
        </is>
      </c>
      <c r="C242" t="inlineStr">
        <is>
          <t>304</t>
        </is>
      </c>
      <c r="D242" t="inlineStr">
        <is>
          <t>15</t>
        </is>
      </c>
      <c r="E242" t="inlineStr">
        <is>
          <t>21</t>
        </is>
      </c>
      <c r="F242" t="inlineStr">
        <is>
          <t>A</t>
        </is>
      </c>
      <c r="G242" t="inlineStr">
        <is>
          <t>Average</t>
        </is>
      </c>
      <c r="H242" s="2390" t="n">
        <v>327</v>
      </c>
      <c r="I242">
        <f>B242&amp;"~"&amp;F242&amp;"~"&amp;G242</f>
        <v/>
      </c>
      <c r="J242" t="inlineStr">
        <is>
          <t>15</t>
        </is>
      </c>
      <c r="K242" t="inlineStr">
        <is>
          <t>15</t>
        </is>
      </c>
      <c r="L242" t="inlineStr">
        <is>
          <t>15</t>
        </is>
      </c>
      <c r="M242" t="inlineStr">
        <is>
          <t>MVS Sec.15 p.21</t>
        </is>
      </c>
    </row>
    <row r="243">
      <c r="B243" t="inlineStr">
        <is>
          <t>Banks, Branch</t>
        </is>
      </c>
      <c r="C243" t="inlineStr">
        <is>
          <t>304</t>
        </is>
      </c>
      <c r="D243" t="inlineStr">
        <is>
          <t>15</t>
        </is>
      </c>
      <c r="E243" t="inlineStr">
        <is>
          <t>21</t>
        </is>
      </c>
      <c r="F243" t="inlineStr">
        <is>
          <t>A</t>
        </is>
      </c>
      <c r="G243" t="inlineStr">
        <is>
          <t>Low Cost</t>
        </is>
      </c>
      <c r="H243" s="2390" t="n">
        <v>260</v>
      </c>
      <c r="I243">
        <f>B243&amp;"~"&amp;F243&amp;"~"&amp;G243</f>
        <v/>
      </c>
      <c r="J243" t="inlineStr">
        <is>
          <t>15</t>
        </is>
      </c>
      <c r="K243" t="inlineStr">
        <is>
          <t>15</t>
        </is>
      </c>
      <c r="L243" t="inlineStr">
        <is>
          <t>15</t>
        </is>
      </c>
      <c r="M243" t="inlineStr">
        <is>
          <t>MVS Sec.15 p.21</t>
        </is>
      </c>
    </row>
    <row r="244">
      <c r="B244" t="inlineStr">
        <is>
          <t>Banks, Branch</t>
        </is>
      </c>
      <c r="C244" t="inlineStr">
        <is>
          <t>304</t>
        </is>
      </c>
      <c r="D244" t="inlineStr">
        <is>
          <t>15</t>
        </is>
      </c>
      <c r="E244" t="inlineStr">
        <is>
          <t>21</t>
        </is>
      </c>
      <c r="F244" t="inlineStr">
        <is>
          <t>B</t>
        </is>
      </c>
      <c r="G244" t="inlineStr">
        <is>
          <t>Good</t>
        </is>
      </c>
      <c r="H244" s="2390" t="n">
        <v>378</v>
      </c>
      <c r="I244">
        <f>B244&amp;"~"&amp;F244&amp;"~"&amp;G244</f>
        <v/>
      </c>
      <c r="J244" t="inlineStr">
        <is>
          <t>15</t>
        </is>
      </c>
      <c r="K244" t="inlineStr">
        <is>
          <t>15</t>
        </is>
      </c>
      <c r="L244" t="inlineStr">
        <is>
          <t>15</t>
        </is>
      </c>
      <c r="M244" t="inlineStr">
        <is>
          <t>MVS Sec.15 p.21</t>
        </is>
      </c>
    </row>
    <row r="245">
      <c r="B245" t="inlineStr">
        <is>
          <t>Banks, Branch</t>
        </is>
      </c>
      <c r="C245" t="inlineStr">
        <is>
          <t>304</t>
        </is>
      </c>
      <c r="D245" t="inlineStr">
        <is>
          <t>15</t>
        </is>
      </c>
      <c r="E245" t="inlineStr">
        <is>
          <t>21</t>
        </is>
      </c>
      <c r="F245" t="inlineStr">
        <is>
          <t>B</t>
        </is>
      </c>
      <c r="G245" t="inlineStr">
        <is>
          <t>Average</t>
        </is>
      </c>
      <c r="H245" s="2390" t="n">
        <v>296</v>
      </c>
      <c r="I245">
        <f>B245&amp;"~"&amp;F245&amp;"~"&amp;G245</f>
        <v/>
      </c>
      <c r="J245" t="inlineStr">
        <is>
          <t>15</t>
        </is>
      </c>
      <c r="K245" t="inlineStr">
        <is>
          <t>15</t>
        </is>
      </c>
      <c r="L245" t="inlineStr">
        <is>
          <t>15</t>
        </is>
      </c>
      <c r="M245" t="inlineStr">
        <is>
          <t>MVS Sec.15 p.21</t>
        </is>
      </c>
    </row>
    <row r="246">
      <c r="B246" t="inlineStr">
        <is>
          <t>Banks, Branch</t>
        </is>
      </c>
      <c r="C246" t="inlineStr">
        <is>
          <t>304</t>
        </is>
      </c>
      <c r="D246" t="inlineStr">
        <is>
          <t>15</t>
        </is>
      </c>
      <c r="E246" t="inlineStr">
        <is>
          <t>21</t>
        </is>
      </c>
      <c r="F246" t="inlineStr">
        <is>
          <t>B</t>
        </is>
      </c>
      <c r="G246" t="inlineStr">
        <is>
          <t>Low Cost</t>
        </is>
      </c>
      <c r="H246" s="2390" t="n">
        <v>234</v>
      </c>
      <c r="I246">
        <f>B246&amp;"~"&amp;F246&amp;"~"&amp;G246</f>
        <v/>
      </c>
      <c r="J246" t="inlineStr">
        <is>
          <t>15</t>
        </is>
      </c>
      <c r="K246" t="inlineStr">
        <is>
          <t>15</t>
        </is>
      </c>
      <c r="L246" t="inlineStr">
        <is>
          <t>15</t>
        </is>
      </c>
      <c r="M246" t="inlineStr">
        <is>
          <t>MVS Sec.15 p.21</t>
        </is>
      </c>
    </row>
    <row r="247">
      <c r="B247" t="inlineStr">
        <is>
          <t>Banks, Branch</t>
        </is>
      </c>
      <c r="C247" t="inlineStr">
        <is>
          <t>304</t>
        </is>
      </c>
      <c r="D247" t="inlineStr">
        <is>
          <t>15</t>
        </is>
      </c>
      <c r="E247" t="inlineStr">
        <is>
          <t>21</t>
        </is>
      </c>
      <c r="F247" t="inlineStr">
        <is>
          <t>C</t>
        </is>
      </c>
      <c r="G247" t="inlineStr">
        <is>
          <t>Excellent</t>
        </is>
      </c>
      <c r="H247" s="2390" t="n">
        <v>448</v>
      </c>
      <c r="I247">
        <f>B247&amp;"~"&amp;F247&amp;"~"&amp;G247</f>
        <v/>
      </c>
      <c r="J247" t="inlineStr">
        <is>
          <t>15</t>
        </is>
      </c>
      <c r="K247" t="inlineStr">
        <is>
          <t>15</t>
        </is>
      </c>
      <c r="L247" t="inlineStr">
        <is>
          <t>15</t>
        </is>
      </c>
      <c r="M247" t="inlineStr">
        <is>
          <t>MVS Sec.15 p.21</t>
        </is>
      </c>
    </row>
    <row r="248">
      <c r="B248" t="inlineStr">
        <is>
          <t>Banks, Branch</t>
        </is>
      </c>
      <c r="C248" t="inlineStr">
        <is>
          <t>304</t>
        </is>
      </c>
      <c r="D248" t="inlineStr">
        <is>
          <t>15</t>
        </is>
      </c>
      <c r="E248" t="inlineStr">
        <is>
          <t>21</t>
        </is>
      </c>
      <c r="F248" t="inlineStr">
        <is>
          <t>C</t>
        </is>
      </c>
      <c r="G248" t="inlineStr">
        <is>
          <t>Good</t>
        </is>
      </c>
      <c r="H248" s="2390" t="n">
        <v>326</v>
      </c>
      <c r="I248">
        <f>B248&amp;"~"&amp;F248&amp;"~"&amp;G248</f>
        <v/>
      </c>
      <c r="J248" t="inlineStr">
        <is>
          <t>15</t>
        </is>
      </c>
      <c r="K248" t="inlineStr">
        <is>
          <t>15</t>
        </is>
      </c>
      <c r="L248" t="inlineStr">
        <is>
          <t>15</t>
        </is>
      </c>
      <c r="M248" t="inlineStr">
        <is>
          <t>MVS Sec.15 p.21</t>
        </is>
      </c>
    </row>
    <row r="249">
      <c r="B249" t="inlineStr">
        <is>
          <t>Banks, Branch</t>
        </is>
      </c>
      <c r="C249" t="inlineStr">
        <is>
          <t>304</t>
        </is>
      </c>
      <c r="D249" t="inlineStr">
        <is>
          <t>15</t>
        </is>
      </c>
      <c r="E249" t="inlineStr">
        <is>
          <t>21</t>
        </is>
      </c>
      <c r="F249" t="inlineStr">
        <is>
          <t>C</t>
        </is>
      </c>
      <c r="G249" t="inlineStr">
        <is>
          <t>Average</t>
        </is>
      </c>
      <c r="H249" s="2390" t="n">
        <v>236</v>
      </c>
      <c r="I249">
        <f>B249&amp;"~"&amp;F249&amp;"~"&amp;G249</f>
        <v/>
      </c>
      <c r="J249" t="inlineStr">
        <is>
          <t>15</t>
        </is>
      </c>
      <c r="K249" t="inlineStr">
        <is>
          <t>15</t>
        </is>
      </c>
      <c r="L249" t="inlineStr">
        <is>
          <t>15</t>
        </is>
      </c>
      <c r="M249" t="inlineStr">
        <is>
          <t>MVS Sec.15 p.21</t>
        </is>
      </c>
    </row>
    <row r="250">
      <c r="B250" t="inlineStr">
        <is>
          <t>Banks, Branch</t>
        </is>
      </c>
      <c r="C250" t="inlineStr">
        <is>
          <t>304</t>
        </is>
      </c>
      <c r="D250" t="inlineStr">
        <is>
          <t>15</t>
        </is>
      </c>
      <c r="E250" t="inlineStr">
        <is>
          <t>21</t>
        </is>
      </c>
      <c r="F250" t="inlineStr">
        <is>
          <t>C</t>
        </is>
      </c>
      <c r="G250" t="inlineStr">
        <is>
          <t>Low Cost</t>
        </is>
      </c>
      <c r="H250" s="2390" t="n">
        <v>177</v>
      </c>
      <c r="I250">
        <f>B250&amp;"~"&amp;F250&amp;"~"&amp;G250</f>
        <v/>
      </c>
      <c r="J250" t="inlineStr">
        <is>
          <t>15</t>
        </is>
      </c>
      <c r="K250" t="inlineStr">
        <is>
          <t>15</t>
        </is>
      </c>
      <c r="L250" t="inlineStr">
        <is>
          <t>15</t>
        </is>
      </c>
      <c r="M250" t="inlineStr">
        <is>
          <t>MVS Sec.15 p.21</t>
        </is>
      </c>
    </row>
    <row r="251">
      <c r="B251" t="inlineStr">
        <is>
          <t>Banks, Branch</t>
        </is>
      </c>
      <c r="C251" t="inlineStr">
        <is>
          <t>304</t>
        </is>
      </c>
      <c r="D251" t="inlineStr">
        <is>
          <t>15</t>
        </is>
      </c>
      <c r="E251" t="inlineStr">
        <is>
          <t>21</t>
        </is>
      </c>
      <c r="F251" t="inlineStr">
        <is>
          <t>D</t>
        </is>
      </c>
      <c r="G251" t="inlineStr">
        <is>
          <t>Excellent</t>
        </is>
      </c>
      <c r="H251" s="2390" t="n">
        <v>423</v>
      </c>
      <c r="I251">
        <f>B251&amp;"~"&amp;F251&amp;"~"&amp;G251</f>
        <v/>
      </c>
      <c r="J251" t="inlineStr">
        <is>
          <t>15</t>
        </is>
      </c>
      <c r="K251" t="inlineStr">
        <is>
          <t>15</t>
        </is>
      </c>
      <c r="L251" t="inlineStr">
        <is>
          <t>15</t>
        </is>
      </c>
      <c r="M251" t="inlineStr">
        <is>
          <t>MVS Sec.15 p.21</t>
        </is>
      </c>
    </row>
    <row r="252">
      <c r="B252" t="inlineStr">
        <is>
          <t>Banks, Branch</t>
        </is>
      </c>
      <c r="C252" t="inlineStr">
        <is>
          <t>304</t>
        </is>
      </c>
      <c r="D252" t="inlineStr">
        <is>
          <t>15</t>
        </is>
      </c>
      <c r="E252" t="inlineStr">
        <is>
          <t>21</t>
        </is>
      </c>
      <c r="F252" t="inlineStr">
        <is>
          <t>D</t>
        </is>
      </c>
      <c r="G252" t="inlineStr">
        <is>
          <t>Good</t>
        </is>
      </c>
      <c r="H252" s="2390" t="n">
        <v>308</v>
      </c>
      <c r="I252">
        <f>B252&amp;"~"&amp;F252&amp;"~"&amp;G252</f>
        <v/>
      </c>
      <c r="J252" t="inlineStr">
        <is>
          <t>15</t>
        </is>
      </c>
      <c r="K252" t="inlineStr">
        <is>
          <t>15</t>
        </is>
      </c>
      <c r="L252" t="inlineStr">
        <is>
          <t>15</t>
        </is>
      </c>
      <c r="M252" t="inlineStr">
        <is>
          <t>MVS Sec.15 p.21</t>
        </is>
      </c>
    </row>
    <row r="253">
      <c r="B253" t="inlineStr">
        <is>
          <t>Banks, Branch</t>
        </is>
      </c>
      <c r="C253" t="inlineStr">
        <is>
          <t>304</t>
        </is>
      </c>
      <c r="D253" t="inlineStr">
        <is>
          <t>15</t>
        </is>
      </c>
      <c r="E253" t="inlineStr">
        <is>
          <t>21</t>
        </is>
      </c>
      <c r="F253" t="inlineStr">
        <is>
          <t>D</t>
        </is>
      </c>
      <c r="G253" t="inlineStr">
        <is>
          <t>Average</t>
        </is>
      </c>
      <c r="H253" s="2390" t="n">
        <v>223</v>
      </c>
      <c r="I253">
        <f>B253&amp;"~"&amp;F253&amp;"~"&amp;G253</f>
        <v/>
      </c>
      <c r="J253" t="inlineStr">
        <is>
          <t>15</t>
        </is>
      </c>
      <c r="K253" t="inlineStr">
        <is>
          <t>15</t>
        </is>
      </c>
      <c r="L253" t="inlineStr">
        <is>
          <t>15</t>
        </is>
      </c>
      <c r="M253" t="inlineStr">
        <is>
          <t>MVS Sec.15 p.21</t>
        </is>
      </c>
    </row>
    <row r="254">
      <c r="B254" t="inlineStr">
        <is>
          <t>Banks, Branch</t>
        </is>
      </c>
      <c r="C254" t="inlineStr">
        <is>
          <t>304</t>
        </is>
      </c>
      <c r="D254" t="inlineStr">
        <is>
          <t>15</t>
        </is>
      </c>
      <c r="E254" t="inlineStr">
        <is>
          <t>21</t>
        </is>
      </c>
      <c r="F254" t="inlineStr">
        <is>
          <t>D</t>
        </is>
      </c>
      <c r="G254" t="inlineStr">
        <is>
          <t>Low Cost</t>
        </is>
      </c>
      <c r="H254" s="2390" t="n">
        <v>168</v>
      </c>
      <c r="I254">
        <f>B254&amp;"~"&amp;F254&amp;"~"&amp;G254</f>
        <v/>
      </c>
      <c r="J254" t="inlineStr">
        <is>
          <t>15</t>
        </is>
      </c>
      <c r="K254" t="inlineStr">
        <is>
          <t>15</t>
        </is>
      </c>
      <c r="L254" t="inlineStr">
        <is>
          <t>15</t>
        </is>
      </c>
      <c r="M254" t="inlineStr">
        <is>
          <t>MVS Sec.15 p.21</t>
        </is>
      </c>
    </row>
    <row r="255">
      <c r="B255" t="inlineStr">
        <is>
          <t>Banks, Branch</t>
        </is>
      </c>
      <c r="C255" t="inlineStr">
        <is>
          <t>304</t>
        </is>
      </c>
      <c r="D255" t="inlineStr">
        <is>
          <t>15</t>
        </is>
      </c>
      <c r="E255" t="inlineStr">
        <is>
          <t>21</t>
        </is>
      </c>
      <c r="F255" t="inlineStr">
        <is>
          <t>S</t>
        </is>
      </c>
      <c r="G255" t="inlineStr">
        <is>
          <t>Good</t>
        </is>
      </c>
      <c r="H255" s="2390" t="n">
        <v>288</v>
      </c>
      <c r="I255">
        <f>B255&amp;"~"&amp;F255&amp;"~"&amp;G255</f>
        <v/>
      </c>
      <c r="J255" t="inlineStr">
        <is>
          <t>15</t>
        </is>
      </c>
      <c r="K255" t="inlineStr">
        <is>
          <t>15</t>
        </is>
      </c>
      <c r="L255" t="inlineStr">
        <is>
          <t>15</t>
        </is>
      </c>
      <c r="M255" t="inlineStr">
        <is>
          <t>MVS Sec.15 p.21</t>
        </is>
      </c>
    </row>
    <row r="256">
      <c r="B256" t="inlineStr">
        <is>
          <t>Banks, Branch</t>
        </is>
      </c>
      <c r="C256" t="inlineStr">
        <is>
          <t>304</t>
        </is>
      </c>
      <c r="D256" t="inlineStr">
        <is>
          <t>15</t>
        </is>
      </c>
      <c r="E256" t="inlineStr">
        <is>
          <t>21</t>
        </is>
      </c>
      <c r="F256" t="inlineStr">
        <is>
          <t>S</t>
        </is>
      </c>
      <c r="G256" t="inlineStr">
        <is>
          <t>Average</t>
        </is>
      </c>
      <c r="H256" s="2390" t="n">
        <v>218</v>
      </c>
      <c r="I256">
        <f>B256&amp;"~"&amp;F256&amp;"~"&amp;G256</f>
        <v/>
      </c>
      <c r="J256" t="inlineStr">
        <is>
          <t>15</t>
        </is>
      </c>
      <c r="K256" t="inlineStr">
        <is>
          <t>15</t>
        </is>
      </c>
      <c r="L256" t="inlineStr">
        <is>
          <t>15</t>
        </is>
      </c>
      <c r="M256" t="inlineStr">
        <is>
          <t>MVS Sec.15 p.21</t>
        </is>
      </c>
    </row>
    <row r="257">
      <c r="B257" t="inlineStr">
        <is>
          <t>Banks, Branch</t>
        </is>
      </c>
      <c r="C257" t="inlineStr">
        <is>
          <t>304</t>
        </is>
      </c>
      <c r="D257" t="inlineStr">
        <is>
          <t>15</t>
        </is>
      </c>
      <c r="E257" t="inlineStr">
        <is>
          <t>21</t>
        </is>
      </c>
      <c r="F257" t="inlineStr">
        <is>
          <t>S</t>
        </is>
      </c>
      <c r="G257" t="inlineStr">
        <is>
          <t>Low Cost</t>
        </is>
      </c>
      <c r="H257" s="2390" t="n">
        <v>167</v>
      </c>
      <c r="I257">
        <f>B257&amp;"~"&amp;F257&amp;"~"&amp;G257</f>
        <v/>
      </c>
      <c r="J257" t="inlineStr">
        <is>
          <t>15</t>
        </is>
      </c>
      <c r="K257" t="inlineStr">
        <is>
          <t>15</t>
        </is>
      </c>
      <c r="L257" t="inlineStr">
        <is>
          <t>15</t>
        </is>
      </c>
      <c r="M257" t="inlineStr">
        <is>
          <t>MVS Sec.15 p.21</t>
        </is>
      </c>
    </row>
    <row r="258">
      <c r="B258" t="inlineStr">
        <is>
          <t>Hotels, Full Service</t>
        </is>
      </c>
      <c r="C258" t="inlineStr">
        <is>
          <t>594</t>
        </is>
      </c>
      <c r="D258" t="inlineStr">
        <is>
          <t>11</t>
        </is>
      </c>
      <c r="E258" t="inlineStr">
        <is>
          <t>25</t>
        </is>
      </c>
      <c r="F258" t="inlineStr">
        <is>
          <t>A</t>
        </is>
      </c>
      <c r="G258" t="inlineStr">
        <is>
          <t>Excellent</t>
        </is>
      </c>
      <c r="H258" s="2390" t="n">
        <v>380</v>
      </c>
      <c r="I258">
        <f>B258&amp;"~"&amp;F258&amp;"~"&amp;G258</f>
        <v/>
      </c>
      <c r="J258" t="inlineStr">
        <is>
          <t>11</t>
        </is>
      </c>
      <c r="K258" t="inlineStr">
        <is>
          <t>11</t>
        </is>
      </c>
      <c r="L258" t="inlineStr">
        <is>
          <t>11</t>
        </is>
      </c>
      <c r="M258" t="inlineStr">
        <is>
          <t>MVS Sec.11 p.25</t>
        </is>
      </c>
    </row>
    <row r="259">
      <c r="B259" t="inlineStr">
        <is>
          <t>Hotels, Full Service</t>
        </is>
      </c>
      <c r="C259" t="inlineStr">
        <is>
          <t>594</t>
        </is>
      </c>
      <c r="D259" t="inlineStr">
        <is>
          <t>11</t>
        </is>
      </c>
      <c r="E259" t="inlineStr">
        <is>
          <t>25</t>
        </is>
      </c>
      <c r="F259" t="inlineStr">
        <is>
          <t>A</t>
        </is>
      </c>
      <c r="G259" t="inlineStr">
        <is>
          <t>Good</t>
        </is>
      </c>
      <c r="H259" s="2390" t="n">
        <v>310</v>
      </c>
      <c r="I259">
        <f>B259&amp;"~"&amp;F259&amp;"~"&amp;G259</f>
        <v/>
      </c>
      <c r="J259" t="inlineStr">
        <is>
          <t>11</t>
        </is>
      </c>
      <c r="K259" t="inlineStr">
        <is>
          <t>11</t>
        </is>
      </c>
      <c r="L259" t="inlineStr">
        <is>
          <t>11</t>
        </is>
      </c>
      <c r="M259" t="inlineStr">
        <is>
          <t>MVS Sec.11 p.25</t>
        </is>
      </c>
    </row>
    <row r="260">
      <c r="B260" t="inlineStr">
        <is>
          <t>Hotels, Full Service</t>
        </is>
      </c>
      <c r="C260" t="inlineStr">
        <is>
          <t>594</t>
        </is>
      </c>
      <c r="D260" t="inlineStr">
        <is>
          <t>11</t>
        </is>
      </c>
      <c r="E260" t="inlineStr">
        <is>
          <t>25</t>
        </is>
      </c>
      <c r="F260" t="inlineStr">
        <is>
          <t>A</t>
        </is>
      </c>
      <c r="G260" t="inlineStr">
        <is>
          <t>Average</t>
        </is>
      </c>
      <c r="H260" s="2390" t="n">
        <v>244</v>
      </c>
      <c r="I260">
        <f>B260&amp;"~"&amp;F260&amp;"~"&amp;G260</f>
        <v/>
      </c>
      <c r="J260" t="inlineStr">
        <is>
          <t>11</t>
        </is>
      </c>
      <c r="K260" t="inlineStr">
        <is>
          <t>11</t>
        </is>
      </c>
      <c r="L260" t="inlineStr">
        <is>
          <t>11</t>
        </is>
      </c>
      <c r="M260" t="inlineStr">
        <is>
          <t>MVS Sec.11 p.25</t>
        </is>
      </c>
    </row>
    <row r="261">
      <c r="B261" t="inlineStr">
        <is>
          <t>Hotels, Full Service</t>
        </is>
      </c>
      <c r="C261" t="inlineStr">
        <is>
          <t>594</t>
        </is>
      </c>
      <c r="D261" t="inlineStr">
        <is>
          <t>11</t>
        </is>
      </c>
      <c r="E261" t="inlineStr">
        <is>
          <t>25</t>
        </is>
      </c>
      <c r="F261" t="inlineStr">
        <is>
          <t>A</t>
        </is>
      </c>
      <c r="G261" t="inlineStr">
        <is>
          <t>Low Cost</t>
        </is>
      </c>
      <c r="H261" s="2390" t="n">
        <v>194</v>
      </c>
      <c r="I261">
        <f>B261&amp;"~"&amp;F261&amp;"~"&amp;G261</f>
        <v/>
      </c>
      <c r="J261" t="inlineStr">
        <is>
          <t>11</t>
        </is>
      </c>
      <c r="K261" t="inlineStr">
        <is>
          <t>11</t>
        </is>
      </c>
      <c r="L261" t="inlineStr">
        <is>
          <t>11</t>
        </is>
      </c>
      <c r="M261" t="inlineStr">
        <is>
          <t>MVS Sec.11 p.25</t>
        </is>
      </c>
    </row>
    <row r="262">
      <c r="B262" t="inlineStr">
        <is>
          <t>Hotels, Full Service</t>
        </is>
      </c>
      <c r="C262" t="inlineStr">
        <is>
          <t>594</t>
        </is>
      </c>
      <c r="D262" t="inlineStr">
        <is>
          <t>11</t>
        </is>
      </c>
      <c r="E262" t="inlineStr">
        <is>
          <t>25</t>
        </is>
      </c>
      <c r="F262" t="inlineStr">
        <is>
          <t>B</t>
        </is>
      </c>
      <c r="G262" t="inlineStr">
        <is>
          <t>Excellent</t>
        </is>
      </c>
      <c r="H262" s="2390" t="n">
        <v>343</v>
      </c>
      <c r="I262">
        <f>B262&amp;"~"&amp;F262&amp;"~"&amp;G262</f>
        <v/>
      </c>
      <c r="J262" t="inlineStr">
        <is>
          <t>11</t>
        </is>
      </c>
      <c r="K262" t="inlineStr">
        <is>
          <t>11</t>
        </is>
      </c>
      <c r="L262" t="inlineStr">
        <is>
          <t>11</t>
        </is>
      </c>
      <c r="M262" t="inlineStr">
        <is>
          <t>MVS Sec.11 p.25</t>
        </is>
      </c>
    </row>
    <row r="263">
      <c r="B263" t="inlineStr">
        <is>
          <t>Hotels, Full Service</t>
        </is>
      </c>
      <c r="C263" t="inlineStr">
        <is>
          <t>594</t>
        </is>
      </c>
      <c r="D263" t="inlineStr">
        <is>
          <t>11</t>
        </is>
      </c>
      <c r="E263" t="inlineStr">
        <is>
          <t>25</t>
        </is>
      </c>
      <c r="F263" t="inlineStr">
        <is>
          <t>B</t>
        </is>
      </c>
      <c r="G263" t="inlineStr">
        <is>
          <t>Good</t>
        </is>
      </c>
      <c r="H263" s="2390" t="n">
        <v>280</v>
      </c>
      <c r="I263">
        <f>B263&amp;"~"&amp;F263&amp;"~"&amp;G263</f>
        <v/>
      </c>
      <c r="J263" t="inlineStr">
        <is>
          <t>11</t>
        </is>
      </c>
      <c r="K263" t="inlineStr">
        <is>
          <t>11</t>
        </is>
      </c>
      <c r="L263" t="inlineStr">
        <is>
          <t>11</t>
        </is>
      </c>
      <c r="M263" t="inlineStr">
        <is>
          <t>MVS Sec.11 p.25</t>
        </is>
      </c>
    </row>
    <row r="264">
      <c r="B264" t="inlineStr">
        <is>
          <t>Hotels, Full Service</t>
        </is>
      </c>
      <c r="C264" t="inlineStr">
        <is>
          <t>594</t>
        </is>
      </c>
      <c r="D264" t="inlineStr">
        <is>
          <t>11</t>
        </is>
      </c>
      <c r="E264" t="inlineStr">
        <is>
          <t>25</t>
        </is>
      </c>
      <c r="F264" t="inlineStr">
        <is>
          <t>B</t>
        </is>
      </c>
      <c r="G264" t="inlineStr">
        <is>
          <t>Average</t>
        </is>
      </c>
      <c r="H264" s="2390" t="n">
        <v>219</v>
      </c>
      <c r="I264">
        <f>B264&amp;"~"&amp;F264&amp;"~"&amp;G264</f>
        <v/>
      </c>
      <c r="J264" t="inlineStr">
        <is>
          <t>11</t>
        </is>
      </c>
      <c r="K264" t="inlineStr">
        <is>
          <t>11</t>
        </is>
      </c>
      <c r="L264" t="inlineStr">
        <is>
          <t>11</t>
        </is>
      </c>
      <c r="M264" t="inlineStr">
        <is>
          <t>MVS Sec.11 p.25</t>
        </is>
      </c>
    </row>
    <row r="265">
      <c r="B265" t="inlineStr">
        <is>
          <t>Hotels, Full Service</t>
        </is>
      </c>
      <c r="C265" t="inlineStr">
        <is>
          <t>594</t>
        </is>
      </c>
      <c r="D265" t="inlineStr">
        <is>
          <t>11</t>
        </is>
      </c>
      <c r="E265" t="inlineStr">
        <is>
          <t>25</t>
        </is>
      </c>
      <c r="F265" t="inlineStr">
        <is>
          <t>B</t>
        </is>
      </c>
      <c r="G265" t="inlineStr">
        <is>
          <t>Low Cost</t>
        </is>
      </c>
      <c r="H265" s="2390" t="n">
        <v>173</v>
      </c>
      <c r="I265">
        <f>B265&amp;"~"&amp;F265&amp;"~"&amp;G265</f>
        <v/>
      </c>
      <c r="J265" t="inlineStr">
        <is>
          <t>11</t>
        </is>
      </c>
      <c r="K265" t="inlineStr">
        <is>
          <t>11</t>
        </is>
      </c>
      <c r="L265" t="inlineStr">
        <is>
          <t>11</t>
        </is>
      </c>
      <c r="M265" t="inlineStr">
        <is>
          <t>MVS Sec.11 p.25</t>
        </is>
      </c>
    </row>
    <row r="266">
      <c r="B266" t="inlineStr">
        <is>
          <t>Hotels, Full Service</t>
        </is>
      </c>
      <c r="C266" t="inlineStr">
        <is>
          <t>594</t>
        </is>
      </c>
      <c r="D266" t="inlineStr">
        <is>
          <t>11</t>
        </is>
      </c>
      <c r="E266" t="inlineStr">
        <is>
          <t>25</t>
        </is>
      </c>
      <c r="F266" t="inlineStr">
        <is>
          <t>C</t>
        </is>
      </c>
      <c r="G266" t="inlineStr">
        <is>
          <t>Excellent</t>
        </is>
      </c>
      <c r="H266" s="2390" t="n">
        <v>281</v>
      </c>
      <c r="I266">
        <f>B266&amp;"~"&amp;F266&amp;"~"&amp;G266</f>
        <v/>
      </c>
      <c r="J266" t="inlineStr">
        <is>
          <t>11</t>
        </is>
      </c>
      <c r="K266" t="inlineStr">
        <is>
          <t>11</t>
        </is>
      </c>
      <c r="L266" t="inlineStr">
        <is>
          <t>11</t>
        </is>
      </c>
      <c r="M266" t="inlineStr">
        <is>
          <t>MVS Sec.11 p.25</t>
        </is>
      </c>
    </row>
    <row r="267">
      <c r="B267" t="inlineStr">
        <is>
          <t>Hotels, Full Service</t>
        </is>
      </c>
      <c r="C267" t="inlineStr">
        <is>
          <t>594</t>
        </is>
      </c>
      <c r="D267" t="inlineStr">
        <is>
          <t>11</t>
        </is>
      </c>
      <c r="E267" t="inlineStr">
        <is>
          <t>25</t>
        </is>
      </c>
      <c r="F267" t="inlineStr">
        <is>
          <t>C</t>
        </is>
      </c>
      <c r="G267" t="inlineStr">
        <is>
          <t>Good</t>
        </is>
      </c>
      <c r="H267" s="2390" t="n">
        <v>228</v>
      </c>
      <c r="I267">
        <f>B267&amp;"~"&amp;F267&amp;"~"&amp;G267</f>
        <v/>
      </c>
      <c r="J267" t="inlineStr">
        <is>
          <t>11</t>
        </is>
      </c>
      <c r="K267" t="inlineStr">
        <is>
          <t>11</t>
        </is>
      </c>
      <c r="L267" t="inlineStr">
        <is>
          <t>11</t>
        </is>
      </c>
      <c r="M267" t="inlineStr">
        <is>
          <t>MVS Sec.11 p.25</t>
        </is>
      </c>
    </row>
    <row r="268">
      <c r="B268" t="inlineStr">
        <is>
          <t>Hotels, Full Service</t>
        </is>
      </c>
      <c r="C268" t="inlineStr">
        <is>
          <t>594</t>
        </is>
      </c>
      <c r="D268" t="inlineStr">
        <is>
          <t>11</t>
        </is>
      </c>
      <c r="E268" t="inlineStr">
        <is>
          <t>25</t>
        </is>
      </c>
      <c r="F268" t="inlineStr">
        <is>
          <t>C</t>
        </is>
      </c>
      <c r="G268" t="inlineStr">
        <is>
          <t>Average</t>
        </is>
      </c>
      <c r="H268" s="2390" t="n">
        <v>191</v>
      </c>
      <c r="I268">
        <f>B268&amp;"~"&amp;F268&amp;"~"&amp;G268</f>
        <v/>
      </c>
      <c r="J268" t="inlineStr">
        <is>
          <t>11</t>
        </is>
      </c>
      <c r="K268" t="inlineStr">
        <is>
          <t>11</t>
        </is>
      </c>
      <c r="L268" t="inlineStr">
        <is>
          <t>11</t>
        </is>
      </c>
      <c r="M268" t="inlineStr">
        <is>
          <t>MVS Sec.11 p.25</t>
        </is>
      </c>
    </row>
    <row r="269">
      <c r="B269" t="inlineStr">
        <is>
          <t>Hotels, Full Service</t>
        </is>
      </c>
      <c r="C269" t="inlineStr">
        <is>
          <t>594</t>
        </is>
      </c>
      <c r="D269" t="inlineStr">
        <is>
          <t>11</t>
        </is>
      </c>
      <c r="E269" t="inlineStr">
        <is>
          <t>25</t>
        </is>
      </c>
      <c r="F269" t="inlineStr">
        <is>
          <t>C</t>
        </is>
      </c>
      <c r="G269" t="inlineStr">
        <is>
          <t>Low Cost</t>
        </is>
      </c>
      <c r="H269" s="2390" t="n">
        <v>154</v>
      </c>
      <c r="I269">
        <f>B269&amp;"~"&amp;F269&amp;"~"&amp;G269</f>
        <v/>
      </c>
      <c r="J269" t="inlineStr">
        <is>
          <t>11</t>
        </is>
      </c>
      <c r="K269" t="inlineStr">
        <is>
          <t>11</t>
        </is>
      </c>
      <c r="L269" t="inlineStr">
        <is>
          <t>11</t>
        </is>
      </c>
      <c r="M269" t="inlineStr">
        <is>
          <t>MVS Sec.11 p.25</t>
        </is>
      </c>
    </row>
    <row r="270">
      <c r="B270" t="inlineStr">
        <is>
          <t>Hotels, Full Service</t>
        </is>
      </c>
      <c r="C270" t="inlineStr">
        <is>
          <t>594</t>
        </is>
      </c>
      <c r="D270" t="inlineStr">
        <is>
          <t>11</t>
        </is>
      </c>
      <c r="E270" t="inlineStr">
        <is>
          <t>25</t>
        </is>
      </c>
      <c r="F270" t="inlineStr">
        <is>
          <t>D</t>
        </is>
      </c>
      <c r="G270" t="inlineStr">
        <is>
          <t>Excellent</t>
        </is>
      </c>
      <c r="H270" s="2390" t="n">
        <v>268</v>
      </c>
      <c r="I270">
        <f>B270&amp;"~"&amp;F270&amp;"~"&amp;G270</f>
        <v/>
      </c>
      <c r="J270" t="inlineStr">
        <is>
          <t>11</t>
        </is>
      </c>
      <c r="K270" t="inlineStr">
        <is>
          <t>11</t>
        </is>
      </c>
      <c r="L270" t="inlineStr">
        <is>
          <t>11</t>
        </is>
      </c>
      <c r="M270" t="inlineStr">
        <is>
          <t>MVS Sec.11 p.25</t>
        </is>
      </c>
    </row>
    <row r="271">
      <c r="B271" t="inlineStr">
        <is>
          <t>Hotels, Full Service</t>
        </is>
      </c>
      <c r="C271" t="inlineStr">
        <is>
          <t>594</t>
        </is>
      </c>
      <c r="D271" t="inlineStr">
        <is>
          <t>11</t>
        </is>
      </c>
      <c r="E271" t="inlineStr">
        <is>
          <t>25</t>
        </is>
      </c>
      <c r="F271" t="inlineStr">
        <is>
          <t>D</t>
        </is>
      </c>
      <c r="G271" t="inlineStr">
        <is>
          <t>Good</t>
        </is>
      </c>
      <c r="H271" s="2390" t="n">
        <v>216</v>
      </c>
      <c r="I271">
        <f>B271&amp;"~"&amp;F271&amp;"~"&amp;G271</f>
        <v/>
      </c>
      <c r="J271" t="inlineStr">
        <is>
          <t>11</t>
        </is>
      </c>
      <c r="K271" t="inlineStr">
        <is>
          <t>11</t>
        </is>
      </c>
      <c r="L271" t="inlineStr">
        <is>
          <t>11</t>
        </is>
      </c>
      <c r="M271" t="inlineStr">
        <is>
          <t>MVS Sec.11 p.25</t>
        </is>
      </c>
    </row>
    <row r="272">
      <c r="B272" t="inlineStr">
        <is>
          <t>Hotels, Full Service</t>
        </is>
      </c>
      <c r="C272" t="inlineStr">
        <is>
          <t>594</t>
        </is>
      </c>
      <c r="D272" t="inlineStr">
        <is>
          <t>11</t>
        </is>
      </c>
      <c r="E272" t="inlineStr">
        <is>
          <t>25</t>
        </is>
      </c>
      <c r="F272" t="inlineStr">
        <is>
          <t>D</t>
        </is>
      </c>
      <c r="G272" t="inlineStr">
        <is>
          <t>Average</t>
        </is>
      </c>
      <c r="H272" s="2390" t="n">
        <v>180</v>
      </c>
      <c r="I272">
        <f>B272&amp;"~"&amp;F272&amp;"~"&amp;G272</f>
        <v/>
      </c>
      <c r="J272" t="inlineStr">
        <is>
          <t>11</t>
        </is>
      </c>
      <c r="K272" t="inlineStr">
        <is>
          <t>11</t>
        </is>
      </c>
      <c r="L272" t="inlineStr">
        <is>
          <t>11</t>
        </is>
      </c>
      <c r="M272" t="inlineStr">
        <is>
          <t>MVS Sec.11 p.25</t>
        </is>
      </c>
    </row>
    <row r="273">
      <c r="B273" t="inlineStr">
        <is>
          <t>Hotels, Full Service</t>
        </is>
      </c>
      <c r="C273" t="inlineStr">
        <is>
          <t>594</t>
        </is>
      </c>
      <c r="D273" t="inlineStr">
        <is>
          <t>11</t>
        </is>
      </c>
      <c r="E273" t="inlineStr">
        <is>
          <t>25</t>
        </is>
      </c>
      <c r="F273" t="inlineStr">
        <is>
          <t>D</t>
        </is>
      </c>
      <c r="G273" t="inlineStr">
        <is>
          <t>Low Cost</t>
        </is>
      </c>
      <c r="H273" s="2390" t="n">
        <v>144</v>
      </c>
      <c r="I273">
        <f>B273&amp;"~"&amp;F273&amp;"~"&amp;G273</f>
        <v/>
      </c>
      <c r="J273" t="inlineStr">
        <is>
          <t>11</t>
        </is>
      </c>
      <c r="K273" t="inlineStr">
        <is>
          <t>11</t>
        </is>
      </c>
      <c r="L273" t="inlineStr">
        <is>
          <t>11</t>
        </is>
      </c>
      <c r="M273" t="inlineStr">
        <is>
          <t>MVS Sec.11 p.25</t>
        </is>
      </c>
    </row>
    <row r="274">
      <c r="B274" t="inlineStr">
        <is>
          <t>Hotels, Limited Service</t>
        </is>
      </c>
      <c r="C274" t="inlineStr">
        <is>
          <t>595</t>
        </is>
      </c>
      <c r="D274" t="inlineStr">
        <is>
          <t>11</t>
        </is>
      </c>
      <c r="E274" t="inlineStr">
        <is>
          <t>22</t>
        </is>
      </c>
      <c r="F274" t="inlineStr">
        <is>
          <t>A</t>
        </is>
      </c>
      <c r="G274" t="inlineStr">
        <is>
          <t>Excellent</t>
        </is>
      </c>
      <c r="H274" s="2390" t="n">
        <v>271</v>
      </c>
      <c r="I274">
        <f>B274&amp;"~"&amp;F274&amp;"~"&amp;G274</f>
        <v/>
      </c>
      <c r="J274" t="inlineStr">
        <is>
          <t>11</t>
        </is>
      </c>
      <c r="K274" t="inlineStr">
        <is>
          <t>11</t>
        </is>
      </c>
      <c r="L274" t="inlineStr">
        <is>
          <t>11</t>
        </is>
      </c>
      <c r="M274" t="inlineStr">
        <is>
          <t>MVS Sec.11 p.22</t>
        </is>
      </c>
    </row>
    <row r="275">
      <c r="B275" t="inlineStr">
        <is>
          <t>Hotels, Limited Service</t>
        </is>
      </c>
      <c r="C275" t="inlineStr">
        <is>
          <t>595</t>
        </is>
      </c>
      <c r="D275" t="inlineStr">
        <is>
          <t>11</t>
        </is>
      </c>
      <c r="E275" t="inlineStr">
        <is>
          <t>22</t>
        </is>
      </c>
      <c r="F275" t="inlineStr">
        <is>
          <t>A</t>
        </is>
      </c>
      <c r="G275" t="inlineStr">
        <is>
          <t>Good</t>
        </is>
      </c>
      <c r="H275" s="2390" t="n">
        <v>228</v>
      </c>
      <c r="I275">
        <f>B275&amp;"~"&amp;F275&amp;"~"&amp;G275</f>
        <v/>
      </c>
      <c r="J275" t="inlineStr">
        <is>
          <t>11</t>
        </is>
      </c>
      <c r="K275" t="inlineStr">
        <is>
          <t>11</t>
        </is>
      </c>
      <c r="L275" t="inlineStr">
        <is>
          <t>11</t>
        </is>
      </c>
      <c r="M275" t="inlineStr">
        <is>
          <t>MVS Sec.11 p.22</t>
        </is>
      </c>
    </row>
    <row r="276">
      <c r="B276" t="inlineStr">
        <is>
          <t>Hotels, Limited Service</t>
        </is>
      </c>
      <c r="C276" t="inlineStr">
        <is>
          <t>595</t>
        </is>
      </c>
      <c r="D276" t="inlineStr">
        <is>
          <t>11</t>
        </is>
      </c>
      <c r="E276" t="inlineStr">
        <is>
          <t>22</t>
        </is>
      </c>
      <c r="F276" t="inlineStr">
        <is>
          <t>A</t>
        </is>
      </c>
      <c r="G276" t="inlineStr">
        <is>
          <t>Average</t>
        </is>
      </c>
      <c r="H276" s="2390" t="n">
        <v>197</v>
      </c>
      <c r="I276">
        <f>B276&amp;"~"&amp;F276&amp;"~"&amp;G276</f>
        <v/>
      </c>
      <c r="J276" t="inlineStr">
        <is>
          <t>11</t>
        </is>
      </c>
      <c r="K276" t="inlineStr">
        <is>
          <t>11</t>
        </is>
      </c>
      <c r="L276" t="inlineStr">
        <is>
          <t>11</t>
        </is>
      </c>
      <c r="M276" t="inlineStr">
        <is>
          <t>MVS Sec.11 p.22</t>
        </is>
      </c>
    </row>
    <row r="277">
      <c r="B277" t="inlineStr">
        <is>
          <t>Hotels, Limited Service</t>
        </is>
      </c>
      <c r="C277" t="inlineStr">
        <is>
          <t>595</t>
        </is>
      </c>
      <c r="D277" t="inlineStr">
        <is>
          <t>11</t>
        </is>
      </c>
      <c r="E277" t="inlineStr">
        <is>
          <t>22</t>
        </is>
      </c>
      <c r="F277" t="inlineStr">
        <is>
          <t>A</t>
        </is>
      </c>
      <c r="G277" t="inlineStr">
        <is>
          <t>Low Cost</t>
        </is>
      </c>
      <c r="H277" s="2390" t="n">
        <v>165</v>
      </c>
      <c r="I277">
        <f>B277&amp;"~"&amp;F277&amp;"~"&amp;G277</f>
        <v/>
      </c>
      <c r="J277" t="inlineStr">
        <is>
          <t>11</t>
        </is>
      </c>
      <c r="K277" t="inlineStr">
        <is>
          <t>11</t>
        </is>
      </c>
      <c r="L277" t="inlineStr">
        <is>
          <t>11</t>
        </is>
      </c>
      <c r="M277" t="inlineStr">
        <is>
          <t>MVS Sec.11 p.22</t>
        </is>
      </c>
    </row>
    <row r="278">
      <c r="B278" t="inlineStr">
        <is>
          <t>Hotels, Limited Service</t>
        </is>
      </c>
      <c r="C278" t="inlineStr">
        <is>
          <t>595</t>
        </is>
      </c>
      <c r="D278" t="inlineStr">
        <is>
          <t>11</t>
        </is>
      </c>
      <c r="E278" t="inlineStr">
        <is>
          <t>22</t>
        </is>
      </c>
      <c r="F278" t="inlineStr">
        <is>
          <t>B</t>
        </is>
      </c>
      <c r="G278" t="inlineStr">
        <is>
          <t>Excellent</t>
        </is>
      </c>
      <c r="H278" s="2390" t="n">
        <v>245</v>
      </c>
      <c r="I278">
        <f>B278&amp;"~"&amp;F278&amp;"~"&amp;G278</f>
        <v/>
      </c>
      <c r="J278" t="inlineStr">
        <is>
          <t>11</t>
        </is>
      </c>
      <c r="K278" t="inlineStr">
        <is>
          <t>11</t>
        </is>
      </c>
      <c r="L278" t="inlineStr">
        <is>
          <t>11</t>
        </is>
      </c>
      <c r="M278" t="inlineStr">
        <is>
          <t>MVS Sec.11 p.22</t>
        </is>
      </c>
    </row>
    <row r="279">
      <c r="B279" t="inlineStr">
        <is>
          <t>Hotels, Limited Service</t>
        </is>
      </c>
      <c r="C279" t="inlineStr">
        <is>
          <t>595</t>
        </is>
      </c>
      <c r="D279" t="inlineStr">
        <is>
          <t>11</t>
        </is>
      </c>
      <c r="E279" t="inlineStr">
        <is>
          <t>22</t>
        </is>
      </c>
      <c r="F279" t="inlineStr">
        <is>
          <t>B</t>
        </is>
      </c>
      <c r="G279" t="inlineStr">
        <is>
          <t>Good</t>
        </is>
      </c>
      <c r="H279" s="2390" t="n">
        <v>205</v>
      </c>
      <c r="I279">
        <f>B279&amp;"~"&amp;F279&amp;"~"&amp;G279</f>
        <v/>
      </c>
      <c r="J279" t="inlineStr">
        <is>
          <t>11</t>
        </is>
      </c>
      <c r="K279" t="inlineStr">
        <is>
          <t>11</t>
        </is>
      </c>
      <c r="L279" t="inlineStr">
        <is>
          <t>11</t>
        </is>
      </c>
      <c r="M279" t="inlineStr">
        <is>
          <t>MVS Sec.11 p.22</t>
        </is>
      </c>
    </row>
    <row r="280">
      <c r="B280" t="inlineStr">
        <is>
          <t>Hotels, Limited Service</t>
        </is>
      </c>
      <c r="C280" t="inlineStr">
        <is>
          <t>595</t>
        </is>
      </c>
      <c r="D280" t="inlineStr">
        <is>
          <t>11</t>
        </is>
      </c>
      <c r="E280" t="inlineStr">
        <is>
          <t>22</t>
        </is>
      </c>
      <c r="F280" t="inlineStr">
        <is>
          <t>B</t>
        </is>
      </c>
      <c r="G280" t="inlineStr">
        <is>
          <t>Average</t>
        </is>
      </c>
      <c r="H280" s="2390" t="n">
        <v>177</v>
      </c>
      <c r="I280">
        <f>B280&amp;"~"&amp;F280&amp;"~"&amp;G280</f>
        <v/>
      </c>
      <c r="J280" t="inlineStr">
        <is>
          <t>11</t>
        </is>
      </c>
      <c r="K280" t="inlineStr">
        <is>
          <t>11</t>
        </is>
      </c>
      <c r="L280" t="inlineStr">
        <is>
          <t>11</t>
        </is>
      </c>
      <c r="M280" t="inlineStr">
        <is>
          <t>MVS Sec.11 p.22</t>
        </is>
      </c>
    </row>
    <row r="281">
      <c r="B281" t="inlineStr">
        <is>
          <t>Hotels, Limited Service</t>
        </is>
      </c>
      <c r="C281" t="inlineStr">
        <is>
          <t>595</t>
        </is>
      </c>
      <c r="D281" t="inlineStr">
        <is>
          <t>11</t>
        </is>
      </c>
      <c r="E281" t="inlineStr">
        <is>
          <t>22</t>
        </is>
      </c>
      <c r="F281" t="inlineStr">
        <is>
          <t>B</t>
        </is>
      </c>
      <c r="G281" t="inlineStr">
        <is>
          <t>Low Cost</t>
        </is>
      </c>
      <c r="H281" s="2390" t="n">
        <v>147</v>
      </c>
      <c r="I281">
        <f>B281&amp;"~"&amp;F281&amp;"~"&amp;G281</f>
        <v/>
      </c>
      <c r="J281" t="inlineStr">
        <is>
          <t>11</t>
        </is>
      </c>
      <c r="K281" t="inlineStr">
        <is>
          <t>11</t>
        </is>
      </c>
      <c r="L281" t="inlineStr">
        <is>
          <t>11</t>
        </is>
      </c>
      <c r="M281" t="inlineStr">
        <is>
          <t>MVS Sec.11 p.22</t>
        </is>
      </c>
    </row>
    <row r="282">
      <c r="B282" t="inlineStr">
        <is>
          <t>Hotels, Limited Service</t>
        </is>
      </c>
      <c r="C282" t="inlineStr">
        <is>
          <t>595</t>
        </is>
      </c>
      <c r="D282" t="inlineStr">
        <is>
          <t>11</t>
        </is>
      </c>
      <c r="E282" t="inlineStr">
        <is>
          <t>22</t>
        </is>
      </c>
      <c r="F282" t="inlineStr">
        <is>
          <t>C</t>
        </is>
      </c>
      <c r="G282" t="inlineStr">
        <is>
          <t>Excellent</t>
        </is>
      </c>
      <c r="H282" s="2390" t="n">
        <v>222</v>
      </c>
      <c r="I282">
        <f>B282&amp;"~"&amp;F282&amp;"~"&amp;G282</f>
        <v/>
      </c>
      <c r="J282" t="inlineStr">
        <is>
          <t>11</t>
        </is>
      </c>
      <c r="K282" t="inlineStr">
        <is>
          <t>11</t>
        </is>
      </c>
      <c r="L282" t="inlineStr">
        <is>
          <t>11</t>
        </is>
      </c>
      <c r="M282" t="inlineStr">
        <is>
          <t>MVS Sec.11 p.22</t>
        </is>
      </c>
    </row>
    <row r="283">
      <c r="B283" t="inlineStr">
        <is>
          <t>Hotels, Limited Service</t>
        </is>
      </c>
      <c r="C283" t="inlineStr">
        <is>
          <t>595</t>
        </is>
      </c>
      <c r="D283" t="inlineStr">
        <is>
          <t>11</t>
        </is>
      </c>
      <c r="E283" t="inlineStr">
        <is>
          <t>22</t>
        </is>
      </c>
      <c r="F283" t="inlineStr">
        <is>
          <t>C</t>
        </is>
      </c>
      <c r="G283" t="inlineStr">
        <is>
          <t>Good</t>
        </is>
      </c>
      <c r="H283" s="2390" t="n">
        <v>183</v>
      </c>
      <c r="I283">
        <f>B283&amp;"~"&amp;F283&amp;"~"&amp;G283</f>
        <v/>
      </c>
      <c r="J283" t="inlineStr">
        <is>
          <t>11</t>
        </is>
      </c>
      <c r="K283" t="inlineStr">
        <is>
          <t>11</t>
        </is>
      </c>
      <c r="L283" t="inlineStr">
        <is>
          <t>11</t>
        </is>
      </c>
      <c r="M283" t="inlineStr">
        <is>
          <t>MVS Sec.11 p.22</t>
        </is>
      </c>
    </row>
    <row r="284">
      <c r="B284" t="inlineStr">
        <is>
          <t>Hotels, Limited Service</t>
        </is>
      </c>
      <c r="C284" t="inlineStr">
        <is>
          <t>595</t>
        </is>
      </c>
      <c r="D284" t="inlineStr">
        <is>
          <t>11</t>
        </is>
      </c>
      <c r="E284" t="inlineStr">
        <is>
          <t>22</t>
        </is>
      </c>
      <c r="F284" t="inlineStr">
        <is>
          <t>C</t>
        </is>
      </c>
      <c r="G284" t="inlineStr">
        <is>
          <t>Average</t>
        </is>
      </c>
      <c r="H284" s="2390" t="n">
        <v>145</v>
      </c>
      <c r="I284">
        <f>B284&amp;"~"&amp;F284&amp;"~"&amp;G284</f>
        <v/>
      </c>
      <c r="J284" t="inlineStr">
        <is>
          <t>11</t>
        </is>
      </c>
      <c r="K284" t="inlineStr">
        <is>
          <t>11</t>
        </is>
      </c>
      <c r="L284" t="inlineStr">
        <is>
          <t>11</t>
        </is>
      </c>
      <c r="M284" t="inlineStr">
        <is>
          <t>MVS Sec.11 p.22</t>
        </is>
      </c>
    </row>
    <row r="285">
      <c r="B285" t="inlineStr">
        <is>
          <t>Hotels, Limited Service</t>
        </is>
      </c>
      <c r="C285" t="inlineStr">
        <is>
          <t>595</t>
        </is>
      </c>
      <c r="D285" t="inlineStr">
        <is>
          <t>11</t>
        </is>
      </c>
      <c r="E285" t="inlineStr">
        <is>
          <t>22</t>
        </is>
      </c>
      <c r="F285" t="inlineStr">
        <is>
          <t>C</t>
        </is>
      </c>
      <c r="G285" t="inlineStr">
        <is>
          <t>Low Cost</t>
        </is>
      </c>
      <c r="H285" s="2390" t="n">
        <v>121</v>
      </c>
      <c r="I285">
        <f>B285&amp;"~"&amp;F285&amp;"~"&amp;G285</f>
        <v/>
      </c>
      <c r="J285" t="inlineStr">
        <is>
          <t>11</t>
        </is>
      </c>
      <c r="K285" t="inlineStr">
        <is>
          <t>11</t>
        </is>
      </c>
      <c r="L285" t="inlineStr">
        <is>
          <t>11</t>
        </is>
      </c>
      <c r="M285" t="inlineStr">
        <is>
          <t>MVS Sec.11 p.22</t>
        </is>
      </c>
    </row>
    <row r="286">
      <c r="B286" t="inlineStr">
        <is>
          <t>Hotels, Limited Service</t>
        </is>
      </c>
      <c r="C286" t="inlineStr">
        <is>
          <t>595</t>
        </is>
      </c>
      <c r="D286" t="inlineStr">
        <is>
          <t>11</t>
        </is>
      </c>
      <c r="E286" t="inlineStr">
        <is>
          <t>22</t>
        </is>
      </c>
      <c r="F286" t="inlineStr">
        <is>
          <t>D</t>
        </is>
      </c>
      <c r="G286" t="inlineStr">
        <is>
          <t>Good</t>
        </is>
      </c>
      <c r="H286" s="2390" t="n">
        <v>174</v>
      </c>
      <c r="I286">
        <f>B286&amp;"~"&amp;F286&amp;"~"&amp;G286</f>
        <v/>
      </c>
      <c r="J286" t="inlineStr">
        <is>
          <t>11</t>
        </is>
      </c>
      <c r="K286" t="inlineStr">
        <is>
          <t>11</t>
        </is>
      </c>
      <c r="L286" t="inlineStr">
        <is>
          <t>11</t>
        </is>
      </c>
      <c r="M286" t="inlineStr">
        <is>
          <t>MVS Sec.11 p.22</t>
        </is>
      </c>
    </row>
    <row r="287">
      <c r="B287" t="inlineStr">
        <is>
          <t>Hotels, Limited Service</t>
        </is>
      </c>
      <c r="C287" t="inlineStr">
        <is>
          <t>595</t>
        </is>
      </c>
      <c r="D287" t="inlineStr">
        <is>
          <t>11</t>
        </is>
      </c>
      <c r="E287" t="inlineStr">
        <is>
          <t>22</t>
        </is>
      </c>
      <c r="F287" t="inlineStr">
        <is>
          <t>D</t>
        </is>
      </c>
      <c r="G287" t="inlineStr">
        <is>
          <t>Average</t>
        </is>
      </c>
      <c r="H287" s="2390" t="n">
        <v>137</v>
      </c>
      <c r="I287">
        <f>B287&amp;"~"&amp;F287&amp;"~"&amp;G287</f>
        <v/>
      </c>
      <c r="J287" t="inlineStr">
        <is>
          <t>11</t>
        </is>
      </c>
      <c r="K287" t="inlineStr">
        <is>
          <t>11</t>
        </is>
      </c>
      <c r="L287" t="inlineStr">
        <is>
          <t>11</t>
        </is>
      </c>
      <c r="M287" t="inlineStr">
        <is>
          <t>MVS Sec.11 p.22</t>
        </is>
      </c>
    </row>
    <row r="288">
      <c r="B288" t="inlineStr">
        <is>
          <t>Hotels, Limited Service</t>
        </is>
      </c>
      <c r="C288" t="inlineStr">
        <is>
          <t>595</t>
        </is>
      </c>
      <c r="D288" t="inlineStr">
        <is>
          <t>11</t>
        </is>
      </c>
      <c r="E288" t="inlineStr">
        <is>
          <t>22</t>
        </is>
      </c>
      <c r="F288" t="inlineStr">
        <is>
          <t>D</t>
        </is>
      </c>
      <c r="G288" t="inlineStr">
        <is>
          <t>Low Cost</t>
        </is>
      </c>
      <c r="H288" s="2390" t="n">
        <v>114</v>
      </c>
      <c r="I288">
        <f>B288&amp;"~"&amp;F288&amp;"~"&amp;G288</f>
        <v/>
      </c>
      <c r="J288" t="inlineStr">
        <is>
          <t>11</t>
        </is>
      </c>
      <c r="K288" t="inlineStr">
        <is>
          <t>11</t>
        </is>
      </c>
      <c r="L288" t="inlineStr">
        <is>
          <t>11</t>
        </is>
      </c>
      <c r="M288" t="inlineStr">
        <is>
          <t>MVS Sec.11 p.22</t>
        </is>
      </c>
    </row>
    <row r="289">
      <c r="B289" t="inlineStr">
        <is>
          <t>Hotels, Limited Service</t>
        </is>
      </c>
      <c r="C289" t="inlineStr">
        <is>
          <t>595</t>
        </is>
      </c>
      <c r="D289" t="inlineStr">
        <is>
          <t>11</t>
        </is>
      </c>
      <c r="E289" t="inlineStr">
        <is>
          <t>22</t>
        </is>
      </c>
      <c r="F289" t="inlineStr">
        <is>
          <t>S</t>
        </is>
      </c>
      <c r="G289" t="inlineStr">
        <is>
          <t>Average</t>
        </is>
      </c>
      <c r="H289" s="2390" t="n">
        <v>135</v>
      </c>
      <c r="I289">
        <f>B289&amp;"~"&amp;F289&amp;"~"&amp;G289</f>
        <v/>
      </c>
      <c r="J289" t="inlineStr">
        <is>
          <t>11</t>
        </is>
      </c>
      <c r="K289" t="inlineStr">
        <is>
          <t>11</t>
        </is>
      </c>
      <c r="L289" t="inlineStr">
        <is>
          <t>11</t>
        </is>
      </c>
      <c r="M289" t="inlineStr">
        <is>
          <t>MVS Sec.11 p.22</t>
        </is>
      </c>
    </row>
    <row r="291">
      <c r="B291" s="2387" t="inlineStr">
        <is>
          <t>REFERENCE 4 -- Occupancy Master List (dropdown source)</t>
        </is>
      </c>
      <c r="C291" s="2387" t="n"/>
      <c r="D291" s="2387" t="n"/>
      <c r="E291" s="2387" t="n"/>
      <c r="F291" s="2387" t="n"/>
      <c r="G291" s="2387" t="n"/>
      <c r="H291" s="2387" t="n"/>
    </row>
    <row r="292">
      <c r="B292" s="2388" t="inlineStr">
        <is>
          <t>Occupancy Name</t>
        </is>
      </c>
      <c r="C292" s="2388" t="inlineStr">
        <is>
          <t>Occ. Code</t>
        </is>
      </c>
      <c r="D292" s="2388" t="inlineStr">
        <is>
          <t>Section</t>
        </is>
      </c>
      <c r="E292" s="2388" t="inlineStr">
        <is>
          <t>Page</t>
        </is>
      </c>
      <c r="F292" s="2388" t="inlineStr">
        <is>
          <t>Story Table Section</t>
        </is>
      </c>
    </row>
    <row r="293">
      <c r="B293" t="inlineStr">
        <is>
          <t>Storage Warehouses</t>
        </is>
      </c>
      <c r="C293" t="inlineStr">
        <is>
          <t>406</t>
        </is>
      </c>
      <c r="D293" t="inlineStr">
        <is>
          <t>14</t>
        </is>
      </c>
      <c r="E293" t="inlineStr">
        <is>
          <t>26</t>
        </is>
      </c>
      <c r="F293" t="inlineStr">
        <is>
          <t>14</t>
        </is>
      </c>
    </row>
    <row r="294">
      <c r="B294" t="inlineStr">
        <is>
          <t>Distribution Warehouses</t>
        </is>
      </c>
      <c r="C294" t="inlineStr">
        <is>
          <t>407</t>
        </is>
      </c>
      <c r="D294" t="inlineStr">
        <is>
          <t>14</t>
        </is>
      </c>
      <c r="E294" t="inlineStr">
        <is>
          <t>23</t>
        </is>
      </c>
      <c r="F294" t="inlineStr">
        <is>
          <t>14</t>
        </is>
      </c>
    </row>
    <row r="295">
      <c r="B295" t="inlineStr">
        <is>
          <t>Mini-Warehouses / Self-Storage</t>
        </is>
      </c>
      <c r="C295" t="inlineStr">
        <is>
          <t>386</t>
        </is>
      </c>
      <c r="D295" t="inlineStr">
        <is>
          <t>14</t>
        </is>
      </c>
      <c r="E295" t="inlineStr">
        <is>
          <t>28</t>
        </is>
      </c>
      <c r="F295" t="inlineStr">
        <is>
          <t>14</t>
        </is>
      </c>
    </row>
    <row r="296">
      <c r="B296" t="inlineStr">
        <is>
          <t>Mini-Warehouses, High-Rise</t>
        </is>
      </c>
      <c r="C296" t="inlineStr">
        <is>
          <t>525</t>
        </is>
      </c>
      <c r="D296" t="inlineStr">
        <is>
          <t>14</t>
        </is>
      </c>
      <c r="E296" t="inlineStr">
        <is>
          <t>28</t>
        </is>
      </c>
      <c r="F296" t="inlineStr">
        <is>
          <t>14</t>
        </is>
      </c>
    </row>
    <row r="297">
      <c r="B297" t="inlineStr">
        <is>
          <t>Industrials, Light Manufacturing</t>
        </is>
      </c>
      <c r="C297" t="inlineStr">
        <is>
          <t>494</t>
        </is>
      </c>
      <c r="D297" t="inlineStr">
        <is>
          <t>14</t>
        </is>
      </c>
      <c r="E297" t="inlineStr">
        <is>
          <t>14</t>
        </is>
      </c>
      <c r="F297" t="inlineStr">
        <is>
          <t>14</t>
        </is>
      </c>
    </row>
    <row r="298">
      <c r="B298" t="inlineStr">
        <is>
          <t>Industrials, Heavy (Process) Manufacturing</t>
        </is>
      </c>
      <c r="C298" t="inlineStr">
        <is>
          <t>495</t>
        </is>
      </c>
      <c r="D298" t="inlineStr">
        <is>
          <t>14</t>
        </is>
      </c>
      <c r="E298" t="inlineStr">
        <is>
          <t>15</t>
        </is>
      </c>
      <c r="F298" t="inlineStr">
        <is>
          <t>14</t>
        </is>
      </c>
    </row>
    <row r="299">
      <c r="B299" t="inlineStr">
        <is>
          <t>Service Garages (Commercial/Repair)</t>
        </is>
      </c>
      <c r="C299" t="inlineStr">
        <is>
          <t>528</t>
        </is>
      </c>
      <c r="D299" t="inlineStr">
        <is>
          <t>14</t>
        </is>
      </c>
      <c r="E299" t="inlineStr">
        <is>
          <t>32</t>
        </is>
      </c>
      <c r="F299" t="inlineStr">
        <is>
          <t>14</t>
        </is>
      </c>
    </row>
    <row r="300">
      <c r="B300" t="inlineStr">
        <is>
          <t>Retail Stores</t>
        </is>
      </c>
      <c r="C300" t="inlineStr">
        <is>
          <t>353</t>
        </is>
      </c>
      <c r="D300" t="inlineStr">
        <is>
          <t>13</t>
        </is>
      </c>
      <c r="E300" t="inlineStr">
        <is>
          <t>26</t>
        </is>
      </c>
      <c r="F300" t="inlineStr">
        <is>
          <t>13</t>
        </is>
      </c>
    </row>
    <row r="301">
      <c r="B301" t="inlineStr">
        <is>
          <t>Neighborhood Shopping Centers</t>
        </is>
      </c>
      <c r="C301" t="inlineStr">
        <is>
          <t>412</t>
        </is>
      </c>
      <c r="D301" t="inlineStr">
        <is>
          <t>13</t>
        </is>
      </c>
      <c r="E301" t="inlineStr">
        <is>
          <t>33</t>
        </is>
      </c>
      <c r="F301" t="inlineStr">
        <is>
          <t>13</t>
        </is>
      </c>
    </row>
    <row r="302">
      <c r="B302" t="inlineStr">
        <is>
          <t>Community Shopping Centers</t>
        </is>
      </c>
      <c r="C302" t="inlineStr">
        <is>
          <t>413</t>
        </is>
      </c>
      <c r="D302" t="inlineStr">
        <is>
          <t>13</t>
        </is>
      </c>
      <c r="E302" t="inlineStr">
        <is>
          <t>34</t>
        </is>
      </c>
      <c r="F302" t="inlineStr">
        <is>
          <t>13</t>
        </is>
      </c>
    </row>
    <row r="303">
      <c r="B303" t="inlineStr">
        <is>
          <t>Regional Shopping Centers</t>
        </is>
      </c>
      <c r="C303" t="inlineStr">
        <is>
          <t>414</t>
        </is>
      </c>
      <c r="D303" t="inlineStr">
        <is>
          <t>13</t>
        </is>
      </c>
      <c r="E303" t="inlineStr">
        <is>
          <t>35</t>
        </is>
      </c>
      <c r="F303" t="inlineStr">
        <is>
          <t>13</t>
        </is>
      </c>
    </row>
    <row r="304">
      <c r="B304" t="inlineStr">
        <is>
          <t>Department Stores</t>
        </is>
      </c>
      <c r="C304" t="inlineStr">
        <is>
          <t>318</t>
        </is>
      </c>
      <c r="D304" t="inlineStr">
        <is>
          <t>13</t>
        </is>
      </c>
      <c r="E304" t="inlineStr">
        <is>
          <t>27</t>
        </is>
      </c>
      <c r="F304" t="inlineStr">
        <is>
          <t>13</t>
        </is>
      </c>
    </row>
    <row r="305">
      <c r="B305" t="inlineStr">
        <is>
          <t>Discount Stores</t>
        </is>
      </c>
      <c r="C305" t="inlineStr">
        <is>
          <t>319</t>
        </is>
      </c>
      <c r="D305" t="inlineStr">
        <is>
          <t>13</t>
        </is>
      </c>
      <c r="E305" t="inlineStr">
        <is>
          <t>28</t>
        </is>
      </c>
      <c r="F305" t="inlineStr">
        <is>
          <t>13</t>
        </is>
      </c>
    </row>
    <row r="306">
      <c r="B306" t="inlineStr">
        <is>
          <t>Office Buildings</t>
        </is>
      </c>
      <c r="C306" t="inlineStr">
        <is>
          <t>344</t>
        </is>
      </c>
      <c r="D306" t="inlineStr">
        <is>
          <t>15</t>
        </is>
      </c>
      <c r="E306" t="inlineStr">
        <is>
          <t>17</t>
        </is>
      </c>
      <c r="F306" t="inlineStr">
        <is>
          <t>15</t>
        </is>
      </c>
    </row>
    <row r="307">
      <c r="B307" t="inlineStr">
        <is>
          <t>Medical Office Buildings</t>
        </is>
      </c>
      <c r="C307" t="inlineStr">
        <is>
          <t>341</t>
        </is>
      </c>
      <c r="D307" t="inlineStr">
        <is>
          <t>15</t>
        </is>
      </c>
      <c r="E307" t="inlineStr">
        <is>
          <t>22</t>
        </is>
      </c>
      <c r="F307" t="inlineStr">
        <is>
          <t>15</t>
        </is>
      </c>
    </row>
    <row r="308">
      <c r="B308" t="inlineStr">
        <is>
          <t>Banks, Branch</t>
        </is>
      </c>
      <c r="C308" t="inlineStr">
        <is>
          <t>304</t>
        </is>
      </c>
      <c r="D308" t="inlineStr">
        <is>
          <t>15</t>
        </is>
      </c>
      <c r="E308" t="inlineStr">
        <is>
          <t>21</t>
        </is>
      </c>
      <c r="F308" t="inlineStr">
        <is>
          <t>15</t>
        </is>
      </c>
    </row>
    <row r="309">
      <c r="B309" t="inlineStr">
        <is>
          <t>Hotels, Full Service</t>
        </is>
      </c>
      <c r="C309" t="inlineStr">
        <is>
          <t>594</t>
        </is>
      </c>
      <c r="D309" t="inlineStr">
        <is>
          <t>11</t>
        </is>
      </c>
      <c r="E309" t="inlineStr">
        <is>
          <t>25</t>
        </is>
      </c>
      <c r="F309" t="inlineStr">
        <is>
          <t>11</t>
        </is>
      </c>
    </row>
    <row r="310">
      <c r="B310" t="inlineStr">
        <is>
          <t>Hotels, Limited Service</t>
        </is>
      </c>
      <c r="C310" t="inlineStr">
        <is>
          <t>595</t>
        </is>
      </c>
      <c r="D310" t="inlineStr">
        <is>
          <t>11</t>
        </is>
      </c>
      <c r="E310" t="inlineStr">
        <is>
          <t>22</t>
        </is>
      </c>
      <c r="F310" t="inlineStr">
        <is>
          <t>11</t>
        </is>
      </c>
    </row>
    <row r="312">
      <c r="B312" s="2387" t="inlineStr">
        <is>
          <t>REFERENCE 5 -- Story Height Multiplier Tables (per MVS section, single-column for lookup)</t>
        </is>
      </c>
      <c r="C312" s="2387" t="n"/>
      <c r="D312" s="2387" t="n"/>
      <c r="E312" s="2387" t="n"/>
      <c r="F312" s="2387" t="n"/>
      <c r="G312" s="2387" t="n"/>
      <c r="H312" s="2387" t="n"/>
    </row>
    <row r="313">
      <c r="B313" s="2388" t="inlineStr">
        <is>
          <t>Section 14 (base = 14 ft)</t>
        </is>
      </c>
      <c r="C313" s="2388" t="inlineStr">
        <is>
          <t>Height (ft)</t>
        </is>
      </c>
      <c r="D313" s="2388" t="inlineStr">
        <is>
          <t>Multiplier</t>
        </is>
      </c>
    </row>
    <row r="314">
      <c r="C314" t="n">
        <v>8</v>
      </c>
      <c r="D314" s="1901" t="n">
        <v>0.885</v>
      </c>
    </row>
    <row r="315">
      <c r="C315" t="n">
        <v>10</v>
      </c>
      <c r="D315" s="1901" t="n">
        <v>0.921</v>
      </c>
    </row>
    <row r="316">
      <c r="C316" t="n">
        <v>12</v>
      </c>
      <c r="D316" s="1901" t="n">
        <v>0.96</v>
      </c>
    </row>
    <row r="317">
      <c r="C317" t="n">
        <v>14</v>
      </c>
      <c r="D317" s="1901" t="n">
        <v>1</v>
      </c>
    </row>
    <row r="318">
      <c r="C318" t="n">
        <v>16</v>
      </c>
      <c r="D318" s="1901" t="n">
        <v>1.041</v>
      </c>
    </row>
    <row r="319">
      <c r="C319" t="n">
        <v>18</v>
      </c>
      <c r="D319" s="1901" t="n">
        <v>1.086</v>
      </c>
    </row>
    <row r="320">
      <c r="C320" t="n">
        <v>20</v>
      </c>
      <c r="D320" s="1901" t="n">
        <v>1.133</v>
      </c>
    </row>
    <row r="321">
      <c r="C321" t="n">
        <v>22</v>
      </c>
      <c r="D321" s="1901" t="n">
        <v>1.181</v>
      </c>
    </row>
    <row r="322">
      <c r="C322" t="n">
        <v>24</v>
      </c>
      <c r="D322" s="1901" t="n">
        <v>1.231</v>
      </c>
    </row>
    <row r="323">
      <c r="C323" t="n">
        <v>26</v>
      </c>
      <c r="D323" s="1901" t="n">
        <v>1.281</v>
      </c>
    </row>
    <row r="324">
      <c r="C324" t="n">
        <v>28</v>
      </c>
      <c r="D324" s="1901" t="n">
        <v>1.331</v>
      </c>
    </row>
    <row r="325">
      <c r="C325" t="n">
        <v>30</v>
      </c>
      <c r="D325" s="1901" t="n">
        <v>1.382</v>
      </c>
    </row>
    <row r="326">
      <c r="C326" t="n">
        <v>35</v>
      </c>
      <c r="D326" s="1901" t="n">
        <v>1.515</v>
      </c>
    </row>
    <row r="327">
      <c r="C327" t="n">
        <v>40</v>
      </c>
      <c r="D327" s="1901" t="n">
        <v>1.65</v>
      </c>
    </row>
    <row r="328">
      <c r="C328" t="n">
        <v>45</v>
      </c>
      <c r="D328" s="1901" t="n">
        <v>1.788</v>
      </c>
    </row>
    <row r="329">
      <c r="C329" t="n">
        <v>50</v>
      </c>
      <c r="D329" s="1901" t="n">
        <v>1.93</v>
      </c>
    </row>
    <row r="330">
      <c r="C330" t="n">
        <v>55</v>
      </c>
      <c r="D330" s="1901" t="n">
        <v>2.075</v>
      </c>
    </row>
    <row r="331">
      <c r="C331" t="n">
        <v>60</v>
      </c>
      <c r="D331" s="1901" t="n">
        <v>2.225</v>
      </c>
    </row>
    <row r="332">
      <c r="C332" t="n">
        <v>70</v>
      </c>
      <c r="D332" s="1901" t="n">
        <v>2.53</v>
      </c>
    </row>
    <row r="333">
      <c r="C333" t="n">
        <v>80</v>
      </c>
      <c r="D333" s="1901" t="n">
        <v>2.845</v>
      </c>
    </row>
    <row r="334">
      <c r="C334" t="n">
        <v>90</v>
      </c>
      <c r="D334" s="1901" t="n">
        <v>3.161</v>
      </c>
    </row>
    <row r="335">
      <c r="C335" t="n">
        <v>100</v>
      </c>
      <c r="D335" s="1901" t="n">
        <v>3.461</v>
      </c>
    </row>
    <row r="336">
      <c r="C336" t="n">
        <v>110</v>
      </c>
      <c r="D336" s="1901" t="n">
        <v>3.738</v>
      </c>
    </row>
    <row r="337">
      <c r="C337" t="n">
        <v>120</v>
      </c>
      <c r="D337" s="1901" t="n">
        <v>3.977</v>
      </c>
    </row>
    <row r="339">
      <c r="B339" s="2388" t="inlineStr">
        <is>
          <t>Section 13 (base = 12 ft)</t>
        </is>
      </c>
      <c r="C339" s="2388" t="inlineStr">
        <is>
          <t>Height (ft)</t>
        </is>
      </c>
      <c r="D339" s="2388" t="inlineStr">
        <is>
          <t>Multiplier</t>
        </is>
      </c>
    </row>
    <row r="340">
      <c r="C340" t="n">
        <v>8</v>
      </c>
      <c r="D340" s="1901" t="n">
        <v>0.915</v>
      </c>
    </row>
    <row r="341">
      <c r="C341" t="n">
        <v>9</v>
      </c>
      <c r="D341" s="1901" t="n">
        <v>0.9360000000000001</v>
      </c>
    </row>
    <row r="342">
      <c r="C342" t="n">
        <v>10</v>
      </c>
      <c r="D342" s="1901" t="n">
        <v>0.957</v>
      </c>
    </row>
    <row r="343">
      <c r="C343" t="n">
        <v>11</v>
      </c>
      <c r="D343" s="1901" t="n">
        <v>0.979</v>
      </c>
    </row>
    <row r="344">
      <c r="C344" t="n">
        <v>12</v>
      </c>
      <c r="D344" s="1901" t="n">
        <v>1</v>
      </c>
    </row>
    <row r="345">
      <c r="C345" t="n">
        <v>13</v>
      </c>
      <c r="D345" s="1901" t="n">
        <v>1.021</v>
      </c>
    </row>
    <row r="346">
      <c r="C346" t="n">
        <v>14</v>
      </c>
      <c r="D346" s="1901" t="n">
        <v>1.042</v>
      </c>
    </row>
    <row r="347">
      <c r="C347" t="n">
        <v>15</v>
      </c>
      <c r="D347" s="1901" t="n">
        <v>1.064</v>
      </c>
    </row>
    <row r="348">
      <c r="C348" t="n">
        <v>16</v>
      </c>
      <c r="D348" s="1901" t="n">
        <v>1.085</v>
      </c>
    </row>
    <row r="349">
      <c r="C349" t="n">
        <v>18</v>
      </c>
      <c r="D349" s="1901" t="n">
        <v>1.127</v>
      </c>
    </row>
    <row r="350">
      <c r="C350" t="n">
        <v>20</v>
      </c>
      <c r="D350" s="1901" t="n">
        <v>1.17</v>
      </c>
    </row>
    <row r="351">
      <c r="C351" t="n">
        <v>22</v>
      </c>
      <c r="D351" s="1901" t="n">
        <v>1.213</v>
      </c>
    </row>
    <row r="352">
      <c r="C352" t="n">
        <v>24</v>
      </c>
      <c r="D352" s="1901" t="n">
        <v>1.255</v>
      </c>
    </row>
    <row r="353">
      <c r="C353" t="n">
        <v>26</v>
      </c>
      <c r="D353" s="1901" t="n">
        <v>1.298</v>
      </c>
    </row>
    <row r="354">
      <c r="C354" t="n">
        <v>28</v>
      </c>
      <c r="D354" s="1901" t="n">
        <v>1.34</v>
      </c>
    </row>
    <row r="355">
      <c r="C355" t="n">
        <v>30</v>
      </c>
      <c r="D355" s="1901" t="n">
        <v>1.383</v>
      </c>
    </row>
    <row r="356">
      <c r="C356" t="n">
        <v>32</v>
      </c>
      <c r="D356" s="1901" t="n">
        <v>1.425</v>
      </c>
    </row>
    <row r="357">
      <c r="C357" t="n">
        <v>34</v>
      </c>
      <c r="D357" s="1901" t="n">
        <v>1.468</v>
      </c>
    </row>
    <row r="359">
      <c r="B359" s="2388" t="inlineStr">
        <is>
          <t>Section 15 (base = 12 ft)</t>
        </is>
      </c>
      <c r="C359" s="2388" t="inlineStr">
        <is>
          <t>Height (ft)</t>
        </is>
      </c>
      <c r="D359" s="2388" t="inlineStr">
        <is>
          <t>Multiplier</t>
        </is>
      </c>
    </row>
    <row r="360">
      <c r="C360" t="n">
        <v>8</v>
      </c>
      <c r="D360" s="1901" t="n">
        <v>0.9</v>
      </c>
    </row>
    <row r="361">
      <c r="C361" t="n">
        <v>9</v>
      </c>
      <c r="D361" s="1901" t="n">
        <v>0.928</v>
      </c>
    </row>
    <row r="362">
      <c r="C362" t="n">
        <v>10</v>
      </c>
      <c r="D362" s="1901" t="n">
        <v>0.953</v>
      </c>
    </row>
    <row r="363">
      <c r="C363" t="n">
        <v>11</v>
      </c>
      <c r="D363" s="1901" t="n">
        <v>0.977</v>
      </c>
    </row>
    <row r="364">
      <c r="C364" t="n">
        <v>12</v>
      </c>
      <c r="D364" s="1901" t="n">
        <v>1</v>
      </c>
    </row>
    <row r="365">
      <c r="C365" t="n">
        <v>13</v>
      </c>
      <c r="D365" s="1901" t="n">
        <v>1.023</v>
      </c>
    </row>
    <row r="366">
      <c r="C366" t="n">
        <v>14</v>
      </c>
      <c r="D366" s="1901" t="n">
        <v>1.046</v>
      </c>
    </row>
    <row r="367">
      <c r="C367" t="n">
        <v>15</v>
      </c>
      <c r="D367" s="1901" t="n">
        <v>1.069</v>
      </c>
    </row>
    <row r="368">
      <c r="C368" t="n">
        <v>16</v>
      </c>
      <c r="D368" s="1901" t="n">
        <v>1.092</v>
      </c>
    </row>
    <row r="369">
      <c r="C369" t="n">
        <v>18</v>
      </c>
      <c r="D369" s="1901" t="n">
        <v>1.138</v>
      </c>
    </row>
    <row r="370">
      <c r="C370" t="n">
        <v>20</v>
      </c>
      <c r="D370" s="1901" t="n">
        <v>1.184</v>
      </c>
    </row>
    <row r="371">
      <c r="C371" t="n">
        <v>24</v>
      </c>
      <c r="D371" s="1901" t="n">
        <v>1.276</v>
      </c>
    </row>
    <row r="372">
      <c r="C372" t="n">
        <v>28</v>
      </c>
      <c r="D372" s="1901" t="n">
        <v>1.367</v>
      </c>
    </row>
    <row r="373">
      <c r="C373" t="n">
        <v>32</v>
      </c>
      <c r="D373" s="1901" t="n">
        <v>1.459</v>
      </c>
    </row>
    <row r="374">
      <c r="C374" t="n">
        <v>36</v>
      </c>
      <c r="D374" s="1901" t="n">
        <v>1.552</v>
      </c>
    </row>
    <row r="376">
      <c r="B376" s="2388" t="inlineStr">
        <is>
          <t>Section 11 (base = 10 ft)</t>
        </is>
      </c>
      <c r="C376" s="2388" t="inlineStr">
        <is>
          <t>Height (ft)</t>
        </is>
      </c>
      <c r="D376" s="2388" t="inlineStr">
        <is>
          <t>Multiplier</t>
        </is>
      </c>
    </row>
    <row r="377">
      <c r="C377" t="n">
        <v>7</v>
      </c>
      <c r="D377" s="1901" t="n">
        <v>0.922</v>
      </c>
    </row>
    <row r="378">
      <c r="C378" t="n">
        <v>8</v>
      </c>
      <c r="D378" s="1901" t="n">
        <v>0.947</v>
      </c>
    </row>
    <row r="379">
      <c r="C379" t="n">
        <v>9</v>
      </c>
      <c r="D379" s="1901" t="n">
        <v>0.973</v>
      </c>
    </row>
    <row r="380">
      <c r="C380" t="n">
        <v>10</v>
      </c>
      <c r="D380" s="1901" t="n">
        <v>1</v>
      </c>
    </row>
    <row r="381">
      <c r="C381" t="n">
        <v>11</v>
      </c>
      <c r="D381" s="1901" t="n">
        <v>1.027</v>
      </c>
    </row>
    <row r="382">
      <c r="C382" t="n">
        <v>12</v>
      </c>
      <c r="D382" s="1901" t="n">
        <v>1.055</v>
      </c>
    </row>
    <row r="383">
      <c r="C383" t="n">
        <v>13</v>
      </c>
      <c r="D383" s="1901" t="n">
        <v>1.084</v>
      </c>
    </row>
    <row r="384">
      <c r="C384" t="n">
        <v>14</v>
      </c>
      <c r="D384" s="1901" t="n">
        <v>1.114</v>
      </c>
    </row>
    <row r="385">
      <c r="C385" t="n">
        <v>15</v>
      </c>
      <c r="D385" s="1901" t="n">
        <v>1.144</v>
      </c>
    </row>
    <row r="386">
      <c r="C386" t="n">
        <v>16</v>
      </c>
      <c r="D386" s="1901" t="n">
        <v>1.175</v>
      </c>
    </row>
    <row r="387">
      <c r="C387" t="n">
        <v>17</v>
      </c>
      <c r="D387" s="1901" t="n">
        <v>1.207</v>
      </c>
    </row>
    <row r="388">
      <c r="C388" t="n">
        <v>18</v>
      </c>
      <c r="D388" s="1901" t="n">
        <v>1.24</v>
      </c>
    </row>
    <row r="389">
      <c r="C389" t="n">
        <v>19</v>
      </c>
      <c r="D389" s="1901" t="n">
        <v>1.274</v>
      </c>
    </row>
    <row r="390">
      <c r="C390" t="n">
        <v>20</v>
      </c>
      <c r="D390" s="1901" t="n">
        <v>1.309</v>
      </c>
    </row>
    <row r="391">
      <c r="C391" t="n">
        <v>22</v>
      </c>
      <c r="D391" s="1901" t="n">
        <v>1.381</v>
      </c>
    </row>
    <row r="392">
      <c r="C392" t="n">
        <v>24</v>
      </c>
      <c r="D392" s="1901" t="n">
        <v>1.458</v>
      </c>
    </row>
    <row r="395">
      <c r="B395" s="2387" t="inlineStr">
        <is>
          <t>REFERENCE 6 -- Sprinkler Add-On Cost Tables ($/SF, per MVS section)</t>
        </is>
      </c>
      <c r="C395" s="2387" t="n"/>
      <c r="D395" s="2387" t="n"/>
      <c r="E395" s="2387" t="n"/>
      <c r="F395" s="2387" t="n"/>
      <c r="G395" s="2387" t="n"/>
      <c r="H395" s="2387" t="n"/>
    </row>
    <row r="396">
      <c r="B396" t="inlineStr">
        <is>
          <t>(quality header row, used by lookup formulas)</t>
        </is>
      </c>
      <c r="C396" t="inlineStr">
        <is>
          <t>Low Cost</t>
        </is>
      </c>
      <c r="D396" t="inlineStr">
        <is>
          <t>Average</t>
        </is>
      </c>
      <c r="E396" t="inlineStr">
        <is>
          <t>Good</t>
        </is>
      </c>
      <c r="F396" t="inlineStr">
        <is>
          <t>Excellent</t>
        </is>
      </c>
    </row>
    <row r="397">
      <c r="B397" s="2388" t="inlineStr">
        <is>
          <t>Section 14</t>
        </is>
      </c>
      <c r="C397" s="2388" t="inlineStr">
        <is>
          <t>Coverage (SF)</t>
        </is>
      </c>
      <c r="D397" s="2388" t="inlineStr">
        <is>
          <t>Wet-Low</t>
        </is>
      </c>
      <c r="E397" s="2388" t="inlineStr">
        <is>
          <t>Wet-Avg</t>
        </is>
      </c>
      <c r="F397" s="2388" t="inlineStr">
        <is>
          <t>Wet-Good</t>
        </is>
      </c>
      <c r="G397" s="2388" t="inlineStr">
        <is>
          <t>Wet-Excl</t>
        </is>
      </c>
      <c r="H397" s="2388" t="inlineStr">
        <is>
          <t>Dry-Low</t>
        </is>
      </c>
      <c r="I397" s="2388" t="inlineStr">
        <is>
          <t>Dry-Avg</t>
        </is>
      </c>
      <c r="J397" s="2388" t="inlineStr">
        <is>
          <t>Dry-Good</t>
        </is>
      </c>
      <c r="K397" s="2388" t="inlineStr">
        <is>
          <t>Dry-Excl</t>
        </is>
      </c>
    </row>
    <row r="398">
      <c r="C398" t="n">
        <v>2500</v>
      </c>
      <c r="D398" s="2390" t="n">
        <v>4.64</v>
      </c>
      <c r="E398" s="2390" t="n">
        <v>5.62</v>
      </c>
      <c r="F398" s="2390" t="n">
        <v>6.8</v>
      </c>
      <c r="G398" s="2390" t="n">
        <v>8.24</v>
      </c>
      <c r="H398" s="2390" t="n">
        <v>6.17</v>
      </c>
      <c r="I398" s="2390" t="n">
        <v>7.47</v>
      </c>
      <c r="J398" s="2390" t="n">
        <v>9.039999999999999</v>
      </c>
      <c r="K398" s="2390" t="n">
        <v>10.95</v>
      </c>
    </row>
    <row r="399">
      <c r="C399" t="n">
        <v>5000</v>
      </c>
      <c r="D399" s="2390" t="n">
        <v>4.17</v>
      </c>
      <c r="E399" s="2390" t="n">
        <v>5.02</v>
      </c>
      <c r="F399" s="2390" t="n">
        <v>6.05</v>
      </c>
      <c r="G399" s="2390" t="n">
        <v>7.28</v>
      </c>
      <c r="H399" s="2390" t="n">
        <v>5.51</v>
      </c>
      <c r="I399" s="2390" t="n">
        <v>6.64</v>
      </c>
      <c r="J399" s="2390" t="n">
        <v>7.99</v>
      </c>
      <c r="K399" s="2390" t="n">
        <v>9.630000000000001</v>
      </c>
    </row>
    <row r="400">
      <c r="C400" t="n">
        <v>10000</v>
      </c>
      <c r="D400" s="2390" t="n">
        <v>3.77</v>
      </c>
      <c r="E400" s="2390" t="n">
        <v>4.52</v>
      </c>
      <c r="F400" s="2390" t="n">
        <v>5.41</v>
      </c>
      <c r="G400" s="2390" t="n">
        <v>6.48</v>
      </c>
      <c r="H400" s="2390" t="n">
        <v>4.95</v>
      </c>
      <c r="I400" s="2390" t="n">
        <v>5.93</v>
      </c>
      <c r="J400" s="2390" t="n">
        <v>7.09</v>
      </c>
      <c r="K400" s="2390" t="n">
        <v>8.49</v>
      </c>
    </row>
    <row r="401">
      <c r="C401" t="n">
        <v>15000</v>
      </c>
      <c r="D401" s="2390" t="n">
        <v>3.54</v>
      </c>
      <c r="E401" s="2390" t="n">
        <v>4.23</v>
      </c>
      <c r="F401" s="2390" t="n">
        <v>5.05</v>
      </c>
      <c r="G401" s="2390" t="n">
        <v>6.03</v>
      </c>
      <c r="H401" s="2390" t="n">
        <v>4.62</v>
      </c>
      <c r="I401" s="2390" t="n">
        <v>5.52</v>
      </c>
      <c r="J401" s="2390" t="n">
        <v>6.6</v>
      </c>
      <c r="K401" s="2390" t="n">
        <v>7.88</v>
      </c>
    </row>
    <row r="402">
      <c r="C402" t="n">
        <v>20000</v>
      </c>
      <c r="D402" s="2390" t="n">
        <v>3.37</v>
      </c>
      <c r="E402" s="2390" t="n">
        <v>4.02</v>
      </c>
      <c r="F402" s="2390" t="n">
        <v>4.78</v>
      </c>
      <c r="G402" s="2390" t="n">
        <v>5.7</v>
      </c>
      <c r="H402" s="2390" t="n">
        <v>4.37</v>
      </c>
      <c r="I402" s="2390" t="n">
        <v>5.21</v>
      </c>
      <c r="J402" s="2390" t="n">
        <v>6.22</v>
      </c>
      <c r="K402" s="2390" t="n">
        <v>7.42</v>
      </c>
    </row>
    <row r="403">
      <c r="C403" t="n">
        <v>30000</v>
      </c>
      <c r="D403" s="2390" t="n">
        <v>3.18</v>
      </c>
      <c r="E403" s="2390" t="n">
        <v>3.78</v>
      </c>
      <c r="F403" s="2390" t="n">
        <v>4.49</v>
      </c>
      <c r="G403" s="2390" t="n">
        <v>5.34</v>
      </c>
      <c r="H403" s="2390" t="n">
        <v>4.12</v>
      </c>
      <c r="I403" s="2390" t="n">
        <v>4.89</v>
      </c>
      <c r="J403" s="2390" t="n">
        <v>5.8</v>
      </c>
      <c r="K403" s="2390" t="n">
        <v>6.89</v>
      </c>
    </row>
    <row r="404">
      <c r="C404" t="n">
        <v>40000</v>
      </c>
      <c r="D404" s="2390" t="n">
        <v>3.04</v>
      </c>
      <c r="E404" s="2390" t="n">
        <v>3.6</v>
      </c>
      <c r="F404" s="2390" t="n">
        <v>4.27</v>
      </c>
      <c r="G404" s="2390" t="n">
        <v>5.06</v>
      </c>
      <c r="H404" s="2390" t="n">
        <v>3.93</v>
      </c>
      <c r="I404" s="2390" t="n">
        <v>4.65</v>
      </c>
      <c r="J404" s="2390" t="n">
        <v>5.51</v>
      </c>
      <c r="K404" s="2390" t="n">
        <v>6.53</v>
      </c>
    </row>
    <row r="405">
      <c r="C405" t="n">
        <v>50000</v>
      </c>
      <c r="D405" s="2390" t="n">
        <v>2.96</v>
      </c>
      <c r="E405" s="2390" t="n">
        <v>3.5</v>
      </c>
      <c r="F405" s="2390" t="n">
        <v>4.14</v>
      </c>
      <c r="G405" s="2390" t="n">
        <v>4.89</v>
      </c>
      <c r="H405" s="2390" t="n">
        <v>3.79</v>
      </c>
      <c r="I405" s="2390" t="n">
        <v>4.48</v>
      </c>
      <c r="J405" s="2390" t="n">
        <v>5.3</v>
      </c>
      <c r="K405" s="2390" t="n">
        <v>6.27</v>
      </c>
    </row>
    <row r="406">
      <c r="C406" t="n">
        <v>60000</v>
      </c>
      <c r="D406" s="2390" t="n">
        <v>2.87</v>
      </c>
      <c r="E406" s="2390" t="n">
        <v>3.39</v>
      </c>
      <c r="F406" s="2390" t="n">
        <v>3.99</v>
      </c>
      <c r="G406" s="2390" t="n">
        <v>4.71</v>
      </c>
      <c r="H406" s="2390" t="n">
        <v>3.67</v>
      </c>
      <c r="I406" s="2390" t="n">
        <v>4.33</v>
      </c>
      <c r="J406" s="2390" t="n">
        <v>5.11</v>
      </c>
      <c r="K406" s="2390" t="n">
        <v>6.03</v>
      </c>
    </row>
    <row r="407">
      <c r="C407" t="n">
        <v>80000</v>
      </c>
      <c r="D407" s="2390" t="n">
        <v>2.74</v>
      </c>
      <c r="E407" s="2390" t="n">
        <v>3.22</v>
      </c>
      <c r="F407" s="2390" t="n">
        <v>3.79</v>
      </c>
      <c r="G407" s="2390" t="n">
        <v>4.46</v>
      </c>
      <c r="H407" s="2390" t="n">
        <v>3.49</v>
      </c>
      <c r="I407" s="2390" t="n">
        <v>4.11</v>
      </c>
      <c r="J407" s="2390" t="n">
        <v>4.85</v>
      </c>
      <c r="K407" s="2390" t="n">
        <v>5.72</v>
      </c>
    </row>
    <row r="408">
      <c r="C408" t="n">
        <v>100000</v>
      </c>
      <c r="D408" s="2390" t="n">
        <v>2.66</v>
      </c>
      <c r="E408" s="2390" t="n">
        <v>3.13</v>
      </c>
      <c r="F408" s="2390" t="n">
        <v>3.68</v>
      </c>
      <c r="G408" s="2390" t="n">
        <v>4.32</v>
      </c>
      <c r="H408" s="2390" t="n">
        <v>3.4</v>
      </c>
      <c r="I408" s="2390" t="n">
        <v>3.99</v>
      </c>
      <c r="J408" s="2390" t="n">
        <v>4.69</v>
      </c>
      <c r="K408" s="2390" t="n">
        <v>5.51</v>
      </c>
    </row>
    <row r="409">
      <c r="C409" t="n">
        <v>125000</v>
      </c>
      <c r="D409" s="2390" t="n">
        <v>2.57</v>
      </c>
      <c r="E409" s="2390" t="n">
        <v>3.02</v>
      </c>
      <c r="F409" s="2390" t="n">
        <v>3.54</v>
      </c>
      <c r="G409" s="2390" t="n">
        <v>4.15</v>
      </c>
      <c r="H409" s="2390" t="n">
        <v>3.26</v>
      </c>
      <c r="I409" s="2390" t="n">
        <v>3.83</v>
      </c>
      <c r="J409" s="2390" t="n">
        <v>4.5</v>
      </c>
      <c r="K409" s="2390" t="n">
        <v>5.28</v>
      </c>
    </row>
    <row r="410">
      <c r="C410" t="n">
        <v>150000</v>
      </c>
      <c r="D410" s="2390" t="n">
        <v>2.49</v>
      </c>
      <c r="E410" s="2390" t="n">
        <v>2.92</v>
      </c>
      <c r="F410" s="2390" t="n">
        <v>3.43</v>
      </c>
      <c r="G410" s="2390" t="n">
        <v>4.03</v>
      </c>
      <c r="H410" s="2390" t="n">
        <v>3.16</v>
      </c>
      <c r="I410" s="2390" t="n">
        <v>3.71</v>
      </c>
      <c r="J410" s="2390" t="n">
        <v>4.35</v>
      </c>
      <c r="K410" s="2390" t="n">
        <v>5.11</v>
      </c>
    </row>
    <row r="411">
      <c r="C411" t="n">
        <v>200000</v>
      </c>
      <c r="D411" s="2390" t="n">
        <v>2.4</v>
      </c>
      <c r="E411" s="2390" t="n">
        <v>2.81</v>
      </c>
      <c r="F411" s="2390" t="n">
        <v>3.28</v>
      </c>
      <c r="G411" s="2390" t="n">
        <v>3.84</v>
      </c>
      <c r="H411" s="2390" t="n">
        <v>3.04</v>
      </c>
      <c r="I411" s="2390" t="n">
        <v>3.55</v>
      </c>
      <c r="J411" s="2390" t="n">
        <v>4.16</v>
      </c>
      <c r="K411" s="2390" t="n">
        <v>4.86</v>
      </c>
    </row>
    <row r="412">
      <c r="C412" t="n">
        <v>250000</v>
      </c>
      <c r="D412" s="2390" t="n">
        <v>2.32</v>
      </c>
      <c r="E412" s="2390" t="n">
        <v>2.71</v>
      </c>
      <c r="F412" s="2390" t="n">
        <v>3.16</v>
      </c>
      <c r="G412" s="2390" t="n">
        <v>3.68</v>
      </c>
      <c r="H412" s="2390" t="n">
        <v>2.91</v>
      </c>
      <c r="I412" s="2390" t="n">
        <v>3.4</v>
      </c>
      <c r="J412" s="2390" t="n">
        <v>3.97</v>
      </c>
      <c r="K412" s="2390" t="n">
        <v>4.64</v>
      </c>
    </row>
    <row r="413">
      <c r="C413" t="n">
        <v>300000</v>
      </c>
      <c r="D413" s="2390" t="n">
        <v>2.26</v>
      </c>
      <c r="E413" s="2390" t="n">
        <v>2.63</v>
      </c>
      <c r="F413" s="2390" t="n">
        <v>3.06</v>
      </c>
      <c r="G413" s="2390" t="n">
        <v>3.56</v>
      </c>
      <c r="H413" s="2390" t="n">
        <v>2.83</v>
      </c>
      <c r="I413" s="2390" t="n">
        <v>3.29</v>
      </c>
      <c r="J413" s="2390" t="n">
        <v>3.83</v>
      </c>
      <c r="K413" s="2390" t="n">
        <v>4.45</v>
      </c>
    </row>
    <row r="414">
      <c r="C414" t="n">
        <v>400000</v>
      </c>
      <c r="D414" s="2390" t="n">
        <v>2.18</v>
      </c>
      <c r="E414" s="2390" t="n">
        <v>2.53</v>
      </c>
      <c r="F414" s="2390" t="n">
        <v>2.93</v>
      </c>
      <c r="G414" s="2390" t="n">
        <v>3.4</v>
      </c>
      <c r="H414" s="2390" t="n">
        <v>2.73</v>
      </c>
      <c r="I414" s="2390" t="n">
        <v>3.16</v>
      </c>
      <c r="J414" s="2390" t="n">
        <v>3.66</v>
      </c>
      <c r="K414" s="2390" t="n">
        <v>4.23</v>
      </c>
    </row>
    <row r="415">
      <c r="C415" t="n">
        <v>600000</v>
      </c>
      <c r="D415" s="2390" t="n">
        <v>2.02</v>
      </c>
      <c r="E415" s="2390" t="n">
        <v>2.34</v>
      </c>
      <c r="F415" s="2390" t="n">
        <v>2.72</v>
      </c>
      <c r="G415" s="2390" t="n">
        <v>3.15</v>
      </c>
      <c r="H415" s="2390" t="n">
        <v>2.52</v>
      </c>
      <c r="I415" s="2390" t="n">
        <v>2.93</v>
      </c>
      <c r="J415" s="2390" t="n">
        <v>3.4</v>
      </c>
      <c r="K415" s="2390" t="n">
        <v>3.95</v>
      </c>
    </row>
    <row r="416">
      <c r="C416" t="n">
        <v>800000</v>
      </c>
      <c r="D416" s="2390" t="n">
        <v>1.94</v>
      </c>
      <c r="E416" s="2390" t="n">
        <v>2.25</v>
      </c>
      <c r="F416" s="2390" t="n">
        <v>2.61</v>
      </c>
      <c r="G416" s="2390" t="n">
        <v>3.02</v>
      </c>
      <c r="H416" s="2390" t="n">
        <v>2.43</v>
      </c>
      <c r="I416" s="2390" t="n">
        <v>2.81</v>
      </c>
      <c r="J416" s="2390" t="n">
        <v>3.25</v>
      </c>
      <c r="K416" s="2390" t="n">
        <v>3.76</v>
      </c>
    </row>
    <row r="417">
      <c r="C417" t="n">
        <v>1000000</v>
      </c>
      <c r="D417" s="2390" t="n">
        <v>1.86</v>
      </c>
      <c r="E417" s="2390" t="n">
        <v>2.15</v>
      </c>
      <c r="F417" s="2390" t="n">
        <v>2.49</v>
      </c>
      <c r="G417" s="2390" t="n">
        <v>2.88</v>
      </c>
      <c r="H417" s="2390" t="n">
        <v>2.32</v>
      </c>
      <c r="I417" s="2390" t="n">
        <v>2.68</v>
      </c>
      <c r="J417" s="2390" t="n">
        <v>3.1</v>
      </c>
      <c r="K417" s="2390" t="n">
        <v>3.59</v>
      </c>
    </row>
    <row r="419">
      <c r="B419" s="2388" t="inlineStr">
        <is>
          <t>Section 13</t>
        </is>
      </c>
      <c r="C419" s="2388" t="inlineStr">
        <is>
          <t>Coverage (SF)</t>
        </is>
      </c>
      <c r="D419" s="2388" t="inlineStr">
        <is>
          <t>Wet-Low</t>
        </is>
      </c>
      <c r="E419" s="2388" t="inlineStr">
        <is>
          <t>Wet-Avg</t>
        </is>
      </c>
      <c r="F419" s="2388" t="inlineStr">
        <is>
          <t>Wet-Good</t>
        </is>
      </c>
      <c r="G419" s="2388" t="inlineStr">
        <is>
          <t>Wet-Excl</t>
        </is>
      </c>
      <c r="H419" s="2388" t="inlineStr">
        <is>
          <t>Dry-Low</t>
        </is>
      </c>
      <c r="I419" s="2388" t="inlineStr">
        <is>
          <t>Dry-Avg</t>
        </is>
      </c>
      <c r="J419" s="2388" t="inlineStr">
        <is>
          <t>Dry-Good</t>
        </is>
      </c>
      <c r="K419" s="2388" t="inlineStr">
        <is>
          <t>Dry-Excl</t>
        </is>
      </c>
    </row>
    <row r="420">
      <c r="C420" t="n">
        <v>1000</v>
      </c>
      <c r="D420" s="2390" t="n">
        <v>6.05</v>
      </c>
      <c r="E420" s="2390" t="n">
        <v>7.18</v>
      </c>
      <c r="F420" s="2390" t="n">
        <v>8.51</v>
      </c>
      <c r="G420" s="2390" t="n">
        <v>10.1</v>
      </c>
      <c r="H420" s="2390" t="n">
        <v>7.83</v>
      </c>
      <c r="I420" s="2390" t="n">
        <v>9.300000000000001</v>
      </c>
      <c r="J420" s="2390" t="n">
        <v>11.05</v>
      </c>
      <c r="K420" s="2390" t="n">
        <v>13.1</v>
      </c>
    </row>
    <row r="421">
      <c r="C421" t="n">
        <v>2000</v>
      </c>
      <c r="D421" s="2390" t="n">
        <v>5.46</v>
      </c>
      <c r="E421" s="2390" t="n">
        <v>6.43</v>
      </c>
      <c r="F421" s="2390" t="n">
        <v>7.57</v>
      </c>
      <c r="G421" s="2390" t="n">
        <v>8.92</v>
      </c>
      <c r="H421" s="2390" t="n">
        <v>6.99</v>
      </c>
      <c r="I421" s="2390" t="n">
        <v>8.24</v>
      </c>
      <c r="J421" s="2390" t="n">
        <v>9.710000000000001</v>
      </c>
      <c r="K421" s="2390" t="n">
        <v>11.45</v>
      </c>
    </row>
    <row r="422">
      <c r="C422" t="n">
        <v>3000</v>
      </c>
      <c r="D422" s="2390" t="n">
        <v>5.13</v>
      </c>
      <c r="E422" s="2390" t="n">
        <v>6.03</v>
      </c>
      <c r="F422" s="2390" t="n">
        <v>7.08</v>
      </c>
      <c r="G422" s="2390" t="n">
        <v>8.32</v>
      </c>
      <c r="H422" s="2390" t="n">
        <v>6.53</v>
      </c>
      <c r="I422" s="2390" t="n">
        <v>7.67</v>
      </c>
      <c r="J422" s="2390" t="n">
        <v>9.02</v>
      </c>
      <c r="K422" s="2390" t="n">
        <v>10.6</v>
      </c>
    </row>
    <row r="423">
      <c r="C423" t="n">
        <v>5000</v>
      </c>
      <c r="D423" s="2390" t="n">
        <v>4.73</v>
      </c>
      <c r="E423" s="2390" t="n">
        <v>5.54</v>
      </c>
      <c r="F423" s="2390" t="n">
        <v>6.5</v>
      </c>
      <c r="G423" s="2390" t="n">
        <v>7.62</v>
      </c>
      <c r="H423" s="2390" t="n">
        <v>6.02</v>
      </c>
      <c r="I423" s="2390" t="n">
        <v>7.05</v>
      </c>
      <c r="J423" s="2390" t="n">
        <v>8.26</v>
      </c>
      <c r="K423" s="2390" t="n">
        <v>9.67</v>
      </c>
    </row>
    <row r="424">
      <c r="C424" t="n">
        <v>10000</v>
      </c>
      <c r="D424" s="2390" t="n">
        <v>4.26</v>
      </c>
      <c r="E424" s="2390" t="n">
        <v>4.96</v>
      </c>
      <c r="F424" s="2390" t="n">
        <v>5.77</v>
      </c>
      <c r="G424" s="2390" t="n">
        <v>6.72</v>
      </c>
      <c r="H424" s="2390" t="n">
        <v>5.35</v>
      </c>
      <c r="I424" s="2390" t="n">
        <v>6.23</v>
      </c>
      <c r="J424" s="2390" t="n">
        <v>7.26</v>
      </c>
      <c r="K424" s="2390" t="n">
        <v>8.449999999999999</v>
      </c>
    </row>
    <row r="425">
      <c r="C425" t="n">
        <v>15000</v>
      </c>
      <c r="D425" s="2390" t="n">
        <v>3.99</v>
      </c>
      <c r="E425" s="2390" t="n">
        <v>4.64</v>
      </c>
      <c r="F425" s="2390" t="n">
        <v>5.39</v>
      </c>
      <c r="G425" s="2390" t="n">
        <v>6.26</v>
      </c>
      <c r="H425" s="2390" t="n">
        <v>5</v>
      </c>
      <c r="I425" s="2390" t="n">
        <v>5.81</v>
      </c>
      <c r="J425" s="2390" t="n">
        <v>6.74</v>
      </c>
      <c r="K425" s="2390" t="n">
        <v>7.83</v>
      </c>
    </row>
    <row r="426">
      <c r="C426" t="n">
        <v>20000</v>
      </c>
      <c r="D426" s="2390" t="n">
        <v>3.83</v>
      </c>
      <c r="E426" s="2390" t="n">
        <v>4.44</v>
      </c>
      <c r="F426" s="2390" t="n">
        <v>5.15</v>
      </c>
      <c r="G426" s="2390" t="n">
        <v>5.97</v>
      </c>
      <c r="H426" s="2390" t="n">
        <v>4.78</v>
      </c>
      <c r="I426" s="2390" t="n">
        <v>5.54</v>
      </c>
      <c r="J426" s="2390" t="n">
        <v>6.41</v>
      </c>
      <c r="K426" s="2390" t="n">
        <v>7.43</v>
      </c>
    </row>
    <row r="427">
      <c r="C427" t="n">
        <v>30000</v>
      </c>
      <c r="D427" s="2390" t="n">
        <v>3.6</v>
      </c>
      <c r="E427" s="2390" t="n">
        <v>4.16</v>
      </c>
      <c r="F427" s="2390" t="n">
        <v>4.8</v>
      </c>
      <c r="G427" s="2390" t="n">
        <v>5.54</v>
      </c>
      <c r="H427" s="2390" t="n">
        <v>4.48</v>
      </c>
      <c r="I427" s="2390" t="n">
        <v>5.17</v>
      </c>
      <c r="J427" s="2390" t="n">
        <v>5.97</v>
      </c>
      <c r="K427" s="2390" t="n">
        <v>6.89</v>
      </c>
    </row>
    <row r="428">
      <c r="C428" t="n">
        <v>50000</v>
      </c>
      <c r="D428" s="2390" t="n">
        <v>3.35</v>
      </c>
      <c r="E428" s="2390" t="n">
        <v>3.85</v>
      </c>
      <c r="F428" s="2390" t="n">
        <v>4.42</v>
      </c>
      <c r="G428" s="2390" t="n">
        <v>5.07</v>
      </c>
      <c r="H428" s="2390" t="n">
        <v>4.13</v>
      </c>
      <c r="I428" s="2390" t="n">
        <v>4.73</v>
      </c>
      <c r="J428" s="2390" t="n">
        <v>5.43</v>
      </c>
      <c r="K428" s="2390" t="n">
        <v>6.22</v>
      </c>
    </row>
    <row r="429">
      <c r="C429" t="n">
        <v>75000</v>
      </c>
      <c r="D429" s="2390" t="n">
        <v>3.11</v>
      </c>
      <c r="E429" s="2390" t="n">
        <v>3.57</v>
      </c>
      <c r="F429" s="2390" t="n">
        <v>4.1</v>
      </c>
      <c r="G429" s="2390" t="n">
        <v>4.7</v>
      </c>
      <c r="H429" s="2390" t="n">
        <v>3.83</v>
      </c>
      <c r="I429" s="2390" t="n">
        <v>4.39</v>
      </c>
      <c r="J429" s="2390" t="n">
        <v>5.03</v>
      </c>
      <c r="K429" s="2390" t="n">
        <v>5.76</v>
      </c>
    </row>
    <row r="430">
      <c r="C430" t="n">
        <v>100000</v>
      </c>
      <c r="D430" s="2390" t="n">
        <v>2.97</v>
      </c>
      <c r="E430" s="2390" t="n">
        <v>3.41</v>
      </c>
      <c r="F430" s="2390" t="n">
        <v>3.91</v>
      </c>
      <c r="G430" s="2390" t="n">
        <v>4.48</v>
      </c>
      <c r="H430" s="2390" t="n">
        <v>3.65</v>
      </c>
      <c r="I430" s="2390" t="n">
        <v>4.18</v>
      </c>
      <c r="J430" s="2390" t="n">
        <v>4.79</v>
      </c>
      <c r="K430" s="2390" t="n">
        <v>5.49</v>
      </c>
    </row>
    <row r="431">
      <c r="C431" t="n">
        <v>150000</v>
      </c>
      <c r="D431" s="2390" t="n">
        <v>2.79</v>
      </c>
      <c r="E431" s="2390" t="n">
        <v>3.2</v>
      </c>
      <c r="F431" s="2390" t="n">
        <v>3.66</v>
      </c>
      <c r="G431" s="2390" t="n">
        <v>4.19</v>
      </c>
      <c r="H431" s="2390" t="n">
        <v>3.43</v>
      </c>
      <c r="I431" s="2390" t="n">
        <v>3.92</v>
      </c>
      <c r="J431" s="2390" t="n">
        <v>4.49</v>
      </c>
      <c r="K431" s="2390" t="n">
        <v>5.13</v>
      </c>
    </row>
    <row r="432">
      <c r="C432" t="n">
        <v>200000</v>
      </c>
      <c r="D432" s="2390" t="n">
        <v>2.7</v>
      </c>
      <c r="E432" s="2390" t="n">
        <v>3.07</v>
      </c>
      <c r="F432" s="2390" t="n">
        <v>3.49</v>
      </c>
      <c r="G432" s="2390" t="n">
        <v>3.97</v>
      </c>
      <c r="H432" s="2390" t="n">
        <v>3.29</v>
      </c>
      <c r="I432" s="2390" t="n">
        <v>3.73</v>
      </c>
      <c r="J432" s="2390" t="n">
        <v>4.24</v>
      </c>
      <c r="K432" s="2390" t="n">
        <v>4.81</v>
      </c>
    </row>
    <row r="433">
      <c r="C433" t="n">
        <v>300000</v>
      </c>
      <c r="D433" s="2390" t="n">
        <v>2.52</v>
      </c>
      <c r="E433" s="2390" t="n">
        <v>2.86</v>
      </c>
      <c r="F433" s="2390" t="n">
        <v>3.24</v>
      </c>
      <c r="G433" s="2390" t="n">
        <v>3.68</v>
      </c>
      <c r="H433" s="2390" t="n">
        <v>3.05</v>
      </c>
      <c r="I433" s="2390" t="n">
        <v>3.46</v>
      </c>
      <c r="J433" s="2390" t="n">
        <v>3.93</v>
      </c>
      <c r="K433" s="2390" t="n">
        <v>4.46</v>
      </c>
    </row>
    <row r="434">
      <c r="C434" t="n">
        <v>400000</v>
      </c>
      <c r="D434" s="2390" t="n">
        <v>2.43</v>
      </c>
      <c r="E434" s="2390" t="n">
        <v>2.74</v>
      </c>
      <c r="F434" s="2390" t="n">
        <v>3.09</v>
      </c>
      <c r="G434" s="2390" t="n">
        <v>3.49</v>
      </c>
      <c r="H434" s="2390" t="n">
        <v>2.91</v>
      </c>
      <c r="I434" s="2390" t="n">
        <v>3.29</v>
      </c>
      <c r="J434" s="2390" t="n">
        <v>3.71</v>
      </c>
      <c r="K434" s="2390" t="n">
        <v>4.19</v>
      </c>
    </row>
    <row r="435">
      <c r="C435" t="n">
        <v>600000</v>
      </c>
      <c r="D435" s="2390" t="n">
        <v>2.27</v>
      </c>
      <c r="E435" s="2390" t="n">
        <v>2.56</v>
      </c>
      <c r="F435" s="2390" t="n">
        <v>2.9</v>
      </c>
      <c r="G435" s="2390" t="n">
        <v>3.27</v>
      </c>
      <c r="H435" s="2390" t="n">
        <v>2.72</v>
      </c>
      <c r="I435" s="2390" t="n">
        <v>3.07</v>
      </c>
      <c r="J435" s="2390" t="n">
        <v>3.46</v>
      </c>
      <c r="K435" s="2390" t="n">
        <v>3.91</v>
      </c>
    </row>
    <row r="436">
      <c r="C436" t="n">
        <v>800000</v>
      </c>
      <c r="D436" s="2390" t="n">
        <v>2.19</v>
      </c>
      <c r="E436" s="2390" t="n">
        <v>2.46</v>
      </c>
      <c r="F436" s="2390" t="n">
        <v>2.77</v>
      </c>
      <c r="G436" s="2390" t="n">
        <v>3.11</v>
      </c>
      <c r="H436" s="2390" t="n">
        <v>2.62</v>
      </c>
      <c r="I436" s="2390" t="n">
        <v>2.94</v>
      </c>
      <c r="J436" s="2390" t="n">
        <v>3.31</v>
      </c>
      <c r="K436" s="2390" t="n">
        <v>3.72</v>
      </c>
    </row>
    <row r="437">
      <c r="C437" t="n">
        <v>1000000</v>
      </c>
      <c r="D437" s="2390" t="n">
        <v>2.11</v>
      </c>
      <c r="E437" s="2390" t="n">
        <v>2.37</v>
      </c>
      <c r="F437" s="2390" t="n">
        <v>2.66</v>
      </c>
      <c r="G437" s="2390" t="n">
        <v>2.99</v>
      </c>
      <c r="H437" s="2390" t="n">
        <v>2.52</v>
      </c>
      <c r="I437" s="2390" t="n">
        <v>2.83</v>
      </c>
      <c r="J437" s="2390" t="n">
        <v>3.17</v>
      </c>
      <c r="K437" s="2390" t="n">
        <v>3.56</v>
      </c>
    </row>
    <row r="439">
      <c r="B439" s="2388" t="inlineStr">
        <is>
          <t>Section 15</t>
        </is>
      </c>
      <c r="C439" s="2388" t="inlineStr">
        <is>
          <t>Coverage (SF)</t>
        </is>
      </c>
      <c r="D439" s="2388" t="inlineStr">
        <is>
          <t>Wet-Low</t>
        </is>
      </c>
      <c r="E439" s="2388" t="inlineStr">
        <is>
          <t>Wet-Avg</t>
        </is>
      </c>
      <c r="F439" s="2388" t="inlineStr">
        <is>
          <t>Wet-Good</t>
        </is>
      </c>
      <c r="G439" s="2388" t="inlineStr">
        <is>
          <t>Wet-Excl</t>
        </is>
      </c>
      <c r="H439" s="2388" t="inlineStr">
        <is>
          <t>Dry-Low</t>
        </is>
      </c>
      <c r="I439" s="2388" t="inlineStr">
        <is>
          <t>Dry-Avg</t>
        </is>
      </c>
      <c r="J439" s="2388" t="inlineStr">
        <is>
          <t>Dry-Good</t>
        </is>
      </c>
      <c r="K439" s="2388" t="inlineStr">
        <is>
          <t>Dry-Excl</t>
        </is>
      </c>
    </row>
    <row r="440">
      <c r="C440" t="n">
        <v>1500</v>
      </c>
      <c r="D440" s="2390" t="n">
        <v>6.24</v>
      </c>
      <c r="E440" s="2390" t="n">
        <v>7.41</v>
      </c>
      <c r="F440" s="2390" t="n">
        <v>8.800000000000001</v>
      </c>
      <c r="G440" s="2390" t="n">
        <v>10.45</v>
      </c>
      <c r="H440" s="2390" t="n">
        <v>8.08</v>
      </c>
      <c r="I440" s="2390" t="n">
        <v>9.6</v>
      </c>
      <c r="J440" s="2390" t="n">
        <v>11.4</v>
      </c>
      <c r="K440" s="2390" t="n">
        <v>13.55</v>
      </c>
    </row>
    <row r="441">
      <c r="C441" t="n">
        <v>5000</v>
      </c>
      <c r="D441" s="2390" t="n">
        <v>5.17</v>
      </c>
      <c r="E441" s="2390" t="n">
        <v>6.09</v>
      </c>
      <c r="F441" s="2390" t="n">
        <v>7.16</v>
      </c>
      <c r="G441" s="2390" t="n">
        <v>8.43</v>
      </c>
      <c r="H441" s="2390" t="n">
        <v>6.58</v>
      </c>
      <c r="I441" s="2390" t="n">
        <v>7.75</v>
      </c>
      <c r="J441" s="2390" t="n">
        <v>9.130000000000001</v>
      </c>
      <c r="K441" s="2390" t="n">
        <v>10.75</v>
      </c>
    </row>
    <row r="442">
      <c r="C442" t="n">
        <v>10000</v>
      </c>
      <c r="D442" s="2390" t="n">
        <v>4.65</v>
      </c>
      <c r="E442" s="2390" t="n">
        <v>5.45</v>
      </c>
      <c r="F442" s="2390" t="n">
        <v>6.38</v>
      </c>
      <c r="G442" s="2390" t="n">
        <v>7.47</v>
      </c>
      <c r="H442" s="2390" t="n">
        <v>5.89</v>
      </c>
      <c r="I442" s="2390" t="n">
        <v>6.9</v>
      </c>
      <c r="J442" s="2390" t="n">
        <v>8.07</v>
      </c>
      <c r="K442" s="2390" t="n">
        <v>9.449999999999999</v>
      </c>
    </row>
    <row r="443">
      <c r="C443" t="n">
        <v>20000</v>
      </c>
      <c r="D443" s="2390" t="n">
        <v>4.14</v>
      </c>
      <c r="E443" s="2390" t="n">
        <v>4.83</v>
      </c>
      <c r="F443" s="2390" t="n">
        <v>5.64</v>
      </c>
      <c r="G443" s="2390" t="n">
        <v>6.58</v>
      </c>
      <c r="H443" s="2390" t="n">
        <v>5.23</v>
      </c>
      <c r="I443" s="2390" t="n">
        <v>6.1</v>
      </c>
      <c r="J443" s="2390" t="n">
        <v>7.12</v>
      </c>
      <c r="K443" s="2390" t="n">
        <v>8.300000000000001</v>
      </c>
    </row>
    <row r="444">
      <c r="C444" t="n">
        <v>50000</v>
      </c>
      <c r="D444" s="2390" t="n">
        <v>3.61</v>
      </c>
      <c r="E444" s="2390" t="n">
        <v>4.17</v>
      </c>
      <c r="F444" s="2390" t="n">
        <v>4.83</v>
      </c>
      <c r="G444" s="2390" t="n">
        <v>5.58</v>
      </c>
      <c r="H444" s="2390" t="n">
        <v>4.47</v>
      </c>
      <c r="I444" s="2390" t="n">
        <v>5.18</v>
      </c>
      <c r="J444" s="2390" t="n">
        <v>6</v>
      </c>
      <c r="K444" s="2390" t="n">
        <v>6.96</v>
      </c>
    </row>
    <row r="445">
      <c r="C445" t="n">
        <v>100000</v>
      </c>
      <c r="D445" s="2390" t="n">
        <v>3.26</v>
      </c>
      <c r="E445" s="2390" t="n">
        <v>3.75</v>
      </c>
      <c r="F445" s="2390" t="n">
        <v>4.31</v>
      </c>
      <c r="G445" s="2390" t="n">
        <v>4.95</v>
      </c>
      <c r="H445" s="2390" t="n">
        <v>4</v>
      </c>
      <c r="I445" s="2390" t="n">
        <v>4.61</v>
      </c>
      <c r="J445" s="2390" t="n">
        <v>5.31</v>
      </c>
      <c r="K445" s="2390" t="n">
        <v>6.11</v>
      </c>
    </row>
    <row r="446">
      <c r="C446" t="n">
        <v>250000</v>
      </c>
      <c r="D446" s="2390" t="n">
        <v>2.8</v>
      </c>
      <c r="E446" s="2390" t="n">
        <v>3.21</v>
      </c>
      <c r="F446" s="2390" t="n">
        <v>3.67</v>
      </c>
      <c r="G446" s="2390" t="n">
        <v>4.21</v>
      </c>
      <c r="H446" s="2390" t="n">
        <v>3.43</v>
      </c>
      <c r="I446" s="2390" t="n">
        <v>3.93</v>
      </c>
      <c r="J446" s="2390" t="n">
        <v>4.5</v>
      </c>
      <c r="K446" s="2390" t="n">
        <v>5.15</v>
      </c>
    </row>
    <row r="447">
      <c r="C447" t="n">
        <v>500000</v>
      </c>
      <c r="D447" s="2390" t="n">
        <v>2.52</v>
      </c>
      <c r="E447" s="2390" t="n">
        <v>2.87</v>
      </c>
      <c r="F447" s="2390" t="n">
        <v>3.27</v>
      </c>
      <c r="G447" s="2390" t="n">
        <v>3.72</v>
      </c>
      <c r="H447" s="2390" t="n">
        <v>3.06</v>
      </c>
      <c r="I447" s="2390" t="n">
        <v>3.48</v>
      </c>
      <c r="J447" s="2390" t="n">
        <v>3.95</v>
      </c>
      <c r="K447" s="2390" t="n">
        <v>4.49</v>
      </c>
    </row>
    <row r="450">
      <c r="B450" s="2387" t="inlineStr">
        <is>
          <t>REFERENCE 7 -- Elevator Lump-Sum + Per-Stop Cost Tables (per MVS section) -- for manual add/deduct</t>
        </is>
      </c>
      <c r="C450" s="2387" t="n"/>
      <c r="D450" s="2387" t="n"/>
      <c r="E450" s="2387" t="n"/>
      <c r="F450" s="2387" t="n"/>
      <c r="G450" s="2387" t="n"/>
      <c r="H450" s="2387" t="n"/>
    </row>
    <row r="451">
      <c r="B451" s="2388" t="inlineStr">
        <is>
          <t>Section 14</t>
        </is>
      </c>
      <c r="C451" s="2388" t="inlineStr">
        <is>
          <t>Type</t>
        </is>
      </c>
      <c r="D451" s="2388" t="inlineStr">
        <is>
          <t>Low</t>
        </is>
      </c>
      <c r="E451" s="2388" t="inlineStr">
        <is>
          <t>Average</t>
        </is>
      </c>
      <c r="F451" s="2388" t="inlineStr">
        <is>
          <t>Good</t>
        </is>
      </c>
      <c r="G451" s="2388" t="inlineStr">
        <is>
          <t>Excellent</t>
        </is>
      </c>
    </row>
    <row r="452">
      <c r="C452" t="inlineStr">
        <is>
          <t>Passenger, 2-3 story (base)</t>
        </is>
      </c>
      <c r="D452" t="n">
        <v>66250</v>
      </c>
      <c r="E452" t="n">
        <v>78000</v>
      </c>
      <c r="F452" t="n">
        <v>92000</v>
      </c>
      <c r="G452" t="n">
        <v>108000</v>
      </c>
    </row>
    <row r="453">
      <c r="C453" t="inlineStr">
        <is>
          <t>Passenger, 4-story+ (base)</t>
        </is>
      </c>
      <c r="D453" t="n">
        <v>116000</v>
      </c>
      <c r="E453" t="n">
        <v>133000</v>
      </c>
      <c r="F453" t="n">
        <v>152000</v>
      </c>
      <c r="G453" t="n">
        <v>175000</v>
      </c>
    </row>
    <row r="454">
      <c r="C454" t="inlineStr">
        <is>
          <t>Passenger, per stop</t>
        </is>
      </c>
      <c r="D454" t="n">
        <v>9650</v>
      </c>
      <c r="E454" t="n">
        <v>11100</v>
      </c>
      <c r="F454" t="n">
        <v>12700</v>
      </c>
      <c r="G454" t="n">
        <v>14600</v>
      </c>
    </row>
    <row r="455">
      <c r="C455" t="inlineStr">
        <is>
          <t>Freight, 2-3 story (base)</t>
        </is>
      </c>
      <c r="D455" t="n">
        <v>51250</v>
      </c>
      <c r="E455" t="n">
        <v>67750</v>
      </c>
      <c r="F455" t="n">
        <v>89500</v>
      </c>
      <c r="G455" t="n">
        <v>118000</v>
      </c>
    </row>
    <row r="456">
      <c r="C456" t="inlineStr">
        <is>
          <t>Freight, 4-story+ (base)</t>
        </is>
      </c>
      <c r="D456" t="n">
        <v>101000</v>
      </c>
      <c r="E456" t="n">
        <v>127000</v>
      </c>
      <c r="F456" t="n">
        <v>160000</v>
      </c>
      <c r="G456" t="n">
        <v>203000</v>
      </c>
    </row>
    <row r="457">
      <c r="C457" t="inlineStr">
        <is>
          <t>Freight, per stop (manual doors)</t>
        </is>
      </c>
      <c r="D457" t="n">
        <v>13000</v>
      </c>
      <c r="E457" t="n">
        <v>14100</v>
      </c>
      <c r="F457" t="n">
        <v>15400</v>
      </c>
      <c r="G457" t="n">
        <v>16700</v>
      </c>
    </row>
    <row r="458">
      <c r="C458" t="inlineStr">
        <is>
          <t>Freight, per stop (power doors)</t>
        </is>
      </c>
      <c r="D458" t="n">
        <v>22600</v>
      </c>
      <c r="E458" t="n">
        <v>24600</v>
      </c>
      <c r="F458" t="n">
        <v>26900</v>
      </c>
      <c r="G458" t="n">
        <v>29300</v>
      </c>
    </row>
    <row r="459">
      <c r="C459" t="inlineStr">
        <is>
          <t>Escalator, per stairway</t>
        </is>
      </c>
      <c r="D459" t="n">
        <v>270000</v>
      </c>
      <c r="E459" t="n">
        <v>289000</v>
      </c>
      <c r="F459" t="n">
        <v>309000</v>
      </c>
      <c r="G459" t="n">
        <v>330000</v>
      </c>
    </row>
    <row r="460">
      <c r="C460" t="inlineStr">
        <is>
          <t>Vertical wheelchair lift, each</t>
        </is>
      </c>
      <c r="D460" t="n">
        <v>17500</v>
      </c>
      <c r="E460" t="n">
        <v>22200</v>
      </c>
      <c r="F460" t="n">
        <v>28300</v>
      </c>
      <c r="G460" t="n">
        <v>36000</v>
      </c>
    </row>
    <row r="462">
      <c r="B462" s="2388" t="inlineStr">
        <is>
          <t>Section 15</t>
        </is>
      </c>
      <c r="C462" s="2388" t="inlineStr">
        <is>
          <t>Type</t>
        </is>
      </c>
      <c r="D462" s="2388" t="inlineStr">
        <is>
          <t>Low</t>
        </is>
      </c>
      <c r="E462" s="2388" t="inlineStr">
        <is>
          <t>Average</t>
        </is>
      </c>
      <c r="F462" s="2388" t="inlineStr">
        <is>
          <t>Good</t>
        </is>
      </c>
      <c r="G462" s="2388" t="inlineStr">
        <is>
          <t>Excellent</t>
        </is>
      </c>
    </row>
    <row r="463">
      <c r="C463" t="inlineStr">
        <is>
          <t>Passenger, 2-3 story (base)</t>
        </is>
      </c>
      <c r="D463" t="n">
        <v>67500</v>
      </c>
      <c r="E463" t="n">
        <v>80000</v>
      </c>
      <c r="F463" t="n">
        <v>94250</v>
      </c>
      <c r="G463" t="n">
        <v>111000</v>
      </c>
    </row>
    <row r="464">
      <c r="C464" t="inlineStr">
        <is>
          <t>Passenger, 4-7 story (base)</t>
        </is>
      </c>
      <c r="D464" t="n">
        <v>117000</v>
      </c>
      <c r="E464" t="n">
        <v>134000</v>
      </c>
      <c r="F464" t="n">
        <v>154000</v>
      </c>
      <c r="G464" t="n">
        <v>176000</v>
      </c>
    </row>
    <row r="465">
      <c r="C465" t="inlineStr">
        <is>
          <t>Passenger, 8-story+ (base)</t>
        </is>
      </c>
      <c r="D465" t="n">
        <v>179000</v>
      </c>
      <c r="E465" t="n">
        <v>227000</v>
      </c>
      <c r="F465" t="n">
        <v>285000</v>
      </c>
      <c r="G465" t="n">
        <v>362000</v>
      </c>
    </row>
    <row r="466">
      <c r="C466" t="inlineStr">
        <is>
          <t>Passenger, per stop</t>
        </is>
      </c>
      <c r="D466" t="n">
        <v>9350</v>
      </c>
      <c r="E466" t="n">
        <v>10800</v>
      </c>
      <c r="F466" t="n">
        <v>12500</v>
      </c>
      <c r="G466" t="n">
        <v>14300</v>
      </c>
    </row>
    <row r="467">
      <c r="C467" t="inlineStr">
        <is>
          <t>Freight, 2-3 story (base)</t>
        </is>
      </c>
      <c r="D467" t="n">
        <v>49800</v>
      </c>
      <c r="E467" t="n">
        <v>66000</v>
      </c>
      <c r="F467" t="n">
        <v>87500</v>
      </c>
      <c r="G467" t="n">
        <v>115000</v>
      </c>
    </row>
    <row r="468">
      <c r="C468" t="inlineStr">
        <is>
          <t>Freight, 4-story+ (base)</t>
        </is>
      </c>
      <c r="D468" t="n">
        <v>97500</v>
      </c>
      <c r="E468" t="n">
        <v>123000</v>
      </c>
      <c r="F468" t="n">
        <v>157000</v>
      </c>
      <c r="G468" t="n">
        <v>199000</v>
      </c>
    </row>
    <row r="469">
      <c r="C469" t="inlineStr">
        <is>
          <t>Freight, per stop (manual doors)</t>
        </is>
      </c>
      <c r="D469" t="n">
        <v>12600</v>
      </c>
      <c r="E469" t="n">
        <v>13700</v>
      </c>
      <c r="F469" t="n">
        <v>15100</v>
      </c>
      <c r="G469" t="n">
        <v>16400</v>
      </c>
    </row>
    <row r="470">
      <c r="C470" t="inlineStr">
        <is>
          <t>Freight, per stop (power doors)</t>
        </is>
      </c>
      <c r="D470" t="n">
        <v>22000</v>
      </c>
      <c r="E470" t="n">
        <v>23900</v>
      </c>
      <c r="F470" t="n">
        <v>26200</v>
      </c>
      <c r="G470" t="n">
        <v>28400</v>
      </c>
    </row>
    <row r="471">
      <c r="C471" t="inlineStr">
        <is>
          <t>Escalator, per stairway</t>
        </is>
      </c>
      <c r="D471" t="n">
        <v>262000</v>
      </c>
      <c r="E471" t="n">
        <v>278000</v>
      </c>
      <c r="F471" t="n">
        <v>296000</v>
      </c>
      <c r="G471" t="n">
        <v>315000</v>
      </c>
    </row>
    <row r="472">
      <c r="C472" t="inlineStr">
        <is>
          <t>Vertical wheelchair lift, each</t>
        </is>
      </c>
      <c r="D472" t="n">
        <v>18100</v>
      </c>
      <c r="E472" t="n">
        <v>23300</v>
      </c>
      <c r="F472" t="n">
        <v>30300</v>
      </c>
      <c r="G472" t="n">
        <v>39000</v>
      </c>
    </row>
    <row r="474">
      <c r="B474" s="2388" t="inlineStr">
        <is>
          <t>Section 11</t>
        </is>
      </c>
      <c r="C474" s="2388" t="inlineStr">
        <is>
          <t>Type</t>
        </is>
      </c>
      <c r="D474" s="2388" t="inlineStr">
        <is>
          <t>Low</t>
        </is>
      </c>
      <c r="E474" s="2388" t="inlineStr">
        <is>
          <t>Average</t>
        </is>
      </c>
      <c r="F474" s="2388" t="inlineStr">
        <is>
          <t>Good</t>
        </is>
      </c>
      <c r="G474" s="2388" t="inlineStr">
        <is>
          <t>Excellent</t>
        </is>
      </c>
    </row>
    <row r="475">
      <c r="C475" t="inlineStr">
        <is>
          <t>Passenger, 2-3 story (base)</t>
        </is>
      </c>
      <c r="D475" t="n">
        <v>67500</v>
      </c>
      <c r="E475" t="n">
        <v>79500</v>
      </c>
      <c r="F475" t="n">
        <v>93750</v>
      </c>
      <c r="G475" t="n">
        <v>110000</v>
      </c>
    </row>
    <row r="476">
      <c r="C476" t="inlineStr">
        <is>
          <t>Passenger, 4-7 story (base)</t>
        </is>
      </c>
      <c r="D476" t="n">
        <v>117000</v>
      </c>
      <c r="E476" t="n">
        <v>135000</v>
      </c>
      <c r="F476" t="n">
        <v>154000</v>
      </c>
      <c r="G476" t="n">
        <v>177000</v>
      </c>
    </row>
    <row r="477">
      <c r="C477" t="inlineStr">
        <is>
          <t>Passenger, 8-story+ (base)</t>
        </is>
      </c>
      <c r="D477" t="n">
        <v>180000</v>
      </c>
      <c r="E477" t="n">
        <v>228000</v>
      </c>
      <c r="F477" t="n">
        <v>287000</v>
      </c>
      <c r="G477" t="n">
        <v>363000</v>
      </c>
    </row>
    <row r="478">
      <c r="C478" t="inlineStr">
        <is>
          <t>Passenger, per stop</t>
        </is>
      </c>
      <c r="D478" t="n">
        <v>9700</v>
      </c>
      <c r="E478" t="n">
        <v>11100</v>
      </c>
      <c r="F478" t="n">
        <v>12800</v>
      </c>
      <c r="G478" t="n">
        <v>14700</v>
      </c>
    </row>
    <row r="479">
      <c r="C479" t="inlineStr">
        <is>
          <t>Freight, 2-3 story (base)</t>
        </is>
      </c>
      <c r="D479" t="n">
        <v>51000</v>
      </c>
      <c r="E479" t="n">
        <v>67500</v>
      </c>
      <c r="F479" t="n">
        <v>89000</v>
      </c>
      <c r="G479" t="n">
        <v>118000</v>
      </c>
    </row>
    <row r="480">
      <c r="C480" t="inlineStr">
        <is>
          <t>Freight, 4-story+ (base)</t>
        </is>
      </c>
      <c r="D480" t="n">
        <v>100000</v>
      </c>
      <c r="E480" t="n">
        <v>126000</v>
      </c>
      <c r="F480" t="n">
        <v>160000</v>
      </c>
      <c r="G480" t="n">
        <v>202000</v>
      </c>
    </row>
    <row r="481">
      <c r="C481" t="inlineStr">
        <is>
          <t>Freight, per stop (manual doors)</t>
        </is>
      </c>
      <c r="D481" t="n">
        <v>12900</v>
      </c>
      <c r="E481" t="n">
        <v>14100</v>
      </c>
      <c r="F481" t="n">
        <v>15300</v>
      </c>
      <c r="G481" t="n">
        <v>16700</v>
      </c>
    </row>
    <row r="482">
      <c r="C482" t="inlineStr">
        <is>
          <t>Freight, per stop (power doors)</t>
        </is>
      </c>
      <c r="D482" t="n">
        <v>22400</v>
      </c>
      <c r="E482" t="n">
        <v>24400</v>
      </c>
      <c r="F482" t="n">
        <v>26600</v>
      </c>
      <c r="G482" t="n">
        <v>29000</v>
      </c>
    </row>
    <row r="483">
      <c r="C483" t="inlineStr">
        <is>
          <t>Escalator, per stairway</t>
        </is>
      </c>
      <c r="D483" t="n">
        <v>260000</v>
      </c>
      <c r="E483" t="n">
        <v>276000</v>
      </c>
      <c r="F483" t="n">
        <v>294000</v>
      </c>
      <c r="G483" t="n">
        <v>312000</v>
      </c>
    </row>
    <row r="484">
      <c r="C484" t="inlineStr">
        <is>
          <t>Vertical wheelchair lift, each</t>
        </is>
      </c>
      <c r="D484" t="n">
        <v>17200</v>
      </c>
      <c r="E484" t="n">
        <v>22300</v>
      </c>
      <c r="F484" t="n">
        <v>29000</v>
      </c>
      <c r="G484" t="n">
        <v>37600</v>
      </c>
    </row>
    <row r="486">
      <c r="B486" s="2388" t="inlineStr">
        <is>
          <t>Section 13</t>
        </is>
      </c>
      <c r="C486" s="2388" t="inlineStr">
        <is>
          <t>Type</t>
        </is>
      </c>
      <c r="D486" s="2388" t="inlineStr">
        <is>
          <t>Low</t>
        </is>
      </c>
      <c r="E486" s="2388" t="inlineStr">
        <is>
          <t>Average</t>
        </is>
      </c>
      <c r="F486" s="2388" t="inlineStr">
        <is>
          <t>Good</t>
        </is>
      </c>
      <c r="G486" s="2388" t="inlineStr">
        <is>
          <t>Excellent</t>
        </is>
      </c>
    </row>
    <row r="487">
      <c r="C487" t="inlineStr">
        <is>
          <t>Passenger, 2-3 story (base) [see Sec.14 sched.]</t>
        </is>
      </c>
      <c r="D487" t="n">
        <v>66250</v>
      </c>
      <c r="E487" t="n">
        <v>78000</v>
      </c>
      <c r="F487" t="n">
        <v>92000</v>
      </c>
      <c r="G487" t="n">
        <v>108000</v>
      </c>
    </row>
    <row r="488">
      <c r="C488" t="inlineStr">
        <is>
          <t>Passenger, per stop [see Sec.14 sched.]</t>
        </is>
      </c>
      <c r="D488" t="n">
        <v>9650</v>
      </c>
      <c r="E488" t="n">
        <v>11100</v>
      </c>
      <c r="F488" t="n">
        <v>12700</v>
      </c>
      <c r="G488" t="n">
        <v>14600</v>
      </c>
    </row>
    <row r="491">
      <c r="B491" s="2387" t="inlineStr">
        <is>
          <t>REFERENCE 8 -- Current Cost Multipliers, by Region x Class x Calculator Section (MVS Sec.99 p.3, Jan 2025 insert). Colorado assumed WESTERN region.</t>
        </is>
      </c>
      <c r="C491" s="2387" t="n"/>
      <c r="D491" s="2387" t="n"/>
      <c r="E491" s="2387" t="n"/>
      <c r="F491" s="2387" t="n"/>
      <c r="G491" s="2387" t="n"/>
      <c r="H491" s="2387" t="n"/>
    </row>
    <row r="492">
      <c r="B492" s="2388" t="inlineStr">
        <is>
          <t>Region</t>
        </is>
      </c>
      <c r="C492" s="2388" t="inlineStr">
        <is>
          <t>Class</t>
        </is>
      </c>
      <c r="D492" s="2388" t="inlineStr">
        <is>
          <t>Sec.11</t>
        </is>
      </c>
      <c r="E492" s="2388" t="inlineStr">
        <is>
          <t>Sec.12</t>
        </is>
      </c>
      <c r="F492" s="2388" t="inlineStr">
        <is>
          <t>Sec.13</t>
        </is>
      </c>
      <c r="G492" s="2388" t="inlineStr">
        <is>
          <t>Sec.14</t>
        </is>
      </c>
      <c r="H492" s="2388" t="inlineStr">
        <is>
          <t>Sec.15</t>
        </is>
      </c>
      <c r="I492" s="2388" t="inlineStr">
        <is>
          <t>Sec.16</t>
        </is>
      </c>
      <c r="J492" s="2388" t="inlineStr">
        <is>
          <t>Sec.17</t>
        </is>
      </c>
      <c r="K492" s="2388" t="inlineStr">
        <is>
          <t>Sec.18</t>
        </is>
      </c>
    </row>
    <row r="493">
      <c r="B493" t="inlineStr">
        <is>
          <t>EASTERN</t>
        </is>
      </c>
      <c r="C493" t="inlineStr">
        <is>
          <t>A</t>
        </is>
      </c>
      <c r="D493" s="2390" t="n">
        <v>1.04</v>
      </c>
      <c r="E493" s="2390" t="n">
        <v>1.04</v>
      </c>
      <c r="F493" s="2390" t="n">
        <v>1.04</v>
      </c>
      <c r="G493" s="2390" t="n">
        <v>1.02</v>
      </c>
      <c r="H493" s="2390" t="n">
        <v>1.04</v>
      </c>
      <c r="I493" s="2390" t="n">
        <v>1.06</v>
      </c>
      <c r="J493" s="2390" t="n">
        <v>1.08</v>
      </c>
      <c r="K493" s="2390" t="n">
        <v>1.1</v>
      </c>
    </row>
    <row r="494">
      <c r="B494" t="inlineStr">
        <is>
          <t>EASTERN</t>
        </is>
      </c>
      <c r="C494" t="inlineStr">
        <is>
          <t>B</t>
        </is>
      </c>
      <c r="D494" s="2390" t="n">
        <v>1.04</v>
      </c>
      <c r="E494" s="2390" t="n">
        <v>1.05</v>
      </c>
      <c r="F494" s="2390" t="n">
        <v>1.02</v>
      </c>
      <c r="G494" s="2390" t="n">
        <v>1.04</v>
      </c>
      <c r="H494" s="2390" t="n">
        <v>1.01</v>
      </c>
      <c r="I494" s="2390" t="n">
        <v>1.02</v>
      </c>
      <c r="J494" s="2390" t="n">
        <v>1.05</v>
      </c>
      <c r="K494" s="2390" t="n">
        <v>1.07</v>
      </c>
    </row>
    <row r="495">
      <c r="B495" t="inlineStr">
        <is>
          <t>EASTERN</t>
        </is>
      </c>
      <c r="C495" t="inlineStr">
        <is>
          <t>C</t>
        </is>
      </c>
      <c r="D495" s="2390" t="n">
        <v>1.02</v>
      </c>
      <c r="E495" s="2390" t="n">
        <v>1.01</v>
      </c>
      <c r="F495" s="2390" t="n">
        <v>1.03</v>
      </c>
      <c r="G495" s="2390" t="n">
        <v>1.03</v>
      </c>
      <c r="H495" s="2390" t="n">
        <v>1.04</v>
      </c>
      <c r="I495" s="2390" t="n">
        <v>1.05</v>
      </c>
      <c r="J495" s="2390" t="n">
        <v>1.06</v>
      </c>
      <c r="K495" s="2390" t="n">
        <v>1.01</v>
      </c>
    </row>
    <row r="496">
      <c r="B496" t="inlineStr">
        <is>
          <t>EASTERN</t>
        </is>
      </c>
      <c r="C496" t="inlineStr">
        <is>
          <t>D</t>
        </is>
      </c>
      <c r="D496" s="2390" t="n">
        <v>1.01</v>
      </c>
      <c r="E496" s="2390" t="n">
        <v>1.02</v>
      </c>
      <c r="F496" s="2390" t="n">
        <v>1.02</v>
      </c>
      <c r="G496" s="2390" t="n">
        <v>1.01</v>
      </c>
      <c r="H496" s="2390" t="n">
        <v>1.01</v>
      </c>
      <c r="I496" s="2390" t="n">
        <v>1.02</v>
      </c>
      <c r="J496" s="2390" t="n">
        <v>1</v>
      </c>
      <c r="K496" s="2390" t="n">
        <v>0.99</v>
      </c>
    </row>
    <row r="497">
      <c r="B497" t="inlineStr">
        <is>
          <t>EASTERN</t>
        </is>
      </c>
      <c r="C497" t="inlineStr">
        <is>
          <t>S</t>
        </is>
      </c>
      <c r="D497" s="2390" t="n">
        <v>1.07</v>
      </c>
      <c r="E497" s="2390" t="n">
        <v>1.06</v>
      </c>
      <c r="F497" s="2390" t="n">
        <v>1.04</v>
      </c>
      <c r="G497" s="2390" t="n">
        <v>1.03</v>
      </c>
      <c r="H497" s="2390" t="n">
        <v>1.05</v>
      </c>
      <c r="I497" s="2390" t="n">
        <v>1.02</v>
      </c>
      <c r="J497" s="2390" t="n">
        <v>1.01</v>
      </c>
      <c r="K497" s="2390" t="n">
        <v>1.05</v>
      </c>
    </row>
    <row r="498">
      <c r="B498" t="inlineStr">
        <is>
          <t>CENTRAL</t>
        </is>
      </c>
      <c r="C498" t="inlineStr">
        <is>
          <t>A</t>
        </is>
      </c>
      <c r="D498" s="2390" t="n">
        <v>0.99</v>
      </c>
      <c r="E498" s="2390" t="n">
        <v>0.98</v>
      </c>
      <c r="F498" s="2390" t="n">
        <v>0.98</v>
      </c>
      <c r="G498" s="2390" t="n">
        <v>1</v>
      </c>
      <c r="H498" s="2390" t="n">
        <v>1</v>
      </c>
      <c r="I498" s="2390" t="n">
        <v>1.02</v>
      </c>
      <c r="J498" s="2390" t="n">
        <v>1.02</v>
      </c>
      <c r="K498" s="2390" t="n">
        <v>1.02</v>
      </c>
    </row>
    <row r="499">
      <c r="B499" t="inlineStr">
        <is>
          <t>CENTRAL</t>
        </is>
      </c>
      <c r="C499" t="inlineStr">
        <is>
          <t>B</t>
        </is>
      </c>
      <c r="D499" s="2390" t="n">
        <v>0.98</v>
      </c>
      <c r="E499" s="2390" t="n">
        <v>0.99</v>
      </c>
      <c r="F499" s="2390" t="n">
        <v>0.98</v>
      </c>
      <c r="G499" s="2390" t="n">
        <v>0.99</v>
      </c>
      <c r="H499" s="2390" t="n">
        <v>1.01</v>
      </c>
      <c r="I499" s="2390" t="n">
        <v>0.99</v>
      </c>
      <c r="J499" s="2390" t="n">
        <v>0.98</v>
      </c>
      <c r="K499" s="2390" t="n">
        <v>0.99</v>
      </c>
    </row>
    <row r="500">
      <c r="B500" t="inlineStr">
        <is>
          <t>CENTRAL</t>
        </is>
      </c>
      <c r="C500" t="inlineStr">
        <is>
          <t>C</t>
        </is>
      </c>
      <c r="D500" s="2390" t="n">
        <v>0.99</v>
      </c>
      <c r="E500" s="2390" t="n">
        <v>0.99</v>
      </c>
      <c r="F500" s="2390" t="n">
        <v>1</v>
      </c>
      <c r="G500" s="2390" t="n">
        <v>0.99</v>
      </c>
      <c r="H500" s="2390" t="n">
        <v>1</v>
      </c>
      <c r="I500" s="2390" t="n">
        <v>0.98</v>
      </c>
      <c r="J500" s="2390" t="n">
        <v>0.99</v>
      </c>
      <c r="K500" s="2390" t="n">
        <v>0.98</v>
      </c>
    </row>
    <row r="501">
      <c r="B501" t="inlineStr">
        <is>
          <t>CENTRAL</t>
        </is>
      </c>
      <c r="C501" t="inlineStr">
        <is>
          <t>D</t>
        </is>
      </c>
      <c r="D501" s="2390" t="n">
        <v>0.97</v>
      </c>
      <c r="E501" s="2390" t="n">
        <v>0.99</v>
      </c>
      <c r="F501" s="2390" t="n">
        <v>0.99</v>
      </c>
      <c r="G501" s="2390" t="n">
        <v>0.99</v>
      </c>
      <c r="H501" s="2390" t="n">
        <v>1.02</v>
      </c>
      <c r="I501" s="2390" t="n">
        <v>1.02</v>
      </c>
      <c r="J501" s="2390" t="n">
        <v>0.97</v>
      </c>
      <c r="K501" s="2390" t="n">
        <v>0.97</v>
      </c>
    </row>
    <row r="502">
      <c r="B502" t="inlineStr">
        <is>
          <t>CENTRAL</t>
        </is>
      </c>
      <c r="C502" t="inlineStr">
        <is>
          <t>S</t>
        </is>
      </c>
      <c r="D502" s="2390" t="n">
        <v>0.95</v>
      </c>
      <c r="E502" s="2390" t="n">
        <v>0.98</v>
      </c>
      <c r="F502" s="2390" t="n">
        <v>0.95</v>
      </c>
      <c r="G502" s="2390" t="n">
        <v>0.99</v>
      </c>
      <c r="H502" s="2390" t="n">
        <v>0.99</v>
      </c>
      <c r="I502" s="2390" t="n">
        <v>0.97</v>
      </c>
      <c r="J502" s="2390" t="n">
        <v>1</v>
      </c>
      <c r="K502" s="2390" t="n">
        <v>0.97</v>
      </c>
    </row>
    <row r="503">
      <c r="B503" t="inlineStr">
        <is>
          <t>WESTERN</t>
        </is>
      </c>
      <c r="C503" t="inlineStr">
        <is>
          <t>A</t>
        </is>
      </c>
      <c r="D503" s="2390" t="n">
        <v>0.99</v>
      </c>
      <c r="E503" s="2390" t="n">
        <v>1.03</v>
      </c>
      <c r="F503" s="2390" t="n">
        <v>1.05</v>
      </c>
      <c r="G503" s="2390" t="n">
        <v>1.07</v>
      </c>
      <c r="H503" s="2390" t="n">
        <v>1.06</v>
      </c>
      <c r="I503" s="2390" t="n">
        <v>1.05</v>
      </c>
      <c r="J503" s="2390" t="n">
        <v>1.05</v>
      </c>
      <c r="K503" s="2390" t="n">
        <v>1.01</v>
      </c>
    </row>
    <row r="504">
      <c r="B504" t="inlineStr">
        <is>
          <t>WESTERN</t>
        </is>
      </c>
      <c r="C504" t="inlineStr">
        <is>
          <t>B</t>
        </is>
      </c>
      <c r="D504" s="2390" t="n">
        <v>0.99</v>
      </c>
      <c r="E504" s="2390" t="n">
        <v>1</v>
      </c>
      <c r="F504" s="2390" t="n">
        <v>1.06</v>
      </c>
      <c r="G504" s="2390" t="n">
        <v>1.04</v>
      </c>
      <c r="H504" s="2390" t="n">
        <v>1.05</v>
      </c>
      <c r="I504" s="2390" t="n">
        <v>1.06</v>
      </c>
      <c r="J504" s="2390" t="n">
        <v>1.05</v>
      </c>
      <c r="K504" s="2390" t="n">
        <v>1.02</v>
      </c>
    </row>
    <row r="505">
      <c r="B505" t="inlineStr">
        <is>
          <t>WESTERN</t>
        </is>
      </c>
      <c r="C505" t="inlineStr">
        <is>
          <t>C</t>
        </is>
      </c>
      <c r="D505" s="2390" t="n">
        <v>1</v>
      </c>
      <c r="E505" s="2390" t="n">
        <v>1.03</v>
      </c>
      <c r="F505" s="2390" t="n">
        <v>1.02</v>
      </c>
      <c r="G505" s="2390" t="n">
        <v>1.06</v>
      </c>
      <c r="H505" s="2390" t="n">
        <v>1.04</v>
      </c>
      <c r="I505" s="2390" t="n">
        <v>1.05</v>
      </c>
      <c r="J505" s="2390" t="n">
        <v>1.03</v>
      </c>
      <c r="K505" s="2390" t="n">
        <v>1.04</v>
      </c>
    </row>
    <row r="506">
      <c r="B506" t="inlineStr">
        <is>
          <t>WESTERN</t>
        </is>
      </c>
      <c r="C506" t="inlineStr">
        <is>
          <t>D</t>
        </is>
      </c>
      <c r="D506" s="2390" t="n">
        <v>1.03</v>
      </c>
      <c r="E506" s="2390" t="n">
        <v>1.02</v>
      </c>
      <c r="F506" s="2390" t="n">
        <v>1.03</v>
      </c>
      <c r="G506" s="2390" t="n">
        <v>1.05</v>
      </c>
      <c r="H506" s="2390" t="n">
        <v>1.02</v>
      </c>
      <c r="I506" s="2390" t="n">
        <v>1.01</v>
      </c>
      <c r="J506" s="2390" t="n">
        <v>1.05</v>
      </c>
      <c r="K506" s="2390" t="n">
        <v>1.01</v>
      </c>
    </row>
    <row r="507">
      <c r="B507" t="inlineStr">
        <is>
          <t>WESTERN</t>
        </is>
      </c>
      <c r="C507" t="inlineStr">
        <is>
          <t>S</t>
        </is>
      </c>
      <c r="D507" s="2390" t="n">
        <v>1</v>
      </c>
      <c r="E507" s="2390" t="n">
        <v>1</v>
      </c>
      <c r="F507" s="2390" t="n">
        <v>1.05</v>
      </c>
      <c r="G507" s="2390" t="n">
        <v>1.04</v>
      </c>
      <c r="H507" s="2390" t="n">
        <v>1.02</v>
      </c>
      <c r="I507" s="2390" t="n">
        <v>1.07</v>
      </c>
      <c r="J507" s="2390" t="n">
        <v>1.04</v>
      </c>
      <c r="K507" s="2390" t="n">
        <v>0.98</v>
      </c>
    </row>
    <row r="509">
      <c r="B509" s="2387" t="inlineStr">
        <is>
          <t>REFERENCE 9 -- Local Area Multipliers, Colorado (MVS Sec.99 p.7, Jan 2025 insert)</t>
        </is>
      </c>
      <c r="C509" s="2387" t="n"/>
      <c r="D509" s="2387" t="n"/>
      <c r="E509" s="2387" t="n"/>
      <c r="F509" s="2387" t="n"/>
      <c r="G509" s="2387" t="n"/>
      <c r="H509" s="2387" t="n"/>
    </row>
    <row r="510">
      <c r="B510" s="2388" t="inlineStr">
        <is>
          <t>City / Area</t>
        </is>
      </c>
      <c r="C510" s="2388" t="inlineStr">
        <is>
          <t>Class A</t>
        </is>
      </c>
      <c r="D510" s="2388" t="inlineStr">
        <is>
          <t>Class B</t>
        </is>
      </c>
      <c r="E510" s="2388" t="inlineStr">
        <is>
          <t>Class C</t>
        </is>
      </c>
      <c r="F510" s="2388" t="inlineStr">
        <is>
          <t>Class D</t>
        </is>
      </c>
      <c r="G510" s="2388" t="inlineStr">
        <is>
          <t>Class S</t>
        </is>
      </c>
    </row>
    <row r="511">
      <c r="B511" t="inlineStr">
        <is>
          <t>Colorado (statewide average)</t>
        </is>
      </c>
      <c r="C511" s="2390" t="n">
        <v>1</v>
      </c>
      <c r="D511" s="2390" t="n">
        <v>1.02</v>
      </c>
      <c r="E511" s="2390" t="n">
        <v>1.02</v>
      </c>
      <c r="F511" s="2390" t="n">
        <v>1.01</v>
      </c>
      <c r="G511" s="2390" t="n">
        <v>1.02</v>
      </c>
    </row>
    <row r="512">
      <c r="B512" t="inlineStr">
        <is>
          <t>Aspen</t>
        </is>
      </c>
      <c r="C512" s="2390" t="n">
        <v>1.08</v>
      </c>
      <c r="D512" s="2390" t="n">
        <v>1.13</v>
      </c>
      <c r="E512" s="2390" t="n">
        <v>1.11</v>
      </c>
      <c r="F512" s="2390" t="n">
        <v>1.11</v>
      </c>
      <c r="G512" s="2390" t="n">
        <v>1.1</v>
      </c>
    </row>
    <row r="513">
      <c r="B513" t="inlineStr">
        <is>
          <t>Boulder</t>
        </is>
      </c>
      <c r="C513" s="2390" t="n">
        <v>0.98</v>
      </c>
      <c r="D513" s="2390" t="n">
        <v>0.98</v>
      </c>
      <c r="E513" s="2390" t="n">
        <v>0.98</v>
      </c>
      <c r="F513" s="2390" t="n">
        <v>0.97</v>
      </c>
      <c r="G513" s="2390" t="n">
        <v>0.99</v>
      </c>
    </row>
    <row r="514">
      <c r="B514" t="inlineStr">
        <is>
          <t>Colorado Springs</t>
        </is>
      </c>
      <c r="C514" s="2390" t="n">
        <v>0.98</v>
      </c>
      <c r="D514" s="2390" t="n">
        <v>0.99</v>
      </c>
      <c r="E514" s="2390" t="n">
        <v>0.96</v>
      </c>
      <c r="F514" s="2390" t="n">
        <v>0.98</v>
      </c>
      <c r="G514" s="2390" t="n">
        <v>1</v>
      </c>
    </row>
    <row r="515">
      <c r="B515" t="inlineStr">
        <is>
          <t>Costilla County</t>
        </is>
      </c>
      <c r="C515" s="2390" t="n">
        <v>0.86</v>
      </c>
      <c r="D515" s="2390" t="n">
        <v>0.88</v>
      </c>
      <c r="E515" s="2390" t="n">
        <v>0.88</v>
      </c>
      <c r="F515" s="2390" t="n">
        <v>0.87</v>
      </c>
      <c r="G515" s="2390" t="n">
        <v>0.89</v>
      </c>
    </row>
    <row r="516">
      <c r="B516" t="inlineStr">
        <is>
          <t>Denver</t>
        </is>
      </c>
      <c r="C516" s="2390" t="n">
        <v>1.01</v>
      </c>
      <c r="D516" s="2390" t="n">
        <v>1</v>
      </c>
      <c r="E516" s="2390" t="n">
        <v>1</v>
      </c>
      <c r="F516" s="2390" t="n">
        <v>1</v>
      </c>
      <c r="G516" s="2390" t="n">
        <v>1.03</v>
      </c>
    </row>
    <row r="517">
      <c r="B517" t="inlineStr">
        <is>
          <t>Durango</t>
        </is>
      </c>
      <c r="C517" s="2390" t="n">
        <v>0.9</v>
      </c>
      <c r="D517" s="2390" t="n">
        <v>0.92</v>
      </c>
      <c r="E517" s="2390" t="n">
        <v>0.93</v>
      </c>
      <c r="F517" s="2390" t="n">
        <v>0.91</v>
      </c>
      <c r="G517" s="2390" t="n">
        <v>0.9399999999999999</v>
      </c>
    </row>
    <row r="518">
      <c r="B518" t="inlineStr">
        <is>
          <t>Eagle County (excl. resort areas)</t>
        </is>
      </c>
      <c r="C518" s="2390" t="n">
        <v>0.9399999999999999</v>
      </c>
      <c r="D518" s="2390" t="n">
        <v>0.95</v>
      </c>
      <c r="E518" s="2390" t="n">
        <v>0.9399999999999999</v>
      </c>
      <c r="F518" s="2390" t="n">
        <v>0.9399999999999999</v>
      </c>
      <c r="G518" s="2390" t="n">
        <v>0.95</v>
      </c>
    </row>
    <row r="519">
      <c r="B519" t="inlineStr">
        <is>
          <t>Fort Collins</t>
        </is>
      </c>
      <c r="C519" s="2390" t="n">
        <v>0.98</v>
      </c>
      <c r="D519" s="2390" t="n">
        <v>1</v>
      </c>
      <c r="E519" s="2390" t="n">
        <v>1.01</v>
      </c>
      <c r="F519" s="2390" t="n">
        <v>0.99</v>
      </c>
      <c r="G519" s="2390" t="n">
        <v>1.01</v>
      </c>
    </row>
    <row r="520">
      <c r="B520" t="inlineStr">
        <is>
          <t>Grand Junction</t>
        </is>
      </c>
      <c r="C520" s="2390" t="n">
        <v>0.98</v>
      </c>
      <c r="D520" s="2390" t="n">
        <v>0.99</v>
      </c>
      <c r="E520" s="2390" t="n">
        <v>1</v>
      </c>
      <c r="F520" s="2390" t="n">
        <v>1</v>
      </c>
      <c r="G520" s="2390" t="n">
        <v>1.02</v>
      </c>
    </row>
    <row r="521">
      <c r="B521" t="inlineStr">
        <is>
          <t>Greeley</t>
        </is>
      </c>
      <c r="C521" s="2390" t="n">
        <v>0.98</v>
      </c>
      <c r="D521" s="2390" t="n">
        <v>1</v>
      </c>
      <c r="E521" s="2390" t="n">
        <v>1.01</v>
      </c>
      <c r="F521" s="2390" t="n">
        <v>0.99</v>
      </c>
      <c r="G521" s="2390" t="n">
        <v>0.99</v>
      </c>
    </row>
    <row r="522">
      <c r="B522" t="inlineStr">
        <is>
          <t>Gunnison County</t>
        </is>
      </c>
      <c r="C522" s="2390" t="n">
        <v>0.93</v>
      </c>
      <c r="D522" s="2390" t="n">
        <v>0.99</v>
      </c>
      <c r="E522" s="2390" t="n">
        <v>0.97</v>
      </c>
      <c r="F522" s="2390" t="n">
        <v>0.96</v>
      </c>
      <c r="G522" s="2390" t="n">
        <v>0.97</v>
      </c>
    </row>
    <row r="523">
      <c r="B523" t="inlineStr">
        <is>
          <t>Kit Carson County</t>
        </is>
      </c>
      <c r="C523" s="2390" t="n">
        <v>0.89</v>
      </c>
      <c r="D523" s="2390" t="n">
        <v>0.89</v>
      </c>
      <c r="E523" s="2390" t="n">
        <v>0.9</v>
      </c>
      <c r="F523" s="2390" t="n">
        <v>0.89</v>
      </c>
      <c r="G523" s="2390" t="n">
        <v>0.91</v>
      </c>
    </row>
    <row r="524">
      <c r="B524" t="inlineStr">
        <is>
          <t>Logan County</t>
        </is>
      </c>
      <c r="C524" s="2390" t="n">
        <v>0.91</v>
      </c>
      <c r="D524" s="2390" t="n">
        <v>0.91</v>
      </c>
      <c r="E524" s="2390" t="n">
        <v>0.92</v>
      </c>
      <c r="F524" s="2390" t="n">
        <v>0.9</v>
      </c>
      <c r="G524" s="2390" t="n">
        <v>0.92</v>
      </c>
    </row>
    <row r="525">
      <c r="B525" t="inlineStr">
        <is>
          <t>Longmont</t>
        </is>
      </c>
      <c r="C525" s="2390" t="n">
        <v>0.97</v>
      </c>
      <c r="D525" s="2390" t="n">
        <v>0.97</v>
      </c>
      <c r="E525" s="2390" t="n">
        <v>1</v>
      </c>
      <c r="F525" s="2390" t="n">
        <v>0.98</v>
      </c>
      <c r="G525" s="2390" t="n">
        <v>1</v>
      </c>
    </row>
    <row r="526">
      <c r="B526" t="inlineStr">
        <is>
          <t>Loveland</t>
        </is>
      </c>
      <c r="C526" s="2390" t="n">
        <v>0.96</v>
      </c>
      <c r="D526" s="2390" t="n">
        <v>0.98</v>
      </c>
      <c r="E526" s="2390" t="n">
        <v>1.01</v>
      </c>
      <c r="F526" s="2390" t="n">
        <v>0.99</v>
      </c>
      <c r="G526" s="2390" t="n">
        <v>0.99</v>
      </c>
    </row>
    <row r="527">
      <c r="B527" t="inlineStr">
        <is>
          <t>Moffat County</t>
        </is>
      </c>
      <c r="C527" s="2390" t="n">
        <v>0.9</v>
      </c>
      <c r="D527" s="2390" t="n">
        <v>0.93</v>
      </c>
      <c r="E527" s="2390" t="n">
        <v>0.91</v>
      </c>
      <c r="F527" s="2390" t="n">
        <v>0.92</v>
      </c>
      <c r="G527" s="2390" t="n">
        <v>0.93</v>
      </c>
    </row>
    <row r="528">
      <c r="B528" t="inlineStr">
        <is>
          <t>Montrose County</t>
        </is>
      </c>
      <c r="C528" s="2390" t="n">
        <v>0.9</v>
      </c>
      <c r="D528" s="2390" t="n">
        <v>0.92</v>
      </c>
      <c r="E528" s="2390" t="n">
        <v>0.93</v>
      </c>
      <c r="F528" s="2390" t="n">
        <v>0.9</v>
      </c>
      <c r="G528" s="2390" t="n">
        <v>0.92</v>
      </c>
    </row>
    <row r="529">
      <c r="B529" t="inlineStr">
        <is>
          <t>Prowers County</t>
        </is>
      </c>
      <c r="C529" s="2390" t="n">
        <v>0.9</v>
      </c>
      <c r="D529" s="2390" t="n">
        <v>0.92</v>
      </c>
      <c r="E529" s="2390" t="n">
        <v>0.91</v>
      </c>
      <c r="F529" s="2390" t="n">
        <v>0.91</v>
      </c>
      <c r="G529" s="2390" t="n">
        <v>0.91</v>
      </c>
    </row>
    <row r="530">
      <c r="B530" t="inlineStr">
        <is>
          <t>Pueblo</t>
        </is>
      </c>
      <c r="C530" s="2390" t="n">
        <v>0.95</v>
      </c>
      <c r="D530" s="2390" t="n">
        <v>0.95</v>
      </c>
      <c r="E530" s="2390" t="n">
        <v>0.95</v>
      </c>
      <c r="F530" s="2390" t="n">
        <v>0.95</v>
      </c>
      <c r="G530" s="2390" t="n">
        <v>0.95</v>
      </c>
    </row>
    <row r="531">
      <c r="B531" t="inlineStr">
        <is>
          <t>Steamboat Springs</t>
        </is>
      </c>
      <c r="C531" s="2390" t="n">
        <v>1.15</v>
      </c>
      <c r="D531" s="2390" t="n">
        <v>1.17</v>
      </c>
      <c r="E531" s="2390" t="n">
        <v>1.16</v>
      </c>
      <c r="F531" s="2390" t="n">
        <v>1.14</v>
      </c>
      <c r="G531" s="2390" t="n">
        <v>1.14</v>
      </c>
    </row>
    <row r="532">
      <c r="B532" t="inlineStr">
        <is>
          <t>Vail</t>
        </is>
      </c>
      <c r="C532" s="2390" t="n">
        <v>1.13</v>
      </c>
      <c r="D532" s="2390" t="n">
        <v>1.16</v>
      </c>
      <c r="E532" s="2390" t="n">
        <v>1.14</v>
      </c>
      <c r="F532" s="2390" t="n">
        <v>1.13</v>
      </c>
      <c r="G532" s="2390" t="n">
        <v>1.13</v>
      </c>
    </row>
    <row r="534">
      <c r="B534" s="2387" t="inlineStr">
        <is>
          <t>REFERENCE 10 -- Section 98 Denver-Specific Quarterly Cost Index (for De-Trend to Appraisal Date; Jan 2025 = 1.000)</t>
        </is>
      </c>
      <c r="C534" s="2387" t="n"/>
      <c r="D534" s="2387" t="n"/>
      <c r="E534" s="2387" t="n"/>
      <c r="F534" s="2387" t="n"/>
      <c r="G534" s="2387" t="n"/>
      <c r="H534" s="2387" t="n"/>
    </row>
    <row r="535">
      <c r="B535" s="2391" t="inlineStr">
        <is>
          <t>Do NOT combine with the Local Area Multiplier above -- Sec.98's district/city index is already geographically resolved to Denver (MVS explicit warning, Sec.98 p.1/p.5).</t>
        </is>
      </c>
    </row>
    <row r="536">
      <c r="B536" s="2388" t="inlineStr">
        <is>
          <t>Quarter</t>
        </is>
      </c>
      <c r="C536" s="2388" t="inlineStr">
        <is>
          <t>Class A</t>
        </is>
      </c>
      <c r="D536" s="2388" t="inlineStr">
        <is>
          <t>Class B</t>
        </is>
      </c>
      <c r="E536" s="2388" t="inlineStr">
        <is>
          <t>Class C</t>
        </is>
      </c>
      <c r="F536" s="2388" t="inlineStr">
        <is>
          <t>Class D</t>
        </is>
      </c>
      <c r="G536" s="2388" t="inlineStr">
        <is>
          <t>Class S</t>
        </is>
      </c>
    </row>
    <row r="537">
      <c r="B537" t="inlineStr">
        <is>
          <t>Jan 2025</t>
        </is>
      </c>
      <c r="C537" s="1901" t="n">
        <v>1</v>
      </c>
      <c r="D537" s="1901" t="n">
        <v>1</v>
      </c>
      <c r="E537" s="1901" t="n">
        <v>1</v>
      </c>
      <c r="F537" s="1901" t="n">
        <v>1</v>
      </c>
      <c r="G537" s="1901" t="n">
        <v>1</v>
      </c>
    </row>
    <row r="538">
      <c r="B538" t="inlineStr">
        <is>
          <t>Oct 2024</t>
        </is>
      </c>
      <c r="C538" s="1901" t="n">
        <v>1.016</v>
      </c>
      <c r="D538" s="1901" t="n">
        <v>1.008</v>
      </c>
      <c r="E538" s="1901" t="n">
        <v>0.999</v>
      </c>
      <c r="F538" s="1901" t="n">
        <v>1.006</v>
      </c>
      <c r="G538" s="1901" t="n">
        <v>1.01</v>
      </c>
    </row>
    <row r="539">
      <c r="B539" t="inlineStr">
        <is>
          <t>Jul 2024</t>
        </is>
      </c>
      <c r="C539" s="1901" t="n">
        <v>1.017</v>
      </c>
      <c r="D539" s="1901" t="n">
        <v>1.014</v>
      </c>
      <c r="E539" s="1901" t="n">
        <v>1.004</v>
      </c>
      <c r="F539" s="1901" t="n">
        <v>1.008</v>
      </c>
      <c r="G539" s="1901" t="n">
        <v>1.014</v>
      </c>
    </row>
    <row r="540">
      <c r="B540" t="inlineStr">
        <is>
          <t>Apr 2024</t>
        </is>
      </c>
      <c r="C540" s="1901" t="n">
        <v>1.034</v>
      </c>
      <c r="D540" s="1901" t="n">
        <v>1.027</v>
      </c>
      <c r="E540" s="1901" t="n">
        <v>1.012</v>
      </c>
      <c r="F540" s="1901" t="n">
        <v>1.016</v>
      </c>
      <c r="G540" s="1901" t="n">
        <v>1.024</v>
      </c>
    </row>
    <row r="541">
      <c r="B541" t="inlineStr">
        <is>
          <t>Jan 2024</t>
        </is>
      </c>
      <c r="C541" s="1901" t="n">
        <v>1.037</v>
      </c>
      <c r="D541" s="1901" t="n">
        <v>1.027</v>
      </c>
      <c r="E541" s="1901" t="n">
        <v>1.02</v>
      </c>
      <c r="F541" s="1901" t="n">
        <v>1.015</v>
      </c>
      <c r="G541" s="1901" t="n">
        <v>1.026</v>
      </c>
    </row>
    <row r="542">
      <c r="B542" t="inlineStr">
        <is>
          <t>Oct 2023</t>
        </is>
      </c>
      <c r="C542" s="1901" t="n">
        <v>1.046</v>
      </c>
      <c r="D542" s="1901" t="n">
        <v>1.025</v>
      </c>
      <c r="E542" s="1901" t="n">
        <v>1.021</v>
      </c>
      <c r="F542" s="1901" t="n">
        <v>1.015</v>
      </c>
      <c r="G542" s="1901" t="n">
        <v>1.029</v>
      </c>
    </row>
    <row r="543">
      <c r="B543" t="inlineStr">
        <is>
          <t>Jul 2023</t>
        </is>
      </c>
      <c r="C543" s="1901" t="n">
        <v>1.064</v>
      </c>
      <c r="D543" s="1901" t="n">
        <v>1.029</v>
      </c>
      <c r="E543" s="1901" t="n">
        <v>1.022</v>
      </c>
      <c r="F543" s="1901" t="n">
        <v>1.014</v>
      </c>
      <c r="G543" s="1901" t="n">
        <v>1.034</v>
      </c>
    </row>
    <row r="544">
      <c r="B544" t="inlineStr">
        <is>
          <t>Apr 2023</t>
        </is>
      </c>
      <c r="C544" s="1901" t="n">
        <v>1.078</v>
      </c>
      <c r="D544" s="1901" t="n">
        <v>1.034</v>
      </c>
      <c r="E544" s="1901" t="n">
        <v>1.017</v>
      </c>
      <c r="F544" s="1901" t="n">
        <v>1.007</v>
      </c>
      <c r="G544" s="1901" t="n">
        <v>1.03</v>
      </c>
    </row>
    <row r="545">
      <c r="B545" t="inlineStr">
        <is>
          <t>Jan 2023</t>
        </is>
      </c>
      <c r="C545" s="1901" t="n">
        <v>1.076</v>
      </c>
      <c r="D545" s="1901" t="n">
        <v>1.033</v>
      </c>
      <c r="E545" s="1901" t="n">
        <v>1.011</v>
      </c>
      <c r="F545" s="1901" t="n">
        <v>0.998</v>
      </c>
      <c r="G545" s="1901" t="n">
        <v>1.023</v>
      </c>
    </row>
    <row r="546">
      <c r="B546" t="inlineStr">
        <is>
          <t>Oct 2022</t>
        </is>
      </c>
      <c r="C546" s="1901" t="n">
        <v>1.077</v>
      </c>
      <c r="D546" s="1901" t="n">
        <v>1.032</v>
      </c>
      <c r="E546" s="1901" t="n">
        <v>1.005</v>
      </c>
      <c r="F546" s="1901" t="n">
        <v>0.987</v>
      </c>
      <c r="G546" s="1901" t="n">
        <v>1.005</v>
      </c>
    </row>
    <row r="547">
      <c r="B547" t="inlineStr">
        <is>
          <t>Jul 2022</t>
        </is>
      </c>
      <c r="C547" s="1901" t="n">
        <v>1.091</v>
      </c>
      <c r="D547" s="1901" t="n">
        <v>1.046</v>
      </c>
      <c r="E547" s="1901" t="n">
        <v>1.011</v>
      </c>
      <c r="F547" s="1901" t="n">
        <v>0.985</v>
      </c>
      <c r="G547" s="1901" t="n">
        <v>1.006</v>
      </c>
    </row>
    <row r="548">
      <c r="B548" t="inlineStr">
        <is>
          <t>Apr 2022</t>
        </is>
      </c>
      <c r="C548" s="1901" t="n">
        <v>1.156</v>
      </c>
      <c r="D548" s="1901" t="n">
        <v>1.134</v>
      </c>
      <c r="E548" s="1901" t="n">
        <v>1.103</v>
      </c>
      <c r="F548" s="1901" t="n">
        <v>1.089</v>
      </c>
      <c r="G548" s="1901" t="n">
        <v>1.108</v>
      </c>
    </row>
    <row r="549">
      <c r="B549" t="inlineStr">
        <is>
          <t>Jan 2022</t>
        </is>
      </c>
      <c r="C549" s="1901" t="n">
        <v>1.229</v>
      </c>
      <c r="D549" s="1901" t="n">
        <v>1.179</v>
      </c>
      <c r="E549" s="1901" t="n">
        <v>1.148</v>
      </c>
      <c r="F549" s="1901" t="n">
        <v>1.123</v>
      </c>
      <c r="G549" s="1901" t="n">
        <v>1.158</v>
      </c>
    </row>
    <row r="551">
      <c r="B551" s="2387" t="inlineStr">
        <is>
          <t>REFERENCE 11 -- Typical Building Life Expectancy, Years (MVS Sec.97 pp.10-13, verified exact transcription)</t>
        </is>
      </c>
      <c r="C551" s="2387" t="n"/>
      <c r="D551" s="2387" t="n"/>
      <c r="E551" s="2387" t="n"/>
      <c r="F551" s="2387" t="n"/>
      <c r="G551" s="2387" t="n"/>
      <c r="H551" s="2387" t="n"/>
    </row>
    <row r="552">
      <c r="B552" s="2392" t="inlineStr">
        <is>
          <t>Some tiers are printed jointly in the manual (e.g. 'Good and Excellent') -- expanded below into one row per selectable Quality for lookup purposes; values are identical across the tiers the manual grouped together.</t>
        </is>
      </c>
    </row>
    <row r="553">
      <c r="B553" s="2388" t="inlineStr">
        <is>
          <t>Occupancy Name</t>
        </is>
      </c>
      <c r="C553" s="2388" t="inlineStr">
        <is>
          <t>Quality</t>
        </is>
      </c>
      <c r="D553" s="2388" t="inlineStr">
        <is>
          <t>Class A</t>
        </is>
      </c>
      <c r="E553" s="2388" t="inlineStr">
        <is>
          <t>Class B</t>
        </is>
      </c>
      <c r="F553" s="2388" t="inlineStr">
        <is>
          <t>Class C</t>
        </is>
      </c>
      <c r="G553" s="2388" t="inlineStr">
        <is>
          <t>Class D</t>
        </is>
      </c>
      <c r="H553" s="2388" t="inlineStr">
        <is>
          <t>Class S</t>
        </is>
      </c>
      <c r="I553" s="2388" t="inlineStr">
        <is>
          <t>Key</t>
        </is>
      </c>
    </row>
    <row r="554">
      <c r="B554" t="inlineStr">
        <is>
          <t>Storage Warehouses</t>
        </is>
      </c>
      <c r="C554" t="inlineStr">
        <is>
          <t>Excellent</t>
        </is>
      </c>
      <c r="F554" t="n">
        <v>50</v>
      </c>
      <c r="H554" t="n">
        <v>45</v>
      </c>
      <c r="I554">
        <f>B554&amp;"~"&amp;C554</f>
        <v/>
      </c>
    </row>
    <row r="555">
      <c r="B555" t="inlineStr">
        <is>
          <t>Storage Warehouses</t>
        </is>
      </c>
      <c r="C555" t="inlineStr">
        <is>
          <t>Average</t>
        </is>
      </c>
      <c r="D555" t="n">
        <v>50</v>
      </c>
      <c r="E555" t="n">
        <v>50</v>
      </c>
      <c r="F555" t="n">
        <v>45</v>
      </c>
      <c r="G555" t="n">
        <v>40</v>
      </c>
      <c r="H555" t="n">
        <v>40</v>
      </c>
      <c r="I555">
        <f>B555&amp;"~"&amp;C555</f>
        <v/>
      </c>
    </row>
    <row r="556">
      <c r="B556" t="inlineStr">
        <is>
          <t>Storage Warehouses</t>
        </is>
      </c>
      <c r="C556" t="inlineStr">
        <is>
          <t>Good</t>
        </is>
      </c>
      <c r="D556" t="n">
        <v>50</v>
      </c>
      <c r="E556" t="n">
        <v>50</v>
      </c>
      <c r="F556" t="n">
        <v>45</v>
      </c>
      <c r="G556" t="n">
        <v>40</v>
      </c>
      <c r="H556" t="n">
        <v>40</v>
      </c>
      <c r="I556">
        <f>B556&amp;"~"&amp;C556</f>
        <v/>
      </c>
    </row>
    <row r="557">
      <c r="B557" t="inlineStr">
        <is>
          <t>Storage Warehouses</t>
        </is>
      </c>
      <c r="C557" t="inlineStr">
        <is>
          <t>Cheap</t>
        </is>
      </c>
      <c r="D557" t="n">
        <v>45</v>
      </c>
      <c r="E557" t="n">
        <v>45</v>
      </c>
      <c r="F557" t="n">
        <v>40</v>
      </c>
      <c r="G557" t="n">
        <v>35</v>
      </c>
      <c r="H557" t="n">
        <v>35</v>
      </c>
      <c r="I557">
        <f>B557&amp;"~"&amp;C557</f>
        <v/>
      </c>
    </row>
    <row r="558">
      <c r="B558" t="inlineStr">
        <is>
          <t>Storage Warehouses</t>
        </is>
      </c>
      <c r="C558" t="inlineStr">
        <is>
          <t>Low Cost</t>
        </is>
      </c>
      <c r="D558" t="n">
        <v>45</v>
      </c>
      <c r="E558" t="n">
        <v>45</v>
      </c>
      <c r="F558" t="n">
        <v>40</v>
      </c>
      <c r="G558" t="n">
        <v>35</v>
      </c>
      <c r="H558" t="n">
        <v>35</v>
      </c>
      <c r="I558">
        <f>B558&amp;"~"&amp;C558</f>
        <v/>
      </c>
    </row>
    <row r="559">
      <c r="B559" t="inlineStr">
        <is>
          <t>Distribution Warehouses</t>
        </is>
      </c>
      <c r="C559" t="inlineStr">
        <is>
          <t>Good</t>
        </is>
      </c>
      <c r="D559" t="n">
        <v>55</v>
      </c>
      <c r="E559" t="n">
        <v>55</v>
      </c>
      <c r="F559" t="n">
        <v>50</v>
      </c>
      <c r="G559" t="n">
        <v>45</v>
      </c>
      <c r="H559" t="n">
        <v>45</v>
      </c>
      <c r="I559">
        <f>B559&amp;"~"&amp;C559</f>
        <v/>
      </c>
    </row>
    <row r="560">
      <c r="B560" t="inlineStr">
        <is>
          <t>Distribution Warehouses</t>
        </is>
      </c>
      <c r="C560" t="inlineStr">
        <is>
          <t>Excellent</t>
        </is>
      </c>
      <c r="D560" t="n">
        <v>55</v>
      </c>
      <c r="E560" t="n">
        <v>55</v>
      </c>
      <c r="F560" t="n">
        <v>50</v>
      </c>
      <c r="G560" t="n">
        <v>45</v>
      </c>
      <c r="H560" t="n">
        <v>45</v>
      </c>
      <c r="I560">
        <f>B560&amp;"~"&amp;C560</f>
        <v/>
      </c>
    </row>
    <row r="561">
      <c r="B561" t="inlineStr">
        <is>
          <t>Distribution Warehouses</t>
        </is>
      </c>
      <c r="C561" t="inlineStr">
        <is>
          <t>Average</t>
        </is>
      </c>
      <c r="D561" t="n">
        <v>50</v>
      </c>
      <c r="E561" t="n">
        <v>50</v>
      </c>
      <c r="F561" t="n">
        <v>45</v>
      </c>
      <c r="G561" t="n">
        <v>40</v>
      </c>
      <c r="H561" t="n">
        <v>40</v>
      </c>
      <c r="I561">
        <f>B561&amp;"~"&amp;C561</f>
        <v/>
      </c>
    </row>
    <row r="562">
      <c r="B562" t="inlineStr">
        <is>
          <t>Distribution Warehouses</t>
        </is>
      </c>
      <c r="C562" t="inlineStr">
        <is>
          <t>Low Cost</t>
        </is>
      </c>
      <c r="F562" t="n">
        <v>40</v>
      </c>
      <c r="G562" t="n">
        <v>35</v>
      </c>
      <c r="H562" t="n">
        <v>35</v>
      </c>
      <c r="I562">
        <f>B562&amp;"~"&amp;C562</f>
        <v/>
      </c>
    </row>
    <row r="563">
      <c r="B563" t="inlineStr">
        <is>
          <t>Mini-Warehouses / Self-Storage</t>
        </is>
      </c>
      <c r="C563" t="inlineStr">
        <is>
          <t>Good</t>
        </is>
      </c>
      <c r="F563" t="n">
        <v>45</v>
      </c>
      <c r="G563" t="n">
        <v>40</v>
      </c>
      <c r="H563" t="n">
        <v>40</v>
      </c>
      <c r="I563">
        <f>B563&amp;"~"&amp;C563</f>
        <v/>
      </c>
    </row>
    <row r="564">
      <c r="B564" t="inlineStr">
        <is>
          <t>Mini-Warehouses / Self-Storage</t>
        </is>
      </c>
      <c r="C564" t="inlineStr">
        <is>
          <t>Average</t>
        </is>
      </c>
      <c r="D564" t="n">
        <v>45</v>
      </c>
      <c r="E564" t="n">
        <v>45</v>
      </c>
      <c r="F564" t="n">
        <v>40</v>
      </c>
      <c r="G564" t="n">
        <v>35</v>
      </c>
      <c r="H564" t="n">
        <v>35</v>
      </c>
      <c r="I564">
        <f>B564&amp;"~"&amp;C564</f>
        <v/>
      </c>
    </row>
    <row r="565">
      <c r="B565" t="inlineStr">
        <is>
          <t>Mini-Warehouses / Self-Storage</t>
        </is>
      </c>
      <c r="C565" t="inlineStr">
        <is>
          <t>Low Cost</t>
        </is>
      </c>
      <c r="F565" t="n">
        <v>35</v>
      </c>
      <c r="G565" t="n">
        <v>30</v>
      </c>
      <c r="H565" t="n">
        <v>30</v>
      </c>
      <c r="I565">
        <f>B565&amp;"~"&amp;C565</f>
        <v/>
      </c>
    </row>
    <row r="566">
      <c r="B566" t="inlineStr">
        <is>
          <t>Mini-Warehouses / Self-Storage</t>
        </is>
      </c>
      <c r="C566" t="inlineStr">
        <is>
          <t>Cheap</t>
        </is>
      </c>
      <c r="F566" t="n">
        <v>35</v>
      </c>
      <c r="G566" t="n">
        <v>30</v>
      </c>
      <c r="H566" t="n">
        <v>30</v>
      </c>
      <c r="I566">
        <f>B566&amp;"~"&amp;C566</f>
        <v/>
      </c>
    </row>
    <row r="567">
      <c r="B567" t="inlineStr">
        <is>
          <t>Mini-Warehouses, High-Rise</t>
        </is>
      </c>
      <c r="C567" t="inlineStr">
        <is>
          <t>Good</t>
        </is>
      </c>
      <c r="F567" t="n">
        <v>45</v>
      </c>
      <c r="G567" t="n">
        <v>40</v>
      </c>
      <c r="H567" t="n">
        <v>40</v>
      </c>
      <c r="I567">
        <f>B567&amp;"~"&amp;C567</f>
        <v/>
      </c>
    </row>
    <row r="568">
      <c r="B568" t="inlineStr">
        <is>
          <t>Mini-Warehouses, High-Rise</t>
        </is>
      </c>
      <c r="C568" t="inlineStr">
        <is>
          <t>Average</t>
        </is>
      </c>
      <c r="D568" t="n">
        <v>45</v>
      </c>
      <c r="E568" t="n">
        <v>45</v>
      </c>
      <c r="F568" t="n">
        <v>40</v>
      </c>
      <c r="G568" t="n">
        <v>35</v>
      </c>
      <c r="H568" t="n">
        <v>35</v>
      </c>
      <c r="I568">
        <f>B568&amp;"~"&amp;C568</f>
        <v/>
      </c>
    </row>
    <row r="569">
      <c r="B569" t="inlineStr">
        <is>
          <t>Mini-Warehouses, High-Rise</t>
        </is>
      </c>
      <c r="C569" t="inlineStr">
        <is>
          <t>Low Cost</t>
        </is>
      </c>
      <c r="F569" t="n">
        <v>35</v>
      </c>
      <c r="G569" t="n">
        <v>30</v>
      </c>
      <c r="H569" t="n">
        <v>30</v>
      </c>
      <c r="I569">
        <f>B569&amp;"~"&amp;C569</f>
        <v/>
      </c>
    </row>
    <row r="570">
      <c r="B570" t="inlineStr">
        <is>
          <t>Industrials, Light Manufacturing</t>
        </is>
      </c>
      <c r="C570" t="inlineStr">
        <is>
          <t>Good</t>
        </is>
      </c>
      <c r="D570" t="n">
        <v>50</v>
      </c>
      <c r="E570" t="n">
        <v>50</v>
      </c>
      <c r="F570" t="n">
        <v>45</v>
      </c>
      <c r="G570" t="n">
        <v>40</v>
      </c>
      <c r="H570" t="n">
        <v>40</v>
      </c>
      <c r="I570">
        <f>B570&amp;"~"&amp;C570</f>
        <v/>
      </c>
    </row>
    <row r="571">
      <c r="B571" t="inlineStr">
        <is>
          <t>Industrials, Light Manufacturing</t>
        </is>
      </c>
      <c r="C571" t="inlineStr">
        <is>
          <t>Average</t>
        </is>
      </c>
      <c r="D571" t="n">
        <v>50</v>
      </c>
      <c r="E571" t="n">
        <v>50</v>
      </c>
      <c r="F571" t="n">
        <v>40</v>
      </c>
      <c r="G571" t="n">
        <v>35</v>
      </c>
      <c r="H571" t="n">
        <v>35</v>
      </c>
      <c r="I571">
        <f>B571&amp;"~"&amp;C571</f>
        <v/>
      </c>
    </row>
    <row r="572">
      <c r="B572" t="inlineStr">
        <is>
          <t>Industrials, Light Manufacturing</t>
        </is>
      </c>
      <c r="C572" t="inlineStr">
        <is>
          <t>Low Cost</t>
        </is>
      </c>
      <c r="D572" t="n">
        <v>45</v>
      </c>
      <c r="E572" t="n">
        <v>45</v>
      </c>
      <c r="F572" t="n">
        <v>40</v>
      </c>
      <c r="G572" t="n">
        <v>35</v>
      </c>
      <c r="H572" t="n">
        <v>35</v>
      </c>
      <c r="I572">
        <f>B572&amp;"~"&amp;C572</f>
        <v/>
      </c>
    </row>
    <row r="573">
      <c r="B573" t="inlineStr">
        <is>
          <t>Industrials, Heavy (Process) Manufacturing</t>
        </is>
      </c>
      <c r="C573" t="inlineStr">
        <is>
          <t>Good</t>
        </is>
      </c>
      <c r="D573" t="n">
        <v>60</v>
      </c>
      <c r="E573" t="n">
        <v>60</v>
      </c>
      <c r="F573" t="n">
        <v>55</v>
      </c>
      <c r="H573" t="n">
        <v>50</v>
      </c>
      <c r="I573">
        <f>B573&amp;"~"&amp;C573</f>
        <v/>
      </c>
    </row>
    <row r="574">
      <c r="B574" t="inlineStr">
        <is>
          <t>Industrials, Heavy (Process) Manufacturing</t>
        </is>
      </c>
      <c r="C574" t="inlineStr">
        <is>
          <t>Excellent</t>
        </is>
      </c>
      <c r="D574" t="n">
        <v>60</v>
      </c>
      <c r="E574" t="n">
        <v>60</v>
      </c>
      <c r="F574" t="n">
        <v>55</v>
      </c>
      <c r="H574" t="n">
        <v>50</v>
      </c>
      <c r="I574">
        <f>B574&amp;"~"&amp;C574</f>
        <v/>
      </c>
    </row>
    <row r="575">
      <c r="B575" t="inlineStr">
        <is>
          <t>Industrials, Heavy (Process) Manufacturing</t>
        </is>
      </c>
      <c r="C575" t="inlineStr">
        <is>
          <t>Low Cost</t>
        </is>
      </c>
      <c r="D575" t="n">
        <v>55</v>
      </c>
      <c r="E575" t="n">
        <v>55</v>
      </c>
      <c r="F575" t="n">
        <v>50</v>
      </c>
      <c r="G575" t="n">
        <v>45</v>
      </c>
      <c r="H575" t="n">
        <v>45</v>
      </c>
      <c r="I575">
        <f>B575&amp;"~"&amp;C575</f>
        <v/>
      </c>
    </row>
    <row r="576">
      <c r="B576" t="inlineStr">
        <is>
          <t>Industrials, Heavy (Process) Manufacturing</t>
        </is>
      </c>
      <c r="C576" t="inlineStr">
        <is>
          <t>Average</t>
        </is>
      </c>
      <c r="D576" t="n">
        <v>55</v>
      </c>
      <c r="E576" t="n">
        <v>55</v>
      </c>
      <c r="F576" t="n">
        <v>50</v>
      </c>
      <c r="G576" t="n">
        <v>45</v>
      </c>
      <c r="H576" t="n">
        <v>45</v>
      </c>
      <c r="I576">
        <f>B576&amp;"~"&amp;C576</f>
        <v/>
      </c>
    </row>
    <row r="577">
      <c r="B577" t="inlineStr">
        <is>
          <t>Service Garages (Commercial/Repair)</t>
        </is>
      </c>
      <c r="C577" t="inlineStr">
        <is>
          <t>Good</t>
        </is>
      </c>
      <c r="F577" t="n">
        <v>40</v>
      </c>
      <c r="G577" t="n">
        <v>35</v>
      </c>
      <c r="H577" t="n">
        <v>35</v>
      </c>
      <c r="I577">
        <f>B577&amp;"~"&amp;C577</f>
        <v/>
      </c>
    </row>
    <row r="578">
      <c r="B578" t="inlineStr">
        <is>
          <t>Service Garages (Commercial/Repair)</t>
        </is>
      </c>
      <c r="C578" t="inlineStr">
        <is>
          <t>Excellent</t>
        </is>
      </c>
      <c r="F578" t="n">
        <v>40</v>
      </c>
      <c r="G578" t="n">
        <v>35</v>
      </c>
      <c r="H578" t="n">
        <v>35</v>
      </c>
      <c r="I578">
        <f>B578&amp;"~"&amp;C578</f>
        <v/>
      </c>
    </row>
    <row r="579">
      <c r="B579" t="inlineStr">
        <is>
          <t>Service Garages (Commercial/Repair)</t>
        </is>
      </c>
      <c r="C579" t="inlineStr">
        <is>
          <t>Low Cost</t>
        </is>
      </c>
      <c r="D579" t="n">
        <v>40</v>
      </c>
      <c r="E579" t="n">
        <v>40</v>
      </c>
      <c r="F579" t="n">
        <v>35</v>
      </c>
      <c r="G579" t="n">
        <v>30</v>
      </c>
      <c r="H579" t="n">
        <v>30</v>
      </c>
      <c r="I579">
        <f>B579&amp;"~"&amp;C579</f>
        <v/>
      </c>
    </row>
    <row r="580">
      <c r="B580" t="inlineStr">
        <is>
          <t>Service Garages (Commercial/Repair)</t>
        </is>
      </c>
      <c r="C580" t="inlineStr">
        <is>
          <t>Average</t>
        </is>
      </c>
      <c r="D580" t="n">
        <v>40</v>
      </c>
      <c r="E580" t="n">
        <v>40</v>
      </c>
      <c r="F580" t="n">
        <v>35</v>
      </c>
      <c r="G580" t="n">
        <v>30</v>
      </c>
      <c r="H580" t="n">
        <v>30</v>
      </c>
      <c r="I580">
        <f>B580&amp;"~"&amp;C580</f>
        <v/>
      </c>
    </row>
    <row r="581">
      <c r="B581" t="inlineStr">
        <is>
          <t>Retail Stores</t>
        </is>
      </c>
      <c r="C581" t="inlineStr">
        <is>
          <t>Good</t>
        </is>
      </c>
      <c r="D581" t="n">
        <v>55</v>
      </c>
      <c r="E581" t="n">
        <v>55</v>
      </c>
      <c r="F581" t="n">
        <v>50</v>
      </c>
      <c r="G581" t="n">
        <v>45</v>
      </c>
      <c r="H581" t="n">
        <v>45</v>
      </c>
      <c r="I581">
        <f>B581&amp;"~"&amp;C581</f>
        <v/>
      </c>
    </row>
    <row r="582">
      <c r="B582" t="inlineStr">
        <is>
          <t>Retail Stores</t>
        </is>
      </c>
      <c r="C582" t="inlineStr">
        <is>
          <t>Excellent</t>
        </is>
      </c>
      <c r="D582" t="n">
        <v>55</v>
      </c>
      <c r="E582" t="n">
        <v>55</v>
      </c>
      <c r="F582" t="n">
        <v>50</v>
      </c>
      <c r="G582" t="n">
        <v>45</v>
      </c>
      <c r="H582" t="n">
        <v>45</v>
      </c>
      <c r="I582">
        <f>B582&amp;"~"&amp;C582</f>
        <v/>
      </c>
    </row>
    <row r="583">
      <c r="B583" t="inlineStr">
        <is>
          <t>Retail Stores</t>
        </is>
      </c>
      <c r="C583" t="inlineStr">
        <is>
          <t>Average</t>
        </is>
      </c>
      <c r="D583" t="n">
        <v>50</v>
      </c>
      <c r="E583" t="n">
        <v>50</v>
      </c>
      <c r="F583" t="n">
        <v>45</v>
      </c>
      <c r="G583" t="n">
        <v>40</v>
      </c>
      <c r="H583" t="n">
        <v>40</v>
      </c>
      <c r="I583">
        <f>B583&amp;"~"&amp;C583</f>
        <v/>
      </c>
    </row>
    <row r="584">
      <c r="B584" t="inlineStr">
        <is>
          <t>Retail Stores</t>
        </is>
      </c>
      <c r="C584" t="inlineStr">
        <is>
          <t>Low Cost</t>
        </is>
      </c>
      <c r="D584" t="n">
        <v>45</v>
      </c>
      <c r="E584" t="n">
        <v>45</v>
      </c>
      <c r="F584" t="n">
        <v>40</v>
      </c>
      <c r="G584" t="n">
        <v>40</v>
      </c>
      <c r="H584" t="n">
        <v>40</v>
      </c>
      <c r="I584">
        <f>B584&amp;"~"&amp;C584</f>
        <v/>
      </c>
    </row>
    <row r="585">
      <c r="B585" t="inlineStr">
        <is>
          <t>Neighborhood Shopping Centers</t>
        </is>
      </c>
      <c r="C585" t="inlineStr">
        <is>
          <t>Good</t>
        </is>
      </c>
      <c r="F585" t="n">
        <v>45</v>
      </c>
      <c r="G585" t="n">
        <v>40</v>
      </c>
      <c r="I585">
        <f>B585&amp;"~"&amp;C585</f>
        <v/>
      </c>
    </row>
    <row r="586">
      <c r="B586" t="inlineStr">
        <is>
          <t>Neighborhood Shopping Centers</t>
        </is>
      </c>
      <c r="C586" t="inlineStr">
        <is>
          <t>Average</t>
        </is>
      </c>
      <c r="F586" t="n">
        <v>40</v>
      </c>
      <c r="G586" t="n">
        <v>35</v>
      </c>
      <c r="H586" t="n">
        <v>35</v>
      </c>
      <c r="I586">
        <f>B586&amp;"~"&amp;C586</f>
        <v/>
      </c>
    </row>
    <row r="587">
      <c r="B587" t="inlineStr">
        <is>
          <t>Neighborhood Shopping Centers</t>
        </is>
      </c>
      <c r="C587" t="inlineStr">
        <is>
          <t>Low Cost</t>
        </is>
      </c>
      <c r="F587" t="n">
        <v>35</v>
      </c>
      <c r="G587" t="n">
        <v>30</v>
      </c>
      <c r="H587" t="n">
        <v>30</v>
      </c>
      <c r="I587">
        <f>B587&amp;"~"&amp;C587</f>
        <v/>
      </c>
    </row>
    <row r="588">
      <c r="B588" t="inlineStr">
        <is>
          <t>Community Shopping Centers</t>
        </is>
      </c>
      <c r="C588" t="inlineStr">
        <is>
          <t>Good</t>
        </is>
      </c>
      <c r="F588" t="n">
        <v>50</v>
      </c>
      <c r="G588" t="n">
        <v>45</v>
      </c>
      <c r="H588" t="n">
        <v>45</v>
      </c>
      <c r="I588">
        <f>B588&amp;"~"&amp;C588</f>
        <v/>
      </c>
    </row>
    <row r="589">
      <c r="B589" t="inlineStr">
        <is>
          <t>Community Shopping Centers</t>
        </is>
      </c>
      <c r="C589" t="inlineStr">
        <is>
          <t>Excellent</t>
        </is>
      </c>
      <c r="F589" t="n">
        <v>50</v>
      </c>
      <c r="G589" t="n">
        <v>45</v>
      </c>
      <c r="H589" t="n">
        <v>45</v>
      </c>
      <c r="I589">
        <f>B589&amp;"~"&amp;C589</f>
        <v/>
      </c>
    </row>
    <row r="590">
      <c r="B590" t="inlineStr">
        <is>
          <t>Community Shopping Centers</t>
        </is>
      </c>
      <c r="C590" t="inlineStr">
        <is>
          <t>Average</t>
        </is>
      </c>
      <c r="F590" t="n">
        <v>45</v>
      </c>
      <c r="G590" t="n">
        <v>40</v>
      </c>
      <c r="H590" t="n">
        <v>40</v>
      </c>
      <c r="I590">
        <f>B590&amp;"~"&amp;C590</f>
        <v/>
      </c>
    </row>
    <row r="591">
      <c r="B591" t="inlineStr">
        <is>
          <t>Community Shopping Centers</t>
        </is>
      </c>
      <c r="C591" t="inlineStr">
        <is>
          <t>Low Cost</t>
        </is>
      </c>
      <c r="F591" t="n">
        <v>45</v>
      </c>
      <c r="G591" t="n">
        <v>40</v>
      </c>
      <c r="H591" t="n">
        <v>40</v>
      </c>
      <c r="I591">
        <f>B591&amp;"~"&amp;C591</f>
        <v/>
      </c>
    </row>
    <row r="592">
      <c r="B592" t="inlineStr">
        <is>
          <t>Regional Shopping Centers</t>
        </is>
      </c>
      <c r="C592" t="inlineStr">
        <is>
          <t>Good</t>
        </is>
      </c>
      <c r="D592" t="n">
        <v>55</v>
      </c>
      <c r="E592" t="n">
        <v>55</v>
      </c>
      <c r="F592" t="n">
        <v>55</v>
      </c>
      <c r="G592" t="n">
        <v>50</v>
      </c>
      <c r="I592">
        <f>B592&amp;"~"&amp;C592</f>
        <v/>
      </c>
    </row>
    <row r="593">
      <c r="B593" t="inlineStr">
        <is>
          <t>Regional Shopping Centers</t>
        </is>
      </c>
      <c r="C593" t="inlineStr">
        <is>
          <t>Excellent</t>
        </is>
      </c>
      <c r="D593" t="n">
        <v>55</v>
      </c>
      <c r="E593" t="n">
        <v>55</v>
      </c>
      <c r="F593" t="n">
        <v>55</v>
      </c>
      <c r="G593" t="n">
        <v>50</v>
      </c>
      <c r="I593">
        <f>B593&amp;"~"&amp;C593</f>
        <v/>
      </c>
    </row>
    <row r="594">
      <c r="B594" t="inlineStr">
        <is>
          <t>Regional Shopping Centers</t>
        </is>
      </c>
      <c r="C594" t="inlineStr">
        <is>
          <t>Average</t>
        </is>
      </c>
      <c r="F594" t="n">
        <v>50</v>
      </c>
      <c r="G594" t="n">
        <v>45</v>
      </c>
      <c r="H594" t="n">
        <v>45</v>
      </c>
      <c r="I594">
        <f>B594&amp;"~"&amp;C594</f>
        <v/>
      </c>
    </row>
    <row r="595">
      <c r="B595" t="inlineStr">
        <is>
          <t>Regional Shopping Centers</t>
        </is>
      </c>
      <c r="C595" t="inlineStr">
        <is>
          <t>Good*</t>
        </is>
      </c>
      <c r="D595" t="n">
        <v>55</v>
      </c>
      <c r="E595" t="n">
        <v>55</v>
      </c>
      <c r="F595" t="n">
        <v>55</v>
      </c>
      <c r="G595" t="n">
        <v>50</v>
      </c>
      <c r="I595">
        <f>B595&amp;"~"&amp;C595</f>
        <v/>
      </c>
    </row>
    <row r="596">
      <c r="B596" t="inlineStr">
        <is>
          <t>Regional Shopping Centers</t>
        </is>
      </c>
      <c r="C596" t="inlineStr">
        <is>
          <t>Excellent*</t>
        </is>
      </c>
      <c r="D596" t="n">
        <v>55</v>
      </c>
      <c r="E596" t="n">
        <v>55</v>
      </c>
      <c r="F596" t="n">
        <v>55</v>
      </c>
      <c r="G596" t="n">
        <v>50</v>
      </c>
      <c r="I596">
        <f>B596&amp;"~"&amp;C596</f>
        <v/>
      </c>
    </row>
    <row r="597">
      <c r="B597" t="inlineStr">
        <is>
          <t>Department Stores</t>
        </is>
      </c>
      <c r="C597" t="inlineStr">
        <is>
          <t>Good</t>
        </is>
      </c>
      <c r="D597" t="n">
        <v>55</v>
      </c>
      <c r="E597" t="n">
        <v>55</v>
      </c>
      <c r="F597" t="n">
        <v>50</v>
      </c>
      <c r="I597">
        <f>B597&amp;"~"&amp;C597</f>
        <v/>
      </c>
    </row>
    <row r="598">
      <c r="B598" t="inlineStr">
        <is>
          <t>Department Stores</t>
        </is>
      </c>
      <c r="C598" t="inlineStr">
        <is>
          <t>Excellent</t>
        </is>
      </c>
      <c r="D598" t="n">
        <v>55</v>
      </c>
      <c r="E598" t="n">
        <v>55</v>
      </c>
      <c r="F598" t="n">
        <v>50</v>
      </c>
      <c r="I598">
        <f>B598&amp;"~"&amp;C598</f>
        <v/>
      </c>
    </row>
    <row r="599">
      <c r="B599" t="inlineStr">
        <is>
          <t>Department Stores</t>
        </is>
      </c>
      <c r="C599" t="inlineStr">
        <is>
          <t>Low Cost</t>
        </is>
      </c>
      <c r="D599" t="n">
        <v>50</v>
      </c>
      <c r="E599" t="n">
        <v>50</v>
      </c>
      <c r="F599" t="n">
        <v>45</v>
      </c>
      <c r="I599">
        <f>B599&amp;"~"&amp;C599</f>
        <v/>
      </c>
    </row>
    <row r="600">
      <c r="B600" t="inlineStr">
        <is>
          <t>Department Stores</t>
        </is>
      </c>
      <c r="C600" t="inlineStr">
        <is>
          <t>Average</t>
        </is>
      </c>
      <c r="D600" t="n">
        <v>50</v>
      </c>
      <c r="E600" t="n">
        <v>50</v>
      </c>
      <c r="F600" t="n">
        <v>45</v>
      </c>
      <c r="I600">
        <f>B600&amp;"~"&amp;C600</f>
        <v/>
      </c>
    </row>
    <row r="601">
      <c r="B601" t="inlineStr">
        <is>
          <t>Discount Stores</t>
        </is>
      </c>
      <c r="C601" t="inlineStr">
        <is>
          <t>Good</t>
        </is>
      </c>
      <c r="F601" t="n">
        <v>40</v>
      </c>
      <c r="G601" t="n">
        <v>35</v>
      </c>
      <c r="H601" t="n">
        <v>35</v>
      </c>
      <c r="I601">
        <f>B601&amp;"~"&amp;C601</f>
        <v/>
      </c>
    </row>
    <row r="602">
      <c r="B602" t="inlineStr">
        <is>
          <t>Discount Stores</t>
        </is>
      </c>
      <c r="C602" t="inlineStr">
        <is>
          <t>Low Cost</t>
        </is>
      </c>
      <c r="D602" t="n">
        <v>40</v>
      </c>
      <c r="E602" t="n">
        <v>40</v>
      </c>
      <c r="F602" t="n">
        <v>35</v>
      </c>
      <c r="G602" t="n">
        <v>30</v>
      </c>
      <c r="H602" t="n">
        <v>30</v>
      </c>
      <c r="I602">
        <f>B602&amp;"~"&amp;C602</f>
        <v/>
      </c>
    </row>
    <row r="603">
      <c r="B603" t="inlineStr">
        <is>
          <t>Discount Stores</t>
        </is>
      </c>
      <c r="C603" t="inlineStr">
        <is>
          <t>Average</t>
        </is>
      </c>
      <c r="D603" t="n">
        <v>40</v>
      </c>
      <c r="E603" t="n">
        <v>40</v>
      </c>
      <c r="F603" t="n">
        <v>35</v>
      </c>
      <c r="G603" t="n">
        <v>30</v>
      </c>
      <c r="H603" t="n">
        <v>30</v>
      </c>
      <c r="I603">
        <f>B603&amp;"~"&amp;C603</f>
        <v/>
      </c>
    </row>
    <row r="604">
      <c r="B604" t="inlineStr">
        <is>
          <t>Office Buildings</t>
        </is>
      </c>
      <c r="C604" t="inlineStr">
        <is>
          <t>Good</t>
        </is>
      </c>
      <c r="D604" t="n">
        <v>60</v>
      </c>
      <c r="E604" t="n">
        <v>60</v>
      </c>
      <c r="F604" t="n">
        <v>55</v>
      </c>
      <c r="G604" t="n">
        <v>50</v>
      </c>
      <c r="H604" t="n">
        <v>50</v>
      </c>
      <c r="I604">
        <f>B604&amp;"~"&amp;C604</f>
        <v/>
      </c>
    </row>
    <row r="605">
      <c r="B605" t="inlineStr">
        <is>
          <t>Office Buildings</t>
        </is>
      </c>
      <c r="C605" t="inlineStr">
        <is>
          <t>Excellent</t>
        </is>
      </c>
      <c r="D605" t="n">
        <v>60</v>
      </c>
      <c r="E605" t="n">
        <v>60</v>
      </c>
      <c r="F605" t="n">
        <v>55</v>
      </c>
      <c r="G605" t="n">
        <v>50</v>
      </c>
      <c r="H605" t="n">
        <v>50</v>
      </c>
      <c r="I605">
        <f>B605&amp;"~"&amp;C605</f>
        <v/>
      </c>
    </row>
    <row r="606">
      <c r="B606" t="inlineStr">
        <is>
          <t>Office Buildings</t>
        </is>
      </c>
      <c r="C606" t="inlineStr">
        <is>
          <t>Average</t>
        </is>
      </c>
      <c r="D606" t="n">
        <v>55</v>
      </c>
      <c r="E606" t="n">
        <v>55</v>
      </c>
      <c r="F606" t="n">
        <v>50</v>
      </c>
      <c r="G606" t="n">
        <v>45</v>
      </c>
      <c r="H606" t="n">
        <v>45</v>
      </c>
      <c r="I606">
        <f>B606&amp;"~"&amp;C606</f>
        <v/>
      </c>
    </row>
    <row r="607">
      <c r="B607" t="inlineStr">
        <is>
          <t>Office Buildings</t>
        </is>
      </c>
      <c r="C607" t="inlineStr">
        <is>
          <t>Low Cost</t>
        </is>
      </c>
      <c r="D607" t="n">
        <v>50</v>
      </c>
      <c r="E607" t="n">
        <v>50</v>
      </c>
      <c r="F607" t="n">
        <v>45</v>
      </c>
      <c r="G607" t="n">
        <v>40</v>
      </c>
      <c r="H607" t="n">
        <v>40</v>
      </c>
      <c r="I607">
        <f>B607&amp;"~"&amp;C607</f>
        <v/>
      </c>
    </row>
    <row r="608">
      <c r="B608" t="inlineStr">
        <is>
          <t>Medical Office Buildings</t>
        </is>
      </c>
      <c r="C608" t="inlineStr">
        <is>
          <t>Good</t>
        </is>
      </c>
      <c r="D608" t="n">
        <v>50</v>
      </c>
      <c r="E608" t="n">
        <v>50</v>
      </c>
      <c r="F608" t="n">
        <v>45</v>
      </c>
      <c r="G608" t="n">
        <v>40</v>
      </c>
      <c r="H608" t="n">
        <v>40</v>
      </c>
      <c r="I608">
        <f>B608&amp;"~"&amp;C608</f>
        <v/>
      </c>
    </row>
    <row r="609">
      <c r="B609" t="inlineStr">
        <is>
          <t>Medical Office Buildings</t>
        </is>
      </c>
      <c r="C609" t="inlineStr">
        <is>
          <t>Excellent</t>
        </is>
      </c>
      <c r="D609" t="n">
        <v>50</v>
      </c>
      <c r="E609" t="n">
        <v>50</v>
      </c>
      <c r="F609" t="n">
        <v>45</v>
      </c>
      <c r="G609" t="n">
        <v>40</v>
      </c>
      <c r="H609" t="n">
        <v>40</v>
      </c>
      <c r="I609">
        <f>B609&amp;"~"&amp;C609</f>
        <v/>
      </c>
    </row>
    <row r="610">
      <c r="B610" t="inlineStr">
        <is>
          <t>Medical Office Buildings</t>
        </is>
      </c>
      <c r="C610" t="inlineStr">
        <is>
          <t>Low Cost</t>
        </is>
      </c>
      <c r="D610" t="n">
        <v>45</v>
      </c>
      <c r="E610" t="n">
        <v>45</v>
      </c>
      <c r="F610" t="n">
        <v>40</v>
      </c>
      <c r="G610" t="n">
        <v>35</v>
      </c>
      <c r="H610" t="n">
        <v>35</v>
      </c>
      <c r="I610">
        <f>B610&amp;"~"&amp;C610</f>
        <v/>
      </c>
    </row>
    <row r="611">
      <c r="B611" t="inlineStr">
        <is>
          <t>Medical Office Buildings</t>
        </is>
      </c>
      <c r="C611" t="inlineStr">
        <is>
          <t>Average</t>
        </is>
      </c>
      <c r="D611" t="n">
        <v>45</v>
      </c>
      <c r="E611" t="n">
        <v>45</v>
      </c>
      <c r="F611" t="n">
        <v>40</v>
      </c>
      <c r="G611" t="n">
        <v>35</v>
      </c>
      <c r="H611" t="n">
        <v>35</v>
      </c>
      <c r="I611">
        <f>B611&amp;"~"&amp;C611</f>
        <v/>
      </c>
    </row>
    <row r="612">
      <c r="B612" t="inlineStr">
        <is>
          <t>Banks, Branch</t>
        </is>
      </c>
      <c r="C612" t="inlineStr">
        <is>
          <t>Good</t>
        </is>
      </c>
      <c r="D612" t="n">
        <v>60</v>
      </c>
      <c r="E612" t="n">
        <v>60</v>
      </c>
      <c r="F612" t="n">
        <v>55</v>
      </c>
      <c r="G612" t="n">
        <v>50</v>
      </c>
      <c r="H612" t="n">
        <v>50</v>
      </c>
      <c r="I612">
        <f>B612&amp;"~"&amp;C612</f>
        <v/>
      </c>
    </row>
    <row r="613">
      <c r="B613" t="inlineStr">
        <is>
          <t>Banks, Branch</t>
        </is>
      </c>
      <c r="C613" t="inlineStr">
        <is>
          <t>Excellent</t>
        </is>
      </c>
      <c r="D613" t="n">
        <v>60</v>
      </c>
      <c r="E613" t="n">
        <v>60</v>
      </c>
      <c r="F613" t="n">
        <v>55</v>
      </c>
      <c r="G613" t="n">
        <v>50</v>
      </c>
      <c r="H613" t="n">
        <v>50</v>
      </c>
      <c r="I613">
        <f>B613&amp;"~"&amp;C613</f>
        <v/>
      </c>
    </row>
    <row r="614">
      <c r="B614" t="inlineStr">
        <is>
          <t>Banks, Branch</t>
        </is>
      </c>
      <c r="C614" t="inlineStr">
        <is>
          <t>Average</t>
        </is>
      </c>
      <c r="D614" t="n">
        <v>55</v>
      </c>
      <c r="E614" t="n">
        <v>55</v>
      </c>
      <c r="F614" t="n">
        <v>50</v>
      </c>
      <c r="G614" t="n">
        <v>45</v>
      </c>
      <c r="H614" t="n">
        <v>45</v>
      </c>
      <c r="I614">
        <f>B614&amp;"~"&amp;C614</f>
        <v/>
      </c>
    </row>
    <row r="615">
      <c r="B615" t="inlineStr">
        <is>
          <t>Banks, Branch</t>
        </is>
      </c>
      <c r="C615" t="inlineStr">
        <is>
          <t>Low Cost</t>
        </is>
      </c>
      <c r="D615" t="n">
        <v>50</v>
      </c>
      <c r="E615" t="n">
        <v>50</v>
      </c>
      <c r="F615" t="n">
        <v>45</v>
      </c>
      <c r="G615" t="n">
        <v>40</v>
      </c>
      <c r="H615" t="n">
        <v>40</v>
      </c>
      <c r="I615">
        <f>B615&amp;"~"&amp;C615</f>
        <v/>
      </c>
    </row>
    <row r="616">
      <c r="B616" t="inlineStr">
        <is>
          <t>Hotels, Full Service</t>
        </is>
      </c>
      <c r="C616" t="inlineStr">
        <is>
          <t>Good</t>
        </is>
      </c>
      <c r="D616" t="n">
        <v>60</v>
      </c>
      <c r="E616" t="n">
        <v>60</v>
      </c>
      <c r="F616" t="n">
        <v>50</v>
      </c>
      <c r="G616" t="n">
        <v>45</v>
      </c>
      <c r="I616">
        <f>B616&amp;"~"&amp;C616</f>
        <v/>
      </c>
    </row>
    <row r="617">
      <c r="B617" t="inlineStr">
        <is>
          <t>Hotels, Full Service</t>
        </is>
      </c>
      <c r="C617" t="inlineStr">
        <is>
          <t>Excellent</t>
        </is>
      </c>
      <c r="D617" t="n">
        <v>60</v>
      </c>
      <c r="E617" t="n">
        <v>60</v>
      </c>
      <c r="F617" t="n">
        <v>50</v>
      </c>
      <c r="G617" t="n">
        <v>45</v>
      </c>
      <c r="I617">
        <f>B617&amp;"~"&amp;C617</f>
        <v/>
      </c>
    </row>
    <row r="618">
      <c r="B618" t="inlineStr">
        <is>
          <t>Hotels, Full Service</t>
        </is>
      </c>
      <c r="C618" t="inlineStr">
        <is>
          <t>Average</t>
        </is>
      </c>
      <c r="D618" t="n">
        <v>55</v>
      </c>
      <c r="E618" t="n">
        <v>55</v>
      </c>
      <c r="F618" t="n">
        <v>50</v>
      </c>
      <c r="G618" t="n">
        <v>45</v>
      </c>
      <c r="I618">
        <f>B618&amp;"~"&amp;C618</f>
        <v/>
      </c>
    </row>
    <row r="619">
      <c r="B619" t="inlineStr">
        <is>
          <t>Hotels, Full Service</t>
        </is>
      </c>
      <c r="C619" t="inlineStr">
        <is>
          <t>Low Cost</t>
        </is>
      </c>
      <c r="D619" t="n">
        <v>50</v>
      </c>
      <c r="E619" t="n">
        <v>50</v>
      </c>
      <c r="F619" t="n">
        <v>45</v>
      </c>
      <c r="G619" t="n">
        <v>40</v>
      </c>
      <c r="I619">
        <f>B619&amp;"~"&amp;C619</f>
        <v/>
      </c>
    </row>
    <row r="620">
      <c r="B620" t="inlineStr">
        <is>
          <t>Hotels, Limited Service</t>
        </is>
      </c>
      <c r="C620" t="inlineStr">
        <is>
          <t>Excellent</t>
        </is>
      </c>
      <c r="D620" t="n">
        <v>60</v>
      </c>
      <c r="E620" t="n">
        <v>60</v>
      </c>
      <c r="F620" t="n">
        <v>50</v>
      </c>
      <c r="I620">
        <f>B620&amp;"~"&amp;C620</f>
        <v/>
      </c>
    </row>
    <row r="621">
      <c r="B621" t="inlineStr">
        <is>
          <t>Hotels, Limited Service</t>
        </is>
      </c>
      <c r="C621" t="inlineStr">
        <is>
          <t>Good</t>
        </is>
      </c>
      <c r="D621" t="n">
        <v>55</v>
      </c>
      <c r="E621" t="n">
        <v>55</v>
      </c>
      <c r="F621" t="n">
        <v>50</v>
      </c>
      <c r="G621" t="n">
        <v>45</v>
      </c>
      <c r="I621">
        <f>B621&amp;"~"&amp;C621</f>
        <v/>
      </c>
    </row>
    <row r="622">
      <c r="B622" t="inlineStr">
        <is>
          <t>Hotels, Limited Service</t>
        </is>
      </c>
      <c r="C622" t="inlineStr">
        <is>
          <t>Low Cost</t>
        </is>
      </c>
      <c r="D622" t="n">
        <v>50</v>
      </c>
      <c r="E622" t="n">
        <v>50</v>
      </c>
      <c r="F622" t="n">
        <v>45</v>
      </c>
      <c r="G622" t="n">
        <v>40</v>
      </c>
      <c r="H622" t="n">
        <v>40</v>
      </c>
      <c r="I622">
        <f>B622&amp;"~"&amp;C622</f>
        <v/>
      </c>
    </row>
    <row r="623">
      <c r="B623" t="inlineStr">
        <is>
          <t>Hotels, Limited Service</t>
        </is>
      </c>
      <c r="C623" t="inlineStr">
        <is>
          <t>Average</t>
        </is>
      </c>
      <c r="D623" t="n">
        <v>50</v>
      </c>
      <c r="E623" t="n">
        <v>50</v>
      </c>
      <c r="F623" t="n">
        <v>45</v>
      </c>
      <c r="G623" t="n">
        <v>40</v>
      </c>
      <c r="H623" t="n">
        <v>40</v>
      </c>
      <c r="I623">
        <f>B623&amp;"~"&amp;C623</f>
        <v/>
      </c>
    </row>
    <row r="625">
      <c r="B625" s="2387" t="inlineStr">
        <is>
          <t>REFERENCE 12 -- Depreciation Percent-Good Table, Commercial Properties (MVS Sec.97 p.24). Applies to Sections 11/13/14/15 per MVS's own 'Properties Included' key.</t>
        </is>
      </c>
      <c r="C625" s="2387" t="n"/>
      <c r="D625" s="2387" t="n"/>
      <c r="E625" s="2387" t="n"/>
      <c r="F625" s="2387" t="n"/>
      <c r="G625" s="2387" t="n"/>
      <c r="H625" s="2387" t="n"/>
    </row>
    <row r="626">
      <c r="B626" s="2392" t="inlineStr">
        <is>
          <t>Blank cells = combination not tabulated in the manual (effective age exceeds what's charted for that life expectancy) -- treat as fully/near-fully depreciated; see Sec.97 salvage-value guidance.</t>
        </is>
      </c>
    </row>
    <row r="627">
      <c r="B627" s="2388" t="inlineStr">
        <is>
          <t>Effective Age (yrs) \ Typical Life (yrs) -&gt;</t>
        </is>
      </c>
      <c r="C627" s="2388" t="n">
        <v>70</v>
      </c>
      <c r="D627" s="2388" t="n">
        <v>60</v>
      </c>
      <c r="E627" s="2388" t="n">
        <v>55</v>
      </c>
      <c r="F627" s="2388" t="n">
        <v>50</v>
      </c>
      <c r="G627" s="2388" t="n">
        <v>45</v>
      </c>
      <c r="H627" s="2388" t="n">
        <v>40</v>
      </c>
      <c r="I627" s="2388" t="n">
        <v>35</v>
      </c>
      <c r="J627" s="2388" t="n">
        <v>30</v>
      </c>
      <c r="K627" s="2388" t="n">
        <v>25</v>
      </c>
      <c r="L627" s="2388" t="n">
        <v>20</v>
      </c>
    </row>
    <row r="628">
      <c r="B628" t="n">
        <v>1</v>
      </c>
      <c r="C628" t="n">
        <v>0</v>
      </c>
      <c r="D628" t="n">
        <v>0</v>
      </c>
      <c r="E628" t="n">
        <v>0</v>
      </c>
      <c r="F628" t="n">
        <v>0</v>
      </c>
      <c r="G628" t="n">
        <v>1</v>
      </c>
      <c r="H628" t="n">
        <v>1</v>
      </c>
      <c r="I628" t="n">
        <v>1</v>
      </c>
      <c r="J628" t="n">
        <v>2</v>
      </c>
      <c r="K628" t="n">
        <v>2</v>
      </c>
      <c r="L628" t="n">
        <v>3</v>
      </c>
    </row>
    <row r="629">
      <c r="B629" t="n">
        <v>2</v>
      </c>
      <c r="C629" t="n">
        <v>0</v>
      </c>
      <c r="D629" t="n">
        <v>1</v>
      </c>
      <c r="E629" t="n">
        <v>1</v>
      </c>
      <c r="F629" t="n">
        <v>1</v>
      </c>
      <c r="G629" t="n">
        <v>1</v>
      </c>
      <c r="H629" t="n">
        <v>2</v>
      </c>
      <c r="I629" t="n">
        <v>2</v>
      </c>
      <c r="J629" t="n">
        <v>3</v>
      </c>
      <c r="K629" t="n">
        <v>5</v>
      </c>
      <c r="L629" t="n">
        <v>7</v>
      </c>
    </row>
    <row r="630">
      <c r="B630" t="n">
        <v>3</v>
      </c>
      <c r="C630" t="n">
        <v>0</v>
      </c>
      <c r="D630" t="n">
        <v>1</v>
      </c>
      <c r="E630" t="n">
        <v>1</v>
      </c>
      <c r="F630" t="n">
        <v>1</v>
      </c>
      <c r="G630" t="n">
        <v>2</v>
      </c>
      <c r="H630" t="n">
        <v>3</v>
      </c>
      <c r="I630" t="n">
        <v>4</v>
      </c>
      <c r="J630" t="n">
        <v>5</v>
      </c>
      <c r="K630" t="n">
        <v>7</v>
      </c>
      <c r="L630" t="n">
        <v>10</v>
      </c>
    </row>
    <row r="631">
      <c r="B631" t="n">
        <v>4</v>
      </c>
      <c r="C631" t="n">
        <v>1</v>
      </c>
      <c r="D631" t="n">
        <v>1</v>
      </c>
      <c r="E631" t="n">
        <v>1</v>
      </c>
      <c r="F631" t="n">
        <v>2</v>
      </c>
      <c r="G631" t="n">
        <v>3</v>
      </c>
      <c r="H631" t="n">
        <v>4</v>
      </c>
      <c r="I631" t="n">
        <v>5</v>
      </c>
      <c r="J631" t="n">
        <v>7</v>
      </c>
      <c r="K631" t="n">
        <v>10</v>
      </c>
      <c r="L631" t="n">
        <v>14</v>
      </c>
    </row>
    <row r="632">
      <c r="B632" t="n">
        <v>5</v>
      </c>
      <c r="C632" t="n">
        <v>1</v>
      </c>
      <c r="D632" t="n">
        <v>1</v>
      </c>
      <c r="E632" t="n">
        <v>2</v>
      </c>
      <c r="F632" t="n">
        <v>3</v>
      </c>
      <c r="G632" t="n">
        <v>4</v>
      </c>
      <c r="H632" t="n">
        <v>5</v>
      </c>
      <c r="I632" t="n">
        <v>6</v>
      </c>
      <c r="J632" t="n">
        <v>9</v>
      </c>
      <c r="K632" t="n">
        <v>13</v>
      </c>
      <c r="L632" t="n">
        <v>18</v>
      </c>
    </row>
    <row r="633">
      <c r="B633" t="n">
        <v>6</v>
      </c>
      <c r="C633" t="n">
        <v>1</v>
      </c>
      <c r="D633" t="n">
        <v>2</v>
      </c>
      <c r="E633" t="n">
        <v>2</v>
      </c>
      <c r="F633" t="n">
        <v>3</v>
      </c>
      <c r="G633" t="n">
        <v>4</v>
      </c>
      <c r="H633" t="n">
        <v>6</v>
      </c>
      <c r="I633" t="n">
        <v>8</v>
      </c>
      <c r="J633" t="n">
        <v>11</v>
      </c>
      <c r="K633" t="n">
        <v>16</v>
      </c>
      <c r="L633" t="n">
        <v>22</v>
      </c>
    </row>
    <row r="634">
      <c r="B634" t="n">
        <v>7</v>
      </c>
      <c r="C634" t="n">
        <v>1</v>
      </c>
      <c r="D634" t="n">
        <v>2</v>
      </c>
      <c r="E634" t="n">
        <v>3</v>
      </c>
      <c r="F634" t="n">
        <v>4</v>
      </c>
      <c r="G634" t="n">
        <v>5</v>
      </c>
      <c r="H634" t="n">
        <v>7</v>
      </c>
      <c r="I634" t="n">
        <v>10</v>
      </c>
      <c r="J634" t="n">
        <v>14</v>
      </c>
      <c r="K634" t="n">
        <v>19</v>
      </c>
      <c r="L634" t="n">
        <v>26</v>
      </c>
    </row>
    <row r="635">
      <c r="B635" t="n">
        <v>8</v>
      </c>
      <c r="C635" t="n">
        <v>1</v>
      </c>
      <c r="D635" t="n">
        <v>2</v>
      </c>
      <c r="E635" t="n">
        <v>3</v>
      </c>
      <c r="F635" t="n">
        <v>5</v>
      </c>
      <c r="G635" t="n">
        <v>6</v>
      </c>
      <c r="H635" t="n">
        <v>8</v>
      </c>
      <c r="I635" t="n">
        <v>11</v>
      </c>
      <c r="J635" t="n">
        <v>16</v>
      </c>
      <c r="K635" t="n">
        <v>22</v>
      </c>
      <c r="L635" t="n">
        <v>30</v>
      </c>
    </row>
    <row r="636">
      <c r="B636" t="n">
        <v>9</v>
      </c>
      <c r="C636" t="n">
        <v>2</v>
      </c>
      <c r="D636" t="n">
        <v>3</v>
      </c>
      <c r="E636" t="n">
        <v>4</v>
      </c>
      <c r="F636" t="n">
        <v>5</v>
      </c>
      <c r="G636" t="n">
        <v>7</v>
      </c>
      <c r="H636" t="n">
        <v>10</v>
      </c>
      <c r="I636" t="n">
        <v>13</v>
      </c>
      <c r="J636" t="n">
        <v>18</v>
      </c>
      <c r="K636" t="n">
        <v>25</v>
      </c>
      <c r="L636" t="n">
        <v>35</v>
      </c>
    </row>
    <row r="637">
      <c r="B637" t="n">
        <v>10</v>
      </c>
      <c r="C637" t="n">
        <v>2</v>
      </c>
      <c r="D637" t="n">
        <v>3</v>
      </c>
      <c r="E637" t="n">
        <v>4</v>
      </c>
      <c r="F637" t="n">
        <v>6</v>
      </c>
      <c r="G637" t="n">
        <v>8</v>
      </c>
      <c r="H637" t="n">
        <v>11</v>
      </c>
      <c r="I637" t="n">
        <v>15</v>
      </c>
      <c r="J637" t="n">
        <v>21</v>
      </c>
      <c r="K637" t="n">
        <v>29</v>
      </c>
      <c r="L637" t="n">
        <v>40</v>
      </c>
    </row>
    <row r="638">
      <c r="B638" t="n">
        <v>11</v>
      </c>
      <c r="C638" t="n">
        <v>2</v>
      </c>
      <c r="D638" t="n">
        <v>4</v>
      </c>
      <c r="E638" t="n">
        <v>5</v>
      </c>
      <c r="F638" t="n">
        <v>7</v>
      </c>
      <c r="G638" t="n">
        <v>9</v>
      </c>
      <c r="H638" t="n">
        <v>13</v>
      </c>
      <c r="I638" t="n">
        <v>17</v>
      </c>
      <c r="J638" t="n">
        <v>24</v>
      </c>
      <c r="K638" t="n">
        <v>32</v>
      </c>
      <c r="L638" t="n">
        <v>45</v>
      </c>
    </row>
    <row r="639">
      <c r="B639" t="n">
        <v>12</v>
      </c>
      <c r="C639" t="n">
        <v>2</v>
      </c>
      <c r="D639" t="n">
        <v>4</v>
      </c>
      <c r="E639" t="n">
        <v>6</v>
      </c>
      <c r="F639" t="n">
        <v>8</v>
      </c>
      <c r="G639" t="n">
        <v>10</v>
      </c>
      <c r="H639" t="n">
        <v>14</v>
      </c>
      <c r="I639" t="n">
        <v>19</v>
      </c>
      <c r="J639" t="n">
        <v>26</v>
      </c>
      <c r="K639" t="n">
        <v>36</v>
      </c>
      <c r="L639" t="n">
        <v>50</v>
      </c>
    </row>
    <row r="640">
      <c r="B640" t="n">
        <v>13</v>
      </c>
      <c r="C640" t="n">
        <v>2</v>
      </c>
      <c r="D640" t="n">
        <v>5</v>
      </c>
      <c r="E640" t="n">
        <v>6</v>
      </c>
      <c r="F640" t="n">
        <v>9</v>
      </c>
      <c r="G640" t="n">
        <v>12</v>
      </c>
      <c r="H640" t="n">
        <v>16</v>
      </c>
      <c r="I640" t="n">
        <v>22</v>
      </c>
      <c r="J640" t="n">
        <v>29</v>
      </c>
      <c r="K640" t="n">
        <v>40</v>
      </c>
      <c r="L640" t="n">
        <v>55</v>
      </c>
    </row>
    <row r="641">
      <c r="B641" t="n">
        <v>14</v>
      </c>
      <c r="C641" t="n">
        <v>3</v>
      </c>
      <c r="D641" t="n">
        <v>5</v>
      </c>
      <c r="E641" t="n">
        <v>7</v>
      </c>
      <c r="F641" t="n">
        <v>10</v>
      </c>
      <c r="G641" t="n">
        <v>13</v>
      </c>
      <c r="H641" t="n">
        <v>18</v>
      </c>
      <c r="I641" t="n">
        <v>24</v>
      </c>
      <c r="J641" t="n">
        <v>32</v>
      </c>
      <c r="K641" t="n">
        <v>44</v>
      </c>
      <c r="L641" t="n">
        <v>60</v>
      </c>
    </row>
    <row r="642">
      <c r="B642" t="n">
        <v>15</v>
      </c>
      <c r="C642" t="n">
        <v>3</v>
      </c>
      <c r="D642" t="n">
        <v>6</v>
      </c>
      <c r="E642" t="n">
        <v>8</v>
      </c>
      <c r="F642" t="n">
        <v>11</v>
      </c>
      <c r="G642" t="n">
        <v>14</v>
      </c>
      <c r="H642" t="n">
        <v>20</v>
      </c>
      <c r="I642" t="n">
        <v>26</v>
      </c>
      <c r="J642" t="n">
        <v>35</v>
      </c>
      <c r="K642" t="n">
        <v>48</v>
      </c>
      <c r="L642" t="n">
        <v>65</v>
      </c>
    </row>
    <row r="643">
      <c r="B643" t="n">
        <v>16</v>
      </c>
      <c r="C643" t="n">
        <v>3</v>
      </c>
      <c r="D643" t="n">
        <v>7</v>
      </c>
      <c r="E643" t="n">
        <v>9</v>
      </c>
      <c r="F643" t="n">
        <v>12</v>
      </c>
      <c r="G643" t="n">
        <v>16</v>
      </c>
      <c r="H643" t="n">
        <v>22</v>
      </c>
      <c r="I643" t="n">
        <v>28</v>
      </c>
      <c r="J643" t="n">
        <v>39</v>
      </c>
      <c r="K643" t="n">
        <v>52</v>
      </c>
      <c r="L643" t="n">
        <v>69</v>
      </c>
    </row>
    <row r="644">
      <c r="B644" t="n">
        <v>17</v>
      </c>
      <c r="C644" t="n">
        <v>4</v>
      </c>
      <c r="D644" t="n">
        <v>7</v>
      </c>
      <c r="E644" t="n">
        <v>10</v>
      </c>
      <c r="F644" t="n">
        <v>13</v>
      </c>
      <c r="G644" t="n">
        <v>18</v>
      </c>
      <c r="H644" t="n">
        <v>24</v>
      </c>
      <c r="I644" t="n">
        <v>31</v>
      </c>
      <c r="J644" t="n">
        <v>42</v>
      </c>
      <c r="K644" t="n">
        <v>56</v>
      </c>
      <c r="L644" t="n">
        <v>73</v>
      </c>
    </row>
    <row r="645">
      <c r="B645" t="n">
        <v>18</v>
      </c>
      <c r="C645" t="n">
        <v>4</v>
      </c>
      <c r="D645" t="n">
        <v>8</v>
      </c>
      <c r="E645" t="n">
        <v>11</v>
      </c>
      <c r="F645" t="n">
        <v>14</v>
      </c>
      <c r="G645" t="n">
        <v>19</v>
      </c>
      <c r="H645" t="n">
        <v>26</v>
      </c>
      <c r="I645" t="n">
        <v>34</v>
      </c>
      <c r="J645" t="n">
        <v>46</v>
      </c>
      <c r="K645" t="n">
        <v>60</v>
      </c>
      <c r="L645" t="n">
        <v>76</v>
      </c>
    </row>
    <row r="646">
      <c r="B646" t="n">
        <v>19</v>
      </c>
      <c r="C646" t="n">
        <v>4</v>
      </c>
      <c r="D646" t="n">
        <v>9</v>
      </c>
      <c r="E646" t="n">
        <v>12</v>
      </c>
      <c r="F646" t="n">
        <v>16</v>
      </c>
      <c r="G646" t="n">
        <v>21</v>
      </c>
      <c r="H646" t="n">
        <v>28</v>
      </c>
      <c r="I646" t="n">
        <v>36</v>
      </c>
      <c r="J646" t="n">
        <v>49</v>
      </c>
      <c r="K646" t="n">
        <v>64</v>
      </c>
      <c r="L646" t="n">
        <v>78</v>
      </c>
    </row>
    <row r="647">
      <c r="B647" t="n">
        <v>20</v>
      </c>
      <c r="C647" t="n">
        <v>5</v>
      </c>
      <c r="D647" t="n">
        <v>9</v>
      </c>
      <c r="E647" t="n">
        <v>13</v>
      </c>
      <c r="F647" t="n">
        <v>17</v>
      </c>
      <c r="G647" t="n">
        <v>23</v>
      </c>
      <c r="H647" t="n">
        <v>30</v>
      </c>
      <c r="I647" t="n">
        <v>39</v>
      </c>
      <c r="J647" t="n">
        <v>53</v>
      </c>
      <c r="K647" t="n">
        <v>68</v>
      </c>
      <c r="L647" t="n">
        <v>79</v>
      </c>
    </row>
    <row r="648">
      <c r="B648" t="n">
        <v>21</v>
      </c>
      <c r="C648" t="n">
        <v>5</v>
      </c>
      <c r="D648" t="n">
        <v>10</v>
      </c>
      <c r="E648" t="n">
        <v>14</v>
      </c>
      <c r="F648" t="n">
        <v>18</v>
      </c>
      <c r="G648" t="n">
        <v>25</v>
      </c>
      <c r="H648" t="n">
        <v>32</v>
      </c>
      <c r="I648" t="n">
        <v>42</v>
      </c>
      <c r="J648" t="n">
        <v>57</v>
      </c>
      <c r="K648" t="n">
        <v>71</v>
      </c>
      <c r="L648" t="n">
        <v>80</v>
      </c>
    </row>
    <row r="649">
      <c r="B649" t="n">
        <v>22</v>
      </c>
      <c r="C649" t="n">
        <v>6</v>
      </c>
      <c r="D649" t="n">
        <v>11</v>
      </c>
      <c r="E649" t="n">
        <v>15</v>
      </c>
      <c r="F649" t="n">
        <v>20</v>
      </c>
      <c r="G649" t="n">
        <v>27</v>
      </c>
      <c r="H649" t="n">
        <v>35</v>
      </c>
      <c r="I649" t="n">
        <v>45</v>
      </c>
      <c r="J649" t="n">
        <v>60</v>
      </c>
      <c r="K649" t="n">
        <v>73</v>
      </c>
    </row>
    <row r="650">
      <c r="B650" t="n">
        <v>23</v>
      </c>
      <c r="C650" t="n">
        <v>6</v>
      </c>
      <c r="D650" t="n">
        <v>12</v>
      </c>
      <c r="E650" t="n">
        <v>16</v>
      </c>
      <c r="F650" t="n">
        <v>21</v>
      </c>
      <c r="G650" t="n">
        <v>29</v>
      </c>
      <c r="H650" t="n">
        <v>37</v>
      </c>
      <c r="I650" t="n">
        <v>48</v>
      </c>
      <c r="J650" t="n">
        <v>63</v>
      </c>
      <c r="K650" t="n">
        <v>75</v>
      </c>
    </row>
    <row r="651">
      <c r="B651" t="n">
        <v>24</v>
      </c>
      <c r="C651" t="n">
        <v>7</v>
      </c>
      <c r="D651" t="n">
        <v>13</v>
      </c>
      <c r="E651" t="n">
        <v>17</v>
      </c>
      <c r="F651" t="n">
        <v>23</v>
      </c>
      <c r="G651" t="n">
        <v>31</v>
      </c>
      <c r="H651" t="n">
        <v>40</v>
      </c>
      <c r="I651" t="n">
        <v>52</v>
      </c>
      <c r="J651" t="n">
        <v>66</v>
      </c>
      <c r="K651" t="n">
        <v>77</v>
      </c>
    </row>
    <row r="652">
      <c r="B652" t="n">
        <v>25</v>
      </c>
      <c r="C652" t="n">
        <v>7</v>
      </c>
      <c r="D652" t="n">
        <v>14</v>
      </c>
      <c r="E652" t="n">
        <v>19</v>
      </c>
      <c r="F652" t="n">
        <v>25</v>
      </c>
      <c r="G652" t="n">
        <v>33</v>
      </c>
      <c r="H652" t="n">
        <v>43</v>
      </c>
      <c r="I652" t="n">
        <v>55</v>
      </c>
      <c r="J652" t="n">
        <v>69</v>
      </c>
      <c r="K652" t="n">
        <v>79</v>
      </c>
    </row>
    <row r="653">
      <c r="B653" t="n">
        <v>26</v>
      </c>
      <c r="C653" t="n">
        <v>8</v>
      </c>
      <c r="D653" t="n">
        <v>15</v>
      </c>
      <c r="E653" t="n">
        <v>20</v>
      </c>
      <c r="F653" t="n">
        <v>27</v>
      </c>
      <c r="G653" t="n">
        <v>35</v>
      </c>
      <c r="H653" t="n">
        <v>46</v>
      </c>
      <c r="I653" t="n">
        <v>58</v>
      </c>
      <c r="J653" t="n">
        <v>72</v>
      </c>
      <c r="K653" t="n">
        <v>80</v>
      </c>
    </row>
    <row r="654">
      <c r="B654" t="n">
        <v>27</v>
      </c>
      <c r="C654" t="n">
        <v>9</v>
      </c>
      <c r="D654" t="n">
        <v>16</v>
      </c>
      <c r="E654" t="n">
        <v>21</v>
      </c>
      <c r="F654" t="n">
        <v>28</v>
      </c>
      <c r="G654" t="n">
        <v>37</v>
      </c>
      <c r="H654" t="n">
        <v>49</v>
      </c>
      <c r="I654" t="n">
        <v>61</v>
      </c>
      <c r="J654" t="n">
        <v>75</v>
      </c>
    </row>
    <row r="655">
      <c r="B655" t="n">
        <v>28</v>
      </c>
      <c r="C655" t="n">
        <v>9</v>
      </c>
      <c r="D655" t="n">
        <v>17</v>
      </c>
      <c r="E655" t="n">
        <v>23</v>
      </c>
      <c r="F655" t="n">
        <v>30</v>
      </c>
      <c r="G655" t="n">
        <v>40</v>
      </c>
      <c r="H655" t="n">
        <v>52</v>
      </c>
      <c r="I655" t="n">
        <v>64</v>
      </c>
      <c r="J655" t="n">
        <v>77</v>
      </c>
    </row>
    <row r="656">
      <c r="B656" t="n">
        <v>29</v>
      </c>
      <c r="C656" t="n">
        <v>10</v>
      </c>
      <c r="D656" t="n">
        <v>18</v>
      </c>
      <c r="E656" t="n">
        <v>24</v>
      </c>
      <c r="F656" t="n">
        <v>32</v>
      </c>
      <c r="G656" t="n">
        <v>42</v>
      </c>
      <c r="H656" t="n">
        <v>54</v>
      </c>
      <c r="I656" t="n">
        <v>68</v>
      </c>
      <c r="J656" t="n">
        <v>78</v>
      </c>
    </row>
    <row r="657">
      <c r="B657" t="n">
        <v>30</v>
      </c>
      <c r="C657" t="n">
        <v>11</v>
      </c>
      <c r="D657" t="n">
        <v>20</v>
      </c>
      <c r="E657" t="n">
        <v>26</v>
      </c>
      <c r="F657" t="n">
        <v>34</v>
      </c>
      <c r="G657" t="n">
        <v>45</v>
      </c>
      <c r="H657" t="n">
        <v>57</v>
      </c>
      <c r="I657" t="n">
        <v>72</v>
      </c>
      <c r="J657" t="n">
        <v>79</v>
      </c>
    </row>
    <row r="658">
      <c r="B658" t="n">
        <v>32</v>
      </c>
      <c r="C658" t="n">
        <v>13</v>
      </c>
      <c r="D658" t="n">
        <v>22</v>
      </c>
      <c r="E658" t="n">
        <v>30</v>
      </c>
      <c r="F658" t="n">
        <v>38</v>
      </c>
      <c r="G658" t="n">
        <v>50</v>
      </c>
      <c r="H658" t="n">
        <v>62</v>
      </c>
      <c r="I658" t="n">
        <v>75</v>
      </c>
      <c r="J658" t="n">
        <v>80</v>
      </c>
    </row>
    <row r="659">
      <c r="B659" t="n">
        <v>34</v>
      </c>
      <c r="C659" t="n">
        <v>15</v>
      </c>
      <c r="D659" t="n">
        <v>25</v>
      </c>
      <c r="E659" t="n">
        <v>34</v>
      </c>
      <c r="F659" t="n">
        <v>43</v>
      </c>
      <c r="G659" t="n">
        <v>55</v>
      </c>
      <c r="H659" t="n">
        <v>68</v>
      </c>
      <c r="I659" t="n">
        <v>77</v>
      </c>
    </row>
    <row r="660">
      <c r="B660" t="n">
        <v>36</v>
      </c>
      <c r="C660" t="n">
        <v>17</v>
      </c>
      <c r="D660" t="n">
        <v>28</v>
      </c>
      <c r="E660" t="n">
        <v>38</v>
      </c>
      <c r="F660" t="n">
        <v>48</v>
      </c>
      <c r="G660" t="n">
        <v>61</v>
      </c>
      <c r="H660" t="n">
        <v>73</v>
      </c>
      <c r="I660" t="n">
        <v>79</v>
      </c>
    </row>
    <row r="661">
      <c r="B661" t="n">
        <v>38</v>
      </c>
      <c r="C661" t="n">
        <v>19</v>
      </c>
      <c r="D661" t="n">
        <v>32</v>
      </c>
      <c r="E661" t="n">
        <v>42</v>
      </c>
      <c r="F661" t="n">
        <v>53</v>
      </c>
      <c r="G661" t="n">
        <v>67</v>
      </c>
      <c r="H661" t="n">
        <v>77</v>
      </c>
      <c r="I661" t="n">
        <v>80</v>
      </c>
    </row>
    <row r="662">
      <c r="B662" t="n">
        <v>40</v>
      </c>
      <c r="C662" t="n">
        <v>21</v>
      </c>
      <c r="D662" t="n">
        <v>35</v>
      </c>
      <c r="E662" t="n">
        <v>46</v>
      </c>
      <c r="F662" t="n">
        <v>59</v>
      </c>
      <c r="G662" t="n">
        <v>72</v>
      </c>
      <c r="H662" t="n">
        <v>79</v>
      </c>
    </row>
    <row r="663">
      <c r="B663" t="n">
        <v>42</v>
      </c>
      <c r="C663" t="n">
        <v>25</v>
      </c>
      <c r="D663" t="n">
        <v>39</v>
      </c>
      <c r="E663" t="n">
        <v>51</v>
      </c>
      <c r="F663" t="n">
        <v>65</v>
      </c>
      <c r="G663" t="n">
        <v>75</v>
      </c>
      <c r="H663" t="n">
        <v>80</v>
      </c>
    </row>
    <row r="664">
      <c r="B664" t="n">
        <v>44</v>
      </c>
      <c r="C664" t="n">
        <v>28</v>
      </c>
      <c r="D664" t="n">
        <v>43</v>
      </c>
      <c r="E664" t="n">
        <v>56</v>
      </c>
      <c r="F664" t="n">
        <v>70</v>
      </c>
      <c r="G664" t="n">
        <v>77</v>
      </c>
    </row>
    <row r="665">
      <c r="B665" t="n">
        <v>46</v>
      </c>
      <c r="C665" t="n">
        <v>31</v>
      </c>
      <c r="D665" t="n">
        <v>48</v>
      </c>
      <c r="E665" t="n">
        <v>60</v>
      </c>
      <c r="F665" t="n">
        <v>74</v>
      </c>
      <c r="G665" t="n">
        <v>78</v>
      </c>
    </row>
    <row r="666">
      <c r="B666" t="n">
        <v>48</v>
      </c>
      <c r="C666" t="n">
        <v>34</v>
      </c>
      <c r="D666" t="n">
        <v>53</v>
      </c>
      <c r="E666" t="n">
        <v>64</v>
      </c>
      <c r="F666" t="n">
        <v>77</v>
      </c>
      <c r="G666" t="n">
        <v>79</v>
      </c>
    </row>
    <row r="667">
      <c r="B667" t="n">
        <v>50</v>
      </c>
      <c r="C667" t="n">
        <v>38</v>
      </c>
      <c r="D667" t="n">
        <v>58</v>
      </c>
      <c r="E667" t="n">
        <v>68</v>
      </c>
      <c r="F667" t="n">
        <v>79</v>
      </c>
      <c r="G667" t="n">
        <v>80</v>
      </c>
    </row>
    <row r="668">
      <c r="B668" t="n">
        <v>55</v>
      </c>
      <c r="C668" t="n">
        <v>48</v>
      </c>
      <c r="D668" t="n">
        <v>67</v>
      </c>
      <c r="E668" t="n">
        <v>75</v>
      </c>
      <c r="F668" t="n">
        <v>80</v>
      </c>
    </row>
    <row r="669">
      <c r="B669" t="n">
        <v>60</v>
      </c>
      <c r="C669" t="n">
        <v>57</v>
      </c>
      <c r="D669" t="n">
        <v>74</v>
      </c>
      <c r="E669" t="n">
        <v>78</v>
      </c>
    </row>
    <row r="670">
      <c r="B670" t="n">
        <v>65</v>
      </c>
      <c r="C670" t="n">
        <v>65</v>
      </c>
      <c r="D670" t="n">
        <v>78</v>
      </c>
      <c r="E670" t="n">
        <v>80</v>
      </c>
    </row>
    <row r="671">
      <c r="B671" t="n">
        <v>70</v>
      </c>
      <c r="C671" t="n">
        <v>71</v>
      </c>
      <c r="D671" t="n">
        <v>80</v>
      </c>
    </row>
    <row r="672">
      <c r="B672" t="n">
        <v>75</v>
      </c>
      <c r="C672" t="n">
        <v>75</v>
      </c>
    </row>
    <row r="673">
      <c r="B673" t="n">
        <v>80</v>
      </c>
      <c r="C673" t="n">
        <v>78</v>
      </c>
    </row>
    <row r="675">
      <c r="B675" s="2387" t="inlineStr">
        <is>
          <t>Notes</t>
        </is>
      </c>
      <c r="C675" s="2387" t="n"/>
      <c r="D675" s="2387" t="n"/>
      <c r="E675" s="2387" t="n"/>
      <c r="F675" s="2387" t="n"/>
      <c r="G675" s="2387" t="n"/>
      <c r="H675" s="2387" t="n"/>
    </row>
    <row r="676" ht="28" customHeight="1" s="1449">
      <c r="B676" s="2389" t="inlineStr">
        <is>
          <t>- Current Cost Multiplier / Local Area Multiplier / Sec.98 Denver Index are all from inserts dated January 2025 as bound into this copy of the MVS June 2024 edition -- Sec.99/98 are refreshed quarterly/monthly independent of the annual book edition.</t>
        </is>
      </c>
    </row>
    <row r="677" ht="28" customHeight="1" s="1449">
      <c r="B677" s="2389" t="inlineStr">
        <is>
          <t>- Colorado's biennial reassessment fixes the appraisal/level-of-value date; the De-Trend block above rolls the Jan-2025-vintage cost level back to that date using MVS's own Sec.98 methodology.</t>
        </is>
      </c>
    </row>
    <row r="678" ht="28" customHeight="1" s="1449">
      <c r="B678" s="2389" t="inlineStr">
        <is>
          <t>- No Adams County or Denver-metro-specific Local Multiplier line exists in MVS -- 'Denver' is used as the county's proxy per MVS's own suburb-uses-nearest-larger-city guidance (Sec.99 p.1).</t>
        </is>
      </c>
    </row>
    <row r="679" ht="28" customHeight="1" s="1449">
      <c r="B679" s="2389" t="inlineStr">
        <is>
          <t>- Region for the Current Cost Multiplier (Eastern/Central/Western) is presumed WESTERN for Colorado; MVS does not print a state-to-region key on Sec.99 p.3 itself -- verify against the manual's region map if precision is material to a contested appeal.</t>
        </is>
      </c>
    </row>
    <row r="680" ht="28" customHeight="1" s="1449">
      <c r="B680" s="2389" t="inlineStr">
        <is>
          <t>- Typical Life Expectancy figures (Reference 11) were extracted from a condensed table read and should be spot-checked against MVS Sec.97 pp.10-13 directly for any high-value/contested appeal before relying on the resulting depreciation % in a hearing.</t>
        </is>
      </c>
    </row>
    <row r="681" ht="28" customHeight="1" s="1449">
      <c r="B681" s="2389"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7">
    <mergeCell ref="B677:H677"/>
    <mergeCell ref="B2:F2"/>
    <mergeCell ref="B679:H679"/>
    <mergeCell ref="B680:H680"/>
    <mergeCell ref="B676:H676"/>
    <mergeCell ref="B678:H678"/>
    <mergeCell ref="B681:H68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showGridLines="0" zoomScale="130" zoomScaleNormal="130" workbookViewId="0">
      <pane xSplit="2" ySplit="2" topLeftCell="C3" activePane="bottomRight" state="frozen"/>
      <selection pane="topRight" activeCell="A1" sqref="A1"/>
      <selection pane="bottomLeft" activeCell="A1" sqref="A1"/>
      <selection pane="bottomRight" activeCell="N40" sqref="N40"/>
    </sheetView>
  </sheetViews>
  <sheetFormatPr baseColWidth="8" defaultColWidth="9.140625" defaultRowHeight="15"/>
  <cols>
    <col width="2" customWidth="1" style="1560" min="1" max="1"/>
    <col width="40" bestFit="1" customWidth="1" style="372" min="2" max="2"/>
    <col width="16" customWidth="1" style="1557" min="3" max="3"/>
    <col width="14" customWidth="1" style="1557" min="4" max="4"/>
    <col width="4" customWidth="1" style="1557" min="5" max="5"/>
    <col width="14" customWidth="1" style="1902" min="6" max="6"/>
    <col width="16" bestFit="1" customWidth="1" style="1902" min="7" max="7"/>
    <col width="3" customWidth="1" style="1560" min="8" max="8"/>
    <col width="70"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s="1449">
      <c r="A1" s="2393" t="n"/>
      <c r="B1" s="2394" t="inlineStr">
        <is>
          <t>COST APPROACH -- MVS Calculator</t>
        </is>
      </c>
      <c r="C1" s="2395" t="n"/>
      <c r="D1" s="2395" t="n"/>
      <c r="E1" s="2395" t="n"/>
      <c r="F1" s="2395" t="n"/>
      <c r="G1" s="2395" t="n"/>
      <c r="H1" s="2395" t="n"/>
      <c r="I1" s="2396" t="n"/>
      <c r="J1" s="2395" t="n"/>
      <c r="K1" s="2395" t="n"/>
      <c r="L1" s="2395" t="n"/>
      <c r="M1" s="2395" t="n"/>
      <c r="N1" s="2395" t="n"/>
      <c r="O1" s="2395" t="n"/>
      <c r="P1" s="2395" t="n"/>
      <c r="Q1" s="2395" t="n"/>
      <c r="R1" s="2395" t="n"/>
      <c r="S1" s="2395" t="n"/>
      <c r="T1" s="2395" t="n"/>
      <c r="U1" s="2395" t="n"/>
    </row>
    <row r="2" ht="28" customHeight="1" s="1449">
      <c r="A2" s="2395" t="n"/>
      <c r="B2" s="2430" t="inlineStr">
        <is>
          <t>Fill in the yellow cells only (Steps 1-3 below, plus the site-improvement/depreciation line items further down). Everything else calculates automatically from the MVS reference tables on the 'M&amp;S Inputs' tab. Your final indicated value appears at the bottom of this sheet.</t>
        </is>
      </c>
      <c r="H2" s="2395" t="n"/>
      <c r="I2" s="2395" t="n"/>
      <c r="J2" s="2395" t="n"/>
      <c r="K2" s="2395" t="n"/>
      <c r="L2" s="2395" t="n"/>
      <c r="M2" s="2395" t="n"/>
      <c r="N2" s="2395" t="n"/>
      <c r="O2" s="2395" t="n"/>
      <c r="P2" s="2395" t="n"/>
      <c r="Q2" s="2399" t="n"/>
      <c r="R2" s="2399" t="n"/>
      <c r="S2" s="2395" t="n"/>
      <c r="T2" s="2395" t="n"/>
      <c r="U2" s="2395" t="n"/>
    </row>
    <row r="3" s="1449">
      <c r="A3" s="2395" t="n"/>
      <c r="B3" s="2400" t="inlineStr">
        <is>
          <t>STEP 1 -- BUILDING IDENTIFICATION</t>
        </is>
      </c>
      <c r="C3" s="2401" t="n"/>
      <c r="D3" s="2401" t="n"/>
      <c r="E3" s="2401" t="n"/>
      <c r="F3" s="2401" t="n"/>
      <c r="G3" s="2401" t="n"/>
      <c r="H3" s="2395" t="n"/>
      <c r="I3" s="2395" t="n"/>
      <c r="J3" s="2395" t="n"/>
      <c r="K3" s="2395" t="n"/>
      <c r="L3" s="2395" t="n"/>
      <c r="M3" s="2395" t="n"/>
      <c r="N3" s="2395" t="n"/>
      <c r="O3" s="2395" t="n"/>
      <c r="P3" s="2395" t="n"/>
      <c r="Q3" s="2399" t="n"/>
      <c r="R3" s="2395" t="n"/>
      <c r="S3" s="2395" t="n"/>
      <c r="T3" s="2395" t="n"/>
      <c r="U3" s="2395" t="n"/>
    </row>
    <row r="4" customFormat="1" s="112">
      <c r="A4" s="2395" t="n"/>
      <c r="B4" s="2395" t="inlineStr">
        <is>
          <t>Occupancy Type</t>
        </is>
      </c>
      <c r="C4" s="2402">
        <f>'Property Info'!C35</f>
        <v/>
      </c>
      <c r="D4" s="2403" t="n"/>
      <c r="E4" s="2403" t="n"/>
      <c r="F4" s="2403" t="n"/>
      <c r="G4" s="2403" t="n"/>
      <c r="H4" s="2395" t="n"/>
      <c r="I4" s="2404" t="inlineStr">
        <is>
          <t>Building-1 identity now flows from Property Info (Building 1 column). Add more buildings there; buildings 2-12 total in below.</t>
        </is>
      </c>
      <c r="J4" s="2395" t="n"/>
      <c r="K4" s="2395" t="n"/>
      <c r="L4" s="2395" t="n"/>
      <c r="M4" s="2395" t="n"/>
      <c r="N4" s="2395" t="n"/>
      <c r="O4" s="2395" t="n"/>
      <c r="P4" s="2395" t="n"/>
      <c r="Q4" s="2395" t="n"/>
      <c r="R4" s="2395" t="n"/>
      <c r="S4" s="2395" t="n"/>
      <c r="T4" s="2395" t="n"/>
      <c r="U4" s="2395" t="n"/>
    </row>
    <row r="5" customFormat="1" s="366">
      <c r="A5" s="2395" t="n"/>
      <c r="B5" s="2405" t="inlineStr">
        <is>
          <t>Occupancy Code / Section / Page (auto)</t>
        </is>
      </c>
      <c r="C5" s="2406">
        <f>IFERROR(INDEX(OCC_CODE,MATCH($C$4,OCC_NAME,0))&amp;"  |  MVS Sec. "&amp;INDEX(OCC_SECTION,MATCH($C$4,OCC_NAME,0))&amp;" p."&amp;INDEX(OCC_PAGE,MATCH($C$4,OCC_NAME,0)),"")</f>
        <v/>
      </c>
      <c r="D5" s="2399" t="n"/>
      <c r="E5" s="2399" t="n"/>
      <c r="F5" s="2399" t="n"/>
      <c r="G5" s="2399" t="n"/>
      <c r="H5" s="2395" t="n"/>
      <c r="I5" s="2395" t="n"/>
      <c r="J5" s="2399" t="n"/>
      <c r="K5" s="2399" t="n"/>
      <c r="L5" s="2399" t="n"/>
      <c r="M5" s="2399" t="n"/>
      <c r="N5" s="2395" t="n"/>
      <c r="O5" s="2395" t="n"/>
      <c r="P5" s="2395" t="n"/>
      <c r="Q5" s="2395" t="n"/>
      <c r="R5" s="2395" t="n"/>
      <c r="S5" s="2395" t="n"/>
      <c r="T5" s="2395" t="n"/>
      <c r="U5" s="2395" t="n"/>
    </row>
    <row r="6" customFormat="1" s="366">
      <c r="A6" s="2395" t="n"/>
      <c r="B6" s="2407" t="inlineStr">
        <is>
          <t>Building Class</t>
        </is>
      </c>
      <c r="C6" s="2408">
        <f>'Property Info'!C36</f>
        <v/>
      </c>
      <c r="D6" s="2399" t="n"/>
      <c r="E6" s="2399" t="n"/>
      <c r="F6" s="2399" t="n"/>
      <c r="G6" s="2399" t="n"/>
      <c r="H6" s="2395" t="n"/>
      <c r="I6" s="2404" t="inlineStr">
        <is>
          <t>A=Fireproofed steel. B=Reinf. concrete. C=Masonry/steel-or-wood frame. D=Wood/combustible (DPOLE=pole-frame). S=Pre-engineered metal. See Class Reference on M&amp;S Inputs.</t>
        </is>
      </c>
      <c r="J6" s="2399" t="n"/>
      <c r="K6" s="2399" t="n"/>
      <c r="L6" s="2399" t="n"/>
      <c r="M6" s="2399" t="n"/>
      <c r="N6" s="2395" t="n"/>
      <c r="O6" s="2395" t="n"/>
      <c r="P6" s="2395" t="n"/>
      <c r="Q6" s="2395" t="n"/>
      <c r="R6" s="2395" t="n"/>
      <c r="S6" s="2395" t="n"/>
      <c r="T6" s="2395" t="n"/>
      <c r="U6" s="2395" t="n"/>
    </row>
    <row r="7" customFormat="1" s="366">
      <c r="A7" s="2395" t="n"/>
      <c r="B7" s="2407" t="inlineStr">
        <is>
          <t>Quality</t>
        </is>
      </c>
      <c r="C7" s="2409">
        <f>'Property Info'!C37</f>
        <v/>
      </c>
      <c r="D7" s="2399" t="n"/>
      <c r="E7" s="2399" t="n"/>
      <c r="F7" s="2399" t="n"/>
      <c r="G7" s="2399" t="n"/>
      <c r="H7" s="2395" t="n"/>
      <c r="I7" s="2404" t="inlineStr">
        <is>
          <t>Low Cost | Average | Good | Excellent (some occupancies also use Cheap). See Quality Reference on M&amp;S Inputs.</t>
        </is>
      </c>
      <c r="J7" s="2399" t="n"/>
      <c r="K7" s="2395" t="n"/>
      <c r="L7" s="2395" t="n"/>
      <c r="M7" s="2395" t="n"/>
      <c r="N7" s="2395" t="n"/>
      <c r="O7" s="2395" t="n"/>
      <c r="P7" s="2395" t="n"/>
      <c r="Q7" s="2395" t="n"/>
      <c r="R7" s="2395" t="n"/>
      <c r="S7" s="2395" t="n"/>
      <c r="T7" s="2395" t="n"/>
      <c r="U7" s="2395" t="n"/>
    </row>
    <row r="8" customFormat="1" s="366">
      <c r="A8" s="2395" t="n"/>
      <c r="B8" s="2407" t="inlineStr">
        <is>
          <t>City / Local Area (for Local Multiplier)</t>
        </is>
      </c>
      <c r="C8" s="2409" t="inlineStr">
        <is>
          <t>Denver</t>
        </is>
      </c>
      <c r="D8" s="2399" t="n"/>
      <c r="E8" s="2399" t="n"/>
      <c r="F8" s="2399" t="n"/>
      <c r="G8" s="2399" t="n"/>
      <c r="H8" s="2395" t="n"/>
      <c r="I8" s="2404" t="inlineStr">
        <is>
          <t>Adams County has no dedicated MVS line -- 'Denver' is the recommended proxy (nearest larger city, per MVS's own guidance); 'Colorado (statewide average)' is the fallback.</t>
        </is>
      </c>
      <c r="J8" s="2395" t="n"/>
      <c r="K8" s="2395" t="n"/>
      <c r="L8" s="2395" t="n"/>
      <c r="M8" s="2395" t="n"/>
      <c r="N8" s="2395" t="n"/>
      <c r="O8" s="2395" t="n"/>
      <c r="P8" s="2395" t="n"/>
      <c r="Q8" s="2395" t="n"/>
      <c r="R8" s="2395" t="n"/>
      <c r="S8" s="2395" t="n"/>
      <c r="T8" s="2395" t="n"/>
      <c r="U8" s="2395" t="n"/>
    </row>
    <row r="9" customFormat="1" s="366">
      <c r="A9" s="2395" t="n"/>
      <c r="B9" s="2407" t="n"/>
      <c r="C9" s="2395" t="n"/>
      <c r="D9" s="2399" t="n"/>
      <c r="E9" s="2399" t="n"/>
      <c r="F9" s="2399" t="n"/>
      <c r="G9" s="2399" t="n"/>
      <c r="H9" s="2395" t="n"/>
      <c r="I9" s="2395" t="n"/>
      <c r="J9" s="2395" t="n"/>
      <c r="K9" s="2395" t="n"/>
      <c r="L9" s="2395" t="n"/>
      <c r="M9" s="2395" t="n"/>
      <c r="N9" s="2395" t="n"/>
      <c r="O9" s="2395" t="n"/>
      <c r="P9" s="2395" t="n"/>
      <c r="Q9" s="2395" t="n"/>
      <c r="R9" s="2395" t="n"/>
      <c r="S9" s="2395" t="n"/>
      <c r="T9" s="2395" t="n"/>
      <c r="U9" s="2395" t="n"/>
    </row>
    <row r="10" customFormat="1" s="366">
      <c r="A10" s="2395" t="n"/>
      <c r="B10" s="2410" t="inlineStr">
        <is>
          <t>STEP 2 -- SIZE, SHAPE &amp; SPRINKLER</t>
        </is>
      </c>
      <c r="C10" s="2401" t="n"/>
      <c r="D10" s="2411" t="n"/>
      <c r="E10" s="2411" t="n"/>
      <c r="F10" s="2411" t="n"/>
      <c r="G10" s="2411" t="n"/>
      <c r="H10" s="2395" t="n"/>
      <c r="I10" s="2395" t="n"/>
      <c r="J10" s="2395" t="n"/>
      <c r="K10" s="2395" t="n"/>
      <c r="L10" s="2395" t="n"/>
      <c r="M10" s="2395" t="n"/>
      <c r="N10" s="2395" t="n"/>
      <c r="O10" s="2395" t="n"/>
      <c r="P10" s="2395" t="n"/>
      <c r="Q10" s="2395" t="n"/>
      <c r="R10" s="2395" t="n"/>
      <c r="S10" s="2395" t="n"/>
      <c r="T10" s="2395" t="n"/>
      <c r="U10" s="2395" t="n"/>
    </row>
    <row r="11" customFormat="1" s="366">
      <c r="A11" s="2395" t="n"/>
      <c r="B11" s="2407" t="inlineStr">
        <is>
          <t>Avg Eave / Wall Height (ft)</t>
        </is>
      </c>
      <c r="C11" s="2409">
        <f>'Property Info'!C38</f>
        <v/>
      </c>
      <c r="D11" s="2399" t="n"/>
      <c r="E11" s="2399" t="n"/>
      <c r="F11" s="2399" t="n"/>
      <c r="G11" s="2399" t="n"/>
      <c r="H11" s="2395" t="n"/>
      <c r="I11" s="2395" t="n"/>
      <c r="J11" s="2395" t="n"/>
      <c r="K11" s="2395" t="n"/>
      <c r="L11" s="2395" t="n"/>
      <c r="M11" s="2395" t="n"/>
      <c r="N11" s="2395" t="n"/>
      <c r="O11" s="2395" t="n"/>
      <c r="P11" s="2395" t="n"/>
      <c r="Q11" s="2395" t="n"/>
      <c r="R11" s="2395" t="n"/>
      <c r="S11" s="2395" t="n"/>
      <c r="T11" s="2395" t="n"/>
      <c r="U11" s="2395" t="n"/>
    </row>
    <row r="12" customFormat="1" s="366">
      <c r="A12" s="2395" t="n"/>
      <c r="B12" s="2407" t="inlineStr">
        <is>
          <t>Area/Perimeter Multiplier Factor 1</t>
        </is>
      </c>
      <c r="C12" s="2409">
        <f>'Property Info'!C39</f>
        <v/>
      </c>
      <c r="D12" s="2399" t="n"/>
      <c r="E12" s="2399" t="n"/>
      <c r="F12" s="2399" t="n"/>
      <c r="G12" s="2399" t="n"/>
      <c r="H12" s="2395" t="n"/>
      <c r="I12" s="2404" t="inlineStr">
        <is>
          <t>Look up your building's SF vs. average perimeter in the MVS Floor Area-Perimeter grid for this occupancy's section; enter the two bracketing values here to average.</t>
        </is>
      </c>
      <c r="J12" s="2395" t="n"/>
      <c r="K12" s="2395" t="n"/>
      <c r="L12" s="2395" t="n"/>
      <c r="M12" s="2395" t="n"/>
      <c r="N12" s="2395" t="n"/>
      <c r="O12" s="2395" t="n"/>
      <c r="P12" s="2395" t="n"/>
      <c r="Q12" s="2395" t="n"/>
      <c r="R12" s="2395" t="n"/>
      <c r="S12" s="2395" t="n"/>
      <c r="T12" s="2395" t="n"/>
      <c r="U12" s="2395" t="n"/>
    </row>
    <row r="13" customFormat="1" s="366" thickBot="1">
      <c r="A13" s="2395" t="n"/>
      <c r="B13" s="2407" t="inlineStr">
        <is>
          <t>Area/Perimeter Multiplier Factor 2</t>
        </is>
      </c>
      <c r="C13" s="2412">
        <f>'Property Info'!C40</f>
        <v/>
      </c>
      <c r="D13" s="2399" t="n"/>
      <c r="E13" s="2399" t="n"/>
      <c r="F13" s="2399" t="n"/>
      <c r="G13" s="2399" t="n"/>
      <c r="H13" s="2395" t="n"/>
      <c r="I13" s="2395" t="n"/>
      <c r="J13" s="2395" t="n"/>
      <c r="K13" s="2395" t="n"/>
      <c r="L13" s="2395" t="n"/>
      <c r="M13" s="2395" t="n"/>
      <c r="N13" s="2395" t="n"/>
      <c r="O13" s="2395" t="n"/>
      <c r="P13" s="2395" t="n"/>
      <c r="Q13" s="2395" t="n"/>
      <c r="R13" s="2395" t="n"/>
      <c r="S13" s="2395" t="n"/>
      <c r="T13" s="2395" t="n"/>
      <c r="U13" s="2395" t="n"/>
    </row>
    <row r="14" customFormat="1" s="366">
      <c r="A14" s="2395" t="n"/>
      <c r="B14" s="2405" t="inlineStr">
        <is>
          <t>Sprinkler Quality Tier</t>
        </is>
      </c>
      <c r="C14" s="2413">
        <f>'Property Info'!C41</f>
        <v/>
      </c>
      <c r="D14" s="2399" t="n"/>
      <c r="E14" s="2399" t="n"/>
      <c r="F14" s="2399" t="n"/>
      <c r="G14" s="2399" t="n"/>
      <c r="H14" s="2395" t="n"/>
      <c r="I14" s="2404" t="inlineStr">
        <is>
          <t>Independent of building quality -- set to match the actual sprinkler system grade. Section 11 (hotels) has no verified sprinkler table; price manually if needed.</t>
        </is>
      </c>
      <c r="J14" s="2395" t="n"/>
      <c r="K14" s="2395" t="n"/>
      <c r="L14" s="2395" t="n"/>
      <c r="M14" s="2395" t="n"/>
      <c r="N14" s="2395" t="n"/>
      <c r="O14" s="2395" t="n"/>
      <c r="P14" s="2395" t="n"/>
      <c r="Q14" s="2395" t="n"/>
      <c r="R14" s="2395" t="n"/>
      <c r="S14" s="2395" t="n"/>
      <c r="T14" s="2395" t="n"/>
      <c r="U14" s="2395" t="n"/>
    </row>
    <row r="15" customFormat="1" s="366">
      <c r="A15" s="2395" t="n"/>
      <c r="B15" s="2407" t="n"/>
      <c r="C15" s="2399" t="n"/>
      <c r="D15" s="2414" t="n"/>
      <c r="E15" s="2414" t="n"/>
      <c r="F15" s="2399" t="n"/>
      <c r="G15" s="2399" t="n"/>
      <c r="H15" s="2395" t="n"/>
      <c r="I15" s="2395" t="n"/>
      <c r="J15" s="2395" t="n"/>
      <c r="K15" s="2395" t="n"/>
      <c r="L15" s="2395" t="n"/>
      <c r="M15" s="2395" t="n"/>
      <c r="N15" s="2395" t="n"/>
      <c r="O15" s="2395" t="n"/>
      <c r="P15" s="2395" t="n"/>
      <c r="Q15" s="2395" t="n"/>
      <c r="R15" s="2395" t="n"/>
      <c r="S15" s="2395" t="n"/>
      <c r="T15" s="2395" t="n"/>
      <c r="U15" s="2395" t="n"/>
    </row>
    <row r="16" customFormat="1" s="366">
      <c r="A16" s="2395" t="n"/>
      <c r="B16" s="2410" t="inlineStr">
        <is>
          <t>STEP 3 -- APPRAISAL DATE &amp; DE-TREND</t>
        </is>
      </c>
      <c r="C16" s="2411" t="n"/>
      <c r="D16" s="2415" t="n"/>
      <c r="E16" s="2415" t="n"/>
      <c r="F16" s="2411" t="n"/>
      <c r="G16" s="2411" t="n"/>
      <c r="H16" s="2395" t="n"/>
      <c r="I16" s="2395" t="n"/>
      <c r="J16" s="2395" t="n"/>
      <c r="K16" s="2395" t="n"/>
      <c r="L16" s="2395" t="n"/>
      <c r="M16" s="2395" t="n"/>
      <c r="N16" s="2395" t="n"/>
      <c r="O16" s="2395" t="n"/>
      <c r="P16" s="2395" t="n"/>
      <c r="Q16" s="2395" t="n"/>
      <c r="R16" s="2395" t="n"/>
      <c r="S16" s="2395" t="n"/>
      <c r="T16" s="2395" t="n"/>
      <c r="U16" s="2395" t="n"/>
    </row>
    <row r="17" customFormat="1" s="366">
      <c r="A17" s="2395" t="n"/>
      <c r="B17" s="2407" t="inlineStr">
        <is>
          <t>Appraisal / Level-of-Value Date</t>
        </is>
      </c>
      <c r="C17" s="2413">
        <f>DATE(2024,6,30)</f>
        <v/>
      </c>
      <c r="D17" s="2414" t="n"/>
      <c r="E17" s="2414" t="n"/>
      <c r="F17" s="2399" t="n"/>
      <c r="G17" s="2399" t="n"/>
      <c r="H17" s="2395" t="n"/>
      <c r="I17" s="2404" t="inlineStr">
        <is>
          <t>Colorado's biennial reassessment fixes this at the end of the statutory base period. Current cycle: 7/1/2022-6/30/2024, level of value = 6/30/2024. Update to 6/30/2025 next cycle.</t>
        </is>
      </c>
      <c r="J17" s="2395" t="n"/>
      <c r="K17" s="2395" t="n"/>
      <c r="L17" s="2395" t="n"/>
      <c r="M17" s="2395" t="n"/>
      <c r="N17" s="2395" t="n"/>
      <c r="O17" s="2395" t="n"/>
      <c r="P17" s="2395" t="n"/>
      <c r="Q17" s="2395" t="n"/>
      <c r="R17" s="2395" t="n"/>
      <c r="S17" s="2395" t="n"/>
      <c r="T17" s="2395" t="n"/>
      <c r="U17" s="2395" t="n"/>
    </row>
    <row r="18" customFormat="1" s="366">
      <c r="A18" s="2395" t="n"/>
      <c r="B18" s="2407" t="inlineStr">
        <is>
          <t>Bracket Quarter - Earlier</t>
        </is>
      </c>
      <c r="C18" s="2413" t="inlineStr">
        <is>
          <t>Apr 2024</t>
        </is>
      </c>
      <c r="D18" s="2414" t="n"/>
      <c r="E18" s="2414" t="n"/>
      <c r="F18" s="2399" t="n"/>
      <c r="G18" s="2399" t="n"/>
      <c r="H18" s="2395" t="n"/>
      <c r="I18" s="2404" t="inlineStr">
        <is>
          <t>Pick the two MVS Sec.98 Denver index quarters that straddle the Appraisal Date above (see Denver Index table on M&amp;S Inputs). Rolls the Jan-2025-vintage multipliers below back to your actual valuation date.</t>
        </is>
      </c>
      <c r="J18" s="2395" t="n"/>
      <c r="K18" s="2395" t="n"/>
      <c r="L18" s="2395" t="n"/>
      <c r="M18" s="2395" t="n"/>
      <c r="N18" s="2395" t="n"/>
      <c r="O18" s="2395" t="n"/>
      <c r="P18" s="2395" t="n"/>
      <c r="Q18" s="2395" t="n"/>
      <c r="R18" s="2395" t="n"/>
      <c r="S18" s="2395" t="n"/>
      <c r="T18" s="2395" t="n"/>
      <c r="U18" s="2395" t="n"/>
    </row>
    <row r="19" customFormat="1" s="366">
      <c r="A19" s="2395" t="n"/>
      <c r="B19" s="2407" t="inlineStr">
        <is>
          <t>Bracket Quarter - Later</t>
        </is>
      </c>
      <c r="C19" s="2413" t="inlineStr">
        <is>
          <t>Jul 2024</t>
        </is>
      </c>
      <c r="D19" s="2414" t="n"/>
      <c r="E19" s="2414" t="n"/>
      <c r="F19" s="2414" t="n"/>
      <c r="G19" s="2399" t="n"/>
      <c r="H19" s="2395" t="n"/>
      <c r="I19" s="2395" t="n"/>
      <c r="J19" s="2395" t="n"/>
      <c r="K19" s="2395" t="n"/>
      <c r="L19" s="2395" t="n"/>
      <c r="M19" s="2395" t="n"/>
      <c r="N19" s="2395" t="n"/>
      <c r="O19" s="2395" t="n"/>
      <c r="P19" s="2395" t="n"/>
      <c r="Q19" s="2395" t="n"/>
      <c r="R19" s="2395" t="n"/>
      <c r="S19" s="2395" t="n"/>
      <c r="T19" s="2395" t="n"/>
      <c r="U19" s="2395" t="n"/>
    </row>
    <row r="20" customFormat="1" s="366">
      <c r="A20" s="2395" t="n"/>
      <c r="B20" s="2405" t="n"/>
      <c r="C20" s="2399" t="n"/>
      <c r="D20" s="2399" t="n"/>
      <c r="E20" s="2399" t="n"/>
      <c r="F20" s="2399" t="n"/>
      <c r="G20" s="2399" t="n"/>
      <c r="H20" s="2395" t="n"/>
      <c r="I20" s="2395" t="n"/>
      <c r="J20" s="2395" t="n"/>
      <c r="K20" s="2395" t="n"/>
      <c r="L20" s="2395" t="n"/>
      <c r="M20" s="2395" t="n"/>
      <c r="N20" s="2395" t="n"/>
      <c r="O20" s="2395" t="n"/>
      <c r="P20" s="2395" t="n"/>
      <c r="Q20" s="2395" t="n"/>
      <c r="R20" s="2395" t="n"/>
      <c r="S20" s="2395" t="n"/>
      <c r="T20" s="2395" t="n"/>
      <c r="U20" s="2395" t="n"/>
    </row>
    <row r="21" customFormat="1" s="366">
      <c r="A21" s="2395" t="n"/>
      <c r="B21" s="2431" t="inlineStr">
        <is>
          <t>COST APPROACH SUMMARY</t>
        </is>
      </c>
      <c r="C21" s="2432" t="n"/>
      <c r="D21" s="2432" t="n"/>
      <c r="E21" s="2432" t="n"/>
      <c r="F21" s="2432" t="n"/>
      <c r="G21" s="2432" t="n"/>
      <c r="H21" s="2395" t="n"/>
      <c r="I21" s="2395" t="n"/>
      <c r="J21" s="2395" t="n"/>
      <c r="K21" s="2395" t="n"/>
      <c r="L21" s="2395" t="n"/>
      <c r="M21" s="2395" t="n"/>
      <c r="N21" s="2395" t="n"/>
      <c r="O21" s="2395" t="n"/>
      <c r="P21" s="2395" t="n"/>
      <c r="Q21" s="2395" t="n"/>
      <c r="R21" s="2395" t="n"/>
      <c r="S21" s="2395" t="n"/>
      <c r="T21" s="2395" t="n"/>
      <c r="U21" s="2395" t="n"/>
    </row>
    <row r="22" customFormat="1" s="366">
      <c r="A22" s="2395" t="n"/>
      <c r="B22" s="2433" t="inlineStr">
        <is>
          <t>Replacement Cost New (RCN)</t>
        </is>
      </c>
      <c r="C22" s="2434" t="inlineStr">
        <is>
          <t>Area (SF)</t>
        </is>
      </c>
      <c r="D22" s="2435" t="inlineStr">
        <is>
          <t>$/SF</t>
        </is>
      </c>
      <c r="E22" s="2399" t="n"/>
      <c r="F22" s="2435" t="inlineStr">
        <is>
          <t>Subtotal</t>
        </is>
      </c>
      <c r="G22" s="2435" t="inlineStr">
        <is>
          <t>Total Cost</t>
        </is>
      </c>
      <c r="H22" s="2395" t="n"/>
      <c r="I22" s="2395" t="n"/>
      <c r="J22" s="2395" t="n"/>
      <c r="K22" s="2395" t="n"/>
      <c r="L22" s="2395" t="n"/>
      <c r="M22" s="2395" t="n"/>
      <c r="N22" s="2395" t="n"/>
      <c r="O22" s="2395" t="n"/>
      <c r="P22" s="2395" t="n"/>
      <c r="Q22" s="2395" t="n"/>
      <c r="R22" s="2395" t="n"/>
      <c r="S22" s="2395" t="n"/>
      <c r="T22" s="2395" t="n"/>
      <c r="U22" s="2395" t="n"/>
    </row>
    <row r="23" customFormat="1" s="366">
      <c r="A23" s="2395" t="n"/>
      <c r="B23" s="2436" t="inlineStr">
        <is>
          <t>Building Improvements</t>
        </is>
      </c>
      <c r="C23" s="2395" t="n"/>
      <c r="D23" s="2399" t="n"/>
      <c r="E23" s="2399" t="n"/>
      <c r="F23" s="2399" t="n"/>
      <c r="G23" s="2399" t="n"/>
      <c r="H23" s="2395" t="n"/>
      <c r="I23" s="2395" t="n"/>
      <c r="J23" s="2395" t="n"/>
      <c r="K23" s="2395" t="n"/>
      <c r="L23" s="2395" t="n"/>
      <c r="M23" s="2395" t="n"/>
      <c r="N23" s="2395" t="n"/>
      <c r="O23" s="2395" t="n"/>
      <c r="P23" s="2395" t="n"/>
      <c r="Q23" s="2395" t="n"/>
      <c r="R23" s="2395" t="n"/>
      <c r="S23" s="2395" t="n"/>
      <c r="T23" s="2395" t="n"/>
      <c r="U23" s="2395" t="n"/>
    </row>
    <row r="24" customFormat="1" s="366">
      <c r="A24" s="2395" t="n"/>
      <c r="B24" s="2407" t="inlineStr">
        <is>
          <t>Base Cost</t>
        </is>
      </c>
      <c r="C24" s="2437">
        <f>'Property Info'!C5</f>
        <v/>
      </c>
      <c r="D24" s="2399">
        <f>IFERROR(INDEX(BC_VALUE,MATCH($C$4&amp;"~"&amp;$C$6&amp;"~"&amp;$C$7,BC_KEY,0)),"NOT FOUND")</f>
        <v/>
      </c>
      <c r="E24" s="2399" t="n"/>
      <c r="F24" s="2399">
        <f>C24*D24</f>
        <v/>
      </c>
      <c r="G24" s="2399" t="n"/>
      <c r="H24" s="2395" t="n"/>
      <c r="I24" s="2404">
        <f>IFERROR("Verified MVS base cost -- "&amp;INDEX(BC_CITE,MATCH($C$4&amp;"~"&amp;$C$6&amp;"~"&amp;$C$7,BC_KEY,0)),"")&amp;" | Area auto-linked to Property Info Building 1 (GBA)."</f>
        <v/>
      </c>
      <c r="J24" s="2395" t="n"/>
      <c r="K24" s="2395" t="n"/>
      <c r="L24" s="2395" t="n"/>
      <c r="M24" s="2395" t="n"/>
      <c r="N24" s="2395" t="n"/>
      <c r="O24" s="2395" t="n"/>
      <c r="P24" s="2395" t="n"/>
      <c r="Q24" s="2395" t="n"/>
      <c r="R24" s="2395" t="n"/>
      <c r="S24" s="2395" t="n"/>
      <c r="T24" s="2395" t="n"/>
      <c r="U24" s="2395" t="n"/>
    </row>
    <row r="25" customFormat="1" s="366">
      <c r="A25" s="2395" t="n"/>
      <c r="B25" s="2407" t="inlineStr">
        <is>
          <t>Sprinklers</t>
        </is>
      </c>
      <c r="C25" s="2437">
        <f>C24</f>
        <v/>
      </c>
      <c r="D25" s="2399">
        <f>IFERROR(IF(INDEX(OCC_STORY,MATCH($C$4,OCC_NAME,0))="14",INDEX(SPR14_VALS,MATCH($C$24,SPR14_SF,1),MATCH($C$14,SPR_HDR,0)),IF(INDEX(OCC_STORY,MATCH($C$4,OCC_NAME,0))="13",INDEX(SPR13_VALS,MATCH($C$24,SPR13_SF,1),MATCH($C$14,SPR_HDR,0)),IF(INDEX(OCC_STORY,MATCH($C$4,OCC_NAME,0))="15",INDEX(SPR15_VALS,MATCH($C$24,SPR15_SF,1),MATCH($C$14,SPR_HDR,0)),0))),0)</f>
        <v/>
      </c>
      <c r="E25" s="2399" t="n"/>
      <c r="F25" s="2399">
        <f>C25*D25</f>
        <v/>
      </c>
      <c r="G25" s="2399" t="n"/>
      <c r="H25" s="2395" t="n"/>
      <c r="I25" s="2404" t="inlineStr">
        <is>
          <t>Wet-system cost, by building SF (nearest coverage bracket &lt;= actual SF). Enter 0 manually below if unsprinklered.</t>
        </is>
      </c>
      <c r="J25" s="2395" t="n"/>
      <c r="K25" s="2395" t="n"/>
      <c r="L25" s="2395" t="n"/>
      <c r="M25" s="2395" t="n"/>
      <c r="N25" s="2395" t="n"/>
      <c r="O25" s="2395" t="n"/>
      <c r="P25" s="2395" t="n"/>
      <c r="Q25" s="2395" t="n"/>
      <c r="R25" s="2395" t="n"/>
      <c r="S25" s="2395" t="n"/>
      <c r="T25" s="2395" t="n"/>
      <c r="U25" s="2395" t="n"/>
    </row>
    <row r="26" customFormat="1" s="366">
      <c r="A26" s="2395" t="n"/>
      <c r="B26" s="2407" t="n"/>
      <c r="C26" s="2399" t="n"/>
      <c r="D26" s="2399" t="n"/>
      <c r="E26" s="2399" t="n"/>
      <c r="F26" s="2399" t="n"/>
      <c r="G26" s="2399" t="n"/>
      <c r="H26" s="2395" t="n"/>
      <c r="I26" s="2395" t="n"/>
      <c r="J26" s="2395" t="n"/>
      <c r="K26" s="2395" t="n"/>
      <c r="L26" s="2395" t="n"/>
      <c r="M26" s="2395" t="n"/>
      <c r="N26" s="2395" t="n"/>
      <c r="O26" s="2395" t="n"/>
      <c r="P26" s="2395" t="n"/>
      <c r="Q26" s="2395" t="n"/>
      <c r="R26" s="2395" t="n"/>
      <c r="S26" s="2395" t="n"/>
      <c r="T26" s="2395" t="n"/>
      <c r="U26" s="2395" t="n"/>
    </row>
    <row r="27" customFormat="1" s="366">
      <c r="A27" s="2395" t="n"/>
      <c r="B27" s="2407" t="n"/>
      <c r="C27" s="2399" t="n"/>
      <c r="D27" s="2399" t="n"/>
      <c r="E27" s="2395" t="n"/>
      <c r="F27" s="2416" t="n"/>
      <c r="G27" s="2399" t="n"/>
      <c r="H27" s="2395" t="n"/>
      <c r="I27" s="2395" t="n"/>
      <c r="J27" s="2395" t="n"/>
      <c r="K27" s="2395" t="n"/>
      <c r="L27" s="2395" t="n"/>
      <c r="M27" s="2395" t="n"/>
      <c r="N27" s="2395" t="n"/>
      <c r="O27" s="2395" t="n"/>
      <c r="P27" s="2395" t="n"/>
      <c r="Q27" s="2395" t="n"/>
      <c r="R27" s="2395" t="n"/>
      <c r="S27" s="2395" t="n"/>
      <c r="T27" s="2395" t="n"/>
      <c r="U27" s="2395" t="n"/>
    </row>
    <row r="28" customFormat="1" s="366">
      <c r="A28" s="2395" t="n"/>
      <c r="B28" s="2405" t="n"/>
      <c r="C28" s="2399" t="n"/>
      <c r="D28" s="2395" t="n"/>
      <c r="E28" s="2395" t="n"/>
      <c r="F28" s="2416" t="n"/>
      <c r="G28" s="2399" t="n"/>
      <c r="H28" s="2395" t="n"/>
      <c r="I28" s="2395" t="n"/>
      <c r="J28" s="2395" t="n"/>
      <c r="K28" s="2395" t="n"/>
      <c r="L28" s="2395" t="n"/>
      <c r="M28" s="2395" t="n"/>
      <c r="N28" s="2395" t="n"/>
      <c r="O28" s="2395" t="n"/>
      <c r="P28" s="2395" t="n"/>
      <c r="Q28" s="2395" t="n"/>
      <c r="R28" s="2395" t="n"/>
      <c r="S28" s="2395" t="n"/>
      <c r="T28" s="2395" t="n"/>
      <c r="U28" s="2395" t="n"/>
    </row>
    <row r="29" customFormat="1" s="366">
      <c r="A29" s="2395" t="n"/>
      <c r="B29" s="2405" t="n"/>
      <c r="C29" s="2399" t="n"/>
      <c r="D29" s="2395" t="n"/>
      <c r="E29" s="2395" t="n"/>
      <c r="F29" s="2399" t="n"/>
      <c r="G29" s="2399" t="n"/>
      <c r="H29" s="2395" t="n"/>
      <c r="I29" s="2399" t="n"/>
      <c r="J29" s="2395" t="n"/>
      <c r="K29" s="2395" t="n"/>
      <c r="L29" s="2395" t="n"/>
      <c r="M29" s="2395" t="n"/>
      <c r="N29" s="2395" t="n"/>
      <c r="O29" s="2395" t="n"/>
      <c r="P29" s="2395" t="n"/>
      <c r="Q29" s="2395" t="n"/>
      <c r="R29" s="2395" t="n"/>
      <c r="S29" s="2395" t="n"/>
      <c r="T29" s="2395" t="n"/>
      <c r="U29" s="2395" t="n"/>
    </row>
    <row r="30" customFormat="1" s="366">
      <c r="A30" s="2395" t="n"/>
      <c r="B30" s="2407" t="n"/>
      <c r="C30" s="2399" t="n"/>
      <c r="D30" s="2417" t="n"/>
      <c r="E30" s="2417" t="n"/>
      <c r="F30" s="2399" t="n"/>
      <c r="G30" s="2399" t="n"/>
      <c r="H30" s="2395" t="n"/>
      <c r="I30" s="2395" t="n"/>
      <c r="J30" s="2395" t="n"/>
      <c r="K30" s="2395" t="n"/>
      <c r="L30" s="2395" t="n"/>
      <c r="M30" s="2395" t="n"/>
      <c r="N30" s="2395" t="n"/>
      <c r="O30" s="2395" t="n"/>
      <c r="P30" s="2395" t="n"/>
      <c r="Q30" s="2395" t="n"/>
      <c r="R30" s="2395" t="n"/>
      <c r="S30" s="2395" t="n"/>
      <c r="T30" s="2395" t="n"/>
      <c r="U30" s="2395" t="n"/>
    </row>
    <row r="31" customFormat="1" s="366">
      <c r="A31" s="2395" t="n"/>
      <c r="B31" s="2438" t="inlineStr">
        <is>
          <t>Subtotal</t>
        </is>
      </c>
      <c r="C31" s="2399" t="n"/>
      <c r="D31" s="2399" t="n"/>
      <c r="E31" s="2399" t="n"/>
      <c r="F31" s="2439">
        <f>SUM(F24:F30)</f>
        <v/>
      </c>
      <c r="G31" s="2399" t="n"/>
      <c r="H31" s="2395" t="n"/>
      <c r="I31" s="2395" t="n"/>
      <c r="J31" s="2395" t="n"/>
      <c r="K31" s="2395" t="n"/>
      <c r="L31" s="2395" t="n"/>
      <c r="M31" s="2395" t="n"/>
      <c r="N31" s="2395" t="n"/>
      <c r="O31" s="2395" t="n"/>
      <c r="P31" s="2395" t="n"/>
      <c r="Q31" s="2395" t="n"/>
      <c r="R31" s="2395" t="n"/>
      <c r="S31" s="2395" t="n"/>
      <c r="T31" s="2395" t="n"/>
      <c r="U31" s="2395" t="n"/>
    </row>
    <row r="32" customFormat="1" s="366">
      <c r="A32" s="2395" t="n"/>
      <c r="B32" s="2440" t="inlineStr">
        <is>
          <t>Multipliers</t>
        </is>
      </c>
      <c r="C32" s="2441" t="n"/>
      <c r="D32" s="2442" t="n"/>
      <c r="E32" s="2442" t="n"/>
      <c r="F32" s="2443" t="n"/>
      <c r="G32" s="2441" t="n"/>
      <c r="H32" s="2395" t="n"/>
      <c r="I32" s="2395" t="n"/>
      <c r="J32" s="2395" t="n"/>
      <c r="K32" s="2395" t="n"/>
      <c r="L32" s="2395" t="n"/>
      <c r="M32" s="2395" t="n"/>
      <c r="N32" s="2395" t="n"/>
      <c r="O32" s="2395" t="n"/>
      <c r="P32" s="2395" t="n"/>
      <c r="Q32" s="2395" t="n"/>
      <c r="R32" s="2395" t="n"/>
      <c r="S32" s="2395" t="n"/>
      <c r="T32" s="2395" t="n"/>
      <c r="U32" s="2395" t="n"/>
    </row>
    <row r="33" customFormat="1" s="366">
      <c r="A33" s="2395" t="n"/>
      <c r="B33" s="2405" t="inlineStr">
        <is>
          <t>Current Cost (de-trended to Appraisal Date)</t>
        </is>
      </c>
      <c r="C33" s="2399" t="n"/>
      <c r="D33" s="2399">
        <f>IFERROR(INDEX(CCM_VALUES,MATCH(IF($C$6="CMILL","C",IF($C$6="DPOLE","D",IF($C$6="A-B","B",$C$6))),CCM_CLASS,0),MATCH("Sec."&amp;INDEX(OCC_SECTION,MATCH($C$4,OCC_NAME,0)),CCM_SECTIONHDR,0)),"")/IFERROR(INDEX(DEN_VALUES,MATCH($C$18,DEN_LABEL,0),MATCH("Class "&amp;IF($C$6="CMILL","C",IF($C$6="DPOLE","D",IF($C$6="A-B","B",$C$6))),DEN_CLASSHDR,0))+(INDEX(DEN_VALUES,MATCH($C$19,DEN_LABEL,0),MATCH("Class "&amp;IF($C$6="CMILL","C",IF($C$6="DPOLE","D",IF($C$6="A-B","B",$C$6))),DEN_CLASSHDR,0))-INDEX(DEN_VALUES,MATCH($C$18,DEN_LABEL,0),MATCH("Class "&amp;IF($C$6="CMILL","C",IF($C$6="DPOLE","D",IF($C$6="A-B","B",$C$6))),DEN_CLASSHDR,0)))*($C$17-DATEVALUE("1 "&amp;$C$18))/(DATEVALUE("1 "&amp;$C$19)-DATEVALUE("1 "&amp;$C$18)),1)</f>
        <v/>
      </c>
      <c r="E33" s="2399" t="n"/>
      <c r="F33" s="2399" t="n"/>
      <c r="G33" s="2399" t="n"/>
      <c r="H33" s="2395" t="n"/>
      <c r="I33" s="2444" t="inlineStr">
        <is>
          <t>MVS Sec.99 p.3 Current Cost Multiplier (WESTERN region assumed for Colorado) divided by the Sec.98 Denver de-trend factor for the Appraisal Date -- see Step 3.</t>
        </is>
      </c>
      <c r="J33" s="2395" t="n"/>
      <c r="K33" s="2395" t="n"/>
      <c r="L33" s="2395" t="n"/>
      <c r="M33" s="2395" t="n"/>
      <c r="N33" s="2395" t="n"/>
      <c r="O33" s="2395" t="n"/>
      <c r="P33" s="2395" t="n"/>
      <c r="Q33" s="2395" t="n"/>
      <c r="R33" s="2395" t="n"/>
      <c r="S33" s="2395" t="n"/>
      <c r="T33" s="2395" t="n"/>
      <c r="U33" s="2395" t="n"/>
    </row>
    <row r="34" customFormat="1" s="366">
      <c r="A34" s="2395" t="n"/>
      <c r="B34" s="2407" t="inlineStr">
        <is>
          <t>Local Area</t>
        </is>
      </c>
      <c r="C34" s="2399" t="n"/>
      <c r="D34" s="2399">
        <f>IFERROR(INDEX(LAM_VALUES,MATCH($C$8,LAM_CITY,0),MATCH("Class "&amp;IF($C$6="CMILL","C",IF($C$6="DPOLE","D",IF($C$6="A-B","B",$C$6))),LAM_CLASSHDR,0)),"")</f>
        <v/>
      </c>
      <c r="E34" s="2399" t="n"/>
      <c r="F34" s="2399" t="n"/>
      <c r="G34" s="2399" t="n"/>
      <c r="H34" s="2395" t="n"/>
      <c r="I34" s="2404" t="inlineStr">
        <is>
          <t>MVS Sec.99 p.7 Local Area Multiplier.</t>
        </is>
      </c>
      <c r="J34" s="2395" t="n"/>
      <c r="K34" s="2395" t="n"/>
      <c r="L34" s="2395" t="n"/>
      <c r="M34" s="2395" t="n"/>
      <c r="N34" s="2395" t="n"/>
      <c r="O34" s="2395" t="n"/>
      <c r="P34" s="2395" t="n"/>
      <c r="Q34" s="2395" t="n"/>
      <c r="R34" s="2395" t="n"/>
      <c r="S34" s="2395" t="n"/>
      <c r="T34" s="2395" t="n"/>
      <c r="U34" s="2395" t="n"/>
    </row>
    <row r="35" customFormat="1" s="366">
      <c r="A35" s="2395" t="n"/>
      <c r="B35" s="2399" t="inlineStr">
        <is>
          <t>Area/Perimeter Multiplier</t>
        </is>
      </c>
      <c r="C35" s="2399" t="n"/>
      <c r="D35" s="2399">
        <f>AVERAGE(C12:C13)</f>
        <v/>
      </c>
      <c r="E35" s="2399" t="n"/>
      <c r="F35" s="2399" t="n"/>
      <c r="G35" s="2399" t="n"/>
      <c r="H35" s="2395" t="n"/>
      <c r="I35" s="2395" t="n"/>
      <c r="J35" s="2395" t="n"/>
      <c r="K35" s="2395" t="n"/>
      <c r="L35" s="2395" t="n"/>
      <c r="M35" s="2395" t="n"/>
      <c r="N35" s="2395" t="n"/>
      <c r="O35" s="2395" t="n"/>
      <c r="P35" s="2395" t="n"/>
      <c r="Q35" s="2395" t="n"/>
      <c r="R35" s="2395" t="n"/>
      <c r="S35" s="2395" t="n"/>
      <c r="T35" s="2395" t="n"/>
      <c r="U35" s="2395" t="n"/>
    </row>
    <row r="36" customFormat="1" s="366">
      <c r="A36" s="2395" t="n"/>
      <c r="B36" s="2399" t="inlineStr">
        <is>
          <t>Story Height (Height entered in Step 2)</t>
        </is>
      </c>
      <c r="C36" s="2399" t="n"/>
      <c r="D36" s="2399">
        <f>IFERROR(IF(INDEX(OCC_STORY,MATCH($C$4,OCC_NAME,0))="14",INDEX(SH14_M,MATCH($C$11,SH14_H,1)),IF(INDEX(OCC_STORY,MATCH($C$4,OCC_NAME,0))="13",INDEX(SH13_M,MATCH($C$11,SH13_H,1)),IF(INDEX(OCC_STORY,MATCH($C$4,OCC_NAME,0))="15",INDEX(SH15_M,MATCH($C$11,SH15_H,1)),IF(INDEX(OCC_STORY,MATCH($C$4,OCC_NAME,0))="11",INDEX(SH11_M,MATCH($C$11,SH11_H,1)),1)))),1)</f>
        <v/>
      </c>
      <c r="E36" s="2399" t="n"/>
      <c r="F36" s="2399" t="n"/>
      <c r="G36" s="2399" t="n"/>
      <c r="H36" s="2395" t="n"/>
      <c r="I36" s="2395" t="n"/>
      <c r="J36" s="2395" t="n"/>
      <c r="K36" s="2395" t="n"/>
      <c r="L36" s="2395" t="n"/>
      <c r="M36" s="2395" t="n"/>
      <c r="N36" s="2395" t="n"/>
      <c r="O36" s="2395" t="n"/>
      <c r="P36" s="2395" t="n"/>
      <c r="Q36" s="2395" t="n"/>
      <c r="R36" s="2395" t="n"/>
      <c r="S36" s="2395" t="n"/>
      <c r="T36" s="2395" t="n"/>
      <c r="U36" s="2395" t="n"/>
    </row>
    <row r="37" customFormat="1" s="366">
      <c r="A37" s="2395" t="n"/>
      <c r="B37" s="2438" t="inlineStr">
        <is>
          <t>Product of Multipliers</t>
        </is>
      </c>
      <c r="C37" s="2399" t="n"/>
      <c r="D37" s="2399" t="n"/>
      <c r="E37" s="2399" t="n"/>
      <c r="F37" s="2439">
        <f>ROUND(PRODUCT(D33:D36),3)</f>
        <v/>
      </c>
      <c r="G37" s="2399" t="n"/>
      <c r="H37" s="2395" t="n"/>
      <c r="I37" s="2395" t="n"/>
      <c r="J37" s="2395" t="n"/>
      <c r="K37" s="2395" t="n"/>
      <c r="L37" s="2395" t="n"/>
      <c r="M37" s="2395" t="n"/>
      <c r="N37" s="2395" t="n"/>
      <c r="O37" s="2395" t="n"/>
      <c r="P37" s="2395" t="n"/>
      <c r="Q37" s="2395" t="n"/>
      <c r="R37" s="2395" t="n"/>
      <c r="S37" s="2395" t="n"/>
      <c r="T37" s="2395" t="n"/>
      <c r="U37" s="2395" t="n"/>
    </row>
    <row r="38" customFormat="1" s="366">
      <c r="A38" s="2395" t="n"/>
      <c r="B38" s="2436" t="inlineStr">
        <is>
          <t>Adjusted Base Building Cost</t>
        </is>
      </c>
      <c r="C38" s="2399" t="n"/>
      <c r="D38" s="2399" t="n"/>
      <c r="E38" s="2399" t="n"/>
      <c r="F38" s="2399" t="n"/>
      <c r="G38" s="2439">
        <f>F37*F31+C104</f>
        <v/>
      </c>
      <c r="H38" s="2395" t="n"/>
      <c r="I38" s="2395" t="n"/>
      <c r="J38" s="2395" t="n"/>
      <c r="K38" s="2395" t="n"/>
      <c r="L38" s="2395" t="n"/>
      <c r="M38" s="2395" t="n"/>
      <c r="N38" s="2395" t="n"/>
      <c r="O38" s="2395" t="n"/>
      <c r="P38" s="2395" t="n"/>
      <c r="Q38" s="2399" t="n"/>
      <c r="R38" s="2399" t="n"/>
      <c r="S38" s="2395" t="n"/>
      <c r="T38" s="2395" t="n"/>
      <c r="U38" s="2395" t="n"/>
    </row>
    <row r="39" customFormat="1" s="366">
      <c r="A39" s="2395" t="n"/>
      <c r="B39" s="2440" t="inlineStr">
        <is>
          <t>Site Improvements (enter your own measured quantities in the Area column)</t>
        </is>
      </c>
      <c r="C39" s="2441" t="n"/>
      <c r="D39" s="2441" t="n"/>
      <c r="E39" s="2441" t="n"/>
      <c r="F39" s="2441" t="n"/>
      <c r="G39" s="2441" t="n"/>
      <c r="H39" s="2395" t="n"/>
      <c r="I39" s="2395" t="n"/>
      <c r="J39" s="2395" t="n"/>
      <c r="K39" s="2395" t="n"/>
      <c r="L39" s="2395" t="n"/>
      <c r="M39" s="2395" t="n"/>
      <c r="N39" s="2395" t="n"/>
      <c r="O39" s="2395" t="n"/>
      <c r="P39" s="2395" t="n"/>
      <c r="Q39" s="2395" t="n"/>
      <c r="R39" s="2395" t="n"/>
      <c r="S39" s="2395" t="n"/>
      <c r="T39" s="2395" t="n"/>
      <c r="U39" s="2399" t="n"/>
    </row>
    <row r="40" customFormat="1" s="366">
      <c r="A40" s="2395" t="n"/>
      <c r="B40" s="2418" t="inlineStr">
        <is>
          <t>Parking/Loading Areas (asphalt)</t>
        </is>
      </c>
      <c r="C40" s="2413" t="n"/>
      <c r="D40" s="2413" t="n">
        <v>3.1</v>
      </c>
      <c r="E40" s="2399" t="n"/>
      <c r="F40" s="2399">
        <f>D40*C40</f>
        <v/>
      </c>
      <c r="G40" s="2399" t="n"/>
      <c r="H40" s="2395" t="n"/>
      <c r="I40" s="2404" t="inlineStr">
        <is>
          <t>MVS Sec.66 p.1, 4-inch asphalt (large areas &gt;3,000 SF), average of low-high range. Enter your own measured SF in the Area column.</t>
        </is>
      </c>
      <c r="J40" s="2395" t="n"/>
      <c r="K40" s="2395" t="n"/>
      <c r="L40" s="2395" t="n"/>
      <c r="M40" s="2395" t="n"/>
      <c r="N40" s="2395" t="n"/>
      <c r="O40" s="2395" t="n"/>
      <c r="P40" s="2395" t="n"/>
      <c r="Q40" s="2395" t="n"/>
      <c r="R40" s="2395" t="n"/>
      <c r="S40" s="2395" t="n"/>
      <c r="T40" s="2395" t="n"/>
      <c r="U40" s="2399" t="n"/>
    </row>
    <row r="41" customFormat="1" s="366">
      <c r="A41" s="2395" t="n"/>
      <c r="B41" s="2418" t="inlineStr">
        <is>
          <t>Striping (Per Space)</t>
        </is>
      </c>
      <c r="C41" s="2413" t="n"/>
      <c r="D41" s="2413" t="n">
        <v>20</v>
      </c>
      <c r="E41" s="2399" t="n"/>
      <c r="F41" s="2399">
        <f>D41*C41</f>
        <v/>
      </c>
      <c r="G41" s="2399" t="n"/>
      <c r="H41" s="2395" t="n"/>
      <c r="I41" s="2404" t="inlineStr">
        <is>
          <t>Market-derived; no dedicated MVS table. Enter number of striped spaces in the Area column.</t>
        </is>
      </c>
      <c r="J41" s="2395" t="n"/>
      <c r="K41" s="2395" t="n"/>
      <c r="L41" s="2395" t="n"/>
      <c r="M41" s="2395" t="n"/>
      <c r="N41" s="2395" t="n"/>
      <c r="O41" s="2395" t="n"/>
      <c r="P41" s="2395" t="n"/>
      <c r="Q41" s="2395" t="n"/>
      <c r="R41" s="2395" t="n"/>
      <c r="S41" s="2395" t="n"/>
      <c r="T41" s="2395" t="n"/>
      <c r="U41" s="2399" t="n"/>
    </row>
    <row r="42" customFormat="1" s="366">
      <c r="A42" s="2395" t="n"/>
      <c r="B42" s="2418" t="inlineStr">
        <is>
          <t>Paving (concrete)</t>
        </is>
      </c>
      <c r="C42" s="2413" t="n"/>
      <c r="D42" s="2413" t="n">
        <v>5.51</v>
      </c>
      <c r="E42" s="2399" t="n"/>
      <c r="F42" s="2399">
        <f>D42*C42</f>
        <v/>
      </c>
      <c r="G42" s="2399" t="n"/>
      <c r="H42" s="2395" t="n"/>
      <c r="I42" s="2404" t="inlineStr">
        <is>
          <t>MVS Sec.66 p.1, 6-inch concrete (large areas &gt;3,000 SF), average of low-high range.</t>
        </is>
      </c>
      <c r="J42" s="2395" t="n"/>
      <c r="K42" s="2395" t="n"/>
      <c r="L42" s="2395" t="n"/>
      <c r="M42" s="2395" t="n"/>
      <c r="N42" s="2395" t="n"/>
      <c r="O42" s="2395" t="n"/>
      <c r="P42" s="2395" t="n"/>
      <c r="Q42" s="2395" t="n"/>
      <c r="R42" s="2395" t="n"/>
      <c r="S42" s="2395" t="n"/>
      <c r="T42" s="2395" t="n"/>
      <c r="U42" s="2399" t="n"/>
    </row>
    <row r="43" customFormat="1" s="366">
      <c r="A43" s="2395" t="n"/>
      <c r="B43" s="2405" t="inlineStr">
        <is>
          <t>Other1</t>
        </is>
      </c>
      <c r="C43" s="2413" t="n"/>
      <c r="D43" s="2413" t="n"/>
      <c r="E43" s="2399" t="n"/>
      <c r="F43" s="2399">
        <f>D43*C43</f>
        <v/>
      </c>
      <c r="G43" s="2399" t="n"/>
      <c r="H43" s="2395" t="n"/>
      <c r="I43" s="2395" t="n"/>
      <c r="J43" s="2395" t="n"/>
      <c r="K43" s="2395" t="n"/>
      <c r="L43" s="2395" t="n"/>
      <c r="M43" s="2395" t="n"/>
      <c r="N43" s="2395" t="n"/>
      <c r="O43" s="2395" t="n"/>
      <c r="P43" s="2395" t="n"/>
      <c r="Q43" s="2395" t="n"/>
      <c r="R43" s="2395" t="n"/>
      <c r="S43" s="2395" t="n"/>
      <c r="T43" s="2395" t="n"/>
      <c r="U43" s="2399" t="n"/>
    </row>
    <row r="44" customFormat="1" s="366">
      <c r="A44" s="2395" t="n"/>
      <c r="B44" s="2405" t="inlineStr">
        <is>
          <t>Other2</t>
        </is>
      </c>
      <c r="C44" s="2413" t="n"/>
      <c r="D44" s="2413" t="n"/>
      <c r="E44" s="2399" t="n"/>
      <c r="F44" s="2399">
        <f>D44*C44</f>
        <v/>
      </c>
      <c r="G44" s="2399" t="n"/>
      <c r="H44" s="2395" t="n"/>
      <c r="I44" s="2395" t="n"/>
      <c r="J44" s="2395" t="n"/>
      <c r="K44" s="2395" t="n"/>
      <c r="L44" s="2395" t="n"/>
      <c r="M44" s="2395" t="n"/>
      <c r="N44" s="2395" t="n"/>
      <c r="O44" s="2395" t="n"/>
      <c r="P44" s="2395" t="n"/>
      <c r="Q44" s="2395" t="n"/>
      <c r="R44" s="2395" t="n"/>
      <c r="S44" s="2395" t="n"/>
      <c r="T44" s="2395" t="n"/>
      <c r="U44" s="2395" t="n"/>
    </row>
    <row r="45" customFormat="1" s="366">
      <c r="A45" s="2395" t="n"/>
      <c r="B45" s="2405" t="inlineStr">
        <is>
          <t>Landscaping, Lighting, Other Site Improvements</t>
        </is>
      </c>
      <c r="C45" s="2445" t="n"/>
      <c r="D45" s="2413" t="n">
        <v>5.5</v>
      </c>
      <c r="E45" s="2399" t="n"/>
      <c r="F45" s="2399">
        <f>D45*C45</f>
        <v/>
      </c>
      <c r="G45" s="2399" t="n"/>
      <c r="H45" s="2395" t="n"/>
      <c r="I45" s="2404" t="inlineStr">
        <is>
          <t>MVS Sec.66 landscaping / market estimate. Enter your own measured lot SF in the Area column.</t>
        </is>
      </c>
      <c r="J45" s="2395" t="n"/>
      <c r="K45" s="2395" t="n"/>
      <c r="L45" s="2395" t="n"/>
      <c r="M45" s="2395" t="n"/>
      <c r="N45" s="2395" t="n"/>
      <c r="O45" s="2395" t="n"/>
      <c r="P45" s="2395" t="n"/>
      <c r="Q45" s="2395" t="n"/>
      <c r="R45" s="2395" t="n"/>
      <c r="S45" s="2395" t="n"/>
      <c r="T45" s="2395" t="n"/>
      <c r="U45" s="2395" t="n"/>
    </row>
    <row r="46" customFormat="1" s="366">
      <c r="A46" s="2395" t="n"/>
      <c r="B46" s="2439" t="inlineStr">
        <is>
          <t>Total Site Improvements</t>
        </is>
      </c>
      <c r="C46" s="2399" t="n"/>
      <c r="D46" s="2399" t="n"/>
      <c r="E46" s="2399" t="n"/>
      <c r="F46" s="2399" t="n"/>
      <c r="G46" s="2439">
        <f>SUM(F40:F45)</f>
        <v/>
      </c>
      <c r="H46" s="2395" t="n"/>
      <c r="I46" s="2395" t="n"/>
      <c r="J46" s="2395" t="n"/>
      <c r="K46" s="2395" t="n"/>
      <c r="L46" s="2395" t="n"/>
      <c r="M46" s="2395" t="n"/>
      <c r="N46" s="2395" t="n"/>
      <c r="O46" s="2395" t="n"/>
      <c r="P46" s="2395" t="n"/>
      <c r="Q46" s="2395" t="n"/>
      <c r="R46" s="2395" t="n"/>
      <c r="S46" s="2395" t="n"/>
      <c r="T46" s="2395" t="n"/>
      <c r="U46" s="2395" t="n"/>
    </row>
    <row r="47" customFormat="1" s="366">
      <c r="A47" s="2395" t="n"/>
      <c r="B47" s="2436" t="inlineStr">
        <is>
          <t>Total Construction Costs</t>
        </is>
      </c>
      <c r="C47" s="2399" t="n"/>
      <c r="D47" s="2399" t="n"/>
      <c r="E47" s="2399" t="n"/>
      <c r="F47" s="2399" t="n"/>
      <c r="G47" s="2439">
        <f>SUM(G38:G46)</f>
        <v/>
      </c>
      <c r="H47" s="2395" t="n"/>
      <c r="I47" s="2395" t="n"/>
      <c r="J47" s="2395" t="n"/>
      <c r="K47" s="2395" t="n"/>
      <c r="L47" s="2395" t="n"/>
      <c r="M47" s="2395" t="n"/>
      <c r="N47" s="2395" t="n"/>
      <c r="O47" s="2395" t="n"/>
      <c r="P47" s="2395" t="n"/>
      <c r="Q47" s="2395" t="n"/>
      <c r="R47" s="2395" t="n"/>
      <c r="S47" s="2395" t="n"/>
      <c r="T47" s="2395" t="n"/>
      <c r="U47" s="2395" t="n"/>
    </row>
    <row r="48" customFormat="1" s="366">
      <c r="A48" s="2395" t="n"/>
      <c r="B48" s="2405" t="inlineStr">
        <is>
          <t>Plus Other Indirect Costs (% of Direct Costs)</t>
        </is>
      </c>
      <c r="C48" s="2413" t="n">
        <v>0.1</v>
      </c>
      <c r="D48" s="2399" t="n"/>
      <c r="E48" s="2399" t="n"/>
      <c r="F48" s="2399" t="n"/>
      <c r="G48" s="2399">
        <f>G47*(C48)</f>
        <v/>
      </c>
      <c r="H48" s="2395" t="n"/>
      <c r="I48" s="2404" t="inlineStr">
        <is>
          <t>Financing, permits, professional fees, insurance during construction. Typical 8-15%.</t>
        </is>
      </c>
      <c r="J48" s="2395" t="n"/>
      <c r="K48" s="2395" t="n"/>
      <c r="L48" s="2395" t="n"/>
      <c r="M48" s="2395" t="n"/>
      <c r="N48" s="2395" t="n"/>
      <c r="O48" s="2395" t="n"/>
      <c r="P48" s="2395" t="n"/>
      <c r="Q48" s="2395" t="n"/>
      <c r="R48" s="2395" t="n"/>
      <c r="S48" s="2395" t="n"/>
      <c r="T48" s="2395" t="n"/>
      <c r="U48" s="2395" t="n"/>
    </row>
    <row r="49" customFormat="1" s="366">
      <c r="A49" s="2395" t="n"/>
      <c r="B49" s="2439" t="inlineStr">
        <is>
          <t>Subtotal Replacement Cost New (RCN)</t>
        </is>
      </c>
      <c r="C49" s="2419" t="n"/>
      <c r="D49" s="2399" t="n"/>
      <c r="E49" s="2399" t="n"/>
      <c r="F49" s="2399" t="n"/>
      <c r="G49" s="2439">
        <f>SUM(G47:G48)</f>
        <v/>
      </c>
      <c r="H49" s="2395" t="n"/>
      <c r="I49" s="2395" t="n"/>
      <c r="J49" s="2395" t="n"/>
      <c r="K49" s="2395" t="n"/>
      <c r="L49" s="2395" t="n"/>
      <c r="M49" s="2395" t="n"/>
      <c r="N49" s="2395" t="n"/>
      <c r="O49" s="2395" t="n"/>
      <c r="P49" s="2395" t="n"/>
      <c r="Q49" s="2395" t="n"/>
      <c r="R49" s="2395" t="n"/>
      <c r="S49" s="2395" t="n"/>
      <c r="T49" s="2395" t="n"/>
      <c r="U49" s="2395" t="n"/>
    </row>
    <row r="50" customFormat="1" s="366">
      <c r="A50" s="2395" t="n"/>
      <c r="B50" s="2399" t="inlineStr">
        <is>
          <t>Plus Entrepreneurial Profit (% of RCN)</t>
        </is>
      </c>
      <c r="C50" s="2413" t="n">
        <v>0.15</v>
      </c>
      <c r="D50" s="2399" t="n"/>
      <c r="E50" s="2399" t="n"/>
      <c r="F50" s="2399" t="n"/>
      <c r="G50" s="2399">
        <f>G49*C50</f>
        <v/>
      </c>
      <c r="H50" s="2395" t="n"/>
      <c r="I50" s="2404" t="inlineStr">
        <is>
          <t>Developer expected return above cost. Typical 10-20%.</t>
        </is>
      </c>
      <c r="J50" s="2395" t="n"/>
      <c r="K50" s="2395" t="n"/>
      <c r="L50" s="2395" t="n"/>
      <c r="M50" s="2395" t="n"/>
      <c r="N50" s="2395" t="n"/>
      <c r="O50" s="2395" t="n"/>
      <c r="P50" s="2395" t="n"/>
      <c r="Q50" s="2395" t="n"/>
      <c r="R50" s="2395" t="n"/>
      <c r="S50" s="2395" t="n"/>
      <c r="T50" s="2395" t="n"/>
      <c r="U50" s="2395" t="n"/>
    </row>
    <row r="51" customFormat="1" s="366">
      <c r="A51" s="2395" t="n"/>
      <c r="B51" s="2446" t="inlineStr">
        <is>
          <t>Total Replacement Cost New (RCN)</t>
        </is>
      </c>
      <c r="C51" s="2399" t="n"/>
      <c r="D51" s="2399" t="n"/>
      <c r="E51" s="2399" t="n"/>
      <c r="F51" s="2399" t="n"/>
      <c r="G51" s="2446">
        <f>SUM(G49:G50)</f>
        <v/>
      </c>
      <c r="H51" s="2395" t="n"/>
      <c r="I51" s="2395" t="n"/>
      <c r="J51" s="2395" t="n"/>
      <c r="K51" s="2395" t="n"/>
      <c r="L51" s="2395" t="n"/>
      <c r="M51" s="2395" t="n"/>
      <c r="N51" s="2395" t="n"/>
      <c r="O51" s="2395" t="n"/>
      <c r="P51" s="2395" t="n"/>
      <c r="Q51" s="2395" t="n"/>
      <c r="R51" s="2395" t="n"/>
      <c r="S51" s="2395" t="n"/>
      <c r="T51" s="2395" t="n"/>
      <c r="U51" s="2395" t="n"/>
    </row>
    <row r="52" customFormat="1" s="366">
      <c r="A52" s="2395" t="n"/>
      <c r="B52" s="2420" t="inlineStr">
        <is>
          <t>per square foot of gross building area</t>
        </is>
      </c>
      <c r="C52" s="2421" t="n"/>
      <c r="D52" s="2399" t="n"/>
      <c r="E52" s="2399" t="n"/>
      <c r="F52" s="2399" t="n"/>
      <c r="G52" s="2395">
        <f>caRCN/'Property Info'!B5</f>
        <v/>
      </c>
      <c r="H52" s="2395" t="n"/>
      <c r="I52" s="2395" t="n"/>
      <c r="J52" s="2395" t="n"/>
      <c r="K52" s="2395" t="n"/>
      <c r="L52" s="2395" t="n"/>
      <c r="M52" s="2395" t="n"/>
      <c r="N52" s="2395" t="n"/>
      <c r="O52" s="2395" t="n"/>
      <c r="P52" s="2395" t="n"/>
      <c r="Q52" s="2395" t="n"/>
      <c r="R52" s="2395" t="n"/>
      <c r="S52" s="2395" t="n"/>
      <c r="T52" s="2395" t="n"/>
      <c r="U52" s="2395" t="n"/>
    </row>
    <row r="53" customFormat="1" s="366">
      <c r="A53" s="2395" t="n"/>
      <c r="B53" s="2405" t="n"/>
      <c r="C53" s="2399" t="n"/>
      <c r="D53" s="2399" t="n"/>
      <c r="E53" s="2399" t="n"/>
      <c r="F53" s="2399" t="n"/>
      <c r="G53" s="2416" t="n"/>
      <c r="H53" s="2395" t="n"/>
      <c r="I53" s="2395" t="n"/>
      <c r="J53" s="2395" t="n"/>
      <c r="K53" s="2395" t="n"/>
      <c r="L53" s="2395" t="n"/>
      <c r="M53" s="2395" t="n"/>
      <c r="N53" s="2395" t="n"/>
      <c r="O53" s="2395" t="n"/>
      <c r="P53" s="2395" t="n"/>
      <c r="Q53" s="2395" t="n"/>
      <c r="R53" s="2395" t="n"/>
      <c r="S53" s="2395" t="n"/>
      <c r="T53" s="2395" t="n"/>
      <c r="U53" s="2395" t="n"/>
    </row>
    <row r="54" customFormat="1" s="366">
      <c r="A54" s="2395" t="n"/>
      <c r="B54" s="2447" t="inlineStr">
        <is>
          <t>Less Accrued Depreciation</t>
        </is>
      </c>
      <c r="C54" s="2441" t="n"/>
      <c r="D54" s="2441" t="n"/>
      <c r="E54" s="2441" t="n"/>
      <c r="F54" s="2441" t="n"/>
      <c r="G54" s="2448" t="n"/>
      <c r="H54" s="2395" t="n"/>
      <c r="I54" s="2395" t="n"/>
      <c r="J54" s="2395" t="n"/>
      <c r="K54" s="2395" t="n"/>
      <c r="L54" s="2395" t="n"/>
      <c r="M54" s="2395" t="n"/>
      <c r="N54" s="2395" t="n"/>
      <c r="O54" s="2395" t="n"/>
      <c r="P54" s="2395" t="n"/>
      <c r="Q54" s="2395" t="n"/>
      <c r="R54" s="2395" t="n"/>
      <c r="S54" s="2395" t="n"/>
      <c r="T54" s="2395" t="n"/>
      <c r="U54" s="2395" t="n"/>
    </row>
    <row r="55" customFormat="1" s="1563">
      <c r="A55" s="2395" t="n"/>
      <c r="B55" s="2439" t="inlineStr">
        <is>
          <t>Physical</t>
        </is>
      </c>
      <c r="C55" s="2422" t="n"/>
      <c r="D55" s="2422" t="n"/>
      <c r="E55" s="2403" t="n"/>
      <c r="F55" s="2403" t="n"/>
      <c r="G55" s="2403" t="n"/>
      <c r="H55" s="2395" t="n"/>
      <c r="I55" s="2395" t="n"/>
      <c r="J55" s="2395" t="n"/>
      <c r="K55" s="2395" t="n"/>
      <c r="L55" s="2395" t="n"/>
      <c r="M55" s="2395" t="n"/>
      <c r="N55" s="2395" t="n"/>
      <c r="O55" s="2395" t="n"/>
      <c r="P55" s="2395" t="n"/>
      <c r="Q55" s="2423" t="n"/>
      <c r="R55" s="2395" t="n"/>
      <c r="S55" s="2395" t="n"/>
      <c r="T55" s="2395" t="n"/>
      <c r="U55" s="2395" t="n"/>
    </row>
    <row r="56" customFormat="1" s="1563">
      <c r="A56" s="2395" t="n"/>
      <c r="B56" s="2399" t="inlineStr">
        <is>
          <t>Curable (Deferred Maintenance)</t>
        </is>
      </c>
      <c r="C56" s="2422" t="n"/>
      <c r="D56" s="2396" t="n"/>
      <c r="E56" s="2403" t="n"/>
      <c r="F56" s="2402" t="n">
        <v>0</v>
      </c>
      <c r="G56" s="2399" t="n"/>
      <c r="H56" s="2395" t="n"/>
      <c r="I56" s="2404" t="inlineStr">
        <is>
          <t>Dollar cost to cure deferred items (roof, HVAC, etc). 0 = none.</t>
        </is>
      </c>
      <c r="J56" s="2395" t="n"/>
      <c r="K56" s="2395" t="n"/>
      <c r="L56" s="2395" t="n"/>
      <c r="M56" s="2395" t="n"/>
      <c r="N56" s="2395" t="n"/>
      <c r="O56" s="2395" t="n"/>
      <c r="P56" s="2395" t="n"/>
      <c r="Q56" s="2403" t="n"/>
      <c r="R56" s="2403" t="n"/>
      <c r="S56" s="2403" t="n"/>
      <c r="T56" s="2395" t="n"/>
      <c r="U56" s="2395" t="n"/>
    </row>
    <row r="57" s="1449">
      <c r="A57" s="2395" t="n"/>
      <c r="B57" s="2449" t="inlineStr">
        <is>
          <t>Incurable</t>
        </is>
      </c>
      <c r="C57" s="2422" t="n"/>
      <c r="D57" s="2422" t="n"/>
      <c r="E57" s="2403" t="n"/>
      <c r="F57" s="2395" t="n"/>
      <c r="G57" s="2395" t="n"/>
      <c r="H57" s="2395" t="n"/>
      <c r="I57" s="2395" t="n"/>
      <c r="J57" s="2395" t="n"/>
      <c r="K57" s="2395" t="n"/>
      <c r="L57" s="2395" t="n"/>
      <c r="M57" s="2395" t="n"/>
      <c r="N57" s="2395" t="n"/>
      <c r="O57" s="2395" t="n"/>
      <c r="P57" s="2395" t="n"/>
      <c r="Q57" s="2395" t="n"/>
      <c r="R57" s="2395" t="n"/>
      <c r="S57" s="2395" t="n"/>
      <c r="T57" s="2395" t="n"/>
      <c r="U57" s="2395" t="n"/>
    </row>
    <row r="58" s="1449">
      <c r="A58" s="2395" t="n"/>
      <c r="B58" s="2395" t="inlineStr">
        <is>
          <t>Effective Age (Years)</t>
        </is>
      </c>
      <c r="C58" s="2409">
        <f>'Property Info'!C42</f>
        <v/>
      </c>
      <c r="D58" s="2395" t="n"/>
      <c r="E58" s="2395" t="n"/>
      <c r="F58" s="2395" t="n"/>
      <c r="G58" s="2395" t="n"/>
      <c r="H58" s="2395" t="n"/>
      <c r="I58" s="2404" t="inlineStr">
        <is>
          <t>Per MVS Sec.97: true age adjusted for modernization/condition, not necessarily chronological age. Judgment call from inspection.</t>
        </is>
      </c>
      <c r="J58" s="2395" t="n"/>
      <c r="K58" s="2395" t="n"/>
      <c r="L58" s="2395" t="n"/>
      <c r="M58" s="2395" t="n"/>
      <c r="N58" s="2395" t="n"/>
      <c r="O58" s="2395" t="n"/>
      <c r="P58" s="2395" t="n"/>
      <c r="Q58" s="2395" t="n"/>
      <c r="R58" s="2395" t="n"/>
      <c r="S58" s="2395" t="n"/>
      <c r="T58" s="2395" t="n"/>
      <c r="U58" s="2395" t="n"/>
    </row>
    <row r="59" s="1449">
      <c r="A59" s="2395" t="n"/>
      <c r="B59" s="2395" t="inlineStr">
        <is>
          <t>Typical Life Expectancy (MVS Sec.97, auto)</t>
        </is>
      </c>
      <c r="C59" s="2437">
        <f>IFERROR(INDEX(LIFE_VALUES,MATCH($C$4&amp;"~"&amp;$C$7,LIFE_KEY,0),MATCH("Class "&amp;IF($C$6="CMILL","C",IF($C$6="DPOLE","D",IF($C$6="A-B","B",$C$6))),LIFE_CLASSHDR,0)),"n/a for this Class/Quality -- see Life Expectancy table on M&amp;S Inputs")</f>
        <v/>
      </c>
      <c r="D59" s="2395" t="n"/>
      <c r="E59" s="2395" t="n"/>
      <c r="F59" s="2395" t="n"/>
      <c r="G59" s="2395" t="n"/>
      <c r="H59" s="2395" t="n"/>
      <c r="I59" s="2404" t="inlineStr">
        <is>
          <t>MVS Sec.97 pp.10-13, by occupancy/quality/class.</t>
        </is>
      </c>
      <c r="J59" s="2395" t="n"/>
      <c r="K59" s="2423" t="n"/>
      <c r="L59" s="2395" t="n"/>
      <c r="M59" s="2395" t="n"/>
      <c r="N59" s="2395" t="n"/>
      <c r="O59" s="2395" t="n"/>
      <c r="P59" s="2423" t="n"/>
      <c r="Q59" s="2395" t="n"/>
      <c r="R59" s="2395" t="n"/>
      <c r="S59" s="2395" t="n"/>
      <c r="T59" s="2395" t="n"/>
      <c r="U59" s="2395" t="n"/>
    </row>
    <row r="60" s="1449">
      <c r="A60" s="2395" t="n"/>
      <c r="B60" s="2395" t="inlineStr">
        <is>
          <t>Total Incurable Physical Depreciation (MVS Sec.97 percent-good curve)</t>
        </is>
      </c>
      <c r="C60" s="2406">
        <f>IF('Property Info'!B4&gt;=2,IFERROR((F37*F31*C80+C105)/(F37*F31+C104),C80),C80)</f>
        <v/>
      </c>
      <c r="D60" s="2395" t="n"/>
      <c r="E60" s="2395" t="n"/>
      <c r="F60" s="2395">
        <f>G51*C60</f>
        <v/>
      </c>
      <c r="G60" s="2395" t="n"/>
      <c r="H60" s="2395" t="n"/>
      <c r="I60" s="2404" t="inlineStr">
        <is>
          <t>MVS Sec.97 percent-good curve. With 2+ buildings this blends each building's physical depreciation, weighted by adjusted base cost.</t>
        </is>
      </c>
      <c r="J60" s="2395" t="n"/>
      <c r="K60" s="2395" t="n"/>
      <c r="L60" s="2403" t="n"/>
      <c r="M60" s="2403" t="n"/>
      <c r="N60" s="2403" t="n"/>
      <c r="O60" s="2403" t="n"/>
      <c r="P60" s="2403" t="n"/>
      <c r="Q60" s="2395" t="n"/>
      <c r="R60" s="2395" t="n"/>
      <c r="S60" s="2395" t="n"/>
      <c r="T60" s="2395" t="n"/>
      <c r="U60" s="2395" t="n"/>
    </row>
    <row r="61" s="1449">
      <c r="A61" s="2395" t="n"/>
      <c r="B61" s="2395" t="inlineStr">
        <is>
          <t>Functional Obsolescence</t>
        </is>
      </c>
      <c r="C61" s="2409" t="n">
        <v>0</v>
      </c>
      <c r="D61" s="2395" t="n"/>
      <c r="E61" s="2395" t="n"/>
      <c r="F61" s="2395">
        <f>C61*caRCN</f>
        <v/>
      </c>
      <c r="G61" s="2395" t="n"/>
      <c r="H61" s="2395" t="n"/>
      <c r="I61" s="2404" t="inlineStr">
        <is>
          <t>Loss from design deficiencies (excess bays, substandard ceiling height, etc). 0 = none.</t>
        </is>
      </c>
      <c r="J61" s="2395" t="n"/>
      <c r="K61" s="2395" t="n"/>
      <c r="L61" s="2403" t="n"/>
      <c r="M61" s="2403" t="n"/>
      <c r="N61" s="2403" t="n"/>
      <c r="O61" s="2403" t="n"/>
      <c r="P61" s="2403" t="n"/>
      <c r="Q61" s="2395" t="n"/>
      <c r="R61" s="2395" t="n"/>
      <c r="S61" s="2395" t="n"/>
      <c r="T61" s="2395" t="n"/>
      <c r="U61" s="2395" t="n"/>
    </row>
    <row r="62" s="1449">
      <c r="A62" s="2395" t="n"/>
      <c r="B62" s="2395" t="inlineStr">
        <is>
          <t>External Obsolescence</t>
        </is>
      </c>
      <c r="C62" s="2409" t="n">
        <v>0</v>
      </c>
      <c r="D62" s="2395" t="n"/>
      <c r="E62" s="2395" t="n"/>
      <c r="F62" s="2395">
        <f>C62*caRCN</f>
        <v/>
      </c>
      <c r="G62" s="2395" t="n"/>
      <c r="H62" s="2395" t="n"/>
      <c r="I62" s="2404" t="inlineStr">
        <is>
          <t>Loss from external/locational/market factors. 0 = none.</t>
        </is>
      </c>
      <c r="J62" s="2395" t="n"/>
      <c r="K62" s="2395" t="n"/>
      <c r="L62" s="2403" t="n"/>
      <c r="M62" s="2403" t="n"/>
      <c r="N62" s="2403" t="n"/>
      <c r="O62" s="2403" t="n"/>
      <c r="P62" s="2403" t="n"/>
      <c r="Q62" s="2395" t="n"/>
      <c r="R62" s="2395" t="n"/>
      <c r="S62" s="2395" t="n"/>
      <c r="T62" s="2395" t="n"/>
      <c r="U62" s="2395" t="n"/>
    </row>
    <row r="63" s="1449">
      <c r="A63" s="2395" t="n"/>
      <c r="B63" s="2449" t="inlineStr">
        <is>
          <t>Total</t>
        </is>
      </c>
      <c r="C63" s="2395">
        <f>G63/caRCN</f>
        <v/>
      </c>
      <c r="D63" s="2395" t="n"/>
      <c r="E63" s="2395" t="n"/>
      <c r="F63" s="2395" t="n"/>
      <c r="G63" s="2449">
        <f>SUM(F56:F62)</f>
        <v/>
      </c>
      <c r="H63" s="2395" t="n"/>
      <c r="I63" s="2395" t="n"/>
      <c r="J63" s="2395" t="n"/>
      <c r="K63" s="2399" t="n"/>
      <c r="L63" s="2403" t="n"/>
      <c r="M63" s="2403" t="n"/>
      <c r="N63" s="2403" t="n"/>
      <c r="O63" s="2403" t="n"/>
      <c r="P63" s="2403" t="n"/>
      <c r="Q63" s="2395" t="n"/>
      <c r="R63" s="2395" t="n"/>
      <c r="S63" s="2395" t="n"/>
      <c r="T63" s="2395" t="n"/>
      <c r="U63" s="2395" t="n"/>
    </row>
    <row r="64" s="1449">
      <c r="A64" s="2395" t="n"/>
      <c r="B64" s="2450" t="inlineStr">
        <is>
          <t>Depreciated Value of the Improvements</t>
        </is>
      </c>
      <c r="C64" s="2395" t="n"/>
      <c r="D64" s="2395" t="n"/>
      <c r="E64" s="2395" t="n"/>
      <c r="F64" s="2395" t="n"/>
      <c r="G64" s="2450">
        <f>caRCN-G63</f>
        <v/>
      </c>
      <c r="H64" s="2395" t="n"/>
      <c r="I64" s="2395" t="n"/>
      <c r="J64" s="2395" t="n"/>
      <c r="K64" s="2399" t="n"/>
      <c r="L64" s="2403" t="n"/>
      <c r="M64" s="2403" t="n"/>
      <c r="N64" s="2403" t="n"/>
      <c r="O64" s="2403" t="n"/>
      <c r="P64" s="2403" t="n"/>
      <c r="Q64" s="2395" t="n"/>
      <c r="R64" s="2395" t="n"/>
      <c r="S64" s="2395" t="n"/>
      <c r="T64" s="2395" t="n"/>
      <c r="U64" s="2395" t="n"/>
    </row>
    <row r="65" s="1449">
      <c r="A65" s="2395" t="n"/>
      <c r="B65" s="2395" t="inlineStr">
        <is>
          <t>per square foot of gross building area</t>
        </is>
      </c>
      <c r="C65" s="2395" t="n"/>
      <c r="D65" s="2395" t="n"/>
      <c r="E65" s="2395" t="n"/>
      <c r="F65" s="2395" t="n"/>
      <c r="G65" s="2395">
        <f>caRCNDeprec/'Property Info'!B5</f>
        <v/>
      </c>
      <c r="H65" s="2395" t="n"/>
      <c r="I65" s="2395" t="n"/>
      <c r="J65" s="2395" t="n"/>
      <c r="K65" s="2395" t="n"/>
      <c r="L65" s="2395" t="n"/>
      <c r="M65" s="2395" t="n"/>
      <c r="N65" s="2395" t="n"/>
      <c r="O65" s="2395" t="n"/>
      <c r="P65" s="2395" t="n"/>
      <c r="Q65" s="2395" t="n"/>
      <c r="R65" s="2395" t="n"/>
      <c r="S65" s="2395" t="n"/>
      <c r="T65" s="2395" t="n"/>
      <c r="U65" s="2395" t="n"/>
    </row>
    <row r="66" s="1449">
      <c r="A66" s="2395" t="n"/>
      <c r="B66" s="2423" t="n"/>
      <c r="C66" s="2395" t="n"/>
      <c r="D66" s="2395" t="n"/>
      <c r="E66" s="2395" t="n"/>
      <c r="F66" s="2395" t="n"/>
      <c r="G66" s="2395" t="n"/>
      <c r="H66" s="2395" t="n"/>
      <c r="I66" s="2395" t="n"/>
      <c r="J66" s="2395" t="n"/>
      <c r="K66" s="2395" t="n"/>
      <c r="L66" s="2395" t="n"/>
      <c r="M66" s="2395" t="n"/>
      <c r="N66" s="2395" t="n"/>
      <c r="O66" s="2395" t="n"/>
      <c r="P66" s="2395" t="n"/>
      <c r="Q66" s="2395" t="n"/>
      <c r="R66" s="2395" t="n"/>
      <c r="S66" s="2395" t="n"/>
      <c r="T66" s="2395" t="n"/>
      <c r="U66" s="2395" t="n"/>
    </row>
    <row r="67" s="1449">
      <c r="A67" s="2395" t="n"/>
      <c r="B67" s="2395" t="inlineStr">
        <is>
          <t>Plus Land Value</t>
        </is>
      </c>
      <c r="C67" s="2403" t="n"/>
      <c r="D67" s="2403" t="n"/>
      <c r="E67" s="2403" t="n"/>
      <c r="F67" s="2403" t="n"/>
      <c r="G67" s="2403">
        <f>'Land Sales'!C65</f>
        <v/>
      </c>
      <c r="H67" s="2395" t="n"/>
      <c r="I67" s="2404" t="inlineStr">
        <is>
          <t>Set to the value concluded on the Land Sales worksheet. If using a land value from another source, overwrite this cell directly.</t>
        </is>
      </c>
      <c r="J67" s="2395" t="n"/>
      <c r="K67" s="2395" t="n"/>
      <c r="L67" s="2395" t="n"/>
      <c r="M67" s="2395" t="n"/>
      <c r="N67" s="2395" t="n"/>
      <c r="O67" s="2395" t="n"/>
      <c r="P67" s="2395" t="n"/>
      <c r="Q67" s="2395" t="n"/>
      <c r="R67" s="2395" t="n"/>
      <c r="S67" s="2395" t="n"/>
      <c r="T67" s="2395" t="n"/>
      <c r="U67" s="2395" t="n"/>
    </row>
    <row r="68" s="1449">
      <c r="A68" s="2395" t="n"/>
      <c r="B68" s="2405" t="n"/>
      <c r="C68" s="2399" t="n"/>
      <c r="D68" s="2399" t="n"/>
      <c r="E68" s="2399" t="n"/>
      <c r="F68" s="2399" t="n"/>
      <c r="G68" s="2399" t="n"/>
      <c r="H68" s="2395" t="n"/>
      <c r="I68" s="2395" t="n"/>
      <c r="J68" s="2395" t="n"/>
      <c r="K68" s="2395" t="n"/>
      <c r="L68" s="2395" t="n"/>
      <c r="M68" s="2395" t="n"/>
      <c r="N68" s="2395" t="n"/>
      <c r="O68" s="2395" t="n"/>
      <c r="P68" s="2395" t="n"/>
      <c r="Q68" s="2395" t="n"/>
      <c r="R68" s="2395" t="n"/>
      <c r="S68" s="2395" t="n"/>
      <c r="T68" s="2395" t="n"/>
      <c r="U68" s="2395" t="n"/>
    </row>
    <row r="69" s="1449">
      <c r="A69" s="2395" t="n"/>
      <c r="B69" s="2451" t="inlineStr">
        <is>
          <t>Indicated Value by Cost Approach</t>
        </is>
      </c>
      <c r="C69" s="2424" t="n"/>
      <c r="D69" s="2399" t="n"/>
      <c r="E69" s="2399" t="n"/>
      <c r="F69" s="2399" t="n"/>
      <c r="G69" s="2452">
        <f>G64+G67</f>
        <v/>
      </c>
      <c r="H69" s="2395" t="n"/>
      <c r="I69" s="2395" t="n"/>
      <c r="J69" s="2395" t="n"/>
      <c r="K69" s="2395" t="n"/>
      <c r="L69" s="2395" t="n"/>
      <c r="M69" s="2395" t="n"/>
      <c r="N69" s="2395" t="n"/>
      <c r="O69" s="2395" t="n"/>
      <c r="P69" s="2395" t="n"/>
      <c r="Q69" s="2395" t="n"/>
      <c r="R69" s="2395" t="n"/>
      <c r="S69" s="2395" t="n"/>
      <c r="T69" s="2395" t="n"/>
      <c r="U69" s="2395" t="n"/>
    </row>
    <row r="70" s="1449">
      <c r="A70" s="2395" t="n"/>
      <c r="B70" s="2407" t="n">
        <v>5000</v>
      </c>
      <c r="C70" s="2395" t="n"/>
      <c r="D70" s="2399" t="n"/>
      <c r="E70" s="2399" t="n"/>
      <c r="F70" s="2399" t="n"/>
      <c r="G70" s="2452">
        <f>ROUND((G69/B70),0)*B70</f>
        <v/>
      </c>
      <c r="H70" s="2395" t="n"/>
      <c r="I70" s="2404" t="inlineStr">
        <is>
          <t>Rounded to the nearest $5,000 (change the value in column B to round to a different increment).</t>
        </is>
      </c>
      <c r="J70" s="2395" t="n"/>
      <c r="K70" s="2395" t="n"/>
      <c r="L70" s="2395" t="n"/>
      <c r="M70" s="2395" t="n"/>
      <c r="N70" s="2395" t="n"/>
      <c r="O70" s="2395" t="n"/>
      <c r="P70" s="2395" t="n"/>
      <c r="Q70" s="2395" t="n"/>
      <c r="R70" s="2395" t="n"/>
      <c r="S70" s="2395" t="n"/>
      <c r="T70" s="2395" t="n"/>
      <c r="U70" s="2395" t="n"/>
    </row>
    <row r="71" s="1449">
      <c r="A71" s="2395" t="n"/>
      <c r="B71" s="2407" t="inlineStr">
        <is>
          <t>per square foot of gross building area</t>
        </is>
      </c>
      <c r="C71" s="2395" t="n"/>
      <c r="D71" s="2399" t="n"/>
      <c r="E71" s="2399" t="n"/>
      <c r="F71" s="2399" t="n"/>
      <c r="G71" s="2399">
        <f>G70/'Property Info'!B5</f>
        <v/>
      </c>
      <c r="H71" s="2395" t="n"/>
      <c r="I71" s="2395" t="n"/>
      <c r="J71" s="2395" t="n"/>
      <c r="K71" s="2395" t="n"/>
      <c r="L71" s="2395" t="n"/>
      <c r="M71" s="2395" t="n"/>
      <c r="N71" s="2395" t="n"/>
      <c r="O71" s="2395" t="n"/>
      <c r="P71" s="2395" t="n"/>
      <c r="Q71" s="2395" t="n"/>
      <c r="R71" s="2395" t="n"/>
      <c r="S71" s="2395" t="n"/>
      <c r="T71" s="2395" t="n"/>
      <c r="U71" s="2395" t="n"/>
    </row>
    <row r="72" s="1449">
      <c r="A72" s="2395" t="n"/>
      <c r="B72" s="2407" t="n"/>
      <c r="C72" s="2395" t="n"/>
      <c r="D72" s="2399" t="n"/>
      <c r="E72" s="2399" t="n"/>
      <c r="F72" s="2399" t="n"/>
      <c r="G72" s="2399" t="n"/>
      <c r="H72" s="2395" t="n"/>
      <c r="I72" s="2395" t="n"/>
      <c r="J72" s="2395" t="n"/>
      <c r="K72" s="2395" t="n"/>
      <c r="L72" s="2395" t="n"/>
      <c r="M72" s="2395" t="n"/>
      <c r="N72" s="2395" t="n"/>
      <c r="O72" s="2395" t="n"/>
      <c r="P72" s="2395" t="n"/>
      <c r="Q72" s="2395" t="n"/>
      <c r="R72" s="2395" t="n"/>
      <c r="S72" s="2395" t="n"/>
      <c r="T72" s="2395" t="n"/>
      <c r="U72" s="2395" t="n"/>
    </row>
    <row r="73" s="1449">
      <c r="A73" s="2395" t="n"/>
      <c r="B73" s="2407" t="inlineStr">
        <is>
          <t>MVS June 2024 Ed.</t>
        </is>
      </c>
      <c r="C73" s="2395">
        <f>IFERROR(INDEX(BC_OCC,MATCH($C$4&amp;"~"&amp;$C$6&amp;"~"&amp;$C$7,BC_KEY,0)),"")&amp;" | "&amp;$C$4</f>
        <v/>
      </c>
      <c r="D73" s="2399">
        <f>"Class: "&amp;$C$6&amp;" / "&amp;$C$7</f>
        <v/>
      </c>
      <c r="E73" s="2399" t="n"/>
      <c r="F73" s="2399" t="n"/>
      <c r="G73" s="2399" t="n"/>
      <c r="H73" s="2395" t="n"/>
      <c r="I73" s="2395" t="n"/>
      <c r="J73" s="2395" t="n"/>
      <c r="K73" s="2395" t="n"/>
      <c r="L73" s="2395" t="n"/>
      <c r="M73" s="2395" t="n"/>
      <c r="N73" s="2395" t="n"/>
      <c r="O73" s="2395" t="n"/>
      <c r="P73" s="2395" t="n"/>
      <c r="Q73" s="2395" t="n"/>
      <c r="R73" s="2395" t="n"/>
      <c r="S73" s="2395" t="n"/>
      <c r="T73" s="2395" t="n"/>
      <c r="U73" s="2395" t="n"/>
    </row>
    <row r="74" s="1449">
      <c r="A74" s="2395" t="n"/>
      <c r="B74" s="2407" t="inlineStr">
        <is>
          <t>Colorado -- WESTERN region (assumed)</t>
        </is>
      </c>
      <c r="C74" s="2395">
        <f>"CCM/De-trend: "&amp;TEXT(D33,"0.000")&amp;" | LAM: "&amp;TEXT(D34,"0.000")</f>
        <v/>
      </c>
      <c r="D74" s="2399">
        <f>"Sec.99 p.3/p.7 (Jan 2025 insert) + Sec.98 Denver de-trend"</f>
        <v/>
      </c>
      <c r="E74" s="2399" t="n"/>
      <c r="F74" s="2399" t="n"/>
      <c r="G74" s="2399" t="n"/>
      <c r="H74" s="2395" t="n"/>
      <c r="I74" s="2395" t="n"/>
      <c r="J74" s="2395" t="n"/>
      <c r="K74" s="2395" t="n"/>
      <c r="L74" s="2395" t="n"/>
      <c r="M74" s="2395" t="n"/>
      <c r="N74" s="2395" t="n"/>
      <c r="O74" s="2395" t="n"/>
      <c r="P74" s="2395" t="n"/>
      <c r="Q74" s="2395" t="n"/>
      <c r="R74" s="2395" t="n"/>
      <c r="S74" s="2395" t="n"/>
      <c r="T74" s="2395" t="n"/>
      <c r="U74" s="2395" t="n"/>
    </row>
    <row r="75" s="1449">
      <c r="A75" s="2395" t="n"/>
      <c r="B75" s="2407" t="n"/>
      <c r="C75" s="2395">
        <f>"Story Ht Mult: "&amp;TEXT(D36,"0.000")&amp;" | Area Mult: "&amp;TEXT(D35,"0.000")</f>
        <v/>
      </c>
      <c r="D75" s="2399" t="n"/>
      <c r="E75" s="2399" t="n"/>
      <c r="F75" s="2399" t="n"/>
      <c r="G75" s="2399" t="n"/>
      <c r="H75" s="2395" t="n"/>
      <c r="I75" s="2395" t="n"/>
      <c r="J75" s="2395" t="n"/>
      <c r="K75" s="2395" t="n"/>
      <c r="L75" s="2395" t="n"/>
      <c r="M75" s="2395" t="n"/>
      <c r="N75" s="2395" t="n"/>
      <c r="O75" s="2395" t="n"/>
      <c r="P75" s="2395" t="n"/>
      <c r="Q75" s="2395" t="n"/>
      <c r="R75" s="2395" t="n"/>
      <c r="S75" s="2395" t="n"/>
      <c r="T75" s="2395" t="n"/>
      <c r="U75" s="2395" t="n"/>
    </row>
    <row r="76" hidden="1" s="1449">
      <c r="A76" s="2395" t="n"/>
      <c r="B76" s="2407" t="n"/>
      <c r="C76" s="2417" t="n"/>
      <c r="D76" s="2399" t="n"/>
      <c r="E76" s="2399" t="n"/>
      <c r="F76" s="2399" t="n"/>
      <c r="G76" s="2399" t="n"/>
      <c r="H76" s="2395" t="n"/>
      <c r="I76" s="2395" t="n"/>
      <c r="J76" s="2395" t="n"/>
      <c r="K76" s="2395" t="n"/>
      <c r="L76" s="2395" t="n"/>
      <c r="M76" s="2395" t="n"/>
      <c r="N76" s="2395" t="n"/>
      <c r="O76" s="2395" t="n"/>
      <c r="P76" s="2395" t="n"/>
      <c r="Q76" s="2395" t="n"/>
      <c r="R76" s="2395" t="n"/>
      <c r="S76" s="2395" t="n"/>
      <c r="T76" s="2395" t="n"/>
      <c r="U76" s="2395" t="n"/>
    </row>
    <row r="77" hidden="1" s="1449">
      <c r="A77" s="2395" t="n"/>
      <c r="B77" s="2405" t="n"/>
      <c r="C77" s="2399" t="n"/>
      <c r="D77" s="2399" t="n"/>
      <c r="E77" s="2399" t="n"/>
      <c r="F77" s="2399" t="n"/>
      <c r="G77" s="2399" t="n"/>
      <c r="H77" s="2395" t="n"/>
      <c r="I77" s="2395" t="n"/>
      <c r="J77" s="2395" t="n"/>
      <c r="K77" s="2395" t="n"/>
      <c r="L77" s="2395" t="n"/>
      <c r="M77" s="2395" t="n"/>
      <c r="N77" s="2395" t="n"/>
      <c r="O77" s="2395" t="n"/>
      <c r="P77" s="2395" t="n"/>
      <c r="Q77" s="2395" t="n"/>
      <c r="R77" s="2395" t="n"/>
      <c r="S77" s="2395" t="n"/>
      <c r="T77" s="2395" t="n"/>
      <c r="U77" s="2395" t="n"/>
    </row>
    <row r="78" hidden="1" s="1449">
      <c r="A78" s="2395" t="n"/>
      <c r="B78" s="2410" t="inlineStr">
        <is>
          <t>MULTI-BUILDING BASE-COST DETAIL  (Buildings 2-12)</t>
        </is>
      </c>
      <c r="C78" s="2399" t="n"/>
      <c r="D78" s="2414" t="n"/>
      <c r="E78" s="2414" t="n"/>
      <c r="F78" s="2399" t="n"/>
      <c r="G78" s="2399" t="n"/>
      <c r="H78" s="2395" t="n"/>
      <c r="I78" s="2395" t="n"/>
      <c r="J78" s="2395" t="n"/>
      <c r="K78" s="2395" t="n"/>
      <c r="L78" s="2395" t="n"/>
      <c r="M78" s="2395" t="n"/>
      <c r="N78" s="2395" t="n"/>
      <c r="O78" s="2395" t="n"/>
      <c r="P78" s="2395" t="n"/>
      <c r="Q78" s="2395" t="n"/>
      <c r="R78" s="2395" t="n"/>
      <c r="S78" s="2395" t="n"/>
      <c r="T78" s="2395" t="n"/>
      <c r="U78" s="2395" t="n"/>
    </row>
    <row r="79" hidden="1" s="1449">
      <c r="A79" s="2395" t="n"/>
      <c r="B79" s="2475" t="inlineStr">
        <is>
          <t>Building 1 is the summary above (Steps 1-3 read Property Info Building 1). Each column below reads a building from Property Info cols D-N and adds its Replacement Cost New to the total.</t>
        </is>
      </c>
      <c r="C79" s="2399" t="n"/>
      <c r="D79" s="2414" t="n"/>
      <c r="E79" s="2414" t="n"/>
      <c r="F79" s="2399" t="n"/>
      <c r="G79" s="2399" t="n"/>
      <c r="H79" s="2395" t="n"/>
      <c r="I79" s="2395" t="n"/>
      <c r="J79" s="2395" t="n"/>
      <c r="K79" s="2395" t="n"/>
      <c r="L79" s="2395" t="n"/>
      <c r="M79" s="2395" t="n"/>
      <c r="N79" s="2395" t="n"/>
      <c r="O79" s="2395" t="n"/>
      <c r="P79" s="2395" t="n"/>
      <c r="Q79" s="2395" t="n"/>
      <c r="R79" s="2395" t="n"/>
      <c r="S79" s="2395" t="n"/>
      <c r="T79" s="2395" t="n"/>
      <c r="U79" s="2395" t="n"/>
    </row>
    <row r="80" hidden="1" s="1449">
      <c r="A80" s="2395" t="n"/>
      <c r="B80" s="2407" t="inlineStr">
        <is>
          <t>Building 1 Physical Depr % (auto)</t>
        </is>
      </c>
      <c r="C80" s="2399">
        <f>IFERROR(INDEX(DEPR_VALUES,MATCH($C$58,DEPR_AGE,1),MATCH($C$59,DEPR_LIFEHDR,0))/100,"n/a -- age exceeds tabulated range; treat as fully depreciated per Sec.97 salvage guidance")</f>
        <v/>
      </c>
      <c r="D80" s="2414" t="n"/>
      <c r="E80" s="2414" t="n"/>
      <c r="F80" s="2399" t="n"/>
      <c r="G80" s="2399" t="n"/>
      <c r="H80" s="2395" t="n"/>
      <c r="I80" s="2395" t="n"/>
      <c r="J80" s="2395" t="n"/>
      <c r="K80" s="2395" t="n"/>
      <c r="L80" s="2395" t="n"/>
      <c r="M80" s="2395" t="n"/>
      <c r="N80" s="2395" t="n"/>
      <c r="O80" s="2395" t="n"/>
      <c r="P80" s="2395" t="n"/>
      <c r="Q80" s="2395" t="n"/>
      <c r="R80" s="2395" t="n"/>
      <c r="S80" s="2395" t="n"/>
      <c r="T80" s="2395" t="n"/>
      <c r="U80" s="2395" t="n"/>
    </row>
    <row r="81" hidden="1" s="1449">
      <c r="A81" s="2395" t="n"/>
      <c r="B81" s="2407" t="n"/>
      <c r="C81" s="2399" t="n"/>
      <c r="D81" s="2414" t="n"/>
      <c r="E81" s="2414" t="n"/>
      <c r="F81" s="2399" t="n"/>
      <c r="G81" s="2399" t="n"/>
      <c r="H81" s="2395" t="n"/>
      <c r="I81" s="2395" t="n"/>
      <c r="J81" s="2395" t="n"/>
      <c r="K81" s="2395" t="n"/>
      <c r="L81" s="2395" t="n"/>
      <c r="M81" s="2395" t="n"/>
      <c r="N81" s="2395" t="n"/>
      <c r="O81" s="2395" t="n"/>
      <c r="P81" s="2395" t="n"/>
      <c r="Q81" s="2395" t="n"/>
      <c r="R81" s="2395" t="n"/>
      <c r="S81" s="2395" t="n"/>
      <c r="T81" s="2395" t="n"/>
      <c r="U81" s="2395" t="n"/>
    </row>
    <row r="82" hidden="1" s="1449">
      <c r="A82" s="2395" t="n"/>
      <c r="B82" s="2476" t="inlineStr">
        <is>
          <t>Building</t>
        </is>
      </c>
      <c r="C82" s="2477">
        <f>'Property Info'!D1</f>
        <v/>
      </c>
      <c r="D82" s="2478">
        <f>'Property Info'!E1</f>
        <v/>
      </c>
      <c r="E82" s="2478">
        <f>'Property Info'!F1</f>
        <v/>
      </c>
      <c r="F82" s="2478">
        <f>'Property Info'!G1</f>
        <v/>
      </c>
      <c r="G82" s="2477">
        <f>'Property Info'!H1</f>
        <v/>
      </c>
      <c r="H82" s="2477">
        <f>'Property Info'!I1</f>
        <v/>
      </c>
      <c r="I82" s="2477">
        <f>'Property Info'!J1</f>
        <v/>
      </c>
      <c r="J82" s="2477">
        <f>'Property Info'!K1</f>
        <v/>
      </c>
      <c r="K82" s="2477">
        <f>'Property Info'!L1</f>
        <v/>
      </c>
      <c r="L82" s="2477">
        <f>'Property Info'!M1</f>
        <v/>
      </c>
      <c r="M82" s="2477">
        <f>'Property Info'!N1</f>
        <v/>
      </c>
      <c r="N82" s="2395" t="n"/>
      <c r="O82" s="2395" t="n"/>
      <c r="P82" s="2395" t="n"/>
      <c r="Q82" s="2395" t="n"/>
      <c r="R82" s="2395" t="n"/>
      <c r="S82" s="2395" t="n"/>
      <c r="T82" s="2395" t="n"/>
      <c r="U82" s="2395" t="n"/>
    </row>
    <row r="83" hidden="1" s="1449">
      <c r="A83" s="2395" t="n"/>
      <c r="B83" s="2479" t="inlineStr">
        <is>
          <t>Occupancy Type</t>
        </is>
      </c>
      <c r="C83" s="2406">
        <f>'Property Info'!D35</f>
        <v/>
      </c>
      <c r="D83" s="2406">
        <f>'Property Info'!E35</f>
        <v/>
      </c>
      <c r="E83" s="2406">
        <f>'Property Info'!F35</f>
        <v/>
      </c>
      <c r="F83" s="2406">
        <f>'Property Info'!G35</f>
        <v/>
      </c>
      <c r="G83" s="2406">
        <f>'Property Info'!H35</f>
        <v/>
      </c>
      <c r="H83" s="2437">
        <f>'Property Info'!I35</f>
        <v/>
      </c>
      <c r="I83" s="2437">
        <f>'Property Info'!J35</f>
        <v/>
      </c>
      <c r="J83" s="2437">
        <f>'Property Info'!K35</f>
        <v/>
      </c>
      <c r="K83" s="2437">
        <f>'Property Info'!L35</f>
        <v/>
      </c>
      <c r="L83" s="2437">
        <f>'Property Info'!M35</f>
        <v/>
      </c>
      <c r="M83" s="2437">
        <f>'Property Info'!N35</f>
        <v/>
      </c>
      <c r="N83" s="2395" t="n"/>
      <c r="O83" s="2395" t="n"/>
      <c r="P83" s="2395" t="n"/>
      <c r="Q83" s="2395" t="n"/>
      <c r="R83" s="2395" t="n"/>
      <c r="S83" s="2395" t="n"/>
      <c r="T83" s="2395" t="n"/>
      <c r="U83" s="2395" t="n"/>
    </row>
    <row r="84" hidden="1" s="1449">
      <c r="A84" s="2395" t="n"/>
      <c r="B84" s="2479" t="inlineStr">
        <is>
          <t>Building Class</t>
        </is>
      </c>
      <c r="C84" s="2406">
        <f>'Property Info'!D36</f>
        <v/>
      </c>
      <c r="D84" s="2406">
        <f>'Property Info'!E36</f>
        <v/>
      </c>
      <c r="E84" s="2406">
        <f>'Property Info'!F36</f>
        <v/>
      </c>
      <c r="F84" s="2406">
        <f>'Property Info'!G36</f>
        <v/>
      </c>
      <c r="G84" s="2406">
        <f>'Property Info'!H36</f>
        <v/>
      </c>
      <c r="H84" s="2437">
        <f>'Property Info'!I36</f>
        <v/>
      </c>
      <c r="I84" s="2437">
        <f>'Property Info'!J36</f>
        <v/>
      </c>
      <c r="J84" s="2437">
        <f>'Property Info'!K36</f>
        <v/>
      </c>
      <c r="K84" s="2437">
        <f>'Property Info'!L36</f>
        <v/>
      </c>
      <c r="L84" s="2437">
        <f>'Property Info'!M36</f>
        <v/>
      </c>
      <c r="M84" s="2437">
        <f>'Property Info'!N36</f>
        <v/>
      </c>
      <c r="N84" s="2395" t="n"/>
      <c r="O84" s="2395" t="n"/>
      <c r="P84" s="2395" t="n"/>
      <c r="Q84" s="2395" t="n"/>
      <c r="R84" s="2395" t="n"/>
      <c r="S84" s="2395" t="n"/>
      <c r="T84" s="2395" t="n"/>
      <c r="U84" s="2395" t="n"/>
    </row>
    <row r="85" hidden="1" s="1449">
      <c r="A85" s="2395" t="n"/>
      <c r="B85" s="2480" t="inlineStr">
        <is>
          <t>Quality</t>
        </is>
      </c>
      <c r="C85" s="2437">
        <f>'Property Info'!D37</f>
        <v/>
      </c>
      <c r="D85" s="2406">
        <f>'Property Info'!E37</f>
        <v/>
      </c>
      <c r="E85" s="2406">
        <f>'Property Info'!F37</f>
        <v/>
      </c>
      <c r="F85" s="2406">
        <f>'Property Info'!G37</f>
        <v/>
      </c>
      <c r="G85" s="2406">
        <f>'Property Info'!H37</f>
        <v/>
      </c>
      <c r="H85" s="2437">
        <f>'Property Info'!I37</f>
        <v/>
      </c>
      <c r="I85" s="2437">
        <f>'Property Info'!J37</f>
        <v/>
      </c>
      <c r="J85" s="2437">
        <f>'Property Info'!K37</f>
        <v/>
      </c>
      <c r="K85" s="2437">
        <f>'Property Info'!L37</f>
        <v/>
      </c>
      <c r="L85" s="2437">
        <f>'Property Info'!M37</f>
        <v/>
      </c>
      <c r="M85" s="2437">
        <f>'Property Info'!N37</f>
        <v/>
      </c>
      <c r="N85" s="2395" t="n"/>
      <c r="O85" s="2395" t="n"/>
      <c r="P85" s="2395" t="n"/>
      <c r="Q85" s="2395" t="n"/>
      <c r="R85" s="2395" t="n"/>
      <c r="S85" s="2395" t="n"/>
      <c r="T85" s="2395" t="n"/>
      <c r="U85" s="2395" t="n"/>
    </row>
    <row r="86" hidden="1" s="1449">
      <c r="A86" s="2395" t="n"/>
      <c r="B86" s="2480" t="inlineStr">
        <is>
          <t>Area GBA (SF)</t>
        </is>
      </c>
      <c r="C86" s="2437">
        <f>'Property Info'!D5</f>
        <v/>
      </c>
      <c r="D86" s="2406">
        <f>'Property Info'!E5</f>
        <v/>
      </c>
      <c r="E86" s="2406">
        <f>'Property Info'!F5</f>
        <v/>
      </c>
      <c r="F86" s="2406">
        <f>'Property Info'!G5</f>
        <v/>
      </c>
      <c r="G86" s="2406">
        <f>'Property Info'!H5</f>
        <v/>
      </c>
      <c r="H86" s="2437">
        <f>'Property Info'!I5</f>
        <v/>
      </c>
      <c r="I86" s="2437">
        <f>'Property Info'!J5</f>
        <v/>
      </c>
      <c r="J86" s="2437">
        <f>'Property Info'!K5</f>
        <v/>
      </c>
      <c r="K86" s="2437">
        <f>'Property Info'!L5</f>
        <v/>
      </c>
      <c r="L86" s="2437">
        <f>'Property Info'!M5</f>
        <v/>
      </c>
      <c r="M86" s="2437">
        <f>'Property Info'!N5</f>
        <v/>
      </c>
      <c r="N86" s="2395" t="n"/>
      <c r="O86" s="2395" t="n"/>
      <c r="P86" s="2395" t="n"/>
      <c r="Q86" s="2395" t="n"/>
      <c r="R86" s="2395" t="n"/>
      <c r="S86" s="2395" t="n"/>
      <c r="T86" s="2395" t="n"/>
      <c r="U86" s="2395" t="n"/>
    </row>
    <row r="87" hidden="1" s="1449">
      <c r="A87" s="2395" t="n"/>
      <c r="B87" s="2480" t="inlineStr">
        <is>
          <t>Avg Eave/Wall Ht (ft)</t>
        </is>
      </c>
      <c r="C87" s="2437">
        <f>'Property Info'!D38</f>
        <v/>
      </c>
      <c r="D87" s="2406">
        <f>'Property Info'!E38</f>
        <v/>
      </c>
      <c r="E87" s="2406">
        <f>'Property Info'!F38</f>
        <v/>
      </c>
      <c r="F87" s="2406">
        <f>'Property Info'!G38</f>
        <v/>
      </c>
      <c r="G87" s="2406">
        <f>'Property Info'!H38</f>
        <v/>
      </c>
      <c r="H87" s="2437">
        <f>'Property Info'!I38</f>
        <v/>
      </c>
      <c r="I87" s="2437">
        <f>'Property Info'!J38</f>
        <v/>
      </c>
      <c r="J87" s="2437">
        <f>'Property Info'!K38</f>
        <v/>
      </c>
      <c r="K87" s="2437">
        <f>'Property Info'!L38</f>
        <v/>
      </c>
      <c r="L87" s="2437">
        <f>'Property Info'!M38</f>
        <v/>
      </c>
      <c r="M87" s="2437">
        <f>'Property Info'!N38</f>
        <v/>
      </c>
      <c r="N87" s="2395" t="n"/>
      <c r="O87" s="2395" t="n"/>
      <c r="P87" s="2395" t="n"/>
      <c r="Q87" s="2395" t="n"/>
      <c r="R87" s="2395" t="n"/>
      <c r="S87" s="2395" t="n"/>
      <c r="T87" s="2395" t="n"/>
      <c r="U87" s="2395" t="n"/>
    </row>
    <row r="88" hidden="1" s="1449">
      <c r="A88" s="2395" t="n"/>
      <c r="B88" s="2480" t="inlineStr">
        <is>
          <t>Area/Perim Factor 1</t>
        </is>
      </c>
      <c r="C88" s="2406">
        <f>'Property Info'!D39</f>
        <v/>
      </c>
      <c r="D88" s="2406">
        <f>'Property Info'!E39</f>
        <v/>
      </c>
      <c r="E88" s="2406">
        <f>'Property Info'!F39</f>
        <v/>
      </c>
      <c r="F88" s="2406">
        <f>'Property Info'!G39</f>
        <v/>
      </c>
      <c r="G88" s="2406">
        <f>'Property Info'!H39</f>
        <v/>
      </c>
      <c r="H88" s="2437">
        <f>'Property Info'!I39</f>
        <v/>
      </c>
      <c r="I88" s="2437">
        <f>'Property Info'!J39</f>
        <v/>
      </c>
      <c r="J88" s="2437">
        <f>'Property Info'!K39</f>
        <v/>
      </c>
      <c r="K88" s="2437">
        <f>'Property Info'!L39</f>
        <v/>
      </c>
      <c r="L88" s="2437">
        <f>'Property Info'!M39</f>
        <v/>
      </c>
      <c r="M88" s="2437">
        <f>'Property Info'!N39</f>
        <v/>
      </c>
      <c r="N88" s="2395" t="n"/>
      <c r="O88" s="2395" t="n"/>
      <c r="P88" s="2395" t="n"/>
      <c r="Q88" s="2395" t="n"/>
      <c r="R88" s="2395" t="n"/>
      <c r="S88" s="2395" t="n"/>
      <c r="T88" s="2395" t="n"/>
      <c r="U88" s="2395" t="n"/>
    </row>
    <row r="89" hidden="1" s="1449">
      <c r="A89" s="2395" t="n"/>
      <c r="B89" s="2480" t="inlineStr">
        <is>
          <t>Area/Perim Factor 2</t>
        </is>
      </c>
      <c r="C89" s="2406">
        <f>'Property Info'!D40</f>
        <v/>
      </c>
      <c r="D89" s="2406">
        <f>'Property Info'!E40</f>
        <v/>
      </c>
      <c r="E89" s="2437">
        <f>'Property Info'!F40</f>
        <v/>
      </c>
      <c r="F89" s="2481">
        <f>'Property Info'!G40</f>
        <v/>
      </c>
      <c r="G89" s="2406">
        <f>'Property Info'!H40</f>
        <v/>
      </c>
      <c r="H89" s="2437">
        <f>'Property Info'!I40</f>
        <v/>
      </c>
      <c r="I89" s="2437">
        <f>'Property Info'!J40</f>
        <v/>
      </c>
      <c r="J89" s="2437">
        <f>'Property Info'!K40</f>
        <v/>
      </c>
      <c r="K89" s="2437">
        <f>'Property Info'!L40</f>
        <v/>
      </c>
      <c r="L89" s="2437">
        <f>'Property Info'!M40</f>
        <v/>
      </c>
      <c r="M89" s="2437">
        <f>'Property Info'!N40</f>
        <v/>
      </c>
      <c r="N89" s="2395" t="n"/>
      <c r="O89" s="2395" t="n"/>
      <c r="P89" s="2395" t="n"/>
      <c r="Q89" s="2395" t="n"/>
      <c r="R89" s="2395" t="n"/>
      <c r="S89" s="2395" t="n"/>
      <c r="T89" s="2395" t="n"/>
      <c r="U89" s="2395" t="n"/>
    </row>
    <row r="90" hidden="1" s="1449">
      <c r="A90" s="2395" t="n"/>
      <c r="B90" s="2479" t="inlineStr">
        <is>
          <t>Sprinkler Tier</t>
        </is>
      </c>
      <c r="C90" s="2406">
        <f>'Property Info'!D41</f>
        <v/>
      </c>
      <c r="D90" s="2437">
        <f>'Property Info'!E41</f>
        <v/>
      </c>
      <c r="E90" s="2437">
        <f>'Property Info'!F41</f>
        <v/>
      </c>
      <c r="F90" s="2481">
        <f>'Property Info'!G41</f>
        <v/>
      </c>
      <c r="G90" s="2406">
        <f>'Property Info'!H41</f>
        <v/>
      </c>
      <c r="H90" s="2437">
        <f>'Property Info'!I41</f>
        <v/>
      </c>
      <c r="I90" s="2437">
        <f>'Property Info'!J41</f>
        <v/>
      </c>
      <c r="J90" s="2437">
        <f>'Property Info'!K41</f>
        <v/>
      </c>
      <c r="K90" s="2437">
        <f>'Property Info'!L41</f>
        <v/>
      </c>
      <c r="L90" s="2437">
        <f>'Property Info'!M41</f>
        <v/>
      </c>
      <c r="M90" s="2437">
        <f>'Property Info'!N41</f>
        <v/>
      </c>
      <c r="N90" s="2395" t="n"/>
      <c r="O90" s="2395" t="n"/>
      <c r="P90" s="2395" t="n"/>
      <c r="Q90" s="2395" t="n"/>
      <c r="R90" s="2395" t="n"/>
      <c r="S90" s="2395" t="n"/>
      <c r="T90" s="2395" t="n"/>
      <c r="U90" s="2395" t="n"/>
    </row>
    <row r="91" hidden="1" s="1449">
      <c r="A91" s="2395" t="n"/>
      <c r="B91" s="2479" t="inlineStr">
        <is>
          <t>Effective Age (yrs)</t>
        </is>
      </c>
      <c r="C91" s="2406">
        <f>'Property Info'!D42</f>
        <v/>
      </c>
      <c r="D91" s="2437">
        <f>'Property Info'!E42</f>
        <v/>
      </c>
      <c r="E91" s="2437">
        <f>'Property Info'!F42</f>
        <v/>
      </c>
      <c r="F91" s="2406">
        <f>'Property Info'!G42</f>
        <v/>
      </c>
      <c r="G91" s="2406">
        <f>'Property Info'!H42</f>
        <v/>
      </c>
      <c r="H91" s="2437">
        <f>'Property Info'!I42</f>
        <v/>
      </c>
      <c r="I91" s="2437">
        <f>'Property Info'!J42</f>
        <v/>
      </c>
      <c r="J91" s="2437">
        <f>'Property Info'!K42</f>
        <v/>
      </c>
      <c r="K91" s="2437">
        <f>'Property Info'!L42</f>
        <v/>
      </c>
      <c r="L91" s="2437">
        <f>'Property Info'!M42</f>
        <v/>
      </c>
      <c r="M91" s="2437">
        <f>'Property Info'!N42</f>
        <v/>
      </c>
      <c r="N91" s="2395" t="n"/>
      <c r="O91" s="2395" t="n"/>
      <c r="P91" s="2395" t="n"/>
      <c r="Q91" s="2395" t="n"/>
      <c r="R91" s="2395" t="n"/>
      <c r="S91" s="2395" t="n"/>
      <c r="T91" s="2395" t="n"/>
      <c r="U91" s="2395" t="n"/>
    </row>
    <row r="92" hidden="1" s="1449">
      <c r="A92" s="2395" t="n"/>
      <c r="B92" s="2480" t="inlineStr">
        <is>
          <t>Base Cost $/SF (auto)</t>
        </is>
      </c>
      <c r="C92" s="2399">
        <f>IFERROR(INDEX(BC_VALUE,MATCH(C83&amp;"~"&amp;C84&amp;"~"&amp;C85,BC_KEY,0)),0)</f>
        <v/>
      </c>
      <c r="D92" s="2417">
        <f>IFERROR(INDEX(BC_VALUE,MATCH(D83&amp;"~"&amp;D84&amp;"~"&amp;D85,BC_KEY,0)),0)</f>
        <v/>
      </c>
      <c r="E92" s="2417">
        <f>IFERROR(INDEX(BC_VALUE,MATCH(E83&amp;"~"&amp;E84&amp;"~"&amp;E85,BC_KEY,0)),0)</f>
        <v/>
      </c>
      <c r="F92" s="2399">
        <f>IFERROR(INDEX(BC_VALUE,MATCH(F83&amp;"~"&amp;F84&amp;"~"&amp;F85,BC_KEY,0)),0)</f>
        <v/>
      </c>
      <c r="G92" s="2399">
        <f>IFERROR(INDEX(BC_VALUE,MATCH(G83&amp;"~"&amp;G84&amp;"~"&amp;G85,BC_KEY,0)),0)</f>
        <v/>
      </c>
      <c r="H92" s="2395">
        <f>IFERROR(INDEX(BC_VALUE,MATCH(H83&amp;"~"&amp;H84&amp;"~"&amp;H85,BC_KEY,0)),0)</f>
        <v/>
      </c>
      <c r="I92" s="2395">
        <f>IFERROR(INDEX(BC_VALUE,MATCH(I83&amp;"~"&amp;I84&amp;"~"&amp;I85,BC_KEY,0)),0)</f>
        <v/>
      </c>
      <c r="J92" s="2395">
        <f>IFERROR(INDEX(BC_VALUE,MATCH(J83&amp;"~"&amp;J84&amp;"~"&amp;J85,BC_KEY,0)),0)</f>
        <v/>
      </c>
      <c r="K92" s="2395">
        <f>IFERROR(INDEX(BC_VALUE,MATCH(K83&amp;"~"&amp;K84&amp;"~"&amp;K85,BC_KEY,0)),0)</f>
        <v/>
      </c>
      <c r="L92" s="2395">
        <f>IFERROR(INDEX(BC_VALUE,MATCH(L83&amp;"~"&amp;L84&amp;"~"&amp;L85,BC_KEY,0)),0)</f>
        <v/>
      </c>
      <c r="M92" s="2395">
        <f>IFERROR(INDEX(BC_VALUE,MATCH(M83&amp;"~"&amp;M84&amp;"~"&amp;M85,BC_KEY,0)),0)</f>
        <v/>
      </c>
      <c r="N92" s="2395" t="n"/>
      <c r="O92" s="2395" t="n"/>
      <c r="P92" s="2395" t="n"/>
      <c r="Q92" s="2395" t="n"/>
      <c r="R92" s="2395" t="n"/>
      <c r="S92" s="2395" t="n"/>
      <c r="T92" s="2395" t="n"/>
      <c r="U92" s="2395" t="n"/>
    </row>
    <row r="93" hidden="1" s="1449">
      <c r="A93" s="2395" t="n"/>
      <c r="B93" s="2479" t="inlineStr">
        <is>
          <t>Sprinkler $/SF (auto)</t>
        </is>
      </c>
      <c r="C93" s="2399">
        <f>IFERROR(IF(INDEX(OCC_STORY,MATCH(C83,OCC_NAME,0))="14",INDEX(SPR14_VALS,MATCH(C86,SPR14_SF,1),MATCH(C90,SPR_HDR,0)),IF(INDEX(OCC_STORY,MATCH(C83,OCC_NAME,0))="13",INDEX(SPR13_VALS,MATCH(C86,SPR13_SF,1),MATCH(C90,SPR_HDR,0)),IF(INDEX(OCC_STORY,MATCH(C83,OCC_NAME,0))="15",INDEX(SPR15_VALS,MATCH(C86,SPR15_SF,1),MATCH(C90,SPR_HDR,0)),0))),0)</f>
        <v/>
      </c>
      <c r="D93" s="2399">
        <f>IFERROR(IF(INDEX(OCC_STORY,MATCH(D83,OCC_NAME,0))="14",INDEX(SPR14_VALS,MATCH(D86,SPR14_SF,1),MATCH(D90,SPR_HDR,0)),IF(INDEX(OCC_STORY,MATCH(D83,OCC_NAME,0))="13",INDEX(SPR13_VALS,MATCH(D86,SPR13_SF,1),MATCH(D90,SPR_HDR,0)),IF(INDEX(OCC_STORY,MATCH(D83,OCC_NAME,0))="15",INDEX(SPR15_VALS,MATCH(D86,SPR15_SF,1),MATCH(D90,SPR_HDR,0)),0))),0)</f>
        <v/>
      </c>
      <c r="E93" s="2399">
        <f>IFERROR(IF(INDEX(OCC_STORY,MATCH(E83,OCC_NAME,0))="14",INDEX(SPR14_VALS,MATCH(E86,SPR14_SF,1),MATCH(E90,SPR_HDR,0)),IF(INDEX(OCC_STORY,MATCH(E83,OCC_NAME,0))="13",INDEX(SPR13_VALS,MATCH(E86,SPR13_SF,1),MATCH(E90,SPR_HDR,0)),IF(INDEX(OCC_STORY,MATCH(E83,OCC_NAME,0))="15",INDEX(SPR15_VALS,MATCH(E86,SPR15_SF,1),MATCH(E90,SPR_HDR,0)),0))),0)</f>
        <v/>
      </c>
      <c r="F93" s="2399">
        <f>IFERROR(IF(INDEX(OCC_STORY,MATCH(F83,OCC_NAME,0))="14",INDEX(SPR14_VALS,MATCH(F86,SPR14_SF,1),MATCH(F90,SPR_HDR,0)),IF(INDEX(OCC_STORY,MATCH(F83,OCC_NAME,0))="13",INDEX(SPR13_VALS,MATCH(F86,SPR13_SF,1),MATCH(F90,SPR_HDR,0)),IF(INDEX(OCC_STORY,MATCH(F83,OCC_NAME,0))="15",INDEX(SPR15_VALS,MATCH(F86,SPR15_SF,1),MATCH(F90,SPR_HDR,0)),0))),0)</f>
        <v/>
      </c>
      <c r="G93" s="2399">
        <f>IFERROR(IF(INDEX(OCC_STORY,MATCH(G83,OCC_NAME,0))="14",INDEX(SPR14_VALS,MATCH(G86,SPR14_SF,1),MATCH(G90,SPR_HDR,0)),IF(INDEX(OCC_STORY,MATCH(G83,OCC_NAME,0))="13",INDEX(SPR13_VALS,MATCH(G86,SPR13_SF,1),MATCH(G90,SPR_HDR,0)),IF(INDEX(OCC_STORY,MATCH(G83,OCC_NAME,0))="15",INDEX(SPR15_VALS,MATCH(G86,SPR15_SF,1),MATCH(G90,SPR_HDR,0)),0))),0)</f>
        <v/>
      </c>
      <c r="H93" s="2395">
        <f>IFERROR(IF(INDEX(OCC_STORY,MATCH(H83,OCC_NAME,0))="14",INDEX(SPR14_VALS,MATCH(H86,SPR14_SF,1),MATCH(H90,SPR_HDR,0)),IF(INDEX(OCC_STORY,MATCH(H83,OCC_NAME,0))="13",INDEX(SPR13_VALS,MATCH(H86,SPR13_SF,1),MATCH(H90,SPR_HDR,0)),IF(INDEX(OCC_STORY,MATCH(H83,OCC_NAME,0))="15",INDEX(SPR15_VALS,MATCH(H86,SPR15_SF,1),MATCH(H90,SPR_HDR,0)),0))),0)</f>
        <v/>
      </c>
      <c r="I93" s="2395">
        <f>IFERROR(IF(INDEX(OCC_STORY,MATCH(I83,OCC_NAME,0))="14",INDEX(SPR14_VALS,MATCH(I86,SPR14_SF,1),MATCH(I90,SPR_HDR,0)),IF(INDEX(OCC_STORY,MATCH(I83,OCC_NAME,0))="13",INDEX(SPR13_VALS,MATCH(I86,SPR13_SF,1),MATCH(I90,SPR_HDR,0)),IF(INDEX(OCC_STORY,MATCH(I83,OCC_NAME,0))="15",INDEX(SPR15_VALS,MATCH(I86,SPR15_SF,1),MATCH(I90,SPR_HDR,0)),0))),0)</f>
        <v/>
      </c>
      <c r="J93" s="2395">
        <f>IFERROR(IF(INDEX(OCC_STORY,MATCH(J83,OCC_NAME,0))="14",INDEX(SPR14_VALS,MATCH(J86,SPR14_SF,1),MATCH(J90,SPR_HDR,0)),IF(INDEX(OCC_STORY,MATCH(J83,OCC_NAME,0))="13",INDEX(SPR13_VALS,MATCH(J86,SPR13_SF,1),MATCH(J90,SPR_HDR,0)),IF(INDEX(OCC_STORY,MATCH(J83,OCC_NAME,0))="15",INDEX(SPR15_VALS,MATCH(J86,SPR15_SF,1),MATCH(J90,SPR_HDR,0)),0))),0)</f>
        <v/>
      </c>
      <c r="K93" s="2395">
        <f>IFERROR(IF(INDEX(OCC_STORY,MATCH(K83,OCC_NAME,0))="14",INDEX(SPR14_VALS,MATCH(K86,SPR14_SF,1),MATCH(K90,SPR_HDR,0)),IF(INDEX(OCC_STORY,MATCH(K83,OCC_NAME,0))="13",INDEX(SPR13_VALS,MATCH(K86,SPR13_SF,1),MATCH(K90,SPR_HDR,0)),IF(INDEX(OCC_STORY,MATCH(K83,OCC_NAME,0))="15",INDEX(SPR15_VALS,MATCH(K86,SPR15_SF,1),MATCH(K90,SPR_HDR,0)),0))),0)</f>
        <v/>
      </c>
      <c r="L93" s="2395">
        <f>IFERROR(IF(INDEX(OCC_STORY,MATCH(L83,OCC_NAME,0))="14",INDEX(SPR14_VALS,MATCH(L86,SPR14_SF,1),MATCH(L90,SPR_HDR,0)),IF(INDEX(OCC_STORY,MATCH(L83,OCC_NAME,0))="13",INDEX(SPR13_VALS,MATCH(L86,SPR13_SF,1),MATCH(L90,SPR_HDR,0)),IF(INDEX(OCC_STORY,MATCH(L83,OCC_NAME,0))="15",INDEX(SPR15_VALS,MATCH(L86,SPR15_SF,1),MATCH(L90,SPR_HDR,0)),0))),0)</f>
        <v/>
      </c>
      <c r="M93" s="2395">
        <f>IFERROR(IF(INDEX(OCC_STORY,MATCH(M83,OCC_NAME,0))="14",INDEX(SPR14_VALS,MATCH(M86,SPR14_SF,1),MATCH(M90,SPR_HDR,0)),IF(INDEX(OCC_STORY,MATCH(M83,OCC_NAME,0))="13",INDEX(SPR13_VALS,MATCH(M86,SPR13_SF,1),MATCH(M90,SPR_HDR,0)),IF(INDEX(OCC_STORY,MATCH(M83,OCC_NAME,0))="15",INDEX(SPR15_VALS,MATCH(M86,SPR15_SF,1),MATCH(M90,SPR_HDR,0)),0))),0)</f>
        <v/>
      </c>
      <c r="N93" s="2395" t="n"/>
      <c r="O93" s="2395" t="n"/>
      <c r="P93" s="2395" t="n"/>
      <c r="Q93" s="2395" t="n"/>
      <c r="R93" s="2395" t="n"/>
      <c r="S93" s="2395" t="n"/>
      <c r="T93" s="2395" t="n"/>
      <c r="U93" s="2395" t="n"/>
    </row>
    <row r="94" hidden="1" s="1449">
      <c r="A94" s="2395" t="n"/>
      <c r="B94" s="2480" t="inlineStr">
        <is>
          <t>CCM / De-trend (auto)</t>
        </is>
      </c>
      <c r="C94" s="2399">
        <f>IFERROR(IFERROR(INDEX(CCM_VALUES,MATCH(IF(C84="CMILL","C",IF(C84="DPOLE","D",IF(C84="A-B","B",C84))),CCM_CLASS,0),MATCH("Sec."&amp;INDEX(OCC_SECTION,MATCH(C83,OCC_NAME,0)),CCM_SECTIONHDR,0)),"")/IFERROR(INDEX(DEN_VALUES,MATCH($C$18,DEN_LABEL,0),MATCH("Class "&amp;IF(C84="CMILL","C",IF(C84="DPOLE","D",IF(C84="A-B","B",C84))),DEN_CLASSHDR,0))+(INDEX(DEN_VALUES,MATCH($C$19,DEN_LABEL,0),MATCH("Class "&amp;IF(C84="CMILL","C",IF(C84="DPOLE","D",IF(C84="A-B","B",C84))),DEN_CLASSHDR,0))-INDEX(DEN_VALUES,MATCH($C$18,DEN_LABEL,0),MATCH("Class "&amp;IF(C84="CMILL","C",IF(C84="DPOLE","D",IF(C84="A-B","B",C84))),DEN_CLASSHDR,0)))*($C$17-DATEVALUE("1 "&amp;$C$18))/(DATEVALUE("1 "&amp;$C$19)-DATEVALUE("1 "&amp;$C$18)),1),0)</f>
        <v/>
      </c>
      <c r="D94" s="2417">
        <f>IFERROR(IFERROR(INDEX(CCM_VALUES,MATCH(IF(D84="CMILL","C",IF(D84="DPOLE","D",IF(D84="A-B","B",D84))),CCM_CLASS,0),MATCH("Sec."&amp;INDEX(OCC_SECTION,MATCH(D83,OCC_NAME,0)),CCM_SECTIONHDR,0)),"")/IFERROR(INDEX(DEN_VALUES,MATCH($C$18,DEN_LABEL,0),MATCH("Class "&amp;IF(D84="CMILL","C",IF(D84="DPOLE","D",IF(D84="A-B","B",D84))),DEN_CLASSHDR,0))+(INDEX(DEN_VALUES,MATCH($C$19,DEN_LABEL,0),MATCH("Class "&amp;IF(D84="CMILL","C",IF(D84="DPOLE","D",IF(D84="A-B","B",D84))),DEN_CLASSHDR,0))-INDEX(DEN_VALUES,MATCH($C$18,DEN_LABEL,0),MATCH("Class "&amp;IF(D84="CMILL","C",IF(D84="DPOLE","D",IF(D84="A-B","B",D84))),DEN_CLASSHDR,0)))*($C$17-DATEVALUE("1 "&amp;$C$18))/(DATEVALUE("1 "&amp;$C$19)-DATEVALUE("1 "&amp;$C$18)),1),0)</f>
        <v/>
      </c>
      <c r="E94" s="2417">
        <f>IFERROR(IFERROR(INDEX(CCM_VALUES,MATCH(IF(E84="CMILL","C",IF(E84="DPOLE","D",IF(E84="A-B","B",E84))),CCM_CLASS,0),MATCH("Sec."&amp;INDEX(OCC_SECTION,MATCH(E83,OCC_NAME,0)),CCM_SECTIONHDR,0)),"")/IFERROR(INDEX(DEN_VALUES,MATCH($C$18,DEN_LABEL,0),MATCH("Class "&amp;IF(E84="CMILL","C",IF(E84="DPOLE","D",IF(E84="A-B","B",E84))),DEN_CLASSHDR,0))+(INDEX(DEN_VALUES,MATCH($C$19,DEN_LABEL,0),MATCH("Class "&amp;IF(E84="CMILL","C",IF(E84="DPOLE","D",IF(E84="A-B","B",E84))),DEN_CLASSHDR,0))-INDEX(DEN_VALUES,MATCH($C$18,DEN_LABEL,0),MATCH("Class "&amp;IF(E84="CMILL","C",IF(E84="DPOLE","D",IF(E84="A-B","B",E84))),DEN_CLASSHDR,0)))*($C$17-DATEVALUE("1 "&amp;$C$18))/(DATEVALUE("1 "&amp;$C$19)-DATEVALUE("1 "&amp;$C$18)),1),0)</f>
        <v/>
      </c>
      <c r="F94" s="2395">
        <f>IFERROR(IFERROR(INDEX(CCM_VALUES,MATCH(IF(F84="CMILL","C",IF(F84="DPOLE","D",IF(F84="A-B","B",F84))),CCM_CLASS,0),MATCH("Sec."&amp;INDEX(OCC_SECTION,MATCH(F83,OCC_NAME,0)),CCM_SECTIONHDR,0)),"")/IFERROR(INDEX(DEN_VALUES,MATCH($C$18,DEN_LABEL,0),MATCH("Class "&amp;IF(F84="CMILL","C",IF(F84="DPOLE","D",IF(F84="A-B","B",F84))),DEN_CLASSHDR,0))+(INDEX(DEN_VALUES,MATCH($C$19,DEN_LABEL,0),MATCH("Class "&amp;IF(F84="CMILL","C",IF(F84="DPOLE","D",IF(F84="A-B","B",F84))),DEN_CLASSHDR,0))-INDEX(DEN_VALUES,MATCH($C$18,DEN_LABEL,0),MATCH("Class "&amp;IF(F84="CMILL","C",IF(F84="DPOLE","D",IF(F84="A-B","B",F84))),DEN_CLASSHDR,0)))*($C$17-DATEVALUE("1 "&amp;$C$18))/(DATEVALUE("1 "&amp;$C$19)-DATEVALUE("1 "&amp;$C$18)),1),0)</f>
        <v/>
      </c>
      <c r="G94" s="2399">
        <f>IFERROR(IFERROR(INDEX(CCM_VALUES,MATCH(IF(G84="CMILL","C",IF(G84="DPOLE","D",IF(G84="A-B","B",G84))),CCM_CLASS,0),MATCH("Sec."&amp;INDEX(OCC_SECTION,MATCH(G83,OCC_NAME,0)),CCM_SECTIONHDR,0)),"")/IFERROR(INDEX(DEN_VALUES,MATCH($C$18,DEN_LABEL,0),MATCH("Class "&amp;IF(G84="CMILL","C",IF(G84="DPOLE","D",IF(G84="A-B","B",G84))),DEN_CLASSHDR,0))+(INDEX(DEN_VALUES,MATCH($C$19,DEN_LABEL,0),MATCH("Class "&amp;IF(G84="CMILL","C",IF(G84="DPOLE","D",IF(G84="A-B","B",G84))),DEN_CLASSHDR,0))-INDEX(DEN_VALUES,MATCH($C$18,DEN_LABEL,0),MATCH("Class "&amp;IF(G84="CMILL","C",IF(G84="DPOLE","D",IF(G84="A-B","B",G84))),DEN_CLASSHDR,0)))*($C$17-DATEVALUE("1 "&amp;$C$18))/(DATEVALUE("1 "&amp;$C$19)-DATEVALUE("1 "&amp;$C$18)),1),0)</f>
        <v/>
      </c>
      <c r="H94" s="2395">
        <f>IFERROR(IFERROR(INDEX(CCM_VALUES,MATCH(IF(H84="CMILL","C",IF(H84="DPOLE","D",IF(H84="A-B","B",H84))),CCM_CLASS,0),MATCH("Sec."&amp;INDEX(OCC_SECTION,MATCH(H83,OCC_NAME,0)),CCM_SECTIONHDR,0)),"")/IFERROR(INDEX(DEN_VALUES,MATCH($C$18,DEN_LABEL,0),MATCH("Class "&amp;IF(H84="CMILL","C",IF(H84="DPOLE","D",IF(H84="A-B","B",H84))),DEN_CLASSHDR,0))+(INDEX(DEN_VALUES,MATCH($C$19,DEN_LABEL,0),MATCH("Class "&amp;IF(H84="CMILL","C",IF(H84="DPOLE","D",IF(H84="A-B","B",H84))),DEN_CLASSHDR,0))-INDEX(DEN_VALUES,MATCH($C$18,DEN_LABEL,0),MATCH("Class "&amp;IF(H84="CMILL","C",IF(H84="DPOLE","D",IF(H84="A-B","B",H84))),DEN_CLASSHDR,0)))*($C$17-DATEVALUE("1 "&amp;$C$18))/(DATEVALUE("1 "&amp;$C$19)-DATEVALUE("1 "&amp;$C$18)),1),0)</f>
        <v/>
      </c>
      <c r="I94" s="2395">
        <f>IFERROR(IFERROR(INDEX(CCM_VALUES,MATCH(IF(I84="CMILL","C",IF(I84="DPOLE","D",IF(I84="A-B","B",I84))),CCM_CLASS,0),MATCH("Sec."&amp;INDEX(OCC_SECTION,MATCH(I83,OCC_NAME,0)),CCM_SECTIONHDR,0)),"")/IFERROR(INDEX(DEN_VALUES,MATCH($C$18,DEN_LABEL,0),MATCH("Class "&amp;IF(I84="CMILL","C",IF(I84="DPOLE","D",IF(I84="A-B","B",I84))),DEN_CLASSHDR,0))+(INDEX(DEN_VALUES,MATCH($C$19,DEN_LABEL,0),MATCH("Class "&amp;IF(I84="CMILL","C",IF(I84="DPOLE","D",IF(I84="A-B","B",I84))),DEN_CLASSHDR,0))-INDEX(DEN_VALUES,MATCH($C$18,DEN_LABEL,0),MATCH("Class "&amp;IF(I84="CMILL","C",IF(I84="DPOLE","D",IF(I84="A-B","B",I84))),DEN_CLASSHDR,0)))*($C$17-DATEVALUE("1 "&amp;$C$18))/(DATEVALUE("1 "&amp;$C$19)-DATEVALUE("1 "&amp;$C$18)),1),0)</f>
        <v/>
      </c>
      <c r="J94" s="2395">
        <f>IFERROR(IFERROR(INDEX(CCM_VALUES,MATCH(IF(J84="CMILL","C",IF(J84="DPOLE","D",IF(J84="A-B","B",J84))),CCM_CLASS,0),MATCH("Sec."&amp;INDEX(OCC_SECTION,MATCH(J83,OCC_NAME,0)),CCM_SECTIONHDR,0)),"")/IFERROR(INDEX(DEN_VALUES,MATCH($C$18,DEN_LABEL,0),MATCH("Class "&amp;IF(J84="CMILL","C",IF(J84="DPOLE","D",IF(J84="A-B","B",J84))),DEN_CLASSHDR,0))+(INDEX(DEN_VALUES,MATCH($C$19,DEN_LABEL,0),MATCH("Class "&amp;IF(J84="CMILL","C",IF(J84="DPOLE","D",IF(J84="A-B","B",J84))),DEN_CLASSHDR,0))-INDEX(DEN_VALUES,MATCH($C$18,DEN_LABEL,0),MATCH("Class "&amp;IF(J84="CMILL","C",IF(J84="DPOLE","D",IF(J84="A-B","B",J84))),DEN_CLASSHDR,0)))*($C$17-DATEVALUE("1 "&amp;$C$18))/(DATEVALUE("1 "&amp;$C$19)-DATEVALUE("1 "&amp;$C$18)),1),0)</f>
        <v/>
      </c>
      <c r="K94" s="2395">
        <f>IFERROR(IFERROR(INDEX(CCM_VALUES,MATCH(IF(K84="CMILL","C",IF(K84="DPOLE","D",IF(K84="A-B","B",K84))),CCM_CLASS,0),MATCH("Sec."&amp;INDEX(OCC_SECTION,MATCH(K83,OCC_NAME,0)),CCM_SECTIONHDR,0)),"")/IFERROR(INDEX(DEN_VALUES,MATCH($C$18,DEN_LABEL,0),MATCH("Class "&amp;IF(K84="CMILL","C",IF(K84="DPOLE","D",IF(K84="A-B","B",K84))),DEN_CLASSHDR,0))+(INDEX(DEN_VALUES,MATCH($C$19,DEN_LABEL,0),MATCH("Class "&amp;IF(K84="CMILL","C",IF(K84="DPOLE","D",IF(K84="A-B","B",K84))),DEN_CLASSHDR,0))-INDEX(DEN_VALUES,MATCH($C$18,DEN_LABEL,0),MATCH("Class "&amp;IF(K84="CMILL","C",IF(K84="DPOLE","D",IF(K84="A-B","B",K84))),DEN_CLASSHDR,0)))*($C$17-DATEVALUE("1 "&amp;$C$18))/(DATEVALUE("1 "&amp;$C$19)-DATEVALUE("1 "&amp;$C$18)),1),0)</f>
        <v/>
      </c>
      <c r="L94" s="2395">
        <f>IFERROR(IFERROR(INDEX(CCM_VALUES,MATCH(IF(L84="CMILL","C",IF(L84="DPOLE","D",IF(L84="A-B","B",L84))),CCM_CLASS,0),MATCH("Sec."&amp;INDEX(OCC_SECTION,MATCH(L83,OCC_NAME,0)),CCM_SECTIONHDR,0)),"")/IFERROR(INDEX(DEN_VALUES,MATCH($C$18,DEN_LABEL,0),MATCH("Class "&amp;IF(L84="CMILL","C",IF(L84="DPOLE","D",IF(L84="A-B","B",L84))),DEN_CLASSHDR,0))+(INDEX(DEN_VALUES,MATCH($C$19,DEN_LABEL,0),MATCH("Class "&amp;IF(L84="CMILL","C",IF(L84="DPOLE","D",IF(L84="A-B","B",L84))),DEN_CLASSHDR,0))-INDEX(DEN_VALUES,MATCH($C$18,DEN_LABEL,0),MATCH("Class "&amp;IF(L84="CMILL","C",IF(L84="DPOLE","D",IF(L84="A-B","B",L84))),DEN_CLASSHDR,0)))*($C$17-DATEVALUE("1 "&amp;$C$18))/(DATEVALUE("1 "&amp;$C$19)-DATEVALUE("1 "&amp;$C$18)),1),0)</f>
        <v/>
      </c>
      <c r="M94" s="2395">
        <f>IFERROR(IFERROR(INDEX(CCM_VALUES,MATCH(IF(M84="CMILL","C",IF(M84="DPOLE","D",IF(M84="A-B","B",M84))),CCM_CLASS,0),MATCH("Sec."&amp;INDEX(OCC_SECTION,MATCH(M83,OCC_NAME,0)),CCM_SECTIONHDR,0)),"")/IFERROR(INDEX(DEN_VALUES,MATCH($C$18,DEN_LABEL,0),MATCH("Class "&amp;IF(M84="CMILL","C",IF(M84="DPOLE","D",IF(M84="A-B","B",M84))),DEN_CLASSHDR,0))+(INDEX(DEN_VALUES,MATCH($C$19,DEN_LABEL,0),MATCH("Class "&amp;IF(M84="CMILL","C",IF(M84="DPOLE","D",IF(M84="A-B","B",M84))),DEN_CLASSHDR,0))-INDEX(DEN_VALUES,MATCH($C$18,DEN_LABEL,0),MATCH("Class "&amp;IF(M84="CMILL","C",IF(M84="DPOLE","D",IF(M84="A-B","B",M84))),DEN_CLASSHDR,0)))*($C$17-DATEVALUE("1 "&amp;$C$18))/(DATEVALUE("1 "&amp;$C$19)-DATEVALUE("1 "&amp;$C$18)),1),0)</f>
        <v/>
      </c>
      <c r="N94" s="2395" t="n"/>
      <c r="O94" s="2395" t="n"/>
      <c r="P94" s="2395" t="n"/>
      <c r="Q94" s="2395" t="n"/>
      <c r="R94" s="2395" t="n"/>
      <c r="S94" s="2395" t="n"/>
      <c r="T94" s="2395" t="n"/>
      <c r="U94" s="2395" t="n"/>
    </row>
    <row r="95" hidden="1" s="1449">
      <c r="A95" s="2395" t="n"/>
      <c r="B95" s="2479" t="inlineStr">
        <is>
          <t>Local Area Mult (auto)</t>
        </is>
      </c>
      <c r="C95" s="2399">
        <f>IFERROR(IFERROR(INDEX(LAM_VALUES,MATCH($C$8,LAM_CITY,0),MATCH("Class "&amp;IF(C84="CMILL","C",IF(C84="DPOLE","D",IF(C84="A-B","B",C84))),LAM_CLASSHDR,0)),""),0)</f>
        <v/>
      </c>
      <c r="D95" s="2399">
        <f>IFERROR(IFERROR(INDEX(LAM_VALUES,MATCH($C$8,LAM_CITY,0),MATCH("Class "&amp;IF(D84="CMILL","C",IF(D84="DPOLE","D",IF(D84="A-B","B",D84))),LAM_CLASSHDR,0)),""),0)</f>
        <v/>
      </c>
      <c r="E95" s="2399">
        <f>IFERROR(IFERROR(INDEX(LAM_VALUES,MATCH($C$8,LAM_CITY,0),MATCH("Class "&amp;IF(E84="CMILL","C",IF(E84="DPOLE","D",IF(E84="A-B","B",E84))),LAM_CLASSHDR,0)),""),0)</f>
        <v/>
      </c>
      <c r="F95" s="2399">
        <f>IFERROR(IFERROR(INDEX(LAM_VALUES,MATCH($C$8,LAM_CITY,0),MATCH("Class "&amp;IF(F84="CMILL","C",IF(F84="DPOLE","D",IF(F84="A-B","B",F84))),LAM_CLASSHDR,0)),""),0)</f>
        <v/>
      </c>
      <c r="G95" s="2399">
        <f>IFERROR(IFERROR(INDEX(LAM_VALUES,MATCH($C$8,LAM_CITY,0),MATCH("Class "&amp;IF(G84="CMILL","C",IF(G84="DPOLE","D",IF(G84="A-B","B",G84))),LAM_CLASSHDR,0)),""),0)</f>
        <v/>
      </c>
      <c r="H95" s="2395">
        <f>IFERROR(IFERROR(INDEX(LAM_VALUES,MATCH($C$8,LAM_CITY,0),MATCH("Class "&amp;IF(H84="CMILL","C",IF(H84="DPOLE","D",IF(H84="A-B","B",H84))),LAM_CLASSHDR,0)),""),0)</f>
        <v/>
      </c>
      <c r="I95" s="2395">
        <f>IFERROR(IFERROR(INDEX(LAM_VALUES,MATCH($C$8,LAM_CITY,0),MATCH("Class "&amp;IF(I84="CMILL","C",IF(I84="DPOLE","D",IF(I84="A-B","B",I84))),LAM_CLASSHDR,0)),""),0)</f>
        <v/>
      </c>
      <c r="J95" s="2395">
        <f>IFERROR(IFERROR(INDEX(LAM_VALUES,MATCH($C$8,LAM_CITY,0),MATCH("Class "&amp;IF(J84="CMILL","C",IF(J84="DPOLE","D",IF(J84="A-B","B",J84))),LAM_CLASSHDR,0)),""),0)</f>
        <v/>
      </c>
      <c r="K95" s="2395">
        <f>IFERROR(IFERROR(INDEX(LAM_VALUES,MATCH($C$8,LAM_CITY,0),MATCH("Class "&amp;IF(K84="CMILL","C",IF(K84="DPOLE","D",IF(K84="A-B","B",K84))),LAM_CLASSHDR,0)),""),0)</f>
        <v/>
      </c>
      <c r="L95" s="2395">
        <f>IFERROR(IFERROR(INDEX(LAM_VALUES,MATCH($C$8,LAM_CITY,0),MATCH("Class "&amp;IF(L84="CMILL","C",IF(L84="DPOLE","D",IF(L84="A-B","B",L84))),LAM_CLASSHDR,0)),""),0)</f>
        <v/>
      </c>
      <c r="M95" s="2395">
        <f>IFERROR(IFERROR(INDEX(LAM_VALUES,MATCH($C$8,LAM_CITY,0),MATCH("Class "&amp;IF(M84="CMILL","C",IF(M84="DPOLE","D",IF(M84="A-B","B",M84))),LAM_CLASSHDR,0)),""),0)</f>
        <v/>
      </c>
      <c r="N95" s="2395" t="n"/>
      <c r="O95" s="2395" t="n"/>
      <c r="P95" s="2395" t="n"/>
      <c r="Q95" s="2395" t="n"/>
      <c r="R95" s="2395" t="n"/>
      <c r="S95" s="2395" t="n"/>
      <c r="T95" s="2395" t="n"/>
      <c r="U95" s="2395" t="n"/>
    </row>
    <row r="96" hidden="1" s="1449">
      <c r="A96" s="2395" t="n"/>
      <c r="B96" s="2480" t="inlineStr">
        <is>
          <t>Area/Perimeter Mult (auto)</t>
        </is>
      </c>
      <c r="C96" s="2399">
        <f>IF(AVERAGE(C88,C89)&gt;0,AVERAGE(C88,C89),1)</f>
        <v/>
      </c>
      <c r="D96" s="2399">
        <f>IF(AVERAGE(D88,D89)&gt;0,AVERAGE(D88,D89),1)</f>
        <v/>
      </c>
      <c r="E96" s="2399">
        <f>IF(AVERAGE(E88,E89)&gt;0,AVERAGE(E88,E89),1)</f>
        <v/>
      </c>
      <c r="F96" s="2399">
        <f>IF(AVERAGE(F88,F89)&gt;0,AVERAGE(F88,F89),1)</f>
        <v/>
      </c>
      <c r="G96" s="2399">
        <f>IF(AVERAGE(G88,G89)&gt;0,AVERAGE(G88,G89),1)</f>
        <v/>
      </c>
      <c r="H96" s="2395">
        <f>IF(AVERAGE(H88,H89)&gt;0,AVERAGE(H88,H89),1)</f>
        <v/>
      </c>
      <c r="I96" s="2395">
        <f>IF(AVERAGE(I88,I89)&gt;0,AVERAGE(I88,I89),1)</f>
        <v/>
      </c>
      <c r="J96" s="2395">
        <f>IF(AVERAGE(J88,J89)&gt;0,AVERAGE(J88,J89),1)</f>
        <v/>
      </c>
      <c r="K96" s="2395">
        <f>IF(AVERAGE(K88,K89)&gt;0,AVERAGE(K88,K89),1)</f>
        <v/>
      </c>
      <c r="L96" s="2395">
        <f>IF(AVERAGE(L88,L89)&gt;0,AVERAGE(L88,L89),1)</f>
        <v/>
      </c>
      <c r="M96" s="2395">
        <f>IF(AVERAGE(M88,M89)&gt;0,AVERAGE(M88,M89),1)</f>
        <v/>
      </c>
      <c r="N96" s="2395" t="n"/>
      <c r="O96" s="2395" t="n"/>
      <c r="P96" s="2395" t="n"/>
      <c r="Q96" s="2395" t="n"/>
      <c r="R96" s="2395" t="n"/>
      <c r="S96" s="2395" t="n"/>
      <c r="T96" s="2395" t="n"/>
      <c r="U96" s="2395" t="n"/>
    </row>
    <row r="97" hidden="1" s="1449">
      <c r="A97" s="2395" t="n"/>
      <c r="B97" s="2482" t="inlineStr">
        <is>
          <t>Story Height Mult (auto)</t>
        </is>
      </c>
      <c r="C97" s="2399">
        <f>IFERROR(IFERROR(IF(INDEX(OCC_STORY,MATCH(C83,OCC_NAME,0))="14",INDEX(SH14_M,MATCH(C87,SH14_H,1)),IF(INDEX(OCC_STORY,MATCH(C83,OCC_NAME,0))="13",INDEX(SH13_M,MATCH(C87,SH13_H,1)),IF(INDEX(OCC_STORY,MATCH(C83,OCC_NAME,0))="15",INDEX(SH15_M,MATCH(C87,SH15_H,1)),IF(INDEX(OCC_STORY,MATCH(C83,OCC_NAME,0))="11",INDEX(SH11_M,MATCH(C87,SH11_H,1)),1)))),1),1)</f>
        <v/>
      </c>
      <c r="D97" s="2399">
        <f>IFERROR(IFERROR(IF(INDEX(OCC_STORY,MATCH(D83,OCC_NAME,0))="14",INDEX(SH14_M,MATCH(D87,SH14_H,1)),IF(INDEX(OCC_STORY,MATCH(D83,OCC_NAME,0))="13",INDEX(SH13_M,MATCH(D87,SH13_H,1)),IF(INDEX(OCC_STORY,MATCH(D83,OCC_NAME,0))="15",INDEX(SH15_M,MATCH(D87,SH15_H,1)),IF(INDEX(OCC_STORY,MATCH(D83,OCC_NAME,0))="11",INDEX(SH11_M,MATCH(D87,SH11_H,1)),1)))),1),1)</f>
        <v/>
      </c>
      <c r="E97" s="2399">
        <f>IFERROR(IFERROR(IF(INDEX(OCC_STORY,MATCH(E83,OCC_NAME,0))="14",INDEX(SH14_M,MATCH(E87,SH14_H,1)),IF(INDEX(OCC_STORY,MATCH(E83,OCC_NAME,0))="13",INDEX(SH13_M,MATCH(E87,SH13_H,1)),IF(INDEX(OCC_STORY,MATCH(E83,OCC_NAME,0))="15",INDEX(SH15_M,MATCH(E87,SH15_H,1)),IF(INDEX(OCC_STORY,MATCH(E83,OCC_NAME,0))="11",INDEX(SH11_M,MATCH(E87,SH11_H,1)),1)))),1),1)</f>
        <v/>
      </c>
      <c r="F97" s="2399">
        <f>IFERROR(IFERROR(IF(INDEX(OCC_STORY,MATCH(F83,OCC_NAME,0))="14",INDEX(SH14_M,MATCH(F87,SH14_H,1)),IF(INDEX(OCC_STORY,MATCH(F83,OCC_NAME,0))="13",INDEX(SH13_M,MATCH(F87,SH13_H,1)),IF(INDEX(OCC_STORY,MATCH(F83,OCC_NAME,0))="15",INDEX(SH15_M,MATCH(F87,SH15_H,1)),IF(INDEX(OCC_STORY,MATCH(F83,OCC_NAME,0))="11",INDEX(SH11_M,MATCH(F87,SH11_H,1)),1)))),1),1)</f>
        <v/>
      </c>
      <c r="G97" s="2399">
        <f>IFERROR(IFERROR(IF(INDEX(OCC_STORY,MATCH(G83,OCC_NAME,0))="14",INDEX(SH14_M,MATCH(G87,SH14_H,1)),IF(INDEX(OCC_STORY,MATCH(G83,OCC_NAME,0))="13",INDEX(SH13_M,MATCH(G87,SH13_H,1)),IF(INDEX(OCC_STORY,MATCH(G83,OCC_NAME,0))="15",INDEX(SH15_M,MATCH(G87,SH15_H,1)),IF(INDEX(OCC_STORY,MATCH(G83,OCC_NAME,0))="11",INDEX(SH11_M,MATCH(G87,SH11_H,1)),1)))),1),1)</f>
        <v/>
      </c>
      <c r="H97" s="2395">
        <f>IFERROR(IFERROR(IF(INDEX(OCC_STORY,MATCH(H83,OCC_NAME,0))="14",INDEX(SH14_M,MATCH(H87,SH14_H,1)),IF(INDEX(OCC_STORY,MATCH(H83,OCC_NAME,0))="13",INDEX(SH13_M,MATCH(H87,SH13_H,1)),IF(INDEX(OCC_STORY,MATCH(H83,OCC_NAME,0))="15",INDEX(SH15_M,MATCH(H87,SH15_H,1)),IF(INDEX(OCC_STORY,MATCH(H83,OCC_NAME,0))="11",INDEX(SH11_M,MATCH(H87,SH11_H,1)),1)))),1),1)</f>
        <v/>
      </c>
      <c r="I97" s="2395">
        <f>IFERROR(IFERROR(IF(INDEX(OCC_STORY,MATCH(I83,OCC_NAME,0))="14",INDEX(SH14_M,MATCH(I87,SH14_H,1)),IF(INDEX(OCC_STORY,MATCH(I83,OCC_NAME,0))="13",INDEX(SH13_M,MATCH(I87,SH13_H,1)),IF(INDEX(OCC_STORY,MATCH(I83,OCC_NAME,0))="15",INDEX(SH15_M,MATCH(I87,SH15_H,1)),IF(INDEX(OCC_STORY,MATCH(I83,OCC_NAME,0))="11",INDEX(SH11_M,MATCH(I87,SH11_H,1)),1)))),1),1)</f>
        <v/>
      </c>
      <c r="J97" s="2395">
        <f>IFERROR(IFERROR(IF(INDEX(OCC_STORY,MATCH(J83,OCC_NAME,0))="14",INDEX(SH14_M,MATCH(J87,SH14_H,1)),IF(INDEX(OCC_STORY,MATCH(J83,OCC_NAME,0))="13",INDEX(SH13_M,MATCH(J87,SH13_H,1)),IF(INDEX(OCC_STORY,MATCH(J83,OCC_NAME,0))="15",INDEX(SH15_M,MATCH(J87,SH15_H,1)),IF(INDEX(OCC_STORY,MATCH(J83,OCC_NAME,0))="11",INDEX(SH11_M,MATCH(J87,SH11_H,1)),1)))),1),1)</f>
        <v/>
      </c>
      <c r="K97" s="2395">
        <f>IFERROR(IFERROR(IF(INDEX(OCC_STORY,MATCH(K83,OCC_NAME,0))="14",INDEX(SH14_M,MATCH(K87,SH14_H,1)),IF(INDEX(OCC_STORY,MATCH(K83,OCC_NAME,0))="13",INDEX(SH13_M,MATCH(K87,SH13_H,1)),IF(INDEX(OCC_STORY,MATCH(K83,OCC_NAME,0))="15",INDEX(SH15_M,MATCH(K87,SH15_H,1)),IF(INDEX(OCC_STORY,MATCH(K83,OCC_NAME,0))="11",INDEX(SH11_M,MATCH(K87,SH11_H,1)),1)))),1),1)</f>
        <v/>
      </c>
      <c r="L97" s="2395">
        <f>IFERROR(IFERROR(IF(INDEX(OCC_STORY,MATCH(L83,OCC_NAME,0))="14",INDEX(SH14_M,MATCH(L87,SH14_H,1)),IF(INDEX(OCC_STORY,MATCH(L83,OCC_NAME,0))="13",INDEX(SH13_M,MATCH(L87,SH13_H,1)),IF(INDEX(OCC_STORY,MATCH(L83,OCC_NAME,0))="15",INDEX(SH15_M,MATCH(L87,SH15_H,1)),IF(INDEX(OCC_STORY,MATCH(L83,OCC_NAME,0))="11",INDEX(SH11_M,MATCH(L87,SH11_H,1)),1)))),1),1)</f>
        <v/>
      </c>
      <c r="M97" s="2395">
        <f>IFERROR(IFERROR(IF(INDEX(OCC_STORY,MATCH(M83,OCC_NAME,0))="14",INDEX(SH14_M,MATCH(M87,SH14_H,1)),IF(INDEX(OCC_STORY,MATCH(M83,OCC_NAME,0))="13",INDEX(SH13_M,MATCH(M87,SH13_H,1)),IF(INDEX(OCC_STORY,MATCH(M83,OCC_NAME,0))="15",INDEX(SH15_M,MATCH(M87,SH15_H,1)),IF(INDEX(OCC_STORY,MATCH(M83,OCC_NAME,0))="11",INDEX(SH11_M,MATCH(M87,SH11_H,1)),1)))),1),1)</f>
        <v/>
      </c>
      <c r="N97" s="2395" t="n"/>
      <c r="O97" s="2395" t="n"/>
      <c r="P97" s="2395" t="n"/>
      <c r="Q97" s="2395" t="n"/>
      <c r="R97" s="2395" t="n"/>
      <c r="S97" s="2395" t="n"/>
      <c r="T97" s="2395" t="n"/>
      <c r="U97" s="2395" t="n"/>
    </row>
    <row r="98" hidden="1" s="1449">
      <c r="A98" s="2395" t="n"/>
      <c r="B98" s="2482" t="inlineStr">
        <is>
          <t>Product of Multipliers (auto)</t>
        </is>
      </c>
      <c r="C98" s="2399">
        <f>ROUND(PRODUCT(C94,C95,C96,C97),3)</f>
        <v/>
      </c>
      <c r="D98" s="2399">
        <f>ROUND(PRODUCT(D94,D95,D96,D97),3)</f>
        <v/>
      </c>
      <c r="E98" s="2399">
        <f>ROUND(PRODUCT(E94,E95,E96,E97),3)</f>
        <v/>
      </c>
      <c r="F98" s="2399">
        <f>ROUND(PRODUCT(F94,F95,F96,F97),3)</f>
        <v/>
      </c>
      <c r="G98" s="2399">
        <f>ROUND(PRODUCT(G94,G95,G96,G97),3)</f>
        <v/>
      </c>
      <c r="H98" s="2395">
        <f>ROUND(PRODUCT(H94,H95,H96,H97),3)</f>
        <v/>
      </c>
      <c r="I98" s="2395">
        <f>ROUND(PRODUCT(I94,I95,I96,I97),3)</f>
        <v/>
      </c>
      <c r="J98" s="2395">
        <f>ROUND(PRODUCT(J94,J95,J96,J97),3)</f>
        <v/>
      </c>
      <c r="K98" s="2395">
        <f>ROUND(PRODUCT(K94,K95,K96,K97),3)</f>
        <v/>
      </c>
      <c r="L98" s="2395">
        <f>ROUND(PRODUCT(L94,L95,L96,L97),3)</f>
        <v/>
      </c>
      <c r="M98" s="2395">
        <f>ROUND(PRODUCT(M94,M95,M96,M97),3)</f>
        <v/>
      </c>
      <c r="N98" s="2395" t="n"/>
      <c r="O98" s="2395" t="n"/>
      <c r="P98" s="2395" t="n"/>
      <c r="Q98" s="2395" t="n"/>
      <c r="R98" s="2395" t="n"/>
      <c r="S98" s="2395" t="n"/>
      <c r="T98" s="2395" t="n"/>
      <c r="U98" s="2395" t="n"/>
    </row>
    <row r="99" hidden="1" s="1449">
      <c r="A99" s="2395" t="n"/>
      <c r="B99" s="2479" t="inlineStr">
        <is>
          <t>Adjusted Base Cost (auto)</t>
        </is>
      </c>
      <c r="C99" s="2399">
        <f>IF(C86&gt;0,C98*C86*(C92+C93),0)</f>
        <v/>
      </c>
      <c r="D99" s="2399">
        <f>IF(D86&gt;0,D98*D86*(D92+D93),0)</f>
        <v/>
      </c>
      <c r="E99" s="2399">
        <f>IF(E86&gt;0,E98*E86*(E92+E93),0)</f>
        <v/>
      </c>
      <c r="F99" s="2399">
        <f>IF(F86&gt;0,F98*F86*(F92+F93),0)</f>
        <v/>
      </c>
      <c r="G99" s="2399">
        <f>IF(G86&gt;0,G98*G86*(G92+G93),0)</f>
        <v/>
      </c>
      <c r="H99" s="2395">
        <f>IF(H86&gt;0,H98*H86*(H92+H93),0)</f>
        <v/>
      </c>
      <c r="I99" s="2395">
        <f>IF(I86&gt;0,I98*I86*(I92+I93),0)</f>
        <v/>
      </c>
      <c r="J99" s="2395">
        <f>IF(J86&gt;0,J98*J86*(J92+J93),0)</f>
        <v/>
      </c>
      <c r="K99" s="2395">
        <f>IF(K86&gt;0,K98*K86*(K92+K93),0)</f>
        <v/>
      </c>
      <c r="L99" s="2395">
        <f>IF(L86&gt;0,L98*L86*(L92+L93),0)</f>
        <v/>
      </c>
      <c r="M99" s="2395">
        <f>IF(M86&gt;0,M98*M86*(M92+M93),0)</f>
        <v/>
      </c>
      <c r="N99" s="2395" t="n"/>
      <c r="O99" s="2395" t="n"/>
      <c r="P99" s="2395" t="n"/>
      <c r="Q99" s="2395" t="n"/>
      <c r="R99" s="2395" t="n"/>
      <c r="S99" s="2395" t="n"/>
      <c r="T99" s="2395" t="n"/>
      <c r="U99" s="2395" t="n"/>
    </row>
    <row r="100" hidden="1" s="1449">
      <c r="A100" s="2395" t="n"/>
      <c r="B100" s="2480" t="inlineStr">
        <is>
          <t>Typical Life (auto)</t>
        </is>
      </c>
      <c r="C100" s="2399">
        <f>IFERROR(INDEX(LIFE_VALUES,MATCH(C83&amp;"~"&amp;C85,LIFE_KEY,0),MATCH("Class "&amp;IF(C84="CMILL","C",IF(C84="DPOLE","D",IF(C84="A-B","B",C84))),LIFE_CLASSHDR,0)),"")</f>
        <v/>
      </c>
      <c r="D100" s="2399">
        <f>IFERROR(INDEX(LIFE_VALUES,MATCH(D83&amp;"~"&amp;D85,LIFE_KEY,0),MATCH("Class "&amp;IF(D84="CMILL","C",IF(D84="DPOLE","D",IF(D84="A-B","B",D84))),LIFE_CLASSHDR,0)),"")</f>
        <v/>
      </c>
      <c r="E100" s="2399">
        <f>IFERROR(INDEX(LIFE_VALUES,MATCH(E83&amp;"~"&amp;E85,LIFE_KEY,0),MATCH("Class "&amp;IF(E84="CMILL","C",IF(E84="DPOLE","D",IF(E84="A-B","B",E84))),LIFE_CLASSHDR,0)),"")</f>
        <v/>
      </c>
      <c r="F100" s="2399">
        <f>IFERROR(INDEX(LIFE_VALUES,MATCH(F83&amp;"~"&amp;F85,LIFE_KEY,0),MATCH("Class "&amp;IF(F84="CMILL","C",IF(F84="DPOLE","D",IF(F84="A-B","B",F84))),LIFE_CLASSHDR,0)),"")</f>
        <v/>
      </c>
      <c r="G100" s="2399">
        <f>IFERROR(INDEX(LIFE_VALUES,MATCH(G83&amp;"~"&amp;G85,LIFE_KEY,0),MATCH("Class "&amp;IF(G84="CMILL","C",IF(G84="DPOLE","D",IF(G84="A-B","B",G84))),LIFE_CLASSHDR,0)),"")</f>
        <v/>
      </c>
      <c r="H100" s="2395">
        <f>IFERROR(INDEX(LIFE_VALUES,MATCH(H83&amp;"~"&amp;H85,LIFE_KEY,0),MATCH("Class "&amp;IF(H84="CMILL","C",IF(H84="DPOLE","D",IF(H84="A-B","B",H84))),LIFE_CLASSHDR,0)),"")</f>
        <v/>
      </c>
      <c r="I100" s="2395">
        <f>IFERROR(INDEX(LIFE_VALUES,MATCH(I83&amp;"~"&amp;I85,LIFE_KEY,0),MATCH("Class "&amp;IF(I84="CMILL","C",IF(I84="DPOLE","D",IF(I84="A-B","B",I84))),LIFE_CLASSHDR,0)),"")</f>
        <v/>
      </c>
      <c r="J100" s="2395">
        <f>IFERROR(INDEX(LIFE_VALUES,MATCH(J83&amp;"~"&amp;J85,LIFE_KEY,0),MATCH("Class "&amp;IF(J84="CMILL","C",IF(J84="DPOLE","D",IF(J84="A-B","B",J84))),LIFE_CLASSHDR,0)),"")</f>
        <v/>
      </c>
      <c r="K100" s="2395">
        <f>IFERROR(INDEX(LIFE_VALUES,MATCH(K83&amp;"~"&amp;K85,LIFE_KEY,0),MATCH("Class "&amp;IF(K84="CMILL","C",IF(K84="DPOLE","D",IF(K84="A-B","B",K84))),LIFE_CLASSHDR,0)),"")</f>
        <v/>
      </c>
      <c r="L100" s="2395">
        <f>IFERROR(INDEX(LIFE_VALUES,MATCH(L83&amp;"~"&amp;L85,LIFE_KEY,0),MATCH("Class "&amp;IF(L84="CMILL","C",IF(L84="DPOLE","D",IF(L84="A-B","B",L84))),LIFE_CLASSHDR,0)),"")</f>
        <v/>
      </c>
      <c r="M100" s="2395">
        <f>IFERROR(INDEX(LIFE_VALUES,MATCH(M83&amp;"~"&amp;M85,LIFE_KEY,0),MATCH("Class "&amp;IF(M84="CMILL","C",IF(M84="DPOLE","D",IF(M84="A-B","B",M84))),LIFE_CLASSHDR,0)),"")</f>
        <v/>
      </c>
      <c r="N100" s="2395" t="n"/>
      <c r="O100" s="2395" t="n"/>
      <c r="P100" s="2395" t="n"/>
      <c r="Q100" s="2395" t="n"/>
      <c r="R100" s="2395" t="n"/>
      <c r="S100" s="2395" t="n"/>
      <c r="T100" s="2395" t="n"/>
      <c r="U100" s="2395" t="n"/>
    </row>
    <row r="101" hidden="1" s="1449">
      <c r="A101" s="2395" t="n"/>
      <c r="B101" s="2480" t="inlineStr">
        <is>
          <t>Physical Depr % (auto)</t>
        </is>
      </c>
      <c r="C101" s="2399">
        <f>IFERROR(INDEX(DEPR_VALUES,MATCH(C91,DEPR_AGE,1),MATCH(C100,DEPR_LIFEHDR,0))/100,0)</f>
        <v/>
      </c>
      <c r="D101" s="2399">
        <f>IFERROR(INDEX(DEPR_VALUES,MATCH(D91,DEPR_AGE,1),MATCH(D100,DEPR_LIFEHDR,0))/100,0)</f>
        <v/>
      </c>
      <c r="E101" s="2399">
        <f>IFERROR(INDEX(DEPR_VALUES,MATCH(E91,DEPR_AGE,1),MATCH(E100,DEPR_LIFEHDR,0))/100,0)</f>
        <v/>
      </c>
      <c r="F101" s="2399">
        <f>IFERROR(INDEX(DEPR_VALUES,MATCH(F91,DEPR_AGE,1),MATCH(F100,DEPR_LIFEHDR,0))/100,0)</f>
        <v/>
      </c>
      <c r="G101" s="2399">
        <f>IFERROR(INDEX(DEPR_VALUES,MATCH(G91,DEPR_AGE,1),MATCH(G100,DEPR_LIFEHDR,0))/100,0)</f>
        <v/>
      </c>
      <c r="H101" s="2395">
        <f>IFERROR(INDEX(DEPR_VALUES,MATCH(H91,DEPR_AGE,1),MATCH(H100,DEPR_LIFEHDR,0))/100,0)</f>
        <v/>
      </c>
      <c r="I101" s="2395">
        <f>IFERROR(INDEX(DEPR_VALUES,MATCH(I91,DEPR_AGE,1),MATCH(I100,DEPR_LIFEHDR,0))/100,0)</f>
        <v/>
      </c>
      <c r="J101" s="2395">
        <f>IFERROR(INDEX(DEPR_VALUES,MATCH(J91,DEPR_AGE,1),MATCH(J100,DEPR_LIFEHDR,0))/100,0)</f>
        <v/>
      </c>
      <c r="K101" s="2395">
        <f>IFERROR(INDEX(DEPR_VALUES,MATCH(K91,DEPR_AGE,1),MATCH(K100,DEPR_LIFEHDR,0))/100,0)</f>
        <v/>
      </c>
      <c r="L101" s="2395">
        <f>IFERROR(INDEX(DEPR_VALUES,MATCH(L91,DEPR_AGE,1),MATCH(L100,DEPR_LIFEHDR,0))/100,0)</f>
        <v/>
      </c>
      <c r="M101" s="2395">
        <f>IFERROR(INDEX(DEPR_VALUES,MATCH(M91,DEPR_AGE,1),MATCH(M100,DEPR_LIFEHDR,0))/100,0)</f>
        <v/>
      </c>
      <c r="N101" s="2395" t="n"/>
      <c r="O101" s="2395" t="n"/>
      <c r="P101" s="2395" t="n"/>
      <c r="Q101" s="2395" t="n"/>
      <c r="R101" s="2395" t="n"/>
      <c r="S101" s="2395" t="n"/>
      <c r="T101" s="2395" t="n"/>
      <c r="U101" s="2395" t="n"/>
    </row>
    <row r="102" hidden="1" s="1449">
      <c r="A102" s="2395" t="n"/>
      <c r="B102" s="2483" t="inlineStr">
        <is>
          <t>Physical Depr $ (auto)</t>
        </is>
      </c>
      <c r="C102" s="2399">
        <f>IFERROR(C99*C101,0)</f>
        <v/>
      </c>
      <c r="D102" s="2399">
        <f>IFERROR(D99*D101,0)</f>
        <v/>
      </c>
      <c r="E102" s="2399">
        <f>IFERROR(E99*E101,0)</f>
        <v/>
      </c>
      <c r="F102" s="2399">
        <f>IFERROR(F99*F101,0)</f>
        <v/>
      </c>
      <c r="G102" s="2399">
        <f>IFERROR(G99*G101,0)</f>
        <v/>
      </c>
      <c r="H102" s="2395">
        <f>IFERROR(H99*H101,0)</f>
        <v/>
      </c>
      <c r="I102" s="2395">
        <f>IFERROR(I99*I101,0)</f>
        <v/>
      </c>
      <c r="J102" s="2395">
        <f>IFERROR(J99*J101,0)</f>
        <v/>
      </c>
      <c r="K102" s="2395">
        <f>IFERROR(K99*K101,0)</f>
        <v/>
      </c>
      <c r="L102" s="2395">
        <f>IFERROR(L99*L101,0)</f>
        <v/>
      </c>
      <c r="M102" s="2395">
        <f>IFERROR(M99*M101,0)</f>
        <v/>
      </c>
      <c r="N102" s="2395" t="n"/>
      <c r="O102" s="2395" t="n"/>
      <c r="P102" s="2395" t="n"/>
      <c r="Q102" s="2395" t="n"/>
      <c r="R102" s="2395" t="n"/>
      <c r="S102" s="2395" t="n"/>
      <c r="T102" s="2395" t="n"/>
      <c r="U102" s="2395" t="n"/>
    </row>
    <row r="103" hidden="1" s="1449">
      <c r="A103" s="2395" t="n"/>
      <c r="B103" s="2418" t="n"/>
      <c r="C103" s="2399" t="n"/>
      <c r="D103" s="2399" t="n"/>
      <c r="E103" s="2399" t="n"/>
      <c r="F103" s="2399" t="n"/>
      <c r="G103" s="2399" t="n"/>
      <c r="H103" s="2395" t="n"/>
      <c r="I103" s="2395" t="n"/>
      <c r="J103" s="2395" t="n"/>
      <c r="K103" s="2395" t="n"/>
      <c r="L103" s="2395" t="n"/>
      <c r="M103" s="2395" t="n"/>
      <c r="N103" s="2395" t="n"/>
      <c r="O103" s="2395" t="n"/>
      <c r="P103" s="2395" t="n"/>
      <c r="Q103" s="2395" t="n"/>
      <c r="R103" s="2395" t="n"/>
      <c r="S103" s="2395" t="n"/>
      <c r="T103" s="2395" t="n"/>
      <c r="U103" s="2395" t="n"/>
    </row>
    <row r="104" hidden="1" s="1449">
      <c r="A104" s="2395" t="n"/>
      <c r="B104" s="2484" t="inlineStr">
        <is>
          <t>Total Adj. Base Cost, Buildings 2-12 (auto)</t>
        </is>
      </c>
      <c r="C104" s="2399">
        <f>SUM(C99:M99)</f>
        <v/>
      </c>
      <c r="D104" s="2399" t="n"/>
      <c r="E104" s="2399" t="n"/>
      <c r="F104" s="2399" t="n"/>
      <c r="G104" s="2399" t="n"/>
      <c r="H104" s="2395" t="n"/>
      <c r="I104" s="2395" t="n"/>
      <c r="J104" s="2395" t="n"/>
      <c r="K104" s="2395" t="n"/>
      <c r="L104" s="2395" t="n"/>
      <c r="M104" s="2395" t="n"/>
      <c r="N104" s="2395" t="n"/>
      <c r="O104" s="2395" t="n"/>
      <c r="P104" s="2395" t="n"/>
      <c r="Q104" s="2395" t="n"/>
      <c r="R104" s="2395" t="n"/>
      <c r="S104" s="2395" t="n"/>
      <c r="T104" s="2395" t="n"/>
      <c r="U104" s="2395" t="n"/>
    </row>
    <row r="105" hidden="1" s="1449">
      <c r="A105" s="2395" t="n"/>
      <c r="B105" s="2438" t="inlineStr">
        <is>
          <t>Total Physical Depr $, Buildings 2-12 (auto)</t>
        </is>
      </c>
      <c r="C105" s="2399">
        <f>SUM(C102:M102)</f>
        <v/>
      </c>
      <c r="D105" s="2399" t="n"/>
      <c r="E105" s="2399" t="n"/>
      <c r="F105" s="2399" t="n"/>
      <c r="G105" s="2399" t="n"/>
      <c r="H105" s="2395" t="n"/>
      <c r="I105" s="2395" t="n"/>
      <c r="J105" s="2395" t="n"/>
      <c r="K105" s="2395" t="n"/>
      <c r="L105" s="2395" t="n"/>
      <c r="M105" s="2395" t="n"/>
      <c r="N105" s="2395" t="n"/>
      <c r="O105" s="2395" t="n"/>
      <c r="P105" s="2395" t="n"/>
      <c r="Q105" s="2395" t="n"/>
      <c r="R105" s="2395" t="n"/>
      <c r="S105" s="2395" t="n"/>
      <c r="T105" s="2395" t="n"/>
      <c r="U105" s="2395" t="n"/>
    </row>
    <row r="106" hidden="1" s="1449">
      <c r="A106" s="2395" t="n"/>
      <c r="B106" s="2405" t="n"/>
      <c r="C106" s="2399" t="n"/>
      <c r="D106" s="2399" t="n"/>
      <c r="E106" s="2399" t="n"/>
      <c r="F106" s="2399" t="n"/>
      <c r="G106" s="2399" t="n"/>
      <c r="H106" s="2395" t="n"/>
      <c r="I106" s="2395" t="n"/>
      <c r="J106" s="2395" t="n"/>
      <c r="K106" s="2395" t="n"/>
      <c r="L106" s="2395" t="n"/>
      <c r="M106" s="2395" t="n"/>
      <c r="N106" s="2395" t="n"/>
      <c r="O106" s="2395" t="n"/>
      <c r="P106" s="2395" t="n"/>
      <c r="Q106" s="2395" t="n"/>
      <c r="R106" s="2395" t="n"/>
      <c r="S106" s="2395" t="n"/>
      <c r="T106" s="2395" t="n"/>
      <c r="U106" s="2395" t="n"/>
    </row>
    <row r="107" hidden="1" s="1449">
      <c r="A107" s="2395" t="n"/>
      <c r="B107" s="2405" t="n"/>
      <c r="C107" s="2419" t="n"/>
      <c r="D107" s="2399" t="n"/>
      <c r="E107" s="2399" t="n"/>
      <c r="F107" s="2399" t="n"/>
      <c r="G107" s="2399" t="n"/>
      <c r="H107" s="2395" t="n"/>
      <c r="I107" s="2395" t="n"/>
      <c r="J107" s="2395" t="n"/>
      <c r="K107" s="2395" t="n"/>
      <c r="L107" s="2395" t="n"/>
      <c r="M107" s="2395" t="n"/>
      <c r="N107" s="2395" t="n"/>
      <c r="O107" s="2395" t="n"/>
      <c r="P107" s="2395" t="n"/>
      <c r="Q107" s="2395" t="n"/>
      <c r="R107" s="2395" t="n"/>
      <c r="S107" s="2395" t="n"/>
      <c r="T107" s="2395" t="n"/>
      <c r="U107" s="2395" t="n"/>
    </row>
    <row r="108" hidden="1" s="1449">
      <c r="A108" s="2395" t="n"/>
      <c r="B108" s="2399" t="n"/>
      <c r="C108" s="2399" t="n"/>
      <c r="D108" s="2399" t="n"/>
      <c r="E108" s="2399" t="n"/>
      <c r="F108" s="2399" t="n"/>
      <c r="G108" s="2399" t="n"/>
      <c r="H108" s="2395" t="n"/>
      <c r="I108" s="2395" t="n"/>
      <c r="J108" s="2395" t="n"/>
      <c r="K108" s="2395" t="n"/>
      <c r="L108" s="2395" t="n"/>
      <c r="M108" s="2395" t="n"/>
      <c r="N108" s="2395" t="n"/>
      <c r="O108" s="2395" t="n"/>
      <c r="P108" s="2395" t="n"/>
      <c r="Q108" s="2395" t="n"/>
      <c r="R108" s="2395" t="n"/>
      <c r="S108" s="2395" t="n"/>
      <c r="T108" s="2395" t="n"/>
      <c r="U108" s="2395" t="n"/>
    </row>
    <row r="109" hidden="1" s="1449">
      <c r="A109" s="2395" t="n"/>
      <c r="B109" s="2407" t="n"/>
      <c r="C109" s="2399" t="n"/>
      <c r="D109" s="2399" t="n"/>
      <c r="E109" s="2399" t="n"/>
      <c r="F109" s="2399" t="n"/>
      <c r="G109" s="2399" t="n"/>
      <c r="H109" s="2395" t="n"/>
      <c r="I109" s="2395" t="n"/>
      <c r="J109" s="2395" t="n"/>
      <c r="K109" s="2395" t="n"/>
      <c r="L109" s="2395" t="n"/>
      <c r="M109" s="2395" t="n"/>
      <c r="N109" s="2395" t="n"/>
      <c r="O109" s="2395" t="n"/>
      <c r="P109" s="2395" t="n"/>
      <c r="Q109" s="2395" t="n"/>
      <c r="R109" s="2395" t="n"/>
      <c r="S109" s="2395" t="n"/>
      <c r="T109" s="2395" t="n"/>
      <c r="U109" s="2395" t="n"/>
    </row>
    <row r="110" hidden="1" s="1449">
      <c r="A110" s="2395" t="n"/>
      <c r="B110" s="2405" t="n"/>
      <c r="C110" s="2399" t="n"/>
      <c r="D110" s="2399" t="n"/>
      <c r="E110" s="2399" t="n"/>
      <c r="F110" s="2399" t="n"/>
      <c r="G110" s="2399" t="n"/>
      <c r="H110" s="2395" t="n"/>
      <c r="I110" s="2395" t="n"/>
      <c r="J110" s="2395" t="n"/>
      <c r="K110" s="2395" t="n"/>
      <c r="L110" s="2395" t="n"/>
      <c r="M110" s="2395" t="n"/>
      <c r="N110" s="2395" t="n"/>
      <c r="O110" s="2395" t="n"/>
      <c r="P110" s="2395" t="n"/>
      <c r="Q110" s="2425" t="n"/>
      <c r="R110" s="2399" t="n"/>
      <c r="S110" s="2395" t="n"/>
      <c r="T110" s="2395" t="n"/>
      <c r="U110" s="2395" t="n"/>
    </row>
    <row r="111" hidden="1" s="1449">
      <c r="A111" s="2395" t="n"/>
      <c r="B111" s="2399" t="n"/>
      <c r="C111" s="2419" t="n"/>
      <c r="D111" s="2399" t="n"/>
      <c r="E111" s="2399" t="n"/>
      <c r="F111" s="2399" t="n"/>
      <c r="G111" s="2399" t="n"/>
      <c r="H111" s="2395" t="n"/>
      <c r="I111" s="2395" t="n"/>
      <c r="J111" s="2395" t="n"/>
      <c r="K111" s="2395" t="n"/>
      <c r="L111" s="2395" t="n"/>
      <c r="M111" s="2395" t="n"/>
      <c r="N111" s="2395" t="n"/>
      <c r="O111" s="2395" t="n"/>
      <c r="P111" s="2395" t="n"/>
      <c r="Q111" s="2425" t="n"/>
      <c r="R111" s="2399" t="n"/>
      <c r="S111" s="2395" t="n"/>
      <c r="T111" s="2395" t="n"/>
      <c r="U111" s="2395" t="n"/>
    </row>
    <row r="112" hidden="1" s="1449">
      <c r="A112" s="2395" t="n"/>
      <c r="B112" s="2399" t="n"/>
      <c r="C112" s="2399" t="n"/>
      <c r="D112" s="2399" t="n"/>
      <c r="E112" s="2399" t="n"/>
      <c r="F112" s="2399" t="n"/>
      <c r="G112" s="2399" t="n"/>
      <c r="H112" s="2395" t="n"/>
      <c r="I112" s="2395" t="n"/>
      <c r="J112" s="2395" t="n"/>
      <c r="K112" s="2395" t="n"/>
      <c r="L112" s="2395" t="n"/>
      <c r="M112" s="2395" t="n"/>
      <c r="N112" s="2395" t="n"/>
      <c r="O112" s="2395" t="n"/>
      <c r="P112" s="2395" t="n"/>
      <c r="Q112" s="2395" t="n"/>
      <c r="R112" s="2395" t="n"/>
      <c r="S112" s="2395" t="n"/>
      <c r="T112" s="2395" t="n"/>
      <c r="U112" s="2395" t="n"/>
    </row>
    <row r="113" hidden="1" s="1449">
      <c r="A113" s="2395" t="n"/>
      <c r="B113" s="2399" t="n"/>
      <c r="C113" s="2399" t="n"/>
      <c r="D113" s="2399" t="n"/>
      <c r="E113" s="2399" t="n"/>
      <c r="F113" s="2399" t="n"/>
      <c r="G113" s="2399" t="n"/>
      <c r="H113" s="2395" t="n"/>
      <c r="I113" s="2395" t="n"/>
      <c r="J113" s="2395" t="n"/>
      <c r="K113" s="2395" t="n"/>
      <c r="L113" s="2395" t="n"/>
      <c r="M113" s="2395" t="n"/>
      <c r="N113" s="2395" t="n"/>
      <c r="O113" s="2395" t="n"/>
      <c r="P113" s="2395" t="n"/>
      <c r="Q113" s="2395" t="n"/>
      <c r="R113" s="2395" t="n"/>
      <c r="S113" s="2395" t="n"/>
      <c r="T113" s="2395" t="n"/>
      <c r="U113" s="2395" t="n"/>
    </row>
    <row r="114" hidden="1" s="1449">
      <c r="A114" s="2395" t="n"/>
      <c r="B114" s="2420" t="n"/>
      <c r="C114" s="2421" t="n"/>
      <c r="D114" s="2399" t="n"/>
      <c r="E114" s="2399" t="n"/>
      <c r="F114" s="2399" t="n"/>
      <c r="G114" s="2395" t="n"/>
      <c r="H114" s="2395" t="n"/>
      <c r="I114" s="2395" t="n"/>
      <c r="J114" s="2395" t="n"/>
      <c r="K114" s="2395" t="n"/>
      <c r="L114" s="2395" t="n"/>
      <c r="M114" s="2395" t="n"/>
      <c r="N114" s="2395" t="n"/>
      <c r="O114" s="2395" t="n"/>
      <c r="P114" s="2395" t="n"/>
      <c r="Q114" s="2395" t="n"/>
      <c r="R114" s="2395" t="n"/>
      <c r="S114" s="2395" t="n"/>
      <c r="T114" s="2395" t="n"/>
      <c r="U114" s="2395" t="n"/>
    </row>
    <row r="115" hidden="1" s="1449">
      <c r="A115" s="2395" t="n"/>
      <c r="B115" s="2405" t="n"/>
      <c r="C115" s="2399" t="n"/>
      <c r="D115" s="2399" t="n"/>
      <c r="E115" s="2399" t="n"/>
      <c r="F115" s="2399" t="n"/>
      <c r="G115" s="2416" t="n"/>
      <c r="H115" s="2395" t="n"/>
      <c r="I115" s="2395" t="n"/>
      <c r="J115" s="2395" t="n"/>
      <c r="K115" s="2395" t="n"/>
      <c r="L115" s="2395" t="n"/>
      <c r="M115" s="2395" t="n"/>
      <c r="N115" s="2395" t="n"/>
      <c r="O115" s="2395" t="n"/>
      <c r="P115" s="2395" t="n"/>
      <c r="Q115" s="2395" t="n"/>
      <c r="R115" s="2395" t="n"/>
      <c r="S115" s="2395" t="n"/>
      <c r="T115" s="2395" t="n"/>
      <c r="U115" s="2395" t="n"/>
    </row>
    <row r="116" hidden="1" s="1449">
      <c r="A116" s="2395" t="n"/>
      <c r="B116" s="2396" t="n"/>
      <c r="C116" s="2396" t="n"/>
      <c r="D116" s="2399" t="n"/>
      <c r="E116" s="2425" t="n"/>
      <c r="F116" s="2425" t="n"/>
      <c r="G116" s="2425" t="n"/>
      <c r="H116" s="2395" t="n"/>
      <c r="I116" s="2395" t="n"/>
      <c r="J116" s="2395" t="n"/>
      <c r="K116" s="2395" t="n"/>
      <c r="L116" s="2395" t="n"/>
      <c r="M116" s="2395" t="n"/>
      <c r="N116" s="2395" t="n"/>
      <c r="O116" s="2395" t="n"/>
      <c r="P116" s="2395" t="n"/>
      <c r="Q116" s="2395" t="n"/>
      <c r="R116" s="2395" t="n"/>
      <c r="S116" s="2395" t="n"/>
      <c r="T116" s="2395" t="n"/>
      <c r="U116" s="2395" t="n"/>
    </row>
    <row r="117" hidden="1" s="1449">
      <c r="A117" s="2395" t="n"/>
      <c r="B117" s="2422" t="n"/>
      <c r="C117" s="2422" t="n"/>
      <c r="D117" s="2422" t="n"/>
      <c r="E117" s="2422" t="n"/>
      <c r="F117" s="2422" t="n"/>
      <c r="G117" s="2422" t="n"/>
      <c r="H117" s="2395" t="n"/>
      <c r="I117" s="2395" t="n"/>
      <c r="J117" s="2395" t="n"/>
      <c r="K117" s="2395" t="n"/>
      <c r="L117" s="2395" t="n"/>
      <c r="M117" s="2395" t="n"/>
      <c r="N117" s="2395" t="n"/>
      <c r="O117" s="2395" t="n"/>
      <c r="P117" s="2395" t="n"/>
      <c r="Q117" s="2395" t="n"/>
      <c r="R117" s="2395" t="n"/>
      <c r="S117" s="2395" t="n"/>
      <c r="T117" s="2395" t="n"/>
      <c r="U117" s="2395" t="n"/>
    </row>
    <row r="118" hidden="1" s="1449">
      <c r="A118" s="2395" t="n"/>
      <c r="B118" s="2395" t="n"/>
      <c r="C118" s="2395" t="n"/>
      <c r="D118" s="2395" t="n"/>
      <c r="E118" s="2395" t="n"/>
      <c r="F118" s="2395" t="n"/>
      <c r="G118" s="2395" t="n"/>
      <c r="H118" s="2395" t="n"/>
      <c r="I118" s="2395" t="n"/>
      <c r="J118" s="2395" t="n"/>
      <c r="K118" s="2395" t="n"/>
      <c r="L118" s="2395" t="n"/>
      <c r="M118" s="2395" t="n"/>
      <c r="N118" s="2395" t="n"/>
      <c r="O118" s="2395" t="n"/>
      <c r="P118" s="2395" t="n"/>
      <c r="Q118" s="2425" t="n"/>
      <c r="R118" s="2399" t="n"/>
      <c r="S118" s="2395" t="n"/>
      <c r="T118" s="2395" t="n"/>
      <c r="U118" s="2395" t="n"/>
    </row>
    <row r="119" hidden="1" s="1449">
      <c r="A119" s="2395" t="n"/>
      <c r="B119" s="2417" t="n"/>
      <c r="C119" s="2395" t="n"/>
      <c r="D119" s="2395" t="n"/>
      <c r="E119" s="2395" t="n"/>
      <c r="F119" s="2395" t="n"/>
      <c r="G119" s="2395" t="n"/>
      <c r="H119" s="2395" t="n"/>
      <c r="I119" s="2395" t="n"/>
      <c r="J119" s="2395" t="n"/>
      <c r="K119" s="2395" t="n"/>
      <c r="L119" s="2395" t="n"/>
      <c r="M119" s="2395" t="n"/>
      <c r="N119" s="2395" t="n"/>
      <c r="O119" s="2395" t="n"/>
      <c r="P119" s="2395" t="n"/>
      <c r="Q119" s="2425" t="n"/>
      <c r="R119" s="2399" t="n"/>
      <c r="S119" s="2395" t="n"/>
      <c r="T119" s="2395" t="n"/>
      <c r="U119" s="2395" t="n"/>
    </row>
    <row r="120" hidden="1" s="1449">
      <c r="A120" s="2395" t="n"/>
      <c r="B120" s="2396" t="n"/>
      <c r="C120" s="2399" t="n"/>
      <c r="D120" s="2426" t="n"/>
      <c r="E120" s="2395" t="n"/>
      <c r="F120" s="2395" t="n"/>
      <c r="G120" s="2395" t="n"/>
      <c r="H120" s="2395" t="n"/>
      <c r="I120" s="2395" t="n"/>
      <c r="J120" s="2395" t="n"/>
      <c r="K120" s="2395" t="n"/>
      <c r="L120" s="2395" t="n"/>
      <c r="M120" s="2395" t="n"/>
      <c r="N120" s="2395" t="n"/>
      <c r="O120" s="2395" t="n"/>
      <c r="P120" s="2395" t="n"/>
      <c r="Q120" s="2425" t="n"/>
      <c r="R120" s="2399" t="n"/>
      <c r="S120" s="2395" t="n"/>
      <c r="T120" s="2395" t="n"/>
      <c r="U120" s="2395" t="n"/>
    </row>
    <row r="121" hidden="1" s="1449">
      <c r="A121" s="2395" t="n"/>
      <c r="B121" s="2396" t="n"/>
      <c r="C121" s="2399" t="n"/>
      <c r="D121" s="2427" t="n"/>
      <c r="E121" s="2395" t="n"/>
      <c r="F121" s="2395" t="n"/>
      <c r="G121" s="2395" t="n"/>
      <c r="H121" s="2395" t="n"/>
      <c r="I121" s="2395" t="n"/>
      <c r="J121" s="2395" t="n"/>
      <c r="K121" s="2395" t="n"/>
      <c r="L121" s="2395" t="n"/>
      <c r="M121" s="2395" t="n"/>
      <c r="N121" s="2395" t="n"/>
      <c r="O121" s="2395" t="n"/>
      <c r="P121" s="2395" t="n"/>
      <c r="Q121" s="2425" t="n"/>
      <c r="R121" s="2399" t="n"/>
      <c r="S121" s="2395" t="n"/>
      <c r="T121" s="2395" t="n"/>
      <c r="U121" s="2395" t="n"/>
    </row>
    <row r="122" hidden="1" ht="24" customHeight="1" s="1449">
      <c r="A122" s="2395" t="n"/>
      <c r="B122" s="2428" t="n"/>
      <c r="C122" s="2399" t="n"/>
      <c r="D122" s="2427" t="n"/>
      <c r="E122" s="2395" t="n"/>
      <c r="F122" s="2395" t="n"/>
      <c r="G122" s="2395" t="n"/>
      <c r="H122" s="2395" t="n"/>
      <c r="I122" s="2395" t="n"/>
      <c r="J122" s="2395" t="n"/>
      <c r="K122" s="2395" t="n"/>
      <c r="L122" s="2395" t="n"/>
      <c r="M122" s="2395" t="n"/>
      <c r="N122" s="2395" t="n"/>
      <c r="O122" s="2395" t="n"/>
      <c r="P122" s="2395" t="n"/>
      <c r="Q122" s="2395" t="n"/>
      <c r="R122" s="2395" t="n"/>
      <c r="S122" s="2395" t="n"/>
      <c r="T122" s="2395" t="n"/>
      <c r="U122" s="2395" t="n"/>
    </row>
    <row r="123" hidden="1" s="1449">
      <c r="A123" s="2395" t="n"/>
      <c r="B123" s="2396" t="n"/>
      <c r="C123" s="2399" t="n"/>
      <c r="D123" s="2426" t="n"/>
      <c r="E123" s="2395" t="n"/>
      <c r="F123" s="2395" t="n"/>
      <c r="G123" s="2395" t="n"/>
      <c r="H123" s="2395" t="n"/>
      <c r="I123" s="2395" t="n"/>
      <c r="J123" s="2395" t="n"/>
      <c r="K123" s="2395" t="n"/>
      <c r="L123" s="2395" t="n"/>
      <c r="M123" s="2395" t="n"/>
      <c r="N123" s="2395" t="n"/>
      <c r="O123" s="2395" t="n"/>
      <c r="P123" s="2395" t="n"/>
      <c r="Q123" s="2395" t="n"/>
      <c r="R123" s="2395" t="n"/>
      <c r="S123" s="2395" t="n"/>
      <c r="T123" s="2395" t="n"/>
      <c r="U123" s="2395" t="n"/>
    </row>
    <row r="124" hidden="1" s="1449">
      <c r="A124" s="2395" t="n"/>
      <c r="B124" s="2396" t="n"/>
      <c r="C124" s="2399" t="n"/>
      <c r="D124" s="2426" t="n"/>
      <c r="E124" s="2395" t="n"/>
      <c r="F124" s="2395" t="n"/>
      <c r="G124" s="2395" t="n"/>
      <c r="H124" s="2395" t="n"/>
      <c r="I124" s="2395" t="n"/>
      <c r="J124" s="2395" t="n"/>
      <c r="K124" s="2395" t="n"/>
      <c r="L124" s="2395" t="n"/>
      <c r="M124" s="2395" t="n"/>
      <c r="N124" s="2395" t="n"/>
      <c r="O124" s="2395" t="n"/>
      <c r="P124" s="2395" t="n"/>
      <c r="Q124" s="2395" t="n"/>
      <c r="R124" s="2395" t="n"/>
      <c r="S124" s="2395" t="n"/>
      <c r="T124" s="2395" t="n"/>
      <c r="U124" s="2395" t="n"/>
    </row>
    <row r="125" hidden="1" s="1449">
      <c r="A125" s="2395" t="n"/>
      <c r="B125" s="2396" t="n"/>
      <c r="C125" s="2399" t="n"/>
      <c r="D125" s="2426" t="n"/>
      <c r="E125" s="2395" t="n"/>
      <c r="F125" s="2395" t="n"/>
      <c r="G125" s="2395" t="n"/>
      <c r="H125" s="2395" t="n"/>
      <c r="I125" s="2395" t="n"/>
      <c r="J125" s="2395" t="n"/>
      <c r="K125" s="2395" t="n"/>
      <c r="L125" s="2395" t="n"/>
      <c r="M125" s="2395" t="n"/>
      <c r="N125" s="2395" t="n"/>
      <c r="O125" s="2395" t="n"/>
      <c r="P125" s="2395" t="n"/>
      <c r="Q125" s="2395" t="n"/>
      <c r="R125" s="2395" t="n"/>
      <c r="S125" s="2395" t="n"/>
      <c r="T125" s="2395" t="n"/>
      <c r="U125" s="2395" t="n"/>
    </row>
    <row r="126" hidden="1" s="1449">
      <c r="A126" s="2395" t="n"/>
      <c r="B126" s="2396" t="n"/>
      <c r="C126" s="2399" t="n"/>
      <c r="D126" s="2426" t="n"/>
      <c r="E126" s="2395" t="n"/>
      <c r="F126" s="2395" t="n"/>
      <c r="G126" s="2395" t="n"/>
      <c r="H126" s="2395" t="n"/>
      <c r="I126" s="2395" t="n"/>
      <c r="J126" s="2395" t="n"/>
      <c r="K126" s="2395" t="n"/>
      <c r="L126" s="2395" t="n"/>
      <c r="M126" s="2395" t="n"/>
      <c r="N126" s="2395" t="n"/>
      <c r="O126" s="2395" t="n"/>
      <c r="P126" s="2395" t="n"/>
      <c r="Q126" s="2395" t="n"/>
      <c r="R126" s="2395" t="n"/>
      <c r="S126" s="2395" t="n"/>
      <c r="T126" s="2395" t="n"/>
      <c r="U126" s="2395" t="n"/>
    </row>
    <row r="127" hidden="1" s="1449">
      <c r="A127" s="2395" t="n"/>
      <c r="B127" s="2396" t="n"/>
      <c r="C127" s="2399" t="n"/>
      <c r="D127" s="2426" t="n"/>
      <c r="E127" s="2395" t="n"/>
      <c r="F127" s="2395" t="n"/>
      <c r="G127" s="2395" t="n"/>
      <c r="H127" s="2395" t="n"/>
      <c r="I127" s="2395" t="n"/>
      <c r="J127" s="2395" t="n"/>
      <c r="K127" s="2395" t="n"/>
      <c r="L127" s="2395" t="n"/>
      <c r="M127" s="2395" t="n"/>
      <c r="N127" s="2395" t="n"/>
      <c r="O127" s="2395" t="n"/>
      <c r="P127" s="2395" t="n"/>
      <c r="Q127" s="2395" t="n"/>
      <c r="R127" s="2395" t="n"/>
      <c r="S127" s="2395" t="n"/>
      <c r="T127" s="2395" t="n"/>
      <c r="U127" s="2395" t="n"/>
    </row>
    <row r="128" hidden="1" s="1449">
      <c r="A128" s="2395" t="n"/>
      <c r="B128" s="2396" t="n"/>
      <c r="C128" s="2399" t="n"/>
      <c r="D128" s="2426" t="n"/>
      <c r="E128" s="2395" t="n"/>
      <c r="F128" s="2395" t="n"/>
      <c r="G128" s="2395" t="n"/>
      <c r="H128" s="2395" t="n"/>
      <c r="I128" s="2395" t="n"/>
      <c r="J128" s="2395" t="n"/>
      <c r="K128" s="2395" t="n"/>
      <c r="L128" s="2395" t="n"/>
      <c r="M128" s="2395" t="n"/>
      <c r="N128" s="2395" t="n"/>
      <c r="O128" s="2395" t="n"/>
      <c r="P128" s="2395" t="n"/>
      <c r="Q128" s="2395" t="n"/>
      <c r="R128" s="2395" t="n"/>
      <c r="S128" s="2395" t="n"/>
      <c r="T128" s="2395" t="n"/>
      <c r="U128" s="2395" t="n"/>
    </row>
    <row r="129" hidden="1" s="1449">
      <c r="A129" s="2395" t="n"/>
      <c r="B129" s="2396" t="n"/>
      <c r="C129" s="2399" t="n"/>
      <c r="D129" s="2426" t="n"/>
      <c r="E129" s="2395" t="n"/>
      <c r="F129" s="2395" t="n"/>
      <c r="G129" s="2395" t="n"/>
      <c r="H129" s="2395" t="n"/>
      <c r="I129" s="2395" t="n"/>
      <c r="J129" s="2395" t="n"/>
      <c r="K129" s="2395" t="n"/>
      <c r="L129" s="2395" t="n"/>
      <c r="M129" s="2395" t="n"/>
      <c r="N129" s="2395" t="n"/>
      <c r="O129" s="2395" t="n"/>
      <c r="P129" s="2395" t="n"/>
      <c r="Q129" s="2395" t="n"/>
      <c r="R129" s="2395" t="n"/>
      <c r="S129" s="2395" t="n"/>
      <c r="T129" s="2395" t="n"/>
      <c r="U129" s="2395" t="n"/>
    </row>
    <row r="130" hidden="1" s="1449">
      <c r="A130" s="2395" t="n"/>
      <c r="B130" s="2396" t="n"/>
      <c r="C130" s="2399" t="n"/>
      <c r="D130" s="2426" t="n"/>
      <c r="E130" s="2395" t="n"/>
      <c r="F130" s="2395" t="n"/>
      <c r="G130" s="2395" t="n"/>
      <c r="H130" s="2395" t="n"/>
      <c r="I130" s="2395" t="n"/>
      <c r="J130" s="2395" t="n"/>
      <c r="K130" s="2395" t="n"/>
      <c r="L130" s="2395" t="n"/>
      <c r="M130" s="2395" t="n"/>
      <c r="N130" s="2395" t="n"/>
      <c r="O130" s="2395" t="n"/>
      <c r="P130" s="2395" t="n"/>
      <c r="Q130" s="2395" t="n"/>
      <c r="R130" s="2395" t="n"/>
      <c r="S130" s="2395" t="n"/>
      <c r="T130" s="2395" t="n"/>
      <c r="U130" s="2395" t="n"/>
    </row>
    <row r="131" hidden="1" s="1449">
      <c r="A131" s="2395" t="n"/>
      <c r="B131" s="2396" t="n"/>
      <c r="C131" s="2399" t="n"/>
      <c r="D131" s="2427" t="n"/>
      <c r="E131" s="2395" t="n"/>
      <c r="F131" s="2395" t="n"/>
      <c r="G131" s="2395" t="n"/>
      <c r="H131" s="2395" t="n"/>
      <c r="I131" s="2395" t="n"/>
      <c r="J131" s="2395" t="n"/>
      <c r="K131" s="2395" t="n"/>
      <c r="L131" s="2395" t="n"/>
      <c r="M131" s="2395" t="n"/>
      <c r="N131" s="2395" t="n"/>
      <c r="O131" s="2395" t="n"/>
      <c r="P131" s="2395" t="n"/>
      <c r="Q131" s="2395" t="n"/>
      <c r="R131" s="2395" t="n"/>
      <c r="S131" s="2395" t="n"/>
      <c r="T131" s="2395" t="n"/>
      <c r="U131" s="2395" t="n"/>
    </row>
    <row r="132" hidden="1" s="1449">
      <c r="A132" s="2395" t="n"/>
      <c r="B132" s="2399" t="n"/>
      <c r="C132" s="2399" t="n"/>
      <c r="D132" s="2399" t="n"/>
      <c r="E132" s="2395" t="n"/>
      <c r="F132" s="2395" t="n"/>
      <c r="G132" s="2395" t="n"/>
      <c r="H132" s="2395" t="n"/>
      <c r="I132" s="2395" t="n"/>
      <c r="J132" s="2395" t="n"/>
      <c r="K132" s="2395" t="n"/>
      <c r="L132" s="2395" t="n"/>
      <c r="M132" s="2395" t="n"/>
      <c r="N132" s="2395" t="n"/>
      <c r="O132" s="2395" t="n"/>
      <c r="P132" s="2395" t="n"/>
      <c r="Q132" s="2395" t="n"/>
      <c r="R132" s="2395" t="n"/>
      <c r="S132" s="2395" t="n"/>
      <c r="T132" s="2395" t="n"/>
      <c r="U132" s="2395" t="n"/>
    </row>
    <row r="133" hidden="1" s="1449">
      <c r="A133" s="2395" t="n"/>
      <c r="B133" s="2420" t="n"/>
      <c r="C133" s="2399" t="n"/>
      <c r="D133" s="2395" t="n"/>
      <c r="E133" s="2395" t="n"/>
      <c r="F133" s="2395" t="n"/>
      <c r="G133" s="2429" t="n"/>
      <c r="H133" s="2395" t="n"/>
      <c r="I133" s="2395" t="n"/>
      <c r="J133" s="2395" t="n"/>
      <c r="K133" s="2395" t="n"/>
      <c r="L133" s="2395" t="n"/>
      <c r="M133" s="2395" t="n"/>
      <c r="N133" s="2395" t="n"/>
      <c r="O133" s="2395" t="n"/>
      <c r="P133" s="2395" t="n"/>
      <c r="Q133" s="2395" t="n"/>
      <c r="R133" s="2395" t="n"/>
      <c r="S133" s="2395" t="n"/>
      <c r="T133" s="2395" t="n"/>
      <c r="U133" s="2395" t="n"/>
    </row>
    <row r="134" hidden="1" s="1449">
      <c r="A134" s="2395" t="n"/>
      <c r="B134" s="2395" t="n"/>
      <c r="C134" s="2395" t="n"/>
      <c r="D134" s="2395" t="n"/>
      <c r="E134" s="2395" t="n"/>
      <c r="F134" s="2395" t="n"/>
      <c r="G134" s="2395" t="n"/>
      <c r="H134" s="2395" t="n"/>
      <c r="I134" s="2395" t="n"/>
      <c r="J134" s="2395" t="n"/>
      <c r="K134" s="2395" t="n"/>
      <c r="L134" s="2395" t="n"/>
      <c r="M134" s="2395" t="n"/>
      <c r="N134" s="2395" t="n"/>
      <c r="O134" s="2395" t="n"/>
      <c r="P134" s="2395" t="n"/>
      <c r="Q134" s="2395" t="n"/>
      <c r="R134" s="2395" t="n"/>
      <c r="S134" s="2395" t="n"/>
      <c r="T134" s="2395" t="n"/>
      <c r="U134" s="2395" t="n"/>
    </row>
    <row r="135" hidden="1" s="1449">
      <c r="A135" s="2395" t="n"/>
      <c r="B135" s="2396" t="n"/>
      <c r="C135" s="2405" t="n"/>
      <c r="D135" s="2399" t="n"/>
      <c r="E135" s="2395" t="n"/>
      <c r="F135" s="2395" t="n"/>
      <c r="G135" s="2395" t="n"/>
      <c r="H135" s="2395" t="n"/>
      <c r="I135" s="2395" t="n"/>
      <c r="J135" s="2395" t="n"/>
      <c r="K135" s="2395" t="n"/>
      <c r="L135" s="2395" t="n"/>
      <c r="M135" s="2395" t="n"/>
      <c r="N135" s="2395" t="n"/>
      <c r="O135" s="2395" t="n"/>
      <c r="P135" s="2395" t="n"/>
      <c r="Q135" s="2395" t="n"/>
      <c r="R135" s="2395" t="n"/>
      <c r="S135" s="2395" t="n"/>
      <c r="T135" s="2395" t="n"/>
      <c r="U135" s="2395"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1">
    <mergeCell ref="B2:G2"/>
  </mergeCells>
  <dataValidations count="4">
    <dataValidation sqref="D11 D74" showDropDown="0" showInputMessage="1" showErrorMessage="1" allowBlank="1" prompt="Value is for average quality and 1-story flue. Each additional story for flue is $885."/>
    <dataValidation sqref="C8" showDropDown="0" showInputMessage="0" showErrorMessage="0" allowBlank="1" errorTitle="Invalid entry" error="Please choose a value from the dropdown list." type="list">
      <formula1>=LAM_CITY</formula1>
    </dataValidation>
    <dataValidation sqref="C18" showDropDown="0" showInputMessage="0" showErrorMessage="0" allowBlank="1" errorTitle="Invalid entry" error="Please choose a value from the dropdown list." type="list">
      <formula1>=DEN_LABEL</formula1>
    </dataValidation>
    <dataValidation sqref="C19" showDropDown="0" showInputMessage="0" showErrorMessage="0" allowBlank="1" errorTitle="Invalid entry" error="Please choose a value from the dropdown list." type="list">
      <formula1>=DEN_LABEL</formula1>
    </dataValidation>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c r="D4" s="1978">
        <f>C4/'Property Info'!$B$5</f>
        <v/>
      </c>
    </row>
    <row r="5">
      <c r="B5" s="236" t="inlineStr">
        <is>
          <t>Government Fees &amp; Permits</t>
        </is>
      </c>
      <c r="C5" s="1977" t="n"/>
      <c r="D5" s="1978">
        <f>C5/'Property Info'!$B$5</f>
        <v/>
      </c>
    </row>
    <row r="6">
      <c r="B6" s="236" t="inlineStr">
        <is>
          <t>Site Improvements</t>
        </is>
      </c>
      <c r="C6" s="1977" t="n"/>
      <c r="D6" s="1978">
        <f>C6/'Property Info'!$B$5</f>
        <v/>
      </c>
    </row>
    <row r="7">
      <c r="B7" s="236" t="inlineStr">
        <is>
          <t>Off-Site Construction</t>
        </is>
      </c>
      <c r="C7" s="1977" t="n"/>
      <c r="D7" s="1978">
        <f>C7/'Property Info'!$B$5</f>
        <v/>
      </c>
    </row>
    <row r="8">
      <c r="B8" s="236" t="inlineStr">
        <is>
          <t>Vertical Improvements</t>
        </is>
      </c>
      <c r="C8" s="1977" t="n"/>
      <c r="D8" s="1978">
        <f>C8/'Property Info'!$B$5</f>
        <v/>
      </c>
    </row>
    <row r="9">
      <c r="B9" s="236" t="inlineStr">
        <is>
          <t>Contractor Overhead &amp; Profit</t>
        </is>
      </c>
      <c r="C9" s="1977" t="n"/>
      <c r="D9" s="1978">
        <f>C9/'Property Info'!$B$5</f>
        <v/>
      </c>
    </row>
    <row r="10">
      <c r="B10" s="236" t="inlineStr">
        <is>
          <t>Inderect Costs</t>
        </is>
      </c>
      <c r="C10" s="1977" t="n"/>
      <c r="D10" s="1978">
        <f>C10/'Property Info'!$B$5</f>
        <v/>
      </c>
    </row>
    <row r="11">
      <c r="B11" s="426" t="inlineStr">
        <is>
          <t>Total</t>
        </is>
      </c>
      <c r="C11" s="1979">
        <f>SUM(C4:C10)</f>
        <v/>
      </c>
      <c r="D11" s="1980">
        <f>C11/'Property Info'!$B$5</f>
        <v/>
      </c>
    </row>
    <row r="12">
      <c r="F12" s="1556" t="inlineStr">
        <is>
          <t>Comparable Constrution Cots</t>
        </is>
      </c>
    </row>
    <row r="13">
      <c r="F13" s="420" t="inlineStr">
        <is>
          <t>Comparable</t>
        </is>
      </c>
      <c r="G13" s="421" t="n"/>
      <c r="H13" s="421" t="n"/>
      <c r="I13" s="421" t="n"/>
      <c r="J13" s="421" t="n"/>
    </row>
    <row r="14">
      <c r="F14" s="420" t="inlineStr">
        <is>
          <t>Location</t>
        </is>
      </c>
      <c r="G14" s="422" t="n"/>
      <c r="H14" s="421" t="n"/>
      <c r="I14" s="421" t="n"/>
      <c r="J14" s="421" t="n"/>
    </row>
    <row r="15">
      <c r="F15" s="420" t="inlineStr">
        <is>
          <t>YOC</t>
        </is>
      </c>
      <c r="G15" s="422" t="n"/>
      <c r="H15" s="421" t="n"/>
      <c r="I15" s="421" t="n"/>
      <c r="J15" s="421" t="n"/>
    </row>
    <row r="16">
      <c r="F16" s="423" t="inlineStr">
        <is>
          <t>Property Type</t>
        </is>
      </c>
      <c r="G16" s="422" t="n"/>
      <c r="H16" s="422" t="n"/>
      <c r="I16" s="422" t="n"/>
      <c r="J16" s="422" t="n"/>
    </row>
    <row r="17">
      <c r="F17" s="424" t="inlineStr">
        <is>
          <t>Total Direct Cost</t>
        </is>
      </c>
      <c r="G17" s="1981" t="n"/>
      <c r="H17" s="1981" t="n"/>
      <c r="I17" s="1981" t="n"/>
      <c r="J17" s="1981" t="n"/>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n"/>
      <c r="B2" s="712" t="n"/>
      <c r="C2" s="712" t="n"/>
      <c r="D2" s="712" t="n"/>
      <c r="E2" s="728" t="n"/>
      <c r="F2" s="1318" t="n"/>
      <c r="G2" s="1985" t="n"/>
      <c r="H2" s="1986" t="n"/>
      <c r="I2" s="1321" t="n"/>
      <c r="J2" s="1322" t="n"/>
      <c r="K2" s="711" t="n"/>
      <c r="L2" s="711" t="n"/>
      <c r="M2" s="707" t="n"/>
      <c r="N2" s="707" t="n"/>
      <c r="O2" s="707" t="n"/>
      <c r="P2" s="707" t="n"/>
      <c r="Q2" s="707" t="n"/>
      <c r="R2" s="1323" t="n"/>
      <c r="S2" s="710" t="n"/>
      <c r="T2" s="708" t="n"/>
      <c r="U2" s="708" t="n"/>
      <c r="V2" s="709" t="n"/>
      <c r="W2" s="1323" t="n"/>
      <c r="X2" s="1323" t="n"/>
      <c r="Y2" s="707" t="n"/>
      <c r="Z2" s="706" t="n"/>
    </row>
    <row r="3" customFormat="1" s="702">
      <c r="A3" s="688" t="n"/>
      <c r="B3" s="1064" t="n"/>
      <c r="C3" s="783" t="n"/>
      <c r="D3" s="784" t="n"/>
      <c r="E3" s="1987" t="n"/>
      <c r="F3" s="784" t="n"/>
      <c r="G3" s="1988" t="n"/>
      <c r="H3" s="1989" t="n"/>
      <c r="I3" s="787" t="n"/>
      <c r="J3" s="783" t="n"/>
      <c r="K3" s="787" t="n"/>
      <c r="L3" s="787" t="n"/>
      <c r="M3" s="1324" t="n"/>
      <c r="N3" s="1324" t="n"/>
      <c r="O3" s="1324" t="n"/>
      <c r="P3" s="1324" t="n"/>
      <c r="Q3" s="1324" t="n"/>
      <c r="R3" s="1324" t="n"/>
      <c r="S3" s="1325" t="n"/>
      <c r="T3" s="1324" t="n"/>
      <c r="U3" s="1324" t="n"/>
      <c r="V3" s="1324" t="n"/>
      <c r="W3" s="1324" t="n"/>
      <c r="X3" s="1324" t="n"/>
      <c r="Y3" s="704" t="n"/>
      <c r="Z3" s="1990" t="n"/>
    </row>
    <row r="4" customFormat="1" s="702">
      <c r="A4" s="688" t="n"/>
      <c r="B4" s="1064" t="n"/>
      <c r="C4" s="783" t="n"/>
      <c r="D4" s="784" t="n"/>
      <c r="E4" s="1987" t="n"/>
      <c r="F4" s="784" t="n"/>
      <c r="G4" s="1988" t="n"/>
      <c r="H4" s="1989" t="n"/>
      <c r="I4" s="783" t="n"/>
      <c r="J4" s="783" t="n"/>
      <c r="K4" s="787" t="n"/>
      <c r="L4" s="787" t="n"/>
      <c r="M4" s="1324" t="n"/>
      <c r="N4" s="1324" t="n"/>
      <c r="O4" s="1324" t="n"/>
      <c r="P4" s="1324" t="n"/>
      <c r="Q4" s="1324" t="n"/>
      <c r="R4" s="1324" t="n"/>
      <c r="S4" s="1325" t="n"/>
      <c r="T4" s="1324" t="n"/>
      <c r="U4" s="1324" t="n"/>
      <c r="V4" s="1324" t="n"/>
      <c r="W4" s="1324" t="n"/>
      <c r="X4" s="1324" t="n"/>
      <c r="Y4" s="704" t="n"/>
      <c r="Z4" s="1990" t="n"/>
    </row>
    <row r="5" customFormat="1" s="702">
      <c r="A5" s="688" t="n"/>
      <c r="B5" s="1064" t="n"/>
      <c r="C5" s="783" t="n"/>
      <c r="D5" s="784" t="n"/>
      <c r="E5" s="1987" t="n"/>
      <c r="F5" s="784" t="n"/>
      <c r="G5" s="1988" t="n"/>
      <c r="H5" s="1989" t="n"/>
      <c r="I5" s="787" t="n"/>
      <c r="J5" s="787" t="n"/>
      <c r="K5" s="787" t="n"/>
      <c r="L5" s="787" t="n"/>
      <c r="M5" s="1324" t="n"/>
      <c r="N5" s="1324" t="n"/>
      <c r="O5" s="1324" t="n"/>
      <c r="P5" s="1324" t="n"/>
      <c r="Q5" s="1324" t="n"/>
      <c r="R5" s="1324" t="n"/>
      <c r="S5" s="1325" t="n"/>
      <c r="T5" s="1324" t="n"/>
      <c r="U5" s="1324" t="n"/>
      <c r="V5" s="1324" t="n"/>
      <c r="W5" s="1324" t="n"/>
      <c r="X5" s="1324" t="n"/>
      <c r="Y5" s="704" t="n"/>
      <c r="Z5" s="1990" t="n"/>
    </row>
    <row r="6" customFormat="1" s="702">
      <c r="A6" s="688" t="n"/>
      <c r="B6" s="1064" t="n"/>
      <c r="C6" s="783" t="n"/>
      <c r="D6" s="784" t="n"/>
      <c r="E6" s="1987" t="n"/>
      <c r="F6" s="784" t="n"/>
      <c r="G6" s="1988" t="n"/>
      <c r="H6" s="1989" t="n"/>
      <c r="I6" s="787" t="n"/>
      <c r="J6" s="783" t="n"/>
      <c r="K6" s="787" t="n"/>
      <c r="L6" s="787" t="n"/>
      <c r="M6" s="1324" t="n"/>
      <c r="N6" s="1324" t="n"/>
      <c r="O6" s="1324" t="n"/>
      <c r="P6" s="1324" t="n"/>
      <c r="Q6" s="1324" t="n"/>
      <c r="R6" s="1324" t="n"/>
      <c r="S6" s="1325" t="n"/>
      <c r="T6" s="1324" t="n"/>
      <c r="U6" s="1324" t="n"/>
      <c r="V6" s="1324" t="n"/>
      <c r="W6" s="1324" t="n"/>
      <c r="X6" s="1324" t="n"/>
      <c r="Y6" s="704" t="n"/>
      <c r="Z6" s="1990" t="n"/>
    </row>
    <row r="7" customFormat="1" s="702">
      <c r="A7" s="688" t="n"/>
      <c r="B7" s="1328" t="n"/>
      <c r="C7" s="1328" t="n"/>
      <c r="D7" s="1328" t="n"/>
      <c r="E7" s="1328" t="n"/>
      <c r="F7" s="1329" t="n"/>
      <c r="G7" s="1991" t="n"/>
      <c r="H7" s="1992" t="n"/>
      <c r="I7" s="1332" t="n"/>
      <c r="J7" s="1332" t="n"/>
      <c r="K7" s="1332" t="n"/>
      <c r="L7" s="1332" t="n"/>
      <c r="M7" s="1326" t="n"/>
      <c r="N7" s="1326" t="n"/>
      <c r="O7" s="1326" t="n"/>
      <c r="P7" s="1326" t="n"/>
      <c r="Q7" s="1326" t="n"/>
      <c r="R7" s="1326" t="n"/>
      <c r="S7" s="1327" t="n"/>
      <c r="T7" s="1326" t="n"/>
      <c r="U7" s="1326" t="n"/>
      <c r="V7" s="1326" t="n"/>
      <c r="W7" s="1326" t="n"/>
      <c r="X7" s="1326" t="n"/>
      <c r="Y7" s="701" t="n"/>
      <c r="Z7" s="1990" t="n"/>
    </row>
    <row r="8">
      <c r="B8" s="700" t="n"/>
      <c r="H8" s="1993" t="n"/>
      <c r="Q8" s="699" t="n"/>
      <c r="Z8" s="1994" t="n"/>
    </row>
    <row r="9">
      <c r="B9" s="700" t="n"/>
      <c r="H9" s="1993" t="n"/>
      <c r="Q9" s="699" t="n"/>
      <c r="Z9" s="1994" t="n"/>
    </row>
    <row r="10" customFormat="1" s="689">
      <c r="B10" s="697" t="n"/>
      <c r="F10" s="696" t="n"/>
      <c r="G10" s="1995" t="n"/>
      <c r="H10" s="1996" t="n"/>
      <c r="I10" s="693" t="n"/>
      <c r="J10" s="694" t="n"/>
      <c r="K10" s="693" t="n"/>
      <c r="L10" s="692" t="n"/>
      <c r="M10" s="691" t="n"/>
      <c r="N10" s="691" t="n"/>
      <c r="O10" s="691" t="n"/>
      <c r="P10" s="691" t="n"/>
      <c r="Q10" s="691" t="n"/>
      <c r="R10" s="691" t="n"/>
      <c r="S10" s="691" t="n"/>
      <c r="T10" s="691" t="n"/>
      <c r="U10" s="691" t="n"/>
      <c r="V10" s="691" t="n"/>
      <c r="W10" s="691" t="n"/>
      <c r="X10" s="691" t="n"/>
      <c r="Y10" s="691" t="n"/>
      <c r="Z10" s="1997" t="n"/>
    </row>
    <row r="12">
      <c r="R12" s="1333" t="n"/>
      <c r="S12" s="688" t="n"/>
      <c r="T12" s="688" t="n"/>
      <c r="U12" s="688" t="n"/>
      <c r="V12" s="688" t="n"/>
    </row>
    <row r="13">
      <c r="R13" s="679" t="n"/>
      <c r="S13" s="687" t="n"/>
      <c r="T13" s="686" t="n"/>
      <c r="U13" s="686" t="n"/>
      <c r="V13" s="685" t="n"/>
    </row>
    <row r="14">
      <c r="R14" s="679" t="n"/>
      <c r="S14" s="687" t="n"/>
      <c r="T14" s="686" t="n"/>
      <c r="U14" s="686" t="n"/>
      <c r="V14" s="685" t="n"/>
    </row>
    <row r="15">
      <c r="R15" s="679" t="n"/>
      <c r="S15" s="687" t="n"/>
      <c r="T15" s="686" t="n"/>
      <c r="U15" s="686" t="n"/>
      <c r="V15" s="685" t="n"/>
    </row>
    <row r="16">
      <c r="R16" s="679" t="n"/>
      <c r="S16" s="687" t="n"/>
      <c r="T16" s="686" t="n"/>
      <c r="U16" s="686" t="n"/>
      <c r="V16" s="685" t="n"/>
    </row>
    <row r="17">
      <c r="R17" s="679" t="n"/>
      <c r="S17" s="687" t="n"/>
      <c r="T17" s="686" t="n"/>
      <c r="U17" s="686" t="n"/>
      <c r="V17" s="685" t="n"/>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118"/>
  <sheetViews>
    <sheetView showGridLines="0"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E2" s="2485" t="inlineStr">
        <is>
          <t>Auto</t>
        </is>
      </c>
      <c r="F2" s="2485" t="inlineStr">
        <is>
          <t>Auto</t>
        </is>
      </c>
      <c r="G2" s="2485" t="inlineStr">
        <is>
          <t>Auto</t>
        </is>
      </c>
      <c r="H2" s="2485" t="inlineStr">
        <is>
          <t>Auto</t>
        </is>
      </c>
      <c r="I2" s="2485" t="inlineStr">
        <is>
          <t>Auto</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row>
    <row r="4" customFormat="1" s="1572">
      <c r="C4" s="744" t="inlineStr">
        <is>
          <t>Address</t>
        </is>
      </c>
      <c r="D4" s="747">
        <f>Export030823!B2</f>
        <v/>
      </c>
      <c r="E4" s="1567">
        <f>IF(E$2="Manual",E98,E75)</f>
        <v/>
      </c>
      <c r="F4" s="1599">
        <f>IF(F$2="Manual",F98,F75)</f>
        <v/>
      </c>
      <c r="G4" s="1599">
        <f>IF(G$2="Manual",G98,G75)</f>
        <v/>
      </c>
      <c r="H4" s="1585">
        <f>IF(H$2="Manual",H98,H75)</f>
        <v/>
      </c>
      <c r="I4" s="1585">
        <f>IF(I$2="Manual",I98,I75)</f>
        <v/>
      </c>
      <c r="J4" s="1567" t="n"/>
    </row>
    <row r="5" ht="30" customHeight="1" s="1449">
      <c r="C5" s="634" t="inlineStr">
        <is>
          <t>City, State</t>
        </is>
      </c>
      <c r="D5" s="747">
        <f>Export030823!C2</f>
        <v/>
      </c>
      <c r="E5" s="1570">
        <f>IF(E$2="Manual",E99,E76)</f>
        <v/>
      </c>
      <c r="F5" s="1578">
        <f>IF(F$2="Manual",F99,F76)</f>
        <v/>
      </c>
      <c r="G5" s="1578">
        <f>IF(G$2="Manual",G99,G76)</f>
        <v/>
      </c>
      <c r="H5" s="1601">
        <f>IF(H$2="Manual",H99,H76)</f>
        <v/>
      </c>
      <c r="I5" s="1601">
        <f>IF(I$2="Manual",I99,I76)</f>
        <v/>
      </c>
      <c r="J5" s="1570" t="n"/>
    </row>
    <row r="6" hidden="1" ht="30" customHeight="1" s="1449">
      <c r="C6" s="634" t="inlineStr">
        <is>
          <t>Parcel Number</t>
        </is>
      </c>
      <c r="D6" s="748">
        <f>Export030823!D2</f>
        <v/>
      </c>
      <c r="E6" s="1567">
        <f>IF(E$2="Manual",E100,E77)</f>
        <v/>
      </c>
      <c r="F6" s="1599">
        <f>IF(F$2="Manual",F100,F77)</f>
        <v/>
      </c>
      <c r="G6" s="1599">
        <f>IF(G$2="Manual",G100,G77)</f>
        <v/>
      </c>
      <c r="H6" s="1601">
        <f>IF(H$2="Manual",H100,H77)</f>
        <v/>
      </c>
      <c r="I6" s="1601">
        <f>IF(I$2="Manual",I100,I77)</f>
        <v/>
      </c>
      <c r="J6" s="1567" t="n"/>
    </row>
    <row r="7">
      <c r="C7" s="634" t="inlineStr">
        <is>
          <t>Property Type</t>
        </is>
      </c>
      <c r="D7" s="747">
        <f>'Property Info'!B16</f>
        <v/>
      </c>
      <c r="E7" s="1570">
        <f>IF(E$2="Manual",E101,E78)</f>
        <v/>
      </c>
      <c r="F7" s="1578">
        <f>IF(F$2="Manual",F101,F78)</f>
        <v/>
      </c>
      <c r="G7" s="1578">
        <f>IF(G$2="Manual",G101,G78)</f>
        <v/>
      </c>
      <c r="H7" s="1601">
        <f>IF(H$2="Manual",H101,H78)</f>
        <v/>
      </c>
      <c r="I7" s="1601">
        <f>IF(I$2="Manual",I101,I78)</f>
        <v/>
      </c>
      <c r="J7" s="1570" t="n"/>
    </row>
    <row r="8">
      <c r="C8" s="634" t="inlineStr">
        <is>
          <t>Sale Date</t>
        </is>
      </c>
      <c r="D8" s="749" t="inlineStr">
        <is>
          <t>N/A</t>
        </is>
      </c>
      <c r="E8" s="1998">
        <f>IF(E$2="Manual",E102,E79)</f>
        <v/>
      </c>
      <c r="F8" s="1999">
        <f>IF(F$2="Manual",F102,F79)</f>
        <v/>
      </c>
      <c r="G8" s="1999">
        <f>IF(G$2="Manual",G102,G79)</f>
        <v/>
      </c>
      <c r="H8" s="2000">
        <f>IF(H$2="Manual",H102,H79)</f>
        <v/>
      </c>
      <c r="I8" s="2000">
        <f>IF(I$2="Manual",I102,I79)</f>
        <v/>
      </c>
      <c r="J8" s="1998" t="n"/>
    </row>
    <row r="9">
      <c r="C9" s="634" t="inlineStr">
        <is>
          <t>Sale Price</t>
        </is>
      </c>
      <c r="D9" s="2001" t="inlineStr">
        <is>
          <t>N/A</t>
        </is>
      </c>
      <c r="E9" s="2002">
        <f>IF(E$2="Manual",E103,E80)</f>
        <v/>
      </c>
      <c r="F9" s="2003">
        <f>IF(F$2="Manual",F103,F80)</f>
        <v/>
      </c>
      <c r="G9" s="2003">
        <f>IF(G$2="Manual",G103,G80)</f>
        <v/>
      </c>
      <c r="H9" s="2004">
        <f>IF(H$2="Manual",H103,H80)</f>
        <v/>
      </c>
      <c r="I9" s="2004">
        <f>IF(I$2="Manual",I103,I80)</f>
        <v/>
      </c>
      <c r="J9" s="2002" t="n"/>
    </row>
    <row r="10" hidden="1" s="1449">
      <c r="C10" s="634" t="inlineStr">
        <is>
          <t>Listing Price</t>
        </is>
      </c>
      <c r="D10" s="2001" t="inlineStr">
        <is>
          <t>N/A</t>
        </is>
      </c>
      <c r="E10" s="2002">
        <f>IF(E$2="Manual",E104,E81)</f>
        <v/>
      </c>
      <c r="F10" s="2003">
        <f>IF(F$2="Manual",F104,F81)</f>
        <v/>
      </c>
      <c r="G10" s="2003">
        <f>IF(G$2="Manual",G104,G81)</f>
        <v/>
      </c>
      <c r="H10" s="2004">
        <f>IF(H$2="Manual",H104,H81)</f>
        <v/>
      </c>
      <c r="I10" s="2004">
        <f>IF(I$2="Manual",I104,I81)</f>
        <v/>
      </c>
      <c r="J10" s="2002" t="n"/>
      <c r="K10" s="2002" t="n">
        <v>6769231</v>
      </c>
    </row>
    <row r="11" hidden="1" s="1449">
      <c r="C11" s="635" t="inlineStr">
        <is>
          <t>Days On Market</t>
        </is>
      </c>
      <c r="D11" s="749" t="inlineStr">
        <is>
          <t>N/A</t>
        </is>
      </c>
      <c r="E11" s="746">
        <f>IF(E$2="Manual",E105,E82)</f>
        <v/>
      </c>
      <c r="F11" s="740">
        <f>IF(F$2="Manual",F105,F82)</f>
        <v/>
      </c>
      <c r="G11" s="740">
        <f>IF(G$2="Manual",G105,G82)</f>
        <v/>
      </c>
      <c r="H11" s="772">
        <f>IF(H$2="Manual",H105,H82)</f>
        <v/>
      </c>
      <c r="I11" s="772">
        <f>IF(I$2="Manual",I105,I82)</f>
        <v/>
      </c>
      <c r="J11" s="1570" t="n"/>
    </row>
    <row r="12" hidden="1" ht="28.5" customHeight="1" s="1449">
      <c r="C12" s="634" t="inlineStr">
        <is>
          <t>Data Source</t>
        </is>
      </c>
      <c r="D12" s="751" t="inlineStr">
        <is>
          <t>Inspection, Lease, Site Plans, Assessor</t>
        </is>
      </c>
      <c r="E12" s="1567">
        <f>IF(E$2="Manual",E106,E83)</f>
        <v/>
      </c>
      <c r="F12" s="1599">
        <f>IF(F$2="Manual",F106,F83)</f>
        <v/>
      </c>
      <c r="G12" s="1599">
        <f>IF(G$2="Manual",G106,G83)</f>
        <v/>
      </c>
      <c r="H12" s="1585">
        <f>IF(H$2="Manual",H106,H83)</f>
        <v/>
      </c>
      <c r="I12" s="1585">
        <f>IF(I$2="Manual",I106,I83)</f>
        <v/>
      </c>
      <c r="J12" s="1567" t="n"/>
    </row>
    <row r="13">
      <c r="C13" s="634" t="inlineStr">
        <is>
          <t>Property Size (SF)</t>
        </is>
      </c>
      <c r="D13" s="752">
        <f>'Property Info'!B5</f>
        <v/>
      </c>
      <c r="E13" s="1565">
        <f>IF(E$2="Manual",E107,E84)</f>
        <v/>
      </c>
      <c r="F13" s="1606">
        <f>IF(F$2="Manual",F107,F84)</f>
        <v/>
      </c>
      <c r="G13" s="1606">
        <f>IF(G$2="Manual",G107,G84)</f>
        <v/>
      </c>
      <c r="H13" s="1597">
        <f>IF(H$2="Manual",H107,H84)</f>
        <v/>
      </c>
      <c r="I13" s="1597">
        <f>IF(I$2="Manual",I107,I84)</f>
        <v/>
      </c>
      <c r="J13" s="1565" t="n"/>
    </row>
    <row r="14">
      <c r="C14" s="634" t="inlineStr">
        <is>
          <t>Site Size (SF)</t>
        </is>
      </c>
      <c r="D14" s="753">
        <f>Export030823!L2</f>
        <v/>
      </c>
      <c r="E14" s="1565">
        <f>IF(E$2="Manual",E108,E85)</f>
        <v/>
      </c>
      <c r="F14" s="1606">
        <f>IF(F$2="Manual",F108,F85)</f>
        <v/>
      </c>
      <c r="G14" s="1606">
        <f>IF(G$2="Manual",G108,G85)</f>
        <v/>
      </c>
      <c r="H14" s="1597">
        <f>IF(H$2="Manual",H108,H85)</f>
        <v/>
      </c>
      <c r="I14" s="1597">
        <f>IF(I$2="Manual",I108,I85)</f>
        <v/>
      </c>
      <c r="J14" s="1565" t="n"/>
    </row>
    <row r="15" hidden="1" s="1449">
      <c r="C15" s="634" t="inlineStr">
        <is>
          <t>Parking Spaces</t>
        </is>
      </c>
      <c r="D15" s="754" t="n">
        <v>41</v>
      </c>
      <c r="E15" s="741" t="n"/>
      <c r="F15" s="741" t="n"/>
      <c r="G15" s="741" t="n"/>
      <c r="H15" s="742" t="n"/>
      <c r="I15" s="742" t="n"/>
      <c r="J15" s="1569" t="n"/>
    </row>
    <row r="16" hidden="1" ht="70.5" customHeight="1" s="1449">
      <c r="C16" s="634" t="inlineStr">
        <is>
          <t>Comments</t>
        </is>
      </c>
      <c r="D16" s="2005" t="n"/>
      <c r="E16" s="2006" t="n"/>
      <c r="F16" s="2006" t="n"/>
      <c r="G16" s="2006" t="n"/>
      <c r="H16" s="2006" t="n"/>
      <c r="I16" s="2006" t="n"/>
      <c r="J16" s="2007" t="n"/>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IF(E$2="Manual",E109,E86)</f>
        <v/>
      </c>
      <c r="F19" s="2011">
        <f>IF(F$2="Manual",F109,F86)</f>
        <v/>
      </c>
      <c r="G19" s="2011">
        <f>IF(G$2="Manual",G109,G86)</f>
        <v/>
      </c>
      <c r="H19" s="2011">
        <f>IF(H$2="Manual",H109,H86)</f>
        <v/>
      </c>
      <c r="I19" s="2011">
        <f>IF(I$2="Manual",I109,I86)</f>
        <v/>
      </c>
      <c r="J19" s="643" t="inlineStr">
        <is>
          <t>Leased Fee</t>
        </is>
      </c>
      <c r="K19" s="2012" t="n"/>
    </row>
    <row r="20">
      <c r="C20" s="634" t="inlineStr">
        <is>
          <t>Financing</t>
        </is>
      </c>
      <c r="D20" s="749" t="inlineStr">
        <is>
          <t>Market Based</t>
        </is>
      </c>
      <c r="E20" s="2013">
        <f>IF(E$2="Manual",E110,E87)</f>
        <v/>
      </c>
      <c r="F20" s="2013">
        <f>IF(F$2="Manual",F110,F87)</f>
        <v/>
      </c>
      <c r="G20" s="2013">
        <f>IF(G$2="Manual",G110,G87)</f>
        <v/>
      </c>
      <c r="H20" s="2013">
        <f>IF(H$2="Manual",H110,H87)</f>
        <v/>
      </c>
      <c r="I20" s="2013">
        <f>IF(I$2="Manual",I110,I87)</f>
        <v/>
      </c>
      <c r="J20" s="648" t="n"/>
      <c r="K20" s="2014" t="n"/>
    </row>
    <row r="21">
      <c r="C21" s="634" t="inlineStr">
        <is>
          <t>Terms/Conditions of Sale</t>
        </is>
      </c>
      <c r="D21" s="749" t="inlineStr">
        <is>
          <t>None</t>
        </is>
      </c>
      <c r="E21" s="2013">
        <f>IF(E$2="Manual",E111,E88)</f>
        <v/>
      </c>
      <c r="F21" s="2013">
        <f>IF(F$2="Manual",F111,F88)</f>
        <v/>
      </c>
      <c r="G21" s="2013">
        <f>IF(G$2="Manual",G111,G88)</f>
        <v/>
      </c>
      <c r="H21" s="2013">
        <f>IF(H$2="Manual",H111,H88)</f>
        <v/>
      </c>
      <c r="I21" s="2013">
        <f>IF(I$2="Manual",I111,I88)</f>
        <v/>
      </c>
      <c r="J21" s="646" t="inlineStr">
        <is>
          <t>Active Listing</t>
        </is>
      </c>
      <c r="K21" s="2014" t="n"/>
    </row>
    <row r="22">
      <c r="C22" s="634" t="inlineStr">
        <is>
          <t>Expenditures After Sale</t>
        </is>
      </c>
      <c r="D22" s="749" t="inlineStr">
        <is>
          <t>None</t>
        </is>
      </c>
      <c r="E22" s="2013">
        <f>IF(E$2="Manual",E112,E89)</f>
        <v/>
      </c>
      <c r="F22" s="2013">
        <f>IF(F$2="Manual",F112,F89)</f>
        <v/>
      </c>
      <c r="G22" s="2013">
        <f>IF(G$2="Manual",G112,G89)</f>
        <v/>
      </c>
      <c r="H22" s="2013">
        <f>IF(H$2="Manual",H112,H89)</f>
        <v/>
      </c>
      <c r="I22" s="2013">
        <f>IF(I$2="Manual",I112,I89)</f>
        <v/>
      </c>
      <c r="J22" s="648" t="n"/>
      <c r="K22" s="2014" t="n"/>
    </row>
    <row r="23">
      <c r="C23" s="634" t="inlineStr">
        <is>
          <t>Market Conditions</t>
        </is>
      </c>
      <c r="D23" s="749" t="inlineStr">
        <is>
          <t>N/A</t>
        </is>
      </c>
      <c r="E23" s="2013">
        <f>IF(E$2="Manual",E113,E90)</f>
        <v/>
      </c>
      <c r="F23" s="2013">
        <f>IF(F$2="Manual",F113,F90)</f>
        <v/>
      </c>
      <c r="G23" s="2013">
        <f>IF(G$2="Manual",G113,G90)</f>
        <v/>
      </c>
      <c r="H23" s="2013">
        <f>IF(H$2="Manual",H113,H90)</f>
        <v/>
      </c>
      <c r="I23" s="2013">
        <f>IF(I$2="Manual",I113,I90)</f>
        <v/>
      </c>
      <c r="J23" s="648" t="n"/>
      <c r="K23" s="2014" t="n"/>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t="n"/>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t="n"/>
    </row>
    <row r="26">
      <c r="C26" s="652" t="inlineStr">
        <is>
          <t>Quantitatively Adjusted Price</t>
        </is>
      </c>
      <c r="D26" s="759" t="n"/>
      <c r="E26" s="2018">
        <f>E17+(E17*E25)</f>
        <v/>
      </c>
      <c r="F26" s="2018">
        <f>F17+(F17*F25)</f>
        <v/>
      </c>
      <c r="G26" s="2018">
        <f>G17+(G17*G25)</f>
        <v/>
      </c>
      <c r="H26" s="2018">
        <f>H17+(H17*H25)</f>
        <v/>
      </c>
      <c r="I26" s="2018">
        <f>I17+(I17*I25)</f>
        <v/>
      </c>
      <c r="J26" s="651" t="n"/>
      <c r="K26" s="2019" t="n"/>
    </row>
    <row r="27">
      <c r="C27" s="802" t="inlineStr">
        <is>
          <t>Qualitative Adjustments</t>
        </is>
      </c>
      <c r="D27" s="803" t="n"/>
      <c r="E27" s="2020" t="n"/>
      <c r="F27" s="804" t="n"/>
      <c r="G27" s="804" t="n"/>
      <c r="H27" s="804" t="n"/>
      <c r="I27" s="804" t="n"/>
      <c r="J27" s="656" t="n"/>
      <c r="K27" s="2021" t="n"/>
    </row>
    <row r="28">
      <c r="C28" s="762">
        <f>Export030823!R1</f>
        <v/>
      </c>
      <c r="D28" s="764">
        <f>Export030823!R2</f>
        <v/>
      </c>
      <c r="E28" s="2013">
        <f>IF(E$2="Manual",E114,E91)</f>
        <v/>
      </c>
      <c r="F28" s="2013">
        <f>IF(F$2="Manual",F114,F91)</f>
        <v/>
      </c>
      <c r="G28" s="2013">
        <f>IF(G$2="Manual",G114,G91)</f>
        <v/>
      </c>
      <c r="H28" s="2013">
        <f>IF(H$2="Manual",H114,H91)</f>
        <v/>
      </c>
      <c r="I28" s="2013">
        <f>IF(I$2="Manual",I114,I91)</f>
        <v/>
      </c>
      <c r="J28" s="658" t="inlineStr">
        <is>
          <t>Good</t>
        </is>
      </c>
      <c r="K28" s="2022" t="n"/>
    </row>
    <row r="29">
      <c r="C29" s="763">
        <f>Export030823!S1</f>
        <v/>
      </c>
      <c r="D29" s="765">
        <f>'Property Info'!B5</f>
        <v/>
      </c>
      <c r="E29" s="2013">
        <f>IF(E$2="Manual",E115,E92)</f>
        <v/>
      </c>
      <c r="F29" s="2013">
        <f>IF(F$2="Manual",F115,F92)</f>
        <v/>
      </c>
      <c r="G29" s="2013">
        <f>IF(G$2="Manual",G115,G92)</f>
        <v/>
      </c>
      <c r="H29" s="2013">
        <f>IF(H$2="Manual",H115,H92)</f>
        <v/>
      </c>
      <c r="I29" s="2013">
        <f>IF(I$2="Manual",I115,I92)</f>
        <v/>
      </c>
      <c r="J29" s="659">
        <f>J13</f>
        <v/>
      </c>
      <c r="K29" s="2022" t="n"/>
    </row>
    <row r="30">
      <c r="C30" s="763">
        <f>Export030823!T1</f>
        <v/>
      </c>
      <c r="D30" s="788">
        <f>Export030823!T2</f>
        <v/>
      </c>
      <c r="E30" s="2013">
        <f>IF(E$2="Manual",E116,E93)</f>
        <v/>
      </c>
      <c r="F30" s="2013">
        <f>IF(F$2="Manual",F116,F93)</f>
        <v/>
      </c>
      <c r="G30" s="2013">
        <f>IF(G$2="Manual",G116,G93)</f>
        <v/>
      </c>
      <c r="H30" s="2013">
        <f>IF(H$2="Manual",H116,H93)</f>
        <v/>
      </c>
      <c r="I30" s="2013">
        <f>IF(I$2="Manual",I116,I93)</f>
        <v/>
      </c>
      <c r="J30" s="658" t="inlineStr">
        <is>
          <t>2019 / Very Good</t>
        </is>
      </c>
      <c r="K30" s="2022" t="n"/>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row>
    <row r="41">
      <c r="C41" s="1560" t="inlineStr">
        <is>
          <t>Building Area (SF)</t>
        </is>
      </c>
      <c r="D41" s="2032">
        <f>'Property Info'!B5</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Info'!B21</f>
        <v/>
      </c>
      <c r="E51" s="2039">
        <f>D51/D29</f>
        <v/>
      </c>
    </row>
    <row r="52">
      <c r="C52" s="725" t="inlineStr">
        <is>
          <t>Petition Value</t>
        </is>
      </c>
      <c r="D52" s="2040">
        <f>'Property Info'!B22</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n"/>
    </row>
    <row r="55">
      <c r="O55" s="1051" t="inlineStr">
        <is>
          <t>Search Radius</t>
        </is>
      </c>
      <c r="P55" s="1212" t="n"/>
    </row>
    <row r="56">
      <c r="O56" s="1051" t="inlineStr">
        <is>
          <t>SF Parameters</t>
        </is>
      </c>
      <c r="P56" s="1212" t="n"/>
    </row>
    <row r="57">
      <c r="O57" s="1051" t="inlineStr">
        <is>
          <t>Property Rights Conveyed</t>
        </is>
      </c>
      <c r="P57" s="1212" t="n"/>
    </row>
    <row r="58">
      <c r="O58" s="910" t="inlineStr">
        <is>
          <t>COMPARABLES UTILIZED</t>
        </is>
      </c>
      <c r="P58" s="910" t="n"/>
    </row>
    <row r="59">
      <c r="O59" s="1051" t="inlineStr">
        <is>
          <t>Sales</t>
        </is>
      </c>
      <c r="P59" s="1496" t="n"/>
    </row>
    <row r="60">
      <c r="O60" s="1052" t="inlineStr">
        <is>
          <t>Confirmations</t>
        </is>
      </c>
      <c r="P60" s="1334" t="n"/>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c r="T67" s="1338" t="n"/>
    </row>
    <row r="68">
      <c r="R68" s="1335" t="n">
        <v>3</v>
      </c>
      <c r="S68" s="1786">
        <f>G36</f>
        <v/>
      </c>
      <c r="T68" s="1335" t="inlineStr">
        <is>
          <t>Above</t>
        </is>
      </c>
    </row>
    <row r="69">
      <c r="R69" s="1339" t="n">
        <v>1</v>
      </c>
      <c r="S69" s="1791">
        <f>E36</f>
        <v/>
      </c>
      <c r="T69" s="1339" t="inlineStr">
        <is>
          <t>Above</t>
        </is>
      </c>
    </row>
    <row r="70" hidden="1" s="1449">
      <c r="R70" s="911" t="n">
        <v>1</v>
      </c>
      <c r="S70" s="2043" t="n"/>
      <c r="T70" s="911" t="inlineStr">
        <is>
          <t>Inferior</t>
        </is>
      </c>
    </row>
    <row r="73">
      <c r="C73" s="2486" t="inlineStr">
        <is>
          <t>AUTO-SELECTED COMPS  (what the picker fed in - reference only)</t>
        </is>
      </c>
    </row>
    <row r="74">
      <c r="E74" s="2487" t="inlineStr">
        <is>
          <t>Sale 1</t>
        </is>
      </c>
      <c r="F74" s="2487" t="inlineStr">
        <is>
          <t>Sale 2</t>
        </is>
      </c>
      <c r="G74" s="2487" t="inlineStr">
        <is>
          <t>Sale 3</t>
        </is>
      </c>
      <c r="H74" s="2487" t="inlineStr">
        <is>
          <t>Sale 4</t>
        </is>
      </c>
      <c r="I74" s="2487" t="inlineStr">
        <is>
          <t>Sale 5</t>
        </is>
      </c>
    </row>
    <row r="75">
      <c r="C75" s="2488" t="inlineStr">
        <is>
          <t>Address</t>
        </is>
      </c>
      <c r="E75" s="2489">
        <f>Export030823!B3</f>
        <v/>
      </c>
      <c r="F75" s="2489">
        <f>Export030823!B4</f>
        <v/>
      </c>
      <c r="G75" s="2489">
        <f>Export030823!B5</f>
        <v/>
      </c>
      <c r="H75" s="2489">
        <f>Export030823!B6</f>
        <v/>
      </c>
      <c r="I75" s="2489">
        <f>Export030823!B7</f>
        <v/>
      </c>
    </row>
    <row r="76">
      <c r="C76" s="2488" t="inlineStr">
        <is>
          <t>City, State</t>
        </is>
      </c>
      <c r="E76" s="2489">
        <f>Export030823!C3</f>
        <v/>
      </c>
      <c r="F76" s="2489">
        <f>Export030823!C4</f>
        <v/>
      </c>
      <c r="G76" s="2489">
        <f>Export030823!C5</f>
        <v/>
      </c>
      <c r="H76" s="2489">
        <f>Export030823!C6</f>
        <v/>
      </c>
      <c r="I76" s="2489">
        <f>Export030823!C7</f>
        <v/>
      </c>
    </row>
    <row r="77">
      <c r="C77" s="2488" t="inlineStr">
        <is>
          <t>Parcel Number</t>
        </is>
      </c>
      <c r="E77" s="2489">
        <f>Export030823!D3</f>
        <v/>
      </c>
      <c r="F77" s="2489">
        <f>Export030823!D4</f>
        <v/>
      </c>
      <c r="G77" s="2489">
        <f>Export030823!D5</f>
        <v/>
      </c>
      <c r="H77" s="2489">
        <f>Export030823!D6</f>
        <v/>
      </c>
      <c r="I77" s="2489">
        <f>Export030823!D7</f>
        <v/>
      </c>
    </row>
    <row r="78">
      <c r="C78" s="2488" t="inlineStr">
        <is>
          <t>Property Type</t>
        </is>
      </c>
      <c r="E78" s="2489">
        <f>Export030823!E3</f>
        <v/>
      </c>
      <c r="F78" s="2489">
        <f>Export030823!E4</f>
        <v/>
      </c>
      <c r="G78" s="2489">
        <f>Export030823!E5</f>
        <v/>
      </c>
      <c r="H78" s="2489">
        <f>Export030823!E6</f>
        <v/>
      </c>
      <c r="I78" s="2489">
        <f>Export030823!E7</f>
        <v/>
      </c>
    </row>
    <row r="79">
      <c r="C79" s="2488" t="inlineStr">
        <is>
          <t>Sale Date</t>
        </is>
      </c>
      <c r="E79" s="2490">
        <f>Export030823!F3</f>
        <v/>
      </c>
      <c r="F79" s="2490">
        <f>Export030823!F4</f>
        <v/>
      </c>
      <c r="G79" s="2490">
        <f>Export030823!F5</f>
        <v/>
      </c>
      <c r="H79" s="2490">
        <f>Export030823!F6</f>
        <v/>
      </c>
      <c r="I79" s="2490">
        <f>Export030823!F7</f>
        <v/>
      </c>
    </row>
    <row r="80">
      <c r="C80" s="2488" t="inlineStr">
        <is>
          <t>Sale Price</t>
        </is>
      </c>
      <c r="E80" s="2491">
        <f>Export030823!G3</f>
        <v/>
      </c>
      <c r="F80" s="2491">
        <f>Export030823!G4</f>
        <v/>
      </c>
      <c r="G80" s="2491">
        <f>Export030823!G5</f>
        <v/>
      </c>
      <c r="H80" s="2491">
        <f>Export030823!G6</f>
        <v/>
      </c>
      <c r="I80" s="2491">
        <f>Export030823!G7</f>
        <v/>
      </c>
    </row>
    <row r="81">
      <c r="C81" s="2488" t="inlineStr">
        <is>
          <t>Listing Price</t>
        </is>
      </c>
      <c r="E81" s="2491">
        <f>Export030823!I3</f>
        <v/>
      </c>
      <c r="F81" s="2491">
        <f>Export030823!I4</f>
        <v/>
      </c>
      <c r="G81" s="2491">
        <f>Export030823!I5</f>
        <v/>
      </c>
      <c r="H81" s="2491">
        <f>Export030823!I6</f>
        <v/>
      </c>
      <c r="I81" s="2491">
        <f>Export030823!I7</f>
        <v/>
      </c>
    </row>
    <row r="82">
      <c r="C82" s="2488" t="inlineStr">
        <is>
          <t>Days On Market</t>
        </is>
      </c>
      <c r="E82" s="2492">
        <f>Export030823!J3</f>
        <v/>
      </c>
      <c r="F82" s="2492">
        <f>Export030823!J4</f>
        <v/>
      </c>
      <c r="G82" s="2492">
        <f>Export030823!J5</f>
        <v/>
      </c>
      <c r="H82" s="2492">
        <f>Export030823!J6</f>
        <v/>
      </c>
      <c r="I82" s="2492">
        <f>Export030823!J7</f>
        <v/>
      </c>
    </row>
    <row r="83">
      <c r="C83" s="2488" t="inlineStr">
        <is>
          <t>Data Source</t>
        </is>
      </c>
      <c r="E83" s="2489" t="inlineStr">
        <is>
          <t>CoStar, Assessor, Deed</t>
        </is>
      </c>
      <c r="F83" s="2489" t="inlineStr">
        <is>
          <t>CoStar, Assessor, Deed</t>
        </is>
      </c>
      <c r="G83" s="2489" t="inlineStr">
        <is>
          <t>CoStar, Assessor, Deed</t>
        </is>
      </c>
      <c r="H83" s="2489" t="inlineStr">
        <is>
          <t>CoStar, Assessor, Deed</t>
        </is>
      </c>
      <c r="I83" s="2489" t="inlineStr">
        <is>
          <t>CoStar, Assessor, Offering Memorandum</t>
        </is>
      </c>
    </row>
    <row r="84">
      <c r="C84" s="2488" t="inlineStr">
        <is>
          <t>Property Size (SF)</t>
        </is>
      </c>
      <c r="E84" s="2492">
        <f>Export030823!K3</f>
        <v/>
      </c>
      <c r="F84" s="2492">
        <f>Export030823!K4</f>
        <v/>
      </c>
      <c r="G84" s="2492">
        <f>Export030823!K5</f>
        <v/>
      </c>
      <c r="H84" s="2492">
        <f>Export030823!K6</f>
        <v/>
      </c>
      <c r="I84" s="2492">
        <f>Export030823!K7</f>
        <v/>
      </c>
    </row>
    <row r="85">
      <c r="C85" s="2488" t="inlineStr">
        <is>
          <t>Site Size (SF)</t>
        </is>
      </c>
      <c r="E85" s="2492">
        <f>Export030823!L3</f>
        <v/>
      </c>
      <c r="F85" s="2492">
        <f>Export030823!L4</f>
        <v/>
      </c>
      <c r="G85" s="2492">
        <f>Export030823!L5</f>
        <v/>
      </c>
      <c r="H85" s="2492">
        <f>Export030823!L6</f>
        <v/>
      </c>
      <c r="I85" s="2492">
        <f>Export030823!L7</f>
        <v/>
      </c>
    </row>
    <row r="86">
      <c r="C86" s="2488" t="inlineStr">
        <is>
          <t>Sale Type</t>
        </is>
      </c>
      <c r="E86" s="2497">
        <f>Export030823!M3</f>
        <v/>
      </c>
      <c r="F86" s="2497">
        <f>Export030823!M4</f>
        <v/>
      </c>
      <c r="G86" s="2497">
        <f>Export030823!M5</f>
        <v/>
      </c>
      <c r="H86" s="2497">
        <f>Export030823!M6</f>
        <v/>
      </c>
      <c r="I86" s="2497">
        <f>Export030823!M7</f>
        <v/>
      </c>
    </row>
    <row r="87">
      <c r="C87" s="2488" t="inlineStr">
        <is>
          <t>Financing</t>
        </is>
      </c>
      <c r="E87" s="2497">
        <f>Export030823!N3</f>
        <v/>
      </c>
      <c r="F87" s="2497">
        <f>Export030823!N4</f>
        <v/>
      </c>
      <c r="G87" s="2497">
        <f>Export030823!N5</f>
        <v/>
      </c>
      <c r="H87" s="2497">
        <f>Export030823!N6</f>
        <v/>
      </c>
      <c r="I87" s="2497">
        <f>Export030823!N7</f>
        <v/>
      </c>
    </row>
    <row r="88">
      <c r="C88" s="2488" t="inlineStr">
        <is>
          <t>Terms/Conditions of Sale</t>
        </is>
      </c>
      <c r="E88" s="2497">
        <f>Export030823!O3</f>
        <v/>
      </c>
      <c r="F88" s="2497">
        <f>Export030823!O4</f>
        <v/>
      </c>
      <c r="G88" s="2497">
        <f>Export030823!O5</f>
        <v/>
      </c>
      <c r="H88" s="2497">
        <f>Export030823!O6</f>
        <v/>
      </c>
      <c r="I88" s="2497">
        <f>Export030823!O7</f>
        <v/>
      </c>
    </row>
    <row r="89">
      <c r="C89" s="2488" t="inlineStr">
        <is>
          <t>Expenditures After Sale</t>
        </is>
      </c>
      <c r="E89" s="2497">
        <f>Export030823!P3</f>
        <v/>
      </c>
      <c r="F89" s="2497">
        <f>Export030823!P4</f>
        <v/>
      </c>
      <c r="G89" s="2497">
        <f>Export030823!P5</f>
        <v/>
      </c>
      <c r="H89" s="2497">
        <f>Export030823!P6</f>
        <v/>
      </c>
      <c r="I89" s="2497">
        <f>Export030823!P7</f>
        <v/>
      </c>
    </row>
    <row r="90">
      <c r="C90" s="2488" t="inlineStr">
        <is>
          <t>Market Conditions</t>
        </is>
      </c>
      <c r="E90" s="2497">
        <f>Export030823!Q3</f>
        <v/>
      </c>
      <c r="F90" s="2497">
        <f>Export030823!Q4</f>
        <v/>
      </c>
      <c r="G90" s="2497">
        <f>Export030823!Q5</f>
        <v/>
      </c>
      <c r="H90" s="2497">
        <f>Export030823!Q6</f>
        <v/>
      </c>
      <c r="I90" s="2497">
        <f>Export030823!Q7</f>
        <v/>
      </c>
    </row>
    <row r="91">
      <c r="C91" s="2488">
        <f>Export030823!R1</f>
        <v/>
      </c>
      <c r="E91" s="2497">
        <f>Export030823!R3</f>
        <v/>
      </c>
      <c r="F91" s="2497">
        <f>Export030823!R4</f>
        <v/>
      </c>
      <c r="G91" s="2497">
        <f>Export030823!R5</f>
        <v/>
      </c>
      <c r="H91" s="2497">
        <f>Export030823!R6</f>
        <v/>
      </c>
      <c r="I91" s="2497">
        <f>Export030823!R7</f>
        <v/>
      </c>
    </row>
    <row r="92">
      <c r="C92" s="2488">
        <f>Export030823!S1</f>
        <v/>
      </c>
      <c r="E92" s="2497">
        <f>Export030823!S3</f>
        <v/>
      </c>
      <c r="F92" s="2497">
        <f>Export030823!S4</f>
        <v/>
      </c>
      <c r="G92" s="2497">
        <f>Export030823!S5</f>
        <v/>
      </c>
      <c r="H92" s="2497">
        <f>Export030823!S6</f>
        <v/>
      </c>
      <c r="I92" s="2497">
        <f>Export030823!S7</f>
        <v/>
      </c>
    </row>
    <row r="93">
      <c r="C93" s="2488">
        <f>Export030823!T1</f>
        <v/>
      </c>
      <c r="E93" s="2497">
        <f>Export030823!T3</f>
        <v/>
      </c>
      <c r="F93" s="2497">
        <f>Export030823!T4</f>
        <v/>
      </c>
      <c r="G93" s="2497">
        <f>Export030823!T5</f>
        <v/>
      </c>
      <c r="H93" s="2497">
        <f>Export030823!T6</f>
        <v/>
      </c>
      <c r="I93" s="2497">
        <f>Export030823!T7</f>
        <v/>
      </c>
    </row>
    <row r="96">
      <c r="C96" s="2486" t="inlineStr">
        <is>
          <t>MANUAL OVERRIDES  (type here; used when a sale's Source = Manual)</t>
        </is>
      </c>
    </row>
    <row r="97">
      <c r="E97" s="2487" t="inlineStr">
        <is>
          <t>Sale 1</t>
        </is>
      </c>
      <c r="F97" s="2487" t="inlineStr">
        <is>
          <t>Sale 2</t>
        </is>
      </c>
      <c r="G97" s="2487" t="inlineStr">
        <is>
          <t>Sale 3</t>
        </is>
      </c>
      <c r="H97" s="2487" t="inlineStr">
        <is>
          <t>Sale 4</t>
        </is>
      </c>
      <c r="I97" s="2487" t="inlineStr">
        <is>
          <t>Sale 5</t>
        </is>
      </c>
    </row>
    <row r="98">
      <c r="C98" s="2488" t="inlineStr">
        <is>
          <t>Address</t>
        </is>
      </c>
      <c r="E98" s="2493" t="n"/>
      <c r="F98" s="2493" t="n"/>
      <c r="G98" s="2493" t="n"/>
      <c r="H98" s="2493" t="n"/>
      <c r="I98" s="2493" t="n"/>
    </row>
    <row r="99">
      <c r="C99" s="2488" t="inlineStr">
        <is>
          <t>City, State</t>
        </is>
      </c>
      <c r="E99" s="2493" t="n"/>
      <c r="F99" s="2493" t="n"/>
      <c r="G99" s="2493" t="n"/>
      <c r="H99" s="2493" t="n"/>
      <c r="I99" s="2493" t="n"/>
    </row>
    <row r="100">
      <c r="C100" s="2488" t="inlineStr">
        <is>
          <t>Parcel Number</t>
        </is>
      </c>
      <c r="E100" s="2493" t="n"/>
      <c r="F100" s="2493" t="n"/>
      <c r="G100" s="2493" t="n"/>
      <c r="H100" s="2493" t="n"/>
      <c r="I100" s="2493" t="n"/>
    </row>
    <row r="101">
      <c r="C101" s="2488" t="inlineStr">
        <is>
          <t>Property Type</t>
        </is>
      </c>
      <c r="E101" s="2493" t="n"/>
      <c r="F101" s="2493" t="n"/>
      <c r="G101" s="2493" t="n"/>
      <c r="H101" s="2493" t="n"/>
      <c r="I101" s="2493" t="n"/>
    </row>
    <row r="102">
      <c r="C102" s="2488" t="inlineStr">
        <is>
          <t>Sale Date</t>
        </is>
      </c>
      <c r="E102" s="2494" t="n"/>
      <c r="F102" s="2494" t="n"/>
      <c r="G102" s="2494" t="n"/>
      <c r="H102" s="2494" t="n"/>
      <c r="I102" s="2494" t="n"/>
    </row>
    <row r="103">
      <c r="C103" s="2488" t="inlineStr">
        <is>
          <t>Sale Price</t>
        </is>
      </c>
      <c r="E103" s="2495" t="n"/>
      <c r="F103" s="2495" t="n"/>
      <c r="G103" s="2495" t="n"/>
      <c r="H103" s="2495" t="n"/>
      <c r="I103" s="2495" t="n"/>
    </row>
    <row r="104">
      <c r="C104" s="2488" t="inlineStr">
        <is>
          <t>Listing Price</t>
        </is>
      </c>
      <c r="E104" s="2495" t="n"/>
      <c r="F104" s="2495" t="n"/>
      <c r="G104" s="2495" t="n"/>
      <c r="H104" s="2495" t="n"/>
      <c r="I104" s="2495" t="n"/>
    </row>
    <row r="105">
      <c r="C105" s="2488" t="inlineStr">
        <is>
          <t>Days On Market</t>
        </is>
      </c>
      <c r="E105" s="2496" t="n"/>
      <c r="F105" s="2496" t="n"/>
      <c r="G105" s="2496" t="n"/>
      <c r="H105" s="2496" t="n"/>
      <c r="I105" s="2496" t="n"/>
    </row>
    <row r="106">
      <c r="C106" s="2488" t="inlineStr">
        <is>
          <t>Data Source</t>
        </is>
      </c>
      <c r="E106" s="2493" t="n"/>
      <c r="F106" s="2493" t="n"/>
      <c r="G106" s="2493" t="n"/>
      <c r="H106" s="2493" t="n"/>
      <c r="I106" s="2493" t="n"/>
    </row>
    <row r="107">
      <c r="C107" s="2488" t="inlineStr">
        <is>
          <t>Property Size (SF)</t>
        </is>
      </c>
      <c r="E107" s="2496" t="n"/>
      <c r="F107" s="2496" t="n"/>
      <c r="G107" s="2496" t="n"/>
      <c r="H107" s="2496" t="n"/>
      <c r="I107" s="2496" t="n"/>
    </row>
    <row r="108">
      <c r="C108" s="2488" t="inlineStr">
        <is>
          <t>Site Size (SF)</t>
        </is>
      </c>
      <c r="E108" s="2496" t="n"/>
      <c r="F108" s="2496" t="n"/>
      <c r="G108" s="2496" t="n"/>
      <c r="H108" s="2496" t="n"/>
      <c r="I108" s="2496" t="n"/>
    </row>
    <row r="109">
      <c r="C109" s="2488" t="inlineStr">
        <is>
          <t>Sale Type</t>
        </is>
      </c>
      <c r="E109" s="2498" t="n"/>
      <c r="F109" s="2498" t="n"/>
      <c r="G109" s="2498" t="n"/>
      <c r="H109" s="2498" t="n"/>
      <c r="I109" s="2498" t="n"/>
    </row>
    <row r="110">
      <c r="C110" s="2488" t="inlineStr">
        <is>
          <t>Financing</t>
        </is>
      </c>
      <c r="E110" s="2498" t="n"/>
      <c r="F110" s="2498" t="n"/>
      <c r="G110" s="2498" t="n"/>
      <c r="H110" s="2498" t="n"/>
      <c r="I110" s="2498" t="n"/>
    </row>
    <row r="111">
      <c r="C111" s="2488" t="inlineStr">
        <is>
          <t>Terms/Conditions of Sale</t>
        </is>
      </c>
      <c r="E111" s="2498" t="n"/>
      <c r="F111" s="2498" t="n"/>
      <c r="G111" s="2498" t="n"/>
      <c r="H111" s="2498" t="n"/>
      <c r="I111" s="2498" t="n"/>
    </row>
    <row r="112">
      <c r="C112" s="2488" t="inlineStr">
        <is>
          <t>Expenditures After Sale</t>
        </is>
      </c>
      <c r="E112" s="2498" t="n"/>
      <c r="F112" s="2498" t="n"/>
      <c r="G112" s="2498" t="n"/>
      <c r="H112" s="2498" t="n"/>
      <c r="I112" s="2498" t="n"/>
    </row>
    <row r="113">
      <c r="C113" s="2488" t="inlineStr">
        <is>
          <t>Market Conditions</t>
        </is>
      </c>
      <c r="E113" s="2498" t="n"/>
      <c r="F113" s="2498" t="n"/>
      <c r="G113" s="2498" t="n"/>
      <c r="H113" s="2498" t="n"/>
      <c r="I113" s="2498" t="n"/>
    </row>
    <row r="114">
      <c r="C114" s="2488">
        <f>Export030823!R1</f>
        <v/>
      </c>
      <c r="E114" s="2498" t="n"/>
      <c r="F114" s="2498" t="n"/>
      <c r="G114" s="2498" t="n"/>
      <c r="H114" s="2498" t="n"/>
      <c r="I114" s="2498" t="n"/>
    </row>
    <row r="115">
      <c r="C115" s="2488">
        <f>Export030823!S1</f>
        <v/>
      </c>
      <c r="E115" s="2498" t="n"/>
      <c r="F115" s="2498" t="n"/>
      <c r="G115" s="2498" t="n"/>
      <c r="H115" s="2498" t="n"/>
      <c r="I115" s="2498" t="n"/>
    </row>
    <row r="116">
      <c r="C116" s="2488">
        <f>Export030823!T1</f>
        <v/>
      </c>
      <c r="E116" s="2498" t="n"/>
      <c r="F116" s="2498" t="n"/>
      <c r="G116" s="2498" t="n"/>
      <c r="H116" s="2498" t="n"/>
      <c r="I116" s="2498" t="n"/>
    </row>
    <row r="118">
      <c r="C118" s="2460" t="inlineStr">
        <is>
          <t>Tip: keep Source on Auto to use the picker's comp. Switch a sale to Manual and type its column here to override - the main grid, adjustments and conclusion update with no formula edits.</t>
        </is>
      </c>
    </row>
  </sheetData>
  <mergeCells count="18">
    <mergeCell ref="J5:K5"/>
    <mergeCell ref="J14:K14"/>
    <mergeCell ref="J13:K13"/>
    <mergeCell ref="J9:K9"/>
    <mergeCell ref="J6:K6"/>
    <mergeCell ref="J15:K15"/>
    <mergeCell ref="C44:D44"/>
    <mergeCell ref="J4:K4"/>
    <mergeCell ref="J11:K11"/>
    <mergeCell ref="C2:D2"/>
    <mergeCell ref="J16:K16"/>
    <mergeCell ref="J7:K7"/>
    <mergeCell ref="C39:D39"/>
    <mergeCell ref="O52:P52"/>
    <mergeCell ref="J3:K3"/>
    <mergeCell ref="J12:K12"/>
    <mergeCell ref="R63:T63"/>
    <mergeCell ref="J8:K8"/>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3">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 sqref="E2 F2 G2 H2 I2" showDropDown="0" showInputMessage="1" showErrorMessage="0" allowBlank="0" promptTitle="Comp source" prompt="Auto = use the comp the picker selected. Manual = use the value you type in the MANUAL OVERRIDES block below. Nothing breaks either way." type="list">
      <formula1>"Auto,Manual"</formula1>
    </dataValidation>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120"/>
  <sheetViews>
    <sheetView showGridLines="0"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c r="E2" s="2485" t="inlineStr">
        <is>
          <t>Auto</t>
        </is>
      </c>
      <c r="G2" s="2485" t="inlineStr">
        <is>
          <t>Auto</t>
        </is>
      </c>
      <c r="I2" s="2485" t="inlineStr">
        <is>
          <t>Auto</t>
        </is>
      </c>
      <c r="K2" s="2485" t="inlineStr">
        <is>
          <t>Auto</t>
        </is>
      </c>
      <c r="M2" s="2485" t="inlineStr">
        <is>
          <t>Auto</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n"/>
      <c r="E4" s="1601">
        <f>IF(E$2="Manual",E98,E74)</f>
        <v/>
      </c>
      <c r="F4" s="1575" t="n"/>
      <c r="G4" s="1574">
        <f>IF(G$2="Manual",G98,G74)</f>
        <v/>
      </c>
      <c r="H4" s="1575" t="n"/>
      <c r="I4" s="1574">
        <f>IF(I$2="Manual",I98,I74)</f>
        <v/>
      </c>
      <c r="J4" s="1575" t="n"/>
      <c r="K4" s="1574">
        <f>IF(K$2="Manual",K98,K74)</f>
        <v/>
      </c>
      <c r="L4" s="1575" t="n"/>
      <c r="M4" s="1576">
        <f>IF(M$2="Manual",M98,M74)</f>
        <v/>
      </c>
      <c r="O4" s="1584" t="n"/>
    </row>
    <row r="5">
      <c r="C5" s="503" t="inlineStr">
        <is>
          <t>City, State</t>
        </is>
      </c>
      <c r="D5" s="504" t="n"/>
      <c r="E5" s="1601">
        <f>IF(E$2="Manual",E99,E75)</f>
        <v/>
      </c>
      <c r="F5" s="1575" t="n"/>
      <c r="G5" s="1574">
        <f>IF(G$2="Manual",G99,G75)</f>
        <v/>
      </c>
      <c r="H5" s="1575" t="n"/>
      <c r="I5" s="1574">
        <f>IF(I$2="Manual",I99,I75)</f>
        <v/>
      </c>
      <c r="J5" s="1575" t="n"/>
      <c r="K5" s="1574">
        <f>IF(K$2="Manual",K99,K75)</f>
        <v/>
      </c>
      <c r="L5" s="1575" t="n"/>
      <c r="M5" s="1576">
        <f>IF(M$2="Manual",M99,M75)</f>
        <v/>
      </c>
      <c r="O5" s="1584" t="n"/>
    </row>
    <row r="6">
      <c r="C6" s="503" t="inlineStr">
        <is>
          <t>Parcel Number</t>
        </is>
      </c>
      <c r="D6" s="505" t="n"/>
      <c r="E6" s="1585">
        <f>IF(E$2="Manual",E100,E76)</f>
        <v/>
      </c>
      <c r="F6" s="1575" t="n"/>
      <c r="G6" s="1574">
        <f>IF(G$2="Manual",G100,G76)</f>
        <v/>
      </c>
      <c r="H6" s="1575" t="n"/>
      <c r="I6" s="1574">
        <f>IF(I$2="Manual",I100,I76)</f>
        <v/>
      </c>
      <c r="J6" s="1575" t="n"/>
      <c r="K6" s="1574">
        <f>IF(K$2="Manual",K100,K76)</f>
        <v/>
      </c>
      <c r="L6" s="1575" t="n"/>
      <c r="M6" s="1543">
        <f>IF(M$2="Manual",M100,M76)</f>
        <v/>
      </c>
      <c r="O6" s="1584" t="n"/>
    </row>
    <row r="7">
      <c r="C7" s="503" t="inlineStr">
        <is>
          <t>Property Type</t>
        </is>
      </c>
      <c r="D7" s="505" t="n"/>
      <c r="E7" s="1578">
        <f>IF(E$2="Manual",E101,E77)</f>
        <v/>
      </c>
      <c r="G7" s="1574">
        <f>IF(G$2="Manual",G101,G77)</f>
        <v/>
      </c>
      <c r="H7" s="1575" t="n"/>
      <c r="I7" s="1576">
        <f>IF(I$2="Manual",I101,I77)</f>
        <v/>
      </c>
      <c r="K7" s="1574">
        <f>IF(K$2="Manual",K101,K77)</f>
        <v/>
      </c>
      <c r="L7" s="1575" t="n"/>
      <c r="M7" s="1576">
        <f>IF(M$2="Manual",M101,M77)</f>
        <v/>
      </c>
      <c r="O7" s="1584" t="n"/>
    </row>
    <row r="8">
      <c r="C8" s="503" t="inlineStr">
        <is>
          <t>Sale Date</t>
        </is>
      </c>
      <c r="D8" s="506" t="n"/>
      <c r="E8" s="1999">
        <f>IF(E$2="Manual",E102,E78)</f>
        <v/>
      </c>
      <c r="G8" s="2044">
        <f>IF(G$2="Manual",G102,G78)</f>
        <v/>
      </c>
      <c r="H8" s="1575" t="n"/>
      <c r="I8" s="2045">
        <f>IF(I$2="Manual",I102,I78)</f>
        <v/>
      </c>
      <c r="K8" s="2044">
        <f>IF(K$2="Manual",K102,K78)</f>
        <v/>
      </c>
      <c r="L8" s="1575" t="n"/>
      <c r="M8" s="2045">
        <f>IF(M$2="Manual",M102,M78)</f>
        <v/>
      </c>
      <c r="O8" s="2046" t="n"/>
    </row>
    <row r="9">
      <c r="C9" s="503" t="inlineStr">
        <is>
          <t>Sale Price</t>
        </is>
      </c>
      <c r="D9" s="2047" t="n"/>
      <c r="E9" s="2004">
        <f>IF(E$2="Manual",E103,E79)</f>
        <v/>
      </c>
      <c r="F9" s="1575" t="n"/>
      <c r="G9" s="2048">
        <f>IF(G$2="Manual",G103,G79)</f>
        <v/>
      </c>
      <c r="H9" s="1575" t="n"/>
      <c r="I9" s="2048">
        <f>IF(I$2="Manual",I103,I79)</f>
        <v/>
      </c>
      <c r="J9" s="1575" t="n"/>
      <c r="K9" s="2048">
        <f>IF(K$2="Manual",K103,K79)</f>
        <v/>
      </c>
      <c r="L9" s="1575" t="n"/>
      <c r="M9" s="2049">
        <f>IF(M$2="Manual",M103,M79)</f>
        <v/>
      </c>
      <c r="O9" s="2050" t="n"/>
    </row>
    <row r="10">
      <c r="C10" s="503" t="inlineStr">
        <is>
          <t>Listing Price</t>
        </is>
      </c>
      <c r="D10" s="2047" t="n"/>
      <c r="E10" s="2003">
        <f>IF(E$2="Manual",E104,E80)</f>
        <v/>
      </c>
      <c r="F10" s="2002" t="n"/>
      <c r="G10" s="2048">
        <f>IF(G$2="Manual",G104,G80)</f>
        <v/>
      </c>
      <c r="H10" s="1575" t="n"/>
      <c r="I10" s="2048">
        <f>IF(I$2="Manual",I104,I80)</f>
        <v/>
      </c>
      <c r="J10" s="1575" t="n"/>
      <c r="K10" s="2048">
        <f>IF(K$2="Manual",K104,K80)</f>
        <v/>
      </c>
      <c r="L10" s="1575" t="n"/>
      <c r="M10" s="2049">
        <f>IF(M$2="Manual",M104,M80)</f>
        <v/>
      </c>
      <c r="O10" s="2050" t="n"/>
    </row>
    <row r="11">
      <c r="C11" s="503" t="inlineStr">
        <is>
          <t>Days On Market</t>
        </is>
      </c>
      <c r="D11" s="506" t="n"/>
      <c r="E11" s="1578">
        <f>IF(E$2="Manual",E105,E81)</f>
        <v/>
      </c>
      <c r="G11" s="1574">
        <f>IF(G$2="Manual",G105,G81)</f>
        <v/>
      </c>
      <c r="H11" s="1575" t="n"/>
      <c r="I11" s="1574">
        <f>IF(I$2="Manual",I105,I81)</f>
        <v/>
      </c>
      <c r="J11" s="1575" t="n"/>
      <c r="K11" s="2051">
        <f>IF(K$2="Manual",K105,K81)</f>
        <v/>
      </c>
      <c r="L11" s="1575" t="n"/>
      <c r="M11" s="508">
        <f>IF(M$2="Manual",M105,M81)</f>
        <v/>
      </c>
      <c r="N11" s="1584" t="n"/>
      <c r="O11" s="1584" t="n"/>
    </row>
    <row r="12" ht="38.25" customHeight="1" s="1449">
      <c r="C12" s="503" t="inlineStr">
        <is>
          <t>Data Source</t>
        </is>
      </c>
      <c r="D12" s="510" t="n"/>
      <c r="E12" s="1599" t="n"/>
      <c r="G12" s="1589" t="n"/>
      <c r="H12" s="1575" t="n"/>
      <c r="I12" s="1587" t="n"/>
      <c r="K12" s="1589" t="n"/>
      <c r="L12" s="1575" t="n"/>
      <c r="M12" s="1587" t="n"/>
      <c r="O12" s="1590" t="n"/>
    </row>
    <row r="13">
      <c r="C13" s="503" t="inlineStr">
        <is>
          <t>Property Size (SF)</t>
        </is>
      </c>
      <c r="D13" s="511" t="n"/>
      <c r="E13" s="1597">
        <f>IF(E$2="Manual",E106,E82)</f>
        <v/>
      </c>
      <c r="F13" s="1575" t="n"/>
      <c r="G13" s="1583">
        <f>IF(G$2="Manual",G106,G82)</f>
        <v/>
      </c>
      <c r="H13" s="1575" t="n"/>
      <c r="I13" s="1583">
        <f>IF(I$2="Manual",I106,I82)</f>
        <v/>
      </c>
      <c r="J13" s="1575" t="n"/>
      <c r="K13" s="1583">
        <f>IF(K$2="Manual",K106,K82)</f>
        <v/>
      </c>
      <c r="L13" s="1575" t="n"/>
      <c r="M13" s="1586">
        <f>IF(M$2="Manual",M106,M82)</f>
        <v/>
      </c>
      <c r="O13" s="1573" t="n"/>
    </row>
    <row r="14">
      <c r="C14" s="503" t="inlineStr">
        <is>
          <t>Site Size (SF)</t>
        </is>
      </c>
      <c r="D14" s="511" t="n"/>
      <c r="E14" s="1606">
        <f>IF(E$2="Manual",E107,E83)</f>
        <v/>
      </c>
      <c r="G14" s="1583">
        <f>IF(G$2="Manual",G107,G83)</f>
        <v/>
      </c>
      <c r="H14" s="1575" t="n"/>
      <c r="I14" s="1586">
        <f>IF(I$2="Manual",I107,I83)</f>
        <v/>
      </c>
      <c r="K14" s="1583">
        <f>IF(K$2="Manual",K107,K83)</f>
        <v/>
      </c>
      <c r="L14" s="1575" t="n"/>
      <c r="M14" s="1586">
        <f>IF(M$2="Manual",M107,M83)</f>
        <v/>
      </c>
      <c r="O14" s="1573" t="n"/>
      <c r="V14" s="471" t="n"/>
    </row>
    <row r="15">
      <c r="C15" s="503" t="inlineStr">
        <is>
          <t>Parking Spaces</t>
        </is>
      </c>
      <c r="D15" s="511" t="n"/>
      <c r="E15" s="1588" t="n"/>
      <c r="G15" s="1583" t="n"/>
      <c r="H15" s="1575" t="n"/>
      <c r="I15" s="1583" t="n"/>
      <c r="J15" s="1575" t="n"/>
      <c r="K15" s="1583" t="n"/>
      <c r="L15" s="1575" t="n"/>
      <c r="M15" s="1586" t="n"/>
      <c r="O15" s="1573" t="n"/>
    </row>
    <row r="16" ht="72" customHeight="1" s="1449">
      <c r="C16" s="503" t="inlineStr">
        <is>
          <t>Comments</t>
        </is>
      </c>
      <c r="D16" s="2052" t="n"/>
      <c r="E16" s="2053" t="n"/>
      <c r="F16" s="1593" t="n"/>
      <c r="G16" s="2054" t="n"/>
      <c r="H16" s="1593" t="n"/>
      <c r="I16" s="2054" t="n"/>
      <c r="J16" s="1593" t="n"/>
      <c r="K16" s="2054" t="n"/>
      <c r="L16" s="1593" t="n"/>
      <c r="M16" s="2055" t="n"/>
      <c r="N16" s="1545" t="n"/>
      <c r="O16" s="2056" t="n"/>
    </row>
    <row r="17" ht="12.6" customHeight="1" s="1449">
      <c r="C17" s="513" t="inlineStr">
        <is>
          <t>Unadjusted Price Per SF</t>
        </is>
      </c>
      <c r="D17" s="1843" t="n"/>
      <c r="E17" s="515" t="n"/>
      <c r="F17" s="1844" t="n"/>
      <c r="G17" s="515" t="n"/>
      <c r="H17" s="1844" t="n"/>
      <c r="I17" s="517" t="n"/>
      <c r="J17" s="2057" t="n"/>
      <c r="K17" s="515" t="n"/>
      <c r="L17" s="2058" t="n"/>
      <c r="M17" s="517" t="n"/>
      <c r="N17" s="2057" t="n"/>
      <c r="O17" s="609" t="n"/>
      <c r="P17" s="2059" t="n"/>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n"/>
      <c r="E19" s="529">
        <f>IF(E$2="Manual",E108,E84)</f>
        <v/>
      </c>
      <c r="F19" s="2060" t="n"/>
      <c r="G19" s="529">
        <f>IF(G$2="Manual",G108,G84)</f>
        <v/>
      </c>
      <c r="H19" s="2060" t="n"/>
      <c r="I19" s="531">
        <f>IF(I$2="Manual",I108,I84)</f>
        <v/>
      </c>
      <c r="J19" s="2061" t="n"/>
      <c r="K19" s="529">
        <f>IF(K$2="Manual",K108,K84)</f>
        <v/>
      </c>
      <c r="L19" s="2062" t="n"/>
      <c r="M19" s="529">
        <f>IF(M$2="Manual",M108,M84)</f>
        <v/>
      </c>
      <c r="N19" s="2061" t="n"/>
      <c r="O19" s="611" t="n"/>
      <c r="P19" s="2063" t="n"/>
    </row>
    <row r="20">
      <c r="C20" s="534" t="inlineStr">
        <is>
          <t>Property Rights Conveyed Adjusted</t>
        </is>
      </c>
      <c r="D20" s="506" t="n"/>
      <c r="E20" s="531" t="n"/>
      <c r="F20" s="2064" t="n"/>
      <c r="G20" s="531" t="n"/>
      <c r="H20" s="2065" t="n"/>
      <c r="I20" s="531" t="n"/>
      <c r="J20" s="2065" t="n"/>
      <c r="K20" s="531" t="n"/>
      <c r="L20" s="2066" t="n"/>
      <c r="M20" s="531" t="n"/>
      <c r="N20" s="2065" t="n"/>
      <c r="O20" s="611" t="n"/>
      <c r="P20" s="2065" t="n"/>
    </row>
    <row r="21">
      <c r="C21" s="503" t="inlineStr">
        <is>
          <t>Financing</t>
        </is>
      </c>
      <c r="D21" s="506" t="n"/>
      <c r="E21" s="531">
        <f>IF(E$2="Manual",E109,E85)</f>
        <v/>
      </c>
      <c r="F21" s="2061" t="n"/>
      <c r="G21" s="531">
        <f>IF(G$2="Manual",G109,G85)</f>
        <v/>
      </c>
      <c r="H21" s="2061" t="n"/>
      <c r="I21" s="531">
        <f>IF(I$2="Manual",I109,I85)</f>
        <v/>
      </c>
      <c r="J21" s="2067" t="n"/>
      <c r="K21" s="531">
        <f>IF(K$2="Manual",K109,K85)</f>
        <v/>
      </c>
      <c r="L21" s="2068" t="n"/>
      <c r="M21" s="531">
        <f>IF(M$2="Manual",M109,M85)</f>
        <v/>
      </c>
      <c r="N21" s="2067" t="n"/>
      <c r="O21" s="613" t="n"/>
      <c r="P21" s="2067" t="n"/>
    </row>
    <row r="22">
      <c r="C22" s="534" t="inlineStr">
        <is>
          <t>Financing Adjusted</t>
        </is>
      </c>
      <c r="D22" s="506" t="n"/>
      <c r="E22" s="531" t="n"/>
      <c r="F22" s="2064" t="n"/>
      <c r="G22" s="531" t="n"/>
      <c r="H22" s="2064" t="n"/>
      <c r="I22" s="531" t="n"/>
      <c r="J22" s="2065" t="n"/>
      <c r="K22" s="531" t="n"/>
      <c r="L22" s="2069" t="n"/>
      <c r="M22" s="531" t="n"/>
      <c r="N22" s="2065" t="n"/>
      <c r="O22" s="611" t="n"/>
      <c r="P22" s="2065" t="n"/>
    </row>
    <row r="23">
      <c r="C23" s="503" t="inlineStr">
        <is>
          <t>Terms/Conditions of Sale</t>
        </is>
      </c>
      <c r="D23" s="506" t="n"/>
      <c r="E23" s="531">
        <f>IF(E$2="Manual",E110,E86)</f>
        <v/>
      </c>
      <c r="F23" s="2061" t="n"/>
      <c r="G23" s="531">
        <f>IF(G$2="Manual",G110,G86)</f>
        <v/>
      </c>
      <c r="H23" s="2061" t="n"/>
      <c r="I23" s="531">
        <f>IF(I$2="Manual",I110,I86)</f>
        <v/>
      </c>
      <c r="J23" s="2067" t="n"/>
      <c r="K23" s="531">
        <f>IF(K$2="Manual",K110,K86)</f>
        <v/>
      </c>
      <c r="L23" s="2068" t="n"/>
      <c r="M23" s="531">
        <f>IF(M$2="Manual",M110,M86)</f>
        <v/>
      </c>
      <c r="N23" s="2067" t="n"/>
      <c r="O23" s="613" t="n"/>
      <c r="P23" s="2067" t="n"/>
    </row>
    <row r="24">
      <c r="C24" s="534" t="inlineStr">
        <is>
          <t>Terms/Conditions of Sale Adjusted</t>
        </is>
      </c>
      <c r="D24" s="506" t="n"/>
      <c r="E24" s="531" t="n"/>
      <c r="F24" s="2064" t="n"/>
      <c r="G24" s="531" t="n"/>
      <c r="H24" s="2064" t="n"/>
      <c r="I24" s="531" t="n"/>
      <c r="J24" s="2065" t="n"/>
      <c r="K24" s="531" t="n"/>
      <c r="L24" s="2069" t="n"/>
      <c r="M24" s="531" t="n"/>
      <c r="N24" s="2065" t="n"/>
      <c r="O24" s="611" t="n"/>
      <c r="P24" s="2065" t="n"/>
    </row>
    <row r="25">
      <c r="C25" s="503" t="inlineStr">
        <is>
          <t>Expenditures After Sale</t>
        </is>
      </c>
      <c r="D25" s="506" t="n"/>
      <c r="E25" s="531">
        <f>IF(E$2="Manual",E111,E87)</f>
        <v/>
      </c>
      <c r="F25" s="2061" t="n"/>
      <c r="G25" s="531">
        <f>IF(G$2="Manual",G111,G87)</f>
        <v/>
      </c>
      <c r="H25" s="2061" t="n"/>
      <c r="I25" s="531">
        <f>IF(I$2="Manual",I111,I87)</f>
        <v/>
      </c>
      <c r="J25" s="2067" t="n"/>
      <c r="K25" s="531">
        <f>IF(K$2="Manual",K111,K87)</f>
        <v/>
      </c>
      <c r="L25" s="2068" t="n"/>
      <c r="M25" s="531">
        <f>IF(M$2="Manual",M111,M87)</f>
        <v/>
      </c>
      <c r="N25" s="2067" t="n"/>
      <c r="O25" s="613" t="n"/>
      <c r="P25" s="2067" t="n"/>
    </row>
    <row r="26">
      <c r="C26" s="534" t="inlineStr">
        <is>
          <t>Expenditures After Sale Adjusted</t>
        </is>
      </c>
      <c r="D26" s="506" t="n"/>
      <c r="E26" s="531" t="n"/>
      <c r="F26" s="2064" t="n"/>
      <c r="G26" s="531" t="n"/>
      <c r="H26" s="2064" t="n"/>
      <c r="I26" s="531" t="n"/>
      <c r="J26" s="2065" t="n"/>
      <c r="K26" s="531" t="n"/>
      <c r="L26" s="2069" t="n"/>
      <c r="M26" s="531" t="n"/>
      <c r="N26" s="2065" t="n"/>
      <c r="O26" s="611" t="n"/>
      <c r="P26" s="2065" t="n"/>
    </row>
    <row r="27" ht="15" customHeight="1" s="1449">
      <c r="C27" s="503" t="inlineStr">
        <is>
          <t>Market Conditions</t>
        </is>
      </c>
      <c r="D27" s="506" t="n"/>
      <c r="E27" s="2070">
        <f>IF(E$2="Manual",E112,E88)</f>
        <v/>
      </c>
      <c r="F27" s="2061" t="n"/>
      <c r="G27" s="2070">
        <f>IF(G$2="Manual",G112,G88)</f>
        <v/>
      </c>
      <c r="H27" s="2061" t="n"/>
      <c r="I27" s="2070">
        <f>IF(I$2="Manual",I112,I88)</f>
        <v/>
      </c>
      <c r="J27" s="2067" t="n"/>
      <c r="K27" s="2070">
        <f>IF(K$2="Manual",K112,K88)</f>
        <v/>
      </c>
      <c r="L27" s="2068" t="n"/>
      <c r="M27" s="2070">
        <f>IF(M$2="Manual",M112,M88)</f>
        <v/>
      </c>
      <c r="N27" s="2067" t="n"/>
      <c r="O27" s="2071" t="n"/>
      <c r="P27" s="2067" t="n"/>
    </row>
    <row r="28">
      <c r="C28" s="534" t="inlineStr">
        <is>
          <t>Market Conditions Adjusted</t>
        </is>
      </c>
      <c r="D28" s="506" t="n"/>
      <c r="E28" s="531" t="n"/>
      <c r="F28" s="2064" t="n"/>
      <c r="G28" s="531" t="n"/>
      <c r="H28" s="2064" t="n"/>
      <c r="I28" s="531" t="n"/>
      <c r="J28" s="2065" t="n"/>
      <c r="K28" s="531" t="n"/>
      <c r="L28" s="2069" t="n"/>
      <c r="M28" s="531" t="n"/>
      <c r="N28" s="2065" t="n"/>
      <c r="O28" s="611" t="n"/>
      <c r="P28" s="2065" t="n"/>
    </row>
    <row r="29" ht="12.6" customHeight="1" s="1449">
      <c r="C29" s="542" t="inlineStr">
        <is>
          <t>Total Quantified Adjustment</t>
        </is>
      </c>
      <c r="D29" s="543" t="n"/>
      <c r="E29" s="544" t="n"/>
      <c r="F29" s="545" t="n"/>
      <c r="G29" s="544" t="n"/>
      <c r="H29" s="545" t="n"/>
      <c r="I29" s="517" t="n"/>
      <c r="J29" s="546" t="n"/>
      <c r="K29" s="544" t="n"/>
      <c r="L29" s="547" t="n"/>
      <c r="M29" s="517" t="n"/>
      <c r="N29" s="546" t="n"/>
      <c r="O29" s="609" t="n"/>
      <c r="P29" s="615" t="n"/>
    </row>
    <row r="30" ht="12.6" customHeight="1" s="1449">
      <c r="C30" s="548" t="inlineStr">
        <is>
          <t>Quantitatively Adjusted Price</t>
        </is>
      </c>
      <c r="D30" s="549" t="n"/>
      <c r="E30" s="544" t="n"/>
      <c r="F30" s="1863" t="n"/>
      <c r="G30" s="544" t="n"/>
      <c r="H30" s="1863" t="n"/>
      <c r="I30" s="517" t="n"/>
      <c r="J30" s="1862" t="n"/>
      <c r="K30" s="544" t="n"/>
      <c r="L30" s="1861" t="n"/>
      <c r="M30" s="517" t="n"/>
      <c r="N30" s="1862" t="n"/>
      <c r="O30" s="609" t="n"/>
      <c r="P30" s="2072" t="n"/>
    </row>
    <row r="31">
      <c r="C31" s="553" t="inlineStr">
        <is>
          <t>Qualitative Adjustments</t>
        </is>
      </c>
      <c r="D31" s="554" t="n"/>
      <c r="E31" s="555" t="n"/>
      <c r="F31" s="2073" t="n"/>
      <c r="G31" s="555" t="n"/>
      <c r="H31" s="2073" t="n"/>
      <c r="I31" s="555" t="n"/>
      <c r="J31" s="2073" t="n"/>
      <c r="K31" s="555" t="n"/>
      <c r="L31" s="2074" t="n"/>
      <c r="M31" s="555" t="n"/>
      <c r="N31" s="2073" t="n"/>
      <c r="O31" s="617" t="n"/>
      <c r="P31" s="2073" t="n"/>
    </row>
    <row r="32" ht="15.75" customHeight="1" s="1449">
      <c r="C32" s="558" t="inlineStr">
        <is>
          <t>Location</t>
        </is>
      </c>
      <c r="D32" s="559" t="n"/>
      <c r="E32" s="560">
        <f>IF(E$2="Manual",E113,E89)</f>
        <v/>
      </c>
      <c r="F32" s="1866" t="n"/>
      <c r="G32" s="560">
        <f>IF(G$2="Manual",G113,G89)</f>
        <v/>
      </c>
      <c r="H32" s="1866" t="n"/>
      <c r="I32" s="560">
        <f>IF(I$2="Manual",I113,I89)</f>
        <v/>
      </c>
      <c r="J32" s="1866" t="n"/>
      <c r="K32" s="560">
        <f>IF(K$2="Manual",K113,K89)</f>
        <v/>
      </c>
      <c r="L32" s="2075" t="n"/>
      <c r="M32" s="560">
        <f>IF(M$2="Manual",M113,M89)</f>
        <v/>
      </c>
      <c r="N32" s="1866" t="n"/>
      <c r="O32" s="618" t="n"/>
      <c r="P32" s="1866" t="n"/>
    </row>
    <row r="33" hidden="1" ht="12.6" customHeight="1" s="1449">
      <c r="C33" s="563" t="inlineStr">
        <is>
          <t>Distance from Subject</t>
        </is>
      </c>
      <c r="D33" s="564" t="n"/>
      <c r="E33" s="564" t="n"/>
      <c r="F33" s="2067" t="n"/>
      <c r="G33" s="564" t="n"/>
      <c r="H33" s="2067" t="n"/>
      <c r="I33" s="564" t="n"/>
      <c r="J33" s="2067" t="n"/>
      <c r="K33" s="564" t="n"/>
      <c r="L33" s="2076" t="n"/>
      <c r="M33" s="564" t="n"/>
      <c r="N33" s="2067" t="n"/>
      <c r="O33" s="619" t="n"/>
      <c r="P33" s="2067" t="n"/>
    </row>
    <row r="34">
      <c r="C34" s="563" t="inlineStr">
        <is>
          <t>Surrounding Land Uses</t>
        </is>
      </c>
      <c r="D34" s="564" t="n"/>
      <c r="E34" s="564" t="n"/>
      <c r="F34" s="2067" t="n"/>
      <c r="G34" s="564" t="n"/>
      <c r="H34" s="2067" t="n"/>
      <c r="I34" s="564" t="n"/>
      <c r="J34" s="2067" t="n"/>
      <c r="K34" s="564" t="n"/>
      <c r="L34" s="2076" t="n"/>
      <c r="M34" s="564" t="n"/>
      <c r="N34" s="2067" t="n"/>
      <c r="O34" s="619" t="n"/>
      <c r="P34" s="2067" t="n"/>
    </row>
    <row r="35">
      <c r="C35" s="563" t="inlineStr">
        <is>
          <t>Quality/Condition of Surrounding Area</t>
        </is>
      </c>
      <c r="D35" s="566" t="n"/>
      <c r="E35" s="566" t="n"/>
      <c r="F35" s="2067" t="n"/>
      <c r="G35" s="566" t="n"/>
      <c r="H35" s="2067" t="n"/>
      <c r="I35" s="566" t="n"/>
      <c r="J35" s="2067" t="n"/>
      <c r="K35" s="566" t="n"/>
      <c r="L35" s="2076" t="n"/>
      <c r="M35" s="566" t="n"/>
      <c r="N35" s="2067" t="n"/>
      <c r="O35" s="620" t="n"/>
      <c r="P35" s="2067" t="n"/>
    </row>
    <row r="36" hidden="1" ht="15" customHeight="1" s="1449">
      <c r="C36" s="563" t="inlineStr">
        <is>
          <t>Access to Commercial Services/Amenities</t>
        </is>
      </c>
      <c r="D36" s="566" t="n"/>
      <c r="E36" s="566" t="n"/>
      <c r="F36" s="2067" t="n"/>
      <c r="G36" s="566" t="n"/>
      <c r="H36" s="2067" t="n"/>
      <c r="I36" s="566" t="n"/>
      <c r="J36" s="2067" t="n"/>
      <c r="K36" s="566" t="n"/>
      <c r="L36" s="2076" t="n"/>
      <c r="M36" s="566" t="n"/>
      <c r="N36" s="2067" t="n"/>
      <c r="O36" s="620" t="n"/>
      <c r="P36" s="2067" t="n"/>
    </row>
    <row r="37" ht="45" customHeight="1" s="1449">
      <c r="C37" s="563" t="inlineStr">
        <is>
          <t>Visibility/Access</t>
        </is>
      </c>
      <c r="D37" s="567" t="n"/>
      <c r="E37" s="567" t="n"/>
      <c r="F37" s="2067" t="n"/>
      <c r="G37" s="567" t="n"/>
      <c r="H37" s="2067" t="n"/>
      <c r="I37" s="567" t="n"/>
      <c r="J37" s="2067" t="n"/>
      <c r="K37" s="567" t="n"/>
      <c r="L37" s="2076" t="n"/>
      <c r="M37" s="567" t="n"/>
      <c r="N37" s="2067" t="n"/>
      <c r="O37" s="621" t="n"/>
      <c r="P37" s="2067" t="n"/>
    </row>
    <row r="38" ht="105" customHeight="1" s="1449">
      <c r="C38" s="568" t="inlineStr">
        <is>
          <t>Demographics</t>
        </is>
      </c>
      <c r="D38" s="569" t="n"/>
      <c r="E38" s="569" t="n"/>
      <c r="F38" s="2067" t="n"/>
      <c r="G38" s="569" t="n"/>
      <c r="H38" s="2067" t="n"/>
      <c r="I38" s="569" t="n"/>
      <c r="J38" s="2067" t="n"/>
      <c r="K38" s="569" t="n"/>
      <c r="L38" s="2076" t="n"/>
      <c r="M38" s="569" t="n"/>
      <c r="N38" s="2067" t="n"/>
      <c r="O38" s="622" t="n"/>
      <c r="P38" s="2067" t="n"/>
    </row>
    <row r="39">
      <c r="C39" s="570" t="inlineStr">
        <is>
          <t>Property Size (SF)</t>
        </is>
      </c>
      <c r="D39" s="571" t="n"/>
      <c r="E39" s="571">
        <f>IF(E$2="Manual",E114,E90)</f>
        <v/>
      </c>
      <c r="F39" s="1866" t="n"/>
      <c r="G39" s="571">
        <f>IF(G$2="Manual",G114,G90)</f>
        <v/>
      </c>
      <c r="H39" s="1866" t="n"/>
      <c r="I39" s="571">
        <f>IF(I$2="Manual",I114,I90)</f>
        <v/>
      </c>
      <c r="J39" s="1866" t="n"/>
      <c r="K39" s="571">
        <f>IF(K$2="Manual",K114,K90)</f>
        <v/>
      </c>
      <c r="L39" s="2075" t="n"/>
      <c r="M39" s="571">
        <f>IF(M$2="Manual",M114,M90)</f>
        <v/>
      </c>
      <c r="N39" s="1866" t="n"/>
      <c r="O39" s="623" t="n"/>
      <c r="P39" s="1866" t="n"/>
    </row>
    <row r="40" ht="39" customHeight="1" s="1449">
      <c r="C40" s="572" t="inlineStr">
        <is>
          <t>YOC / Condition</t>
        </is>
      </c>
      <c r="D40" s="559" t="n"/>
      <c r="E40" s="600">
        <f>IF(E$2="Manual",E115,E91)</f>
        <v/>
      </c>
      <c r="F40" s="1866" t="n"/>
      <c r="G40" s="560">
        <f>IF(G$2="Manual",G115,G91)</f>
        <v/>
      </c>
      <c r="H40" s="1866" t="n"/>
      <c r="I40" s="600">
        <f>IF(I$2="Manual",I115,I91)</f>
        <v/>
      </c>
      <c r="J40" s="1866" t="n"/>
      <c r="K40" s="560">
        <f>IF(K$2="Manual",K115,K91)</f>
        <v/>
      </c>
      <c r="L40" s="2075" t="n"/>
      <c r="M40" s="560">
        <f>IF(M$2="Manual",M115,M91)</f>
        <v/>
      </c>
      <c r="N40" s="1866" t="n"/>
      <c r="O40" s="618" t="n"/>
      <c r="P40" s="1866" t="n"/>
    </row>
    <row r="41" ht="16.5" customHeight="1" s="1449">
      <c r="C41" s="558" t="inlineStr">
        <is>
          <t>Quality</t>
        </is>
      </c>
      <c r="D41" s="559" t="n"/>
      <c r="E41" s="560">
        <f>IF(E$2="Manual",E116,E92)</f>
        <v/>
      </c>
      <c r="F41" s="1866" t="n"/>
      <c r="G41" s="560">
        <f>IF(G$2="Manual",G116,G92)</f>
        <v/>
      </c>
      <c r="H41" s="1866" t="n"/>
      <c r="I41" s="560">
        <f>IF(I$2="Manual",I116,I92)</f>
        <v/>
      </c>
      <c r="J41" s="1866" t="n"/>
      <c r="K41" s="560">
        <f>IF(K$2="Manual",K116,K92)</f>
        <v/>
      </c>
      <c r="L41" s="2075" t="n"/>
      <c r="M41" s="560">
        <f>IF(M$2="Manual",M116,M92)</f>
        <v/>
      </c>
      <c r="N41" s="1866" t="n"/>
      <c r="O41" s="618" t="n"/>
      <c r="P41" s="1866" t="n"/>
    </row>
    <row r="42">
      <c r="C42" s="563" t="inlineStr">
        <is>
          <t>Frame</t>
        </is>
      </c>
      <c r="D42" s="564" t="n"/>
      <c r="E42" s="564" t="n"/>
      <c r="F42" s="2077" t="n"/>
      <c r="G42" s="564" t="n"/>
      <c r="H42" s="2077" t="n"/>
      <c r="I42" s="564" t="n"/>
      <c r="J42" s="2077" t="n"/>
      <c r="K42" s="564" t="n"/>
      <c r="L42" s="2078" t="n"/>
      <c r="M42" s="564" t="n"/>
      <c r="N42" s="2077" t="n"/>
      <c r="O42" s="619" t="n"/>
      <c r="P42" s="2077" t="n"/>
    </row>
    <row r="43">
      <c r="C43" s="563" t="inlineStr">
        <is>
          <t>Exterior</t>
        </is>
      </c>
      <c r="D43" s="564" t="n"/>
      <c r="E43" s="564" t="n"/>
      <c r="F43" s="2077" t="n"/>
      <c r="G43" s="564" t="n"/>
      <c r="H43" s="2077" t="n"/>
      <c r="I43" s="564" t="n"/>
      <c r="J43" s="2077" t="n"/>
      <c r="K43" s="564" t="n"/>
      <c r="L43" s="2078" t="n"/>
      <c r="M43" s="564" t="n"/>
      <c r="N43" s="2077" t="n"/>
      <c r="O43" s="619" t="n"/>
      <c r="P43" s="2077" t="n"/>
    </row>
    <row r="44">
      <c r="C44" s="563" t="inlineStr">
        <is>
          <t>Architectural Styling</t>
        </is>
      </c>
      <c r="D44" s="566" t="n"/>
      <c r="E44" s="566" t="n"/>
      <c r="F44" s="2077" t="n"/>
      <c r="G44" s="566" t="n"/>
      <c r="H44" s="2077" t="n"/>
      <c r="I44" s="566" t="n"/>
      <c r="J44" s="2077" t="n"/>
      <c r="K44" s="566" t="n"/>
      <c r="L44" s="2078" t="n"/>
      <c r="M44" s="566" t="n"/>
      <c r="N44" s="2077" t="n"/>
      <c r="O44" s="624" t="n"/>
      <c r="P44" s="2077" t="n"/>
    </row>
    <row r="45" ht="45" customHeight="1" s="1449">
      <c r="C45" s="563" t="inlineStr">
        <is>
          <t>Typical Interior Finishes</t>
        </is>
      </c>
      <c r="D45" s="575" t="n"/>
      <c r="E45" s="575" t="n"/>
      <c r="F45" s="2077" t="n"/>
      <c r="G45" s="575" t="n"/>
      <c r="H45" s="2077" t="n"/>
      <c r="I45" s="575" t="n"/>
      <c r="J45" s="2077" t="n"/>
      <c r="K45" s="575" t="n"/>
      <c r="L45" s="2078" t="n"/>
      <c r="M45" s="575" t="n"/>
      <c r="N45" s="2077" t="n"/>
      <c r="O45" s="624" t="n"/>
      <c r="P45" s="2077" t="n"/>
    </row>
    <row r="46" ht="19.5" customHeight="1" s="1449">
      <c r="C46" s="570" t="inlineStr">
        <is>
          <t>Parking Ratio (Per 1,000 SF)</t>
        </is>
      </c>
      <c r="D46" s="576" t="n"/>
      <c r="E46" s="577" t="n"/>
      <c r="F46" s="1866" t="n"/>
      <c r="G46" s="577" t="n"/>
      <c r="H46" s="1866" t="n"/>
      <c r="I46" s="577" t="n"/>
      <c r="J46" s="1866" t="n"/>
      <c r="K46" s="577" t="n"/>
      <c r="L46" s="2075" t="n"/>
      <c r="M46" s="577" t="n"/>
      <c r="N46" s="1866" t="n"/>
      <c r="O46" s="625" t="n"/>
      <c r="P46" s="1866" t="n"/>
    </row>
    <row r="47">
      <c r="C47" s="558" t="inlineStr">
        <is>
          <t>Tenancy / Occupancy</t>
        </is>
      </c>
      <c r="D47" s="559" t="n"/>
      <c r="E47" s="560">
        <f>IF(E$2="Manual",E117,E93)</f>
        <v/>
      </c>
      <c r="F47" s="1866" t="n"/>
      <c r="G47" s="560">
        <f>IF(G$2="Manual",G117,G93)</f>
        <v/>
      </c>
      <c r="H47" s="1866" t="n"/>
      <c r="I47" s="560">
        <f>IF(I$2="Manual",I117,I93)</f>
        <v/>
      </c>
      <c r="J47" s="1866" t="n"/>
      <c r="K47" s="560">
        <f>IF(K$2="Manual",K117,K93)</f>
        <v/>
      </c>
      <c r="L47" s="2075" t="n"/>
      <c r="M47" s="560">
        <f>IF(M$2="Manual",M117,M93)</f>
        <v/>
      </c>
      <c r="N47" s="1866" t="n"/>
      <c r="O47" s="618" t="n"/>
      <c r="P47" s="1866" t="n"/>
    </row>
    <row r="48">
      <c r="C48" s="563" t="inlineStr">
        <is>
          <t>Occupancy</t>
        </is>
      </c>
      <c r="D48" s="575" t="n"/>
      <c r="E48" s="566" t="n"/>
      <c r="F48" s="2077" t="n"/>
      <c r="G48" s="566" t="n"/>
      <c r="H48" s="2077" t="n"/>
      <c r="I48" s="566" t="n"/>
      <c r="J48" s="2077" t="n"/>
      <c r="K48" s="566" t="n"/>
      <c r="L48" s="2078" t="n"/>
      <c r="M48" s="566" t="n"/>
      <c r="N48" s="2077" t="n"/>
      <c r="O48" s="620" t="n"/>
      <c r="P48" s="2077" t="n"/>
    </row>
    <row r="49" ht="30" customHeight="1" s="1449">
      <c r="C49" s="563" t="inlineStr">
        <is>
          <t>Tenant Risk</t>
        </is>
      </c>
      <c r="D49" s="566" t="n"/>
      <c r="E49" s="566" t="n"/>
      <c r="F49" s="2077" t="n"/>
      <c r="G49" s="566" t="n"/>
      <c r="H49" s="2077" t="n"/>
      <c r="I49" s="566" t="n"/>
      <c r="J49" s="2077" t="n"/>
      <c r="K49" s="575" t="n"/>
      <c r="L49" s="2078" t="n"/>
      <c r="M49" s="575" t="n"/>
      <c r="N49" s="2077" t="n"/>
      <c r="O49" s="620" t="n"/>
      <c r="P49" s="2077" t="n"/>
    </row>
    <row r="50" ht="12.6" customHeight="1" s="1449">
      <c r="C50" s="563" t="inlineStr">
        <is>
          <t>Overall Cap Rate</t>
        </is>
      </c>
      <c r="D50" s="578" t="n"/>
      <c r="E50" s="579" t="n"/>
      <c r="F50" s="2077" t="n"/>
      <c r="G50" s="579" t="n"/>
      <c r="H50" s="2077" t="n"/>
      <c r="I50" s="579" t="n"/>
      <c r="J50" s="2077" t="n"/>
      <c r="K50" s="579" t="n"/>
      <c r="L50" s="2078" t="n"/>
      <c r="M50" s="579" t="n"/>
      <c r="N50" s="2077" t="n"/>
      <c r="O50" s="626" t="n"/>
      <c r="P50" s="2077" t="n"/>
    </row>
    <row r="51" hidden="1" ht="12.6" customHeight="1" s="1449">
      <c r="C51" s="563" t="inlineStr">
        <is>
          <t>Years Remaining</t>
        </is>
      </c>
      <c r="D51" s="578" t="n"/>
      <c r="E51" s="2079" t="n"/>
      <c r="F51" s="2077" t="n"/>
      <c r="G51" s="2079" t="n"/>
      <c r="H51" s="2077" t="n"/>
      <c r="I51" s="2079" t="n"/>
      <c r="J51" s="2077" t="n"/>
      <c r="K51" s="2079" t="n"/>
      <c r="L51" s="2078" t="n"/>
      <c r="M51" s="2079" t="n"/>
      <c r="N51" s="2077" t="n"/>
      <c r="O51" s="2080" t="n"/>
      <c r="P51" s="2077" t="n"/>
    </row>
    <row r="52" hidden="1" ht="12.6" customHeight="1" s="1449">
      <c r="C52" s="563" t="inlineStr">
        <is>
          <t>Renewal Options</t>
        </is>
      </c>
      <c r="D52" s="578" t="n"/>
      <c r="E52" s="2079" t="n"/>
      <c r="F52" s="2077" t="n"/>
      <c r="G52" s="2079" t="n"/>
      <c r="H52" s="2077" t="n"/>
      <c r="I52" s="2079" t="n"/>
      <c r="J52" s="2077" t="n"/>
      <c r="K52" s="2079" t="n"/>
      <c r="L52" s="2078" t="n"/>
      <c r="M52" s="2079" t="n"/>
      <c r="N52" s="2077" t="n"/>
      <c r="O52" s="2080" t="n"/>
      <c r="P52" s="2077" t="n"/>
    </row>
    <row r="53">
      <c r="C53" s="570" t="inlineStr">
        <is>
          <t>Functional Utility</t>
        </is>
      </c>
      <c r="D53" s="559" t="n"/>
      <c r="E53" s="581">
        <f>IF(E$2="Manual",E118,E94)</f>
        <v/>
      </c>
      <c r="F53" s="1873" t="n"/>
      <c r="G53" s="560">
        <f>IF(G$2="Manual",G118,G94)</f>
        <v/>
      </c>
      <c r="H53" s="1873" t="n"/>
      <c r="I53" s="560">
        <f>IF(I$2="Manual",I118,I94)</f>
        <v/>
      </c>
      <c r="J53" s="1873" t="n"/>
      <c r="K53" s="581">
        <f>IF(K$2="Manual",K118,K94)</f>
        <v/>
      </c>
      <c r="L53" s="2081" t="n"/>
      <c r="M53" s="560">
        <f>IF(M$2="Manual",M118,M94)</f>
        <v/>
      </c>
      <c r="N53" s="1873" t="n"/>
      <c r="O53" s="618" t="n"/>
      <c r="P53" s="1873" t="n"/>
    </row>
    <row r="54" ht="30" customHeight="1" s="1449">
      <c r="C54" s="563" t="inlineStr">
        <is>
          <t>Building Layout</t>
        </is>
      </c>
      <c r="D54" s="566" t="n"/>
      <c r="E54" s="566" t="n"/>
      <c r="F54" s="2077" t="n"/>
      <c r="G54" s="566" t="n"/>
      <c r="H54" s="2077" t="n"/>
      <c r="I54" s="575" t="n"/>
      <c r="J54" s="2077" t="n"/>
      <c r="K54" s="575" t="n"/>
      <c r="L54" s="2078" t="n"/>
      <c r="M54" s="575" t="n"/>
      <c r="N54" s="2077" t="n"/>
      <c r="O54" s="620" t="n"/>
      <c r="P54" s="2077" t="n"/>
    </row>
    <row r="55" ht="45" customHeight="1" s="1449">
      <c r="C55" s="563" t="inlineStr">
        <is>
          <t>Building Amenities</t>
        </is>
      </c>
      <c r="D55" s="584" t="n"/>
      <c r="E55" s="584" t="n"/>
      <c r="F55" s="2077" t="n"/>
      <c r="G55" s="584" t="n"/>
      <c r="H55" s="2077" t="n"/>
      <c r="I55" s="584" t="n"/>
      <c r="J55" s="2077" t="n"/>
      <c r="K55" s="584" t="n"/>
      <c r="L55" s="2078" t="n"/>
      <c r="M55" s="584" t="n"/>
      <c r="N55" s="2077" t="n"/>
      <c r="O55" s="624" t="n"/>
      <c r="P55" s="2077" t="n"/>
    </row>
    <row r="56">
      <c r="C56" s="563" t="inlineStr">
        <is>
          <t>Above/Below Grade Space</t>
        </is>
      </c>
      <c r="D56" s="584" t="n"/>
      <c r="E56" s="584" t="n"/>
      <c r="F56" s="2077" t="n"/>
      <c r="G56" s="584" t="n"/>
      <c r="H56" s="2077" t="n"/>
      <c r="I56" s="584" t="n"/>
      <c r="J56" s="2077" t="n"/>
      <c r="K56" s="584" t="n"/>
      <c r="L56" s="2078" t="n"/>
      <c r="M56" s="584" t="n"/>
      <c r="N56" s="2077" t="n"/>
      <c r="O56" s="628" t="n"/>
      <c r="P56" s="2077" t="n"/>
    </row>
    <row r="57" ht="30" customHeight="1" s="1449">
      <c r="C57" s="563" t="inlineStr">
        <is>
          <t>Site Improvements, Other</t>
        </is>
      </c>
      <c r="D57" s="584" t="n"/>
      <c r="E57" s="584" t="n"/>
      <c r="F57" s="2077" t="n"/>
      <c r="G57" s="584" t="n"/>
      <c r="H57" s="2077" t="n"/>
      <c r="I57" s="584" t="n"/>
      <c r="J57" s="2082" t="n"/>
      <c r="K57" s="584" t="n"/>
      <c r="L57" s="2078" t="n"/>
      <c r="M57" s="584" t="n"/>
      <c r="N57" s="2082" t="n"/>
      <c r="O57" s="628" t="n"/>
      <c r="P57" s="2077" t="n"/>
    </row>
    <row r="58" ht="12.6" customHeight="1" s="1449">
      <c r="C58" s="586" t="inlineStr">
        <is>
          <t>Total Non Quantified Adj.</t>
        </is>
      </c>
      <c r="D58" s="587" t="n"/>
      <c r="E58" s="588" t="n"/>
      <c r="F58" s="2083" t="n"/>
      <c r="G58" s="588" t="n"/>
      <c r="H58" s="2083" t="n"/>
      <c r="I58" s="590" t="n"/>
      <c r="J58" s="2084" t="n"/>
      <c r="K58" s="592" t="n"/>
      <c r="L58" s="2085" t="n"/>
      <c r="M58" s="590" t="n"/>
      <c r="N58" s="2084" t="n"/>
      <c r="O58" s="570" t="n"/>
      <c r="P58" s="2086" t="n"/>
    </row>
    <row r="59" ht="12.6" customHeight="1" s="1449">
      <c r="C59" s="594" t="inlineStr">
        <is>
          <t>Indication for Subject:</t>
        </is>
      </c>
      <c r="D59" s="595" t="n"/>
      <c r="E59" s="596" t="n"/>
      <c r="F59" s="1884" t="n"/>
      <c r="G59" s="596" t="n"/>
      <c r="H59" s="1884" t="n"/>
      <c r="I59" s="596" t="n"/>
      <c r="J59" s="2087" t="n"/>
      <c r="K59" s="596" t="n"/>
      <c r="L59" s="2088" t="n"/>
      <c r="M59" s="596" t="n"/>
      <c r="N59" s="2087" t="n"/>
      <c r="O59" s="630" t="n"/>
      <c r="P59" s="2089" t="n"/>
    </row>
    <row r="60">
      <c r="E60" s="358" t="n"/>
      <c r="G60" s="358" t="n"/>
      <c r="I60" s="358" t="n"/>
      <c r="K60" s="358" t="n"/>
      <c r="M60" s="358" t="n"/>
    </row>
    <row r="61">
      <c r="E61" s="2090" t="n"/>
    </row>
    <row r="62">
      <c r="E62" s="2091" t="n"/>
      <c r="F62" s="2037" t="n"/>
    </row>
    <row r="63">
      <c r="E63" s="2090" t="n"/>
    </row>
    <row r="64">
      <c r="E64" s="2092" t="n"/>
    </row>
    <row r="68">
      <c r="F68" s="2093" t="n"/>
    </row>
    <row r="72">
      <c r="C72" s="2486" t="inlineStr">
        <is>
          <t>AUTO-SELECTED COMPS  (what the picker fed in - reference only)</t>
        </is>
      </c>
    </row>
    <row r="73">
      <c r="E73" s="2487" t="inlineStr">
        <is>
          <t>Sale 1</t>
        </is>
      </c>
      <c r="G73" s="2487" t="inlineStr">
        <is>
          <t>Sale 2</t>
        </is>
      </c>
      <c r="I73" s="2487" t="inlineStr">
        <is>
          <t>Sale 3</t>
        </is>
      </c>
      <c r="K73" s="2487" t="inlineStr">
        <is>
          <t>Sale 4</t>
        </is>
      </c>
      <c r="M73" s="2487" t="inlineStr">
        <is>
          <t>Sale 5</t>
        </is>
      </c>
    </row>
    <row r="74">
      <c r="C74" s="2488" t="inlineStr">
        <is>
          <t>Address</t>
        </is>
      </c>
      <c r="E74" s="2489">
        <f>Export030823!B3</f>
        <v/>
      </c>
      <c r="G74" s="2489">
        <f>Export030823!B4</f>
        <v/>
      </c>
      <c r="I74" s="2489">
        <f>Export030823!B5</f>
        <v/>
      </c>
      <c r="K74" s="2489">
        <f>Export030823!B6</f>
        <v/>
      </c>
      <c r="M74" s="2489">
        <f>Export030823!B7</f>
        <v/>
      </c>
    </row>
    <row r="75">
      <c r="C75" s="2488" t="inlineStr">
        <is>
          <t>City, State</t>
        </is>
      </c>
      <c r="E75" s="2489">
        <f>Export030823!C3</f>
        <v/>
      </c>
      <c r="G75" s="2489">
        <f>Export030823!C4</f>
        <v/>
      </c>
      <c r="I75" s="2489">
        <f>Export030823!C5</f>
        <v/>
      </c>
      <c r="K75" s="2489">
        <f>Export030823!C6</f>
        <v/>
      </c>
      <c r="M75" s="2489">
        <f>Export030823!C7</f>
        <v/>
      </c>
    </row>
    <row r="76">
      <c r="C76" s="2488" t="inlineStr">
        <is>
          <t>Parcel Number</t>
        </is>
      </c>
      <c r="E76" s="2489">
        <f>Export030823!D3</f>
        <v/>
      </c>
      <c r="G76" s="2489">
        <f>Export030823!D4</f>
        <v/>
      </c>
      <c r="I76" s="2489">
        <f>Export030823!D5</f>
        <v/>
      </c>
      <c r="K76" s="2489">
        <f>Export030823!D6</f>
        <v/>
      </c>
      <c r="M76" s="2489">
        <f>Export030823!D7</f>
        <v/>
      </c>
    </row>
    <row r="77">
      <c r="C77" s="2488" t="inlineStr">
        <is>
          <t>Property Type</t>
        </is>
      </c>
      <c r="E77" s="2489">
        <f>Export030823!E3</f>
        <v/>
      </c>
      <c r="G77" s="2489">
        <f>Export030823!E4</f>
        <v/>
      </c>
      <c r="I77" s="2489">
        <f>Export030823!E5</f>
        <v/>
      </c>
      <c r="K77" s="2489">
        <f>Export030823!E6</f>
        <v/>
      </c>
      <c r="M77" s="2489">
        <f>Export030823!E7</f>
        <v/>
      </c>
    </row>
    <row r="78">
      <c r="C78" s="2488" t="inlineStr">
        <is>
          <t>Sale Date</t>
        </is>
      </c>
      <c r="E78" s="2490">
        <f>Export030823!F3</f>
        <v/>
      </c>
      <c r="G78" s="2490">
        <f>Export030823!F4</f>
        <v/>
      </c>
      <c r="I78" s="2490">
        <f>Export030823!F5</f>
        <v/>
      </c>
      <c r="K78" s="2490">
        <f>Export030823!F6</f>
        <v/>
      </c>
      <c r="M78" s="2490">
        <f>Export030823!F7</f>
        <v/>
      </c>
    </row>
    <row r="79">
      <c r="C79" s="2488" t="inlineStr">
        <is>
          <t>Sale Price</t>
        </is>
      </c>
      <c r="E79" s="2491">
        <f>Export030823!G3</f>
        <v/>
      </c>
      <c r="G79" s="2491">
        <f>Export030823!G4</f>
        <v/>
      </c>
      <c r="I79" s="2491">
        <f>Export030823!G5</f>
        <v/>
      </c>
      <c r="K79" s="2491">
        <f>Export030823!G6</f>
        <v/>
      </c>
      <c r="M79" s="2491">
        <f>Export030823!G7</f>
        <v/>
      </c>
    </row>
    <row r="80">
      <c r="C80" s="2488" t="inlineStr">
        <is>
          <t>Listing Price</t>
        </is>
      </c>
      <c r="E80" s="2491">
        <f>Export030823!I3</f>
        <v/>
      </c>
      <c r="G80" s="2491">
        <f>Export030823!I4</f>
        <v/>
      </c>
      <c r="I80" s="2491">
        <f>Export030823!I5</f>
        <v/>
      </c>
      <c r="K80" s="2491">
        <f>Export030823!I6</f>
        <v/>
      </c>
      <c r="M80" s="2491">
        <f>Export030823!I7</f>
        <v/>
      </c>
    </row>
    <row r="81">
      <c r="C81" s="2488" t="inlineStr">
        <is>
          <t>Days On Market</t>
        </is>
      </c>
      <c r="E81" s="2489">
        <f>Export030823!J3</f>
        <v/>
      </c>
      <c r="G81" s="2489">
        <f>Export030823!J4</f>
        <v/>
      </c>
      <c r="I81" s="2489">
        <f>Export030823!J5</f>
        <v/>
      </c>
      <c r="K81" s="2499">
        <f>Export030823!J6</f>
        <v/>
      </c>
      <c r="M81" s="2489">
        <f>Export030823!J7</f>
        <v/>
      </c>
    </row>
    <row r="82">
      <c r="C82" s="2488" t="inlineStr">
        <is>
          <t>Property Size (SF)</t>
        </is>
      </c>
      <c r="E82" s="2492">
        <f>Export030823!K3</f>
        <v/>
      </c>
      <c r="G82" s="2492">
        <f>Export030823!K4</f>
        <v/>
      </c>
      <c r="I82" s="2492">
        <f>Export030823!K5</f>
        <v/>
      </c>
      <c r="K82" s="2492">
        <f>Export030823!K6</f>
        <v/>
      </c>
      <c r="M82" s="2492">
        <f>Export030823!K7</f>
        <v/>
      </c>
    </row>
    <row r="83">
      <c r="C83" s="2488" t="inlineStr">
        <is>
          <t>Site Size (SF)</t>
        </is>
      </c>
      <c r="E83" s="2492">
        <f>Export030823!L3</f>
        <v/>
      </c>
      <c r="G83" s="2492">
        <f>Export030823!L4</f>
        <v/>
      </c>
      <c r="I83" s="2492">
        <f>Export030823!L5</f>
        <v/>
      </c>
      <c r="K83" s="2492">
        <f>Export030823!L6</f>
        <v/>
      </c>
      <c r="M83" s="2492">
        <f>Export030823!L7</f>
        <v/>
      </c>
    </row>
    <row r="84">
      <c r="C84" s="2488" t="inlineStr">
        <is>
          <t>Property Rights Conveyed</t>
        </is>
      </c>
      <c r="E84" s="2489">
        <f>Export030823!M3</f>
        <v/>
      </c>
      <c r="G84" s="2489">
        <f>Export030823!M4</f>
        <v/>
      </c>
      <c r="I84" s="2489">
        <f>Export030823!M5</f>
        <v/>
      </c>
      <c r="K84" s="2489">
        <f>Export030823!M6</f>
        <v/>
      </c>
      <c r="M84" s="2489">
        <f>Export030823!M7</f>
        <v/>
      </c>
    </row>
    <row r="85">
      <c r="C85" s="2488" t="inlineStr">
        <is>
          <t>Financing</t>
        </is>
      </c>
      <c r="E85" s="2489">
        <f>Export030823!N3</f>
        <v/>
      </c>
      <c r="G85" s="2489">
        <f>Export030823!N4</f>
        <v/>
      </c>
      <c r="I85" s="2489">
        <f>Export030823!N5</f>
        <v/>
      </c>
      <c r="K85" s="2489">
        <f>Export030823!N6</f>
        <v/>
      </c>
      <c r="M85" s="2489">
        <f>Export030823!N7</f>
        <v/>
      </c>
    </row>
    <row r="86">
      <c r="C86" s="2488" t="inlineStr">
        <is>
          <t>Terms/Conditions of Sale</t>
        </is>
      </c>
      <c r="E86" s="2489">
        <f>Export030823!O3</f>
        <v/>
      </c>
      <c r="G86" s="2489">
        <f>Export030823!O4</f>
        <v/>
      </c>
      <c r="I86" s="2489">
        <f>Export030823!O5</f>
        <v/>
      </c>
      <c r="K86" s="2489">
        <f>Export030823!O6</f>
        <v/>
      </c>
      <c r="M86" s="2489">
        <f>Export030823!O7</f>
        <v/>
      </c>
    </row>
    <row r="87">
      <c r="C87" s="2488" t="inlineStr">
        <is>
          <t>Expenditures After Sale</t>
        </is>
      </c>
      <c r="E87" s="2489">
        <f>Export030823!P3</f>
        <v/>
      </c>
      <c r="G87" s="2489">
        <f>Export030823!P4</f>
        <v/>
      </c>
      <c r="I87" s="2489">
        <f>Export030823!P5</f>
        <v/>
      </c>
      <c r="K87" s="2489">
        <f>Export030823!P6</f>
        <v/>
      </c>
      <c r="M87" s="2489">
        <f>Export030823!P7</f>
        <v/>
      </c>
    </row>
    <row r="88">
      <c r="C88" s="2488" t="inlineStr">
        <is>
          <t>Market Conditions</t>
        </is>
      </c>
      <c r="E88" s="2490">
        <f>Export030823!Q3</f>
        <v/>
      </c>
      <c r="G88" s="2490">
        <f>Export030823!Q4</f>
        <v/>
      </c>
      <c r="I88" s="2490">
        <f>Export030823!Q5</f>
        <v/>
      </c>
      <c r="K88" s="2490">
        <f>Export030823!Q6</f>
        <v/>
      </c>
      <c r="M88" s="2490">
        <f>Export030823!Q7</f>
        <v/>
      </c>
    </row>
    <row r="89">
      <c r="C89" s="2488" t="inlineStr">
        <is>
          <t>Location</t>
        </is>
      </c>
      <c r="E89" s="2489">
        <f>Export030823!R3</f>
        <v/>
      </c>
      <c r="G89" s="2489">
        <f>Export030823!R4</f>
        <v/>
      </c>
      <c r="I89" s="2489">
        <f>Export030823!R5</f>
        <v/>
      </c>
      <c r="K89" s="2489">
        <f>Export030823!R6</f>
        <v/>
      </c>
      <c r="M89" s="2489">
        <f>Export030823!R7</f>
        <v/>
      </c>
    </row>
    <row r="90">
      <c r="C90" s="2488" t="inlineStr">
        <is>
          <t>Property Size (SF)</t>
        </is>
      </c>
      <c r="E90" s="2492">
        <f>Export030823!S3</f>
        <v/>
      </c>
      <c r="G90" s="2492">
        <f>Export030823!S4</f>
        <v/>
      </c>
      <c r="I90" s="2492">
        <f>Export030823!S5</f>
        <v/>
      </c>
      <c r="K90" s="2492">
        <f>Export030823!S6</f>
        <v/>
      </c>
      <c r="M90" s="2492">
        <f>Export030823!S7</f>
        <v/>
      </c>
    </row>
    <row r="91">
      <c r="C91" s="2488" t="inlineStr">
        <is>
          <t>YOC / Condition</t>
        </is>
      </c>
      <c r="E91" s="2489">
        <f>Export030823!T3</f>
        <v/>
      </c>
      <c r="G91" s="2489">
        <f>Export030823!T4</f>
        <v/>
      </c>
      <c r="I91" s="2489">
        <f>Export030823!T5</f>
        <v/>
      </c>
      <c r="K91" s="2489">
        <f>Export030823!T6</f>
        <v/>
      </c>
      <c r="M91" s="2489">
        <f>Export030823!T7</f>
        <v/>
      </c>
    </row>
    <row r="92">
      <c r="C92" s="2488" t="inlineStr">
        <is>
          <t>Quality</t>
        </is>
      </c>
      <c r="E92" s="2489">
        <f>Export030823!U3</f>
        <v/>
      </c>
      <c r="G92" s="2489">
        <f>Export030823!U4</f>
        <v/>
      </c>
      <c r="I92" s="2489">
        <f>Export030823!U5</f>
        <v/>
      </c>
      <c r="K92" s="2489">
        <f>Export030823!U6</f>
        <v/>
      </c>
      <c r="M92" s="2489">
        <f>Export030823!U7</f>
        <v/>
      </c>
    </row>
    <row r="93">
      <c r="C93" s="2488" t="inlineStr">
        <is>
          <t>Tenancy / Occupancy</t>
        </is>
      </c>
      <c r="E93" s="2489">
        <f>Export030823!W3</f>
        <v/>
      </c>
      <c r="G93" s="2489">
        <f>Export030823!W4</f>
        <v/>
      </c>
      <c r="I93" s="2489">
        <f>Export030823!W5</f>
        <v/>
      </c>
      <c r="K93" s="2489">
        <f>Export030823!W6</f>
        <v/>
      </c>
      <c r="M93" s="2489">
        <f>Export030823!W7</f>
        <v/>
      </c>
    </row>
    <row r="94">
      <c r="C94" s="2488" t="inlineStr">
        <is>
          <t>Functional Utility</t>
        </is>
      </c>
      <c r="E94" s="2489">
        <f>Export030823!X3</f>
        <v/>
      </c>
      <c r="G94" s="2489">
        <f>Export030823!X4</f>
        <v/>
      </c>
      <c r="I94" s="2489">
        <f>Export030823!X5</f>
        <v/>
      </c>
      <c r="K94" s="2489">
        <f>Export030823!X6</f>
        <v/>
      </c>
      <c r="M94" s="2489">
        <f>Export030823!X7</f>
        <v/>
      </c>
    </row>
    <row r="96">
      <c r="C96" s="2486" t="inlineStr">
        <is>
          <t>MANUAL OVERRIDES  (type here; used when a sale's Source = Manual)</t>
        </is>
      </c>
    </row>
    <row r="97">
      <c r="E97" s="2487" t="inlineStr">
        <is>
          <t>Sale 1</t>
        </is>
      </c>
      <c r="G97" s="2487" t="inlineStr">
        <is>
          <t>Sale 2</t>
        </is>
      </c>
      <c r="I97" s="2487" t="inlineStr">
        <is>
          <t>Sale 3</t>
        </is>
      </c>
      <c r="K97" s="2487" t="inlineStr">
        <is>
          <t>Sale 4</t>
        </is>
      </c>
      <c r="M97" s="2487" t="inlineStr">
        <is>
          <t>Sale 5</t>
        </is>
      </c>
    </row>
    <row r="98">
      <c r="C98" s="2488" t="inlineStr">
        <is>
          <t>Address</t>
        </is>
      </c>
      <c r="E98" s="2493" t="n"/>
      <c r="G98" s="2493" t="n"/>
      <c r="I98" s="2493" t="n"/>
      <c r="K98" s="2493" t="n"/>
      <c r="M98" s="2493" t="n"/>
    </row>
    <row r="99">
      <c r="C99" s="2488" t="inlineStr">
        <is>
          <t>City, State</t>
        </is>
      </c>
      <c r="E99" s="2493" t="n"/>
      <c r="G99" s="2493" t="n"/>
      <c r="I99" s="2493" t="n"/>
      <c r="K99" s="2493" t="n"/>
      <c r="M99" s="2493" t="n"/>
    </row>
    <row r="100">
      <c r="C100" s="2488" t="inlineStr">
        <is>
          <t>Parcel Number</t>
        </is>
      </c>
      <c r="E100" s="2493" t="n"/>
      <c r="G100" s="2493" t="n"/>
      <c r="I100" s="2493" t="n"/>
      <c r="K100" s="2493" t="n"/>
      <c r="M100" s="2493" t="n"/>
    </row>
    <row r="101">
      <c r="C101" s="2488" t="inlineStr">
        <is>
          <t>Property Type</t>
        </is>
      </c>
      <c r="E101" s="2493" t="n"/>
      <c r="G101" s="2493" t="n"/>
      <c r="I101" s="2493" t="n"/>
      <c r="K101" s="2493" t="n"/>
      <c r="M101" s="2493" t="n"/>
    </row>
    <row r="102">
      <c r="C102" s="2488" t="inlineStr">
        <is>
          <t>Sale Date</t>
        </is>
      </c>
      <c r="E102" s="2494" t="n"/>
      <c r="G102" s="2494" t="n"/>
      <c r="I102" s="2494" t="n"/>
      <c r="K102" s="2494" t="n"/>
      <c r="M102" s="2494" t="n"/>
    </row>
    <row r="103">
      <c r="C103" s="2488" t="inlineStr">
        <is>
          <t>Sale Price</t>
        </is>
      </c>
      <c r="E103" s="2495" t="n"/>
      <c r="G103" s="2495" t="n"/>
      <c r="I103" s="2495" t="n"/>
      <c r="K103" s="2495" t="n"/>
      <c r="M103" s="2495" t="n"/>
    </row>
    <row r="104">
      <c r="C104" s="2488" t="inlineStr">
        <is>
          <t>Listing Price</t>
        </is>
      </c>
      <c r="E104" s="2495" t="n"/>
      <c r="G104" s="2495" t="n"/>
      <c r="I104" s="2495" t="n"/>
      <c r="K104" s="2495" t="n"/>
      <c r="M104" s="2495" t="n"/>
    </row>
    <row r="105">
      <c r="C105" s="2488" t="inlineStr">
        <is>
          <t>Days On Market</t>
        </is>
      </c>
      <c r="E105" s="2493" t="n"/>
      <c r="G105" s="2493" t="n"/>
      <c r="I105" s="2493" t="n"/>
      <c r="K105" s="2500" t="n"/>
      <c r="M105" s="2493" t="n"/>
    </row>
    <row r="106">
      <c r="C106" s="2488" t="inlineStr">
        <is>
          <t>Property Size (SF)</t>
        </is>
      </c>
      <c r="E106" s="2496" t="n"/>
      <c r="G106" s="2496" t="n"/>
      <c r="I106" s="2496" t="n"/>
      <c r="K106" s="2496" t="n"/>
      <c r="M106" s="2496" t="n"/>
    </row>
    <row r="107">
      <c r="C107" s="2488" t="inlineStr">
        <is>
          <t>Site Size (SF)</t>
        </is>
      </c>
      <c r="E107" s="2496" t="n"/>
      <c r="G107" s="2496" t="n"/>
      <c r="I107" s="2496" t="n"/>
      <c r="K107" s="2496" t="n"/>
      <c r="M107" s="2496" t="n"/>
    </row>
    <row r="108">
      <c r="C108" s="2488" t="inlineStr">
        <is>
          <t>Property Rights Conveyed</t>
        </is>
      </c>
      <c r="E108" s="2493" t="n"/>
      <c r="G108" s="2493" t="n"/>
      <c r="I108" s="2493" t="n"/>
      <c r="K108" s="2493" t="n"/>
      <c r="M108" s="2493" t="n"/>
    </row>
    <row r="109">
      <c r="C109" s="2488" t="inlineStr">
        <is>
          <t>Financing</t>
        </is>
      </c>
      <c r="E109" s="2493" t="n"/>
      <c r="G109" s="2493" t="n"/>
      <c r="I109" s="2493" t="n"/>
      <c r="K109" s="2493" t="n"/>
      <c r="M109" s="2493" t="n"/>
    </row>
    <row r="110">
      <c r="C110" s="2488" t="inlineStr">
        <is>
          <t>Terms/Conditions of Sale</t>
        </is>
      </c>
      <c r="E110" s="2493" t="n"/>
      <c r="G110" s="2493" t="n"/>
      <c r="I110" s="2493" t="n"/>
      <c r="K110" s="2493" t="n"/>
      <c r="M110" s="2493" t="n"/>
    </row>
    <row r="111">
      <c r="C111" s="2488" t="inlineStr">
        <is>
          <t>Expenditures After Sale</t>
        </is>
      </c>
      <c r="E111" s="2493" t="n"/>
      <c r="G111" s="2493" t="n"/>
      <c r="I111" s="2493" t="n"/>
      <c r="K111" s="2493" t="n"/>
      <c r="M111" s="2493" t="n"/>
    </row>
    <row r="112">
      <c r="C112" s="2488" t="inlineStr">
        <is>
          <t>Market Conditions</t>
        </is>
      </c>
      <c r="E112" s="2494" t="n"/>
      <c r="G112" s="2494" t="n"/>
      <c r="I112" s="2494" t="n"/>
      <c r="K112" s="2494" t="n"/>
      <c r="M112" s="2494" t="n"/>
    </row>
    <row r="113">
      <c r="C113" s="2488" t="inlineStr">
        <is>
          <t>Location</t>
        </is>
      </c>
      <c r="E113" s="2493" t="n"/>
      <c r="G113" s="2493" t="n"/>
      <c r="I113" s="2493" t="n"/>
      <c r="K113" s="2493" t="n"/>
      <c r="M113" s="2493" t="n"/>
    </row>
    <row r="114">
      <c r="C114" s="2488" t="inlineStr">
        <is>
          <t>Property Size (SF)</t>
        </is>
      </c>
      <c r="E114" s="2496" t="n"/>
      <c r="G114" s="2496" t="n"/>
      <c r="I114" s="2496" t="n"/>
      <c r="K114" s="2496" t="n"/>
      <c r="M114" s="2496" t="n"/>
    </row>
    <row r="115">
      <c r="C115" s="2488" t="inlineStr">
        <is>
          <t>YOC / Condition</t>
        </is>
      </c>
      <c r="E115" s="2493" t="n"/>
      <c r="G115" s="2493" t="n"/>
      <c r="I115" s="2493" t="n"/>
      <c r="K115" s="2493" t="n"/>
      <c r="M115" s="2493" t="n"/>
    </row>
    <row r="116">
      <c r="C116" s="2488" t="inlineStr">
        <is>
          <t>Quality</t>
        </is>
      </c>
      <c r="E116" s="2493" t="n"/>
      <c r="G116" s="2493" t="n"/>
      <c r="I116" s="2493" t="n"/>
      <c r="K116" s="2493" t="n"/>
      <c r="M116" s="2493" t="n"/>
    </row>
    <row r="117">
      <c r="C117" s="2488" t="inlineStr">
        <is>
          <t>Tenancy / Occupancy</t>
        </is>
      </c>
      <c r="E117" s="2493" t="n"/>
      <c r="G117" s="2493" t="n"/>
      <c r="I117" s="2493" t="n"/>
      <c r="K117" s="2493" t="n"/>
      <c r="M117" s="2493" t="n"/>
    </row>
    <row r="118">
      <c r="C118" s="2488" t="inlineStr">
        <is>
          <t>Functional Utility</t>
        </is>
      </c>
      <c r="E118" s="2493" t="n"/>
      <c r="G118" s="2493" t="n"/>
      <c r="I118" s="2493" t="n"/>
      <c r="K118" s="2493" t="n"/>
      <c r="M118" s="2493" t="n"/>
    </row>
    <row r="120">
      <c r="C120" s="2460" t="inlineStr">
        <is>
          <t>Tip: keep Source on Auto to use the picker's comp. Switch a sale to Manual and type its column here to override - the main grid, adjustments and conclusion update with no formula edits.</t>
        </is>
      </c>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K7:L7"/>
    <mergeCell ref="E7:F7"/>
    <mergeCell ref="O10:P10"/>
    <mergeCell ref="G8:H8"/>
    <mergeCell ref="G10:H10"/>
    <mergeCell ref="G6:H6"/>
    <mergeCell ref="E9:F9"/>
    <mergeCell ref="G3:H3"/>
    <mergeCell ref="I3:J3"/>
    <mergeCell ref="I12:J12"/>
    <mergeCell ref="K12:L12"/>
    <mergeCell ref="C2:D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2">
    <dataValidation sqref="E59 G59 I59 K59 M59 O59" showDropDown="0" showInputMessage="1" showErrorMessage="1" allowBlank="1" type="list">
      <formula1>lstCondition</formula1>
    </dataValidation>
    <dataValidation sqref="E2 G2 I2 K2 M2" showDropDown="0" showInputMessage="1" showErrorMessage="0" allowBlank="0" promptTitle="Comp source" prompt="Auto = use the comp the picker selected. Manual = use the value you type in the MANUAL OVERRIDES block below. Nothing breaks either way." type="list">
      <formula1>"Auto,Manual"</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n"/>
      <c r="G3" s="1355" t="inlineStr">
        <is>
          <t>Annual Rent Calc. Table</t>
        </is>
      </c>
      <c r="H3" s="1356" t="n"/>
    </row>
    <row r="4" ht="12.75" customHeight="1" s="1449">
      <c r="B4" s="1043" t="inlineStr">
        <is>
          <t>Lessee</t>
        </is>
      </c>
      <c r="C4" s="1352" t="n"/>
      <c r="G4" s="725" t="inlineStr">
        <is>
          <t>Month</t>
        </is>
      </c>
      <c r="H4" s="1357" t="inlineStr">
        <is>
          <t>Monthly Rent</t>
        </is>
      </c>
    </row>
    <row r="5" ht="12.75" customHeight="1" s="1449">
      <c r="B5" s="1043" t="inlineStr">
        <is>
          <t>Building Size (SF)</t>
        </is>
      </c>
      <c r="C5" s="1353" t="n"/>
      <c r="G5" s="1358" t="n"/>
      <c r="H5" s="2094" t="n"/>
    </row>
    <row r="6" ht="12.75" customHeight="1" s="1449">
      <c r="B6" s="1043" t="inlineStr">
        <is>
          <t>Lease Sign Date</t>
        </is>
      </c>
      <c r="C6" s="1354" t="n"/>
      <c r="G6" s="1358" t="n"/>
      <c r="H6" s="2094" t="n"/>
    </row>
    <row r="7" ht="12.75" customHeight="1" s="1449">
      <c r="B7" s="1043" t="inlineStr">
        <is>
          <t>Lease Commencement Date</t>
        </is>
      </c>
      <c r="C7" s="1354" t="n"/>
      <c r="G7" s="1358" t="n"/>
      <c r="H7" s="2094" t="n"/>
      <c r="K7" s="358" t="n"/>
    </row>
    <row r="8" ht="12.75" customHeight="1" s="1449">
      <c r="B8" s="1043" t="inlineStr">
        <is>
          <t>Lease Expiration Date</t>
        </is>
      </c>
      <c r="C8" s="1354" t="n"/>
      <c r="G8" s="1358" t="n"/>
      <c r="H8" s="2094" t="n"/>
    </row>
    <row r="9">
      <c r="B9" s="1043" t="inlineStr">
        <is>
          <t>Base Lease Term (Months)</t>
        </is>
      </c>
      <c r="C9" s="1044">
        <f>+(C8-C7)/365*12</f>
        <v/>
      </c>
      <c r="G9" s="1358" t="n"/>
      <c r="H9" s="2094" t="n"/>
      <c r="K9" s="358" t="n"/>
    </row>
    <row r="10" ht="20.25" customHeight="1" s="1449">
      <c r="B10" s="1043" t="inlineStr">
        <is>
          <t>12 Months Contract Rental Income (Jan-Dec 2020)</t>
        </is>
      </c>
      <c r="C10" s="2095">
        <f>H17</f>
        <v/>
      </c>
      <c r="G10" s="1358" t="n"/>
      <c r="H10" s="2094" t="n"/>
    </row>
    <row r="11" ht="12.75" customHeight="1" s="1449">
      <c r="B11" s="1043" t="inlineStr">
        <is>
          <t>12 Months Contract Rental Income (Jan-Dec 2020)</t>
        </is>
      </c>
      <c r="C11" s="2096">
        <f>C10/C5</f>
        <v/>
      </c>
      <c r="G11" s="1358" t="n"/>
      <c r="H11" s="2094" t="n"/>
    </row>
    <row r="12" ht="12.75" customHeight="1" s="1449">
      <c r="B12" s="1043" t="inlineStr">
        <is>
          <t>Base Rents</t>
        </is>
      </c>
      <c r="C12" s="1043" t="n"/>
      <c r="D12" t="inlineStr">
        <is>
          <t>Annual Rent (Lease)</t>
        </is>
      </c>
      <c r="G12" s="1358" t="n"/>
      <c r="H12" s="2094" t="n"/>
    </row>
    <row r="13">
      <c r="B13" s="1047" t="inlineStr">
        <is>
          <t>Year 1 (11/16-10/17)</t>
        </is>
      </c>
      <c r="C13" s="2096">
        <f>D13/$C$5</f>
        <v/>
      </c>
      <c r="D13" s="1756" t="n"/>
      <c r="G13" s="1358" t="n"/>
      <c r="H13" s="2094" t="n"/>
    </row>
    <row r="14">
      <c r="B14" s="1047" t="inlineStr">
        <is>
          <t>Year 2 (11/17-10/18)</t>
        </is>
      </c>
      <c r="C14" s="2096">
        <f>D14/$C$5</f>
        <v/>
      </c>
      <c r="D14" s="1756" t="n"/>
      <c r="G14" s="1358" t="n"/>
      <c r="H14" s="2094" t="n"/>
    </row>
    <row r="15">
      <c r="B15" s="1047" t="inlineStr">
        <is>
          <t>Year 3 (11/18-10/19)</t>
        </is>
      </c>
      <c r="C15" s="2096">
        <f>D15/$C$5</f>
        <v/>
      </c>
      <c r="D15" s="1756" t="n"/>
      <c r="G15" s="1358" t="n"/>
      <c r="H15" s="2094" t="n"/>
    </row>
    <row r="16">
      <c r="B16" s="1047" t="inlineStr">
        <is>
          <t>Year 4 (11/19-10/20)</t>
        </is>
      </c>
      <c r="C16" s="2096">
        <f>D16/$C$5</f>
        <v/>
      </c>
      <c r="D16" s="1756" t="n"/>
      <c r="G16" s="1360" t="n"/>
      <c r="H16" s="2097" t="n"/>
    </row>
    <row r="17">
      <c r="B17" s="1047" t="inlineStr">
        <is>
          <t>Year 5 (11/20-10/21)</t>
        </is>
      </c>
      <c r="C17" s="2096">
        <f>D17/$C$5</f>
        <v/>
      </c>
      <c r="D17" s="1756" t="n"/>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c r="H19" s="2091" t="n"/>
      <c r="I19" s="2091" t="n"/>
    </row>
    <row r="20">
      <c r="B20" s="1047" t="inlineStr">
        <is>
          <t>Year 7</t>
        </is>
      </c>
      <c r="C20" s="2096">
        <f>D20/$C$5</f>
        <v/>
      </c>
      <c r="D20" s="1756" t="n"/>
      <c r="H20" s="2091" t="n"/>
      <c r="I20" s="2091" t="n"/>
    </row>
    <row r="21">
      <c r="B21" s="1047" t="inlineStr">
        <is>
          <t>Year 8</t>
        </is>
      </c>
      <c r="C21" s="2096">
        <f>D21/$C$5</f>
        <v/>
      </c>
      <c r="D21" s="1756" t="n"/>
      <c r="H21" s="2091" t="n"/>
      <c r="I21" s="2091" t="n"/>
    </row>
    <row r="22">
      <c r="B22" s="1047" t="inlineStr">
        <is>
          <t>Year 9</t>
        </is>
      </c>
      <c r="C22" s="2096">
        <f>D22/$C$5</f>
        <v/>
      </c>
      <c r="D22" s="1756" t="n"/>
      <c r="H22" s="2091" t="n"/>
      <c r="I22" s="2091" t="n"/>
    </row>
    <row r="23">
      <c r="B23" s="1047" t="inlineStr">
        <is>
          <t>Year 10</t>
        </is>
      </c>
      <c r="C23" s="2096">
        <f>D23/$C$5</f>
        <v/>
      </c>
      <c r="D23" s="1756" t="n"/>
      <c r="H23" s="2091" t="n"/>
      <c r="I23" s="2091" t="n"/>
    </row>
    <row r="24">
      <c r="B24" s="1047" t="inlineStr">
        <is>
          <t>Year 11</t>
        </is>
      </c>
      <c r="C24" s="2096">
        <f>D24/$C$5</f>
        <v/>
      </c>
      <c r="D24" s="1756" t="n"/>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n"/>
      <c r="H30" s="2091" t="n"/>
      <c r="I30" s="2091" t="n"/>
      <c r="J30" s="2093" t="n"/>
    </row>
    <row r="31" ht="52.5" customHeight="1" s="1449">
      <c r="B31" s="1049" t="inlineStr">
        <is>
          <t>Tenant Expense Responsibilities</t>
        </is>
      </c>
      <c r="C31" s="1367" t="n"/>
      <c r="H31" s="2091" t="n"/>
      <c r="I31" s="2090" t="n"/>
      <c r="J31" s="2037" t="n"/>
    </row>
    <row r="32" ht="37.5" customHeight="1" s="1449">
      <c r="B32" s="1043" t="inlineStr">
        <is>
          <t>Comments</t>
        </is>
      </c>
      <c r="C32" s="1351" t="n"/>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n"/>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Info'!B17</f>
        <v/>
      </c>
      <c r="D4" s="1575" t="n"/>
      <c r="E4" s="1613" t="n"/>
      <c r="F4" s="1575" t="n"/>
      <c r="G4" s="1613" t="n"/>
      <c r="H4" s="1575" t="n"/>
      <c r="I4" s="1613" t="n"/>
      <c r="J4" s="1575" t="n"/>
      <c r="K4" s="1613" t="n"/>
      <c r="L4" s="1575" t="n"/>
      <c r="M4" s="1629" t="n"/>
      <c r="N4" s="1575" t="n"/>
    </row>
    <row r="5" ht="12.75" customHeight="1" s="1449">
      <c r="A5" s="1611" t="inlineStr">
        <is>
          <t>City</t>
        </is>
      </c>
      <c r="B5" s="1575" t="n"/>
      <c r="C5" s="1613">
        <f>'Property Info'!B18</f>
        <v/>
      </c>
      <c r="D5" s="1575" t="n"/>
      <c r="E5" s="1613" t="n"/>
      <c r="F5" s="1575" t="n"/>
      <c r="G5" s="1613" t="n"/>
      <c r="H5" s="1575" t="n"/>
      <c r="I5" s="1613" t="n"/>
      <c r="J5" s="1575" t="n"/>
      <c r="K5" s="1613" t="n"/>
      <c r="L5" s="1575" t="n"/>
      <c r="M5" s="1629" t="n"/>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Info'!B5</f>
        <v/>
      </c>
      <c r="D9" s="1575" t="n"/>
      <c r="E9" s="1612" t="n"/>
      <c r="F9" s="1575" t="n"/>
      <c r="G9" s="1612" t="n"/>
      <c r="H9" s="1575" t="n"/>
      <c r="I9" s="1612" t="n"/>
      <c r="J9" s="1575" t="n"/>
      <c r="K9" s="1612" t="n"/>
      <c r="L9" s="1575" t="n"/>
      <c r="M9" s="1636" t="n"/>
      <c r="N9" s="1575" t="n"/>
    </row>
    <row r="10" hidden="1" ht="12.75" customHeight="1" s="1449">
      <c r="A10" s="1615" t="inlineStr">
        <is>
          <t>Vacancy</t>
        </is>
      </c>
      <c r="B10" s="1575" t="n"/>
      <c r="C10" s="789" t="n"/>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n"/>
      <c r="F14" s="1575" t="n"/>
      <c r="G14" s="2103" t="n"/>
      <c r="H14" s="1575" t="n"/>
      <c r="I14" s="2103" t="n"/>
      <c r="J14" s="1575" t="n"/>
      <c r="K14" s="2103" t="n"/>
      <c r="L14" s="1575" t="n"/>
      <c r="M14" s="2104" t="n"/>
      <c r="N14" s="1575" t="n"/>
    </row>
    <row r="15">
      <c r="A15" s="2101" t="inlineStr">
        <is>
          <t>SF Area Leased</t>
        </is>
      </c>
      <c r="B15" s="1575" t="n"/>
      <c r="C15" s="1643">
        <f>'Property Info'!B5</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c r="D16" s="1575" t="n"/>
      <c r="E16" s="2105" t="n"/>
      <c r="F16" s="1575" t="n"/>
      <c r="G16" s="2105" t="n"/>
      <c r="H16" s="1575" t="n"/>
      <c r="I16" s="2105" t="n"/>
      <c r="J16" s="1575" t="n"/>
      <c r="K16" s="2105" t="n"/>
      <c r="L16" s="1575" t="n"/>
      <c r="M16" s="2106" t="n"/>
      <c r="N16" s="1575" t="n"/>
    </row>
    <row r="17">
      <c r="A17" s="2101" t="inlineStr">
        <is>
          <t>Term</t>
        </is>
      </c>
      <c r="B17" s="1575" t="n"/>
      <c r="C17" s="2102" t="n"/>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c r="F20" s="1575" t="n"/>
      <c r="G20" s="2103" t="n"/>
      <c r="H20" s="1575" t="n"/>
      <c r="I20" s="2103" t="n"/>
      <c r="J20" s="1575" t="n"/>
      <c r="K20" s="2103" t="n"/>
      <c r="L20" s="1575" t="n"/>
      <c r="M20" s="2104" t="n"/>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n"/>
      <c r="F5" s="2119" t="n"/>
      <c r="G5" s="2120" t="n"/>
      <c r="H5" s="1644" t="n"/>
      <c r="I5" s="313" t="n"/>
      <c r="J5" s="314" t="n"/>
      <c r="K5" s="1648" t="n"/>
      <c r="L5" s="315" t="n"/>
      <c r="M5" s="316" t="n"/>
      <c r="N5" s="317" t="n"/>
      <c r="O5" s="318" t="inlineStr">
        <is>
          <t>Vacant at TOS</t>
        </is>
      </c>
      <c r="P5" s="2121" t="n">
        <v>1800000</v>
      </c>
      <c r="Q5" s="2122">
        <f>P5/I5</f>
        <v/>
      </c>
      <c r="R5" s="295" t="inlineStr">
        <is>
          <t>N/A</t>
        </is>
      </c>
    </row>
    <row r="6" ht="12" customHeight="1" s="1449">
      <c r="C6" s="309" t="n"/>
      <c r="D6" s="309" t="n"/>
      <c r="E6" s="310" t="n"/>
      <c r="F6" s="2123" t="n"/>
      <c r="G6" s="2120" t="n"/>
      <c r="I6" s="322" t="n"/>
      <c r="J6" s="323" t="n"/>
      <c r="L6" s="315" t="n"/>
      <c r="M6" s="316" t="n"/>
      <c r="N6" s="317" t="n"/>
      <c r="O6" s="318" t="n"/>
      <c r="P6" s="2124" t="n"/>
      <c r="Q6" s="2122" t="n"/>
      <c r="R6" s="295" t="n"/>
    </row>
    <row r="7" ht="12" customHeight="1" s="1449">
      <c r="C7" s="309" t="n"/>
      <c r="D7" s="309" t="n"/>
      <c r="E7" s="310" t="n"/>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n"/>
      <c r="I8" s="314" t="n"/>
      <c r="J8" s="331" t="n"/>
      <c r="K8" s="332" t="n"/>
      <c r="L8" s="333" t="n"/>
      <c r="M8" s="334" t="n"/>
      <c r="N8" s="335" t="n"/>
      <c r="O8" s="336" t="inlineStr">
        <is>
          <t> </t>
        </is>
      </c>
      <c r="P8" s="2124" t="n"/>
      <c r="Q8" s="2122" t="n"/>
      <c r="R8" s="295" t="inlineStr">
        <is>
          <t> </t>
        </is>
      </c>
    </row>
    <row r="9" ht="12" customHeight="1" s="1449">
      <c r="C9" s="309" t="n">
        <v>2</v>
      </c>
      <c r="D9" s="309" t="inlineStr">
        <is>
          <t>Sale</t>
        </is>
      </c>
      <c r="E9" s="310" t="n"/>
      <c r="F9" s="2119" t="n"/>
      <c r="G9" s="2125" t="n"/>
      <c r="H9" s="1644" t="n"/>
      <c r="I9" s="313" t="n"/>
      <c r="J9" s="314" t="n"/>
      <c r="K9" s="1648" t="n"/>
      <c r="L9" s="315" t="n"/>
      <c r="M9" s="316" t="n"/>
      <c r="N9" s="317" t="n"/>
      <c r="O9" s="318" t="inlineStr">
        <is>
          <t>Vacant at TOS</t>
        </is>
      </c>
      <c r="P9" s="2121" t="n">
        <v>1350000</v>
      </c>
      <c r="Q9" s="2122">
        <f>P9/I9</f>
        <v/>
      </c>
      <c r="R9" s="295" t="inlineStr">
        <is>
          <t>N/A</t>
        </is>
      </c>
    </row>
    <row r="10" ht="12" customHeight="1" s="1449">
      <c r="C10" s="309" t="n"/>
      <c r="D10" s="309" t="n"/>
      <c r="E10" s="310" t="n"/>
      <c r="F10" s="2119" t="n"/>
      <c r="G10" s="2125" t="n"/>
      <c r="H10" s="1644" t="n"/>
      <c r="I10" s="313" t="n"/>
      <c r="J10" s="323" t="n"/>
      <c r="K10" s="1648" t="n"/>
      <c r="L10" s="315" t="n"/>
      <c r="M10" s="316" t="n"/>
      <c r="N10" s="317" t="n"/>
      <c r="O10" s="318" t="n"/>
      <c r="P10" s="2121" t="n"/>
      <c r="Q10" s="2122" t="n"/>
      <c r="R10" s="295" t="n"/>
    </row>
    <row r="11" ht="12" customHeight="1" s="1449">
      <c r="C11" s="309" t="n"/>
      <c r="D11" s="309" t="n"/>
      <c r="E11" s="310" t="n"/>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n"/>
      <c r="I12" s="332" t="n"/>
      <c r="J12" s="314" t="n"/>
      <c r="K12" s="332" t="n"/>
      <c r="L12" s="333" t="n"/>
      <c r="M12" s="337" t="n"/>
      <c r="N12" s="337" t="n"/>
      <c r="O12" s="336" t="inlineStr">
        <is>
          <t> </t>
        </is>
      </c>
      <c r="P12" s="2128" t="n"/>
      <c r="Q12" s="2122" t="n"/>
      <c r="R12" s="295" t="inlineStr">
        <is>
          <t> </t>
        </is>
      </c>
    </row>
    <row r="13" ht="12" customHeight="1" s="1449">
      <c r="C13" s="309" t="n">
        <v>3</v>
      </c>
      <c r="D13" s="309" t="inlineStr">
        <is>
          <t>Sale</t>
        </is>
      </c>
      <c r="E13" s="310" t="n"/>
      <c r="F13" s="2119" t="n"/>
      <c r="G13" s="2125" t="n"/>
      <c r="H13" s="1644" t="n"/>
      <c r="I13" s="313" t="n"/>
      <c r="J13" s="314" t="n"/>
      <c r="K13" s="1648" t="n"/>
      <c r="L13" s="315" t="n"/>
      <c r="M13" s="316" t="n"/>
      <c r="N13" s="317" t="n"/>
      <c r="O13" s="318" t="inlineStr">
        <is>
          <t>Vacant at TOS</t>
        </is>
      </c>
      <c r="P13" s="2121" t="n">
        <v>530000</v>
      </c>
      <c r="Q13" s="2122">
        <f>P13/I13</f>
        <v/>
      </c>
      <c r="R13" s="295" t="n">
        <v>0.074</v>
      </c>
    </row>
    <row r="14" ht="12" customHeight="1" s="1449">
      <c r="C14" s="309" t="n"/>
      <c r="D14" s="309" t="n"/>
      <c r="E14" s="310" t="n"/>
      <c r="F14" s="2119" t="n"/>
      <c r="G14" s="2125" t="n"/>
      <c r="H14" s="1644" t="n"/>
      <c r="I14" s="313" t="n"/>
      <c r="J14" s="323" t="n"/>
      <c r="K14" s="1648" t="n"/>
      <c r="L14" s="315" t="n"/>
      <c r="M14" s="316" t="n"/>
      <c r="N14" s="317" t="n"/>
      <c r="O14" s="318" t="n"/>
      <c r="P14" s="2121" t="n"/>
      <c r="Q14" s="2122" t="n"/>
      <c r="R14" s="295" t="n"/>
    </row>
    <row r="15" ht="12" customHeight="1" s="1449">
      <c r="C15" s="309" t="n"/>
      <c r="D15" s="309" t="n"/>
      <c r="E15" s="310" t="n"/>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n"/>
      <c r="I16" s="332" t="n"/>
      <c r="J16" s="314" t="n"/>
      <c r="K16" s="332" t="n"/>
      <c r="L16" s="333" t="n"/>
      <c r="M16" s="337" t="n"/>
      <c r="N16" s="337" t="n"/>
      <c r="O16" s="336" t="inlineStr">
        <is>
          <t> </t>
        </is>
      </c>
      <c r="P16" s="2128" t="n"/>
      <c r="Q16" s="2122" t="n"/>
      <c r="R16" s="295" t="inlineStr">
        <is>
          <t> </t>
        </is>
      </c>
    </row>
    <row r="17" ht="12" customHeight="1" s="1449">
      <c r="C17" s="309" t="n">
        <v>4</v>
      </c>
      <c r="D17" s="309" t="inlineStr">
        <is>
          <t>Sale</t>
        </is>
      </c>
      <c r="E17" s="310" t="n"/>
      <c r="F17" s="2119" t="n"/>
      <c r="G17" s="2125" t="n"/>
      <c r="H17" s="1644" t="n"/>
      <c r="I17" s="313" t="n"/>
      <c r="J17" s="314" t="n"/>
      <c r="K17" s="1648" t="n"/>
      <c r="L17" s="315" t="n"/>
      <c r="M17" s="316" t="n"/>
      <c r="N17" s="317" t="n"/>
      <c r="O17" s="318" t="inlineStr">
        <is>
          <t>Vacant at TOS</t>
        </is>
      </c>
      <c r="P17" s="2121" t="n">
        <v>417000</v>
      </c>
      <c r="Q17" s="2122">
        <f>P17/I17</f>
        <v/>
      </c>
      <c r="R17" s="295" t="n">
        <v>0.065</v>
      </c>
    </row>
    <row r="18" ht="12" customHeight="1" s="1449">
      <c r="C18" s="309" t="n"/>
      <c r="D18" s="309" t="n"/>
      <c r="E18" s="310" t="n"/>
      <c r="F18" s="2119" t="n"/>
      <c r="G18" s="2125" t="n"/>
      <c r="H18" s="1644" t="n"/>
      <c r="I18" s="313" t="n"/>
      <c r="J18" s="323" t="n"/>
      <c r="K18" s="1648" t="n"/>
      <c r="L18" s="315" t="n"/>
      <c r="M18" s="316" t="n"/>
      <c r="N18" s="317" t="n"/>
      <c r="O18" s="318" t="n"/>
      <c r="P18" s="2121" t="n"/>
      <c r="Q18" s="2122" t="n"/>
      <c r="R18" s="295" t="n"/>
    </row>
    <row r="19" ht="12" customHeight="1" s="1449">
      <c r="C19" s="309" t="n"/>
      <c r="D19" s="309" t="n"/>
      <c r="E19" s="310" t="n"/>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n"/>
      <c r="F21" s="2119" t="n"/>
      <c r="G21" s="2125" t="n"/>
      <c r="H21" s="1644" t="n"/>
      <c r="I21" s="313" t="n"/>
      <c r="J21" s="314" t="n"/>
      <c r="K21" s="1648" t="n"/>
      <c r="L21" s="315" t="n"/>
      <c r="M21" s="316" t="n"/>
      <c r="N21" s="317" t="n"/>
      <c r="O21" s="318" t="inlineStr">
        <is>
          <t>Vacant at TOS</t>
        </is>
      </c>
      <c r="P21" s="2121" t="n">
        <v>400000</v>
      </c>
      <c r="Q21" s="2122">
        <f>P21/I21</f>
        <v/>
      </c>
      <c r="R21" s="295" t="n">
        <v>0.055</v>
      </c>
    </row>
    <row r="22" ht="12" customHeight="1" s="1449">
      <c r="C22" s="309" t="n"/>
      <c r="D22" s="309" t="n"/>
      <c r="E22" s="310" t="n"/>
      <c r="F22" s="2119" t="n"/>
      <c r="G22" s="2125" t="n"/>
      <c r="H22" s="1644" t="n"/>
      <c r="I22" s="313" t="n"/>
      <c r="J22" s="323" t="n"/>
      <c r="K22" s="1648" t="n"/>
      <c r="L22" s="315" t="n"/>
      <c r="M22" s="316" t="n"/>
      <c r="N22" s="317" t="n"/>
      <c r="O22" s="318" t="n"/>
      <c r="P22" s="2121" t="n"/>
      <c r="Q22" s="2122" t="n"/>
      <c r="R22" s="295" t="n"/>
    </row>
    <row r="23" ht="12" customHeight="1" s="1449">
      <c r="C23" s="309" t="n"/>
      <c r="D23" s="309" t="n"/>
      <c r="E23" s="310" t="n"/>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Info'!B5</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c r="E4" s="1389" t="n"/>
      <c r="F4" s="1390" t="n"/>
      <c r="G4" s="1389" t="n"/>
      <c r="H4" s="1389" t="n"/>
      <c r="I4" s="1390" t="n"/>
      <c r="J4" s="1389" t="n"/>
      <c r="K4" s="1389" t="n"/>
      <c r="L4" s="1391" t="n"/>
      <c r="M4" s="1389" t="n"/>
      <c r="N4" s="1389" t="n"/>
      <c r="O4" s="1391" t="n"/>
      <c r="P4" s="1389" t="n"/>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c r="N6" s="2135">
        <f>M6/$AA$3</f>
        <v/>
      </c>
      <c r="O6" s="2133" t="n"/>
      <c r="P6" s="2133" t="n"/>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c r="N7" s="2135">
        <f>M7/$AA$3</f>
        <v/>
      </c>
      <c r="O7" s="2133" t="n"/>
      <c r="P7" s="2133" t="n"/>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c r="N24" s="2135">
        <f>M24/$AA$3</f>
        <v/>
      </c>
      <c r="O24" s="2133" t="n"/>
      <c r="P24" s="2133" t="n"/>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c r="N25" s="2135">
        <f>M25/$AA$3</f>
        <v/>
      </c>
      <c r="O25" s="2133" t="n"/>
      <c r="P25" s="2133" t="n"/>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c r="N27" s="2135">
        <f>M27/$AA$3</f>
        <v/>
      </c>
      <c r="O27" s="2133" t="n"/>
      <c r="P27" s="2133" t="n"/>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c r="N28" s="2135">
        <f>M28/$AA$3</f>
        <v/>
      </c>
      <c r="O28" s="2133" t="n"/>
      <c r="P28" s="2133" t="n"/>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c r="N29" s="2135">
        <f>M29/$AA$3</f>
        <v/>
      </c>
      <c r="O29" s="2133" t="n"/>
      <c r="P29" s="2133" t="n"/>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c r="N30" s="2135">
        <f>M30/$AA$3</f>
        <v/>
      </c>
      <c r="O30" s="2133" t="n"/>
      <c r="P30" s="2133" t="n"/>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n"/>
      <c r="F4" s="255" t="n"/>
      <c r="G4" s="72" t="n"/>
      <c r="H4" s="80" t="n"/>
      <c r="I4" s="255" t="n"/>
      <c r="J4" s="71" t="n"/>
      <c r="K4" s="80" t="n"/>
      <c r="L4" s="255" t="n"/>
      <c r="M4" s="71" t="n"/>
      <c r="N4" s="105" t="n"/>
      <c r="O4" s="71" t="n"/>
      <c r="P4" s="71" t="n"/>
    </row>
    <row r="5" ht="12.75" customHeight="1" s="1449" thickBot="1">
      <c r="D5" s="70" t="inlineStr">
        <is>
          <t>Year Built</t>
        </is>
      </c>
      <c r="E5" s="80" t="n"/>
      <c r="F5" s="255" t="n"/>
      <c r="G5" s="72" t="n"/>
      <c r="H5" s="80" t="n"/>
      <c r="I5" s="255" t="n"/>
      <c r="J5" s="71" t="n"/>
      <c r="K5" s="80" t="n"/>
      <c r="L5" s="255" t="n"/>
      <c r="M5" s="71" t="n"/>
      <c r="N5" s="105" t="n"/>
      <c r="O5" s="71" t="n"/>
      <c r="P5" s="71" t="n"/>
      <c r="X5" s="113" t="n"/>
    </row>
    <row r="6" ht="12.75" customHeight="1" s="1449">
      <c r="D6" s="70" t="inlineStr">
        <is>
          <t>Rentable Area</t>
        </is>
      </c>
      <c r="E6" s="254" t="n"/>
      <c r="F6" s="256" t="n"/>
      <c r="G6" s="74" t="n"/>
      <c r="H6" s="254" t="n"/>
      <c r="I6" s="256" t="n"/>
      <c r="J6" s="73" t="n"/>
      <c r="K6" s="254" t="n"/>
      <c r="L6" s="256" t="n"/>
      <c r="M6" s="73" t="n"/>
      <c r="N6" s="106" t="n"/>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c r="F10" s="2177" t="n"/>
      <c r="G10" s="75" t="n"/>
      <c r="H10" s="2178" t="n"/>
      <c r="I10" s="2179" t="n"/>
      <c r="J10" s="253" t="n"/>
      <c r="K10" s="2176" t="n"/>
      <c r="L10" s="2177" t="n"/>
      <c r="M10" s="250" t="n"/>
      <c r="N10" s="2180" t="n"/>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c r="F11" s="2177" t="n"/>
      <c r="G11" s="75" t="n"/>
      <c r="H11" s="2178" t="n"/>
      <c r="I11" s="2179" t="n"/>
      <c r="J11" s="253" t="n"/>
      <c r="K11" s="2176" t="n"/>
      <c r="L11" s="2177" t="n"/>
      <c r="M11" s="250" t="n"/>
      <c r="N11" s="2180" t="n"/>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c r="F12" s="2177" t="n"/>
      <c r="G12" s="75" t="n"/>
      <c r="H12" s="2178" t="n"/>
      <c r="I12" s="2179" t="n"/>
      <c r="J12" s="253" t="n"/>
      <c r="K12" s="2176" t="n"/>
      <c r="L12" s="2177" t="n"/>
      <c r="M12" s="250" t="n"/>
      <c r="N12" s="2180" t="n"/>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c r="F13" s="2177" t="n"/>
      <c r="G13" s="75" t="n"/>
      <c r="H13" s="2178" t="n"/>
      <c r="I13" s="2179" t="n"/>
      <c r="J13" s="253" t="n"/>
      <c r="K13" s="2176" t="n"/>
      <c r="L13" s="2177" t="n"/>
      <c r="M13" s="250" t="n"/>
      <c r="N13" s="2180" t="n"/>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c r="F14" s="2177" t="n"/>
      <c r="G14" s="75" t="n"/>
      <c r="H14" s="2178" t="n"/>
      <c r="I14" s="2179" t="n"/>
      <c r="J14" s="253" t="n"/>
      <c r="K14" s="2176" t="n"/>
      <c r="L14" s="2177" t="n"/>
      <c r="M14" s="250" t="n"/>
      <c r="N14" s="2180" t="n"/>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c r="F15" s="2177" t="n"/>
      <c r="G15" s="75" t="n"/>
      <c r="H15" s="2178" t="n"/>
      <c r="I15" s="2179" t="n"/>
      <c r="J15" s="253" t="n"/>
      <c r="K15" s="2176" t="n"/>
      <c r="L15" s="2177" t="n"/>
      <c r="M15" s="250" t="n"/>
      <c r="N15" s="2180" t="n"/>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c r="F16" s="2134" t="n"/>
      <c r="G16" s="75" t="n"/>
      <c r="H16" s="2178" t="n"/>
      <c r="I16" s="2181" t="n"/>
      <c r="J16" s="93" t="n"/>
      <c r="K16" s="2178" t="n"/>
      <c r="L16" s="2134" t="n"/>
      <c r="M16" s="1563" t="n"/>
      <c r="N16" s="2180" t="n"/>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c r="K5" s="2197" t="n"/>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n"/>
    </row>
    <row r="9">
      <c r="E9" s="96" t="n"/>
      <c r="H9" s="2198">
        <f>H8/$O$2</f>
        <v/>
      </c>
      <c r="I9" s="2198">
        <f>I8/$O$2</f>
        <v/>
      </c>
      <c r="J9" s="2199" t="n"/>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n"/>
    </row>
    <row r="12">
      <c r="E12" s="103" t="n"/>
      <c r="H12" s="2198">
        <f>H11/$O$2</f>
        <v/>
      </c>
      <c r="I12" s="2198">
        <f>I11/$O$2</f>
        <v/>
      </c>
      <c r="J12" s="2199" t="n"/>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n"/>
    </row>
    <row r="15">
      <c r="E15" s="103" t="n"/>
      <c r="H15" s="2206">
        <f>H14/$O$2</f>
        <v/>
      </c>
      <c r="I15" s="2206">
        <f>I14/$O$2</f>
        <v/>
      </c>
      <c r="J15" s="2199" t="n"/>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n"/>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n"/>
      <c r="D4" s="169" t="n"/>
      <c r="E4" s="13" t="n"/>
      <c r="F4" s="2233" t="n"/>
      <c r="G4" s="347" t="n"/>
      <c r="H4" s="348" t="n"/>
      <c r="I4" s="349" t="n"/>
      <c r="J4" s="2234" t="n"/>
      <c r="K4" s="2235" t="n"/>
      <c r="L4" s="349" t="n"/>
      <c r="M4" s="351" t="n"/>
      <c r="N4" s="1757" t="n"/>
      <c r="O4" s="2236" t="n"/>
      <c r="P4" s="676" t="n"/>
      <c r="Q4" s="2236" t="n"/>
      <c r="R4" s="1757" t="n"/>
      <c r="S4" s="152" t="n"/>
    </row>
    <row r="5" ht="12.75" customHeight="1" s="1449">
      <c r="B5" s="169" t="n">
        <v>2</v>
      </c>
      <c r="C5" s="169" t="n"/>
      <c r="D5" s="169" t="n"/>
      <c r="E5" s="13" t="n"/>
      <c r="F5" s="2233" t="n"/>
      <c r="G5" s="347" t="n"/>
      <c r="H5" s="348" t="n"/>
      <c r="I5" s="349" t="n"/>
      <c r="J5" s="2234" t="n"/>
      <c r="K5" s="2235" t="n"/>
      <c r="L5" s="349" t="n"/>
      <c r="M5" s="351" t="n"/>
      <c r="O5" s="2236" t="n"/>
      <c r="P5" s="676" t="n"/>
      <c r="Q5" s="2236" t="n"/>
      <c r="R5" s="1757" t="n"/>
      <c r="S5" s="152" t="n"/>
    </row>
    <row r="6" ht="12.75" customHeight="1" s="1449">
      <c r="B6" s="169" t="n">
        <v>3</v>
      </c>
      <c r="C6" s="169" t="n"/>
      <c r="D6" s="169" t="n"/>
      <c r="E6" s="345" t="n"/>
      <c r="F6" s="2233" t="n"/>
      <c r="G6" s="352" t="n"/>
      <c r="H6" s="348" t="n"/>
      <c r="I6" s="349" t="n"/>
      <c r="J6" s="2234" t="n"/>
      <c r="K6" s="2235" t="n"/>
      <c r="L6" s="349" t="n"/>
      <c r="M6" s="351" t="n"/>
      <c r="O6" s="2236" t="n"/>
      <c r="P6" s="676" t="n"/>
      <c r="Q6" s="2236" t="n"/>
      <c r="R6" s="1757" t="n"/>
      <c r="S6" s="152" t="n"/>
    </row>
    <row r="7" ht="12.75" customHeight="1" s="1449">
      <c r="B7" s="169" t="n">
        <v>4</v>
      </c>
      <c r="C7" s="169" t="n"/>
      <c r="D7" s="169" t="n"/>
      <c r="E7" s="13" t="n"/>
      <c r="F7" s="2233" t="n"/>
      <c r="G7" s="347" t="n"/>
      <c r="H7" s="348" t="n"/>
      <c r="I7" s="349" t="n"/>
      <c r="J7" s="2234" t="n"/>
      <c r="K7" s="2235" t="n"/>
      <c r="L7" s="349" t="n"/>
      <c r="M7" s="351" t="n"/>
      <c r="O7" s="2236" t="n"/>
      <c r="P7" s="676" t="n"/>
      <c r="Q7" s="2236" t="n"/>
      <c r="R7" s="1757" t="n"/>
      <c r="S7" s="152" t="n"/>
    </row>
    <row r="8" ht="12.75" customHeight="1" s="1449">
      <c r="B8" s="169" t="n">
        <v>5</v>
      </c>
      <c r="C8" s="169" t="n"/>
      <c r="D8" s="169" t="n"/>
      <c r="E8" s="345" t="n"/>
      <c r="F8" s="2233" t="n"/>
      <c r="G8" s="347" t="n"/>
      <c r="H8" s="348" t="n"/>
      <c r="I8" s="349" t="n"/>
      <c r="J8" s="2234" t="n"/>
      <c r="K8" s="2235" t="n"/>
      <c r="L8" s="349" t="n"/>
      <c r="M8" s="351" t="n"/>
      <c r="O8" s="2236" t="n"/>
      <c r="P8" s="676" t="n"/>
      <c r="Q8" s="2236" t="n"/>
      <c r="R8" s="1757" t="n"/>
      <c r="S8" s="152" t="n"/>
    </row>
    <row r="9" ht="12.75" customHeight="1" s="1449">
      <c r="B9" s="169" t="n">
        <v>6</v>
      </c>
      <c r="C9" s="169" t="n"/>
      <c r="D9" s="169" t="n"/>
      <c r="E9" s="13" t="n"/>
      <c r="F9" s="2233" t="n"/>
      <c r="G9" s="347" t="n"/>
      <c r="H9" s="348" t="n"/>
      <c r="I9" s="349" t="n"/>
      <c r="J9" s="2234" t="n"/>
      <c r="K9" s="2235" t="n"/>
      <c r="L9" s="349" t="n"/>
      <c r="M9" s="351" t="n"/>
      <c r="O9" s="2236" t="n"/>
      <c r="P9" s="676" t="n"/>
      <c r="Q9" s="2236" t="n"/>
      <c r="R9" s="1757" t="n"/>
      <c r="S9" s="152" t="n"/>
    </row>
    <row r="10" ht="12.75" customHeight="1" s="1449">
      <c r="B10" s="169" t="n">
        <v>7</v>
      </c>
      <c r="C10" s="169" t="n"/>
      <c r="D10" s="169" t="n"/>
      <c r="E10" s="345" t="n"/>
      <c r="F10" s="2233" t="n"/>
      <c r="G10" s="347" t="n"/>
      <c r="H10" s="348" t="n"/>
      <c r="I10" s="349" t="n"/>
      <c r="J10" s="2234" t="n"/>
      <c r="K10" s="2235" t="n"/>
      <c r="L10" s="349" t="n"/>
      <c r="M10" s="351" t="n"/>
      <c r="O10" s="2236" t="n"/>
      <c r="P10" s="676" t="n"/>
      <c r="Q10" s="2236" t="n"/>
      <c r="R10" s="1757" t="n"/>
      <c r="S10" s="152" t="n"/>
    </row>
    <row r="11" ht="12.75" customHeight="1" s="1449">
      <c r="B11" s="169" t="n">
        <v>8</v>
      </c>
      <c r="C11" s="169" t="n"/>
      <c r="D11" s="169" t="n"/>
      <c r="E11" s="345" t="n"/>
      <c r="F11" s="2233" t="n"/>
      <c r="G11" s="347" t="n"/>
      <c r="H11" s="348" t="n"/>
      <c r="I11" s="349" t="n"/>
      <c r="J11" s="2234" t="n"/>
      <c r="K11" s="2235" t="n"/>
      <c r="L11" s="349" t="n"/>
      <c r="M11" s="351" t="n"/>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n"/>
    </row>
    <row r="20">
      <c r="O20" s="1562" t="inlineStr">
        <is>
          <t>Third Party Surveys - Capitalization Rates</t>
        </is>
      </c>
    </row>
    <row r="21">
      <c r="O21" s="69" t="inlineStr">
        <is>
          <t>Category</t>
        </is>
      </c>
      <c r="P21" s="1650" t="n"/>
      <c r="Q21" s="1650" t="n"/>
      <c r="R21" s="1650" t="n"/>
    </row>
    <row r="22" ht="12.75" customHeight="1" s="1449">
      <c r="O22" s="672" t="inlineStr">
        <is>
          <t>Date of Survey</t>
        </is>
      </c>
      <c r="P22" s="734" t="n"/>
      <c r="Q22" s="734" t="n"/>
      <c r="R22" s="734" t="n"/>
    </row>
    <row r="23" ht="12.75" customHeight="1" s="1449">
      <c r="O23" s="672" t="inlineStr">
        <is>
          <t>Market</t>
        </is>
      </c>
      <c r="P23" s="735" t="n"/>
      <c r="Q23" s="735" t="n"/>
      <c r="R23" s="734" t="n"/>
    </row>
    <row r="24" ht="12.75" customHeight="1" s="1449">
      <c r="O24" s="672" t="inlineStr">
        <is>
          <t>Property Type</t>
        </is>
      </c>
      <c r="P24" s="734" t="n"/>
      <c r="Q24" s="734" t="n"/>
      <c r="R24" s="734" t="n"/>
    </row>
    <row r="25" ht="12.75" customHeight="1" s="1449">
      <c r="O25" s="673" t="inlineStr">
        <is>
          <t>Range Average</t>
        </is>
      </c>
      <c r="P25" s="736" t="n"/>
      <c r="Q25" s="737" t="n"/>
      <c r="R25" s="736" t="n"/>
    </row>
    <row r="26" ht="12.75" customHeight="1" s="1449">
      <c r="O26" s="674" t="inlineStr">
        <is>
          <t>Average</t>
        </is>
      </c>
      <c r="P26" s="738" t="n"/>
      <c r="Q26" s="739" t="n"/>
      <c r="R26" s="738" t="n"/>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row>
    <row r="57" hidden="1" ht="12.75" customHeight="1" s="1449">
      <c r="T57" s="301" t="inlineStr">
        <is>
          <t>Less: Tenant Finish</t>
        </is>
      </c>
      <c r="U57" s="2241">
        <f>iaOARBrokers</f>
        <v/>
      </c>
    </row>
    <row r="58" hidden="1" ht="12.75" customHeight="1" s="1449">
      <c r="T58" s="301" t="inlineStr">
        <is>
          <t>Less: Leasing Commissions</t>
        </is>
      </c>
      <c r="U58" s="2241" t="n"/>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n"/>
      <c r="F6" s="2249" t="n"/>
      <c r="G6" s="2250">
        <f>G4/('Cap Rate Lease-Up'!U49-0.0025)</f>
        <v/>
      </c>
      <c r="H6" s="2251">
        <f>G6/K2</f>
        <v/>
      </c>
      <c r="J6" s="1758" t="n"/>
    </row>
    <row r="7" ht="12.75" customHeight="1" s="1449">
      <c r="E7" s="2252" t="n"/>
      <c r="F7" s="2253" t="n"/>
      <c r="G7" s="2250">
        <f>G4/'Cap Rate Lease-Up'!U49</f>
        <v/>
      </c>
      <c r="H7" s="2251">
        <f>G7/K2</f>
        <v/>
      </c>
      <c r="J7" s="1758" t="n"/>
    </row>
    <row r="8" ht="12.75" customHeight="1" s="1449">
      <c r="E8" s="2254" t="n"/>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row>
    <row r="19">
      <c r="A19" s="1563" t="inlineStr">
        <is>
          <t>Entrepreneurial Incentive (15% of Total Construction Costs)</t>
        </is>
      </c>
      <c r="B19" s="2263" t="n"/>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Info'!B16</f>
        <v/>
      </c>
      <c r="B11" s="920" t="n"/>
      <c r="C11" s="2272" t="n"/>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c r="G15" s="914" t="n"/>
      <c r="H15" s="1560" t="n"/>
      <c r="I15" s="1560" t="n"/>
      <c r="J15" s="1560" t="n"/>
      <c r="K15" s="1560" t="n"/>
      <c r="L15" s="1560" t="n"/>
      <c r="M15" s="1560" t="n"/>
    </row>
    <row r="16" ht="15" customHeight="1" s="1449">
      <c r="A16" s="1662" t="inlineStr">
        <is>
          <t>CoStar - Adams County - Industrial - Q1 2019-Q2 2020</t>
        </is>
      </c>
      <c r="D16" s="1669" t="n"/>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c r="E26" s="1477" t="n"/>
      <c r="F26" s="2281" t="inlineStr">
        <is>
          <t>←</t>
        </is>
      </c>
      <c r="G26" s="1560" t="inlineStr">
        <is>
          <t xml:space="preserve">Actual </t>
        </is>
      </c>
      <c r="M26" s="1560" t="n"/>
      <c r="N26" s="1560" t="n"/>
      <c r="O26" s="1560" t="n"/>
    </row>
    <row r="27">
      <c r="A27" s="1560" t="inlineStr">
        <is>
          <t>Insurance</t>
        </is>
      </c>
      <c r="B27" s="1560" t="n"/>
      <c r="C27" s="2282" t="n"/>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n"/>
      <c r="D54" s="1004" t="n"/>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c r="D55" s="1010" t="n"/>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2026-07-14T00:29:40Z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